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670" yWindow="255" windowWidth="12375" windowHeight="11760" tabRatio="588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18" sheetId="74" r:id="rId14"/>
    <sheet name="Utility Cost " sheetId="77" r:id="rId15"/>
    <sheet name="MDB" sheetId="78" r:id="rId16"/>
    <sheet name="Swimming Pool quality check " sheetId="79" r:id="rId17"/>
    <sheet name="Sheet2" sheetId="83" state="hidden" r:id="rId18"/>
    <sheet name="Sheet6" sheetId="84" r:id="rId19"/>
    <sheet name="Sheet7" sheetId="85" r:id="rId20"/>
    <sheet name="Sheet3" sheetId="86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3">'Degree Days 2018'!$A$38:$AJ$92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O30" i="79"/>
  <c r="O11"/>
  <c r="H11" s="1"/>
  <c r="O12"/>
  <c r="H12" s="1"/>
  <c r="O13"/>
  <c r="H13" s="1"/>
  <c r="O14"/>
  <c r="O15"/>
  <c r="O16"/>
  <c r="O17"/>
  <c r="O18"/>
  <c r="O19"/>
  <c r="O20"/>
  <c r="O21"/>
  <c r="O22"/>
  <c r="O23"/>
  <c r="O24"/>
  <c r="O25"/>
  <c r="O26"/>
  <c r="O27"/>
  <c r="O28"/>
  <c r="O29"/>
  <c r="O31"/>
  <c r="O32"/>
  <c r="O33"/>
  <c r="O34"/>
  <c r="O35"/>
  <c r="O36"/>
  <c r="I11" i="77"/>
  <c r="T24" i="3"/>
  <c r="J5" i="79"/>
  <c r="H7"/>
  <c r="H8"/>
  <c r="H9"/>
  <c r="H10"/>
  <c r="H6"/>
  <c r="H5"/>
  <c r="D16" i="3" l="1"/>
  <c r="T15"/>
  <c r="T14"/>
  <c r="F16" i="1"/>
  <c r="I13" i="79"/>
  <c r="I14"/>
  <c r="I15"/>
  <c r="I16"/>
  <c r="E15" i="5"/>
  <c r="N12" i="2"/>
  <c r="W43" i="74"/>
  <c r="S43"/>
  <c r="O43"/>
  <c r="R43"/>
  <c r="N43"/>
  <c r="J43"/>
  <c r="F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A10" i="3"/>
  <c r="A11"/>
  <c r="A12"/>
  <c r="A13"/>
  <c r="E13" i="5"/>
  <c r="I9" i="79"/>
  <c r="I10"/>
  <c r="I8"/>
  <c r="I7"/>
  <c r="I6"/>
  <c r="AR5" i="7"/>
  <c r="AS5"/>
  <c r="N5" i="79"/>
  <c r="O5"/>
  <c r="M5"/>
  <c r="L5"/>
  <c r="I5"/>
  <c r="G5"/>
  <c r="F5"/>
  <c r="E5"/>
  <c r="D5"/>
  <c r="C5"/>
  <c r="B5"/>
  <c r="I11" l="1"/>
  <c r="I12"/>
  <c r="M15"/>
  <c r="M22" s="1"/>
  <c r="M32" s="1"/>
  <c r="M33" s="1"/>
  <c r="M34" s="1"/>
  <c r="M35" s="1"/>
  <c r="M36" s="1"/>
  <c r="AB19" i="76"/>
  <c r="W13"/>
  <c r="W14"/>
  <c r="W15"/>
  <c r="W16"/>
  <c r="AB18"/>
  <c r="Y14"/>
  <c r="X14"/>
  <c r="Y13"/>
  <c r="X13"/>
  <c r="AB13"/>
  <c r="AB14"/>
  <c r="AC14"/>
  <c r="AC13"/>
  <c r="AD11"/>
  <c r="AD10"/>
  <c r="AD9"/>
  <c r="AC11"/>
  <c r="AB11"/>
  <c r="AA11"/>
  <c r="Z11"/>
  <c r="AC10"/>
  <c r="AB10"/>
  <c r="AA10"/>
  <c r="Z10"/>
  <c r="AC9"/>
  <c r="AB9"/>
  <c r="AA9"/>
  <c r="Z9"/>
  <c r="Y11"/>
  <c r="Y10"/>
  <c r="Y9"/>
  <c r="X11"/>
  <c r="X10"/>
  <c r="X9"/>
  <c r="W11"/>
  <c r="W10"/>
  <c r="W9"/>
  <c r="V11"/>
  <c r="V10"/>
  <c r="V9"/>
  <c r="AK2" i="3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T3" i="76"/>
  <c r="S3"/>
  <c r="R3"/>
  <c r="Q3"/>
  <c r="P3"/>
  <c r="O3"/>
  <c r="N3"/>
  <c r="M3"/>
  <c r="L3"/>
  <c r="K3"/>
  <c r="J3"/>
  <c r="I3"/>
  <c r="H3"/>
  <c r="G3"/>
  <c r="F3"/>
  <c r="E3"/>
  <c r="D3"/>
  <c r="C3"/>
  <c r="B3"/>
  <c r="A3"/>
  <c r="BH5" i="7"/>
  <c r="BG5"/>
  <c r="BF5"/>
  <c r="BE5"/>
  <c r="BD5"/>
  <c r="BC5"/>
  <c r="BB5"/>
  <c r="BA5"/>
  <c r="AZ5"/>
  <c r="AY5"/>
  <c r="AX5"/>
  <c r="AW5"/>
  <c r="AV5"/>
  <c r="AU5"/>
  <c r="AT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40" i="74" l="1"/>
  <c r="B40"/>
  <c r="C39"/>
  <c r="B39"/>
  <c r="C38"/>
  <c r="B38"/>
  <c r="D38" s="1"/>
  <c r="C37"/>
  <c r="B37"/>
  <c r="D37" s="1"/>
  <c r="C36"/>
  <c r="B36"/>
  <c r="C35"/>
  <c r="B35"/>
  <c r="C34"/>
  <c r="B34"/>
  <c r="C33"/>
  <c r="B33"/>
  <c r="D33" s="1"/>
  <c r="C32"/>
  <c r="B32"/>
  <c r="C31"/>
  <c r="B31"/>
  <c r="C30"/>
  <c r="B30"/>
  <c r="D30" s="1"/>
  <c r="C29"/>
  <c r="B29"/>
  <c r="C28"/>
  <c r="B28"/>
  <c r="C27"/>
  <c r="B27"/>
  <c r="C26"/>
  <c r="B26"/>
  <c r="D26" s="1"/>
  <c r="C25"/>
  <c r="B25"/>
  <c r="C24"/>
  <c r="B24"/>
  <c r="C23"/>
  <c r="B23"/>
  <c r="C22"/>
  <c r="B22"/>
  <c r="C21"/>
  <c r="B21"/>
  <c r="D21" s="1"/>
  <c r="C20"/>
  <c r="B20"/>
  <c r="C19"/>
  <c r="B19"/>
  <c r="C18"/>
  <c r="B18"/>
  <c r="D18" s="1"/>
  <c r="C17"/>
  <c r="B17"/>
  <c r="D17" s="1"/>
  <c r="C16"/>
  <c r="B16"/>
  <c r="C15"/>
  <c r="B15"/>
  <c r="C14"/>
  <c r="B14"/>
  <c r="D14" s="1"/>
  <c r="C13"/>
  <c r="B13"/>
  <c r="D13" s="1"/>
  <c r="C12"/>
  <c r="B12"/>
  <c r="C11"/>
  <c r="B11"/>
  <c r="C10"/>
  <c r="B10"/>
  <c r="D10" s="1"/>
  <c r="T18" i="3"/>
  <c r="T19" s="1"/>
  <c r="T20" s="1"/>
  <c r="T25" s="1"/>
  <c r="T26" s="1"/>
  <c r="T27" s="1"/>
  <c r="T29" s="1"/>
  <c r="T30" s="1"/>
  <c r="T31" s="1"/>
  <c r="T32" s="1"/>
  <c r="T33" s="1"/>
  <c r="R13"/>
  <c r="R18" s="1"/>
  <c r="R19" s="1"/>
  <c r="R20" s="1"/>
  <c r="R23" s="1"/>
  <c r="R25" s="1"/>
  <c r="R26" s="1"/>
  <c r="R27" s="1"/>
  <c r="R29" s="1"/>
  <c r="R30" s="1"/>
  <c r="R31" s="1"/>
  <c r="R32" s="1"/>
  <c r="R33" s="1"/>
  <c r="L22"/>
  <c r="L25" s="1"/>
  <c r="L26" s="1"/>
  <c r="L27" s="1"/>
  <c r="L28" s="1"/>
  <c r="L29" s="1"/>
  <c r="L30" s="1"/>
  <c r="L31" s="1"/>
  <c r="L32" s="1"/>
  <c r="L33" s="1"/>
  <c r="J22"/>
  <c r="J23" s="1"/>
  <c r="J25" s="1"/>
  <c r="J26" s="1"/>
  <c r="J27" s="1"/>
  <c r="J28" s="1"/>
  <c r="J29" s="1"/>
  <c r="J30" s="1"/>
  <c r="J31" s="1"/>
  <c r="J32" s="1"/>
  <c r="J33" s="1"/>
  <c r="D10"/>
  <c r="D18" s="1"/>
  <c r="D19" s="1"/>
  <c r="D20" s="1"/>
  <c r="D22" s="1"/>
  <c r="D29" s="1"/>
  <c r="D30" s="1"/>
  <c r="D31" s="1"/>
  <c r="D32" s="1"/>
  <c r="D33" s="1"/>
  <c r="B5"/>
  <c r="B6" s="1"/>
  <c r="B10" s="1"/>
  <c r="B13" s="1"/>
  <c r="B18" s="1"/>
  <c r="B19" s="1"/>
  <c r="B20" s="1"/>
  <c r="B22" s="1"/>
  <c r="B28" s="1"/>
  <c r="B29" s="1"/>
  <c r="B30" s="1"/>
  <c r="B31" s="1"/>
  <c r="B32" s="1"/>
  <c r="B33" s="1"/>
  <c r="J30" i="76"/>
  <c r="J31" s="1"/>
  <c r="J32" s="1"/>
  <c r="J33" s="1"/>
  <c r="J34" s="1"/>
  <c r="H30"/>
  <c r="H31" s="1"/>
  <c r="H32" s="1"/>
  <c r="H33" s="1"/>
  <c r="H34" s="1"/>
  <c r="F30"/>
  <c r="F31" s="1"/>
  <c r="F32" s="1"/>
  <c r="F33" s="1"/>
  <c r="F34" s="1"/>
  <c r="B30"/>
  <c r="B31" s="1"/>
  <c r="B32" s="1"/>
  <c r="B33" s="1"/>
  <c r="B34" s="1"/>
  <c r="AT32" i="5"/>
  <c r="AT33" s="1"/>
  <c r="AT34" s="1"/>
  <c r="AT35" s="1"/>
  <c r="AT36" s="1"/>
  <c r="AV32"/>
  <c r="AV33" s="1"/>
  <c r="AV34" s="1"/>
  <c r="AV35" s="1"/>
  <c r="AV36" s="1"/>
  <c r="AX32"/>
  <c r="AX33" s="1"/>
  <c r="AX34" s="1"/>
  <c r="AX35" s="1"/>
  <c r="AX36" s="1"/>
  <c r="AG28"/>
  <c r="AG32" s="1"/>
  <c r="AG33" s="1"/>
  <c r="AG34" s="1"/>
  <c r="AG35" s="1"/>
  <c r="AG36" s="1"/>
  <c r="AE8"/>
  <c r="AE21" s="1"/>
  <c r="AE23" s="1"/>
  <c r="AE25" s="1"/>
  <c r="AE28" s="1"/>
  <c r="AE30" s="1"/>
  <c r="AE32" s="1"/>
  <c r="AE33" s="1"/>
  <c r="AE34" s="1"/>
  <c r="AE35" s="1"/>
  <c r="AE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7"/>
  <c r="AB9" s="1"/>
  <c r="AB11" s="1"/>
  <c r="AB12" s="1"/>
  <c r="AB13" s="1"/>
  <c r="AB14" s="1"/>
  <c r="AB15" s="1"/>
  <c r="AB17" s="1"/>
  <c r="AB19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22"/>
  <c r="Z26" s="1"/>
  <c r="Z32" s="1"/>
  <c r="Z33" s="1"/>
  <c r="Z34" s="1"/>
  <c r="Z35" s="1"/>
  <c r="Z36" s="1"/>
  <c r="X32"/>
  <c r="X33" s="1"/>
  <c r="X34" s="1"/>
  <c r="X35" s="1"/>
  <c r="X36" s="1"/>
  <c r="V13"/>
  <c r="V21" s="1"/>
  <c r="V23" s="1"/>
  <c r="V25" s="1"/>
  <c r="V28" s="1"/>
  <c r="V31" s="1"/>
  <c r="V32" s="1"/>
  <c r="V33" s="1"/>
  <c r="V34" s="1"/>
  <c r="V35" s="1"/>
  <c r="V36" s="1"/>
  <c r="T32"/>
  <c r="T33" s="1"/>
  <c r="T34" s="1"/>
  <c r="T35" s="1"/>
  <c r="T36" s="1"/>
  <c r="G8"/>
  <c r="G16" s="1"/>
  <c r="G22" s="1"/>
  <c r="G26" s="1"/>
  <c r="G28" s="1"/>
  <c r="G30" s="1"/>
  <c r="G32" s="1"/>
  <c r="G33" s="1"/>
  <c r="G34" s="1"/>
  <c r="G35" s="1"/>
  <c r="G36" s="1"/>
  <c r="B15"/>
  <c r="B16" s="1"/>
  <c r="B21" s="1"/>
  <c r="B22" s="1"/>
  <c r="B23" s="1"/>
  <c r="B25" s="1"/>
  <c r="B26" s="1"/>
  <c r="B28" s="1"/>
  <c r="B29" s="1"/>
  <c r="B30" s="1"/>
  <c r="B31" s="1"/>
  <c r="B32" s="1"/>
  <c r="B33" s="1"/>
  <c r="B34" s="1"/>
  <c r="B35" s="1"/>
  <c r="B36" s="1"/>
  <c r="AR31" i="1"/>
  <c r="AR32" s="1"/>
  <c r="AR33" s="1"/>
  <c r="AR34" s="1"/>
  <c r="AR35" s="1"/>
  <c r="AP15"/>
  <c r="AP31" s="1"/>
  <c r="AP32" s="1"/>
  <c r="AP33" s="1"/>
  <c r="AP34" s="1"/>
  <c r="AP35" s="1"/>
  <c r="AN31"/>
  <c r="AN32" s="1"/>
  <c r="AN33" s="1"/>
  <c r="AN34" s="1"/>
  <c r="AN35" s="1"/>
  <c r="AE8"/>
  <c r="AE12" s="1"/>
  <c r="AE15" s="1"/>
  <c r="AE20" s="1"/>
  <c r="AE22" s="1"/>
  <c r="AE24" s="1"/>
  <c r="AE27" s="1"/>
  <c r="AE29" s="1"/>
  <c r="AE30" s="1"/>
  <c r="AE31" s="1"/>
  <c r="AE32" s="1"/>
  <c r="AE33" s="1"/>
  <c r="AE34" s="1"/>
  <c r="AE35" s="1"/>
  <c r="AC12"/>
  <c r="AC15" s="1"/>
  <c r="AC20" s="1"/>
  <c r="AC22" s="1"/>
  <c r="AC24" s="1"/>
  <c r="AC27" s="1"/>
  <c r="AC29" s="1"/>
  <c r="AC30" s="1"/>
  <c r="AC31" s="1"/>
  <c r="AC32" s="1"/>
  <c r="AC33" s="1"/>
  <c r="AC34" s="1"/>
  <c r="AC35" s="1"/>
  <c r="Z7"/>
  <c r="Z12" s="1"/>
  <c r="Z14" s="1"/>
  <c r="Z15" s="1"/>
  <c r="Z20" s="1"/>
  <c r="Z21" s="1"/>
  <c r="Z22" s="1"/>
  <c r="Z24" s="1"/>
  <c r="Z25" s="1"/>
  <c r="Z27" s="1"/>
  <c r="Z28" s="1"/>
  <c r="Z29" s="1"/>
  <c r="Z30" s="1"/>
  <c r="Z31" s="1"/>
  <c r="Z32" s="1"/>
  <c r="Z33" s="1"/>
  <c r="Z34" s="1"/>
  <c r="Z35" s="1"/>
  <c r="X7"/>
  <c r="X15" s="1"/>
  <c r="X20" s="1"/>
  <c r="X21" s="1"/>
  <c r="X24" s="1"/>
  <c r="X25" s="1"/>
  <c r="X27" s="1"/>
  <c r="X28" s="1"/>
  <c r="X29" s="1"/>
  <c r="X30" s="1"/>
  <c r="X31" s="1"/>
  <c r="X32" s="1"/>
  <c r="X33" s="1"/>
  <c r="X34" s="1"/>
  <c r="X35" s="1"/>
  <c r="Q15"/>
  <c r="Q24" s="1"/>
  <c r="Q27" s="1"/>
  <c r="Q31" s="1"/>
  <c r="Q32" s="1"/>
  <c r="Q33" s="1"/>
  <c r="Q34" s="1"/>
  <c r="Q35" s="1"/>
  <c r="P15"/>
  <c r="P24" s="1"/>
  <c r="P27" s="1"/>
  <c r="P30" s="1"/>
  <c r="P31" s="1"/>
  <c r="P32" s="1"/>
  <c r="P33" s="1"/>
  <c r="P34" s="1"/>
  <c r="P35" s="1"/>
  <c r="M7"/>
  <c r="M8" s="1"/>
  <c r="M12" s="1"/>
  <c r="M14" s="1"/>
  <c r="M20" s="1"/>
  <c r="M31" s="1"/>
  <c r="M32" s="1"/>
  <c r="M33" s="1"/>
  <c r="M34" s="1"/>
  <c r="M35" s="1"/>
  <c r="K7"/>
  <c r="K8" s="1"/>
  <c r="K12" s="1"/>
  <c r="K14" s="1"/>
  <c r="K31" s="1"/>
  <c r="K32" s="1"/>
  <c r="K33" s="1"/>
  <c r="K34" s="1"/>
  <c r="K35" s="1"/>
  <c r="H7"/>
  <c r="H8" s="1"/>
  <c r="H12" s="1"/>
  <c r="H22" s="1"/>
  <c r="H31" s="1"/>
  <c r="H32" s="1"/>
  <c r="H33" s="1"/>
  <c r="H34" s="1"/>
  <c r="H35" s="1"/>
  <c r="F7"/>
  <c r="F8" s="1"/>
  <c r="F12" s="1"/>
  <c r="F22" s="1"/>
  <c r="F31" s="1"/>
  <c r="F32" s="1"/>
  <c r="F33" s="1"/>
  <c r="F34" s="1"/>
  <c r="F35" s="1"/>
  <c r="C31"/>
  <c r="C32" s="1"/>
  <c r="C33" s="1"/>
  <c r="C34" s="1"/>
  <c r="C35" s="1"/>
  <c r="B31"/>
  <c r="B32" s="1"/>
  <c r="B33" s="1"/>
  <c r="B34" s="1"/>
  <c r="B35" s="1"/>
  <c r="AC6" i="2"/>
  <c r="AC10" s="1"/>
  <c r="AC18" s="1"/>
  <c r="AC23" s="1"/>
  <c r="AC25" s="1"/>
  <c r="AC26" s="1"/>
  <c r="AC27" s="1"/>
  <c r="AC29" s="1"/>
  <c r="AC30" s="1"/>
  <c r="AC31" s="1"/>
  <c r="AC32" s="1"/>
  <c r="AC33" s="1"/>
  <c r="AA18"/>
  <c r="AA23" s="1"/>
  <c r="AA25" s="1"/>
  <c r="AA26" s="1"/>
  <c r="AA27" s="1"/>
  <c r="AA28" s="1"/>
  <c r="AA29" s="1"/>
  <c r="AA30" s="1"/>
  <c r="AA31" s="1"/>
  <c r="AA32" s="1"/>
  <c r="AA33" s="1"/>
  <c r="Y19"/>
  <c r="Y20" s="1"/>
  <c r="Y25" s="1"/>
  <c r="Y26" s="1"/>
  <c r="Y27" s="1"/>
  <c r="Y28" s="1"/>
  <c r="Y29" s="1"/>
  <c r="Y30" s="1"/>
  <c r="Y31" s="1"/>
  <c r="Y32" s="1"/>
  <c r="Y33" s="1"/>
  <c r="W19"/>
  <c r="W20" s="1"/>
  <c r="W25" s="1"/>
  <c r="W26" s="1"/>
  <c r="W28" s="1"/>
  <c r="W29" s="1"/>
  <c r="W30" s="1"/>
  <c r="W31" s="1"/>
  <c r="W32" s="1"/>
  <c r="W33" s="1"/>
  <c r="U10"/>
  <c r="U20" s="1"/>
  <c r="U22" s="1"/>
  <c r="U23" s="1"/>
  <c r="U25" s="1"/>
  <c r="U26" s="1"/>
  <c r="U29" s="1"/>
  <c r="U30" s="1"/>
  <c r="U31" s="1"/>
  <c r="U32" s="1"/>
  <c r="U33" s="1"/>
  <c r="S10"/>
  <c r="S20" s="1"/>
  <c r="S22" s="1"/>
  <c r="S23" s="1"/>
  <c r="S25" s="1"/>
  <c r="S26" s="1"/>
  <c r="S29" s="1"/>
  <c r="S30" s="1"/>
  <c r="S31" s="1"/>
  <c r="S32" s="1"/>
  <c r="S33" s="1"/>
  <c r="P29"/>
  <c r="P30" s="1"/>
  <c r="P31" s="1"/>
  <c r="P32" s="1"/>
  <c r="P33" s="1"/>
  <c r="L29"/>
  <c r="L30" s="1"/>
  <c r="L31" s="1"/>
  <c r="L32" s="1"/>
  <c r="L33" s="1"/>
  <c r="J29"/>
  <c r="J30" s="1"/>
  <c r="J31" s="1"/>
  <c r="J32" s="1"/>
  <c r="J33" s="1"/>
  <c r="H29"/>
  <c r="H30" s="1"/>
  <c r="H31" s="1"/>
  <c r="H32" s="1"/>
  <c r="H33" s="1"/>
  <c r="F29"/>
  <c r="F30" s="1"/>
  <c r="F31" s="1"/>
  <c r="F32" s="1"/>
  <c r="F33" s="1"/>
  <c r="D29"/>
  <c r="D30" s="1"/>
  <c r="D31" s="1"/>
  <c r="D32" s="1"/>
  <c r="D33" s="1"/>
  <c r="H30" i="79"/>
  <c r="P30" i="3"/>
  <c r="P31" s="1"/>
  <c r="P32" s="1"/>
  <c r="P33" s="1"/>
  <c r="P29"/>
  <c r="K13" i="5"/>
  <c r="K12"/>
  <c r="K11"/>
  <c r="K10"/>
  <c r="K9"/>
  <c r="K8"/>
  <c r="K7"/>
  <c r="C18" i="77"/>
  <c r="C17"/>
  <c r="C16"/>
  <c r="C15"/>
  <c r="C14"/>
  <c r="AB19" i="74"/>
  <c r="AB18"/>
  <c r="AB17"/>
  <c r="AB16"/>
  <c r="AB15"/>
  <c r="AB14"/>
  <c r="AB13"/>
  <c r="AB12"/>
  <c r="AB11"/>
  <c r="AB10"/>
  <c r="AA19"/>
  <c r="AA18"/>
  <c r="AA17"/>
  <c r="AA16"/>
  <c r="AA15"/>
  <c r="AA14"/>
  <c r="AA13"/>
  <c r="AA12"/>
  <c r="AA11"/>
  <c r="AA10"/>
  <c r="D16" l="1"/>
  <c r="D11"/>
  <c r="D15"/>
  <c r="D19"/>
  <c r="D27"/>
  <c r="D39"/>
  <c r="D36"/>
  <c r="D40"/>
  <c r="D12"/>
  <c r="D35"/>
  <c r="D34"/>
  <c r="D32"/>
  <c r="D31"/>
  <c r="D29"/>
  <c r="D28"/>
  <c r="D25"/>
  <c r="D24"/>
  <c r="D23"/>
  <c r="D22"/>
  <c r="D20"/>
  <c r="X16" i="76" l="1"/>
  <c r="X15"/>
  <c r="W17"/>
  <c r="Y16"/>
  <c r="Y15"/>
  <c r="Y12"/>
  <c r="AA12"/>
  <c r="AC15"/>
  <c r="AT37" i="5" l="1"/>
  <c r="A2" i="3"/>
  <c r="A5" i="73"/>
  <c r="O6" i="5"/>
  <c r="O7" s="1"/>
  <c r="M6"/>
  <c r="M7" s="1"/>
  <c r="M8" s="1"/>
  <c r="M9" s="1"/>
  <c r="M10" s="1"/>
  <c r="M11" s="1"/>
  <c r="M12" s="1"/>
  <c r="M13" s="1"/>
  <c r="M15" l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M14"/>
  <c r="O8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N7" i="1"/>
  <c r="AV6" i="7"/>
  <c r="C6" i="77"/>
  <c r="B32" i="82"/>
  <c r="B32" i="81"/>
  <c r="AC12" i="76"/>
  <c r="AC16"/>
  <c r="AC17"/>
  <c r="AC18"/>
  <c r="AC19"/>
  <c r="AB12"/>
  <c r="AB15"/>
  <c r="AB16"/>
  <c r="AB17"/>
  <c r="AA17"/>
  <c r="V27"/>
  <c r="V28"/>
  <c r="W12"/>
  <c r="V26"/>
  <c r="V12"/>
  <c r="W26" l="1"/>
  <c r="W27"/>
  <c r="W28"/>
  <c r="AS37" i="7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AM7" i="5" s="1"/>
  <c r="D8" i="73"/>
  <c r="AM8" i="5" s="1"/>
  <c r="D9" i="73"/>
  <c r="AM9" i="5" s="1"/>
  <c r="D10" i="73"/>
  <c r="AM10" i="5" s="1"/>
  <c r="D11" i="73"/>
  <c r="AM11" i="5" s="1"/>
  <c r="D12" i="73"/>
  <c r="AM12" i="5" s="1"/>
  <c r="D13" i="73"/>
  <c r="AM13" i="5" s="1"/>
  <c r="D14" i="73"/>
  <c r="AM14" i="5" s="1"/>
  <c r="D15" i="73"/>
  <c r="AM15" i="5" s="1"/>
  <c r="D16" i="73"/>
  <c r="AM16" i="5" s="1"/>
  <c r="D17" i="73"/>
  <c r="AM17" i="5" s="1"/>
  <c r="D18" i="73"/>
  <c r="AM18" i="5" s="1"/>
  <c r="D19" i="73"/>
  <c r="AM19" i="5" s="1"/>
  <c r="D20" i="73"/>
  <c r="AM20" i="5" s="1"/>
  <c r="D21" i="73"/>
  <c r="AM21" i="5" s="1"/>
  <c r="D22" i="73"/>
  <c r="AM22" i="5" s="1"/>
  <c r="D23" i="73"/>
  <c r="D24"/>
  <c r="D25"/>
  <c r="D26"/>
  <c r="D27"/>
  <c r="D28"/>
  <c r="D29"/>
  <c r="D30"/>
  <c r="D31"/>
  <c r="D32"/>
  <c r="D3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I25" i="5" l="1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D16" i="77"/>
  <c r="D15"/>
  <c r="D14"/>
  <c r="AB21" i="74"/>
  <c r="AA21"/>
  <c r="V13" i="76"/>
  <c r="V14"/>
  <c r="V15"/>
  <c r="V16"/>
  <c r="AC28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W30" i="76" s="1"/>
  <c r="BB18" i="7"/>
  <c r="J9" i="63"/>
  <c r="K9" i="73"/>
  <c r="G9"/>
  <c r="C6" i="76"/>
  <c r="K4"/>
  <c r="N4" s="1"/>
  <c r="K3" i="3"/>
  <c r="C6" i="5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O8" i="79"/>
  <c r="O9"/>
  <c r="O10"/>
  <c r="H14"/>
  <c r="K14" i="5" s="1"/>
  <c r="A36" i="79"/>
  <c r="L36" s="1"/>
  <c r="AK38" i="5"/>
  <c r="AU6"/>
  <c r="AZ6" s="1"/>
  <c r="BC6" s="1"/>
  <c r="A36"/>
  <c r="AR3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BA15" i="7"/>
  <c r="BA16"/>
  <c r="G16" i="73"/>
  <c r="K16"/>
  <c r="G17"/>
  <c r="K17"/>
  <c r="G18"/>
  <c r="K18"/>
  <c r="BA19" i="7"/>
  <c r="G19" i="73"/>
  <c r="K19"/>
  <c r="BA20" i="7"/>
  <c r="G20" i="73"/>
  <c r="K20"/>
  <c r="G21"/>
  <c r="K21"/>
  <c r="BA22" i="7"/>
  <c r="G22" i="73"/>
  <c r="K22"/>
  <c r="BA23" i="7"/>
  <c r="G23" i="73"/>
  <c r="K23"/>
  <c r="AM24" i="5"/>
  <c r="G24" i="73"/>
  <c r="K24"/>
  <c r="BA25" i="7"/>
  <c r="G25" i="73"/>
  <c r="BA26" i="7"/>
  <c r="G26" i="73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I12" i="77"/>
  <c r="AP21" i="5"/>
  <c r="AP12"/>
  <c r="AP8"/>
  <c r="H12" i="77"/>
  <c r="AP16" i="5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7"/>
  <c r="BB8"/>
  <c r="BB9"/>
  <c r="BB10"/>
  <c r="BB11"/>
  <c r="BB12"/>
  <c r="BB13"/>
  <c r="BB14"/>
  <c r="BB15"/>
  <c r="BB16"/>
  <c r="BB17"/>
  <c r="BB19"/>
  <c r="BB20"/>
  <c r="BB21"/>
  <c r="BB22"/>
  <c r="BB23"/>
  <c r="BB24"/>
  <c r="BB25"/>
  <c r="BB26"/>
  <c r="BB27"/>
  <c r="BB28"/>
  <c r="BB29"/>
  <c r="BB30"/>
  <c r="BB31"/>
  <c r="BB32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B6" s="1"/>
  <c r="A7"/>
  <c r="AZ10" i="7" s="1"/>
  <c r="A8" i="2"/>
  <c r="AZ11" i="7" s="1"/>
  <c r="A9" i="2"/>
  <c r="A10"/>
  <c r="AZ13" i="7" s="1"/>
  <c r="A11" i="2"/>
  <c r="B11" s="1"/>
  <c r="L10" i="82" s="1"/>
  <c r="A12" i="2"/>
  <c r="B12" s="1"/>
  <c r="L11" i="82" s="1"/>
  <c r="A13" i="2"/>
  <c r="AZ16" i="7" s="1"/>
  <c r="A14" i="2"/>
  <c r="AZ17" i="7" s="1"/>
  <c r="A15" i="2"/>
  <c r="AZ18" i="7" s="1"/>
  <c r="A16" i="2"/>
  <c r="B16" s="1"/>
  <c r="O15" i="81" s="1"/>
  <c r="A17" i="2"/>
  <c r="A18"/>
  <c r="B18" s="1"/>
  <c r="A19"/>
  <c r="AZ22" i="7" s="1"/>
  <c r="A20" i="2"/>
  <c r="A21"/>
  <c r="B21" s="1"/>
  <c r="A22"/>
  <c r="A23"/>
  <c r="B23" s="1"/>
  <c r="A24"/>
  <c r="A25"/>
  <c r="AZ28" i="7" s="1"/>
  <c r="A26" i="2"/>
  <c r="B26" s="1"/>
  <c r="A27"/>
  <c r="B27" s="1"/>
  <c r="A28"/>
  <c r="A29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9" i="7"/>
  <c r="BA34"/>
  <c r="AM35" i="5"/>
  <c r="AV7" i="7"/>
  <c r="AN13" i="5"/>
  <c r="AP10"/>
  <c r="E7" i="77"/>
  <c r="B32" i="63"/>
  <c r="A32"/>
  <c r="E32"/>
  <c r="C32"/>
  <c r="Z43" i="76"/>
  <c r="BA31" i="7"/>
  <c r="BA33"/>
  <c r="BA36"/>
  <c r="BA12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O7" i="79"/>
  <c r="W8" i="5"/>
  <c r="W7"/>
  <c r="Y8"/>
  <c r="J4" i="82" s="1"/>
  <c r="Y7" i="5"/>
  <c r="J3" i="82" s="1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BA7"/>
  <c r="BA10"/>
  <c r="AM26" i="5"/>
  <c r="AM34"/>
  <c r="AD5" i="2"/>
  <c r="AB5"/>
  <c r="Z5"/>
  <c r="Z4"/>
  <c r="T5"/>
  <c r="T4"/>
  <c r="Q5"/>
  <c r="BE7" i="7" s="1"/>
  <c r="BG7" s="1"/>
  <c r="Q4" i="2"/>
  <c r="BE6" i="7" s="1"/>
  <c r="BG6" s="1"/>
  <c r="Q3" i="2"/>
  <c r="I5" i="65" s="1"/>
  <c r="I5" i="2"/>
  <c r="G4" i="82" s="1"/>
  <c r="G5" i="2"/>
  <c r="I4" i="82" s="1"/>
  <c r="G4" i="2"/>
  <c r="E3"/>
  <c r="H2" i="82" s="1"/>
  <c r="A5" i="79"/>
  <c r="J2" i="63"/>
  <c r="K31" i="73"/>
  <c r="BA29" i="7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AS8" i="1"/>
  <c r="AQ8"/>
  <c r="R9"/>
  <c r="S8"/>
  <c r="T8" s="1"/>
  <c r="Z9" i="7"/>
  <c r="AB9" s="1"/>
  <c r="D8" i="1"/>
  <c r="E8" s="1"/>
  <c r="B9" i="7"/>
  <c r="C9" s="1"/>
  <c r="AD7" i="2"/>
  <c r="AB7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D12" s="1"/>
  <c r="AS10" i="1"/>
  <c r="AQ10"/>
  <c r="AD11"/>
  <c r="R11"/>
  <c r="B11" i="7"/>
  <c r="AB9" i="2"/>
  <c r="Q9"/>
  <c r="BE11" i="7" s="1"/>
  <c r="BG11" s="1"/>
  <c r="M8" i="2"/>
  <c r="E7" i="82" s="1"/>
  <c r="I9" i="1"/>
  <c r="G10"/>
  <c r="J10" s="1"/>
  <c r="X8" i="2"/>
  <c r="C13" i="5"/>
  <c r="D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H11" i="3"/>
  <c r="R12" i="1"/>
  <c r="E8" i="2"/>
  <c r="H7" i="82" s="1"/>
  <c r="AM25" i="5"/>
  <c r="BA21" i="7"/>
  <c r="BA17"/>
  <c r="BA13"/>
  <c r="BA8"/>
  <c r="AZ9"/>
  <c r="A30" i="65"/>
  <c r="BA18" i="7"/>
  <c r="BA14"/>
  <c r="I12" i="1"/>
  <c r="A24" i="65"/>
  <c r="J22" i="63"/>
  <c r="BA11" i="7"/>
  <c r="BA6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I12" i="3"/>
  <c r="H13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3"/>
  <c r="S12"/>
  <c r="AD19" i="5"/>
  <c r="H14"/>
  <c r="AS15" i="1"/>
  <c r="AO13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AG7" i="1" l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E10" i="5"/>
  <c r="G5" i="63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AB4" s="1"/>
  <c r="Z4"/>
  <c r="F4" i="63" s="1"/>
  <c r="BD8" i="5"/>
  <c r="BD10"/>
  <c r="BD13"/>
  <c r="BC9"/>
  <c r="AT9" i="1"/>
  <c r="V3" i="3"/>
  <c r="BD12" i="5"/>
  <c r="AL11"/>
  <c r="D6"/>
  <c r="E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E12" i="5"/>
  <c r="D11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C6" i="63" s="1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L25" i="82"/>
  <c r="O25" i="81"/>
  <c r="A10" i="65"/>
  <c r="P52" i="74"/>
  <c r="O11" i="81"/>
  <c r="AA6" i="7"/>
  <c r="J7" i="63"/>
  <c r="AZ21" i="7"/>
  <c r="A32" i="65"/>
  <c r="P63" i="74"/>
  <c r="P75"/>
  <c r="A18" i="65"/>
  <c r="D32" i="63"/>
  <c r="P48" i="74"/>
  <c r="B13" i="2"/>
  <c r="O12" i="81" s="1"/>
  <c r="X77" i="74"/>
  <c r="X70"/>
  <c r="P66"/>
  <c r="P78"/>
  <c r="AZ14" i="7"/>
  <c r="AZ29"/>
  <c r="AZ15"/>
  <c r="O10" i="81"/>
  <c r="J31" i="63"/>
  <c r="X75" i="74"/>
  <c r="X68"/>
  <c r="X59"/>
  <c r="E3" i="65"/>
  <c r="BA32" i="7"/>
  <c r="P74" i="74"/>
  <c r="AD33" i="5"/>
  <c r="BA30" i="7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BA28" i="7"/>
  <c r="BA27"/>
  <c r="X69" i="74"/>
  <c r="B14" i="2"/>
  <c r="O22" i="81"/>
  <c r="B33" i="2"/>
  <c r="A20" i="65"/>
  <c r="AZ30" i="7"/>
  <c r="AB10"/>
  <c r="AC10" s="1"/>
  <c r="B30" i="2"/>
  <c r="O29" i="81" s="1"/>
  <c r="J27" i="63"/>
  <c r="A11" i="65"/>
  <c r="P49" i="74"/>
  <c r="P53"/>
  <c r="X55"/>
  <c r="B8" i="2"/>
  <c r="B4"/>
  <c r="O5" i="81"/>
  <c r="AB12" i="7"/>
  <c r="AC12" s="1"/>
  <c r="L22" i="82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AZ24" i="7"/>
  <c r="B3" i="2"/>
  <c r="O2" i="81" s="1"/>
  <c r="A14" i="65"/>
  <c r="P69" i="74"/>
  <c r="P73"/>
  <c r="AZ26" i="7"/>
  <c r="P51" i="74"/>
  <c r="P55"/>
  <c r="P59"/>
  <c r="N3" i="3"/>
  <c r="U5" i="1"/>
  <c r="AV38"/>
  <c r="X66" i="74"/>
  <c r="BA24" i="7"/>
  <c r="AM23" i="5"/>
  <c r="P64" i="74"/>
  <c r="X63"/>
  <c r="P62"/>
  <c r="X62"/>
  <c r="P61"/>
  <c r="X61"/>
  <c r="L15" i="82"/>
  <c r="AZ19" i="7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B17" i="77"/>
  <c r="E17" s="1"/>
  <c r="P60" i="74"/>
  <c r="H3" i="81"/>
  <c r="AV8" i="7"/>
  <c r="C13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O11" s="1"/>
  <c r="H10" i="82"/>
  <c r="E7" i="7"/>
  <c r="F7"/>
  <c r="AC9"/>
  <c r="AD9"/>
  <c r="J20" i="63"/>
  <c r="A22" i="65"/>
  <c r="J13" i="63"/>
  <c r="A15" i="65"/>
  <c r="D8" i="7"/>
  <c r="C8"/>
  <c r="L17" i="82"/>
  <c r="O17" i="81"/>
  <c r="AE6" i="7"/>
  <c r="AF6"/>
  <c r="A5" i="65"/>
  <c r="J3" i="63"/>
  <c r="L26" i="82"/>
  <c r="O26" i="81"/>
  <c r="D10" i="7"/>
  <c r="C10"/>
  <c r="AA8"/>
  <c r="AB8"/>
  <c r="AZ27"/>
  <c r="B24" i="2"/>
  <c r="B17"/>
  <c r="AZ20" i="7"/>
  <c r="X74" i="74"/>
  <c r="J14" i="63"/>
  <c r="D6" i="7"/>
  <c r="F12"/>
  <c r="J25" i="63"/>
  <c r="AZ23" i="7"/>
  <c r="B20" i="2"/>
  <c r="D11" i="7"/>
  <c r="C11"/>
  <c r="B22" i="2"/>
  <c r="AZ25" i="7"/>
  <c r="A31" i="65"/>
  <c r="J29" i="63"/>
  <c r="A7" i="65"/>
  <c r="J5" i="63"/>
  <c r="P67" i="74"/>
  <c r="L20" i="82"/>
  <c r="D9" i="7"/>
  <c r="X64" i="74"/>
  <c r="X52"/>
  <c r="AZ35" i="7"/>
  <c r="B32" i="2"/>
  <c r="AZ31" i="7"/>
  <c r="B28" i="2"/>
  <c r="A26" i="65"/>
  <c r="J24" i="63"/>
  <c r="B19" i="2"/>
  <c r="C12" i="7"/>
  <c r="B10" i="2"/>
  <c r="O20" i="81"/>
  <c r="AZ12" i="7"/>
  <c r="B9" i="2"/>
  <c r="P76" i="74"/>
  <c r="O28" i="81" l="1"/>
  <c r="V81" i="74"/>
  <c r="AA20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V9" i="7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15" i="77"/>
  <c r="E15" s="1"/>
  <c r="B81" i="74"/>
  <c r="E5" i="3"/>
  <c r="AA5" s="1"/>
  <c r="F5"/>
  <c r="AB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L8" i="5"/>
  <c r="H5" i="63" s="1"/>
  <c r="O30" i="81"/>
  <c r="L2" i="82"/>
  <c r="AD13" i="7"/>
  <c r="AE13" s="1"/>
  <c r="L9" i="5"/>
  <c r="H6" i="63" s="1"/>
  <c r="AD7" i="7"/>
  <c r="AE7" s="1"/>
  <c r="AD10"/>
  <c r="AF10" s="1"/>
  <c r="AD34" i="5"/>
  <c r="C81" i="74"/>
  <c r="G81"/>
  <c r="K81"/>
  <c r="W33" i="76" s="1"/>
  <c r="B14" i="77"/>
  <c r="E14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L32"/>
  <c r="O32" i="81"/>
  <c r="O33" i="2"/>
  <c r="O3" i="81"/>
  <c r="L29" i="82"/>
  <c r="L10" i="5"/>
  <c r="AK10" s="1"/>
  <c r="L12"/>
  <c r="F12" i="65" s="1"/>
  <c r="L14" i="5"/>
  <c r="AK14" s="1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L11"/>
  <c r="P7"/>
  <c r="Y4" i="3"/>
  <c r="X5"/>
  <c r="AE3"/>
  <c r="AF3" s="1"/>
  <c r="AG3" s="1"/>
  <c r="L13" i="5"/>
  <c r="H10" i="63" s="1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S12" i="76"/>
  <c r="R11" i="2"/>
  <c r="E10" i="81"/>
  <c r="C10" i="63"/>
  <c r="H15" i="79"/>
  <c r="K15" i="5" s="1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1" i="65" l="1"/>
  <c r="BF6" i="5"/>
  <c r="BG6" s="1"/>
  <c r="G6" i="65" s="1"/>
  <c r="F8"/>
  <c r="AF7" i="7"/>
  <c r="AG7" s="1"/>
  <c r="AF14" i="5"/>
  <c r="AI14" s="1"/>
  <c r="AJ5" i="1"/>
  <c r="AK5" s="1"/>
  <c r="P6" i="3"/>
  <c r="Q5"/>
  <c r="AH4"/>
  <c r="J4" i="81"/>
  <c r="AX8" i="1"/>
  <c r="AK8" i="5"/>
  <c r="AV10" i="7"/>
  <c r="H5" i="81"/>
  <c r="D10" i="63"/>
  <c r="AK4" i="3"/>
  <c r="AI8" i="2"/>
  <c r="AI6"/>
  <c r="F13" i="65"/>
  <c r="E6" i="3"/>
  <c r="AA6" s="1"/>
  <c r="AC5"/>
  <c r="F5" i="63"/>
  <c r="AE5" i="3"/>
  <c r="AF5" s="1"/>
  <c r="AG5" s="1"/>
  <c r="I7"/>
  <c r="C7"/>
  <c r="F6"/>
  <c r="AB6" s="1"/>
  <c r="Z6"/>
  <c r="AK6" s="1"/>
  <c r="AK5"/>
  <c r="AK13" i="5"/>
  <c r="AK9"/>
  <c r="AU13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H11" i="63"/>
  <c r="AF13" i="7"/>
  <c r="AH13" s="1"/>
  <c r="F9" i="65"/>
  <c r="H9" i="63"/>
  <c r="AF12" i="7"/>
  <c r="AH12" s="1"/>
  <c r="F14" i="65"/>
  <c r="AK12" i="5"/>
  <c r="AD36"/>
  <c r="AD35"/>
  <c r="F10" i="65"/>
  <c r="AB23" i="74"/>
  <c r="D12" i="65"/>
  <c r="H7" i="63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K11" i="5"/>
  <c r="F11" i="65"/>
  <c r="H8" i="63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E16" i="5"/>
  <c r="D16"/>
  <c r="I16"/>
  <c r="K11" i="81"/>
  <c r="J15" i="5"/>
  <c r="L11" i="81" s="1"/>
  <c r="C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L15" i="5"/>
  <c r="H16" i="79"/>
  <c r="K16" i="5" s="1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AH7" l="1"/>
  <c r="AI7" s="1"/>
  <c r="AF15" i="5"/>
  <c r="AI15" s="1"/>
  <c r="P7" i="3"/>
  <c r="Q6"/>
  <c r="AB12"/>
  <c r="AX9" i="1"/>
  <c r="J5" i="81"/>
  <c r="H6"/>
  <c r="AV11" i="7"/>
  <c r="AG13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E17"/>
  <c r="D17"/>
  <c r="C18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F15" i="65"/>
  <c r="AK15" i="5"/>
  <c r="H12" i="63"/>
  <c r="L16" i="5"/>
  <c r="H17" i="79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7" i="79" l="1"/>
  <c r="K17" i="5"/>
  <c r="AJ7" i="7"/>
  <c r="AK7" s="1"/>
  <c r="K30" i="5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H7"/>
  <c r="AV12" i="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E18" i="5"/>
  <c r="G15" i="63"/>
  <c r="I18" i="5"/>
  <c r="D18"/>
  <c r="C19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F16" i="65"/>
  <c r="H13" i="63"/>
  <c r="AK16" i="5"/>
  <c r="L17"/>
  <c r="H18" i="79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8" i="79" l="1"/>
  <c r="K18" i="5"/>
  <c r="L18" s="1"/>
  <c r="AL7" i="7"/>
  <c r="AM7" s="1"/>
  <c r="AO7" s="1"/>
  <c r="AN7" s="1"/>
  <c r="F8" i="3"/>
  <c r="AB8" s="1"/>
  <c r="P9"/>
  <c r="Q8"/>
  <c r="J7" i="81"/>
  <c r="AX11" i="1"/>
  <c r="AO9" i="7"/>
  <c r="AN9" s="1"/>
  <c r="AV13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U16" i="3"/>
  <c r="S19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E19"/>
  <c r="D19"/>
  <c r="G16" i="63"/>
  <c r="I19" i="5"/>
  <c r="C20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AK17" i="5"/>
  <c r="F17" i="65"/>
  <c r="H14" i="63"/>
  <c r="H19" i="79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9" i="79" l="1"/>
  <c r="K19" i="5"/>
  <c r="L19" s="1"/>
  <c r="Q9" i="3"/>
  <c r="AX12" i="1"/>
  <c r="J8" i="81"/>
  <c r="AO8" i="7"/>
  <c r="AN8" s="1"/>
  <c r="AV14"/>
  <c r="H9" i="81"/>
  <c r="E10" i="3"/>
  <c r="AA10" s="1"/>
  <c r="E11"/>
  <c r="AA11" s="1"/>
  <c r="F9" i="63"/>
  <c r="AC9" i="3"/>
  <c r="AE9"/>
  <c r="AF9" s="1"/>
  <c r="AG9" s="1"/>
  <c r="AK9"/>
  <c r="AH8"/>
  <c r="F11"/>
  <c r="AB11" s="1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U17" i="3"/>
  <c r="S20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G17" i="63"/>
  <c r="D20" i="5"/>
  <c r="E20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H20" i="79"/>
  <c r="AK18" i="5"/>
  <c r="H15" i="63"/>
  <c r="F18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I20" i="79" l="1"/>
  <c r="K20" i="5"/>
  <c r="L20" s="1"/>
  <c r="Q10" i="3"/>
  <c r="P11"/>
  <c r="J9" i="81"/>
  <c r="AX13" i="1"/>
  <c r="AV15" i="7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I20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U18" i="3"/>
  <c r="S21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E21"/>
  <c r="J20"/>
  <c r="L16" i="81" s="1"/>
  <c r="K16"/>
  <c r="C22" i="5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H21" i="79"/>
  <c r="AK19" i="5"/>
  <c r="H16" i="63"/>
  <c r="F19" i="65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I21" i="79" l="1"/>
  <c r="K21" i="5"/>
  <c r="Q11" i="3"/>
  <c r="P12"/>
  <c r="J10" i="81"/>
  <c r="AX14" i="1"/>
  <c r="H11" i="81"/>
  <c r="AV16" i="7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U19" i="3"/>
  <c r="S22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E22"/>
  <c r="G19" i="63"/>
  <c r="D22" i="5"/>
  <c r="J21"/>
  <c r="L17" i="81" s="1"/>
  <c r="K17"/>
  <c r="C23" i="5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F20" i="65"/>
  <c r="AK20" i="5"/>
  <c r="H17" i="63"/>
  <c r="H22" i="79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I22" i="79" l="1"/>
  <c r="K22" i="5"/>
  <c r="L22" s="1"/>
  <c r="Q12" i="3"/>
  <c r="P13"/>
  <c r="J11" i="81"/>
  <c r="AX15" i="1"/>
  <c r="AV17" i="7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E23" i="3"/>
  <c r="I22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E23"/>
  <c r="C24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L21" i="5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I23" i="79" l="1"/>
  <c r="K23" i="5"/>
  <c r="L23" s="1"/>
  <c r="Q13" i="3"/>
  <c r="P14"/>
  <c r="J12" i="81"/>
  <c r="AX16" i="1"/>
  <c r="H13" i="81"/>
  <c r="AV18" i="7"/>
  <c r="Y9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I14"/>
  <c r="AW15" i="7" s="1"/>
  <c r="N16" i="5"/>
  <c r="G10" i="81"/>
  <c r="AJ13" i="1"/>
  <c r="AK13" s="1"/>
  <c r="AS17" i="5"/>
  <c r="AY16"/>
  <c r="BB16" s="1"/>
  <c r="BE16" s="1"/>
  <c r="X14" i="3"/>
  <c r="Y13"/>
  <c r="I11" i="63"/>
  <c r="BF15" i="5"/>
  <c r="BG15" s="1"/>
  <c r="G15" i="65" s="1"/>
  <c r="AT24" i="1"/>
  <c r="AU24" s="1"/>
  <c r="I21" i="81" s="1"/>
  <c r="Y8" i="7"/>
  <c r="AR8" s="1"/>
  <c r="BC8" s="1"/>
  <c r="X7"/>
  <c r="Y13"/>
  <c r="X13" s="1"/>
  <c r="Y10"/>
  <c r="X10" s="1"/>
  <c r="H26" i="5"/>
  <c r="E24" i="3"/>
  <c r="I2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I24"/>
  <c r="D24"/>
  <c r="E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K22" i="5"/>
  <c r="H19" i="63"/>
  <c r="F22" i="65"/>
  <c r="F21"/>
  <c r="AK21" i="5"/>
  <c r="H18" i="63"/>
  <c r="AQ7" i="7"/>
  <c r="X12"/>
  <c r="AR12"/>
  <c r="Y6"/>
  <c r="I24" i="79" l="1"/>
  <c r="K24" i="5"/>
  <c r="Q14" i="3"/>
  <c r="P15"/>
  <c r="Q18"/>
  <c r="X9" i="7"/>
  <c r="D23" i="76"/>
  <c r="E23" s="1"/>
  <c r="X15" i="7"/>
  <c r="J13" i="81"/>
  <c r="AX17" i="1"/>
  <c r="AB20" i="3"/>
  <c r="AV19" i="7"/>
  <c r="H14" i="81"/>
  <c r="AU22" i="5"/>
  <c r="AZ21"/>
  <c r="BC21" s="1"/>
  <c r="X11" i="7"/>
  <c r="AR10"/>
  <c r="BC10" s="1"/>
  <c r="AR13"/>
  <c r="AS14" s="1"/>
  <c r="AX14" s="1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X15" i="3"/>
  <c r="Y14"/>
  <c r="AJ14" i="1"/>
  <c r="AK14" s="1"/>
  <c r="G11" i="81"/>
  <c r="X8" i="7"/>
  <c r="AO19"/>
  <c r="AN19" s="1"/>
  <c r="H27" i="5"/>
  <c r="E25" i="3"/>
  <c r="I24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D25"/>
  <c r="G22" i="63"/>
  <c r="E25" i="5"/>
  <c r="I2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L24" i="5"/>
  <c r="H25" i="79"/>
  <c r="H20" i="63"/>
  <c r="AK23" i="5"/>
  <c r="F23" i="65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I25" i="79" l="1"/>
  <c r="K25" i="5"/>
  <c r="Q15" i="3"/>
  <c r="P16"/>
  <c r="AA22"/>
  <c r="V22"/>
  <c r="J14" i="81"/>
  <c r="AX18" i="1"/>
  <c r="H15" i="81"/>
  <c r="AV20" i="7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X16" i="3"/>
  <c r="Y15"/>
  <c r="N17" i="1"/>
  <c r="V17" s="1"/>
  <c r="AS19" i="5"/>
  <c r="AY18"/>
  <c r="BB18" s="1"/>
  <c r="BE18" s="1"/>
  <c r="H28"/>
  <c r="AT26" i="1"/>
  <c r="AU26" s="1"/>
  <c r="I23" i="81" s="1"/>
  <c r="AO20" i="7"/>
  <c r="AN20" s="1"/>
  <c r="Y16"/>
  <c r="X16" s="1"/>
  <c r="E26" i="3"/>
  <c r="C25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E26"/>
  <c r="D26"/>
  <c r="C27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H26" i="79"/>
  <c r="AK24" i="5"/>
  <c r="H21" i="63"/>
  <c r="F24" i="65"/>
  <c r="L25" i="5"/>
  <c r="AY15" i="7"/>
  <c r="Q13" i="76"/>
  <c r="AY9" i="7"/>
  <c r="Q7" i="76"/>
  <c r="BC6" i="7"/>
  <c r="AS6"/>
  <c r="AS7"/>
  <c r="AX7" s="1"/>
  <c r="AY12"/>
  <c r="Q10" i="76"/>
  <c r="Q6"/>
  <c r="AY8" i="7"/>
  <c r="I26" i="79" l="1"/>
  <c r="K26" i="5"/>
  <c r="L26" s="1"/>
  <c r="AL26"/>
  <c r="P17" i="3"/>
  <c r="Q16"/>
  <c r="Q9" i="76"/>
  <c r="AB22" i="3"/>
  <c r="J15" i="81"/>
  <c r="AX19" i="1"/>
  <c r="AV21" i="7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X17" i="3"/>
  <c r="Y16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AR16"/>
  <c r="AS16" s="1"/>
  <c r="AX16" s="1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U24" i="3"/>
  <c r="AH21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E27"/>
  <c r="D27"/>
  <c r="G24" i="63"/>
  <c r="C28" i="5"/>
  <c r="J26"/>
  <c r="L22" i="81" s="1"/>
  <c r="K22"/>
  <c r="AS29" i="1"/>
  <c r="AQ28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R7" i="2"/>
  <c r="E23" i="6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F25" i="65"/>
  <c r="H22" i="63"/>
  <c r="AK25" i="5"/>
  <c r="AX6" i="7"/>
  <c r="Q4" i="76" s="1"/>
  <c r="AY7" i="7"/>
  <c r="Q5" i="76"/>
  <c r="AN21" i="7" l="1"/>
  <c r="I27" i="79"/>
  <c r="K27" i="5"/>
  <c r="L27" s="1"/>
  <c r="Q17" i="3"/>
  <c r="P18"/>
  <c r="P19" s="1"/>
  <c r="AX20" i="1"/>
  <c r="J16" i="81"/>
  <c r="AV22" i="7"/>
  <c r="H17" i="81"/>
  <c r="AU25" i="5"/>
  <c r="AZ24"/>
  <c r="BC24" s="1"/>
  <c r="X17" i="7"/>
  <c r="AA24" i="3"/>
  <c r="V24"/>
  <c r="AB23"/>
  <c r="Q19" i="5"/>
  <c r="M15" i="81" s="1"/>
  <c r="X18" i="3"/>
  <c r="Y17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AN22" s="1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U25" i="3"/>
  <c r="S28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G25" i="63"/>
  <c r="D28" i="5"/>
  <c r="E28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H28" i="79"/>
  <c r="AK26" i="5"/>
  <c r="F26" i="65"/>
  <c r="H23" i="63"/>
  <c r="AY6" i="7"/>
  <c r="I28" i="79" l="1"/>
  <c r="K28" i="5"/>
  <c r="L28" s="1"/>
  <c r="Q19" i="3"/>
  <c r="P20"/>
  <c r="AX21" i="1"/>
  <c r="J17" i="81"/>
  <c r="AV23" i="7"/>
  <c r="H18" i="81"/>
  <c r="AU26" i="5"/>
  <c r="AZ25"/>
  <c r="BC25" s="1"/>
  <c r="AA25" i="3"/>
  <c r="V25"/>
  <c r="AB24"/>
  <c r="Q20" i="5"/>
  <c r="M16" i="81" s="1"/>
  <c r="X19" i="3"/>
  <c r="Y18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AR18" i="7"/>
  <c r="AQ18" s="1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E29" i="5"/>
  <c r="I29"/>
  <c r="C30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E26"/>
  <c r="F27" i="65"/>
  <c r="H24" i="63"/>
  <c r="AK27" i="5"/>
  <c r="H29" i="79"/>
  <c r="I29" l="1"/>
  <c r="I30"/>
  <c r="K29" i="5"/>
  <c r="L29" s="1"/>
  <c r="Q20" i="3"/>
  <c r="P21"/>
  <c r="J18" i="81"/>
  <c r="AX22" i="1"/>
  <c r="AV24" i="7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X20" i="3"/>
  <c r="Y19"/>
  <c r="G16" i="81"/>
  <c r="AJ19" i="1"/>
  <c r="AK19" s="1"/>
  <c r="N22" i="5"/>
  <c r="AS23"/>
  <c r="AY22"/>
  <c r="BB22" s="1"/>
  <c r="BE22" s="1"/>
  <c r="I17" i="63"/>
  <c r="BF21" i="5"/>
  <c r="BG21" s="1"/>
  <c r="G21" i="65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0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AK28" i="5"/>
  <c r="H25" i="63"/>
  <c r="F28" i="65"/>
  <c r="Q21" i="3" l="1"/>
  <c r="P22"/>
  <c r="AX23" i="1"/>
  <c r="J19" i="81"/>
  <c r="H20"/>
  <c r="AV25" i="7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I18" i="63"/>
  <c r="BF22" i="5"/>
  <c r="BG22" s="1"/>
  <c r="G22" i="65" s="1"/>
  <c r="X21" i="3"/>
  <c r="X22" s="1"/>
  <c r="Y20"/>
  <c r="Y21" s="1"/>
  <c r="AT31" i="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E31" i="5"/>
  <c r="D31"/>
  <c r="I31"/>
  <c r="C32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F29" i="65"/>
  <c r="H26" i="63"/>
  <c r="AK29" i="5"/>
  <c r="H31" i="79"/>
  <c r="L30" i="5"/>
  <c r="AS21" i="7" l="1"/>
  <c r="AX21" s="1"/>
  <c r="I31" i="79"/>
  <c r="K31" i="5"/>
  <c r="L31" s="1"/>
  <c r="Q22" i="3"/>
  <c r="P23"/>
  <c r="J20" i="81"/>
  <c r="AX24" i="1"/>
  <c r="H21" i="81"/>
  <c r="AV26" i="7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X23" i="3"/>
  <c r="Y22"/>
  <c r="Y22" i="7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D32"/>
  <c r="E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3" i="2"/>
  <c r="I32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H32" i="79"/>
  <c r="AK30" i="5"/>
  <c r="F30" i="65"/>
  <c r="H27" i="63"/>
  <c r="I32" i="79" l="1"/>
  <c r="K32" i="5"/>
  <c r="L32" s="1"/>
  <c r="Q23" i="3"/>
  <c r="P24"/>
  <c r="T33" i="1"/>
  <c r="AA29" i="3"/>
  <c r="V29"/>
  <c r="AX25" i="1"/>
  <c r="J21" i="81"/>
  <c r="H22"/>
  <c r="AV27" i="7"/>
  <c r="AB28" i="3"/>
  <c r="AU30" i="5"/>
  <c r="AZ29"/>
  <c r="BC29" s="1"/>
  <c r="Q24"/>
  <c r="M20" i="81" s="1"/>
  <c r="X24" i="3"/>
  <c r="Y2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6" i="5"/>
  <c r="H35"/>
  <c r="D1"/>
  <c r="AT33" i="1"/>
  <c r="AU33" s="1"/>
  <c r="AO27" i="7"/>
  <c r="AN27" s="1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K33" i="76"/>
  <c r="N33" s="1"/>
  <c r="I32"/>
  <c r="M32" s="1"/>
  <c r="G32"/>
  <c r="D31"/>
  <c r="E31" s="1"/>
  <c r="L31"/>
  <c r="C31"/>
  <c r="U30" i="3"/>
  <c r="S3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K28" i="81"/>
  <c r="J32" i="5"/>
  <c r="L28" i="81" s="1"/>
  <c r="G30" i="63"/>
  <c r="D33" i="5"/>
  <c r="E33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X22" s="1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F32" i="82" s="1"/>
  <c r="K32" i="2"/>
  <c r="F31" i="82" s="1"/>
  <c r="I32" i="2"/>
  <c r="G31" i="82" s="1"/>
  <c r="I33" i="2"/>
  <c r="G32" i="82" s="1"/>
  <c r="J29" i="65"/>
  <c r="AI27" i="2"/>
  <c r="N29"/>
  <c r="O29" s="1"/>
  <c r="H28" i="82"/>
  <c r="E30" i="2"/>
  <c r="C27" i="63"/>
  <c r="D27" s="1"/>
  <c r="R28" i="2"/>
  <c r="E27" i="81"/>
  <c r="S29" i="76"/>
  <c r="H33" i="79"/>
  <c r="AK31" i="5"/>
  <c r="H28" i="63"/>
  <c r="F31" i="65"/>
  <c r="I33" i="79" l="1"/>
  <c r="K33" i="5"/>
  <c r="Q24" i="3"/>
  <c r="P25"/>
  <c r="T34" i="1"/>
  <c r="T35"/>
  <c r="AB29" i="3"/>
  <c r="H37" i="5"/>
  <c r="B7" i="77" s="1"/>
  <c r="J22" i="81"/>
  <c r="AX26" i="1"/>
  <c r="AV28" i="7"/>
  <c r="H23" i="81"/>
  <c r="AU31" i="5"/>
  <c r="AZ30"/>
  <c r="BC30" s="1"/>
  <c r="AA30" i="3"/>
  <c r="V30"/>
  <c r="P26" i="5"/>
  <c r="Q25"/>
  <c r="M21" i="81" s="1"/>
  <c r="X25" i="3"/>
  <c r="Y24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AT35" i="1"/>
  <c r="Y24" i="7"/>
  <c r="X24" s="1"/>
  <c r="AT34" i="1"/>
  <c r="AU34" s="1"/>
  <c r="I33" i="3"/>
  <c r="C33"/>
  <c r="Y36" i="5"/>
  <c r="Y35"/>
  <c r="J31" i="82" s="1"/>
  <c r="X23" i="7"/>
  <c r="AA26" i="76"/>
  <c r="AB26" s="1"/>
  <c r="K34"/>
  <c r="N34" s="1"/>
  <c r="N35" s="1"/>
  <c r="N36" s="1"/>
  <c r="I33"/>
  <c r="M33" s="1"/>
  <c r="L32"/>
  <c r="D32"/>
  <c r="E32" s="1"/>
  <c r="G33"/>
  <c r="C32"/>
  <c r="U31" i="3"/>
  <c r="V3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C35"/>
  <c r="D34"/>
  <c r="I34"/>
  <c r="E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AN28" s="1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AQ23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E32" i="82" s="1"/>
  <c r="M32" i="2"/>
  <c r="E31" i="82" s="1"/>
  <c r="C28" i="63"/>
  <c r="D28" s="1"/>
  <c r="S30" i="76"/>
  <c r="E28" i="81"/>
  <c r="R29" i="2"/>
  <c r="N30"/>
  <c r="O30" s="1"/>
  <c r="H29" i="82"/>
  <c r="E31" i="2"/>
  <c r="J30" i="65"/>
  <c r="AI28" i="2"/>
  <c r="H29" i="63"/>
  <c r="F32" i="65"/>
  <c r="AK32" i="5"/>
  <c r="H34" i="79"/>
  <c r="L33" i="5"/>
  <c r="I34" i="79" l="1"/>
  <c r="K34" i="5"/>
  <c r="L34" s="1"/>
  <c r="Q25" i="3"/>
  <c r="P26"/>
  <c r="AA31"/>
  <c r="V31"/>
  <c r="J23" i="81"/>
  <c r="AX27" i="1"/>
  <c r="AV29" i="7"/>
  <c r="H24" i="81"/>
  <c r="AU32" i="5"/>
  <c r="AZ31"/>
  <c r="BC31" s="1"/>
  <c r="Q26"/>
  <c r="M22" i="81" s="1"/>
  <c r="AG32" i="2"/>
  <c r="AB30" i="3"/>
  <c r="U37" i="5"/>
  <c r="I22" i="63"/>
  <c r="BG26" i="5"/>
  <c r="G26" i="65" s="1"/>
  <c r="P27" i="5"/>
  <c r="X26" i="3"/>
  <c r="Y25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BD36"/>
  <c r="AR24" i="7"/>
  <c r="BC24" s="1"/>
  <c r="I31" i="81"/>
  <c r="AU35" i="1"/>
  <c r="I32" i="81" s="1"/>
  <c r="AO29" i="7"/>
  <c r="AN29" s="1"/>
  <c r="Y25"/>
  <c r="AR25" s="1"/>
  <c r="F33" i="3"/>
  <c r="C35"/>
  <c r="J32" i="82"/>
  <c r="Y37" i="5"/>
  <c r="I34" i="76"/>
  <c r="M34" s="1"/>
  <c r="M35" s="1"/>
  <c r="M36" s="1"/>
  <c r="AA27"/>
  <c r="AB27" s="1"/>
  <c r="AA28"/>
  <c r="G34"/>
  <c r="D33"/>
  <c r="E33" s="1"/>
  <c r="L33"/>
  <c r="C34"/>
  <c r="C33"/>
  <c r="U33" i="3"/>
  <c r="AA33" s="1"/>
  <c r="U32"/>
  <c r="AC30"/>
  <c r="AH30" s="1"/>
  <c r="F30" i="63"/>
  <c r="AK30" i="3"/>
  <c r="Q32"/>
  <c r="K32"/>
  <c r="N31"/>
  <c r="Z31"/>
  <c r="AJ35" i="5"/>
  <c r="K31" i="82" s="1"/>
  <c r="AA35" i="5"/>
  <c r="AL34"/>
  <c r="W36"/>
  <c r="W35"/>
  <c r="D35"/>
  <c r="D39" s="1"/>
  <c r="I35"/>
  <c r="E35"/>
  <c r="D36"/>
  <c r="E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Q21" i="76"/>
  <c r="P29" i="7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E33"/>
  <c r="H36" i="79"/>
  <c r="H35"/>
  <c r="H30" i="63"/>
  <c r="AK33" i="5"/>
  <c r="F33" i="65"/>
  <c r="I35" i="79" l="1"/>
  <c r="K35" i="5"/>
  <c r="L35" s="1"/>
  <c r="AK35" s="1"/>
  <c r="I36" i="79"/>
  <c r="K36" i="5"/>
  <c r="A36" i="76"/>
  <c r="AB31" i="3"/>
  <c r="Q26"/>
  <c r="P27"/>
  <c r="I37" i="5"/>
  <c r="G39" s="1"/>
  <c r="J24" i="81"/>
  <c r="AX28" i="1"/>
  <c r="E38" i="5"/>
  <c r="H25" i="81"/>
  <c r="AV30" i="7"/>
  <c r="AU33" i="5"/>
  <c r="AZ32"/>
  <c r="BC32" s="1"/>
  <c r="AA32" i="3"/>
  <c r="V32"/>
  <c r="X25" i="7"/>
  <c r="N28" i="5"/>
  <c r="P28"/>
  <c r="X27" i="3"/>
  <c r="Y26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6" i="1"/>
  <c r="AU38" s="1"/>
  <c r="BC25" i="7"/>
  <c r="Y26"/>
  <c r="X26" s="1"/>
  <c r="AQ24"/>
  <c r="AS24"/>
  <c r="AO30"/>
  <c r="AN30" s="1"/>
  <c r="AB28" i="76"/>
  <c r="AA29"/>
  <c r="D34"/>
  <c r="E34" s="1"/>
  <c r="L34"/>
  <c r="L35" s="1"/>
  <c r="L36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K31" i="81"/>
  <c r="J35" i="5"/>
  <c r="L31" i="81" s="1"/>
  <c r="K32"/>
  <c r="J36" i="5"/>
  <c r="L32" i="81" s="1"/>
  <c r="B6" i="77"/>
  <c r="C38" i="5"/>
  <c r="H39" s="1"/>
  <c r="D37"/>
  <c r="O19" i="1"/>
  <c r="O5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N33"/>
  <c r="H32" i="82"/>
  <c r="AI30" i="2"/>
  <c r="J32" i="65"/>
  <c r="R31" i="2"/>
  <c r="E30" i="81"/>
  <c r="C30" i="63"/>
  <c r="D30" s="1"/>
  <c r="S32" i="76"/>
  <c r="F34" i="65"/>
  <c r="H31" i="63"/>
  <c r="AK34" i="5"/>
  <c r="Q27" i="3" l="1"/>
  <c r="P28"/>
  <c r="Q28" s="1"/>
  <c r="I38" i="5"/>
  <c r="J25" i="81"/>
  <c r="AX29" i="1"/>
  <c r="AV31" i="7"/>
  <c r="H26" i="81"/>
  <c r="I36" i="76"/>
  <c r="AU34" i="5"/>
  <c r="AZ33"/>
  <c r="BC33" s="1"/>
  <c r="AB32" i="3"/>
  <c r="D38" i="73"/>
  <c r="B16" i="77" s="1"/>
  <c r="E16" s="1"/>
  <c r="AC30" i="76"/>
  <c r="W39" s="1"/>
  <c r="K35"/>
  <c r="F4" i="77"/>
  <c r="E8" s="1"/>
  <c r="G36" i="76"/>
  <c r="C36"/>
  <c r="AL37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X28" i="3"/>
  <c r="Y27"/>
  <c r="N28" i="1"/>
  <c r="V28" s="1"/>
  <c r="P29" i="5"/>
  <c r="AS30"/>
  <c r="AY29"/>
  <c r="BB29" s="1"/>
  <c r="BE29" s="1"/>
  <c r="Q28"/>
  <c r="M24" i="81" s="1"/>
  <c r="AR26" i="7"/>
  <c r="BC26" s="1"/>
  <c r="AE28" i="76"/>
  <c r="AF28" s="1"/>
  <c r="AB30"/>
  <c r="AH31" i="3"/>
  <c r="AK32"/>
  <c r="AC32"/>
  <c r="N33"/>
  <c r="AB33" s="1"/>
  <c r="Z33"/>
  <c r="K35"/>
  <c r="U34" s="1"/>
  <c r="W31" i="76" s="1"/>
  <c r="X31" s="1"/>
  <c r="Y31" s="1"/>
  <c r="AE32" i="3"/>
  <c r="AF32" s="1"/>
  <c r="AG32" s="1"/>
  <c r="K32" i="82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I34"/>
  <c r="J34"/>
  <c r="S29"/>
  <c r="T29"/>
  <c r="R30"/>
  <c r="Q30"/>
  <c r="S33" i="76"/>
  <c r="R32" i="2"/>
  <c r="AI32" s="1"/>
  <c r="E31" i="81"/>
  <c r="C31" i="63"/>
  <c r="D31" s="1"/>
  <c r="E32" i="81"/>
  <c r="R33" i="2"/>
  <c r="AI33" s="1"/>
  <c r="S34" i="76"/>
  <c r="J33" i="65"/>
  <c r="AI31" i="2"/>
  <c r="L36" i="5"/>
  <c r="AX30" i="1" l="1"/>
  <c r="J26" i="81"/>
  <c r="AV32" i="7"/>
  <c r="H27" i="81"/>
  <c r="AU35" i="5"/>
  <c r="AZ34"/>
  <c r="BC34" s="1"/>
  <c r="AC31" i="76"/>
  <c r="O5" s="1"/>
  <c r="P5" s="1"/>
  <c r="R5" s="1"/>
  <c r="E6" i="77"/>
  <c r="F7"/>
  <c r="G37" i="76"/>
  <c r="AD28" s="1"/>
  <c r="K37"/>
  <c r="AD26" s="1"/>
  <c r="I37"/>
  <c r="AD27" s="1"/>
  <c r="E9" i="77"/>
  <c r="G9" s="1"/>
  <c r="AY24" i="7"/>
  <c r="X29" i="3"/>
  <c r="Y28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9" i="5"/>
  <c r="W42" i="76"/>
  <c r="W40"/>
  <c r="W41" s="1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AR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T34" i="76"/>
  <c r="F32" i="81" s="1"/>
  <c r="S35" i="76"/>
  <c r="AK36" i="5"/>
  <c r="J27" i="81" l="1"/>
  <c r="AX31" i="1"/>
  <c r="T5" i="76"/>
  <c r="F3" i="81" s="1"/>
  <c r="H28"/>
  <c r="AV33" i="7"/>
  <c r="F6" i="77"/>
  <c r="AU36" i="5"/>
  <c r="AZ36" s="1"/>
  <c r="AZ3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34" i="76"/>
  <c r="P34" s="1"/>
  <c r="O17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D10" i="77" s="1"/>
  <c r="E10" s="1"/>
  <c r="E12" s="1"/>
  <c r="O11" i="76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C37"/>
  <c r="AX26" i="7"/>
  <c r="AY26" s="1"/>
  <c r="AJ27" i="1"/>
  <c r="AK27" s="1"/>
  <c r="G24" i="81"/>
  <c r="X30" i="3"/>
  <c r="Y29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W43" i="76"/>
  <c r="AH33" i="3"/>
  <c r="E18" i="77"/>
  <c r="B19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Q27"/>
  <c r="BC28"/>
  <c r="AS27"/>
  <c r="AX27" s="1"/>
  <c r="BC27"/>
  <c r="P33"/>
  <c r="O33"/>
  <c r="M34"/>
  <c r="N34"/>
  <c r="Q32"/>
  <c r="R32"/>
  <c r="K35"/>
  <c r="L35"/>
  <c r="S31"/>
  <c r="T31"/>
  <c r="AX32" i="1" l="1"/>
  <c r="J28" i="81"/>
  <c r="AV34" i="7"/>
  <c r="H29" i="81"/>
  <c r="BC36" i="5"/>
  <c r="Q31"/>
  <c r="M27" i="81" s="1"/>
  <c r="AB37" i="76"/>
  <c r="AB39" s="1"/>
  <c r="Z40" s="1"/>
  <c r="AB35"/>
  <c r="AB36" s="1"/>
  <c r="AA41"/>
  <c r="AB41" s="1"/>
  <c r="AB42" s="1"/>
  <c r="O35"/>
  <c r="O36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X31" i="3"/>
  <c r="Y30"/>
  <c r="AS33" i="5"/>
  <c r="AY32"/>
  <c r="BB32" s="1"/>
  <c r="BE32" s="1"/>
  <c r="Y30" i="7"/>
  <c r="X30" s="1"/>
  <c r="AO34"/>
  <c r="AN34" s="1"/>
  <c r="P35" i="76"/>
  <c r="R4"/>
  <c r="T4" s="1"/>
  <c r="F2" i="81" s="1"/>
  <c r="G10" i="77"/>
  <c r="G12" s="1"/>
  <c r="F10"/>
  <c r="F12" s="1"/>
  <c r="AL36" i="7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J29" i="81" l="1"/>
  <c r="AX33" i="1"/>
  <c r="AV35" i="7"/>
  <c r="H30" i="81"/>
  <c r="Q32" i="5"/>
  <c r="M28" i="81" s="1"/>
  <c r="AA42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X32" i="3"/>
  <c r="Y31"/>
  <c r="AS34" i="5"/>
  <c r="AY33"/>
  <c r="BB33" s="1"/>
  <c r="BE33" s="1"/>
  <c r="G26" i="81"/>
  <c r="AJ29" i="1"/>
  <c r="AK29" s="1"/>
  <c r="AR30" i="7"/>
  <c r="AQ30" s="1"/>
  <c r="Y31"/>
  <c r="AR31" s="1"/>
  <c r="I14" i="77"/>
  <c r="H14"/>
  <c r="AO36" i="7"/>
  <c r="AN36" s="1"/>
  <c r="O36"/>
  <c r="P36"/>
  <c r="P35"/>
  <c r="O35"/>
  <c r="Q34"/>
  <c r="R34"/>
  <c r="T33"/>
  <c r="S33"/>
  <c r="AS29"/>
  <c r="AQ29"/>
  <c r="BC29"/>
  <c r="V32"/>
  <c r="W32" s="1"/>
  <c r="U32"/>
  <c r="AS31" l="1"/>
  <c r="AX31" s="1"/>
  <c r="AY31" s="1"/>
  <c r="J30" i="81"/>
  <c r="AX34" i="1"/>
  <c r="AV36" i="7"/>
  <c r="H32" i="81" s="1"/>
  <c r="H31"/>
  <c r="AX29" i="7"/>
  <c r="Q27" i="76" s="1"/>
  <c r="R27" s="1"/>
  <c r="T27" s="1"/>
  <c r="F25" i="81" s="1"/>
  <c r="Q33" i="5"/>
  <c r="M29" i="81" s="1"/>
  <c r="AI32" i="1"/>
  <c r="AW33" i="7" s="1"/>
  <c r="B32" i="65"/>
  <c r="E32" s="1"/>
  <c r="X33" i="3"/>
  <c r="Y33" s="1"/>
  <c r="Y32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AS30" i="7"/>
  <c r="AX30" s="1"/>
  <c r="Q28" i="76" s="1"/>
  <c r="R28" s="1"/>
  <c r="T28" s="1"/>
  <c r="F26" i="81" s="1"/>
  <c r="BC30" i="7"/>
  <c r="Y32"/>
  <c r="X32" s="1"/>
  <c r="BC31"/>
  <c r="X31"/>
  <c r="Q36"/>
  <c r="R36"/>
  <c r="T34"/>
  <c r="S34"/>
  <c r="AQ31"/>
  <c r="U33"/>
  <c r="V33"/>
  <c r="W33" s="1"/>
  <c r="R35"/>
  <c r="Q35"/>
  <c r="J31" i="81" l="1"/>
  <c r="AX35" i="1"/>
  <c r="J32" i="81" s="1"/>
  <c r="AY29" i="7"/>
  <c r="AJ32" i="1"/>
  <c r="AK32" s="1"/>
  <c r="G29" i="81"/>
  <c r="N34" i="1"/>
  <c r="V34" s="1"/>
  <c r="N35"/>
  <c r="V35" s="1"/>
  <c r="AI35" s="1"/>
  <c r="AW36" i="7" s="1"/>
  <c r="AS36" i="5"/>
  <c r="AY36" s="1"/>
  <c r="AY35"/>
  <c r="BB35" s="1"/>
  <c r="BE35" s="1"/>
  <c r="N36"/>
  <c r="N35"/>
  <c r="Q34"/>
  <c r="M30" i="81" s="1"/>
  <c r="AI33" i="1"/>
  <c r="B33" i="65"/>
  <c r="E33" s="1"/>
  <c r="I30" i="63"/>
  <c r="BF34" i="5"/>
  <c r="BG34" s="1"/>
  <c r="G34" i="65" s="1"/>
  <c r="P35" i="5"/>
  <c r="P36"/>
  <c r="G28" i="81"/>
  <c r="AJ31" i="1"/>
  <c r="AK31" s="1"/>
  <c r="AR32" i="7"/>
  <c r="BC32" s="1"/>
  <c r="AY30"/>
  <c r="Q29" i="76"/>
  <c r="R29" s="1"/>
  <c r="T29" s="1"/>
  <c r="F27" i="81" s="1"/>
  <c r="Y33" i="7"/>
  <c r="AR33" s="1"/>
  <c r="V34"/>
  <c r="W34" s="1"/>
  <c r="U34"/>
  <c r="S36"/>
  <c r="T36"/>
  <c r="T35"/>
  <c r="S35"/>
  <c r="BB36" i="5" l="1"/>
  <c r="BE36" s="1"/>
  <c r="BF36" s="1"/>
  <c r="BG36" s="1"/>
  <c r="Q35"/>
  <c r="Q37" s="1"/>
  <c r="O38" s="1"/>
  <c r="AI34" i="1"/>
  <c r="AW35" i="7" s="1"/>
  <c r="B34" i="65"/>
  <c r="E34" s="1"/>
  <c r="AW34" i="7"/>
  <c r="G32" i="81"/>
  <c r="AJ35" i="1"/>
  <c r="AK35" s="1"/>
  <c r="I31" i="63"/>
  <c r="BF35" i="5"/>
  <c r="BG35" s="1"/>
  <c r="Q36"/>
  <c r="M32" i="81" s="1"/>
  <c r="AS32" i="7"/>
  <c r="AQ32"/>
  <c r="X33"/>
  <c r="Y34"/>
  <c r="AR34" s="1"/>
  <c r="AS33"/>
  <c r="AX33" s="1"/>
  <c r="AQ33"/>
  <c r="U36"/>
  <c r="V36"/>
  <c r="W36" s="1"/>
  <c r="U35"/>
  <c r="V35"/>
  <c r="W35" s="1"/>
  <c r="BC33"/>
  <c r="AX32" l="1"/>
  <c r="AY32" s="1"/>
  <c r="M31" i="81"/>
  <c r="Y35" i="7"/>
  <c r="AR35" s="1"/>
  <c r="BC35" s="1"/>
  <c r="AI37" i="1"/>
  <c r="AJ34"/>
  <c r="AK34" s="1"/>
  <c r="G31" i="81"/>
  <c r="AJ33" i="1"/>
  <c r="AK33" s="1"/>
  <c r="G30" i="81"/>
  <c r="Y36" i="7"/>
  <c r="X36" s="1"/>
  <c r="X34"/>
  <c r="AQ34"/>
  <c r="AS34"/>
  <c r="AX34" s="1"/>
  <c r="AY33"/>
  <c r="Q31" i="76"/>
  <c r="R31" s="1"/>
  <c r="T31" s="1"/>
  <c r="F29" i="81" s="1"/>
  <c r="BC34" i="7"/>
  <c r="Q30" i="76" l="1"/>
  <c r="R30" s="1"/>
  <c r="T30" s="1"/>
  <c r="F28" i="81" s="1"/>
  <c r="X35" i="7"/>
  <c r="AR36"/>
  <c r="AS36" s="1"/>
  <c r="Q32" i="76"/>
  <c r="R32" s="1"/>
  <c r="T32" s="1"/>
  <c r="F30" i="81" s="1"/>
  <c r="AY34" i="7"/>
  <c r="AQ35"/>
  <c r="AS35"/>
  <c r="AX35" s="1"/>
  <c r="AS40" l="1"/>
  <c r="AQ36"/>
  <c r="AX36"/>
  <c r="AY35"/>
  <c r="Q33" i="76"/>
  <c r="R33" s="1"/>
  <c r="T33" s="1"/>
  <c r="F31" i="81" s="1"/>
  <c r="AY36" i="7" l="1"/>
  <c r="AY37" s="1"/>
  <c r="Q34" i="76"/>
  <c r="AX37" i="7"/>
  <c r="Z41" i="76" s="1"/>
  <c r="Z42" s="1"/>
  <c r="Z44" s="1"/>
  <c r="R34" l="1"/>
  <c r="R35" s="1"/>
  <c r="Q35"/>
  <c r="O6" i="79" l="1"/>
  <c r="K6" i="5" l="1"/>
  <c r="L7" s="1"/>
  <c r="L37" s="1"/>
  <c r="AK37" s="1"/>
  <c r="F7" i="65" l="1"/>
  <c r="H4" i="63"/>
  <c r="AK7" i="5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  <author>amjad.abouhassan</author>
  </authors>
  <commentList>
    <comment ref="S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need to review consumption </t>
        </r>
      </text>
    </comment>
    <comment ref="E24" authorId="1">
      <text>
        <r>
          <rPr>
            <b/>
            <sz val="9"/>
            <color indexed="81"/>
            <rFont val="Tahoma"/>
            <charset val="1"/>
          </rPr>
          <t>amjad.abouhassan:</t>
        </r>
        <r>
          <rPr>
            <sz val="9"/>
            <color indexed="81"/>
            <rFont val="Tahoma"/>
            <charset val="1"/>
          </rPr>
          <t xml:space="preserve">
index was not recorded 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  <author>hussein.saleh</author>
  </authors>
  <commentList>
    <comment ref="G19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<sst xmlns="http://schemas.openxmlformats.org/spreadsheetml/2006/main" count="652" uniqueCount="414">
  <si>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</si>
  <si>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</si>
  <si>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</si>
  <si>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</si>
  <si>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</si>
  <si>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</si>
  <si>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</si>
  <si>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</si>
  <si>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</si>
  <si>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</si>
  <si>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</si>
  <si>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</si>
  <si>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</si>
  <si>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</si>
  <si>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</si>
  <si>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</si>
  <si>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</si>
  <si>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</si>
  <si>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</si>
  <si>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</si>
  <si>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</si>
  <si>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</si>
  <si>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</si>
  <si>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</si>
  <si>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</si>
  <si>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</si>
  <si>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</si>
  <si>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</si>
  <si>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</si>
  <si>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</si>
  <si>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</si>
  <si>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</si>
  <si>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</si>
  <si>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</si>
  <si>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</si>
  <si>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</si>
  <si>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</si>
  <si>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</si>
  <si>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</si>
  <si>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</si>
  <si>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</si>
  <si>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</si>
  <si>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</si>
  <si>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</si>
  <si>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</si>
  <si>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</si>
  <si>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</si>
  <si>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</si>
  <si>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</si>
  <si>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</si>
  <si>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</si>
  <si>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</si>
  <si>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</si>
  <si>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</si>
  <si>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</si>
  <si>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</si>
  <si>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</si>
  <si>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</si>
  <si>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</si>
  <si>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</si>
  <si>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</si>
  <si>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</si>
  <si>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</si>
  <si>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</si>
  <si>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</si>
  <si>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</si>
  <si>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</si>
  <si>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</si>
  <si>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</si>
  <si>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</si>
  <si>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</si>
  <si>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</si>
  <si>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</si>
  <si>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</si>
  <si>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</si>
  <si>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</si>
  <si>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</si>
  <si>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</si>
  <si>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</si>
  <si>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</si>
  <si>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</si>
  <si>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</si>
  <si>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</si>
  <si>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</si>
  <si>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</si>
  <si>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</si>
  <si>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</si>
  <si>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</si>
  <si>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</si>
  <si>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</si>
  <si>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</si>
  <si>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</si>
  <si>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</si>
  <si>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</si>
  <si>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</si>
  <si>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</si>
  <si>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</si>
  <si>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</si>
  <si>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</si>
  <si>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</si>
  <si>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</si>
  <si>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</si>
  <si>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</si>
  <si>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</si>
  <si>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</si>
  <si>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</si>
  <si>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</si>
  <si>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</si>
  <si>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</si>
  <si>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</si>
  <si>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</si>
  <si>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</si>
  <si>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</si>
  <si>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</si>
  <si>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</si>
  <si>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</si>
  <si>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</si>
  <si>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</si>
  <si>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</si>
  <si>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</si>
  <si>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</si>
  <si>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</si>
  <si>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</si>
  <si>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</si>
  <si>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</si>
  <si>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</si>
  <si>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</si>
  <si>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</si>
  <si>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</si>
  <si>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</si>
  <si>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</si>
  <si>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</si>
  <si>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</si>
  <si>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</si>
  <si>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</si>
  <si>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</si>
  <si>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</si>
  <si>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</si>
  <si>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</si>
  <si>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</si>
  <si>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</si>
  <si>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</si>
  <si>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</si>
  <si>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</si>
  <si>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</si>
  <si>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</si>
  <si>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</si>
  <si>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</si>
  <si>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</si>
  <si>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</si>
  <si>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</si>
  <si>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</si>
  <si>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</si>
  <si>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</si>
  <si>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</si>
  <si>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</si>
  <si>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</si>
  <si>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</si>
  <si>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</si>
  <si>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</si>
  <si>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</si>
  <si>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</si>
  <si>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</si>
  <si>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</si>
  <si>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</si>
  <si>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</si>
  <si>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</si>
  <si>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</si>
  <si>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</si>
  <si>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</si>
  <si>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</si>
  <si>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</si>
  <si>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</si>
  <si>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</si>
  <si>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</si>
  <si>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</si>
  <si>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</si>
  <si>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</si>
  <si>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</si>
  <si>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</si>
  <si>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</si>
  <si>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</si>
  <si>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</si>
  <si>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</si>
  <si>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</si>
  <si>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</si>
  <si>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</si>
  <si>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</si>
  <si>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</si>
  <si>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</si>
  <si>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</si>
  <si>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</si>
  <si>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</si>
  <si>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</si>
  <si>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</si>
  <si>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</si>
  <si>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</si>
  <si>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</si>
  <si>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</si>
  <si>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</si>
  <si>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</si>
  <si>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</si>
  <si>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</si>
  <si>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</si>
  <si>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</si>
  <si>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</si>
  <si>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</si>
  <si>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</si>
  <si>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</si>
  <si>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</si>
  <si>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</si>
  <si>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</si>
  <si>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</si>
  <si>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</si>
  <si>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</si>
  <si>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</si>
  <si>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</si>
  <si>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</si>
  <si>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</si>
  <si>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</si>
  <si>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</si>
  <si>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</si>
  <si>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</si>
  <si>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</si>
  <si>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</si>
  <si>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</si>
  <si>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</si>
  <si>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</si>
  <si>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</si>
  <si>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</si>
  <si>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</si>
  <si>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</si>
  <si>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</si>
  <si>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</si>
  <si>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</si>
  <si>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</si>
  <si>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</si>
  <si>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</si>
  <si>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</si>
  <si>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</si>
  <si>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</si>
  <si>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</si>
  <si>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</si>
  <si>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</si>
  <si>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</si>
  <si>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</si>
  <si>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</si>
  <si>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</si>
  <si>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</si>
  <si>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</si>
  <si>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</si>
  <si>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</si>
  <si>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</si>
  <si>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</si>
  <si>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</si>
  <si>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</si>
  <si>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</si>
  <si>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</si>
  <si>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</si>
  <si>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</si>
  <si>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</si>
  <si>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</si>
  <si>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</si>
  <si>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</si>
  <si>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</si>
  <si>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</si>
  <si>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</si>
  <si>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</si>
  <si>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</si>
  <si>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</si>
  <si>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</si>
  <si>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</si>
  <si>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</si>
  <si>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</si>
  <si>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</si>
  <si>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</si>
  <si>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</si>
  <si>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</si>
  <si>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</si>
  <si>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</si>
  <si>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</si>
  <si>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</si>
  <si>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</si>
  <si>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</si>
  <si>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</si>
  <si>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</si>
  <si>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</si>
  <si>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</si>
  <si>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</si>
  <si>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</si>
  <si>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</si>
  <si>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</si>
  <si>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</si>
  <si>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</si>
  <si>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</si>
  <si>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</si>
  <si>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</si>
  <si>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</si>
  <si>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</si>
  <si>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</si>
  <si>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</si>
  <si>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</si>
  <si>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</si>
  <si>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</si>
  <si>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</si>
  <si>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</si>
  <si>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</si>
  <si>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</si>
  <si>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</si>
  <si>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</si>
  <si>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</si>
  <si>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</si>
  <si>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</si>
  <si>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</si>
  <si>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</si>
  <si>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</si>
  <si>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</si>
  <si>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</si>
  <si>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</si>
  <si>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</si>
  <si>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</si>
  <si>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</si>
  <si>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</si>
  <si>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</si>
  <si>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</si>
  <si>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</si>
  <si>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</si>
  <si>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</si>
  <si>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</si>
  <si>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</si>
  <si>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</si>
  <si>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</si>
  <si>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</si>
  <si>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</si>
  <si>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</si>
  <si>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</si>
  <si>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</si>
  <si>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</si>
  <si>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</si>
  <si>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</si>
  <si>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</si>
  <si>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</si>
  <si>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</si>
  <si>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</si>
  <si>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</si>
  <si>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</si>
  <si>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</si>
  <si>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</si>
  <si>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</si>
  <si>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</si>
  <si>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</si>
  <si>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</si>
  <si>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</si>
  <si>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</si>
  <si>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</si>
  <si>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</si>
  <si>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</si>
  <si>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</si>
  <si>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</si>
  <si>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</si>
  <si>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</si>
  <si>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</si>
  <si>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</si>
  <si>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</si>
  <si>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</si>
  <si>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</si>
  <si>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</si>
  <si>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</si>
  <si>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</si>
  <si>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</si>
  <si>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</si>
  <si>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</si>
  <si>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</si>
  <si>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</si>
  <si>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</si>
  <si>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</si>
  <si>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</si>
  <si>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</si>
  <si>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</si>
  <si>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</si>
  <si>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</si>
  <si>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</si>
  <si>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</si>
  <si>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</si>
  <si>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</si>
  <si>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</si>
  <si>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</si>
  <si>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</si>
  <si>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</si>
  <si>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</si>
  <si>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</si>
  <si>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</si>
  <si>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</si>
  <si>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</si>
  <si>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</si>
  <si>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</si>
  <si>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</si>
  <si>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</si>
  <si>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</si>
  <si>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</si>
  <si>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</si>
  <si>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</si>
  <si>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</si>
  <si>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</si>
  <si>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</si>
  <si>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</si>
  <si>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</si>
  <si>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</si>
  <si>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</si>
  <si>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</si>
  <si>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</si>
  <si>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</si>
  <si>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31-12-2019</t>
  </si>
  <si>
    <t>( Heating Degree Days / Cooling Degree Days ) 2020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</si>
</sst>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7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0" fillId="0" borderId="66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0" fontId="0" fillId="0" borderId="1" xfId="0" applyFill="1" applyBorder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69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70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172" fontId="0" fillId="0" borderId="6" xfId="0" applyNumberFormat="1" applyBorder="1" applyAlignment="1">
      <alignment horizontal="center" vertical="center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43" fontId="0" fillId="0" borderId="0" xfId="0" applyNumberFormat="1" applyBorder="1"/>
    <xf numFmtId="0" fontId="21" fillId="3" borderId="71" xfId="0" applyNumberFormat="1" applyFont="1" applyFill="1" applyBorder="1" applyAlignment="1">
      <alignment vertical="top" wrapText="1"/>
    </xf>
    <xf numFmtId="4" fontId="21" fillId="3" borderId="71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0" fontId="0" fillId="0" borderId="1" xfId="0" applyFill="1" applyBorder="1" applyAlignment="1">
      <alignment horizontal="center" vertical="center" wrapText="1"/>
    </xf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0" fontId="18" fillId="0" borderId="1" xfId="4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/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7" xfId="0" applyFont="1" applyBorder="1"/>
    <xf numFmtId="0" fontId="0" fillId="0" borderId="18" xfId="0" applyFont="1" applyBorder="1" applyAlignment="1"/>
    <xf numFmtId="0" fontId="0" fillId="0" borderId="17" xfId="0" applyBorder="1"/>
    <xf numFmtId="0" fontId="0" fillId="0" borderId="50" xfId="0" applyBorder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29" fillId="0" borderId="54" xfId="0" applyFont="1" applyBorder="1" applyAlignment="1">
      <alignment horizontal="center"/>
    </xf>
    <xf numFmtId="0" fontId="0" fillId="0" borderId="1" xfId="0" applyBorder="1" applyAlignment="1"/>
    <xf numFmtId="9" fontId="0" fillId="0" borderId="1" xfId="4" applyFont="1" applyBorder="1" applyAlignment="1">
      <alignment horizontal="center"/>
    </xf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18" fillId="25" borderId="1" xfId="4" applyFont="1" applyFill="1" applyBorder="1"/>
    <xf numFmtId="179" fontId="0" fillId="0" borderId="1" xfId="0" applyNumberFormat="1" applyBorder="1" applyAlignment="1"/>
    <xf numFmtId="0" fontId="0" fillId="24" borderId="1" xfId="0" applyFill="1" applyBorder="1" applyAlignment="1"/>
    <xf numFmtId="180" fontId="0" fillId="0" borderId="1" xfId="0" applyNumberFormat="1" applyBorder="1" applyAlignment="1"/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3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2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6"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16085</c:v>
                </c:pt>
                <c:pt idx="1">
                  <c:v>14239</c:v>
                </c:pt>
                <c:pt idx="2">
                  <c:v>15103</c:v>
                </c:pt>
                <c:pt idx="3">
                  <c:v>15173</c:v>
                </c:pt>
                <c:pt idx="4">
                  <c:v>15817</c:v>
                </c:pt>
                <c:pt idx="5">
                  <c:v>12909</c:v>
                </c:pt>
                <c:pt idx="6">
                  <c:v>13138</c:v>
                </c:pt>
                <c:pt idx="7">
                  <c:v>12872</c:v>
                </c:pt>
                <c:pt idx="8">
                  <c:v>12536.399999999907</c:v>
                </c:pt>
                <c:pt idx="9">
                  <c:v>13631.600000000093</c:v>
                </c:pt>
                <c:pt idx="10">
                  <c:v>13062.799999999814</c:v>
                </c:pt>
                <c:pt idx="11">
                  <c:v>14011.200000000186</c:v>
                </c:pt>
                <c:pt idx="12">
                  <c:v>14175</c:v>
                </c:pt>
                <c:pt idx="13">
                  <c:v>12801</c:v>
                </c:pt>
                <c:pt idx="14">
                  <c:v>12578</c:v>
                </c:pt>
                <c:pt idx="15">
                  <c:v>12879</c:v>
                </c:pt>
                <c:pt idx="16">
                  <c:v>11369.399999999907</c:v>
                </c:pt>
                <c:pt idx="17">
                  <c:v>14249.600000000093</c:v>
                </c:pt>
                <c:pt idx="18">
                  <c:v>11144</c:v>
                </c:pt>
                <c:pt idx="19">
                  <c:v>9036</c:v>
                </c:pt>
                <c:pt idx="20">
                  <c:v>11900</c:v>
                </c:pt>
                <c:pt idx="21">
                  <c:v>11369.200000000186</c:v>
                </c:pt>
                <c:pt idx="22">
                  <c:v>10970</c:v>
                </c:pt>
                <c:pt idx="23">
                  <c:v>10672.799999999814</c:v>
                </c:pt>
                <c:pt idx="24">
                  <c:v>12121</c:v>
                </c:pt>
                <c:pt idx="25">
                  <c:v>8971</c:v>
                </c:pt>
                <c:pt idx="26">
                  <c:v>11669.600000000093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37935488"/>
        <c:axId val="137720192"/>
      </c:lineChart>
      <c:catAx>
        <c:axId val="137935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720192"/>
        <c:crosses val="autoZero"/>
        <c:auto val="1"/>
        <c:lblAlgn val="ctr"/>
        <c:lblOffset val="100"/>
      </c:catAx>
      <c:valAx>
        <c:axId val="1377201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3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208"/>
          <c:w val="0.11899800868449698"/>
          <c:h val="4.498269896194058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3986</c:v>
                </c:pt>
                <c:pt idx="19">
                  <c:v>4088</c:v>
                </c:pt>
                <c:pt idx="20">
                  <c:v>5052</c:v>
                </c:pt>
                <c:pt idx="21">
                  <c:v>4766</c:v>
                </c:pt>
                <c:pt idx="22">
                  <c:v>4907</c:v>
                </c:pt>
                <c:pt idx="23">
                  <c:v>4790</c:v>
                </c:pt>
                <c:pt idx="24">
                  <c:v>4448</c:v>
                </c:pt>
                <c:pt idx="25">
                  <c:v>4646</c:v>
                </c:pt>
                <c:pt idx="26">
                  <c:v>5263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7744768"/>
        <c:axId val="137746304"/>
      </c:lineChart>
      <c:catAx>
        <c:axId val="137744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746304"/>
        <c:crosses val="autoZero"/>
        <c:auto val="1"/>
        <c:lblAlgn val="ctr"/>
        <c:lblOffset val="100"/>
      </c:catAx>
      <c:valAx>
        <c:axId val="137746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74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068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0.42599999999999999</c:v>
                </c:pt>
                <c:pt idx="1">
                  <c:v>0.33479999999999999</c:v>
                </c:pt>
                <c:pt idx="2">
                  <c:v>0.2782</c:v>
                </c:pt>
                <c:pt idx="3">
                  <c:v>0.21299999999999999</c:v>
                </c:pt>
                <c:pt idx="4">
                  <c:v>0.16089999999999999</c:v>
                </c:pt>
                <c:pt idx="5">
                  <c:v>0.16520000000000001</c:v>
                </c:pt>
                <c:pt idx="6">
                  <c:v>0.23480000000000001</c:v>
                </c:pt>
                <c:pt idx="7">
                  <c:v>0.23400000000000001</c:v>
                </c:pt>
                <c:pt idx="8">
                  <c:v>0.2087</c:v>
                </c:pt>
                <c:pt idx="9">
                  <c:v>0.2</c:v>
                </c:pt>
                <c:pt idx="10">
                  <c:v>0.1696</c:v>
                </c:pt>
                <c:pt idx="11">
                  <c:v>0.1739</c:v>
                </c:pt>
                <c:pt idx="12">
                  <c:v>0.18260000000000001</c:v>
                </c:pt>
                <c:pt idx="13">
                  <c:v>0.2087</c:v>
                </c:pt>
                <c:pt idx="14">
                  <c:v>0.2261</c:v>
                </c:pt>
                <c:pt idx="15">
                  <c:v>0.2261</c:v>
                </c:pt>
                <c:pt idx="16">
                  <c:v>0.1739</c:v>
                </c:pt>
                <c:pt idx="17">
                  <c:v>9.5699999999999993E-2</c:v>
                </c:pt>
                <c:pt idx="18">
                  <c:v>9.1300000000000006E-2</c:v>
                </c:pt>
                <c:pt idx="19">
                  <c:v>0.1087</c:v>
                </c:pt>
                <c:pt idx="20">
                  <c:v>0.1217</c:v>
                </c:pt>
                <c:pt idx="21">
                  <c:v>0.13</c:v>
                </c:pt>
                <c:pt idx="22">
                  <c:v>0.14779999999999999</c:v>
                </c:pt>
                <c:pt idx="23">
                  <c:v>0.113</c:v>
                </c:pt>
                <c:pt idx="24">
                  <c:v>0.1</c:v>
                </c:pt>
                <c:pt idx="25">
                  <c:v>6.9599999999999995E-2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9130496"/>
        <c:axId val="89132032"/>
      </c:lineChart>
      <c:catAx>
        <c:axId val="89130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32032"/>
        <c:crosses val="autoZero"/>
        <c:auto val="1"/>
        <c:lblAlgn val="ctr"/>
        <c:lblOffset val="100"/>
      </c:catAx>
      <c:valAx>
        <c:axId val="891320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30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0675"/>
          <c:y val="0.6297588752963208"/>
          <c:w val="7.9124755870162669E-2"/>
          <c:h val="4.498269896194058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97.98</c:v>
                </c:pt>
                <c:pt idx="1">
                  <c:v>77.003999999999991</c:v>
                </c:pt>
                <c:pt idx="2">
                  <c:v>63.986000000000004</c:v>
                </c:pt>
                <c:pt idx="3">
                  <c:v>48.99</c:v>
                </c:pt>
                <c:pt idx="4">
                  <c:v>37.006999999999998</c:v>
                </c:pt>
                <c:pt idx="5">
                  <c:v>37.996000000000002</c:v>
                </c:pt>
                <c:pt idx="6">
                  <c:v>54.004000000000005</c:v>
                </c:pt>
                <c:pt idx="7">
                  <c:v>53.82</c:v>
                </c:pt>
                <c:pt idx="8">
                  <c:v>48.000999999999998</c:v>
                </c:pt>
                <c:pt idx="9">
                  <c:v>46</c:v>
                </c:pt>
                <c:pt idx="10">
                  <c:v>39.008000000000003</c:v>
                </c:pt>
                <c:pt idx="11">
                  <c:v>39.997</c:v>
                </c:pt>
                <c:pt idx="12">
                  <c:v>41.998000000000005</c:v>
                </c:pt>
                <c:pt idx="13">
                  <c:v>48.000999999999998</c:v>
                </c:pt>
                <c:pt idx="14">
                  <c:v>52.003</c:v>
                </c:pt>
                <c:pt idx="15">
                  <c:v>52.003</c:v>
                </c:pt>
                <c:pt idx="16">
                  <c:v>39.997</c:v>
                </c:pt>
                <c:pt idx="17">
                  <c:v>22.010999999999999</c:v>
                </c:pt>
                <c:pt idx="18">
                  <c:v>20.999000000000002</c:v>
                </c:pt>
                <c:pt idx="19">
                  <c:v>25.001000000000001</c:v>
                </c:pt>
                <c:pt idx="20">
                  <c:v>27.991</c:v>
                </c:pt>
                <c:pt idx="21">
                  <c:v>29.900000000000002</c:v>
                </c:pt>
                <c:pt idx="22">
                  <c:v>33.994</c:v>
                </c:pt>
                <c:pt idx="23">
                  <c:v>25.990000000000002</c:v>
                </c:pt>
                <c:pt idx="24">
                  <c:v>23</c:v>
                </c:pt>
                <c:pt idx="25">
                  <c:v>16.007999999999999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9180800"/>
        <c:axId val="89186688"/>
      </c:lineChart>
      <c:catAx>
        <c:axId val="8918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86688"/>
        <c:crosses val="autoZero"/>
        <c:auto val="1"/>
        <c:lblAlgn val="ctr"/>
        <c:lblOffset val="100"/>
      </c:catAx>
      <c:valAx>
        <c:axId val="891866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8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411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156.14285714285714</c:v>
                </c:pt>
                <c:pt idx="1">
                  <c:v>160.25</c:v>
                </c:pt>
                <c:pt idx="2">
                  <c:v>158</c:v>
                </c:pt>
                <c:pt idx="3">
                  <c:v>222.8</c:v>
                </c:pt>
                <c:pt idx="4">
                  <c:v>195.42857142857142</c:v>
                </c:pt>
                <c:pt idx="5">
                  <c:v>154.33333333333334</c:v>
                </c:pt>
                <c:pt idx="6">
                  <c:v>181.2</c:v>
                </c:pt>
                <c:pt idx="7">
                  <c:v>137.33333333333334</c:v>
                </c:pt>
                <c:pt idx="8">
                  <c:v>220</c:v>
                </c:pt>
                <c:pt idx="9">
                  <c:v>148.19999999999999</c:v>
                </c:pt>
                <c:pt idx="10">
                  <c:v>205.5</c:v>
                </c:pt>
                <c:pt idx="11">
                  <c:v>154.66666666666666</c:v>
                </c:pt>
                <c:pt idx="12">
                  <c:v>182.75</c:v>
                </c:pt>
                <c:pt idx="13">
                  <c:v>279</c:v>
                </c:pt>
                <c:pt idx="14">
                  <c:v>211.33333333333334</c:v>
                </c:pt>
                <c:pt idx="15">
                  <c:v>163.66666666666666</c:v>
                </c:pt>
                <c:pt idx="16">
                  <c:v>246.66666666666666</c:v>
                </c:pt>
                <c:pt idx="17">
                  <c:v>317</c:v>
                </c:pt>
                <c:pt idx="18">
                  <c:v>0</c:v>
                </c:pt>
                <c:pt idx="19">
                  <c:v>92.4</c:v>
                </c:pt>
                <c:pt idx="20">
                  <c:v>194.33333333333334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226</c:v>
                </c:pt>
                <c:pt idx="25">
                  <c:v>249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9223168"/>
        <c:axId val="89224704"/>
      </c:lineChart>
      <c:catAx>
        <c:axId val="89223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24704"/>
        <c:crosses val="autoZero"/>
        <c:auto val="1"/>
        <c:lblAlgn val="ctr"/>
        <c:lblOffset val="100"/>
      </c:catAx>
      <c:valAx>
        <c:axId val="892247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23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417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8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9421312"/>
        <c:axId val="89422848"/>
      </c:lineChart>
      <c:catAx>
        <c:axId val="89421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22848"/>
        <c:crosses val="autoZero"/>
        <c:auto val="1"/>
        <c:lblAlgn val="ctr"/>
        <c:lblOffset val="100"/>
      </c:catAx>
      <c:valAx>
        <c:axId val="89422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2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79</c:v>
                </c:pt>
                <c:pt idx="7">
                  <c:v>0</c:v>
                </c:pt>
                <c:pt idx="8">
                  <c:v>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9447040"/>
        <c:axId val="89448832"/>
      </c:lineChart>
      <c:catAx>
        <c:axId val="8944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48832"/>
        <c:crosses val="autoZero"/>
        <c:auto val="1"/>
        <c:lblAlgn val="ctr"/>
        <c:lblOffset val="100"/>
      </c:catAx>
      <c:valAx>
        <c:axId val="89448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4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19</c:v>
                </c:pt>
                <c:pt idx="1">
                  <c:v>236</c:v>
                </c:pt>
                <c:pt idx="2">
                  <c:v>0</c:v>
                </c:pt>
                <c:pt idx="3">
                  <c:v>288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182</c:v>
                </c:pt>
                <c:pt idx="8">
                  <c:v>0</c:v>
                </c:pt>
                <c:pt idx="9">
                  <c:v>343</c:v>
                </c:pt>
                <c:pt idx="10">
                  <c:v>0</c:v>
                </c:pt>
                <c:pt idx="11">
                  <c:v>737</c:v>
                </c:pt>
                <c:pt idx="12">
                  <c:v>0</c:v>
                </c:pt>
                <c:pt idx="13">
                  <c:v>89</c:v>
                </c:pt>
                <c:pt idx="14">
                  <c:v>0</c:v>
                </c:pt>
                <c:pt idx="15">
                  <c:v>343</c:v>
                </c:pt>
                <c:pt idx="16">
                  <c:v>0</c:v>
                </c:pt>
                <c:pt idx="17">
                  <c:v>375</c:v>
                </c:pt>
                <c:pt idx="18">
                  <c:v>0</c:v>
                </c:pt>
                <c:pt idx="19">
                  <c:v>310</c:v>
                </c:pt>
                <c:pt idx="20">
                  <c:v>0</c:v>
                </c:pt>
                <c:pt idx="21">
                  <c:v>19</c:v>
                </c:pt>
                <c:pt idx="22">
                  <c:v>0</c:v>
                </c:pt>
                <c:pt idx="23">
                  <c:v>364</c:v>
                </c:pt>
                <c:pt idx="24">
                  <c:v>0</c:v>
                </c:pt>
                <c:pt idx="25">
                  <c:v>339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9456000"/>
        <c:axId val="89552000"/>
      </c:lineChart>
      <c:catAx>
        <c:axId val="8945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52000"/>
        <c:crosses val="autoZero"/>
        <c:auto val="1"/>
        <c:lblAlgn val="ctr"/>
        <c:lblOffset val="100"/>
      </c:catAx>
      <c:valAx>
        <c:axId val="89552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5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13.5</c:v>
                </c:pt>
                <c:pt idx="18">
                  <c:v>14</c:v>
                </c:pt>
                <c:pt idx="19">
                  <c:v>12.5</c:v>
                </c:pt>
                <c:pt idx="20">
                  <c:v>11</c:v>
                </c:pt>
                <c:pt idx="21">
                  <c:v>12</c:v>
                </c:pt>
                <c:pt idx="22">
                  <c:v>10</c:v>
                </c:pt>
                <c:pt idx="23">
                  <c:v>11</c:v>
                </c:pt>
                <c:pt idx="24">
                  <c:v>13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9797376"/>
        <c:axId val="89798912"/>
      </c:lineChart>
      <c:catAx>
        <c:axId val="8979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98912"/>
        <c:crosses val="autoZero"/>
        <c:auto val="1"/>
        <c:lblAlgn val="ctr"/>
        <c:lblOffset val="100"/>
      </c:catAx>
      <c:valAx>
        <c:axId val="897989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9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6435"/>
          <c:w val="0.1272403315177094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8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9</c:v>
                </c:pt>
                <c:pt idx="13">
                  <c:v>3</c:v>
                </c:pt>
                <c:pt idx="14">
                  <c:v>4</c:v>
                </c:pt>
                <c:pt idx="15">
                  <c:v>6</c:v>
                </c:pt>
                <c:pt idx="16">
                  <c:v>4</c:v>
                </c:pt>
                <c:pt idx="17">
                  <c:v>8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9819008"/>
        <c:axId val="89820544"/>
      </c:lineChart>
      <c:catAx>
        <c:axId val="8981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20544"/>
        <c:crosses val="autoZero"/>
        <c:auto val="1"/>
        <c:lblAlgn val="ctr"/>
        <c:lblOffset val="100"/>
      </c:catAx>
      <c:valAx>
        <c:axId val="89820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1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172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1284.7999999999884</c:v>
                </c:pt>
                <c:pt idx="1">
                  <c:v>1458</c:v>
                </c:pt>
                <c:pt idx="2">
                  <c:v>1092.2999999999884</c:v>
                </c:pt>
                <c:pt idx="3">
                  <c:v>1325.9000000000233</c:v>
                </c:pt>
                <c:pt idx="4">
                  <c:v>944</c:v>
                </c:pt>
                <c:pt idx="5">
                  <c:v>1107.7000000000116</c:v>
                </c:pt>
                <c:pt idx="6">
                  <c:v>607</c:v>
                </c:pt>
                <c:pt idx="7">
                  <c:v>1019.2999999999884</c:v>
                </c:pt>
                <c:pt idx="8">
                  <c:v>816</c:v>
                </c:pt>
                <c:pt idx="9">
                  <c:v>853</c:v>
                </c:pt>
                <c:pt idx="10">
                  <c:v>1461.7999999999884</c:v>
                </c:pt>
                <c:pt idx="11">
                  <c:v>728</c:v>
                </c:pt>
                <c:pt idx="12">
                  <c:v>543</c:v>
                </c:pt>
                <c:pt idx="13">
                  <c:v>749</c:v>
                </c:pt>
                <c:pt idx="14">
                  <c:v>886.59999999997672</c:v>
                </c:pt>
                <c:pt idx="15">
                  <c:v>762.60000000003492</c:v>
                </c:pt>
                <c:pt idx="16">
                  <c:v>484</c:v>
                </c:pt>
                <c:pt idx="17">
                  <c:v>1027.0999999999767</c:v>
                </c:pt>
                <c:pt idx="18">
                  <c:v>566</c:v>
                </c:pt>
                <c:pt idx="19">
                  <c:v>468</c:v>
                </c:pt>
                <c:pt idx="20">
                  <c:v>555</c:v>
                </c:pt>
                <c:pt idx="21">
                  <c:v>1314.7000000000116</c:v>
                </c:pt>
                <c:pt idx="22">
                  <c:v>579</c:v>
                </c:pt>
                <c:pt idx="23">
                  <c:v>646</c:v>
                </c:pt>
                <c:pt idx="24">
                  <c:v>1096</c:v>
                </c:pt>
                <c:pt idx="25">
                  <c:v>561</c:v>
                </c:pt>
                <c:pt idx="26">
                  <c:v>881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9619456"/>
        <c:axId val="89625344"/>
      </c:lineChart>
      <c:catAx>
        <c:axId val="8961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25344"/>
        <c:crosses val="autoZero"/>
        <c:auto val="1"/>
        <c:lblAlgn val="ctr"/>
        <c:lblOffset val="100"/>
      </c:catAx>
      <c:valAx>
        <c:axId val="89625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1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6435"/>
          <c:w val="0.1354168853893349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180</c:v>
                </c:pt>
                <c:pt idx="1">
                  <c:v>520</c:v>
                </c:pt>
                <c:pt idx="2">
                  <c:v>180</c:v>
                </c:pt>
                <c:pt idx="3">
                  <c:v>240</c:v>
                </c:pt>
                <c:pt idx="4">
                  <c:v>270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360</c:v>
                </c:pt>
                <c:pt idx="9">
                  <c:v>120</c:v>
                </c:pt>
                <c:pt idx="10">
                  <c:v>90</c:v>
                </c:pt>
                <c:pt idx="11">
                  <c:v>240</c:v>
                </c:pt>
                <c:pt idx="12">
                  <c:v>240</c:v>
                </c:pt>
                <c:pt idx="13">
                  <c:v>210</c:v>
                </c:pt>
                <c:pt idx="14">
                  <c:v>180</c:v>
                </c:pt>
                <c:pt idx="15">
                  <c:v>290</c:v>
                </c:pt>
                <c:pt idx="16">
                  <c:v>90</c:v>
                </c:pt>
                <c:pt idx="17">
                  <c:v>150</c:v>
                </c:pt>
                <c:pt idx="18">
                  <c:v>150</c:v>
                </c:pt>
                <c:pt idx="19">
                  <c:v>240</c:v>
                </c:pt>
                <c:pt idx="20">
                  <c:v>90</c:v>
                </c:pt>
                <c:pt idx="21">
                  <c:v>150</c:v>
                </c:pt>
                <c:pt idx="22">
                  <c:v>470</c:v>
                </c:pt>
                <c:pt idx="23">
                  <c:v>90</c:v>
                </c:pt>
                <c:pt idx="24">
                  <c:v>90</c:v>
                </c:pt>
                <c:pt idx="25">
                  <c:v>150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9932160"/>
        <c:axId val="89933696"/>
      </c:lineChart>
      <c:catAx>
        <c:axId val="89932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33696"/>
        <c:crosses val="autoZero"/>
        <c:auto val="1"/>
        <c:lblAlgn val="ctr"/>
        <c:lblOffset val="100"/>
      </c:catAx>
      <c:valAx>
        <c:axId val="899336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32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643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16085</c:v>
                </c:pt>
                <c:pt idx="1">
                  <c:v>14239</c:v>
                </c:pt>
                <c:pt idx="2">
                  <c:v>15103</c:v>
                </c:pt>
                <c:pt idx="3">
                  <c:v>15173</c:v>
                </c:pt>
                <c:pt idx="4">
                  <c:v>15817</c:v>
                </c:pt>
                <c:pt idx="5">
                  <c:v>12909</c:v>
                </c:pt>
                <c:pt idx="6">
                  <c:v>13138</c:v>
                </c:pt>
                <c:pt idx="7">
                  <c:v>12872</c:v>
                </c:pt>
                <c:pt idx="8">
                  <c:v>12536.399999999907</c:v>
                </c:pt>
                <c:pt idx="9">
                  <c:v>13631.600000000093</c:v>
                </c:pt>
                <c:pt idx="10">
                  <c:v>13062.799999999814</c:v>
                </c:pt>
                <c:pt idx="11">
                  <c:v>14011.200000000186</c:v>
                </c:pt>
                <c:pt idx="12">
                  <c:v>14175</c:v>
                </c:pt>
                <c:pt idx="13">
                  <c:v>12801</c:v>
                </c:pt>
                <c:pt idx="14">
                  <c:v>12578</c:v>
                </c:pt>
                <c:pt idx="15">
                  <c:v>12879</c:v>
                </c:pt>
                <c:pt idx="16">
                  <c:v>11369.399999999907</c:v>
                </c:pt>
                <c:pt idx="17">
                  <c:v>14249.600000000093</c:v>
                </c:pt>
                <c:pt idx="18">
                  <c:v>11144</c:v>
                </c:pt>
                <c:pt idx="19">
                  <c:v>9036</c:v>
                </c:pt>
                <c:pt idx="20">
                  <c:v>11900</c:v>
                </c:pt>
                <c:pt idx="21">
                  <c:v>11369.200000000186</c:v>
                </c:pt>
                <c:pt idx="22">
                  <c:v>10970</c:v>
                </c:pt>
                <c:pt idx="23">
                  <c:v>10672.799999999814</c:v>
                </c:pt>
                <c:pt idx="24">
                  <c:v>12121</c:v>
                </c:pt>
                <c:pt idx="25">
                  <c:v>8971</c:v>
                </c:pt>
                <c:pt idx="26">
                  <c:v>11669.600000000093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9974656"/>
        <c:axId val="89976192"/>
      </c:lineChart>
      <c:catAx>
        <c:axId val="89974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76192"/>
        <c:crosses val="autoZero"/>
        <c:auto val="1"/>
        <c:lblAlgn val="ctr"/>
        <c:lblOffset val="100"/>
      </c:catAx>
      <c:valAx>
        <c:axId val="899761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74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208"/>
          <c:w val="0.12291688538932598"/>
          <c:h val="4.49826989619405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3986</c:v>
                </c:pt>
                <c:pt idx="19">
                  <c:v>4088</c:v>
                </c:pt>
                <c:pt idx="20">
                  <c:v>5052</c:v>
                </c:pt>
                <c:pt idx="21">
                  <c:v>4766</c:v>
                </c:pt>
                <c:pt idx="22">
                  <c:v>4907</c:v>
                </c:pt>
                <c:pt idx="23">
                  <c:v>4790</c:v>
                </c:pt>
                <c:pt idx="24">
                  <c:v>4448</c:v>
                </c:pt>
                <c:pt idx="25">
                  <c:v>4646</c:v>
                </c:pt>
                <c:pt idx="26">
                  <c:v>5263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9865216"/>
        <c:axId val="89867008"/>
      </c:lineChart>
      <c:catAx>
        <c:axId val="89865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67008"/>
        <c:crosses val="autoZero"/>
        <c:auto val="1"/>
        <c:lblAlgn val="ctr"/>
        <c:lblOffset val="100"/>
      </c:catAx>
      <c:valAx>
        <c:axId val="89867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65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6435"/>
          <c:w val="0.1354168853893349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10</c:v>
                </c:pt>
                <c:pt idx="6">
                  <c:v>9</c:v>
                </c:pt>
                <c:pt idx="7">
                  <c:v>16</c:v>
                </c:pt>
                <c:pt idx="8">
                  <c:v>7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3</c:v>
                </c:pt>
                <c:pt idx="17">
                  <c:v>6</c:v>
                </c:pt>
                <c:pt idx="18">
                  <c:v>3.1599999999998545</c:v>
                </c:pt>
                <c:pt idx="19">
                  <c:v>3.1000000000003638</c:v>
                </c:pt>
                <c:pt idx="20">
                  <c:v>4.0100000000002183</c:v>
                </c:pt>
                <c:pt idx="21">
                  <c:v>2.7299999999995634</c:v>
                </c:pt>
                <c:pt idx="22">
                  <c:v>3</c:v>
                </c:pt>
                <c:pt idx="23">
                  <c:v>5</c:v>
                </c:pt>
                <c:pt idx="24">
                  <c:v>3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89899392"/>
        <c:axId val="89900928"/>
      </c:lineChart>
      <c:catAx>
        <c:axId val="89899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00928"/>
        <c:crosses val="autoZero"/>
        <c:auto val="1"/>
        <c:lblAlgn val="ctr"/>
        <c:lblOffset val="100"/>
      </c:catAx>
      <c:valAx>
        <c:axId val="899009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99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6422"/>
          <c:y val="0.54325368498487869"/>
          <c:w val="0.11458355205599259"/>
          <c:h val="4.498269896194005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-2346.7096774193487</c:v>
                </c:pt>
                <c:pt idx="1">
                  <c:v>-2313.6451612903329</c:v>
                </c:pt>
                <c:pt idx="2">
                  <c:v>-2776.7419354838494</c:v>
                </c:pt>
                <c:pt idx="3">
                  <c:v>-2933.3870967742114</c:v>
                </c:pt>
                <c:pt idx="4">
                  <c:v>-1690.0322580645225</c:v>
                </c:pt>
                <c:pt idx="5">
                  <c:v>-3153.4193548386829</c:v>
                </c:pt>
                <c:pt idx="6">
                  <c:v>-2090.1935483871057</c:v>
                </c:pt>
                <c:pt idx="7">
                  <c:v>-3836.7741935483937</c:v>
                </c:pt>
                <c:pt idx="8">
                  <c:v>-4135.0645161290231</c:v>
                </c:pt>
                <c:pt idx="9">
                  <c:v>-1763.4516129032272</c:v>
                </c:pt>
                <c:pt idx="10">
                  <c:v>-1840.0645161290449</c:v>
                </c:pt>
                <c:pt idx="11">
                  <c:v>-1296.709677419356</c:v>
                </c:pt>
                <c:pt idx="12">
                  <c:v>-1700.0645161290158</c:v>
                </c:pt>
                <c:pt idx="13">
                  <c:v>1179.9354838709478</c:v>
                </c:pt>
                <c:pt idx="14">
                  <c:v>-2146.7419354838567</c:v>
                </c:pt>
                <c:pt idx="15">
                  <c:v>-1707.0967741935528</c:v>
                </c:pt>
                <c:pt idx="16">
                  <c:v>-1226.7096774193633</c:v>
                </c:pt>
                <c:pt idx="17">
                  <c:v>-2383.4193548386902</c:v>
                </c:pt>
                <c:pt idx="18">
                  <c:v>-990.03225806453702</c:v>
                </c:pt>
                <c:pt idx="19">
                  <c:v>-1226.7096774193487</c:v>
                </c:pt>
                <c:pt idx="20">
                  <c:v>-1840.0645161290158</c:v>
                </c:pt>
                <c:pt idx="21">
                  <c:v>-283.45161290324177</c:v>
                </c:pt>
                <c:pt idx="22">
                  <c:v>-1156.7096774193487</c:v>
                </c:pt>
                <c:pt idx="23">
                  <c:v>-1296.7096774193487</c:v>
                </c:pt>
                <c:pt idx="24">
                  <c:v>-2146.7419354838785</c:v>
                </c:pt>
                <c:pt idx="25">
                  <c:v>-1226.7096774193487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007040"/>
        <c:axId val="90008576"/>
      </c:lineChart>
      <c:catAx>
        <c:axId val="9000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08576"/>
        <c:crosses val="autoZero"/>
        <c:auto val="1"/>
        <c:lblAlgn val="ctr"/>
        <c:lblOffset val="100"/>
      </c:catAx>
      <c:valAx>
        <c:axId val="900085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0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6073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8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029056"/>
        <c:axId val="90116864"/>
      </c:lineChart>
      <c:catAx>
        <c:axId val="9002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16864"/>
        <c:crosses val="autoZero"/>
        <c:auto val="1"/>
        <c:lblAlgn val="ctr"/>
        <c:lblOffset val="100"/>
      </c:catAx>
      <c:valAx>
        <c:axId val="90116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2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4701"/>
          <c:y val="0.6297588752963208"/>
          <c:w val="0.1354168853893353"/>
          <c:h val="4.49826989619405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0.42599999999999999</c:v>
                </c:pt>
                <c:pt idx="1">
                  <c:v>0.33479999999999999</c:v>
                </c:pt>
                <c:pt idx="2">
                  <c:v>0.2782</c:v>
                </c:pt>
                <c:pt idx="3">
                  <c:v>0.21299999999999999</c:v>
                </c:pt>
                <c:pt idx="4">
                  <c:v>0.16089999999999999</c:v>
                </c:pt>
                <c:pt idx="5">
                  <c:v>0.16520000000000001</c:v>
                </c:pt>
                <c:pt idx="6">
                  <c:v>0.23480000000000001</c:v>
                </c:pt>
                <c:pt idx="7">
                  <c:v>0.23400000000000001</c:v>
                </c:pt>
                <c:pt idx="8">
                  <c:v>0.2087</c:v>
                </c:pt>
                <c:pt idx="9">
                  <c:v>0.2</c:v>
                </c:pt>
                <c:pt idx="10">
                  <c:v>0.1696</c:v>
                </c:pt>
                <c:pt idx="11">
                  <c:v>0.1739</c:v>
                </c:pt>
                <c:pt idx="12">
                  <c:v>0.18260000000000001</c:v>
                </c:pt>
                <c:pt idx="13">
                  <c:v>0.2087</c:v>
                </c:pt>
                <c:pt idx="14">
                  <c:v>0.2261</c:v>
                </c:pt>
                <c:pt idx="15">
                  <c:v>0.2261</c:v>
                </c:pt>
                <c:pt idx="16">
                  <c:v>0.1739</c:v>
                </c:pt>
                <c:pt idx="17">
                  <c:v>9.5699999999999993E-2</c:v>
                </c:pt>
                <c:pt idx="18">
                  <c:v>9.1300000000000006E-2</c:v>
                </c:pt>
                <c:pt idx="19">
                  <c:v>0.1087</c:v>
                </c:pt>
                <c:pt idx="20">
                  <c:v>0.1217</c:v>
                </c:pt>
                <c:pt idx="21">
                  <c:v>0.13</c:v>
                </c:pt>
                <c:pt idx="22">
                  <c:v>0.14779999999999999</c:v>
                </c:pt>
                <c:pt idx="23">
                  <c:v>0.113</c:v>
                </c:pt>
                <c:pt idx="24">
                  <c:v>0.1</c:v>
                </c:pt>
                <c:pt idx="25">
                  <c:v>6.9599999999999995E-2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136960"/>
        <c:axId val="90138496"/>
      </c:lineChart>
      <c:catAx>
        <c:axId val="90136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38496"/>
        <c:crosses val="autoZero"/>
        <c:auto val="1"/>
        <c:lblAlgn val="ctr"/>
        <c:lblOffset val="100"/>
      </c:catAx>
      <c:valAx>
        <c:axId val="901384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36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208"/>
          <c:w val="9.730870597697025E-2"/>
          <c:h val="4.49826989619405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1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97.98</c:v>
                </c:pt>
                <c:pt idx="1">
                  <c:v>77.003999999999991</c:v>
                </c:pt>
                <c:pt idx="2">
                  <c:v>63.986000000000004</c:v>
                </c:pt>
                <c:pt idx="3">
                  <c:v>48.99</c:v>
                </c:pt>
                <c:pt idx="4">
                  <c:v>37.006999999999998</c:v>
                </c:pt>
                <c:pt idx="5">
                  <c:v>37.996000000000002</c:v>
                </c:pt>
                <c:pt idx="6">
                  <c:v>54.004000000000005</c:v>
                </c:pt>
                <c:pt idx="7">
                  <c:v>53.82</c:v>
                </c:pt>
                <c:pt idx="8">
                  <c:v>48.000999999999998</c:v>
                </c:pt>
                <c:pt idx="9">
                  <c:v>46</c:v>
                </c:pt>
                <c:pt idx="10">
                  <c:v>39.008000000000003</c:v>
                </c:pt>
                <c:pt idx="11">
                  <c:v>39.997</c:v>
                </c:pt>
                <c:pt idx="12">
                  <c:v>41.998000000000005</c:v>
                </c:pt>
                <c:pt idx="13">
                  <c:v>48.000999999999998</c:v>
                </c:pt>
                <c:pt idx="14">
                  <c:v>52.003</c:v>
                </c:pt>
                <c:pt idx="15">
                  <c:v>52.003</c:v>
                </c:pt>
                <c:pt idx="16">
                  <c:v>39.997</c:v>
                </c:pt>
                <c:pt idx="17">
                  <c:v>22.010999999999999</c:v>
                </c:pt>
                <c:pt idx="18">
                  <c:v>20.999000000000002</c:v>
                </c:pt>
                <c:pt idx="19">
                  <c:v>25.001000000000001</c:v>
                </c:pt>
                <c:pt idx="20">
                  <c:v>27.991</c:v>
                </c:pt>
                <c:pt idx="21">
                  <c:v>29.900000000000002</c:v>
                </c:pt>
                <c:pt idx="22">
                  <c:v>33.994</c:v>
                </c:pt>
                <c:pt idx="23">
                  <c:v>25.990000000000002</c:v>
                </c:pt>
                <c:pt idx="24">
                  <c:v>23</c:v>
                </c:pt>
                <c:pt idx="25">
                  <c:v>16.007999999999999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052096"/>
        <c:axId val="90053632"/>
      </c:lineChart>
      <c:catAx>
        <c:axId val="9005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53632"/>
        <c:crosses val="autoZero"/>
        <c:auto val="1"/>
        <c:lblAlgn val="ctr"/>
        <c:lblOffset val="100"/>
      </c:catAx>
      <c:valAx>
        <c:axId val="900536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5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77"/>
          <c:h val="4.49826989619405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79</c:v>
                </c:pt>
                <c:pt idx="7">
                  <c:v>0</c:v>
                </c:pt>
                <c:pt idx="8">
                  <c:v>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069632"/>
        <c:axId val="90083712"/>
      </c:lineChart>
      <c:catAx>
        <c:axId val="90069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83712"/>
        <c:crosses val="autoZero"/>
        <c:auto val="1"/>
        <c:lblAlgn val="ctr"/>
        <c:lblOffset val="100"/>
      </c:catAx>
      <c:valAx>
        <c:axId val="90083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69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1648"/>
          <c:y val="0.6297588752963208"/>
          <c:w val="0.13250539334757044"/>
          <c:h val="4.49826989619405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19</c:v>
                </c:pt>
                <c:pt idx="1">
                  <c:v>236</c:v>
                </c:pt>
                <c:pt idx="2">
                  <c:v>0</c:v>
                </c:pt>
                <c:pt idx="3">
                  <c:v>288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182</c:v>
                </c:pt>
                <c:pt idx="8">
                  <c:v>0</c:v>
                </c:pt>
                <c:pt idx="9">
                  <c:v>343</c:v>
                </c:pt>
                <c:pt idx="10">
                  <c:v>0</c:v>
                </c:pt>
                <c:pt idx="11">
                  <c:v>737</c:v>
                </c:pt>
                <c:pt idx="12">
                  <c:v>0</c:v>
                </c:pt>
                <c:pt idx="13">
                  <c:v>89</c:v>
                </c:pt>
                <c:pt idx="14">
                  <c:v>0</c:v>
                </c:pt>
                <c:pt idx="15">
                  <c:v>343</c:v>
                </c:pt>
                <c:pt idx="16">
                  <c:v>0</c:v>
                </c:pt>
                <c:pt idx="17">
                  <c:v>375</c:v>
                </c:pt>
                <c:pt idx="18">
                  <c:v>0</c:v>
                </c:pt>
                <c:pt idx="19">
                  <c:v>310</c:v>
                </c:pt>
                <c:pt idx="20">
                  <c:v>0</c:v>
                </c:pt>
                <c:pt idx="21">
                  <c:v>19</c:v>
                </c:pt>
                <c:pt idx="22">
                  <c:v>0</c:v>
                </c:pt>
                <c:pt idx="23">
                  <c:v>364</c:v>
                </c:pt>
                <c:pt idx="24">
                  <c:v>0</c:v>
                </c:pt>
                <c:pt idx="25">
                  <c:v>339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251264"/>
        <c:axId val="90252800"/>
      </c:lineChart>
      <c:catAx>
        <c:axId val="90251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52800"/>
        <c:crosses val="autoZero"/>
        <c:auto val="1"/>
        <c:lblAlgn val="ctr"/>
        <c:lblOffset val="100"/>
      </c:catAx>
      <c:valAx>
        <c:axId val="90252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51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643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13.5</c:v>
                </c:pt>
                <c:pt idx="18">
                  <c:v>14</c:v>
                </c:pt>
                <c:pt idx="19">
                  <c:v>12.5</c:v>
                </c:pt>
                <c:pt idx="20">
                  <c:v>11</c:v>
                </c:pt>
                <c:pt idx="21">
                  <c:v>12</c:v>
                </c:pt>
                <c:pt idx="22">
                  <c:v>10</c:v>
                </c:pt>
                <c:pt idx="23">
                  <c:v>11</c:v>
                </c:pt>
                <c:pt idx="24">
                  <c:v>13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293376"/>
        <c:axId val="90294912"/>
      </c:lineChart>
      <c:catAx>
        <c:axId val="90293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94912"/>
        <c:crosses val="autoZero"/>
        <c:auto val="1"/>
        <c:lblAlgn val="ctr"/>
        <c:lblOffset val="100"/>
      </c:catAx>
      <c:valAx>
        <c:axId val="90294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93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4119"/>
          <c:w val="0.1234311819809185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0385408"/>
        <c:axId val="90391296"/>
      </c:lineChart>
      <c:catAx>
        <c:axId val="9038540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91296"/>
        <c:crosses val="autoZero"/>
        <c:auto val="1"/>
        <c:lblAlgn val="ctr"/>
        <c:lblOffset val="100"/>
      </c:catAx>
      <c:valAx>
        <c:axId val="9039129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85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3531"/>
          <c:y val="0.45486256926219243"/>
          <c:w val="0.1569039853282014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156.14285714285714</c:v>
                </c:pt>
                <c:pt idx="1">
                  <c:v>160.25</c:v>
                </c:pt>
                <c:pt idx="2">
                  <c:v>158</c:v>
                </c:pt>
                <c:pt idx="3">
                  <c:v>222.8</c:v>
                </c:pt>
                <c:pt idx="4">
                  <c:v>195.42857142857142</c:v>
                </c:pt>
                <c:pt idx="5">
                  <c:v>154.33333333333334</c:v>
                </c:pt>
                <c:pt idx="6">
                  <c:v>181.2</c:v>
                </c:pt>
                <c:pt idx="7">
                  <c:v>137.33333333333334</c:v>
                </c:pt>
                <c:pt idx="8">
                  <c:v>220</c:v>
                </c:pt>
                <c:pt idx="9">
                  <c:v>148.19999999999999</c:v>
                </c:pt>
                <c:pt idx="10">
                  <c:v>205.5</c:v>
                </c:pt>
                <c:pt idx="11">
                  <c:v>154.66666666666666</c:v>
                </c:pt>
                <c:pt idx="12">
                  <c:v>182.75</c:v>
                </c:pt>
                <c:pt idx="13">
                  <c:v>279</c:v>
                </c:pt>
                <c:pt idx="14">
                  <c:v>211.33333333333334</c:v>
                </c:pt>
                <c:pt idx="15">
                  <c:v>163.66666666666666</c:v>
                </c:pt>
                <c:pt idx="16">
                  <c:v>246.66666666666666</c:v>
                </c:pt>
                <c:pt idx="17">
                  <c:v>317</c:v>
                </c:pt>
                <c:pt idx="18">
                  <c:v>0</c:v>
                </c:pt>
                <c:pt idx="19">
                  <c:v>92.4</c:v>
                </c:pt>
                <c:pt idx="20">
                  <c:v>194.33333333333334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226</c:v>
                </c:pt>
                <c:pt idx="25">
                  <c:v>249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177536"/>
        <c:axId val="90179072"/>
      </c:lineChart>
      <c:catAx>
        <c:axId val="90177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79072"/>
        <c:crosses val="autoZero"/>
        <c:auto val="1"/>
        <c:lblAlgn val="ctr"/>
        <c:lblOffset val="100"/>
      </c:catAx>
      <c:valAx>
        <c:axId val="901790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7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208"/>
          <c:w val="0.14853578449138188"/>
          <c:h val="4.498269896194079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13.5</c:v>
                </c:pt>
                <c:pt idx="18">
                  <c:v>14</c:v>
                </c:pt>
                <c:pt idx="19">
                  <c:v>12.5</c:v>
                </c:pt>
                <c:pt idx="20">
                  <c:v>11</c:v>
                </c:pt>
                <c:pt idx="21">
                  <c:v>12</c:v>
                </c:pt>
                <c:pt idx="22">
                  <c:v>10</c:v>
                </c:pt>
                <c:pt idx="23">
                  <c:v>11</c:v>
                </c:pt>
                <c:pt idx="24">
                  <c:v>13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441216"/>
        <c:axId val="90442752"/>
      </c:lineChart>
      <c:catAx>
        <c:axId val="9044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42752"/>
        <c:crosses val="autoZero"/>
        <c:auto val="1"/>
        <c:lblAlgn val="ctr"/>
        <c:lblOffset val="100"/>
      </c:catAx>
      <c:valAx>
        <c:axId val="90442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4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5005"/>
          <c:y val="0.6297588752963208"/>
          <c:w val="0.12164948453608219"/>
          <c:h val="4.498269896194079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687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10</c:v>
                </c:pt>
                <c:pt idx="6">
                  <c:v>9</c:v>
                </c:pt>
                <c:pt idx="7">
                  <c:v>16</c:v>
                </c:pt>
                <c:pt idx="8">
                  <c:v>7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3</c:v>
                </c:pt>
                <c:pt idx="17">
                  <c:v>6</c:v>
                </c:pt>
                <c:pt idx="18">
                  <c:v>3.1599999999998545</c:v>
                </c:pt>
                <c:pt idx="19">
                  <c:v>3.1000000000003638</c:v>
                </c:pt>
                <c:pt idx="20">
                  <c:v>4.0100000000002183</c:v>
                </c:pt>
                <c:pt idx="21">
                  <c:v>2.7299999999995634</c:v>
                </c:pt>
                <c:pt idx="22">
                  <c:v>3</c:v>
                </c:pt>
                <c:pt idx="23">
                  <c:v>5</c:v>
                </c:pt>
                <c:pt idx="24">
                  <c:v>3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848640"/>
        <c:axId val="90854528"/>
      </c:lineChart>
      <c:catAx>
        <c:axId val="9084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54528"/>
        <c:crosses val="autoZero"/>
        <c:auto val="1"/>
        <c:lblAlgn val="ctr"/>
        <c:lblOffset val="100"/>
      </c:catAx>
      <c:valAx>
        <c:axId val="908545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4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3986</c:v>
                </c:pt>
                <c:pt idx="19">
                  <c:v>4088</c:v>
                </c:pt>
                <c:pt idx="20">
                  <c:v>5052</c:v>
                </c:pt>
                <c:pt idx="21">
                  <c:v>4766</c:v>
                </c:pt>
                <c:pt idx="22">
                  <c:v>4907</c:v>
                </c:pt>
                <c:pt idx="23">
                  <c:v>4790</c:v>
                </c:pt>
                <c:pt idx="24">
                  <c:v>4448</c:v>
                </c:pt>
                <c:pt idx="25">
                  <c:v>4646</c:v>
                </c:pt>
                <c:pt idx="26">
                  <c:v>5263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1091712"/>
        <c:axId val="91093248"/>
      </c:lineChart>
      <c:catAx>
        <c:axId val="9109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93248"/>
        <c:crosses val="autoZero"/>
        <c:auto val="1"/>
        <c:lblAlgn val="ctr"/>
        <c:lblOffset val="100"/>
      </c:catAx>
      <c:valAx>
        <c:axId val="91093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9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647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1274240"/>
        <c:axId val="91276032"/>
      </c:lineChart>
      <c:catAx>
        <c:axId val="912742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76032"/>
        <c:crosses val="autoZero"/>
        <c:auto val="1"/>
        <c:lblAlgn val="ctr"/>
        <c:lblOffset val="100"/>
      </c:catAx>
      <c:valAx>
        <c:axId val="912760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74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24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542925</xdr:colOff>
      <xdr:row>38</xdr:row>
      <xdr:rowOff>180975</xdr:rowOff>
    </xdr:from>
    <xdr:to>
      <xdr:col>20</xdr:col>
      <xdr:colOff>381000</xdr:colOff>
      <xdr:row>39</xdr:row>
      <xdr:rowOff>180975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1253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447675</xdr:colOff>
      <xdr:row>40</xdr:row>
      <xdr:rowOff>0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152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76200</xdr:colOff>
      <xdr:row>37</xdr:row>
      <xdr:rowOff>9525</xdr:rowOff>
    </xdr:from>
    <xdr:to>
      <xdr:col>4</xdr:col>
      <xdr:colOff>523875</xdr:colOff>
      <xdr:row>38</xdr:row>
      <xdr:rowOff>9525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514600" y="760095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76200</xdr:colOff>
      <xdr:row>37</xdr:row>
      <xdr:rowOff>9525</xdr:rowOff>
    </xdr:from>
    <xdr:to>
      <xdr:col>8</xdr:col>
      <xdr:colOff>523875</xdr:colOff>
      <xdr:row>38</xdr:row>
      <xdr:rowOff>9525</xdr:rowOff>
    </xdr:to>
    <xdr:sp macro="" textlink="">
      <xdr:nvSpPr>
        <xdr:cNvPr id="8" name="Line 12"/>
        <xdr:cNvSpPr>
          <a:spLocks noChangeShapeType="1"/>
        </xdr:cNvSpPr>
      </xdr:nvSpPr>
      <xdr:spPr bwMode="auto">
        <a:xfrm flipH="1">
          <a:off x="2505075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37</xdr:row>
      <xdr:rowOff>9525</xdr:rowOff>
    </xdr:from>
    <xdr:to>
      <xdr:col>13</xdr:col>
      <xdr:colOff>523875</xdr:colOff>
      <xdr:row>38</xdr:row>
      <xdr:rowOff>9525</xdr:rowOff>
    </xdr:to>
    <xdr:sp macro="" textlink="">
      <xdr:nvSpPr>
        <xdr:cNvPr id="12" name="Line 12"/>
        <xdr:cNvSpPr>
          <a:spLocks noChangeShapeType="1"/>
        </xdr:cNvSpPr>
      </xdr:nvSpPr>
      <xdr:spPr bwMode="auto">
        <a:xfrm flipH="1">
          <a:off x="4933950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37</xdr:row>
      <xdr:rowOff>9525</xdr:rowOff>
    </xdr:from>
    <xdr:to>
      <xdr:col>17</xdr:col>
      <xdr:colOff>523875</xdr:colOff>
      <xdr:row>38</xdr:row>
      <xdr:rowOff>9525</xdr:rowOff>
    </xdr:to>
    <xdr:sp macro="" textlink="">
      <xdr:nvSpPr>
        <xdr:cNvPr id="13" name="Line 12"/>
        <xdr:cNvSpPr>
          <a:spLocks noChangeShapeType="1"/>
        </xdr:cNvSpPr>
      </xdr:nvSpPr>
      <xdr:spPr bwMode="auto">
        <a:xfrm flipH="1">
          <a:off x="797004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37</xdr:row>
      <xdr:rowOff>9525</xdr:rowOff>
    </xdr:from>
    <xdr:to>
      <xdr:col>21</xdr:col>
      <xdr:colOff>523875</xdr:colOff>
      <xdr:row>38</xdr:row>
      <xdr:rowOff>9525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10398919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39</xdr:row>
      <xdr:rowOff>0</xdr:rowOff>
    </xdr:from>
    <xdr:to>
      <xdr:col>16</xdr:col>
      <xdr:colOff>447675</xdr:colOff>
      <xdr:row>40</xdr:row>
      <xdr:rowOff>0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728662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447675</xdr:colOff>
      <xdr:row>40</xdr:row>
      <xdr:rowOff>0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9715500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542925</xdr:colOff>
      <xdr:row>38</xdr:row>
      <xdr:rowOff>180975</xdr:rowOff>
    </xdr:from>
    <xdr:to>
      <xdr:col>21</xdr:col>
      <xdr:colOff>381000</xdr:colOff>
      <xdr:row>39</xdr:row>
      <xdr:rowOff>180975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39</xdr:row>
      <xdr:rowOff>0</xdr:rowOff>
    </xdr:from>
    <xdr:to>
      <xdr:col>20</xdr:col>
      <xdr:colOff>447675</xdr:colOff>
      <xdr:row>40</xdr:row>
      <xdr:rowOff>0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11537156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542925</xdr:colOff>
      <xdr:row>38</xdr:row>
      <xdr:rowOff>180975</xdr:rowOff>
    </xdr:from>
    <xdr:to>
      <xdr:col>23</xdr:col>
      <xdr:colOff>381000</xdr:colOff>
      <xdr:row>39</xdr:row>
      <xdr:rowOff>180975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542925</xdr:colOff>
      <xdr:row>38</xdr:row>
      <xdr:rowOff>180975</xdr:rowOff>
    </xdr:from>
    <xdr:to>
      <xdr:col>24</xdr:col>
      <xdr:colOff>381000</xdr:colOff>
      <xdr:row>39</xdr:row>
      <xdr:rowOff>180975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12687300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447675</xdr:colOff>
      <xdr:row>40</xdr:row>
      <xdr:rowOff>0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1214437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SE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8\DE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  <cell r="E33">
            <v>3678</v>
          </cell>
          <cell r="F33">
            <v>3431349</v>
          </cell>
          <cell r="G33">
            <v>2479</v>
          </cell>
          <cell r="H33">
            <v>17219918</v>
          </cell>
          <cell r="I33">
            <v>2804</v>
          </cell>
          <cell r="J33">
            <v>28230090</v>
          </cell>
          <cell r="K33">
            <v>3048</v>
          </cell>
          <cell r="L33">
            <v>22522846</v>
          </cell>
          <cell r="M33">
            <v>4076</v>
          </cell>
          <cell r="N33">
            <v>16085</v>
          </cell>
          <cell r="O33">
            <v>139.86956521739131</v>
          </cell>
          <cell r="P33">
            <v>15218.2</v>
          </cell>
          <cell r="Q33">
            <v>3495.0000000008004</v>
          </cell>
          <cell r="R33">
            <v>12589.9999999992</v>
          </cell>
          <cell r="S33">
            <v>8334</v>
          </cell>
          <cell r="T33">
            <v>0</v>
          </cell>
          <cell r="U33">
            <v>1014633</v>
          </cell>
          <cell r="V33">
            <v>0</v>
          </cell>
          <cell r="W33">
            <v>31800</v>
          </cell>
          <cell r="X33">
            <v>10</v>
          </cell>
          <cell r="Y33">
            <v>616769</v>
          </cell>
          <cell r="Z33">
            <v>1726</v>
          </cell>
          <cell r="AA33">
            <v>34851</v>
          </cell>
          <cell r="AB33">
            <v>0</v>
          </cell>
          <cell r="AC33">
            <v>735699</v>
          </cell>
          <cell r="AD33">
            <v>0</v>
          </cell>
          <cell r="AE33">
            <v>10</v>
          </cell>
          <cell r="AF33">
            <v>1726</v>
          </cell>
          <cell r="AG33">
            <v>172.6</v>
          </cell>
          <cell r="AI33">
            <v>-49239434</v>
          </cell>
        </row>
      </sheetData>
      <sheetData sheetId="3">
        <row r="35">
          <cell r="B35">
            <v>238</v>
          </cell>
          <cell r="C35">
            <v>98</v>
          </cell>
          <cell r="D35">
            <v>25</v>
          </cell>
          <cell r="E35">
            <v>209.50000000000003</v>
          </cell>
          <cell r="F35">
            <v>1303</v>
          </cell>
          <cell r="G35">
            <v>0</v>
          </cell>
          <cell r="H35">
            <v>330270</v>
          </cell>
          <cell r="I35">
            <v>0</v>
          </cell>
          <cell r="J35">
            <v>0</v>
          </cell>
          <cell r="K35">
            <v>1679</v>
          </cell>
          <cell r="L35">
            <v>13</v>
          </cell>
          <cell r="M35">
            <v>122271</v>
          </cell>
          <cell r="N35">
            <v>950</v>
          </cell>
          <cell r="O35">
            <v>996.67721861471864</v>
          </cell>
          <cell r="P35">
            <v>1452</v>
          </cell>
          <cell r="Q35">
            <v>126239</v>
          </cell>
          <cell r="R35">
            <v>0</v>
          </cell>
          <cell r="S35">
            <v>0</v>
          </cell>
          <cell r="T35">
            <v>0</v>
          </cell>
          <cell r="U35">
            <v>13</v>
          </cell>
          <cell r="V35">
            <v>950</v>
          </cell>
          <cell r="X35">
            <v>2320</v>
          </cell>
          <cell r="Y35">
            <v>0</v>
          </cell>
          <cell r="Z35">
            <v>130593</v>
          </cell>
          <cell r="AA35">
            <v>0</v>
          </cell>
          <cell r="AB35">
            <v>0</v>
          </cell>
          <cell r="AC35">
            <v>1703</v>
          </cell>
          <cell r="AD35">
            <v>1</v>
          </cell>
          <cell r="AE35">
            <v>352700</v>
          </cell>
          <cell r="AF35">
            <v>334.79999999998836</v>
          </cell>
          <cell r="AG35">
            <v>334.79999999998836</v>
          </cell>
          <cell r="AH35">
            <v>334.79999999998836</v>
          </cell>
          <cell r="AI35">
            <v>1284.7999999999884</v>
          </cell>
          <cell r="AJ35">
            <v>1284.7999999999884</v>
          </cell>
          <cell r="AK35">
            <v>0</v>
          </cell>
          <cell r="AL35">
            <v>13</v>
          </cell>
          <cell r="AM35">
            <v>1</v>
          </cell>
          <cell r="AN35">
            <v>65</v>
          </cell>
          <cell r="AO35">
            <v>1950</v>
          </cell>
          <cell r="AP35">
            <v>67</v>
          </cell>
          <cell r="AQ35">
            <v>2010.0000000000002</v>
          </cell>
          <cell r="AR35">
            <v>68</v>
          </cell>
          <cell r="AS35">
            <v>2040.0000000000002</v>
          </cell>
          <cell r="AT35">
            <v>6000</v>
          </cell>
          <cell r="AU35">
            <v>270</v>
          </cell>
          <cell r="AX35">
            <v>0.7</v>
          </cell>
        </row>
      </sheetData>
      <sheetData sheetId="4">
        <row r="33">
          <cell r="B33">
            <v>8486</v>
          </cell>
          <cell r="C33">
            <v>1</v>
          </cell>
          <cell r="D33">
            <v>118621.7</v>
          </cell>
          <cell r="E33">
            <v>83.69999999999709</v>
          </cell>
          <cell r="F33">
            <v>83.69999999999709</v>
          </cell>
          <cell r="H33">
            <v>8497</v>
          </cell>
          <cell r="I33" t="str">
            <v>ok</v>
          </cell>
          <cell r="J33">
            <v>10588</v>
          </cell>
          <cell r="K33">
            <v>5</v>
          </cell>
          <cell r="L33">
            <v>218633</v>
          </cell>
          <cell r="M33">
            <v>507.10000000000582</v>
          </cell>
          <cell r="N33">
            <v>101.42000000000117</v>
          </cell>
          <cell r="P33">
            <v>10873</v>
          </cell>
          <cell r="Q33" t="str">
            <v>ok</v>
          </cell>
          <cell r="R33">
            <v>10884</v>
          </cell>
          <cell r="S33">
            <v>1</v>
          </cell>
          <cell r="T33">
            <v>175184.2</v>
          </cell>
          <cell r="U33">
            <v>232.60000000000582</v>
          </cell>
          <cell r="V33">
            <v>232.60000000000582</v>
          </cell>
          <cell r="X33">
            <v>10989</v>
          </cell>
          <cell r="Y33" t="str">
            <v>ok</v>
          </cell>
          <cell r="Z33">
            <v>7</v>
          </cell>
          <cell r="AA33">
            <v>823.40000000000873</v>
          </cell>
          <cell r="AB33">
            <v>417.72000000000406</v>
          </cell>
          <cell r="AC33">
            <v>117.62857142857267</v>
          </cell>
          <cell r="AD33">
            <v>3495.0000000008004</v>
          </cell>
          <cell r="AE33">
            <v>499.28571428582865</v>
          </cell>
          <cell r="AF33">
            <v>0.31205357142864293</v>
          </cell>
          <cell r="AG33">
            <v>99.857142857165741</v>
          </cell>
          <cell r="AH33">
            <v>17.771428571406929</v>
          </cell>
          <cell r="AI33">
            <v>899.55696202552258</v>
          </cell>
          <cell r="AJ33">
            <v>0.25738396624472576</v>
          </cell>
          <cell r="AK33">
            <v>128.50813743221752</v>
          </cell>
        </row>
      </sheetData>
      <sheetData sheetId="5">
        <row r="36">
          <cell r="B36">
            <v>108202</v>
          </cell>
          <cell r="C36">
            <v>132</v>
          </cell>
          <cell r="D36">
            <v>4.8888888888888893</v>
          </cell>
          <cell r="E36">
            <v>461.05548387096769</v>
          </cell>
          <cell r="G36">
            <v>584867</v>
          </cell>
          <cell r="H36">
            <v>213</v>
          </cell>
          <cell r="I36">
            <v>345</v>
          </cell>
          <cell r="J36">
            <v>1.3363927068723702</v>
          </cell>
          <cell r="K36">
            <v>5773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4363</v>
          </cell>
          <cell r="U36">
            <v>9</v>
          </cell>
          <cell r="V36">
            <v>332</v>
          </cell>
          <cell r="W36">
            <v>6</v>
          </cell>
          <cell r="X36">
            <v>138671</v>
          </cell>
          <cell r="Y36">
            <v>114</v>
          </cell>
          <cell r="Z36">
            <v>90621</v>
          </cell>
          <cell r="AA36">
            <v>94</v>
          </cell>
          <cell r="AB36">
            <v>249</v>
          </cell>
          <cell r="AC36">
            <v>670</v>
          </cell>
          <cell r="AD36">
            <v>0</v>
          </cell>
          <cell r="AE36">
            <v>60.22</v>
          </cell>
          <cell r="AF36">
            <v>2.009999999999998</v>
          </cell>
          <cell r="AG36">
            <v>961.36</v>
          </cell>
          <cell r="AH36">
            <v>19.759999999999991</v>
          </cell>
          <cell r="AI36">
            <v>21.769999999999989</v>
          </cell>
          <cell r="AJ36">
            <v>94</v>
          </cell>
          <cell r="AK36">
            <v>114</v>
          </cell>
          <cell r="AL36">
            <v>88</v>
          </cell>
          <cell r="AM36">
            <v>13.5</v>
          </cell>
          <cell r="AN36">
            <v>0</v>
          </cell>
          <cell r="AP36">
            <v>439</v>
          </cell>
          <cell r="AR36">
            <v>43830</v>
          </cell>
          <cell r="AS36">
            <v>0.9</v>
          </cell>
          <cell r="AT36">
            <v>102</v>
          </cell>
          <cell r="AU36">
            <v>1.1000000000000001</v>
          </cell>
          <cell r="AV36">
            <v>71</v>
          </cell>
          <cell r="AW36">
            <v>2.9</v>
          </cell>
          <cell r="AX36">
            <v>76</v>
          </cell>
          <cell r="AY36">
            <v>91.8</v>
          </cell>
          <cell r="AZ36">
            <v>78.100000000000009</v>
          </cell>
          <cell r="BA36">
            <v>220.4</v>
          </cell>
          <cell r="BB36">
            <v>37.799999999999997</v>
          </cell>
          <cell r="BC36">
            <v>5.5</v>
          </cell>
          <cell r="BD36">
            <v>84.100000000000023</v>
          </cell>
          <cell r="BE36">
            <v>127.40000000000002</v>
          </cell>
          <cell r="BF36">
            <v>217.59999999999997</v>
          </cell>
          <cell r="BG36">
            <v>127.40000000000003</v>
          </cell>
        </row>
      </sheetData>
      <sheetData sheetId="6"/>
      <sheetData sheetId="7">
        <row r="36">
          <cell r="B36">
            <v>16</v>
          </cell>
          <cell r="C36">
            <v>11</v>
          </cell>
          <cell r="D36">
            <v>13.5</v>
          </cell>
          <cell r="E36">
            <v>0.67</v>
          </cell>
          <cell r="F36">
            <v>0.5</v>
          </cell>
          <cell r="G36">
            <v>115</v>
          </cell>
          <cell r="J36">
            <v>439</v>
          </cell>
          <cell r="K36">
            <v>439</v>
          </cell>
        </row>
      </sheetData>
      <sheetData sheetId="8">
        <row r="36">
          <cell r="B36">
            <v>238</v>
          </cell>
          <cell r="C36">
            <v>5120.8387096774195</v>
          </cell>
          <cell r="D36">
            <v>238</v>
          </cell>
          <cell r="E36">
            <v>5120.8387096774195</v>
          </cell>
          <cell r="F36">
            <v>238</v>
          </cell>
          <cell r="G36">
            <v>5120.8387096774195</v>
          </cell>
          <cell r="H36">
            <v>238</v>
          </cell>
          <cell r="I36">
            <v>5120.8387096774195</v>
          </cell>
          <cell r="J36">
            <v>238</v>
          </cell>
          <cell r="K36">
            <v>5120.8387096774195</v>
          </cell>
          <cell r="L36">
            <v>238</v>
          </cell>
          <cell r="M36">
            <v>5120.8387096774195</v>
          </cell>
          <cell r="N36">
            <v>238</v>
          </cell>
          <cell r="O36">
            <v>5120.8387096774195</v>
          </cell>
          <cell r="P36">
            <v>238</v>
          </cell>
          <cell r="Q36">
            <v>5120.8387096774195</v>
          </cell>
          <cell r="R36">
            <v>238</v>
          </cell>
          <cell r="S36">
            <v>5120.8387096774195</v>
          </cell>
          <cell r="T36">
            <v>238</v>
          </cell>
          <cell r="U36">
            <v>5120.8387096774195</v>
          </cell>
          <cell r="V36">
            <v>238</v>
          </cell>
          <cell r="W36">
            <v>5120.8387096774195</v>
          </cell>
          <cell r="X36">
            <v>0.76774193548387093</v>
          </cell>
          <cell r="Y36">
            <v>56329.225806451606</v>
          </cell>
          <cell r="Z36">
            <v>98</v>
          </cell>
          <cell r="AA36">
            <v>980</v>
          </cell>
          <cell r="AB36">
            <v>98</v>
          </cell>
          <cell r="AC36">
            <v>980</v>
          </cell>
          <cell r="AD36">
            <v>98</v>
          </cell>
          <cell r="AE36">
            <v>980</v>
          </cell>
          <cell r="AF36">
            <v>98</v>
          </cell>
          <cell r="AG36">
            <v>980</v>
          </cell>
          <cell r="AH36">
            <v>98</v>
          </cell>
          <cell r="AI36">
            <v>980</v>
          </cell>
          <cell r="AJ36">
            <v>98</v>
          </cell>
          <cell r="AK36">
            <v>980</v>
          </cell>
          <cell r="AL36">
            <v>98</v>
          </cell>
          <cell r="AM36">
            <v>980</v>
          </cell>
          <cell r="AN36">
            <v>0.35</v>
          </cell>
          <cell r="AO36">
            <v>6860</v>
          </cell>
          <cell r="AQ36">
            <v>0.67967329037809621</v>
          </cell>
          <cell r="AR36">
            <v>63189.225806451606</v>
          </cell>
          <cell r="AS36">
            <v>-4109.6451612903184</v>
          </cell>
          <cell r="AV36">
            <v>0.56340000000000001</v>
          </cell>
          <cell r="AW36">
            <v>-1284.7999999999884</v>
          </cell>
          <cell r="AX36">
            <v>-2824.84516129033</v>
          </cell>
          <cell r="AY36">
            <v>-4109.6451612903184</v>
          </cell>
          <cell r="AZ36">
            <v>0.5</v>
          </cell>
          <cell r="BA36">
            <v>13.5</v>
          </cell>
          <cell r="BB36">
            <v>0.67</v>
          </cell>
        </row>
      </sheetData>
      <sheetData sheetId="9">
        <row r="26">
          <cell r="V26">
            <v>17015254</v>
          </cell>
          <cell r="W26">
            <v>17085395</v>
          </cell>
          <cell r="X26" t="str">
            <v>Night</v>
          </cell>
          <cell r="Y26">
            <v>80</v>
          </cell>
          <cell r="Z26">
            <v>1</v>
          </cell>
          <cell r="AA26">
            <v>70141</v>
          </cell>
          <cell r="AB26">
            <v>5611280</v>
          </cell>
          <cell r="AC26">
            <v>1033333</v>
          </cell>
          <cell r="AD26">
            <v>0.34704197198569098</v>
          </cell>
        </row>
        <row r="27">
          <cell r="V27">
            <v>24173587</v>
          </cell>
          <cell r="W27">
            <v>24270583</v>
          </cell>
          <cell r="X27" t="str">
            <v>day</v>
          </cell>
          <cell r="Y27">
            <v>112</v>
          </cell>
          <cell r="Z27">
            <v>1</v>
          </cell>
          <cell r="AA27">
            <v>96996</v>
          </cell>
          <cell r="AB27">
            <v>10863552</v>
          </cell>
          <cell r="AC27">
            <v>6200000</v>
          </cell>
          <cell r="AD27">
            <v>0.47991450242688422</v>
          </cell>
        </row>
        <row r="28">
          <cell r="V28">
            <v>7882582</v>
          </cell>
          <cell r="W28">
            <v>7917555</v>
          </cell>
          <cell r="X28" t="str">
            <v>Peak</v>
          </cell>
          <cell r="Y28">
            <v>320</v>
          </cell>
          <cell r="Z28">
            <v>1</v>
          </cell>
          <cell r="AA28">
            <v>34973</v>
          </cell>
          <cell r="AB28">
            <v>11191360</v>
          </cell>
          <cell r="AC28">
            <v>1000</v>
          </cell>
          <cell r="AD28">
            <v>0.17303857781120277</v>
          </cell>
        </row>
        <row r="30">
          <cell r="W30">
            <v>0.21316774193548382</v>
          </cell>
          <cell r="Y30" t="str">
            <v>Per G</v>
          </cell>
          <cell r="AB30">
            <v>27666192</v>
          </cell>
          <cell r="AC30">
            <v>7234333</v>
          </cell>
        </row>
        <row r="31">
          <cell r="W31">
            <v>120.30999999999949</v>
          </cell>
          <cell r="X31">
            <v>3.8809677419354673</v>
          </cell>
          <cell r="Y31">
            <v>1.9404838709677337</v>
          </cell>
          <cell r="AB31">
            <v>34900525</v>
          </cell>
          <cell r="AC31">
            <v>7234333</v>
          </cell>
        </row>
        <row r="32">
          <cell r="W32">
            <v>0</v>
          </cell>
        </row>
        <row r="33">
          <cell r="W33">
            <v>286.49999999999983</v>
          </cell>
        </row>
        <row r="34">
          <cell r="B34">
            <v>49273533</v>
          </cell>
          <cell r="C34">
            <v>6380</v>
          </cell>
          <cell r="D34">
            <v>6380</v>
          </cell>
          <cell r="E34">
            <v>49273533</v>
          </cell>
          <cell r="F34">
            <v>7917555</v>
          </cell>
          <cell r="G34">
            <v>1092</v>
          </cell>
          <cell r="H34">
            <v>24270583</v>
          </cell>
          <cell r="I34">
            <v>2743</v>
          </cell>
          <cell r="J34">
            <v>17085395</v>
          </cell>
          <cell r="K34">
            <v>2545</v>
          </cell>
          <cell r="L34">
            <v>231.80099502487562</v>
          </cell>
          <cell r="M34">
            <v>203.7917081260365</v>
          </cell>
          <cell r="N34">
            <v>135.0580431177446</v>
          </cell>
          <cell r="O34">
            <v>154.80303857058792</v>
          </cell>
          <cell r="P34">
            <v>725.45378483924469</v>
          </cell>
          <cell r="Q34">
            <v>1531.5745495483911</v>
          </cell>
          <cell r="R34">
            <v>2257.0283343876358</v>
          </cell>
          <cell r="S34">
            <v>16085</v>
          </cell>
          <cell r="T34">
            <v>0.14031882713009858</v>
          </cell>
        </row>
        <row r="35">
          <cell r="AB35">
            <v>3839057.75</v>
          </cell>
        </row>
        <row r="36">
          <cell r="AB36">
            <v>38739582.75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C36">
            <v>7.8</v>
          </cell>
          <cell r="D36">
            <v>19</v>
          </cell>
          <cell r="E36">
            <v>1.3</v>
          </cell>
          <cell r="F36">
            <v>8.1999999999999993</v>
          </cell>
          <cell r="G36">
            <v>18</v>
          </cell>
          <cell r="H36">
            <v>5773</v>
          </cell>
          <cell r="I36">
            <v>0</v>
          </cell>
          <cell r="J36">
            <v>0.33333333333333398</v>
          </cell>
          <cell r="L36">
            <v>43830</v>
          </cell>
          <cell r="M36">
            <v>5773</v>
          </cell>
          <cell r="O36">
            <v>5773</v>
          </cell>
        </row>
      </sheetData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  <cell r="AB29">
            <v>0</v>
          </cell>
          <cell r="AC29">
            <v>0</v>
          </cell>
        </row>
        <row r="32">
          <cell r="AB32">
            <v>0</v>
          </cell>
          <cell r="AC32">
            <v>0</v>
          </cell>
        </row>
        <row r="33">
          <cell r="AB33">
            <v>0</v>
          </cell>
          <cell r="AC33">
            <v>0</v>
          </cell>
        </row>
        <row r="34">
          <cell r="AB34">
            <v>0</v>
          </cell>
          <cell r="AC34">
            <v>0</v>
          </cell>
        </row>
        <row r="35">
          <cell r="AA35">
            <v>0.11</v>
          </cell>
          <cell r="AC35">
            <v>0</v>
          </cell>
        </row>
        <row r="36">
          <cell r="AC36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29">
          <cell r="Y29">
            <v>0</v>
          </cell>
          <cell r="AA29">
            <v>198838</v>
          </cell>
        </row>
        <row r="32">
          <cell r="X32">
            <v>0</v>
          </cell>
          <cell r="Y32">
            <v>0</v>
          </cell>
        </row>
        <row r="33">
          <cell r="X33">
            <v>0</v>
          </cell>
          <cell r="Y33">
            <v>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6">
          <cell r="X26" t="str">
            <v>Night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>
        <row r="48">
          <cell r="F48">
            <v>30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Utility Cost "/>
      <sheetName val="MDB"/>
      <sheetName val="Swimming Pool quality check "/>
      <sheetName val="Sheet2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D13">
            <v>27.099999999999991</v>
          </cell>
        </row>
        <row r="14">
          <cell r="D14">
            <v>-38.399999999999991</v>
          </cell>
        </row>
        <row r="15">
          <cell r="D15">
            <v>17.93548387096774</v>
          </cell>
        </row>
        <row r="16">
          <cell r="D16">
            <v>0.49185161290322582</v>
          </cell>
        </row>
        <row r="17">
          <cell r="D17">
            <v>199</v>
          </cell>
        </row>
      </sheetData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G27" sqref="G27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5" bestFit="1" customWidth="1"/>
    <col min="13" max="13" width="12.140625" style="305" customWidth="1"/>
    <col min="14" max="14" width="12.140625" style="545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2" t="s">
        <v>363</v>
      </c>
      <c r="M1" s="542" t="s">
        <v>404</v>
      </c>
      <c r="N1" s="543" t="s">
        <v>405</v>
      </c>
      <c r="O1" s="281" t="s">
        <v>347</v>
      </c>
    </row>
    <row r="2" spans="1:15">
      <c r="A2" t="s">
        <v>348</v>
      </c>
      <c r="B2">
        <v>1</v>
      </c>
      <c r="C2">
        <v>1</v>
      </c>
      <c r="D2">
        <v>2020</v>
      </c>
      <c r="E2" s="207">
        <f>ELEC!N3</f>
        <v>14239</v>
      </c>
      <c r="F2" s="347">
        <f>SUM('EDl log'!T4)</f>
        <v>8.4804295758206902E-2</v>
      </c>
      <c r="G2" s="207">
        <f>-tanks!AW6</f>
        <v>1458</v>
      </c>
      <c r="H2" s="347">
        <f>SUM(tanks!AV6)</f>
        <v>0.56340000000000001</v>
      </c>
      <c r="I2" s="10">
        <f>('B5'!AU5)*0.51</f>
        <v>91.8</v>
      </c>
      <c r="J2" s="326">
        <f>'B5'!AX5/0.51</f>
        <v>1.3725490196078429</v>
      </c>
      <c r="K2" s="207">
        <f>WATER!I6</f>
        <v>19</v>
      </c>
      <c r="L2" s="348">
        <f>SUM(WATER!J6)</f>
        <v>12.733446519524618</v>
      </c>
      <c r="M2" s="348">
        <f>WATER!Q6</f>
        <v>0</v>
      </c>
      <c r="N2" s="544">
        <v>0.6</v>
      </c>
      <c r="O2" s="10">
        <f>ELEC!B3</f>
        <v>97.98</v>
      </c>
    </row>
    <row r="3" spans="1:15">
      <c r="A3" t="s">
        <v>348</v>
      </c>
      <c r="B3">
        <f>B2+1</f>
        <v>2</v>
      </c>
      <c r="C3">
        <v>1</v>
      </c>
      <c r="D3">
        <v>2020</v>
      </c>
      <c r="E3" s="207">
        <f>ELEC!N4</f>
        <v>15103</v>
      </c>
      <c r="F3" s="347">
        <f>SUM('EDl log'!T5)</f>
        <v>8.5324029043073138E-2</v>
      </c>
      <c r="G3" s="207">
        <f>-tanks!AW7</f>
        <v>1092.2999999999884</v>
      </c>
      <c r="H3" s="347">
        <f>SUM(tanks!AV7)</f>
        <v>0.56340000000000001</v>
      </c>
      <c r="I3" s="10">
        <f>('B5'!AU6)*0.51</f>
        <v>265.2</v>
      </c>
      <c r="J3" s="326">
        <f>'B5'!AX6/0.51</f>
        <v>1.3725490196078429</v>
      </c>
      <c r="K3" s="207">
        <f>WATER!I7</f>
        <v>316</v>
      </c>
      <c r="L3" s="348">
        <f>SUM(WATER!J7)</f>
        <v>1.1858717844017967</v>
      </c>
      <c r="M3" s="348">
        <f>WATER!Q7</f>
        <v>0</v>
      </c>
      <c r="N3" s="544">
        <v>0.6</v>
      </c>
      <c r="O3" s="10">
        <f>ELEC!B4</f>
        <v>77.003999999999991</v>
      </c>
    </row>
    <row r="4" spans="1:15">
      <c r="A4" t="s">
        <v>348</v>
      </c>
      <c r="B4">
        <f t="shared" ref="B4:B32" si="0">B3+1</f>
        <v>3</v>
      </c>
      <c r="C4">
        <v>1</v>
      </c>
      <c r="D4">
        <v>2020</v>
      </c>
      <c r="E4" s="207">
        <f>ELEC!N5</f>
        <v>15173</v>
      </c>
      <c r="F4" s="347">
        <f>SUM('EDl log'!T6)</f>
        <v>9.8842410717713214E-2</v>
      </c>
      <c r="G4" s="207">
        <f>-tanks!AW8</f>
        <v>1325.9000000000233</v>
      </c>
      <c r="H4" s="347">
        <f>SUM(tanks!AV8)</f>
        <v>0.56340000000000001</v>
      </c>
      <c r="I4" s="10">
        <f>('B5'!AU7)*0.51</f>
        <v>91.8</v>
      </c>
      <c r="J4" s="326">
        <f>'B5'!AX7/0.51</f>
        <v>1.3725490196078429</v>
      </c>
      <c r="K4" s="207">
        <f>WATER!I8</f>
        <v>0</v>
      </c>
      <c r="L4" s="348">
        <f>SUM(WATER!J8)</f>
        <v>0</v>
      </c>
      <c r="M4" s="348">
        <f>WATER!Q8</f>
        <v>0</v>
      </c>
      <c r="N4" s="544">
        <v>0.6</v>
      </c>
      <c r="O4" s="10">
        <f>ELEC!B5</f>
        <v>63.986000000000004</v>
      </c>
    </row>
    <row r="5" spans="1:15">
      <c r="A5" t="s">
        <v>348</v>
      </c>
      <c r="B5">
        <f t="shared" si="0"/>
        <v>4</v>
      </c>
      <c r="C5">
        <v>1</v>
      </c>
      <c r="D5">
        <v>2020</v>
      </c>
      <c r="E5" s="207">
        <f>ELEC!N6</f>
        <v>15817</v>
      </c>
      <c r="F5" s="347">
        <f>SUM('EDl log'!T7)</f>
        <v>0.11620380963869936</v>
      </c>
      <c r="G5" s="207">
        <f>-tanks!AW9</f>
        <v>944</v>
      </c>
      <c r="H5" s="347">
        <f>SUM(tanks!AV9)</f>
        <v>0.56340000000000001</v>
      </c>
      <c r="I5" s="10">
        <f>('B5'!AU8)*0.51</f>
        <v>122.4</v>
      </c>
      <c r="J5" s="326">
        <f>'B5'!AX8/0.51</f>
        <v>1.3725490196078429</v>
      </c>
      <c r="K5" s="207">
        <f>WATER!I9</f>
        <v>288</v>
      </c>
      <c r="L5" s="348">
        <f>SUM(WATER!J9)</f>
        <v>0.84005376344086025</v>
      </c>
      <c r="M5" s="348">
        <f>WATER!Q9</f>
        <v>0</v>
      </c>
      <c r="N5" s="544">
        <v>0.6</v>
      </c>
      <c r="O5" s="10">
        <f>ELEC!B6</f>
        <v>48.99</v>
      </c>
    </row>
    <row r="6" spans="1:15">
      <c r="A6" t="s">
        <v>348</v>
      </c>
      <c r="B6">
        <f t="shared" si="0"/>
        <v>5</v>
      </c>
      <c r="C6">
        <v>1</v>
      </c>
      <c r="D6">
        <v>2020</v>
      </c>
      <c r="E6" s="207">
        <f>ELEC!N7</f>
        <v>12909</v>
      </c>
      <c r="F6" s="347">
        <f>SUM('EDl log'!T8)</f>
        <v>7.710172498769538E-2</v>
      </c>
      <c r="G6" s="207">
        <f>-tanks!AW10</f>
        <v>1107.7000000000116</v>
      </c>
      <c r="H6" s="347">
        <f>SUM(tanks!AV10)</f>
        <v>0.56340000000000001</v>
      </c>
      <c r="I6" s="10">
        <f>('B5'!AU9)*0.51</f>
        <v>137.69999999999999</v>
      </c>
      <c r="J6" s="326">
        <f>'B5'!AX9/0.51</f>
        <v>1.3725490196078429</v>
      </c>
      <c r="K6" s="207">
        <f>WATER!I10</f>
        <v>0</v>
      </c>
      <c r="L6" s="348">
        <f>SUM(WATER!J10)</f>
        <v>0</v>
      </c>
      <c r="M6" s="348">
        <f>WATER!Q10</f>
        <v>0</v>
      </c>
      <c r="N6" s="544">
        <v>0.6</v>
      </c>
      <c r="O6" s="10">
        <f>ELEC!B7</f>
        <v>37.006999999999998</v>
      </c>
    </row>
    <row r="7" spans="1:15">
      <c r="A7" t="s">
        <v>348</v>
      </c>
      <c r="B7">
        <f t="shared" si="0"/>
        <v>6</v>
      </c>
      <c r="C7">
        <v>1</v>
      </c>
      <c r="D7">
        <v>2020</v>
      </c>
      <c r="E7" s="207">
        <f>ELEC!N8</f>
        <v>13138</v>
      </c>
      <c r="F7" s="347">
        <f>SUM('EDl log'!T9)</f>
        <v>0.14563589660600657</v>
      </c>
      <c r="G7" s="207">
        <f>-tanks!AW11</f>
        <v>607</v>
      </c>
      <c r="H7" s="347">
        <f>SUM(tanks!AV11)</f>
        <v>0.56340000000000001</v>
      </c>
      <c r="I7" s="10">
        <f>('B5'!AU10)*0.51</f>
        <v>91.8</v>
      </c>
      <c r="J7" s="326">
        <f>'B5'!AX10/0.51</f>
        <v>1.3725490196078429</v>
      </c>
      <c r="K7" s="207">
        <f>WATER!I11</f>
        <v>179</v>
      </c>
      <c r="L7" s="348">
        <f>SUM(WATER!J11)</f>
        <v>1.3515948819607138</v>
      </c>
      <c r="M7" s="348">
        <f>WATER!Q11</f>
        <v>0</v>
      </c>
      <c r="N7" s="544">
        <v>0.6</v>
      </c>
      <c r="O7" s="10">
        <f>ELEC!B8</f>
        <v>37.996000000000002</v>
      </c>
    </row>
    <row r="8" spans="1:15">
      <c r="A8" t="s">
        <v>348</v>
      </c>
      <c r="B8">
        <f t="shared" si="0"/>
        <v>7</v>
      </c>
      <c r="C8">
        <v>1</v>
      </c>
      <c r="D8">
        <v>2020</v>
      </c>
      <c r="E8" s="207">
        <f>ELEC!N9</f>
        <v>12872</v>
      </c>
      <c r="F8" s="347">
        <f>SUM('EDl log'!T10)</f>
        <v>8.5940773106437482E-2</v>
      </c>
      <c r="G8" s="207">
        <f>-tanks!AW12</f>
        <v>1019.2999999999884</v>
      </c>
      <c r="H8" s="347">
        <f>SUM(tanks!AV12)</f>
        <v>0.56340000000000001</v>
      </c>
      <c r="I8" s="10">
        <f>('B5'!AU11)*0.51</f>
        <v>107.10000000000001</v>
      </c>
      <c r="J8" s="326">
        <f>'B5'!AX11/0.51</f>
        <v>1.3725490196078429</v>
      </c>
      <c r="K8" s="207">
        <f>WATER!I12</f>
        <v>79</v>
      </c>
      <c r="L8" s="348">
        <f>SUM(WATER!J12)</f>
        <v>4.7224744793793381</v>
      </c>
      <c r="M8" s="348">
        <f>WATER!Q12</f>
        <v>0</v>
      </c>
      <c r="N8" s="544">
        <v>0.6</v>
      </c>
      <c r="O8" s="10">
        <f>ELEC!B9</f>
        <v>54.004000000000005</v>
      </c>
    </row>
    <row r="9" spans="1:15">
      <c r="A9" t="s">
        <v>348</v>
      </c>
      <c r="B9">
        <f t="shared" si="0"/>
        <v>8</v>
      </c>
      <c r="C9">
        <v>1</v>
      </c>
      <c r="D9">
        <v>2020</v>
      </c>
      <c r="E9" s="207">
        <f>ELEC!N10</f>
        <v>12536.399999999907</v>
      </c>
      <c r="F9" s="347">
        <f>SUM('EDl log'!T11)</f>
        <v>0.16900846675617945</v>
      </c>
      <c r="G9" s="207">
        <f>-tanks!AW13</f>
        <v>816</v>
      </c>
      <c r="H9" s="347">
        <f>SUM(tanks!AV13)</f>
        <v>0.56340000000000001</v>
      </c>
      <c r="I9" s="10">
        <f>('B5'!AU12)*0.51</f>
        <v>122.4</v>
      </c>
      <c r="J9" s="326">
        <f>'B5'!AX12/0.51</f>
        <v>1.3725490196078429</v>
      </c>
      <c r="K9" s="207">
        <f>WATER!I13</f>
        <v>182</v>
      </c>
      <c r="L9" s="348">
        <f>SUM(WATER!J13)</f>
        <v>1.3293158454448777</v>
      </c>
      <c r="M9" s="348">
        <f>WATER!Q13</f>
        <v>0</v>
      </c>
      <c r="N9" s="544">
        <v>0.6</v>
      </c>
      <c r="O9" s="10">
        <f>ELEC!B10</f>
        <v>53.82</v>
      </c>
    </row>
    <row r="10" spans="1:15">
      <c r="A10" t="s">
        <v>348</v>
      </c>
      <c r="B10">
        <f t="shared" si="0"/>
        <v>9</v>
      </c>
      <c r="C10">
        <v>1</v>
      </c>
      <c r="D10">
        <v>2020</v>
      </c>
      <c r="E10" s="207">
        <f>ELEC!N11</f>
        <v>13631.600000000093</v>
      </c>
      <c r="F10" s="347">
        <f>SUM('EDl log'!T12)</f>
        <v>0.1778358339037942</v>
      </c>
      <c r="G10" s="207">
        <f>-tanks!AW14</f>
        <v>853</v>
      </c>
      <c r="H10" s="347">
        <f>SUM(tanks!AV14)</f>
        <v>0.57650000000000001</v>
      </c>
      <c r="I10" s="10">
        <f>('B5'!AU13)*0.51</f>
        <v>183.6</v>
      </c>
      <c r="J10" s="326">
        <f>'B5'!AX13/0.51</f>
        <v>1.3725490196078429</v>
      </c>
      <c r="K10" s="207">
        <f>WATER!I14</f>
        <v>80</v>
      </c>
      <c r="L10" s="348">
        <f>SUM(WATER!J14)</f>
        <v>4.6841935483870971</v>
      </c>
      <c r="M10" s="348">
        <f>WATER!Q14</f>
        <v>0</v>
      </c>
      <c r="N10" s="544">
        <v>0.6</v>
      </c>
      <c r="O10" s="10">
        <f>ELEC!B11</f>
        <v>48.000999999999998</v>
      </c>
    </row>
    <row r="11" spans="1:15">
      <c r="A11" t="s">
        <v>348</v>
      </c>
      <c r="B11">
        <f t="shared" si="0"/>
        <v>10</v>
      </c>
      <c r="C11">
        <v>1</v>
      </c>
      <c r="D11">
        <v>2020</v>
      </c>
      <c r="E11" s="207">
        <f>ELEC!N12</f>
        <v>13062.799999999814</v>
      </c>
      <c r="F11" s="347">
        <f>SUM('EDl log'!T13)</f>
        <v>6.3701516774102934E-2</v>
      </c>
      <c r="G11" s="207">
        <f>-tanks!AW15</f>
        <v>1461.7999999999884</v>
      </c>
      <c r="H11" s="347">
        <f>SUM(tanks!AV15)</f>
        <v>0.57650000000000001</v>
      </c>
      <c r="I11" s="10">
        <f>('B5'!AU14)*0.51</f>
        <v>61.2</v>
      </c>
      <c r="J11" s="326">
        <f>'B5'!AX14/0.51</f>
        <v>1.3725490196078429</v>
      </c>
      <c r="K11" s="207">
        <f>WATER!I15</f>
        <v>343</v>
      </c>
      <c r="L11" s="348">
        <f>SUM(WATER!J15)</f>
        <v>0.70535126492993516</v>
      </c>
      <c r="M11" s="348">
        <f>WATER!Q15</f>
        <v>0</v>
      </c>
      <c r="N11" s="544">
        <v>0.6</v>
      </c>
      <c r="O11" s="10">
        <f>ELEC!B12</f>
        <v>46</v>
      </c>
    </row>
    <row r="12" spans="1:15">
      <c r="A12" t="s">
        <v>348</v>
      </c>
      <c r="B12">
        <f t="shared" si="0"/>
        <v>11</v>
      </c>
      <c r="C12">
        <v>1</v>
      </c>
      <c r="D12">
        <v>2020</v>
      </c>
      <c r="E12" s="207">
        <f>ELEC!N13</f>
        <v>14011.200000000186</v>
      </c>
      <c r="F12" s="347">
        <f>SUM('EDl log'!T14)</f>
        <v>9.8457916819365165E-2</v>
      </c>
      <c r="G12" s="207">
        <f>-tanks!AW16</f>
        <v>728</v>
      </c>
      <c r="H12" s="347">
        <f>SUM(tanks!AV16)</f>
        <v>0.57650000000000001</v>
      </c>
      <c r="I12" s="10">
        <f>('B5'!AU15)*0.51</f>
        <v>45.9</v>
      </c>
      <c r="J12" s="326">
        <f>'B5'!AX15/0.51</f>
        <v>1.3725490196078429</v>
      </c>
      <c r="K12" s="207">
        <f>WATER!I16</f>
        <v>0</v>
      </c>
      <c r="L12" s="348">
        <f>SUM(WATER!J16)</f>
        <v>0</v>
      </c>
      <c r="M12" s="348">
        <f>WATER!Q16</f>
        <v>0</v>
      </c>
      <c r="N12" s="544">
        <v>0.6</v>
      </c>
      <c r="O12" s="10">
        <f>ELEC!B13</f>
        <v>39.008000000000003</v>
      </c>
    </row>
    <row r="13" spans="1:15">
      <c r="A13" t="s">
        <v>348</v>
      </c>
      <c r="B13">
        <f t="shared" si="0"/>
        <v>12</v>
      </c>
      <c r="C13">
        <v>1</v>
      </c>
      <c r="D13">
        <v>2020</v>
      </c>
      <c r="E13" s="207">
        <f>ELEC!N14</f>
        <v>14175</v>
      </c>
      <c r="F13" s="347">
        <f>SUM('EDl log'!T15)</f>
        <v>7.4378762841591062E-2</v>
      </c>
      <c r="G13" s="207">
        <f>-tanks!AW17</f>
        <v>543</v>
      </c>
      <c r="H13" s="347">
        <f>SUM(tanks!AV17)</f>
        <v>0.57650000000000001</v>
      </c>
      <c r="I13" s="10">
        <f>('B5'!AU16)*0.51</f>
        <v>122.4</v>
      </c>
      <c r="J13" s="326">
        <f>'B5'!AX16/0.51</f>
        <v>1.3725490196078429</v>
      </c>
      <c r="K13" s="207">
        <f>WATER!I17</f>
        <v>737</v>
      </c>
      <c r="L13" s="348">
        <f>SUM(WATER!J17)</f>
        <v>0.32827067010986127</v>
      </c>
      <c r="M13" s="348">
        <f>WATER!Q17</f>
        <v>0</v>
      </c>
      <c r="N13" s="544">
        <v>0.6</v>
      </c>
      <c r="O13" s="10">
        <f>ELEC!B14</f>
        <v>39.997</v>
      </c>
    </row>
    <row r="14" spans="1:15">
      <c r="A14" t="s">
        <v>348</v>
      </c>
      <c r="B14">
        <f t="shared" si="0"/>
        <v>13</v>
      </c>
      <c r="C14">
        <v>1</v>
      </c>
      <c r="D14">
        <v>2020</v>
      </c>
      <c r="E14" s="207">
        <f>ELEC!N15</f>
        <v>12801</v>
      </c>
      <c r="F14" s="347">
        <f>SUM('EDl log'!T16)</f>
        <v>9.3320379173464862E-2</v>
      </c>
      <c r="G14" s="207">
        <f>-tanks!AW18</f>
        <v>749</v>
      </c>
      <c r="H14" s="347">
        <f>SUM(tanks!AV18)</f>
        <v>0.57650000000000001</v>
      </c>
      <c r="I14" s="10">
        <f>('B5'!AU17)*0.51</f>
        <v>122.4</v>
      </c>
      <c r="J14" s="326">
        <f>'B5'!AX17/0.51</f>
        <v>1.3725490196078429</v>
      </c>
      <c r="K14" s="207">
        <f>WATER!I18</f>
        <v>0</v>
      </c>
      <c r="L14" s="348">
        <f>SUM(WATER!J18)</f>
        <v>0</v>
      </c>
      <c r="M14" s="348">
        <f>WATER!Q18</f>
        <v>0</v>
      </c>
      <c r="N14" s="544">
        <v>0.6</v>
      </c>
      <c r="O14" s="10">
        <f>ELEC!B15</f>
        <v>41.998000000000005</v>
      </c>
    </row>
    <row r="15" spans="1:15">
      <c r="A15" t="s">
        <v>348</v>
      </c>
      <c r="B15">
        <f t="shared" si="0"/>
        <v>14</v>
      </c>
      <c r="C15">
        <v>1</v>
      </c>
      <c r="D15">
        <v>2020</v>
      </c>
      <c r="E15" s="207">
        <f>ELEC!N16</f>
        <v>12578</v>
      </c>
      <c r="F15" s="347">
        <f>SUM('EDl log'!T17)</f>
        <v>-5.0628895064464906E-2</v>
      </c>
      <c r="G15" s="207">
        <f>-tanks!AW19</f>
        <v>886.59999999997672</v>
      </c>
      <c r="H15" s="347">
        <f>SUM(tanks!AV19)</f>
        <v>0.57650000000000001</v>
      </c>
      <c r="I15" s="10">
        <f>('B5'!AU18)*0.51</f>
        <v>107.10000000000001</v>
      </c>
      <c r="J15" s="326">
        <f>'B5'!AX18/0.51</f>
        <v>1.3725490196078429</v>
      </c>
      <c r="K15" s="207">
        <f>WATER!I19</f>
        <v>89</v>
      </c>
      <c r="L15" s="348">
        <f>SUM(WATER!J19)</f>
        <v>2.7183762232693005</v>
      </c>
      <c r="M15" s="348">
        <f>WATER!Q19</f>
        <v>0</v>
      </c>
      <c r="N15" s="544">
        <v>0.6</v>
      </c>
      <c r="O15" s="10">
        <f>ELEC!B16</f>
        <v>48.000999999999998</v>
      </c>
    </row>
    <row r="16" spans="1:15">
      <c r="A16" t="s">
        <v>348</v>
      </c>
      <c r="B16">
        <f t="shared" si="0"/>
        <v>15</v>
      </c>
      <c r="C16">
        <v>1</v>
      </c>
      <c r="D16">
        <v>2020</v>
      </c>
      <c r="E16" s="207">
        <f>ELEC!N17</f>
        <v>12879</v>
      </c>
      <c r="F16" s="347">
        <f>SUM('EDl log'!T18)</f>
        <v>0.10825622913886139</v>
      </c>
      <c r="G16" s="207">
        <f>-tanks!AW20</f>
        <v>762.60000000003492</v>
      </c>
      <c r="H16" s="347">
        <f>SUM(tanks!AV20)</f>
        <v>0.57650000000000001</v>
      </c>
      <c r="I16" s="10">
        <f>('B5'!AU19)*0.51</f>
        <v>91.8</v>
      </c>
      <c r="J16" s="326">
        <f>'B5'!AX19/0.51</f>
        <v>1.3725490196078429</v>
      </c>
      <c r="K16" s="207">
        <f>WATER!I20</f>
        <v>0</v>
      </c>
      <c r="L16" s="348">
        <f>SUM(WATER!J20)</f>
        <v>0</v>
      </c>
      <c r="M16" s="348">
        <f>WATER!Q20</f>
        <v>0</v>
      </c>
      <c r="N16" s="544">
        <v>0.6</v>
      </c>
      <c r="O16" s="10">
        <f>ELEC!B17</f>
        <v>52.003</v>
      </c>
    </row>
    <row r="17" spans="1:15">
      <c r="A17" t="s">
        <v>348</v>
      </c>
      <c r="B17">
        <f t="shared" si="0"/>
        <v>16</v>
      </c>
      <c r="C17">
        <v>1</v>
      </c>
      <c r="D17">
        <v>2020</v>
      </c>
      <c r="E17" s="207">
        <f>ELEC!N18</f>
        <v>11369.399999999907</v>
      </c>
      <c r="F17" s="347">
        <f>SUM('EDl log'!T19)</f>
        <v>0.10416107722807683</v>
      </c>
      <c r="G17" s="207">
        <f>-tanks!AW21</f>
        <v>484</v>
      </c>
      <c r="H17" s="347">
        <f>SUM(tanks!AV21)</f>
        <v>0.57999999999999996</v>
      </c>
      <c r="I17" s="10">
        <f>('B5'!AU20)*0.51</f>
        <v>147.9</v>
      </c>
      <c r="J17" s="326">
        <f>'B5'!AX20/0.51</f>
        <v>1.3725490196078429</v>
      </c>
      <c r="K17" s="207">
        <f>WATER!I21</f>
        <v>343</v>
      </c>
      <c r="L17" s="348">
        <f>SUM(WATER!J21)</f>
        <v>0.70535126492993516</v>
      </c>
      <c r="M17" s="348">
        <f>WATER!Q21</f>
        <v>0</v>
      </c>
      <c r="N17" s="544">
        <v>0.6</v>
      </c>
      <c r="O17" s="10">
        <f>ELEC!B18</f>
        <v>52.003</v>
      </c>
    </row>
    <row r="18" spans="1:15">
      <c r="A18" t="s">
        <v>348</v>
      </c>
      <c r="B18">
        <f t="shared" si="0"/>
        <v>17</v>
      </c>
      <c r="C18">
        <v>1</v>
      </c>
      <c r="D18">
        <v>2020</v>
      </c>
      <c r="E18" s="207">
        <f>ELEC!N19</f>
        <v>14249.600000000093</v>
      </c>
      <c r="F18" s="347">
        <f>SUM('EDl log'!T20)</f>
        <v>5.6646524222364263E-2</v>
      </c>
      <c r="G18" s="207">
        <f>-tanks!AW22</f>
        <v>1027.0999999999767</v>
      </c>
      <c r="H18" s="347">
        <f>SUM(tanks!AV22)</f>
        <v>0.57999999999999996</v>
      </c>
      <c r="I18" s="10">
        <f>('B5'!AU21)*0.51</f>
        <v>45.9</v>
      </c>
      <c r="J18" s="326">
        <f>'B5'!AX21/0.51</f>
        <v>1.3725490196078429</v>
      </c>
      <c r="K18" s="207">
        <f>WATER!I22</f>
        <v>0</v>
      </c>
      <c r="L18" s="348">
        <f>SUM(WATER!J22)</f>
        <v>0</v>
      </c>
      <c r="M18" s="348">
        <f>WATER!Q22</f>
        <v>0</v>
      </c>
      <c r="N18" s="544">
        <v>0.6</v>
      </c>
      <c r="O18" s="10">
        <f>ELEC!B19</f>
        <v>39.997</v>
      </c>
    </row>
    <row r="19" spans="1:15">
      <c r="A19" t="s">
        <v>348</v>
      </c>
      <c r="B19">
        <f t="shared" si="0"/>
        <v>18</v>
      </c>
      <c r="C19">
        <v>1</v>
      </c>
      <c r="D19">
        <v>2020</v>
      </c>
      <c r="E19" s="207">
        <f>ELEC!N20</f>
        <v>11144</v>
      </c>
      <c r="F19" s="347">
        <f>SUM('EDl log'!T21)</f>
        <v>0.13720088800131613</v>
      </c>
      <c r="G19" s="207">
        <f>-tanks!AW23</f>
        <v>566</v>
      </c>
      <c r="H19" s="347">
        <f>SUM(tanks!AV23)</f>
        <v>0.57999999999999996</v>
      </c>
      <c r="I19" s="10">
        <f>('B5'!AU22)*0.51</f>
        <v>76.5</v>
      </c>
      <c r="J19" s="326">
        <f>'B5'!AX22/0.51</f>
        <v>1.3725490196078429</v>
      </c>
      <c r="K19" s="207">
        <f>WATER!I23</f>
        <v>375</v>
      </c>
      <c r="L19" s="348">
        <f>SUM(WATER!J23)</f>
        <v>0.64516129032258063</v>
      </c>
      <c r="M19" s="348">
        <f>WATER!Q23</f>
        <v>0</v>
      </c>
      <c r="N19" s="544">
        <v>0.6</v>
      </c>
      <c r="O19" s="10">
        <f>ELEC!B20</f>
        <v>22.010999999999999</v>
      </c>
    </row>
    <row r="20" spans="1:15">
      <c r="A20" t="s">
        <v>348</v>
      </c>
      <c r="B20">
        <f t="shared" si="0"/>
        <v>19</v>
      </c>
      <c r="C20">
        <v>1</v>
      </c>
      <c r="D20">
        <v>2020</v>
      </c>
      <c r="E20" s="207">
        <f>ELEC!N21</f>
        <v>9036</v>
      </c>
      <c r="F20" s="347">
        <f>SUM('EDl log'!T22)</f>
        <v>9.2356006783773939E-2</v>
      </c>
      <c r="G20" s="207">
        <f>-tanks!AW24</f>
        <v>468</v>
      </c>
      <c r="H20" s="347">
        <f>SUM(tanks!AV24)</f>
        <v>0.57999999999999996</v>
      </c>
      <c r="I20" s="10">
        <f>('B5'!AU23)*0.51</f>
        <v>76.5</v>
      </c>
      <c r="J20" s="326">
        <f>'B5'!AX23/0.51</f>
        <v>1.3725490196078429</v>
      </c>
      <c r="K20" s="207">
        <f>WATER!I24</f>
        <v>0</v>
      </c>
      <c r="L20" s="348">
        <f>SUM(WATER!J24)</f>
        <v>0</v>
      </c>
      <c r="M20" s="348">
        <f>WATER!Q24</f>
        <v>0</v>
      </c>
      <c r="N20" s="544">
        <v>0.6</v>
      </c>
      <c r="O20" s="10">
        <f>ELEC!B21</f>
        <v>20.999000000000002</v>
      </c>
    </row>
    <row r="21" spans="1:15">
      <c r="A21" t="s">
        <v>348</v>
      </c>
      <c r="B21">
        <f t="shared" si="0"/>
        <v>20</v>
      </c>
      <c r="C21">
        <v>1</v>
      </c>
      <c r="D21">
        <v>2020</v>
      </c>
      <c r="E21" s="207">
        <f>ELEC!N22</f>
        <v>11900</v>
      </c>
      <c r="F21" s="347">
        <f>SUM('EDl log'!T23)</f>
        <v>8.1744627020021485E-2</v>
      </c>
      <c r="G21" s="207">
        <f>-tanks!AW25</f>
        <v>555</v>
      </c>
      <c r="H21" s="347">
        <f>SUM(tanks!AV25)</f>
        <v>0.57999999999999996</v>
      </c>
      <c r="I21" s="10">
        <f>('B5'!AU24)*0.51</f>
        <v>122.4</v>
      </c>
      <c r="J21" s="326">
        <f>'B5'!AX24/0.51</f>
        <v>1.3725490196078429</v>
      </c>
      <c r="K21" s="207">
        <f>WATER!I25</f>
        <v>310</v>
      </c>
      <c r="L21" s="348">
        <f>SUM(WATER!J25)</f>
        <v>0.78043704474505726</v>
      </c>
      <c r="M21" s="348">
        <f>WATER!Q25</f>
        <v>0</v>
      </c>
      <c r="N21" s="544">
        <v>0.6</v>
      </c>
      <c r="O21" s="10">
        <f>ELEC!B22</f>
        <v>25.001000000000001</v>
      </c>
    </row>
    <row r="22" spans="1:15">
      <c r="A22" t="s">
        <v>348</v>
      </c>
      <c r="B22">
        <f t="shared" si="0"/>
        <v>21</v>
      </c>
      <c r="C22">
        <v>1</v>
      </c>
      <c r="D22">
        <v>2020</v>
      </c>
      <c r="E22" s="207">
        <f>ELEC!N23</f>
        <v>11369.200000000186</v>
      </c>
      <c r="F22" s="347">
        <f>SUM('EDl log'!T24)</f>
        <v>7.7372781853495096E-2</v>
      </c>
      <c r="G22" s="207">
        <f>-tanks!AW26</f>
        <v>1314.7000000000116</v>
      </c>
      <c r="H22" s="347">
        <f>SUM(tanks!AV26)</f>
        <v>0.57999999999999996</v>
      </c>
      <c r="I22" s="10">
        <f>('B5'!AU25)*0.51</f>
        <v>45.9</v>
      </c>
      <c r="J22" s="326">
        <f>'B5'!AX25/0.51</f>
        <v>1.3725490196078429</v>
      </c>
      <c r="K22" s="207">
        <f>WATER!I26</f>
        <v>0</v>
      </c>
      <c r="L22" s="348">
        <f>SUM(WATER!J26)</f>
        <v>0</v>
      </c>
      <c r="M22" s="348">
        <f>WATER!Q26</f>
        <v>0</v>
      </c>
      <c r="N22" s="544">
        <v>0.6</v>
      </c>
      <c r="O22" s="10">
        <f>ELEC!B23</f>
        <v>27.991</v>
      </c>
    </row>
    <row r="23" spans="1:15">
      <c r="A23" t="s">
        <v>348</v>
      </c>
      <c r="B23">
        <f t="shared" si="0"/>
        <v>22</v>
      </c>
      <c r="C23">
        <v>1</v>
      </c>
      <c r="D23">
        <v>2020</v>
      </c>
      <c r="E23" s="207">
        <f>ELEC!N24</f>
        <v>10970</v>
      </c>
      <c r="F23" s="347">
        <f>SUM('EDl log'!T25)</f>
        <v>3.7430537098765537E-2</v>
      </c>
      <c r="G23" s="207">
        <f>-tanks!AW27</f>
        <v>579</v>
      </c>
      <c r="H23" s="347">
        <f>SUM(tanks!AV27)</f>
        <v>0.58350000000000002</v>
      </c>
      <c r="I23" s="10">
        <f>('B5'!AU26)*0.51</f>
        <v>76.5</v>
      </c>
      <c r="J23" s="326">
        <f>'B5'!AX26/0.51</f>
        <v>1.3725490196078429</v>
      </c>
      <c r="K23" s="207">
        <f>WATER!I27</f>
        <v>19</v>
      </c>
      <c r="L23" s="348">
        <f>SUM(WATER!J27)</f>
        <v>12.733446519524618</v>
      </c>
      <c r="M23" s="348">
        <f>WATER!Q27</f>
        <v>0</v>
      </c>
      <c r="N23" s="544">
        <v>0.6</v>
      </c>
      <c r="O23" s="10">
        <f>ELEC!B24</f>
        <v>29.900000000000002</v>
      </c>
    </row>
    <row r="24" spans="1:15">
      <c r="A24" t="s">
        <v>348</v>
      </c>
      <c r="B24">
        <f t="shared" si="0"/>
        <v>23</v>
      </c>
      <c r="C24">
        <v>1</v>
      </c>
      <c r="D24">
        <v>2020</v>
      </c>
      <c r="E24" s="207">
        <f>ELEC!N25</f>
        <v>10672.799999999814</v>
      </c>
      <c r="F24" s="347">
        <f>SUM('EDl log'!T26)</f>
        <v>8.1663946174447402E-2</v>
      </c>
      <c r="G24" s="207">
        <f>-tanks!AW28</f>
        <v>646</v>
      </c>
      <c r="H24" s="347">
        <f>SUM(tanks!AV28)</f>
        <v>0.58350000000000002</v>
      </c>
      <c r="I24" s="10">
        <f>('B5'!AU27)*0.51</f>
        <v>239.70000000000002</v>
      </c>
      <c r="J24" s="326">
        <f>'B5'!AX27/0.51</f>
        <v>1.3725490196078429</v>
      </c>
      <c r="K24" s="207">
        <f>WATER!I28</f>
        <v>0</v>
      </c>
      <c r="L24" s="348">
        <f>SUM(WATER!J28)</f>
        <v>0</v>
      </c>
      <c r="M24" s="348">
        <f>WATER!Q28</f>
        <v>0</v>
      </c>
      <c r="N24" s="544">
        <v>0.6</v>
      </c>
      <c r="O24" s="10">
        <f>ELEC!B25</f>
        <v>33.994</v>
      </c>
    </row>
    <row r="25" spans="1:15">
      <c r="A25" t="s">
        <v>348</v>
      </c>
      <c r="B25">
        <f t="shared" si="0"/>
        <v>24</v>
      </c>
      <c r="C25">
        <v>1</v>
      </c>
      <c r="D25">
        <v>2020</v>
      </c>
      <c r="E25" s="207">
        <f>ELEC!N26</f>
        <v>12121</v>
      </c>
      <c r="F25" s="347">
        <f>SUM('EDl log'!T27)</f>
        <v>5.153867812473098E-2</v>
      </c>
      <c r="G25" s="207">
        <f>-tanks!AW29</f>
        <v>1096</v>
      </c>
      <c r="H25" s="347">
        <f>SUM(tanks!AV29)</f>
        <v>0.58350000000000002</v>
      </c>
      <c r="I25" s="10">
        <f>('B5'!AU28)*0.51</f>
        <v>45.9</v>
      </c>
      <c r="J25" s="326">
        <f>'B5'!AX28/0.51</f>
        <v>1.3725490196078429</v>
      </c>
      <c r="K25" s="207">
        <f>WATER!I29</f>
        <v>364</v>
      </c>
      <c r="L25" s="348">
        <f>SUM(WATER!J29)</f>
        <v>0.66465792272243884</v>
      </c>
      <c r="M25" s="348">
        <f>WATER!Q29</f>
        <v>0</v>
      </c>
      <c r="N25" s="544">
        <v>0.6</v>
      </c>
      <c r="O25" s="10">
        <f>ELEC!B26</f>
        <v>25.990000000000002</v>
      </c>
    </row>
    <row r="26" spans="1:15">
      <c r="A26" t="s">
        <v>348</v>
      </c>
      <c r="B26">
        <f>B25+1</f>
        <v>25</v>
      </c>
      <c r="C26">
        <v>1</v>
      </c>
      <c r="D26">
        <v>2020</v>
      </c>
      <c r="E26" s="207">
        <f>ELEC!N27</f>
        <v>8971</v>
      </c>
      <c r="F26" s="347">
        <f>SUM('EDl log'!T28)</f>
        <v>0.16639366533972566</v>
      </c>
      <c r="G26" s="207">
        <f>-tanks!AW30</f>
        <v>561</v>
      </c>
      <c r="H26" s="347">
        <f>SUM(tanks!AV30)</f>
        <v>0.58350000000000002</v>
      </c>
      <c r="I26" s="10">
        <f>('B5'!AU29)*0.51</f>
        <v>45.9</v>
      </c>
      <c r="J26" s="326">
        <f>'B5'!AX29/0.51</f>
        <v>1.3725490196078429</v>
      </c>
      <c r="K26" s="207">
        <f>WATER!I30</f>
        <v>0</v>
      </c>
      <c r="L26" s="348">
        <f>SUM(WATER!J30)</f>
        <v>0</v>
      </c>
      <c r="M26" s="348">
        <f>WATER!Q30</f>
        <v>0</v>
      </c>
      <c r="N26" s="544">
        <v>0.6</v>
      </c>
      <c r="O26" s="10">
        <f>ELEC!B27</f>
        <v>23</v>
      </c>
    </row>
    <row r="27" spans="1:15">
      <c r="A27" t="s">
        <v>348</v>
      </c>
      <c r="B27">
        <f t="shared" si="0"/>
        <v>26</v>
      </c>
      <c r="C27">
        <v>1</v>
      </c>
      <c r="D27">
        <v>2020</v>
      </c>
      <c r="E27" s="207">
        <f>ELEC!N28</f>
        <v>11669.600000000093</v>
      </c>
      <c r="F27" s="347">
        <f>SUM('EDl log'!T29)</f>
        <v>7.0433532768273438E-2</v>
      </c>
      <c r="G27" s="207">
        <f>-tanks!AW31</f>
        <v>881</v>
      </c>
      <c r="H27" s="347">
        <f>SUM(tanks!AV31)</f>
        <v>0.58350000000000002</v>
      </c>
      <c r="I27" s="10">
        <f>('B5'!AU30)*0.51</f>
        <v>76.5</v>
      </c>
      <c r="J27" s="326">
        <f>'B5'!AX30/0.51</f>
        <v>1.3725490196078429</v>
      </c>
      <c r="K27" s="207">
        <f>WATER!I31</f>
        <v>339</v>
      </c>
      <c r="L27" s="348">
        <f>SUM(WATER!J31)</f>
        <v>0.71367399371966889</v>
      </c>
      <c r="M27" s="348">
        <f>WATER!Q31</f>
        <v>0</v>
      </c>
      <c r="N27" s="544">
        <v>0.6</v>
      </c>
      <c r="O27" s="10">
        <f>ELEC!B28</f>
        <v>16.007999999999999</v>
      </c>
    </row>
    <row r="28" spans="1:15">
      <c r="A28" t="s">
        <v>348</v>
      </c>
      <c r="B28">
        <f t="shared" si="0"/>
        <v>27</v>
      </c>
      <c r="C28">
        <v>1</v>
      </c>
      <c r="D28">
        <v>2020</v>
      </c>
      <c r="E28" s="207">
        <f>ELEC!N29</f>
        <v>0</v>
      </c>
      <c r="F28" s="347">
        <f>SUM('EDl log'!T30)</f>
        <v>0</v>
      </c>
      <c r="G28" s="207">
        <f>-tanks!AW32</f>
        <v>0</v>
      </c>
      <c r="H28" s="347">
        <f>SUM(tanks!AV32)</f>
        <v>0.58350000000000002</v>
      </c>
      <c r="I28" s="10">
        <f>('B5'!AU31)*0.51</f>
        <v>0</v>
      </c>
      <c r="J28" s="326">
        <f>'B5'!AX31/0.51</f>
        <v>1.3725490196078429</v>
      </c>
      <c r="K28" s="207">
        <f>WATER!I32</f>
        <v>0</v>
      </c>
      <c r="L28" s="348">
        <f>SUM(WATER!J32)</f>
        <v>0</v>
      </c>
      <c r="M28" s="348">
        <f>WATER!Q32</f>
        <v>0</v>
      </c>
      <c r="N28" s="544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1</v>
      </c>
      <c r="D29">
        <v>2020</v>
      </c>
      <c r="E29" s="207">
        <f>ELEC!N30</f>
        <v>0</v>
      </c>
      <c r="F29" s="347">
        <f>SUM('EDl log'!T31)</f>
        <v>0</v>
      </c>
      <c r="G29" s="207">
        <f>-tanks!AW33</f>
        <v>0</v>
      </c>
      <c r="H29" s="347">
        <f>SUM(tanks!AV33)</f>
        <v>0.58350000000000002</v>
      </c>
      <c r="I29" s="10">
        <f>('B5'!AU32)*0.51</f>
        <v>0</v>
      </c>
      <c r="J29" s="326">
        <f>'B5'!AX32/0.51</f>
        <v>1.3725490196078429</v>
      </c>
      <c r="K29" s="207">
        <f>WATER!I33</f>
        <v>0</v>
      </c>
      <c r="L29" s="348">
        <f>SUM(WATER!J33)</f>
        <v>0</v>
      </c>
      <c r="M29" s="348">
        <f>WATER!Q33</f>
        <v>0</v>
      </c>
      <c r="N29" s="544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1</v>
      </c>
      <c r="D30">
        <v>2020</v>
      </c>
      <c r="E30" s="207">
        <f>ELEC!N31</f>
        <v>0</v>
      </c>
      <c r="F30" s="347">
        <f>SUM('EDl log'!T32)</f>
        <v>0</v>
      </c>
      <c r="G30" s="207">
        <f>-tanks!AW34</f>
        <v>0</v>
      </c>
      <c r="H30" s="347">
        <f>SUM(tanks!AV34)</f>
        <v>0.58350000000000002</v>
      </c>
      <c r="I30" s="10">
        <f>('B5'!AU33)*0.51</f>
        <v>0</v>
      </c>
      <c r="J30" s="326">
        <f>'B5'!AX33/0.51</f>
        <v>1.3725490196078429</v>
      </c>
      <c r="K30" s="207">
        <f>WATER!I34</f>
        <v>0</v>
      </c>
      <c r="L30" s="348">
        <f>SUM(WATER!J34)</f>
        <v>0</v>
      </c>
      <c r="M30" s="348">
        <f>WATER!Q34</f>
        <v>0</v>
      </c>
      <c r="N30" s="544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1</v>
      </c>
      <c r="D31">
        <v>2020</v>
      </c>
      <c r="E31" s="207">
        <f>ELEC!N32</f>
        <v>0</v>
      </c>
      <c r="F31" s="347">
        <f>SUM('EDl log'!T33)</f>
        <v>0</v>
      </c>
      <c r="G31" s="207">
        <f>-tanks!AW35</f>
        <v>0</v>
      </c>
      <c r="H31" s="347">
        <f>SUM(tanks!AV35)</f>
        <v>0.58350000000000002</v>
      </c>
      <c r="I31" s="10">
        <f>('B5'!AU34)*0.51</f>
        <v>0</v>
      </c>
      <c r="J31" s="326">
        <f>'B5'!AX34/0.51</f>
        <v>1.3725490196078429</v>
      </c>
      <c r="K31" s="207">
        <f>WATER!I35</f>
        <v>0</v>
      </c>
      <c r="L31" s="348">
        <f>SUM(WATER!J35)</f>
        <v>0</v>
      </c>
      <c r="M31" s="348">
        <f>WATER!Q35</f>
        <v>0</v>
      </c>
      <c r="N31" s="544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1</v>
      </c>
      <c r="D32">
        <v>2020</v>
      </c>
      <c r="E32" s="207">
        <f>ELEC!N33</f>
        <v>0</v>
      </c>
      <c r="F32" s="347">
        <f>SUM('EDl log'!T34)</f>
        <v>0</v>
      </c>
      <c r="G32" s="207">
        <f>-tanks!AW36</f>
        <v>0</v>
      </c>
      <c r="H32" s="347">
        <f>SUM(tanks!AV36)</f>
        <v>0.58350000000000002</v>
      </c>
      <c r="I32" s="10">
        <f>('B5'!AU35)*0.51</f>
        <v>0</v>
      </c>
      <c r="J32" s="326">
        <f>'B5'!AX35/0.51</f>
        <v>1.3725490196078429</v>
      </c>
      <c r="K32" s="207">
        <f>WATER!I36</f>
        <v>0</v>
      </c>
      <c r="L32" s="348">
        <f>SUM(WATER!J36)</f>
        <v>0</v>
      </c>
      <c r="M32" s="348">
        <f>WATER!Q36</f>
        <v>0</v>
      </c>
      <c r="N32" s="544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E34" sqref="E34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1</v>
      </c>
      <c r="D2">
        <v>2020</v>
      </c>
      <c r="E2" s="207">
        <f>ELEC!M3</f>
        <v>4850</v>
      </c>
      <c r="F2" s="207">
        <f>ELEC!K3</f>
        <v>1588</v>
      </c>
      <c r="G2" s="207">
        <f>ELEC!I3</f>
        <v>2628</v>
      </c>
      <c r="H2" s="207">
        <f>ELEC!E3</f>
        <v>2900</v>
      </c>
      <c r="I2" s="207">
        <f>ELEC!G3</f>
        <v>2273</v>
      </c>
      <c r="J2" s="207">
        <f>WATER!Y6</f>
        <v>48</v>
      </c>
      <c r="K2" s="207">
        <f>WATER!AJ6</f>
        <v>81</v>
      </c>
      <c r="L2" s="10">
        <f>ELEC!B3</f>
        <v>97.98</v>
      </c>
      <c r="M2" s="10"/>
    </row>
    <row r="3" spans="1:13">
      <c r="A3" t="s">
        <v>348</v>
      </c>
      <c r="B3">
        <f>B2+1</f>
        <v>2</v>
      </c>
      <c r="C3">
        <v>1</v>
      </c>
      <c r="D3">
        <v>2020</v>
      </c>
      <c r="E3" s="207">
        <f>ELEC!M4</f>
        <v>4714</v>
      </c>
      <c r="F3" s="207">
        <f>ELEC!K4</f>
        <v>1882</v>
      </c>
      <c r="G3" s="207">
        <f>ELEC!I4</f>
        <v>2598</v>
      </c>
      <c r="H3" s="207">
        <f>ELEC!E4</f>
        <v>3560</v>
      </c>
      <c r="I3" s="207">
        <f>ELEC!G4</f>
        <v>2349</v>
      </c>
      <c r="J3" s="207">
        <f>WATER!Y7</f>
        <v>88</v>
      </c>
      <c r="K3" s="207">
        <f>WATER!AJ7</f>
        <v>59</v>
      </c>
      <c r="L3" s="10">
        <f>ELEC!B4</f>
        <v>77.003999999999991</v>
      </c>
      <c r="M3" s="10"/>
    </row>
    <row r="4" spans="1:13">
      <c r="A4" t="s">
        <v>348</v>
      </c>
      <c r="B4">
        <f t="shared" ref="B4:B32" si="0">B3+1</f>
        <v>3</v>
      </c>
      <c r="C4">
        <v>1</v>
      </c>
      <c r="D4">
        <v>2020</v>
      </c>
      <c r="E4" s="207">
        <f>ELEC!M5</f>
        <v>4880</v>
      </c>
      <c r="F4" s="207">
        <f>ELEC!K5</f>
        <v>1846</v>
      </c>
      <c r="G4" s="207">
        <f>ELEC!I5</f>
        <v>2558</v>
      </c>
      <c r="H4" s="207">
        <f>ELEC!E5</f>
        <v>3438</v>
      </c>
      <c r="I4" s="207">
        <f>ELEC!G5</f>
        <v>2451</v>
      </c>
      <c r="J4" s="207">
        <f>WATER!Y8</f>
        <v>20</v>
      </c>
      <c r="K4" s="207">
        <f>WATER!AJ8</f>
        <v>27</v>
      </c>
      <c r="L4" s="10">
        <f>ELEC!B5</f>
        <v>63.986000000000004</v>
      </c>
      <c r="M4" s="10"/>
    </row>
    <row r="5" spans="1:13">
      <c r="A5" t="s">
        <v>348</v>
      </c>
      <c r="B5">
        <f t="shared" si="0"/>
        <v>4</v>
      </c>
      <c r="C5">
        <v>1</v>
      </c>
      <c r="D5">
        <v>2020</v>
      </c>
      <c r="E5" s="207">
        <f>ELEC!M6</f>
        <v>5028</v>
      </c>
      <c r="F5" s="207">
        <f>ELEC!K6</f>
        <v>2324</v>
      </c>
      <c r="G5" s="207">
        <f>ELEC!I6</f>
        <v>2522</v>
      </c>
      <c r="H5" s="207">
        <f>ELEC!E6</f>
        <v>3480</v>
      </c>
      <c r="I5" s="207">
        <f>ELEC!G6</f>
        <v>2463</v>
      </c>
      <c r="J5" s="207">
        <f>WATER!Y9</f>
        <v>98</v>
      </c>
      <c r="K5" s="207">
        <f>WATER!AJ9</f>
        <v>2</v>
      </c>
      <c r="L5" s="10">
        <f>ELEC!B6</f>
        <v>48.99</v>
      </c>
      <c r="M5" s="10"/>
    </row>
    <row r="6" spans="1:13">
      <c r="A6" t="s">
        <v>348</v>
      </c>
      <c r="B6">
        <f t="shared" si="0"/>
        <v>5</v>
      </c>
      <c r="C6">
        <v>1</v>
      </c>
      <c r="D6">
        <v>2020</v>
      </c>
      <c r="E6" s="207">
        <f>ELEC!M7</f>
        <v>4398</v>
      </c>
      <c r="F6" s="207">
        <f>ELEC!K7</f>
        <v>1702</v>
      </c>
      <c r="G6" s="207">
        <f>ELEC!I7</f>
        <v>2078</v>
      </c>
      <c r="H6" s="207">
        <f>ELEC!E7</f>
        <v>2736</v>
      </c>
      <c r="I6" s="207">
        <f>ELEC!G7</f>
        <v>1995</v>
      </c>
      <c r="J6" s="207">
        <f>WATER!Y10</f>
        <v>4</v>
      </c>
      <c r="K6" s="207">
        <f>WATER!AJ10</f>
        <v>53</v>
      </c>
      <c r="L6" s="10">
        <f>ELEC!B7</f>
        <v>37.006999999999998</v>
      </c>
      <c r="M6" s="10"/>
    </row>
    <row r="7" spans="1:13">
      <c r="A7" t="s">
        <v>348</v>
      </c>
      <c r="B7">
        <f t="shared" si="0"/>
        <v>6</v>
      </c>
      <c r="C7">
        <v>1</v>
      </c>
      <c r="D7">
        <v>2020</v>
      </c>
      <c r="E7" s="207">
        <f>ELEC!M8</f>
        <v>3870</v>
      </c>
      <c r="F7" s="207">
        <f>ELEC!K8</f>
        <v>1900</v>
      </c>
      <c r="G7" s="207">
        <f>ELEC!I8</f>
        <v>2188</v>
      </c>
      <c r="H7" s="207">
        <f>ELEC!E8</f>
        <v>3034</v>
      </c>
      <c r="I7" s="207">
        <f>ELEC!G8</f>
        <v>2146</v>
      </c>
      <c r="J7" s="207">
        <f>WATER!Y11</f>
        <v>54</v>
      </c>
      <c r="K7" s="207">
        <f>WATER!AJ11</f>
        <v>57</v>
      </c>
      <c r="L7" s="10">
        <f>ELEC!B8</f>
        <v>37.996000000000002</v>
      </c>
      <c r="M7" s="10"/>
    </row>
    <row r="8" spans="1:13">
      <c r="A8" t="s">
        <v>348</v>
      </c>
      <c r="B8">
        <f t="shared" si="0"/>
        <v>7</v>
      </c>
      <c r="C8">
        <v>1</v>
      </c>
      <c r="D8">
        <v>2020</v>
      </c>
      <c r="E8" s="207">
        <f>ELEC!M9</f>
        <v>3880</v>
      </c>
      <c r="F8" s="207">
        <f>ELEC!K9</f>
        <v>1810</v>
      </c>
      <c r="G8" s="207">
        <f>ELEC!I9</f>
        <v>2068</v>
      </c>
      <c r="H8" s="207">
        <f>ELEC!E9</f>
        <v>2972</v>
      </c>
      <c r="I8" s="207">
        <f>ELEC!G9</f>
        <v>2142</v>
      </c>
      <c r="J8" s="207">
        <f>WATER!Y12</f>
        <v>0</v>
      </c>
      <c r="K8" s="207">
        <f>WATER!AJ12</f>
        <v>31</v>
      </c>
      <c r="L8" s="10">
        <f>ELEC!B9</f>
        <v>54.004000000000005</v>
      </c>
      <c r="M8" s="10"/>
    </row>
    <row r="9" spans="1:13">
      <c r="A9" t="s">
        <v>348</v>
      </c>
      <c r="B9">
        <f t="shared" si="0"/>
        <v>8</v>
      </c>
      <c r="C9">
        <v>1</v>
      </c>
      <c r="D9">
        <v>2020</v>
      </c>
      <c r="E9" s="207">
        <f>ELEC!M10</f>
        <v>3650</v>
      </c>
      <c r="F9" s="207">
        <f>ELEC!K10</f>
        <v>1850</v>
      </c>
      <c r="G9" s="207">
        <f>ELEC!I10</f>
        <v>2170</v>
      </c>
      <c r="H9" s="207">
        <f>ELEC!E10</f>
        <v>2648</v>
      </c>
      <c r="I9" s="207">
        <f>ELEC!G10</f>
        <v>2218.3999999999069</v>
      </c>
      <c r="J9" s="207">
        <f>WATER!Y13</f>
        <v>68</v>
      </c>
      <c r="K9" s="207">
        <f>WATER!AJ13</f>
        <v>58</v>
      </c>
      <c r="L9" s="10">
        <f>ELEC!B10</f>
        <v>53.82</v>
      </c>
      <c r="M9" s="10"/>
    </row>
    <row r="10" spans="1:13">
      <c r="A10" t="s">
        <v>348</v>
      </c>
      <c r="B10">
        <f t="shared" si="0"/>
        <v>9</v>
      </c>
      <c r="C10">
        <v>1</v>
      </c>
      <c r="D10">
        <v>2020</v>
      </c>
      <c r="E10" s="207">
        <f>ELEC!M11</f>
        <v>4112</v>
      </c>
      <c r="F10" s="207">
        <f>ELEC!K11</f>
        <v>1578</v>
      </c>
      <c r="G10" s="207">
        <f>ELEC!I11</f>
        <v>2178</v>
      </c>
      <c r="H10" s="207">
        <f>ELEC!E11</f>
        <v>3440</v>
      </c>
      <c r="I10" s="207">
        <f>ELEC!G11</f>
        <v>2323.6000000000931</v>
      </c>
      <c r="J10" s="207">
        <f>WATER!Y14</f>
        <v>52</v>
      </c>
      <c r="K10" s="207">
        <f>WATER!AJ14</f>
        <v>4</v>
      </c>
      <c r="L10" s="10">
        <f>ELEC!B11</f>
        <v>48.000999999999998</v>
      </c>
      <c r="M10" s="10"/>
    </row>
    <row r="11" spans="1:13">
      <c r="A11" t="s">
        <v>348</v>
      </c>
      <c r="B11">
        <f t="shared" si="0"/>
        <v>10</v>
      </c>
      <c r="C11">
        <v>1</v>
      </c>
      <c r="D11">
        <v>2020</v>
      </c>
      <c r="E11" s="207">
        <f>ELEC!M12</f>
        <v>3938</v>
      </c>
      <c r="F11" s="207">
        <f>ELEC!K12</f>
        <v>1634</v>
      </c>
      <c r="G11" s="207">
        <f>ELEC!I12</f>
        <v>2182</v>
      </c>
      <c r="H11" s="207">
        <f>ELEC!E12</f>
        <v>3044</v>
      </c>
      <c r="I11" s="207">
        <f>ELEC!G12</f>
        <v>2264.7999999998137</v>
      </c>
      <c r="J11" s="207">
        <f>WATER!Y15</f>
        <v>140</v>
      </c>
      <c r="K11" s="207">
        <f>WATER!AJ15</f>
        <v>51</v>
      </c>
      <c r="L11" s="10">
        <f>ELEC!B12</f>
        <v>46</v>
      </c>
      <c r="M11" s="10"/>
    </row>
    <row r="12" spans="1:13">
      <c r="A12" t="s">
        <v>348</v>
      </c>
      <c r="B12">
        <f t="shared" si="0"/>
        <v>11</v>
      </c>
      <c r="C12">
        <v>1</v>
      </c>
      <c r="D12">
        <v>2020</v>
      </c>
      <c r="E12" s="207">
        <f>ELEC!M13</f>
        <v>4798</v>
      </c>
      <c r="F12" s="207">
        <f>ELEC!K13</f>
        <v>1598</v>
      </c>
      <c r="G12" s="207">
        <f>ELEC!I13</f>
        <v>2306</v>
      </c>
      <c r="H12" s="207">
        <f>ELEC!E13</f>
        <v>3078</v>
      </c>
      <c r="I12" s="207">
        <f>ELEC!G13</f>
        <v>2231.2000000001863</v>
      </c>
      <c r="J12" s="207">
        <f>WATER!Y16</f>
        <v>67</v>
      </c>
      <c r="K12" s="207">
        <f>WATER!AJ16</f>
        <v>35</v>
      </c>
      <c r="L12" s="10">
        <f>ELEC!B13</f>
        <v>39.008000000000003</v>
      </c>
      <c r="M12" s="10"/>
    </row>
    <row r="13" spans="1:13">
      <c r="A13" t="s">
        <v>348</v>
      </c>
      <c r="B13">
        <f t="shared" si="0"/>
        <v>12</v>
      </c>
      <c r="C13">
        <v>1</v>
      </c>
      <c r="D13">
        <v>2020</v>
      </c>
      <c r="E13" s="207">
        <f>ELEC!M14</f>
        <v>4462</v>
      </c>
      <c r="F13" s="207">
        <f>ELEC!K14</f>
        <v>1534</v>
      </c>
      <c r="G13" s="207">
        <f>ELEC!I14</f>
        <v>2480</v>
      </c>
      <c r="H13" s="207">
        <f>ELEC!E14</f>
        <v>3214</v>
      </c>
      <c r="I13" s="207">
        <f>ELEC!G14</f>
        <v>2485</v>
      </c>
      <c r="J13" s="207">
        <f>WATER!Y17</f>
        <v>101</v>
      </c>
      <c r="K13" s="207">
        <f>WATER!AJ17</f>
        <v>110</v>
      </c>
      <c r="L13" s="10">
        <f>ELEC!B14</f>
        <v>39.997</v>
      </c>
      <c r="M13" s="10"/>
    </row>
    <row r="14" spans="1:13">
      <c r="A14" t="s">
        <v>348</v>
      </c>
      <c r="B14">
        <f t="shared" si="0"/>
        <v>13</v>
      </c>
      <c r="C14">
        <v>1</v>
      </c>
      <c r="D14">
        <v>2020</v>
      </c>
      <c r="E14" s="207">
        <f>ELEC!M15</f>
        <v>3916</v>
      </c>
      <c r="F14" s="207">
        <f>ELEC!K15</f>
        <v>2088</v>
      </c>
      <c r="G14" s="207">
        <f>ELEC!I15</f>
        <v>2052</v>
      </c>
      <c r="H14" s="207">
        <f>ELEC!E15</f>
        <v>2560</v>
      </c>
      <c r="I14" s="207">
        <f>ELEC!G15</f>
        <v>2185</v>
      </c>
      <c r="J14" s="207">
        <f>WATER!Y18</f>
        <v>75</v>
      </c>
      <c r="K14" s="207">
        <f>WATER!AJ18</f>
        <v>0</v>
      </c>
      <c r="L14" s="10">
        <f>ELEC!B15</f>
        <v>41.998000000000005</v>
      </c>
      <c r="M14" s="10"/>
    </row>
    <row r="15" spans="1:13">
      <c r="A15" t="s">
        <v>348</v>
      </c>
      <c r="B15">
        <f t="shared" si="0"/>
        <v>14</v>
      </c>
      <c r="C15">
        <v>1</v>
      </c>
      <c r="D15">
        <v>2020</v>
      </c>
      <c r="E15" s="207">
        <f>ELEC!M16</f>
        <v>4372</v>
      </c>
      <c r="F15" s="207">
        <f>ELEC!K16</f>
        <v>1628</v>
      </c>
      <c r="G15" s="207">
        <f>ELEC!I16</f>
        <v>2136</v>
      </c>
      <c r="H15" s="207">
        <f>ELEC!E16</f>
        <v>2400</v>
      </c>
      <c r="I15" s="207">
        <f>ELEC!G16</f>
        <v>2042</v>
      </c>
      <c r="J15" s="207">
        <f>WATER!Y19</f>
        <v>90</v>
      </c>
      <c r="K15" s="207">
        <f>WATER!AJ19</f>
        <v>57</v>
      </c>
      <c r="L15" s="10">
        <f>ELEC!B16</f>
        <v>48.000999999999998</v>
      </c>
      <c r="M15" s="10"/>
    </row>
    <row r="16" spans="1:13">
      <c r="A16" t="s">
        <v>348</v>
      </c>
      <c r="B16">
        <f t="shared" si="0"/>
        <v>15</v>
      </c>
      <c r="C16">
        <v>1</v>
      </c>
      <c r="D16">
        <v>2020</v>
      </c>
      <c r="E16" s="207">
        <f>ELEC!M17</f>
        <v>4270</v>
      </c>
      <c r="F16" s="207">
        <f>ELEC!K17</f>
        <v>1678</v>
      </c>
      <c r="G16" s="207">
        <f>ELEC!I17</f>
        <v>2104</v>
      </c>
      <c r="H16" s="207">
        <f>ELEC!E17</f>
        <v>2696</v>
      </c>
      <c r="I16" s="207">
        <f>ELEC!G17</f>
        <v>2131</v>
      </c>
      <c r="J16" s="207">
        <f>WATER!Y20</f>
        <v>2</v>
      </c>
      <c r="K16" s="207">
        <f>WATER!AJ20</f>
        <v>0</v>
      </c>
      <c r="L16" s="10">
        <f>ELEC!B17</f>
        <v>52.003</v>
      </c>
      <c r="M16" s="10"/>
    </row>
    <row r="17" spans="1:13">
      <c r="A17" t="s">
        <v>348</v>
      </c>
      <c r="B17">
        <f t="shared" si="0"/>
        <v>16</v>
      </c>
      <c r="C17">
        <v>1</v>
      </c>
      <c r="D17">
        <v>2020</v>
      </c>
      <c r="E17" s="207">
        <f>ELEC!M18</f>
        <v>3682</v>
      </c>
      <c r="F17" s="207">
        <f>ELEC!K18</f>
        <v>1936</v>
      </c>
      <c r="G17" s="207">
        <f>ELEC!I18</f>
        <v>1696</v>
      </c>
      <c r="H17" s="207">
        <f>ELEC!E18</f>
        <v>2188</v>
      </c>
      <c r="I17" s="207">
        <f>ELEC!G18</f>
        <v>1867.3999999999069</v>
      </c>
      <c r="J17" s="207">
        <f>WATER!Y21</f>
        <v>69</v>
      </c>
      <c r="K17" s="207">
        <f>WATER!AJ21</f>
        <v>89</v>
      </c>
      <c r="L17" s="10">
        <f>ELEC!B18</f>
        <v>52.003</v>
      </c>
      <c r="M17" s="10"/>
    </row>
    <row r="18" spans="1:13">
      <c r="A18" t="s">
        <v>348</v>
      </c>
      <c r="B18">
        <f t="shared" si="0"/>
        <v>17</v>
      </c>
      <c r="C18">
        <v>1</v>
      </c>
      <c r="D18">
        <v>2020</v>
      </c>
      <c r="E18" s="207">
        <f>ELEC!M19</f>
        <v>4630</v>
      </c>
      <c r="F18" s="207">
        <f>ELEC!K19</f>
        <v>1580</v>
      </c>
      <c r="G18" s="207">
        <f>ELEC!I19</f>
        <v>2360</v>
      </c>
      <c r="H18" s="207">
        <f>ELEC!E19</f>
        <v>3306</v>
      </c>
      <c r="I18" s="207">
        <f>ELEC!G19</f>
        <v>2373.6000000000931</v>
      </c>
      <c r="J18" s="207">
        <f>WATER!Y22</f>
        <v>0</v>
      </c>
      <c r="K18" s="207">
        <f>WATER!AJ22</f>
        <v>0</v>
      </c>
      <c r="L18" s="10">
        <f>ELEC!B19</f>
        <v>39.997</v>
      </c>
      <c r="M18" s="10"/>
    </row>
    <row r="19" spans="1:13">
      <c r="A19" t="s">
        <v>348</v>
      </c>
      <c r="B19">
        <f t="shared" si="0"/>
        <v>18</v>
      </c>
      <c r="C19">
        <v>1</v>
      </c>
      <c r="D19">
        <v>2020</v>
      </c>
      <c r="E19" s="207">
        <f>ELEC!M20</f>
        <v>3298</v>
      </c>
      <c r="F19" s="207">
        <f>ELEC!K20</f>
        <v>1320</v>
      </c>
      <c r="G19" s="207">
        <f>ELEC!I20</f>
        <v>1992</v>
      </c>
      <c r="H19" s="207">
        <f>ELEC!E20</f>
        <v>2422</v>
      </c>
      <c r="I19" s="207">
        <f>ELEC!G20</f>
        <v>2112</v>
      </c>
      <c r="J19" s="207">
        <f>WATER!Y23</f>
        <v>183</v>
      </c>
      <c r="K19" s="207">
        <f>WATER!AJ23</f>
        <v>86</v>
      </c>
      <c r="L19" s="10">
        <f>ELEC!B20</f>
        <v>22.010999999999999</v>
      </c>
      <c r="M19" s="10"/>
    </row>
    <row r="20" spans="1:13">
      <c r="A20" t="s">
        <v>348</v>
      </c>
      <c r="B20">
        <f t="shared" si="0"/>
        <v>19</v>
      </c>
      <c r="C20">
        <v>1</v>
      </c>
      <c r="D20">
        <v>2020</v>
      </c>
      <c r="E20" s="207">
        <f>ELEC!M21</f>
        <v>3048</v>
      </c>
      <c r="F20" s="207">
        <f>ELEC!K21</f>
        <v>1046</v>
      </c>
      <c r="G20" s="207">
        <f>ELEC!I21</f>
        <v>1668</v>
      </c>
      <c r="H20" s="207">
        <f>ELEC!E21</f>
        <v>1496</v>
      </c>
      <c r="I20" s="207">
        <f>ELEC!G21</f>
        <v>1778</v>
      </c>
      <c r="J20" s="207">
        <f>WATER!Y24</f>
        <v>8</v>
      </c>
      <c r="K20" s="207">
        <f>WATER!AJ24</f>
        <v>0</v>
      </c>
      <c r="L20" s="10">
        <f>ELEC!B21</f>
        <v>20.999000000000002</v>
      </c>
      <c r="M20" s="10"/>
    </row>
    <row r="21" spans="1:13">
      <c r="A21" t="s">
        <v>348</v>
      </c>
      <c r="B21">
        <f t="shared" si="0"/>
        <v>20</v>
      </c>
      <c r="C21">
        <v>1</v>
      </c>
      <c r="D21">
        <v>2020</v>
      </c>
      <c r="E21" s="207">
        <f>ELEC!M22</f>
        <v>3596</v>
      </c>
      <c r="F21" s="207">
        <f>ELEC!K22</f>
        <v>1502</v>
      </c>
      <c r="G21" s="207">
        <f>ELEC!I22</f>
        <v>1980</v>
      </c>
      <c r="H21" s="207">
        <f>ELEC!E22</f>
        <v>2828</v>
      </c>
      <c r="I21" s="207">
        <f>ELEC!G22</f>
        <v>1994</v>
      </c>
      <c r="J21" s="207">
        <f>WATER!Y25</f>
        <v>42</v>
      </c>
      <c r="K21" s="207">
        <f>WATER!AJ25</f>
        <v>79</v>
      </c>
      <c r="L21" s="10">
        <f>ELEC!B22</f>
        <v>25.001000000000001</v>
      </c>
      <c r="M21" s="10"/>
    </row>
    <row r="22" spans="1:13">
      <c r="A22" t="s">
        <v>348</v>
      </c>
      <c r="B22">
        <f t="shared" si="0"/>
        <v>21</v>
      </c>
      <c r="C22">
        <v>1</v>
      </c>
      <c r="D22">
        <v>2020</v>
      </c>
      <c r="E22" s="207">
        <f>ELEC!M23</f>
        <v>3538</v>
      </c>
      <c r="F22" s="207">
        <f>ELEC!K23</f>
        <v>1760</v>
      </c>
      <c r="G22" s="207">
        <f>ELEC!I23</f>
        <v>1936</v>
      </c>
      <c r="H22" s="207">
        <f>ELEC!E23</f>
        <v>2212</v>
      </c>
      <c r="I22" s="207">
        <f>ELEC!G23</f>
        <v>1923.2000000001863</v>
      </c>
      <c r="J22" s="207">
        <f>WATER!Y26</f>
        <v>0</v>
      </c>
      <c r="K22" s="207">
        <f>WATER!AJ26</f>
        <v>0</v>
      </c>
      <c r="L22" s="10">
        <f>ELEC!B23</f>
        <v>27.991</v>
      </c>
      <c r="M22" s="10"/>
    </row>
    <row r="23" spans="1:13">
      <c r="A23" t="s">
        <v>348</v>
      </c>
      <c r="B23">
        <f t="shared" si="0"/>
        <v>22</v>
      </c>
      <c r="C23">
        <v>1</v>
      </c>
      <c r="D23">
        <v>2020</v>
      </c>
      <c r="E23" s="207">
        <f>ELEC!M24</f>
        <v>3762</v>
      </c>
      <c r="F23" s="207">
        <f>ELEC!K24</f>
        <v>1302</v>
      </c>
      <c r="G23" s="207">
        <f>ELEC!I24</f>
        <v>1980</v>
      </c>
      <c r="H23" s="207">
        <f>ELEC!E24</f>
        <v>1908</v>
      </c>
      <c r="I23" s="207">
        <f>ELEC!G24</f>
        <v>2018</v>
      </c>
      <c r="J23" s="207">
        <f>WATER!Y27</f>
        <v>7</v>
      </c>
      <c r="K23" s="207">
        <f>WATER!AJ27</f>
        <v>57</v>
      </c>
      <c r="L23" s="10">
        <f>ELEC!B24</f>
        <v>29.900000000000002</v>
      </c>
      <c r="M23" s="10"/>
    </row>
    <row r="24" spans="1:13">
      <c r="A24" t="s">
        <v>348</v>
      </c>
      <c r="B24">
        <f t="shared" si="0"/>
        <v>23</v>
      </c>
      <c r="C24">
        <v>1</v>
      </c>
      <c r="D24">
        <v>2020</v>
      </c>
      <c r="E24" s="207">
        <f>ELEC!M25</f>
        <v>3584</v>
      </c>
      <c r="F24" s="207">
        <f>ELEC!K25</f>
        <v>1288</v>
      </c>
      <c r="G24" s="207">
        <f>ELEC!I25</f>
        <v>1972</v>
      </c>
      <c r="H24" s="207">
        <f>ELEC!E25</f>
        <v>1822</v>
      </c>
      <c r="I24" s="207">
        <f>ELEC!G25</f>
        <v>2006.7999999998137</v>
      </c>
      <c r="J24" s="207">
        <f>WATER!Y28</f>
        <v>35</v>
      </c>
      <c r="K24" s="207">
        <f>WATER!AJ28</f>
        <v>13</v>
      </c>
      <c r="L24" s="10">
        <f>ELEC!B25</f>
        <v>33.994</v>
      </c>
      <c r="M24" s="10"/>
    </row>
    <row r="25" spans="1:13">
      <c r="A25" t="s">
        <v>348</v>
      </c>
      <c r="B25">
        <f t="shared" si="0"/>
        <v>24</v>
      </c>
      <c r="C25">
        <v>1</v>
      </c>
      <c r="D25">
        <v>2020</v>
      </c>
      <c r="E25" s="207">
        <f>ELEC!M26</f>
        <v>4933</v>
      </c>
      <c r="F25" s="207">
        <f>ELEC!K26</f>
        <v>1350</v>
      </c>
      <c r="G25" s="207">
        <f>ELEC!I26</f>
        <v>1960</v>
      </c>
      <c r="H25" s="207">
        <f>ELEC!E26</f>
        <v>1966</v>
      </c>
      <c r="I25" s="207">
        <f>ELEC!G26</f>
        <v>1912</v>
      </c>
      <c r="J25" s="207">
        <f>WATER!Y29</f>
        <v>129</v>
      </c>
      <c r="K25" s="207">
        <f>WATER!AJ29</f>
        <v>131</v>
      </c>
      <c r="L25" s="10">
        <f>ELEC!B26</f>
        <v>25.990000000000002</v>
      </c>
      <c r="M25" s="10"/>
    </row>
    <row r="26" spans="1:13">
      <c r="A26" t="s">
        <v>348</v>
      </c>
      <c r="B26">
        <f>B25+1</f>
        <v>25</v>
      </c>
      <c r="C26">
        <v>1</v>
      </c>
      <c r="D26">
        <v>2020</v>
      </c>
      <c r="E26" s="207">
        <f>ELEC!M27</f>
        <v>1887</v>
      </c>
      <c r="F26" s="207">
        <f>ELEC!K27</f>
        <v>1288</v>
      </c>
      <c r="G26" s="207">
        <f>ELEC!I27</f>
        <v>1908</v>
      </c>
      <c r="H26" s="207">
        <f>ELEC!E27</f>
        <v>2044</v>
      </c>
      <c r="I26" s="207">
        <f>ELEC!G27</f>
        <v>1844</v>
      </c>
      <c r="J26" s="207">
        <f>WATER!Y30</f>
        <v>13</v>
      </c>
      <c r="K26" s="207">
        <f>WATER!AJ30</f>
        <v>17</v>
      </c>
      <c r="L26" s="10">
        <f>ELEC!B27</f>
        <v>23</v>
      </c>
      <c r="M26" s="10"/>
    </row>
    <row r="27" spans="1:13">
      <c r="A27" t="s">
        <v>348</v>
      </c>
      <c r="B27">
        <f t="shared" si="0"/>
        <v>26</v>
      </c>
      <c r="C27">
        <v>1</v>
      </c>
      <c r="D27">
        <v>2020</v>
      </c>
      <c r="E27" s="207">
        <f>ELEC!M28</f>
        <v>3850</v>
      </c>
      <c r="F27" s="207">
        <f>ELEC!K28</f>
        <v>1476</v>
      </c>
      <c r="G27" s="207">
        <f>ELEC!I28</f>
        <v>2008</v>
      </c>
      <c r="H27" s="207">
        <f>ELEC!E28</f>
        <v>2284</v>
      </c>
      <c r="I27" s="207">
        <f>ELEC!G28</f>
        <v>2051.6000000000931</v>
      </c>
      <c r="J27" s="207">
        <f>WATER!Y31</f>
        <v>77</v>
      </c>
      <c r="K27" s="207">
        <f>WATER!AJ31</f>
        <v>102</v>
      </c>
      <c r="L27" s="10">
        <f>ELEC!B28</f>
        <v>16.007999999999999</v>
      </c>
      <c r="M27" s="10"/>
    </row>
    <row r="28" spans="1:13">
      <c r="A28" t="s">
        <v>348</v>
      </c>
      <c r="B28">
        <f t="shared" si="0"/>
        <v>27</v>
      </c>
      <c r="C28">
        <v>1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1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1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1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1</v>
      </c>
      <c r="D32">
        <v>2020</v>
      </c>
      <c r="E32" s="207">
        <f>ELEC!M33</f>
        <v>0</v>
      </c>
      <c r="F32" s="207">
        <f>ELEC!K33</f>
        <v>0</v>
      </c>
      <c r="G32" s="207">
        <f>ELEC!I33</f>
        <v>0</v>
      </c>
      <c r="H32" s="207">
        <f>ELEC!E33</f>
        <v>0</v>
      </c>
      <c r="I32" s="207">
        <f>ELEC!G33</f>
        <v>0</v>
      </c>
      <c r="J32" s="207">
        <f>WATER!Y36</f>
        <v>0</v>
      </c>
      <c r="K32" s="207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zoomScaleNormal="100" zoomScaleSheetLayoutView="100" workbookViewId="0">
      <pane ySplit="1" topLeftCell="A11" activePane="bottomLeft" state="frozen"/>
      <selection activeCell="C1" sqref="C1"/>
      <selection pane="bottomLeft" activeCell="AF28" sqref="AF28"/>
    </sheetView>
  </sheetViews>
  <sheetFormatPr defaultRowHeight="15"/>
  <cols>
    <col min="1" max="1" width="7.7109375" style="501" bestFit="1" customWidth="1"/>
    <col min="2" max="2" width="10.28515625" style="510" bestFit="1" customWidth="1"/>
    <col min="3" max="3" width="11.5703125" style="501" customWidth="1"/>
    <col min="4" max="4" width="18" style="511" bestFit="1" customWidth="1"/>
    <col min="5" max="5" width="14.42578125" style="511" bestFit="1" customWidth="1"/>
    <col min="6" max="6" width="15.28515625" style="511" bestFit="1" customWidth="1"/>
    <col min="7" max="7" width="12" style="511" bestFit="1" customWidth="1"/>
    <col min="8" max="8" width="18" style="511" bestFit="1" customWidth="1"/>
    <col min="9" max="9" width="13" style="511" bestFit="1" customWidth="1"/>
    <col min="10" max="10" width="18" style="511" bestFit="1" customWidth="1"/>
    <col min="11" max="11" width="11.7109375" style="511" bestFit="1" customWidth="1"/>
    <col min="12" max="12" width="18" style="511" bestFit="1" customWidth="1"/>
    <col min="13" max="13" width="12" style="511" bestFit="1" customWidth="1"/>
    <col min="14" max="14" width="15.42578125" style="501" bestFit="1" customWidth="1"/>
    <col min="15" max="15" width="13.140625" style="512" bestFit="1" customWidth="1"/>
    <col min="16" max="16" width="14.28515625" style="501" bestFit="1" customWidth="1"/>
    <col min="17" max="17" width="13.7109375" style="501" bestFit="1" customWidth="1"/>
    <col min="18" max="18" width="12.42578125" style="501" bestFit="1" customWidth="1"/>
    <col min="19" max="21" width="11.5703125" style="501" bestFit="1" customWidth="1"/>
    <col min="22" max="22" width="13.140625" style="501" bestFit="1" customWidth="1"/>
    <col min="23" max="25" width="11.5703125" style="501" bestFit="1" customWidth="1"/>
    <col min="26" max="26" width="13.140625" style="501" bestFit="1" customWidth="1"/>
    <col min="27" max="29" width="11.5703125" style="501" bestFit="1" customWidth="1"/>
    <col min="30" max="30" width="13.140625" style="501" bestFit="1" customWidth="1"/>
    <col min="31" max="32" width="11.5703125" style="501" bestFit="1" customWidth="1"/>
    <col min="33" max="33" width="14.42578125" style="501" bestFit="1" customWidth="1"/>
    <col min="34" max="34" width="9.140625" style="501"/>
    <col min="35" max="35" width="9.7109375" style="501" bestFit="1" customWidth="1"/>
    <col min="36" max="16384" width="9.140625" style="501"/>
  </cols>
  <sheetData>
    <row r="1" spans="1:115" s="485" customFormat="1" ht="18.75" customHeight="1">
      <c r="A1" s="485" t="s">
        <v>19</v>
      </c>
      <c r="B1" s="486" t="s">
        <v>155</v>
      </c>
      <c r="C1" s="487"/>
      <c r="D1" s="488" t="s">
        <v>20</v>
      </c>
      <c r="E1" s="488" t="s">
        <v>21</v>
      </c>
      <c r="F1" s="488" t="s">
        <v>22</v>
      </c>
      <c r="G1" s="488" t="s">
        <v>23</v>
      </c>
      <c r="H1" s="488" t="s">
        <v>24</v>
      </c>
      <c r="I1" s="488" t="s">
        <v>25</v>
      </c>
      <c r="J1" s="488" t="s">
        <v>26</v>
      </c>
      <c r="K1" s="488" t="s">
        <v>27</v>
      </c>
      <c r="L1" s="488" t="s">
        <v>28</v>
      </c>
      <c r="M1" s="488" t="s">
        <v>29</v>
      </c>
      <c r="N1" s="489" t="s">
        <v>30</v>
      </c>
      <c r="O1" s="490" t="s">
        <v>156</v>
      </c>
      <c r="P1" s="491" t="s">
        <v>329</v>
      </c>
      <c r="Q1" s="489" t="s">
        <v>31</v>
      </c>
      <c r="R1" s="489" t="s">
        <v>32</v>
      </c>
      <c r="S1" s="489" t="s">
        <v>364</v>
      </c>
      <c r="T1" s="489" t="s">
        <v>33</v>
      </c>
      <c r="U1" s="489" t="s">
        <v>34</v>
      </c>
      <c r="V1" s="489" t="s">
        <v>35</v>
      </c>
      <c r="W1" s="489" t="s">
        <v>36</v>
      </c>
      <c r="X1" s="489" t="s">
        <v>33</v>
      </c>
      <c r="Y1" s="489" t="s">
        <v>37</v>
      </c>
      <c r="Z1" s="489" t="s">
        <v>38</v>
      </c>
      <c r="AA1" s="489" t="s">
        <v>39</v>
      </c>
      <c r="AB1" s="489" t="s">
        <v>33</v>
      </c>
      <c r="AC1" s="489" t="s">
        <v>77</v>
      </c>
      <c r="AD1" s="489" t="s">
        <v>40</v>
      </c>
      <c r="AE1" s="489" t="s">
        <v>41</v>
      </c>
      <c r="AF1" s="489" t="s">
        <v>42</v>
      </c>
      <c r="AG1" s="485" t="s">
        <v>132</v>
      </c>
    </row>
    <row r="2" spans="1:115" s="484" customFormat="1">
      <c r="A2" s="548">
        <v>0.1391</v>
      </c>
      <c r="B2" s="548">
        <v>0.1391</v>
      </c>
      <c r="C2" s="493" t="s">
        <v>412</v>
      </c>
      <c r="D2" s="517">
        <f>[1]ELEC!D33</f>
        <v>31308238</v>
      </c>
      <c r="E2" s="517">
        <f>[1]ELEC!E33</f>
        <v>3678</v>
      </c>
      <c r="F2" s="517">
        <f>[1]ELEC!F33</f>
        <v>3431349</v>
      </c>
      <c r="G2" s="517">
        <f>[1]ELEC!G33</f>
        <v>2479</v>
      </c>
      <c r="H2" s="517">
        <f>[1]ELEC!H33</f>
        <v>17219918</v>
      </c>
      <c r="I2" s="517">
        <f>[1]ELEC!I33</f>
        <v>2804</v>
      </c>
      <c r="J2" s="517">
        <f>[1]ELEC!J33</f>
        <v>28230090</v>
      </c>
      <c r="K2" s="517">
        <f>[1]ELEC!K33</f>
        <v>3048</v>
      </c>
      <c r="L2" s="517">
        <f>[1]ELEC!L33</f>
        <v>22522846</v>
      </c>
      <c r="M2" s="517">
        <f>[1]ELEC!M33</f>
        <v>4076</v>
      </c>
      <c r="N2" s="517">
        <f>[1]ELEC!N33</f>
        <v>16085</v>
      </c>
      <c r="O2" s="517">
        <f>[1]ELEC!O33</f>
        <v>139.86956521739131</v>
      </c>
      <c r="P2" s="517">
        <f>[1]ELEC!P33</f>
        <v>15218.2</v>
      </c>
      <c r="Q2" s="517">
        <f>[1]ELEC!Q33</f>
        <v>3495.0000000008004</v>
      </c>
      <c r="R2" s="517">
        <f>[1]ELEC!R33</f>
        <v>12589.9999999992</v>
      </c>
      <c r="S2" s="517">
        <f>[1]ELEC!S33</f>
        <v>8334</v>
      </c>
      <c r="T2" s="517">
        <f>[1]ELEC!T33</f>
        <v>0</v>
      </c>
      <c r="U2" s="517">
        <f>[1]ELEC!U33</f>
        <v>1014633</v>
      </c>
      <c r="V2" s="517">
        <f>[1]ELEC!V33</f>
        <v>0</v>
      </c>
      <c r="W2" s="517">
        <f>[1]ELEC!W33</f>
        <v>31800</v>
      </c>
      <c r="X2" s="517">
        <f>[1]ELEC!X33</f>
        <v>10</v>
      </c>
      <c r="Y2" s="517">
        <f>[1]ELEC!Y33</f>
        <v>616769</v>
      </c>
      <c r="Z2" s="517">
        <f>[1]ELEC!Z33</f>
        <v>1726</v>
      </c>
      <c r="AA2" s="517">
        <f>[1]ELEC!AA33</f>
        <v>34851</v>
      </c>
      <c r="AB2" s="517">
        <f>[1]ELEC!AB33</f>
        <v>0</v>
      </c>
      <c r="AC2" s="517">
        <f>[1]ELEC!AC33</f>
        <v>735699</v>
      </c>
      <c r="AD2" s="517">
        <f>[1]ELEC!AD33</f>
        <v>0</v>
      </c>
      <c r="AE2" s="517">
        <f>[1]ELEC!AE33</f>
        <v>10</v>
      </c>
      <c r="AF2" s="517">
        <f>[1]ELEC!AF33</f>
        <v>1726</v>
      </c>
      <c r="AG2" s="517">
        <f>[1]ELEC!AG33</f>
        <v>172.6</v>
      </c>
      <c r="AH2" s="517">
        <f>[1]ELEC!AH33</f>
        <v>0</v>
      </c>
      <c r="AI2" s="517">
        <f>[1]ELEC!AI33</f>
        <v>-49239434</v>
      </c>
      <c r="AJ2" s="517"/>
      <c r="AK2" s="517"/>
      <c r="AL2" s="517"/>
      <c r="AM2" s="517"/>
      <c r="AN2" s="517"/>
      <c r="AO2" s="517"/>
      <c r="AP2" s="517"/>
      <c r="AQ2" s="517"/>
      <c r="AR2" s="517"/>
      <c r="AS2" s="517"/>
      <c r="AT2" s="517"/>
      <c r="AU2" s="517"/>
      <c r="AV2" s="517"/>
      <c r="AW2" s="517"/>
      <c r="AX2" s="517"/>
      <c r="AY2" s="517"/>
      <c r="AZ2" s="517"/>
      <c r="BA2" s="517"/>
      <c r="BB2" s="517"/>
      <c r="BC2" s="517"/>
      <c r="BD2" s="517"/>
      <c r="BE2" s="517"/>
      <c r="BF2" s="517"/>
      <c r="BG2" s="517"/>
      <c r="BH2" s="517"/>
      <c r="BI2" s="517"/>
      <c r="BJ2" s="517"/>
      <c r="BK2" s="517"/>
      <c r="BL2" s="517"/>
      <c r="BM2" s="517"/>
      <c r="BN2" s="517"/>
      <c r="BO2" s="517"/>
      <c r="BP2" s="517"/>
      <c r="BQ2" s="517"/>
      <c r="BR2" s="517"/>
      <c r="BS2" s="517"/>
      <c r="BT2" s="517"/>
      <c r="BU2" s="517"/>
      <c r="BV2" s="517"/>
      <c r="BW2" s="517"/>
      <c r="BX2" s="517"/>
      <c r="BY2" s="517"/>
      <c r="BZ2" s="517"/>
      <c r="CA2" s="517"/>
      <c r="CB2" s="517"/>
      <c r="CC2" s="517"/>
      <c r="CD2" s="517"/>
      <c r="CE2" s="517"/>
      <c r="CF2" s="517"/>
      <c r="CG2" s="517"/>
      <c r="CH2" s="517"/>
      <c r="CI2" s="517"/>
      <c r="CJ2" s="517"/>
      <c r="CK2" s="517"/>
      <c r="CL2" s="517"/>
      <c r="CM2" s="517"/>
      <c r="CN2" s="517"/>
      <c r="CO2" s="517"/>
      <c r="CP2" s="517"/>
      <c r="CQ2" s="517"/>
      <c r="CR2" s="517"/>
      <c r="CS2" s="517"/>
      <c r="CT2" s="517"/>
      <c r="CU2" s="517"/>
      <c r="CV2" s="517"/>
      <c r="CW2" s="517"/>
      <c r="CX2" s="517"/>
      <c r="CY2" s="517"/>
      <c r="CZ2" s="517"/>
      <c r="DA2" s="517"/>
      <c r="DB2" s="517"/>
      <c r="DC2" s="517"/>
      <c r="DD2" s="517"/>
      <c r="DE2" s="517"/>
      <c r="DF2" s="517"/>
      <c r="DG2" s="517"/>
      <c r="DH2" s="517"/>
      <c r="DI2" s="517"/>
      <c r="DJ2" s="517"/>
      <c r="DK2" s="517"/>
    </row>
    <row r="3" spans="1:115">
      <c r="A3" s="492">
        <f>'General information '!F6</f>
        <v>0.42599999999999999</v>
      </c>
      <c r="B3" s="486">
        <f>SUM(230*A3)</f>
        <v>97.98</v>
      </c>
      <c r="C3" s="493">
        <v>43831</v>
      </c>
      <c r="D3" s="480">
        <v>31311138</v>
      </c>
      <c r="E3" s="481">
        <f>D3-D2</f>
        <v>2900</v>
      </c>
      <c r="F3" s="480">
        <v>3433622</v>
      </c>
      <c r="G3" s="482">
        <f t="shared" ref="G3:G31" si="0">F3-F2</f>
        <v>2273</v>
      </c>
      <c r="H3" s="480">
        <v>17222546</v>
      </c>
      <c r="I3" s="482">
        <f>H3-H2</f>
        <v>2628</v>
      </c>
      <c r="J3" s="480">
        <v>28231678</v>
      </c>
      <c r="K3" s="482">
        <f>J3-J2</f>
        <v>1588</v>
      </c>
      <c r="L3" s="480">
        <v>22527696</v>
      </c>
      <c r="M3" s="482">
        <f>L3-L2</f>
        <v>4850</v>
      </c>
      <c r="N3" s="483">
        <f>M3+K3+I3+G3+E3</f>
        <v>14239</v>
      </c>
      <c r="O3" s="494">
        <f t="shared" ref="O3:O9" si="1">IF(B3&gt;0,N3/B3,0)</f>
        <v>145.32557664829557</v>
      </c>
      <c r="P3" s="480">
        <v>15220.746999999999</v>
      </c>
      <c r="Q3" s="495">
        <f>(P3-P2)*1000</f>
        <v>2546.9999999986612</v>
      </c>
      <c r="R3" s="496">
        <f>+N3-Q3</f>
        <v>11692.000000001339</v>
      </c>
      <c r="S3" s="480">
        <v>8341</v>
      </c>
      <c r="T3" s="497">
        <f t="shared" ref="T3:T32" si="2">S3-S2</f>
        <v>7</v>
      </c>
      <c r="U3" s="480">
        <v>1015726</v>
      </c>
      <c r="V3" s="495">
        <f>U3-U2</f>
        <v>1093</v>
      </c>
      <c r="W3" s="480">
        <v>31800</v>
      </c>
      <c r="X3" s="495">
        <f t="shared" ref="X3:X8" si="3">W3-W2</f>
        <v>0</v>
      </c>
      <c r="Y3" s="480">
        <v>616769</v>
      </c>
      <c r="Z3" s="495">
        <f>Y3-Y2</f>
        <v>0</v>
      </c>
      <c r="AA3" s="480">
        <v>34851</v>
      </c>
      <c r="AB3" s="495">
        <f>AA3-AA2</f>
        <v>0</v>
      </c>
      <c r="AC3" s="480">
        <v>735699</v>
      </c>
      <c r="AD3" s="498">
        <f>AC3-AC2</f>
        <v>0</v>
      </c>
      <c r="AE3" s="499">
        <f>AB3+X3+T3</f>
        <v>7</v>
      </c>
      <c r="AF3" s="480">
        <f>V3+Z3+AD3</f>
        <v>1093</v>
      </c>
      <c r="AG3" s="500">
        <f t="shared" ref="AG3:AG9" si="4">IF(AE3&gt;0,AF3/AE3,0)</f>
        <v>156.14285714285714</v>
      </c>
    </row>
    <row r="4" spans="1:115">
      <c r="A4" s="492">
        <f>'General information '!F7</f>
        <v>0.33479999999999999</v>
      </c>
      <c r="B4" s="486">
        <f t="shared" ref="B4:B31" si="5">SUM(230*A4)</f>
        <v>77.003999999999991</v>
      </c>
      <c r="C4" s="493">
        <v>43832</v>
      </c>
      <c r="D4" s="480">
        <v>31314698</v>
      </c>
      <c r="E4" s="328">
        <f>D4-D3</f>
        <v>3560</v>
      </c>
      <c r="F4" s="480">
        <v>3435971</v>
      </c>
      <c r="G4" s="329">
        <f t="shared" si="0"/>
        <v>2349</v>
      </c>
      <c r="H4" s="480">
        <v>17225144</v>
      </c>
      <c r="I4" s="329">
        <f>H4-H3</f>
        <v>2598</v>
      </c>
      <c r="J4" s="480">
        <v>28233560</v>
      </c>
      <c r="K4" s="329">
        <f>J4-J3</f>
        <v>1882</v>
      </c>
      <c r="L4" s="480">
        <v>22532410</v>
      </c>
      <c r="M4" s="329">
        <f>L4-L3</f>
        <v>4714</v>
      </c>
      <c r="N4" s="327">
        <f>M4+K4+I4+G4+E4</f>
        <v>15103</v>
      </c>
      <c r="O4" s="502">
        <f t="shared" si="1"/>
        <v>196.13266843280871</v>
      </c>
      <c r="P4" s="480">
        <v>15225.369000000001</v>
      </c>
      <c r="Q4" s="503">
        <f t="shared" ref="Q4:Q12" si="6">(P4-P3)*1000</f>
        <v>4622.0000000012078</v>
      </c>
      <c r="R4" s="484">
        <f>N4-Q4</f>
        <v>10480.999999998792</v>
      </c>
      <c r="S4" s="480">
        <v>8345</v>
      </c>
      <c r="T4" s="504">
        <f t="shared" si="2"/>
        <v>4</v>
      </c>
      <c r="U4" s="480">
        <v>1016381</v>
      </c>
      <c r="V4" s="484">
        <f>U4-U3</f>
        <v>655</v>
      </c>
      <c r="W4" s="480">
        <v>31802</v>
      </c>
      <c r="X4" s="484">
        <f t="shared" si="3"/>
        <v>2</v>
      </c>
      <c r="Y4" s="480">
        <v>617066</v>
      </c>
      <c r="Z4" s="484">
        <f>Y4-Y3</f>
        <v>297</v>
      </c>
      <c r="AA4" s="480">
        <v>34853</v>
      </c>
      <c r="AB4" s="505">
        <f>AA4-AA3</f>
        <v>2</v>
      </c>
      <c r="AC4" s="480">
        <v>736029</v>
      </c>
      <c r="AD4" s="506">
        <f>AC4-AC3</f>
        <v>330</v>
      </c>
      <c r="AE4" s="507">
        <f t="shared" ref="AE4:AE32" si="7">AB4+X4+T4</f>
        <v>8</v>
      </c>
      <c r="AF4" s="508">
        <f t="shared" ref="AF4:AF31" si="8">V4+Z4+AD4</f>
        <v>1282</v>
      </c>
      <c r="AG4" s="500">
        <f t="shared" si="4"/>
        <v>160.25</v>
      </c>
    </row>
    <row r="5" spans="1:115">
      <c r="A5" s="492">
        <f>'General information '!F8</f>
        <v>0.2782</v>
      </c>
      <c r="B5" s="486">
        <f>SUM(230*A5)</f>
        <v>63.986000000000004</v>
      </c>
      <c r="C5" s="493">
        <v>43833</v>
      </c>
      <c r="D5" s="480">
        <v>31318136</v>
      </c>
      <c r="E5" s="328">
        <f t="shared" ref="E5:E32" si="9">D5-D4</f>
        <v>3438</v>
      </c>
      <c r="F5" s="480">
        <v>3438422</v>
      </c>
      <c r="G5" s="329">
        <f t="shared" si="0"/>
        <v>2451</v>
      </c>
      <c r="H5" s="480">
        <v>17227702</v>
      </c>
      <c r="I5" s="329">
        <f t="shared" ref="I5:I31" si="10">H5-H4</f>
        <v>2558</v>
      </c>
      <c r="J5" s="480">
        <v>28235406</v>
      </c>
      <c r="K5" s="329">
        <f t="shared" ref="K5:K31" si="11">J5-J4</f>
        <v>1846</v>
      </c>
      <c r="L5" s="480">
        <v>22537290</v>
      </c>
      <c r="M5" s="329">
        <f t="shared" ref="M5:M31" si="12">L5-L4</f>
        <v>4880</v>
      </c>
      <c r="N5" s="327">
        <f t="shared" ref="N5:N31" si="13">M5+K5+I5+G5+E5</f>
        <v>15173</v>
      </c>
      <c r="O5" s="502">
        <f t="shared" si="1"/>
        <v>237.12999718688462</v>
      </c>
      <c r="P5" s="480">
        <v>15230</v>
      </c>
      <c r="Q5" s="503">
        <f>(P5-P4)*1000</f>
        <v>4630.9999999994034</v>
      </c>
      <c r="R5" s="484">
        <f>N5-Q5</f>
        <v>10542.000000000597</v>
      </c>
      <c r="S5" s="480">
        <v>8350</v>
      </c>
      <c r="T5" s="504">
        <f t="shared" si="2"/>
        <v>5</v>
      </c>
      <c r="U5" s="480">
        <v>1017190</v>
      </c>
      <c r="V5" s="484">
        <f t="shared" ref="V5:V32" si="14">U5-U4</f>
        <v>809</v>
      </c>
      <c r="W5" s="480">
        <v>31804</v>
      </c>
      <c r="X5" s="484">
        <f t="shared" si="3"/>
        <v>2</v>
      </c>
      <c r="Y5" s="480">
        <v>617292</v>
      </c>
      <c r="Z5" s="484">
        <f>Y5-Y4</f>
        <v>226</v>
      </c>
      <c r="AA5" s="480">
        <v>34855</v>
      </c>
      <c r="AB5" s="484">
        <f t="shared" ref="AB5:AB32" si="15">AA5-AA4</f>
        <v>2</v>
      </c>
      <c r="AC5" s="480">
        <v>736416</v>
      </c>
      <c r="AD5" s="484">
        <f t="shared" ref="AD5:AD16" si="16">AC5-AC4</f>
        <v>387</v>
      </c>
      <c r="AE5" s="507">
        <f t="shared" si="7"/>
        <v>9</v>
      </c>
      <c r="AF5" s="508">
        <f t="shared" si="8"/>
        <v>1422</v>
      </c>
      <c r="AG5" s="500">
        <f t="shared" si="4"/>
        <v>158</v>
      </c>
      <c r="AI5" s="501">
        <f>R5-'EDl log'!B3</f>
        <v>-49262991</v>
      </c>
    </row>
    <row r="6" spans="1:115">
      <c r="A6" s="492">
        <f>'General information '!F9</f>
        <v>0.21299999999999999</v>
      </c>
      <c r="B6" s="486">
        <f t="shared" si="5"/>
        <v>48.99</v>
      </c>
      <c r="C6" s="493">
        <v>43834</v>
      </c>
      <c r="D6" s="480">
        <v>31321616</v>
      </c>
      <c r="E6" s="328">
        <f t="shared" si="9"/>
        <v>3480</v>
      </c>
      <c r="F6" s="480">
        <v>3440885</v>
      </c>
      <c r="G6" s="329">
        <f t="shared" si="0"/>
        <v>2463</v>
      </c>
      <c r="H6" s="480">
        <v>17230224</v>
      </c>
      <c r="I6" s="329">
        <f t="shared" si="10"/>
        <v>2522</v>
      </c>
      <c r="J6" s="480">
        <v>28237730</v>
      </c>
      <c r="K6" s="329">
        <f t="shared" si="11"/>
        <v>2324</v>
      </c>
      <c r="L6" s="480">
        <v>22542318</v>
      </c>
      <c r="M6" s="329">
        <f t="shared" si="12"/>
        <v>5028</v>
      </c>
      <c r="N6" s="327">
        <f t="shared" si="13"/>
        <v>15817</v>
      </c>
      <c r="O6" s="502">
        <f t="shared" si="1"/>
        <v>322.86180853235351</v>
      </c>
      <c r="P6" s="480">
        <v>15234</v>
      </c>
      <c r="Q6" s="484">
        <f t="shared" si="6"/>
        <v>4000</v>
      </c>
      <c r="R6" s="484">
        <f t="shared" ref="R6:R31" si="17">N6-Q6</f>
        <v>11817</v>
      </c>
      <c r="S6" s="480">
        <v>8352</v>
      </c>
      <c r="T6" s="504">
        <f t="shared" si="2"/>
        <v>2</v>
      </c>
      <c r="U6" s="480">
        <v>1017672</v>
      </c>
      <c r="V6" s="484">
        <f t="shared" si="14"/>
        <v>482</v>
      </c>
      <c r="W6" s="480">
        <v>31807</v>
      </c>
      <c r="X6" s="484">
        <f t="shared" si="3"/>
        <v>3</v>
      </c>
      <c r="Y6" s="480">
        <v>617924</v>
      </c>
      <c r="Z6" s="484">
        <f t="shared" ref="Z6:Z30" si="18">Y6-Y5</f>
        <v>632</v>
      </c>
      <c r="AA6" s="480">
        <v>34855</v>
      </c>
      <c r="AB6" s="484">
        <f t="shared" si="15"/>
        <v>0</v>
      </c>
      <c r="AC6" s="480">
        <f t="shared" ref="AC6:AC33" si="19">AC5</f>
        <v>736416</v>
      </c>
      <c r="AD6" s="484">
        <f t="shared" si="16"/>
        <v>0</v>
      </c>
      <c r="AE6" s="507">
        <f t="shared" si="7"/>
        <v>5</v>
      </c>
      <c r="AF6" s="508">
        <f t="shared" si="8"/>
        <v>1114</v>
      </c>
      <c r="AG6" s="500">
        <f t="shared" si="4"/>
        <v>222.8</v>
      </c>
      <c r="AI6" s="501">
        <f>R6-'EDl log'!B4</f>
        <v>-49267868</v>
      </c>
    </row>
    <row r="7" spans="1:115">
      <c r="A7" s="492">
        <f>'General information '!F10</f>
        <v>0.16089999999999999</v>
      </c>
      <c r="B7" s="486">
        <f t="shared" si="5"/>
        <v>37.006999999999998</v>
      </c>
      <c r="C7" s="493">
        <v>43835</v>
      </c>
      <c r="D7" s="480">
        <v>31324352</v>
      </c>
      <c r="E7" s="328">
        <f t="shared" si="9"/>
        <v>2736</v>
      </c>
      <c r="F7" s="480">
        <v>3442880</v>
      </c>
      <c r="G7" s="329">
        <f t="shared" si="0"/>
        <v>1995</v>
      </c>
      <c r="H7" s="480">
        <v>17232302</v>
      </c>
      <c r="I7" s="329">
        <f t="shared" si="10"/>
        <v>2078</v>
      </c>
      <c r="J7" s="480">
        <v>28239432</v>
      </c>
      <c r="K7" s="329">
        <f t="shared" si="11"/>
        <v>1702</v>
      </c>
      <c r="L7" s="480">
        <v>22546716</v>
      </c>
      <c r="M7" s="329">
        <f t="shared" si="12"/>
        <v>4398</v>
      </c>
      <c r="N7" s="327">
        <f t="shared" si="13"/>
        <v>12909</v>
      </c>
      <c r="O7" s="502">
        <f t="shared" si="1"/>
        <v>348.82589780311832</v>
      </c>
      <c r="P7" s="480">
        <v>15236.585999999999</v>
      </c>
      <c r="Q7" s="484">
        <f t="shared" si="6"/>
        <v>2585.9999999993306</v>
      </c>
      <c r="R7" s="484">
        <f>N7-Q24</f>
        <v>11402.999999998778</v>
      </c>
      <c r="S7" s="480">
        <v>8355</v>
      </c>
      <c r="T7" s="504">
        <f t="shared" si="2"/>
        <v>3</v>
      </c>
      <c r="U7" s="480">
        <v>1018314</v>
      </c>
      <c r="V7" s="484">
        <f t="shared" si="14"/>
        <v>642</v>
      </c>
      <c r="W7" s="480">
        <v>31810</v>
      </c>
      <c r="X7" s="484">
        <f t="shared" si="3"/>
        <v>3</v>
      </c>
      <c r="Y7" s="480">
        <v>618493</v>
      </c>
      <c r="Z7" s="484">
        <f t="shared" si="18"/>
        <v>569</v>
      </c>
      <c r="AA7" s="480">
        <v>34856</v>
      </c>
      <c r="AB7" s="484">
        <f t="shared" si="15"/>
        <v>1</v>
      </c>
      <c r="AC7" s="480">
        <v>736573</v>
      </c>
      <c r="AD7" s="484">
        <f t="shared" si="16"/>
        <v>157</v>
      </c>
      <c r="AE7" s="507">
        <f t="shared" si="7"/>
        <v>7</v>
      </c>
      <c r="AF7" s="508">
        <f t="shared" si="8"/>
        <v>1368</v>
      </c>
      <c r="AG7" s="500">
        <f t="shared" si="4"/>
        <v>195.42857142857142</v>
      </c>
      <c r="AI7" s="501">
        <f>R7-'EDl log'!B5</f>
        <v>-49273702</v>
      </c>
    </row>
    <row r="8" spans="1:115">
      <c r="A8" s="492">
        <f>'General information '!F11</f>
        <v>0.16520000000000001</v>
      </c>
      <c r="B8" s="486">
        <f t="shared" si="5"/>
        <v>37.996000000000002</v>
      </c>
      <c r="C8" s="493">
        <v>43836</v>
      </c>
      <c r="D8" s="480">
        <v>31327386</v>
      </c>
      <c r="E8" s="328">
        <f t="shared" si="9"/>
        <v>3034</v>
      </c>
      <c r="F8" s="480">
        <v>3445026</v>
      </c>
      <c r="G8" s="329">
        <f t="shared" si="0"/>
        <v>2146</v>
      </c>
      <c r="H8" s="480">
        <v>17234490</v>
      </c>
      <c r="I8" s="329">
        <f t="shared" si="10"/>
        <v>2188</v>
      </c>
      <c r="J8" s="480">
        <v>28241332</v>
      </c>
      <c r="K8" s="329">
        <f t="shared" si="11"/>
        <v>1900</v>
      </c>
      <c r="L8" s="480">
        <v>22550586</v>
      </c>
      <c r="M8" s="329">
        <f t="shared" si="12"/>
        <v>3870</v>
      </c>
      <c r="N8" s="327">
        <f t="shared" si="13"/>
        <v>13138</v>
      </c>
      <c r="O8" s="502">
        <f t="shared" si="1"/>
        <v>345.77323928834613</v>
      </c>
      <c r="P8" s="480">
        <v>15241.82</v>
      </c>
      <c r="Q8" s="484">
        <f t="shared" si="6"/>
        <v>5234.0000000003783</v>
      </c>
      <c r="R8" s="484">
        <f t="shared" si="17"/>
        <v>7903.9999999996217</v>
      </c>
      <c r="S8" s="480">
        <v>8357</v>
      </c>
      <c r="T8" s="504">
        <f t="shared" si="2"/>
        <v>2</v>
      </c>
      <c r="U8" s="480">
        <v>1018561</v>
      </c>
      <c r="V8" s="484">
        <f t="shared" si="14"/>
        <v>247</v>
      </c>
      <c r="W8" s="480">
        <v>31813</v>
      </c>
      <c r="X8" s="484">
        <f t="shared" si="3"/>
        <v>3</v>
      </c>
      <c r="Y8" s="480">
        <v>619036</v>
      </c>
      <c r="Z8" s="484">
        <f t="shared" si="18"/>
        <v>543</v>
      </c>
      <c r="AA8" s="480">
        <v>34857</v>
      </c>
      <c r="AB8" s="484">
        <f t="shared" si="15"/>
        <v>1</v>
      </c>
      <c r="AC8" s="480">
        <v>736709</v>
      </c>
      <c r="AD8" s="484">
        <f t="shared" si="16"/>
        <v>136</v>
      </c>
      <c r="AE8" s="507">
        <f t="shared" si="7"/>
        <v>6</v>
      </c>
      <c r="AF8" s="508">
        <f t="shared" si="8"/>
        <v>926</v>
      </c>
      <c r="AG8" s="500">
        <f t="shared" si="4"/>
        <v>154.33333333333334</v>
      </c>
      <c r="AI8" s="501">
        <f>R8-'EDl log'!B6</f>
        <v>-49282366</v>
      </c>
    </row>
    <row r="9" spans="1:115">
      <c r="A9" s="492">
        <f>'General information '!F12</f>
        <v>0.23480000000000001</v>
      </c>
      <c r="B9" s="486">
        <f t="shared" si="5"/>
        <v>54.004000000000005</v>
      </c>
      <c r="C9" s="493">
        <v>43837</v>
      </c>
      <c r="D9" s="480">
        <v>31330358</v>
      </c>
      <c r="E9" s="328">
        <f t="shared" si="9"/>
        <v>2972</v>
      </c>
      <c r="F9" s="480">
        <v>3447168</v>
      </c>
      <c r="G9" s="329">
        <f t="shared" si="0"/>
        <v>2142</v>
      </c>
      <c r="H9" s="480">
        <v>17236558</v>
      </c>
      <c r="I9" s="329">
        <f t="shared" si="10"/>
        <v>2068</v>
      </c>
      <c r="J9" s="480">
        <v>28243142</v>
      </c>
      <c r="K9" s="329">
        <f t="shared" si="11"/>
        <v>1810</v>
      </c>
      <c r="L9" s="480">
        <v>22554466</v>
      </c>
      <c r="M9" s="329">
        <f t="shared" si="12"/>
        <v>3880</v>
      </c>
      <c r="N9" s="327">
        <f t="shared" si="13"/>
        <v>12872</v>
      </c>
      <c r="O9" s="502">
        <f t="shared" si="1"/>
        <v>238.3527146137323</v>
      </c>
      <c r="P9" s="480">
        <v>15246.699000000001</v>
      </c>
      <c r="Q9" s="484">
        <f t="shared" si="6"/>
        <v>4879.0000000008149</v>
      </c>
      <c r="R9" s="484">
        <f t="shared" si="17"/>
        <v>7992.9999999991851</v>
      </c>
      <c r="S9" s="480">
        <v>8358</v>
      </c>
      <c r="T9" s="504">
        <f t="shared" si="2"/>
        <v>1</v>
      </c>
      <c r="U9" s="480">
        <v>1018775</v>
      </c>
      <c r="V9" s="484">
        <f t="shared" si="14"/>
        <v>214</v>
      </c>
      <c r="W9" s="480">
        <v>31816</v>
      </c>
      <c r="X9" s="484">
        <f t="shared" ref="X9:X32" si="20">W9-W8</f>
        <v>3</v>
      </c>
      <c r="Y9" s="480">
        <v>619479</v>
      </c>
      <c r="Z9" s="484">
        <f t="shared" si="18"/>
        <v>443</v>
      </c>
      <c r="AA9" s="480">
        <v>34858</v>
      </c>
      <c r="AB9" s="484">
        <f t="shared" si="15"/>
        <v>1</v>
      </c>
      <c r="AC9" s="480">
        <v>736958</v>
      </c>
      <c r="AD9" s="484">
        <f t="shared" si="16"/>
        <v>249</v>
      </c>
      <c r="AE9" s="507">
        <f t="shared" si="7"/>
        <v>5</v>
      </c>
      <c r="AF9" s="508">
        <f t="shared" si="8"/>
        <v>906</v>
      </c>
      <c r="AG9" s="500">
        <f t="shared" si="4"/>
        <v>181.2</v>
      </c>
      <c r="AI9" s="501">
        <f>R9-'EDl log'!B7</f>
        <v>-49288394</v>
      </c>
    </row>
    <row r="10" spans="1:115">
      <c r="A10" s="492">
        <f>'General information '!F13</f>
        <v>0.23400000000000001</v>
      </c>
      <c r="B10" s="486">
        <f t="shared" si="5"/>
        <v>53.82</v>
      </c>
      <c r="C10" s="493">
        <v>43838</v>
      </c>
      <c r="D10" s="480">
        <v>31333006</v>
      </c>
      <c r="E10" s="328">
        <f t="shared" si="9"/>
        <v>2648</v>
      </c>
      <c r="F10" s="480">
        <v>3449386.4</v>
      </c>
      <c r="G10" s="329">
        <f t="shared" si="0"/>
        <v>2218.3999999999069</v>
      </c>
      <c r="H10" s="480">
        <v>17238728</v>
      </c>
      <c r="I10" s="329">
        <f t="shared" si="10"/>
        <v>2170</v>
      </c>
      <c r="J10" s="480">
        <v>28244992</v>
      </c>
      <c r="K10" s="329">
        <f t="shared" si="11"/>
        <v>1850</v>
      </c>
      <c r="L10" s="480">
        <v>22558116</v>
      </c>
      <c r="M10" s="329">
        <f t="shared" si="12"/>
        <v>3650</v>
      </c>
      <c r="N10" s="327">
        <f t="shared" si="13"/>
        <v>12536.399999999907</v>
      </c>
      <c r="O10" s="502">
        <f t="shared" ref="O10:O32" si="21">IF(B10&gt;0,N10/B10,0)</f>
        <v>232.93199554068946</v>
      </c>
      <c r="P10" s="480">
        <v>15253.7</v>
      </c>
      <c r="Q10" s="484">
        <f t="shared" si="6"/>
        <v>7001.0000000002037</v>
      </c>
      <c r="R10" s="484">
        <f t="shared" si="17"/>
        <v>5535.3999999997031</v>
      </c>
      <c r="S10" s="480">
        <f t="shared" ref="S10:U33" si="22">S9</f>
        <v>8358</v>
      </c>
      <c r="T10" s="504">
        <f t="shared" si="2"/>
        <v>0</v>
      </c>
      <c r="U10" s="480">
        <f t="shared" si="22"/>
        <v>1018775</v>
      </c>
      <c r="V10" s="484">
        <f t="shared" si="14"/>
        <v>0</v>
      </c>
      <c r="W10" s="480">
        <v>31819</v>
      </c>
      <c r="X10" s="484">
        <f t="shared" si="20"/>
        <v>3</v>
      </c>
      <c r="Y10" s="480">
        <v>619891</v>
      </c>
      <c r="Z10" s="484">
        <f t="shared" si="18"/>
        <v>412</v>
      </c>
      <c r="AA10" s="480">
        <v>34858</v>
      </c>
      <c r="AB10" s="484">
        <f t="shared" si="15"/>
        <v>0</v>
      </c>
      <c r="AC10" s="480">
        <f t="shared" si="19"/>
        <v>736958</v>
      </c>
      <c r="AD10" s="484">
        <f t="shared" si="16"/>
        <v>0</v>
      </c>
      <c r="AE10" s="507">
        <f t="shared" si="7"/>
        <v>3</v>
      </c>
      <c r="AF10" s="508">
        <f t="shared" si="8"/>
        <v>412</v>
      </c>
      <c r="AG10" s="500">
        <f t="shared" ref="AG10:AG33" si="23">IF(AE10&gt;0,AF10/AE10,0)</f>
        <v>137.33333333333334</v>
      </c>
      <c r="AI10" s="501">
        <f>R10-'EDl log'!B8</f>
        <v>-49296482.600000001</v>
      </c>
    </row>
    <row r="11" spans="1:115">
      <c r="A11" s="492">
        <f>'General information '!F14</f>
        <v>0.2087</v>
      </c>
      <c r="B11" s="486">
        <f>SUM(230*A11)</f>
        <v>48.000999999999998</v>
      </c>
      <c r="C11" s="493">
        <v>43839</v>
      </c>
      <c r="D11" s="480">
        <v>31336446</v>
      </c>
      <c r="E11" s="328">
        <f t="shared" si="9"/>
        <v>3440</v>
      </c>
      <c r="F11" s="480">
        <v>3451710</v>
      </c>
      <c r="G11" s="329">
        <f t="shared" si="0"/>
        <v>2323.6000000000931</v>
      </c>
      <c r="H11" s="480">
        <v>17240906</v>
      </c>
      <c r="I11" s="329">
        <f t="shared" si="10"/>
        <v>2178</v>
      </c>
      <c r="J11" s="480">
        <v>28246570</v>
      </c>
      <c r="K11" s="329">
        <f t="shared" si="11"/>
        <v>1578</v>
      </c>
      <c r="L11" s="480">
        <v>22562228</v>
      </c>
      <c r="M11" s="329">
        <f t="shared" si="12"/>
        <v>4112</v>
      </c>
      <c r="N11" s="327">
        <f>M11+K11+I11+G11+E11</f>
        <v>13631.600000000093</v>
      </c>
      <c r="O11" s="502">
        <f t="shared" si="21"/>
        <v>283.98575029687078</v>
      </c>
      <c r="P11" s="480">
        <v>15258.585999999999</v>
      </c>
      <c r="Q11" s="484">
        <f t="shared" si="6"/>
        <v>4885.999999998603</v>
      </c>
      <c r="R11" s="484">
        <f t="shared" si="17"/>
        <v>8745.6000000014901</v>
      </c>
      <c r="S11" s="480">
        <v>8359</v>
      </c>
      <c r="T11" s="504">
        <f t="shared" si="2"/>
        <v>1</v>
      </c>
      <c r="U11" s="480">
        <v>1019129</v>
      </c>
      <c r="V11" s="484">
        <f t="shared" si="14"/>
        <v>354</v>
      </c>
      <c r="W11" s="480">
        <v>31819</v>
      </c>
      <c r="X11" s="484">
        <f t="shared" si="20"/>
        <v>0</v>
      </c>
      <c r="Y11" s="480">
        <v>619891</v>
      </c>
      <c r="Z11" s="484">
        <f t="shared" si="18"/>
        <v>0</v>
      </c>
      <c r="AA11" s="480">
        <v>34861</v>
      </c>
      <c r="AB11" s="484">
        <f t="shared" si="15"/>
        <v>3</v>
      </c>
      <c r="AC11" s="480">
        <v>737484</v>
      </c>
      <c r="AD11" s="484">
        <f t="shared" si="16"/>
        <v>526</v>
      </c>
      <c r="AE11" s="507">
        <f t="shared" si="7"/>
        <v>4</v>
      </c>
      <c r="AF11" s="508">
        <f t="shared" si="8"/>
        <v>880</v>
      </c>
      <c r="AG11" s="500">
        <f t="shared" si="23"/>
        <v>220</v>
      </c>
      <c r="AI11" s="501">
        <f>R11-'EDl log'!B9</f>
        <v>-49297371.399999999</v>
      </c>
    </row>
    <row r="12" spans="1:115">
      <c r="A12" s="492">
        <f>'General information '!F15</f>
        <v>0.2</v>
      </c>
      <c r="B12" s="486">
        <f t="shared" si="5"/>
        <v>46</v>
      </c>
      <c r="C12" s="493">
        <v>43840</v>
      </c>
      <c r="D12" s="480">
        <v>31339490</v>
      </c>
      <c r="E12" s="328">
        <f t="shared" si="9"/>
        <v>3044</v>
      </c>
      <c r="F12" s="480">
        <v>3453974.8</v>
      </c>
      <c r="G12" s="329">
        <f t="shared" si="0"/>
        <v>2264.7999999998137</v>
      </c>
      <c r="H12" s="480">
        <v>17243088</v>
      </c>
      <c r="I12" s="329">
        <f t="shared" si="10"/>
        <v>2182</v>
      </c>
      <c r="J12" s="480">
        <v>28248204</v>
      </c>
      <c r="K12" s="329">
        <f t="shared" si="11"/>
        <v>1634</v>
      </c>
      <c r="L12" s="480">
        <v>22566166</v>
      </c>
      <c r="M12" s="329">
        <f t="shared" si="12"/>
        <v>3938</v>
      </c>
      <c r="N12" s="327">
        <f>M12+K12+I12+G12+E12</f>
        <v>13062.799999999814</v>
      </c>
      <c r="O12" s="502">
        <f t="shared" si="21"/>
        <v>283.97391304347423</v>
      </c>
      <c r="P12" s="480">
        <v>15261</v>
      </c>
      <c r="Q12" s="484">
        <f t="shared" si="6"/>
        <v>2414.0000000006694</v>
      </c>
      <c r="R12" s="484">
        <f t="shared" si="17"/>
        <v>10648.799999999144</v>
      </c>
      <c r="S12" s="480">
        <v>8360</v>
      </c>
      <c r="T12" s="504">
        <f t="shared" si="2"/>
        <v>1</v>
      </c>
      <c r="U12" s="480">
        <v>1019198</v>
      </c>
      <c r="V12" s="484">
        <f t="shared" si="14"/>
        <v>69</v>
      </c>
      <c r="W12" s="480">
        <v>31820</v>
      </c>
      <c r="X12" s="484">
        <f t="shared" si="20"/>
        <v>1</v>
      </c>
      <c r="Y12" s="480">
        <v>620062</v>
      </c>
      <c r="Z12" s="484">
        <f t="shared" si="18"/>
        <v>171</v>
      </c>
      <c r="AA12" s="480">
        <v>34864</v>
      </c>
      <c r="AB12" s="484">
        <f t="shared" si="15"/>
        <v>3</v>
      </c>
      <c r="AC12" s="480">
        <v>737985</v>
      </c>
      <c r="AD12" s="484">
        <f t="shared" si="16"/>
        <v>501</v>
      </c>
      <c r="AE12" s="507">
        <f t="shared" si="7"/>
        <v>5</v>
      </c>
      <c r="AF12" s="508">
        <f t="shared" si="8"/>
        <v>741</v>
      </c>
      <c r="AG12" s="500">
        <f t="shared" si="23"/>
        <v>148.19999999999999</v>
      </c>
      <c r="AI12" s="501">
        <f>R12-'EDl log'!B10</f>
        <v>-49299637.200000003</v>
      </c>
    </row>
    <row r="13" spans="1:115">
      <c r="A13" s="492">
        <f>'General information '!F16</f>
        <v>0.1696</v>
      </c>
      <c r="B13" s="486">
        <f t="shared" si="5"/>
        <v>39.008000000000003</v>
      </c>
      <c r="C13" s="493">
        <v>43841</v>
      </c>
      <c r="D13" s="480">
        <v>31342568</v>
      </c>
      <c r="E13" s="328">
        <f t="shared" si="9"/>
        <v>3078</v>
      </c>
      <c r="F13" s="480">
        <v>3456206</v>
      </c>
      <c r="G13" s="329">
        <f t="shared" si="0"/>
        <v>2231.2000000001863</v>
      </c>
      <c r="H13" s="480">
        <v>17245394</v>
      </c>
      <c r="I13" s="329">
        <f t="shared" si="10"/>
        <v>2306</v>
      </c>
      <c r="J13" s="480">
        <v>28249802</v>
      </c>
      <c r="K13" s="329">
        <f t="shared" si="11"/>
        <v>1598</v>
      </c>
      <c r="L13" s="480">
        <v>22570964</v>
      </c>
      <c r="M13" s="329">
        <f t="shared" si="12"/>
        <v>4798</v>
      </c>
      <c r="N13" s="327">
        <f t="shared" si="13"/>
        <v>14011.200000000186</v>
      </c>
      <c r="O13" s="502">
        <f t="shared" si="21"/>
        <v>359.18785890074304</v>
      </c>
      <c r="P13" s="480">
        <v>15262.643</v>
      </c>
      <c r="Q13" s="484">
        <f t="shared" ref="Q13:Q31" si="24">(P13-P12)*1000</f>
        <v>1643.0000000000291</v>
      </c>
      <c r="R13" s="484">
        <f t="shared" si="17"/>
        <v>12368.200000000157</v>
      </c>
      <c r="S13" s="480">
        <v>8362</v>
      </c>
      <c r="T13" s="504">
        <f t="shared" si="2"/>
        <v>2</v>
      </c>
      <c r="U13" s="480">
        <v>1019557</v>
      </c>
      <c r="V13" s="484">
        <f t="shared" si="14"/>
        <v>359</v>
      </c>
      <c r="W13" s="480">
        <v>31821</v>
      </c>
      <c r="X13" s="484">
        <f t="shared" si="20"/>
        <v>1</v>
      </c>
      <c r="Y13" s="480">
        <v>620205</v>
      </c>
      <c r="Z13" s="484">
        <f t="shared" si="18"/>
        <v>143</v>
      </c>
      <c r="AA13" s="480">
        <v>34865</v>
      </c>
      <c r="AB13" s="484">
        <f t="shared" si="15"/>
        <v>1</v>
      </c>
      <c r="AC13" s="480">
        <v>738305</v>
      </c>
      <c r="AD13" s="484">
        <f t="shared" si="16"/>
        <v>320</v>
      </c>
      <c r="AE13" s="507">
        <f t="shared" si="7"/>
        <v>4</v>
      </c>
      <c r="AF13" s="508">
        <f t="shared" si="8"/>
        <v>822</v>
      </c>
      <c r="AG13" s="500">
        <f t="shared" si="23"/>
        <v>205.5</v>
      </c>
      <c r="AI13" s="501">
        <f>R13-'EDl log'!B11</f>
        <v>-49300714.799999997</v>
      </c>
    </row>
    <row r="14" spans="1:115">
      <c r="A14" s="492">
        <f>'General information '!F17</f>
        <v>0.1739</v>
      </c>
      <c r="B14" s="486">
        <f t="shared" si="5"/>
        <v>39.997</v>
      </c>
      <c r="C14" s="493">
        <v>43842</v>
      </c>
      <c r="D14" s="480">
        <v>31345782</v>
      </c>
      <c r="E14" s="328">
        <f t="shared" si="9"/>
        <v>3214</v>
      </c>
      <c r="F14" s="480">
        <v>3458691</v>
      </c>
      <c r="G14" s="329">
        <f t="shared" si="0"/>
        <v>2485</v>
      </c>
      <c r="H14" s="480">
        <v>17247874</v>
      </c>
      <c r="I14" s="329">
        <f t="shared" si="10"/>
        <v>2480</v>
      </c>
      <c r="J14" s="480">
        <v>28251336</v>
      </c>
      <c r="K14" s="329">
        <f t="shared" si="11"/>
        <v>1534</v>
      </c>
      <c r="L14" s="480">
        <v>22575426</v>
      </c>
      <c r="M14" s="329">
        <f t="shared" si="12"/>
        <v>4462</v>
      </c>
      <c r="N14" s="327">
        <f t="shared" si="13"/>
        <v>14175</v>
      </c>
      <c r="O14" s="502">
        <f t="shared" si="21"/>
        <v>354.40158011850889</v>
      </c>
      <c r="P14" s="480">
        <v>15264.76</v>
      </c>
      <c r="Q14" s="484">
        <f t="shared" si="24"/>
        <v>2117.0000000001892</v>
      </c>
      <c r="R14" s="484">
        <f t="shared" si="17"/>
        <v>12057.999999999811</v>
      </c>
      <c r="S14" s="480">
        <v>8362</v>
      </c>
      <c r="T14" s="504">
        <f t="shared" si="2"/>
        <v>0</v>
      </c>
      <c r="U14" s="480">
        <v>1019557</v>
      </c>
      <c r="V14" s="484">
        <f t="shared" si="14"/>
        <v>0</v>
      </c>
      <c r="W14" s="480">
        <v>31821</v>
      </c>
      <c r="X14" s="484">
        <f t="shared" si="20"/>
        <v>0</v>
      </c>
      <c r="Y14" s="480">
        <v>620205</v>
      </c>
      <c r="Z14" s="484">
        <f t="shared" si="18"/>
        <v>0</v>
      </c>
      <c r="AA14" s="480">
        <v>34868</v>
      </c>
      <c r="AB14" s="484">
        <f t="shared" si="15"/>
        <v>3</v>
      </c>
      <c r="AC14" s="480">
        <v>738769</v>
      </c>
      <c r="AD14" s="484">
        <f t="shared" si="16"/>
        <v>464</v>
      </c>
      <c r="AE14" s="507">
        <f t="shared" si="7"/>
        <v>3</v>
      </c>
      <c r="AF14" s="508">
        <f t="shared" si="8"/>
        <v>464</v>
      </c>
      <c r="AG14" s="500">
        <f t="shared" si="23"/>
        <v>154.66666666666666</v>
      </c>
      <c r="AI14" s="501">
        <f>R14-'EDl log'!B12</f>
        <v>-49305644</v>
      </c>
    </row>
    <row r="15" spans="1:115">
      <c r="A15" s="492">
        <f>'General information '!F18</f>
        <v>0.18260000000000001</v>
      </c>
      <c r="B15" s="486">
        <f t="shared" si="5"/>
        <v>41.998000000000005</v>
      </c>
      <c r="C15" s="493">
        <v>43843</v>
      </c>
      <c r="D15" s="480">
        <v>31348342</v>
      </c>
      <c r="E15" s="328">
        <f t="shared" si="9"/>
        <v>2560</v>
      </c>
      <c r="F15" s="480">
        <v>3460876</v>
      </c>
      <c r="G15" s="329">
        <f t="shared" si="0"/>
        <v>2185</v>
      </c>
      <c r="H15" s="480">
        <v>17249926</v>
      </c>
      <c r="I15" s="329">
        <f t="shared" si="10"/>
        <v>2052</v>
      </c>
      <c r="J15" s="480">
        <v>28253424</v>
      </c>
      <c r="K15" s="329">
        <f t="shared" si="11"/>
        <v>2088</v>
      </c>
      <c r="L15" s="480">
        <v>22579342</v>
      </c>
      <c r="M15" s="329">
        <f t="shared" si="12"/>
        <v>3916</v>
      </c>
      <c r="N15" s="327">
        <f t="shared" si="13"/>
        <v>12801</v>
      </c>
      <c r="O15" s="502">
        <f t="shared" si="21"/>
        <v>304.80022858231342</v>
      </c>
      <c r="P15" s="480">
        <v>15267.071</v>
      </c>
      <c r="Q15" s="484">
        <f>(P15-P14)*1000</f>
        <v>2310.9999999996944</v>
      </c>
      <c r="R15" s="484">
        <f t="shared" si="17"/>
        <v>10490.000000000306</v>
      </c>
      <c r="S15" s="480">
        <v>8362</v>
      </c>
      <c r="T15" s="504">
        <f t="shared" si="2"/>
        <v>0</v>
      </c>
      <c r="U15" s="480">
        <v>1019557</v>
      </c>
      <c r="V15" s="484">
        <f t="shared" si="14"/>
        <v>0</v>
      </c>
      <c r="W15" s="480">
        <v>31825</v>
      </c>
      <c r="X15" s="484">
        <f t="shared" si="20"/>
        <v>4</v>
      </c>
      <c r="Y15" s="480">
        <v>620936</v>
      </c>
      <c r="Z15" s="484">
        <f t="shared" si="18"/>
        <v>731</v>
      </c>
      <c r="AA15" s="480">
        <v>34868</v>
      </c>
      <c r="AB15" s="484">
        <f t="shared" si="15"/>
        <v>0</v>
      </c>
      <c r="AC15" s="480">
        <v>738769</v>
      </c>
      <c r="AD15" s="484">
        <f t="shared" si="16"/>
        <v>0</v>
      </c>
      <c r="AE15" s="507">
        <f t="shared" si="7"/>
        <v>4</v>
      </c>
      <c r="AF15" s="508">
        <f t="shared" si="8"/>
        <v>731</v>
      </c>
      <c r="AG15" s="500">
        <f t="shared" si="23"/>
        <v>182.75</v>
      </c>
      <c r="AI15" s="501">
        <f>R15-'EDl log'!B13</f>
        <v>-49312756</v>
      </c>
    </row>
    <row r="16" spans="1:115">
      <c r="A16" s="492">
        <f>'General information '!F19</f>
        <v>0.2087</v>
      </c>
      <c r="B16" s="486">
        <f t="shared" si="5"/>
        <v>48.000999999999998</v>
      </c>
      <c r="C16" s="493">
        <v>43844</v>
      </c>
      <c r="D16" s="480">
        <v>31350742</v>
      </c>
      <c r="E16" s="328">
        <f t="shared" si="9"/>
        <v>2400</v>
      </c>
      <c r="F16" s="480">
        <v>3462918</v>
      </c>
      <c r="G16" s="329">
        <f t="shared" si="0"/>
        <v>2042</v>
      </c>
      <c r="H16" s="480">
        <v>17252062</v>
      </c>
      <c r="I16" s="329">
        <f t="shared" si="10"/>
        <v>2136</v>
      </c>
      <c r="J16" s="480">
        <v>28255052</v>
      </c>
      <c r="K16" s="329">
        <f t="shared" si="11"/>
        <v>1628</v>
      </c>
      <c r="L16" s="480">
        <v>22583714</v>
      </c>
      <c r="M16" s="329">
        <f t="shared" si="12"/>
        <v>4372</v>
      </c>
      <c r="N16" s="327">
        <f t="shared" si="13"/>
        <v>12578</v>
      </c>
      <c r="O16" s="502">
        <f t="shared" si="21"/>
        <v>262.03620757900876</v>
      </c>
      <c r="P16" s="480">
        <v>15269.875</v>
      </c>
      <c r="Q16" s="484">
        <f>(P16-P15)*1000</f>
        <v>2804.0000000000873</v>
      </c>
      <c r="R16" s="484">
        <f t="shared" si="17"/>
        <v>9773.9999999999127</v>
      </c>
      <c r="S16" s="480">
        <v>8363</v>
      </c>
      <c r="T16" s="504">
        <f t="shared" si="2"/>
        <v>1</v>
      </c>
      <c r="U16" s="480">
        <v>1019914</v>
      </c>
      <c r="V16" s="484">
        <f t="shared" si="14"/>
        <v>357</v>
      </c>
      <c r="W16" s="480">
        <v>31826</v>
      </c>
      <c r="X16" s="484">
        <f>W16-W15</f>
        <v>1</v>
      </c>
      <c r="Y16" s="480">
        <v>621137</v>
      </c>
      <c r="Z16" s="484">
        <f>Y16-Y15</f>
        <v>201</v>
      </c>
      <c r="AA16" s="480">
        <v>34868</v>
      </c>
      <c r="AB16" s="484">
        <f>AA16-AA15</f>
        <v>0</v>
      </c>
      <c r="AC16" s="480">
        <v>738769</v>
      </c>
      <c r="AD16" s="484">
        <f t="shared" si="16"/>
        <v>0</v>
      </c>
      <c r="AE16" s="507">
        <f t="shared" si="7"/>
        <v>2</v>
      </c>
      <c r="AF16" s="508">
        <f t="shared" si="8"/>
        <v>558</v>
      </c>
      <c r="AG16" s="500">
        <f t="shared" si="23"/>
        <v>279</v>
      </c>
      <c r="AI16" s="501">
        <f>R16-'EDl log'!B14</f>
        <v>-49319823</v>
      </c>
    </row>
    <row r="17" spans="1:35">
      <c r="A17" s="492">
        <f>'General information '!F20</f>
        <v>0.2261</v>
      </c>
      <c r="B17" s="486">
        <f t="shared" si="5"/>
        <v>52.003</v>
      </c>
      <c r="C17" s="493">
        <v>43845</v>
      </c>
      <c r="D17" s="480">
        <v>31353438</v>
      </c>
      <c r="E17" s="328">
        <f t="shared" si="9"/>
        <v>2696</v>
      </c>
      <c r="F17" s="480">
        <v>3465049</v>
      </c>
      <c r="G17" s="329">
        <f t="shared" si="0"/>
        <v>2131</v>
      </c>
      <c r="H17" s="480">
        <v>17254166</v>
      </c>
      <c r="I17" s="329">
        <f t="shared" si="10"/>
        <v>2104</v>
      </c>
      <c r="J17" s="480">
        <v>28256730</v>
      </c>
      <c r="K17" s="329">
        <f t="shared" si="11"/>
        <v>1678</v>
      </c>
      <c r="L17" s="480">
        <v>22587984</v>
      </c>
      <c r="M17" s="329">
        <f t="shared" si="12"/>
        <v>4270</v>
      </c>
      <c r="N17" s="327">
        <f t="shared" si="13"/>
        <v>12879</v>
      </c>
      <c r="O17" s="502">
        <f t="shared" si="21"/>
        <v>247.65878891602406</v>
      </c>
      <c r="P17" s="480">
        <v>15272.521000000001</v>
      </c>
      <c r="Q17" s="484">
        <f t="shared" si="24"/>
        <v>2646.0000000006403</v>
      </c>
      <c r="R17" s="484">
        <f t="shared" si="17"/>
        <v>10232.99999999936</v>
      </c>
      <c r="S17" s="480">
        <v>8364</v>
      </c>
      <c r="T17" s="504">
        <f t="shared" si="2"/>
        <v>1</v>
      </c>
      <c r="U17" s="480">
        <v>1020115</v>
      </c>
      <c r="V17" s="484">
        <f t="shared" si="14"/>
        <v>201</v>
      </c>
      <c r="W17" s="480">
        <v>31827</v>
      </c>
      <c r="X17" s="484">
        <f t="shared" si="20"/>
        <v>1</v>
      </c>
      <c r="Y17" s="480">
        <v>621317</v>
      </c>
      <c r="Z17" s="484">
        <f t="shared" si="18"/>
        <v>180</v>
      </c>
      <c r="AA17" s="480">
        <v>34869</v>
      </c>
      <c r="AB17" s="484">
        <f t="shared" si="15"/>
        <v>1</v>
      </c>
      <c r="AC17" s="480">
        <v>739022</v>
      </c>
      <c r="AD17" s="484">
        <f t="shared" ref="AD17:AD32" si="25">AC17-AC16</f>
        <v>253</v>
      </c>
      <c r="AE17" s="507">
        <f t="shared" si="7"/>
        <v>3</v>
      </c>
      <c r="AF17" s="508">
        <f t="shared" si="8"/>
        <v>634</v>
      </c>
      <c r="AG17" s="500">
        <f t="shared" si="23"/>
        <v>211.33333333333334</v>
      </c>
      <c r="AI17" s="501">
        <f>R17-'EDl log'!B15</f>
        <v>-49325513</v>
      </c>
    </row>
    <row r="18" spans="1:35">
      <c r="A18" s="492">
        <f>'General information '!F21</f>
        <v>0.2261</v>
      </c>
      <c r="B18" s="486">
        <f t="shared" si="5"/>
        <v>52.003</v>
      </c>
      <c r="C18" s="493">
        <v>43846</v>
      </c>
      <c r="D18" s="480">
        <v>31355626</v>
      </c>
      <c r="E18" s="328">
        <f t="shared" si="9"/>
        <v>2188</v>
      </c>
      <c r="F18" s="480">
        <v>3466916.4</v>
      </c>
      <c r="G18" s="329">
        <f t="shared" si="0"/>
        <v>1867.3999999999069</v>
      </c>
      <c r="H18" s="480">
        <v>17255862</v>
      </c>
      <c r="I18" s="329">
        <f t="shared" si="10"/>
        <v>1696</v>
      </c>
      <c r="J18" s="480">
        <v>28258666</v>
      </c>
      <c r="K18" s="329">
        <f t="shared" si="11"/>
        <v>1936</v>
      </c>
      <c r="L18" s="480">
        <v>22591666</v>
      </c>
      <c r="M18" s="329">
        <f t="shared" si="12"/>
        <v>3682</v>
      </c>
      <c r="N18" s="327">
        <f t="shared" si="13"/>
        <v>11369.399999999907</v>
      </c>
      <c r="O18" s="502">
        <f t="shared" si="21"/>
        <v>218.62969444070356</v>
      </c>
      <c r="P18" s="480">
        <v>15277.001</v>
      </c>
      <c r="Q18" s="484">
        <f t="shared" si="24"/>
        <v>4479.9999999995634</v>
      </c>
      <c r="R18" s="484">
        <f t="shared" si="17"/>
        <v>6889.4000000003434</v>
      </c>
      <c r="S18" s="480">
        <v>8366</v>
      </c>
      <c r="T18" s="504">
        <f t="shared" si="2"/>
        <v>2</v>
      </c>
      <c r="U18" s="480">
        <v>1020406</v>
      </c>
      <c r="V18" s="484">
        <f t="shared" si="14"/>
        <v>291</v>
      </c>
      <c r="W18" s="480">
        <v>31831</v>
      </c>
      <c r="X18" s="484">
        <f t="shared" si="20"/>
        <v>4</v>
      </c>
      <c r="Y18" s="480">
        <v>622008</v>
      </c>
      <c r="Z18" s="484">
        <f t="shared" si="18"/>
        <v>691</v>
      </c>
      <c r="AA18" s="480">
        <f t="shared" ref="AA18:AA33" si="26">AA17</f>
        <v>34869</v>
      </c>
      <c r="AB18" s="484">
        <f t="shared" si="15"/>
        <v>0</v>
      </c>
      <c r="AC18" s="480">
        <f t="shared" si="19"/>
        <v>739022</v>
      </c>
      <c r="AD18" s="484">
        <f t="shared" si="25"/>
        <v>0</v>
      </c>
      <c r="AE18" s="507">
        <f t="shared" si="7"/>
        <v>6</v>
      </c>
      <c r="AF18" s="508">
        <f t="shared" si="8"/>
        <v>982</v>
      </c>
      <c r="AG18" s="500">
        <f t="shared" si="23"/>
        <v>163.66666666666666</v>
      </c>
      <c r="AI18" s="501">
        <f>R18-'EDl log'!B16</f>
        <v>-49334318.600000001</v>
      </c>
    </row>
    <row r="19" spans="1:35">
      <c r="A19" s="492">
        <f>'General information '!F22</f>
        <v>0.1739</v>
      </c>
      <c r="B19" s="486">
        <f t="shared" si="5"/>
        <v>39.997</v>
      </c>
      <c r="C19" s="493">
        <v>43847</v>
      </c>
      <c r="D19" s="480">
        <v>31358932</v>
      </c>
      <c r="E19" s="328">
        <f t="shared" si="9"/>
        <v>3306</v>
      </c>
      <c r="F19" s="480">
        <v>3469290</v>
      </c>
      <c r="G19" s="329">
        <f t="shared" si="0"/>
        <v>2373.6000000000931</v>
      </c>
      <c r="H19" s="480">
        <v>17258222</v>
      </c>
      <c r="I19" s="329">
        <f t="shared" si="10"/>
        <v>2360</v>
      </c>
      <c r="J19" s="480">
        <v>28260246</v>
      </c>
      <c r="K19" s="329">
        <f t="shared" si="11"/>
        <v>1580</v>
      </c>
      <c r="L19" s="480">
        <v>22596296</v>
      </c>
      <c r="M19" s="329">
        <f t="shared" si="12"/>
        <v>4630</v>
      </c>
      <c r="N19" s="327">
        <f t="shared" si="13"/>
        <v>14249.600000000093</v>
      </c>
      <c r="O19" s="502">
        <f t="shared" si="21"/>
        <v>356.26672000400265</v>
      </c>
      <c r="P19" s="480">
        <v>15279.014999999999</v>
      </c>
      <c r="Q19" s="484">
        <f t="shared" si="24"/>
        <v>2013.9999999992142</v>
      </c>
      <c r="R19" s="484">
        <f t="shared" si="17"/>
        <v>12235.600000000879</v>
      </c>
      <c r="S19" s="480">
        <v>8367</v>
      </c>
      <c r="T19" s="504">
        <f t="shared" si="2"/>
        <v>1</v>
      </c>
      <c r="U19" s="480">
        <v>1020832</v>
      </c>
      <c r="V19" s="484">
        <f t="shared" si="14"/>
        <v>426</v>
      </c>
      <c r="W19" s="480">
        <f t="shared" ref="W19:W33" si="27">W18</f>
        <v>31831</v>
      </c>
      <c r="X19" s="484">
        <f t="shared" si="20"/>
        <v>0</v>
      </c>
      <c r="Y19" s="480">
        <f t="shared" ref="Y19:Y33" si="28">Y18</f>
        <v>622008</v>
      </c>
      <c r="Z19" s="484">
        <f t="shared" si="18"/>
        <v>0</v>
      </c>
      <c r="AA19" s="480">
        <v>34871</v>
      </c>
      <c r="AB19" s="484">
        <f t="shared" si="15"/>
        <v>2</v>
      </c>
      <c r="AC19" s="480">
        <v>739336</v>
      </c>
      <c r="AD19" s="484">
        <f t="shared" si="25"/>
        <v>314</v>
      </c>
      <c r="AE19" s="507">
        <f t="shared" si="7"/>
        <v>3</v>
      </c>
      <c r="AF19" s="508">
        <f t="shared" si="8"/>
        <v>740</v>
      </c>
      <c r="AG19" s="500">
        <f t="shared" si="23"/>
        <v>246.66666666666666</v>
      </c>
      <c r="AI19" s="501">
        <f>R19-'EDl log'!B17</f>
        <v>-49333934.399999999</v>
      </c>
    </row>
    <row r="20" spans="1:35">
      <c r="A20" s="492">
        <f>'General information '!F23</f>
        <v>9.5699999999999993E-2</v>
      </c>
      <c r="B20" s="486">
        <f t="shared" si="5"/>
        <v>22.010999999999999</v>
      </c>
      <c r="C20" s="493">
        <v>43848</v>
      </c>
      <c r="D20" s="480">
        <v>31361354</v>
      </c>
      <c r="E20" s="328">
        <f t="shared" si="9"/>
        <v>2422</v>
      </c>
      <c r="F20" s="480">
        <v>3471402</v>
      </c>
      <c r="G20" s="329">
        <f t="shared" si="0"/>
        <v>2112</v>
      </c>
      <c r="H20" s="480">
        <v>17260214</v>
      </c>
      <c r="I20" s="329">
        <f t="shared" si="10"/>
        <v>1992</v>
      </c>
      <c r="J20" s="480">
        <v>28261566</v>
      </c>
      <c r="K20" s="329">
        <f t="shared" si="11"/>
        <v>1320</v>
      </c>
      <c r="L20" s="480">
        <v>22599594</v>
      </c>
      <c r="M20" s="329">
        <f t="shared" si="12"/>
        <v>3298</v>
      </c>
      <c r="N20" s="327">
        <f t="shared" si="13"/>
        <v>11144</v>
      </c>
      <c r="O20" s="502">
        <f t="shared" si="21"/>
        <v>506.29230839125893</v>
      </c>
      <c r="P20" s="480">
        <v>15282</v>
      </c>
      <c r="Q20" s="484">
        <f t="shared" si="24"/>
        <v>2985.0000000005821</v>
      </c>
      <c r="R20" s="484">
        <f t="shared" si="17"/>
        <v>8158.9999999994179</v>
      </c>
      <c r="S20" s="480">
        <f t="shared" si="22"/>
        <v>8367</v>
      </c>
      <c r="T20" s="504">
        <f t="shared" si="2"/>
        <v>0</v>
      </c>
      <c r="U20" s="480">
        <f t="shared" si="22"/>
        <v>1020832</v>
      </c>
      <c r="V20" s="484">
        <f t="shared" si="14"/>
        <v>0</v>
      </c>
      <c r="W20" s="480">
        <f t="shared" si="27"/>
        <v>31831</v>
      </c>
      <c r="X20" s="484">
        <f t="shared" si="20"/>
        <v>0</v>
      </c>
      <c r="Y20" s="480">
        <f t="shared" si="28"/>
        <v>622008</v>
      </c>
      <c r="Z20" s="484">
        <f t="shared" si="18"/>
        <v>0</v>
      </c>
      <c r="AA20" s="480">
        <v>34872</v>
      </c>
      <c r="AB20" s="484">
        <f t="shared" si="15"/>
        <v>1</v>
      </c>
      <c r="AC20" s="480">
        <v>739653</v>
      </c>
      <c r="AD20" s="484">
        <f t="shared" si="25"/>
        <v>317</v>
      </c>
      <c r="AE20" s="507">
        <f t="shared" si="7"/>
        <v>1</v>
      </c>
      <c r="AF20" s="508">
        <f t="shared" si="8"/>
        <v>317</v>
      </c>
      <c r="AG20" s="500">
        <f t="shared" si="23"/>
        <v>317</v>
      </c>
      <c r="AI20" s="501">
        <f>R20-'EDl log'!B18</f>
        <v>-49343439</v>
      </c>
    </row>
    <row r="21" spans="1:35">
      <c r="A21" s="492">
        <f>'General information '!F24</f>
        <v>9.1300000000000006E-2</v>
      </c>
      <c r="B21" s="486">
        <f t="shared" si="5"/>
        <v>20.999000000000002</v>
      </c>
      <c r="C21" s="493">
        <v>43849</v>
      </c>
      <c r="D21" s="480">
        <v>31362850</v>
      </c>
      <c r="E21" s="328">
        <f t="shared" si="9"/>
        <v>1496</v>
      </c>
      <c r="F21" s="480">
        <v>3473180</v>
      </c>
      <c r="G21" s="329">
        <f t="shared" si="0"/>
        <v>1778</v>
      </c>
      <c r="H21" s="480">
        <v>17261882</v>
      </c>
      <c r="I21" s="329">
        <f t="shared" si="10"/>
        <v>1668</v>
      </c>
      <c r="J21" s="480">
        <v>28262612</v>
      </c>
      <c r="K21" s="329">
        <f t="shared" si="11"/>
        <v>1046</v>
      </c>
      <c r="L21" s="480">
        <v>22602642</v>
      </c>
      <c r="M21" s="329">
        <f t="shared" si="12"/>
        <v>3048</v>
      </c>
      <c r="N21" s="327">
        <f t="shared" si="13"/>
        <v>9036</v>
      </c>
      <c r="O21" s="502">
        <f t="shared" si="21"/>
        <v>430.30620505738364</v>
      </c>
      <c r="P21" s="480">
        <v>15283.641</v>
      </c>
      <c r="Q21" s="484">
        <f>(P21-P20)*1000</f>
        <v>1640.9999999996217</v>
      </c>
      <c r="R21" s="484">
        <f t="shared" si="17"/>
        <v>7395.0000000003783</v>
      </c>
      <c r="S21" s="480">
        <v>8367</v>
      </c>
      <c r="T21" s="504">
        <f t="shared" si="2"/>
        <v>0</v>
      </c>
      <c r="U21" s="480">
        <v>1020832</v>
      </c>
      <c r="V21" s="484">
        <f t="shared" si="14"/>
        <v>0</v>
      </c>
      <c r="W21" s="480">
        <v>31831</v>
      </c>
      <c r="X21" s="484">
        <f t="shared" si="20"/>
        <v>0</v>
      </c>
      <c r="Y21" s="480">
        <v>622008</v>
      </c>
      <c r="Z21" s="484">
        <f t="shared" si="18"/>
        <v>0</v>
      </c>
      <c r="AA21" s="480">
        <v>34872</v>
      </c>
      <c r="AB21" s="484">
        <f t="shared" si="15"/>
        <v>0</v>
      </c>
      <c r="AC21" s="480">
        <v>739653</v>
      </c>
      <c r="AD21" s="484">
        <f t="shared" si="25"/>
        <v>0</v>
      </c>
      <c r="AE21" s="507">
        <f t="shared" si="7"/>
        <v>0</v>
      </c>
      <c r="AF21" s="508">
        <f t="shared" si="8"/>
        <v>0</v>
      </c>
      <c r="AG21" s="500">
        <f t="shared" si="23"/>
        <v>0</v>
      </c>
      <c r="AI21" s="501">
        <f>R21-'EDl log'!B19</f>
        <v>-49347825</v>
      </c>
    </row>
    <row r="22" spans="1:35">
      <c r="A22" s="492">
        <f>'General information '!F25</f>
        <v>0.1087</v>
      </c>
      <c r="B22" s="486">
        <f t="shared" si="5"/>
        <v>25.001000000000001</v>
      </c>
      <c r="C22" s="493">
        <v>43850</v>
      </c>
      <c r="D22" s="480">
        <v>31365678</v>
      </c>
      <c r="E22" s="328">
        <f t="shared" si="9"/>
        <v>2828</v>
      </c>
      <c r="F22" s="480">
        <v>3475174</v>
      </c>
      <c r="G22" s="329">
        <f t="shared" si="0"/>
        <v>1994</v>
      </c>
      <c r="H22" s="480">
        <v>17263862</v>
      </c>
      <c r="I22" s="329">
        <f t="shared" si="10"/>
        <v>1980</v>
      </c>
      <c r="J22" s="480">
        <v>28264114</v>
      </c>
      <c r="K22" s="329">
        <f t="shared" si="11"/>
        <v>1502</v>
      </c>
      <c r="L22" s="480">
        <v>22606238</v>
      </c>
      <c r="M22" s="329">
        <f t="shared" si="12"/>
        <v>3596</v>
      </c>
      <c r="N22" s="327">
        <f t="shared" si="13"/>
        <v>11900</v>
      </c>
      <c r="O22" s="502">
        <f t="shared" si="21"/>
        <v>475.98096076156952</v>
      </c>
      <c r="P22" s="480">
        <v>15285.763000000001</v>
      </c>
      <c r="Q22" s="484">
        <f t="shared" si="24"/>
        <v>2122.0000000012078</v>
      </c>
      <c r="R22" s="484">
        <f t="shared" si="17"/>
        <v>9777.9999999987922</v>
      </c>
      <c r="S22" s="480">
        <f t="shared" si="22"/>
        <v>8367</v>
      </c>
      <c r="T22" s="504">
        <f t="shared" si="2"/>
        <v>0</v>
      </c>
      <c r="U22" s="480">
        <f t="shared" si="22"/>
        <v>1020832</v>
      </c>
      <c r="V22" s="484">
        <f t="shared" si="14"/>
        <v>0</v>
      </c>
      <c r="W22" s="480">
        <v>31833</v>
      </c>
      <c r="X22" s="484">
        <f t="shared" si="20"/>
        <v>2</v>
      </c>
      <c r="Y22" s="480">
        <v>622086</v>
      </c>
      <c r="Z22" s="484">
        <f t="shared" si="18"/>
        <v>78</v>
      </c>
      <c r="AA22" s="480">
        <v>34875</v>
      </c>
      <c r="AB22" s="484">
        <f t="shared" si="15"/>
        <v>3</v>
      </c>
      <c r="AC22" s="480">
        <v>740037</v>
      </c>
      <c r="AD22" s="484">
        <f t="shared" si="25"/>
        <v>384</v>
      </c>
      <c r="AE22" s="507">
        <f t="shared" si="7"/>
        <v>5</v>
      </c>
      <c r="AF22" s="508">
        <f t="shared" si="8"/>
        <v>462</v>
      </c>
      <c r="AG22" s="500">
        <f t="shared" si="23"/>
        <v>92.4</v>
      </c>
      <c r="AI22" s="501">
        <f>R22-'EDl log'!B20</f>
        <v>-49351728</v>
      </c>
    </row>
    <row r="23" spans="1:35">
      <c r="A23" s="492">
        <f>'General information '!F26</f>
        <v>0.1217</v>
      </c>
      <c r="B23" s="486">
        <f t="shared" si="5"/>
        <v>27.991</v>
      </c>
      <c r="C23" s="493">
        <v>43851</v>
      </c>
      <c r="D23" s="480">
        <v>31367890</v>
      </c>
      <c r="E23" s="328">
        <f t="shared" si="9"/>
        <v>2212</v>
      </c>
      <c r="F23" s="480">
        <v>3477097.2</v>
      </c>
      <c r="G23" s="329">
        <f t="shared" si="0"/>
        <v>1923.2000000001863</v>
      </c>
      <c r="H23" s="480">
        <v>17265798</v>
      </c>
      <c r="I23" s="473">
        <f t="shared" si="10"/>
        <v>1936</v>
      </c>
      <c r="J23" s="480">
        <v>28265874</v>
      </c>
      <c r="K23" s="329">
        <f t="shared" si="11"/>
        <v>1760</v>
      </c>
      <c r="L23" s="480">
        <v>22609776</v>
      </c>
      <c r="M23" s="329">
        <f t="shared" si="12"/>
        <v>3538</v>
      </c>
      <c r="N23" s="327">
        <f t="shared" si="13"/>
        <v>11369.200000000186</v>
      </c>
      <c r="O23" s="502">
        <f t="shared" si="21"/>
        <v>406.17341288271894</v>
      </c>
      <c r="P23" s="480">
        <v>15287.971</v>
      </c>
      <c r="Q23" s="484">
        <f t="shared" si="24"/>
        <v>2207.9999999987194</v>
      </c>
      <c r="R23" s="484">
        <f t="shared" si="17"/>
        <v>9161.2000000014668</v>
      </c>
      <c r="S23" s="480">
        <f t="shared" si="22"/>
        <v>8367</v>
      </c>
      <c r="T23" s="504">
        <f t="shared" si="2"/>
        <v>0</v>
      </c>
      <c r="U23" s="480">
        <f t="shared" si="22"/>
        <v>1020832</v>
      </c>
      <c r="V23" s="484">
        <f t="shared" si="14"/>
        <v>0</v>
      </c>
      <c r="W23" s="480">
        <v>31836</v>
      </c>
      <c r="X23" s="484">
        <f t="shared" si="20"/>
        <v>3</v>
      </c>
      <c r="Y23" s="480">
        <v>622669</v>
      </c>
      <c r="Z23" s="484">
        <f t="shared" si="18"/>
        <v>583</v>
      </c>
      <c r="AA23" s="480">
        <f t="shared" si="26"/>
        <v>34875</v>
      </c>
      <c r="AB23" s="484">
        <f t="shared" si="15"/>
        <v>0</v>
      </c>
      <c r="AC23" s="480">
        <f t="shared" si="19"/>
        <v>740037</v>
      </c>
      <c r="AD23" s="484">
        <f t="shared" si="25"/>
        <v>0</v>
      </c>
      <c r="AE23" s="507">
        <f t="shared" si="7"/>
        <v>3</v>
      </c>
      <c r="AF23" s="508">
        <f t="shared" si="8"/>
        <v>583</v>
      </c>
      <c r="AG23" s="500">
        <f t="shared" si="23"/>
        <v>194.33333333333334</v>
      </c>
      <c r="AI23" s="501">
        <f>R23-'EDl log'!B21</f>
        <v>-49356330.799999997</v>
      </c>
    </row>
    <row r="24" spans="1:35">
      <c r="A24" s="492">
        <f>'General information '!F27</f>
        <v>0.13</v>
      </c>
      <c r="B24" s="486">
        <f t="shared" si="5"/>
        <v>29.900000000000002</v>
      </c>
      <c r="C24" s="493">
        <v>43852</v>
      </c>
      <c r="D24" s="480">
        <v>31369798</v>
      </c>
      <c r="E24" s="328">
        <f t="shared" si="9"/>
        <v>1908</v>
      </c>
      <c r="F24" s="480">
        <v>3479115.2</v>
      </c>
      <c r="G24" s="329">
        <f t="shared" si="0"/>
        <v>2018</v>
      </c>
      <c r="H24" s="480">
        <v>17267778</v>
      </c>
      <c r="I24" s="329">
        <f t="shared" si="10"/>
        <v>1980</v>
      </c>
      <c r="J24" s="480">
        <v>28267176</v>
      </c>
      <c r="K24" s="329">
        <f t="shared" si="11"/>
        <v>1302</v>
      </c>
      <c r="L24" s="480">
        <v>22613538</v>
      </c>
      <c r="M24" s="329">
        <f t="shared" si="12"/>
        <v>3762</v>
      </c>
      <c r="N24" s="327">
        <f t="shared" si="13"/>
        <v>10970</v>
      </c>
      <c r="O24" s="502">
        <f t="shared" si="21"/>
        <v>366.88963210702337</v>
      </c>
      <c r="P24" s="480">
        <v>15289.477000000001</v>
      </c>
      <c r="Q24" s="484">
        <f t="shared" si="24"/>
        <v>1506.0000000012224</v>
      </c>
      <c r="R24" s="484">
        <f t="shared" si="17"/>
        <v>9463.9999999987776</v>
      </c>
      <c r="S24" s="480">
        <v>8367</v>
      </c>
      <c r="T24" s="504">
        <f t="shared" si="2"/>
        <v>0</v>
      </c>
      <c r="U24" s="480">
        <v>1020832</v>
      </c>
      <c r="V24" s="484">
        <f t="shared" si="14"/>
        <v>0</v>
      </c>
      <c r="W24" s="480">
        <v>31836</v>
      </c>
      <c r="X24" s="484">
        <f t="shared" si="20"/>
        <v>0</v>
      </c>
      <c r="Y24" s="480">
        <v>622669</v>
      </c>
      <c r="Z24" s="484">
        <f t="shared" si="18"/>
        <v>0</v>
      </c>
      <c r="AA24" s="480">
        <v>34875</v>
      </c>
      <c r="AB24" s="484">
        <f t="shared" si="15"/>
        <v>0</v>
      </c>
      <c r="AC24" s="480">
        <v>740037</v>
      </c>
      <c r="AD24" s="484">
        <f t="shared" si="25"/>
        <v>0</v>
      </c>
      <c r="AE24" s="507">
        <f t="shared" si="7"/>
        <v>0</v>
      </c>
      <c r="AF24" s="508">
        <f t="shared" si="8"/>
        <v>0</v>
      </c>
      <c r="AG24" s="500">
        <f t="shared" si="23"/>
        <v>0</v>
      </c>
      <c r="AI24" s="501">
        <f>R24-'EDl log'!B22</f>
        <v>-49360116</v>
      </c>
    </row>
    <row r="25" spans="1:35">
      <c r="A25" s="492">
        <f>'General information '!F28</f>
        <v>0.14779999999999999</v>
      </c>
      <c r="B25" s="486">
        <f t="shared" si="5"/>
        <v>33.994</v>
      </c>
      <c r="C25" s="493">
        <v>43853</v>
      </c>
      <c r="D25" s="480">
        <v>31371620</v>
      </c>
      <c r="E25" s="328">
        <f t="shared" si="9"/>
        <v>1822</v>
      </c>
      <c r="F25" s="480">
        <v>3481122</v>
      </c>
      <c r="G25" s="329">
        <f t="shared" si="0"/>
        <v>2006.7999999998137</v>
      </c>
      <c r="H25" s="480">
        <v>17269750</v>
      </c>
      <c r="I25" s="329">
        <f t="shared" si="10"/>
        <v>1972</v>
      </c>
      <c r="J25" s="480">
        <v>28268464</v>
      </c>
      <c r="K25" s="329">
        <f t="shared" si="11"/>
        <v>1288</v>
      </c>
      <c r="L25" s="480">
        <v>22617122</v>
      </c>
      <c r="M25" s="329">
        <f t="shared" si="12"/>
        <v>3584</v>
      </c>
      <c r="N25" s="327">
        <f t="shared" si="13"/>
        <v>10672.799999999814</v>
      </c>
      <c r="O25" s="502">
        <f t="shared" si="21"/>
        <v>313.96128728598615</v>
      </c>
      <c r="P25" s="480">
        <v>15290.963</v>
      </c>
      <c r="Q25" s="484">
        <f t="shared" si="24"/>
        <v>1485.9999999989668</v>
      </c>
      <c r="R25" s="484">
        <f t="shared" si="17"/>
        <v>9186.8000000008469</v>
      </c>
      <c r="S25" s="480">
        <f t="shared" si="22"/>
        <v>8367</v>
      </c>
      <c r="T25" s="504">
        <f t="shared" si="2"/>
        <v>0</v>
      </c>
      <c r="U25" s="480">
        <f t="shared" si="22"/>
        <v>1020832</v>
      </c>
      <c r="V25" s="484">
        <f t="shared" si="14"/>
        <v>0</v>
      </c>
      <c r="W25" s="480">
        <f t="shared" si="27"/>
        <v>31836</v>
      </c>
      <c r="X25" s="484">
        <f t="shared" si="20"/>
        <v>0</v>
      </c>
      <c r="Y25" s="480">
        <f t="shared" si="28"/>
        <v>622669</v>
      </c>
      <c r="Z25" s="484">
        <f t="shared" si="18"/>
        <v>0</v>
      </c>
      <c r="AA25" s="480">
        <f t="shared" si="26"/>
        <v>34875</v>
      </c>
      <c r="AB25" s="484">
        <f t="shared" si="15"/>
        <v>0</v>
      </c>
      <c r="AC25" s="480">
        <f t="shared" si="19"/>
        <v>740037</v>
      </c>
      <c r="AD25" s="484">
        <f t="shared" si="25"/>
        <v>0</v>
      </c>
      <c r="AE25" s="507">
        <f t="shared" si="7"/>
        <v>0</v>
      </c>
      <c r="AF25" s="508">
        <f t="shared" si="8"/>
        <v>0</v>
      </c>
      <c r="AG25" s="500">
        <f t="shared" si="23"/>
        <v>0</v>
      </c>
      <c r="AI25" s="501">
        <f>R25-'EDl log'!B23</f>
        <v>-49365445.199999996</v>
      </c>
    </row>
    <row r="26" spans="1:35">
      <c r="A26" s="492">
        <f>'General information '!F29</f>
        <v>0.113</v>
      </c>
      <c r="B26" s="486">
        <f t="shared" si="5"/>
        <v>25.990000000000002</v>
      </c>
      <c r="C26" s="493">
        <v>43854</v>
      </c>
      <c r="D26" s="480">
        <v>31373586</v>
      </c>
      <c r="E26" s="328">
        <f t="shared" si="9"/>
        <v>1966</v>
      </c>
      <c r="F26" s="480">
        <v>3483034</v>
      </c>
      <c r="G26" s="329">
        <f t="shared" si="0"/>
        <v>1912</v>
      </c>
      <c r="H26" s="480">
        <v>17271710</v>
      </c>
      <c r="I26" s="329">
        <f t="shared" si="10"/>
        <v>1960</v>
      </c>
      <c r="J26" s="480">
        <v>28269814</v>
      </c>
      <c r="K26" s="329">
        <f t="shared" si="11"/>
        <v>1350</v>
      </c>
      <c r="L26" s="480">
        <v>22622055</v>
      </c>
      <c r="M26" s="329">
        <f t="shared" si="12"/>
        <v>4933</v>
      </c>
      <c r="N26" s="327">
        <f t="shared" si="13"/>
        <v>12121</v>
      </c>
      <c r="O26" s="502">
        <f t="shared" si="21"/>
        <v>466.37168141592917</v>
      </c>
      <c r="P26" s="480">
        <v>15292.985000000001</v>
      </c>
      <c r="Q26" s="484">
        <f t="shared" si="24"/>
        <v>2022.000000000844</v>
      </c>
      <c r="R26" s="509">
        <f>N26-Q26</f>
        <v>10098.999999999156</v>
      </c>
      <c r="S26" s="480">
        <f t="shared" si="22"/>
        <v>8367</v>
      </c>
      <c r="T26" s="504">
        <f t="shared" si="2"/>
        <v>0</v>
      </c>
      <c r="U26" s="480">
        <f t="shared" si="22"/>
        <v>1020832</v>
      </c>
      <c r="V26" s="484">
        <f t="shared" si="14"/>
        <v>0</v>
      </c>
      <c r="W26" s="480">
        <f t="shared" si="27"/>
        <v>31836</v>
      </c>
      <c r="X26" s="484">
        <f t="shared" si="20"/>
        <v>0</v>
      </c>
      <c r="Y26" s="480">
        <f t="shared" si="28"/>
        <v>622669</v>
      </c>
      <c r="Z26" s="484">
        <f t="shared" si="18"/>
        <v>0</v>
      </c>
      <c r="AA26" s="480">
        <f t="shared" si="26"/>
        <v>34875</v>
      </c>
      <c r="AB26" s="484">
        <f t="shared" si="15"/>
        <v>0</v>
      </c>
      <c r="AC26" s="480">
        <f t="shared" si="19"/>
        <v>740037</v>
      </c>
      <c r="AD26" s="484">
        <f t="shared" si="25"/>
        <v>0</v>
      </c>
      <c r="AE26" s="507">
        <f t="shared" si="7"/>
        <v>0</v>
      </c>
      <c r="AF26" s="508">
        <f t="shared" si="8"/>
        <v>0</v>
      </c>
      <c r="AG26" s="500">
        <f t="shared" si="23"/>
        <v>0</v>
      </c>
      <c r="AI26" s="501">
        <f>R26-'EDl log'!B24</f>
        <v>-49369299</v>
      </c>
    </row>
    <row r="27" spans="1:35">
      <c r="A27" s="492">
        <f>'General information '!F30</f>
        <v>0.1</v>
      </c>
      <c r="B27" s="486">
        <f t="shared" si="5"/>
        <v>23</v>
      </c>
      <c r="C27" s="493">
        <v>43855</v>
      </c>
      <c r="D27" s="480">
        <v>31375630</v>
      </c>
      <c r="E27" s="328">
        <f t="shared" si="9"/>
        <v>2044</v>
      </c>
      <c r="F27" s="480">
        <v>3484878</v>
      </c>
      <c r="G27" s="329">
        <f>F27-F26</f>
        <v>1844</v>
      </c>
      <c r="H27" s="480">
        <v>17273618</v>
      </c>
      <c r="I27" s="329">
        <f t="shared" si="10"/>
        <v>1908</v>
      </c>
      <c r="J27" s="480">
        <v>28271102</v>
      </c>
      <c r="K27" s="329">
        <f t="shared" si="11"/>
        <v>1288</v>
      </c>
      <c r="L27" s="480">
        <v>22623942</v>
      </c>
      <c r="M27" s="329">
        <f t="shared" si="12"/>
        <v>1887</v>
      </c>
      <c r="N27" s="327">
        <f t="shared" si="13"/>
        <v>8971</v>
      </c>
      <c r="O27" s="502">
        <f t="shared" si="21"/>
        <v>390.04347826086956</v>
      </c>
      <c r="P27" s="480">
        <v>15294.521000000001</v>
      </c>
      <c r="Q27" s="484">
        <f t="shared" si="24"/>
        <v>1536.0000000000582</v>
      </c>
      <c r="R27" s="484">
        <f t="shared" si="17"/>
        <v>7434.9999999999418</v>
      </c>
      <c r="S27" s="480">
        <v>8368</v>
      </c>
      <c r="T27" s="504">
        <f t="shared" si="2"/>
        <v>1</v>
      </c>
      <c r="U27" s="480">
        <v>1021058</v>
      </c>
      <c r="V27" s="484">
        <f t="shared" si="14"/>
        <v>226</v>
      </c>
      <c r="W27" s="480">
        <v>31836</v>
      </c>
      <c r="X27" s="484">
        <f t="shared" si="20"/>
        <v>0</v>
      </c>
      <c r="Y27" s="480">
        <f t="shared" si="28"/>
        <v>622669</v>
      </c>
      <c r="Z27" s="484">
        <f t="shared" si="18"/>
        <v>0</v>
      </c>
      <c r="AA27" s="480">
        <f t="shared" si="26"/>
        <v>34875</v>
      </c>
      <c r="AB27" s="484">
        <f t="shared" si="15"/>
        <v>0</v>
      </c>
      <c r="AC27" s="480">
        <f t="shared" si="19"/>
        <v>740037</v>
      </c>
      <c r="AD27" s="484">
        <f t="shared" si="25"/>
        <v>0</v>
      </c>
      <c r="AE27" s="507">
        <f t="shared" si="7"/>
        <v>1</v>
      </c>
      <c r="AF27" s="508">
        <f t="shared" si="8"/>
        <v>226</v>
      </c>
      <c r="AG27" s="500">
        <f t="shared" si="23"/>
        <v>226</v>
      </c>
      <c r="AI27" s="501">
        <f>R27-'EDl log'!B25</f>
        <v>-49376870</v>
      </c>
    </row>
    <row r="28" spans="1:35">
      <c r="A28" s="492">
        <f>'General information '!F31</f>
        <v>6.9599999999999995E-2</v>
      </c>
      <c r="B28" s="486">
        <f t="shared" si="5"/>
        <v>16.007999999999999</v>
      </c>
      <c r="C28" s="493">
        <v>43856</v>
      </c>
      <c r="D28" s="480">
        <v>31377914</v>
      </c>
      <c r="E28" s="328">
        <f t="shared" si="9"/>
        <v>2284</v>
      </c>
      <c r="F28" s="480">
        <v>3486929.6</v>
      </c>
      <c r="G28" s="329">
        <f t="shared" si="0"/>
        <v>2051.6000000000931</v>
      </c>
      <c r="H28" s="480">
        <v>17275626</v>
      </c>
      <c r="I28" s="329">
        <f t="shared" si="10"/>
        <v>2008</v>
      </c>
      <c r="J28" s="480">
        <v>28272578</v>
      </c>
      <c r="K28" s="329">
        <f t="shared" si="11"/>
        <v>1476</v>
      </c>
      <c r="L28" s="480">
        <v>22627792</v>
      </c>
      <c r="M28" s="329">
        <f t="shared" si="12"/>
        <v>3850</v>
      </c>
      <c r="N28" s="327">
        <f t="shared" si="13"/>
        <v>11669.600000000093</v>
      </c>
      <c r="O28" s="502">
        <f t="shared" si="21"/>
        <v>728.98550724638267</v>
      </c>
      <c r="P28" s="480">
        <v>15296.017</v>
      </c>
      <c r="Q28" s="484">
        <f t="shared" si="24"/>
        <v>1495.9999999991851</v>
      </c>
      <c r="R28" s="484">
        <f>N28-Q28</f>
        <v>10173.600000000908</v>
      </c>
      <c r="S28" s="480">
        <v>8369</v>
      </c>
      <c r="T28" s="504">
        <f t="shared" si="2"/>
        <v>1</v>
      </c>
      <c r="U28" s="480">
        <v>1021225</v>
      </c>
      <c r="V28" s="484">
        <f t="shared" si="14"/>
        <v>167</v>
      </c>
      <c r="W28" s="480">
        <f t="shared" si="27"/>
        <v>31836</v>
      </c>
      <c r="X28" s="484">
        <f t="shared" si="20"/>
        <v>0</v>
      </c>
      <c r="Y28" s="480">
        <f t="shared" si="28"/>
        <v>622669</v>
      </c>
      <c r="Z28" s="484">
        <f t="shared" si="18"/>
        <v>0</v>
      </c>
      <c r="AA28" s="480">
        <f t="shared" si="26"/>
        <v>34875</v>
      </c>
      <c r="AB28" s="484">
        <f t="shared" si="15"/>
        <v>0</v>
      </c>
      <c r="AC28" s="480">
        <v>740119</v>
      </c>
      <c r="AD28" s="484">
        <f t="shared" si="25"/>
        <v>82</v>
      </c>
      <c r="AE28" s="507">
        <f t="shared" si="7"/>
        <v>1</v>
      </c>
      <c r="AF28" s="508">
        <f t="shared" si="8"/>
        <v>249</v>
      </c>
      <c r="AG28" s="500">
        <f t="shared" si="23"/>
        <v>249</v>
      </c>
      <c r="AI28" s="501">
        <f>R28-'EDl log'!B26</f>
        <v>-49378921.399999999</v>
      </c>
    </row>
    <row r="29" spans="1:35">
      <c r="A29" s="492">
        <f>'General information '!F32</f>
        <v>0</v>
      </c>
      <c r="B29" s="486">
        <f>SUM(230*A29)</f>
        <v>0</v>
      </c>
      <c r="C29" s="493">
        <v>43857</v>
      </c>
      <c r="D29" s="480">
        <f t="shared" ref="D28:L33" si="29">D28</f>
        <v>31377914</v>
      </c>
      <c r="E29" s="328">
        <f t="shared" si="9"/>
        <v>0</v>
      </c>
      <c r="F29" s="480">
        <f t="shared" si="29"/>
        <v>3486929.6</v>
      </c>
      <c r="G29" s="329">
        <f t="shared" si="0"/>
        <v>0</v>
      </c>
      <c r="H29" s="480">
        <f t="shared" si="29"/>
        <v>17275626</v>
      </c>
      <c r="I29" s="329">
        <f t="shared" si="10"/>
        <v>0</v>
      </c>
      <c r="J29" s="480">
        <f t="shared" si="29"/>
        <v>28272578</v>
      </c>
      <c r="K29" s="329">
        <f t="shared" si="11"/>
        <v>0</v>
      </c>
      <c r="L29" s="480">
        <f t="shared" si="29"/>
        <v>22627792</v>
      </c>
      <c r="M29" s="329">
        <f t="shared" si="12"/>
        <v>0</v>
      </c>
      <c r="N29" s="327">
        <f t="shared" si="13"/>
        <v>0</v>
      </c>
      <c r="O29" s="502">
        <f t="shared" si="21"/>
        <v>0</v>
      </c>
      <c r="P29" s="480">
        <f t="shared" ref="P28:P33" si="30">P28</f>
        <v>15296.017</v>
      </c>
      <c r="Q29" s="484">
        <f t="shared" si="24"/>
        <v>0</v>
      </c>
      <c r="R29" s="484">
        <f t="shared" si="17"/>
        <v>0</v>
      </c>
      <c r="S29" s="480">
        <f t="shared" si="22"/>
        <v>8369</v>
      </c>
      <c r="T29" s="504">
        <f t="shared" si="2"/>
        <v>0</v>
      </c>
      <c r="U29" s="480">
        <f t="shared" si="22"/>
        <v>1021225</v>
      </c>
      <c r="V29" s="484">
        <f t="shared" si="14"/>
        <v>0</v>
      </c>
      <c r="W29" s="480">
        <f t="shared" si="27"/>
        <v>31836</v>
      </c>
      <c r="X29" s="484">
        <f t="shared" si="20"/>
        <v>0</v>
      </c>
      <c r="Y29" s="480">
        <f t="shared" si="28"/>
        <v>622669</v>
      </c>
      <c r="Z29" s="484">
        <f t="shared" si="18"/>
        <v>0</v>
      </c>
      <c r="AA29" s="480">
        <f t="shared" si="26"/>
        <v>34875</v>
      </c>
      <c r="AB29" s="484">
        <f t="shared" si="15"/>
        <v>0</v>
      </c>
      <c r="AC29" s="480">
        <f t="shared" si="19"/>
        <v>740119</v>
      </c>
      <c r="AD29" s="484">
        <f t="shared" si="25"/>
        <v>0</v>
      </c>
      <c r="AE29" s="507">
        <f t="shared" si="7"/>
        <v>0</v>
      </c>
      <c r="AF29" s="508">
        <f t="shared" si="8"/>
        <v>0</v>
      </c>
      <c r="AG29" s="500">
        <f t="shared" si="23"/>
        <v>0</v>
      </c>
      <c r="AI29" s="501">
        <f>R29-'EDl log'!B27</f>
        <v>-49393543</v>
      </c>
    </row>
    <row r="30" spans="1:35">
      <c r="A30" s="492">
        <f>'General information '!F33</f>
        <v>0</v>
      </c>
      <c r="B30" s="486">
        <f t="shared" si="5"/>
        <v>0</v>
      </c>
      <c r="C30" s="493">
        <v>43858</v>
      </c>
      <c r="D30" s="480">
        <f t="shared" si="29"/>
        <v>31377914</v>
      </c>
      <c r="E30" s="328">
        <f t="shared" si="9"/>
        <v>0</v>
      </c>
      <c r="F30" s="480">
        <f t="shared" si="29"/>
        <v>3486929.6</v>
      </c>
      <c r="G30" s="329">
        <f t="shared" si="0"/>
        <v>0</v>
      </c>
      <c r="H30" s="480">
        <f t="shared" si="29"/>
        <v>17275626</v>
      </c>
      <c r="I30" s="329">
        <f t="shared" si="10"/>
        <v>0</v>
      </c>
      <c r="J30" s="480">
        <f t="shared" si="29"/>
        <v>28272578</v>
      </c>
      <c r="K30" s="329">
        <f t="shared" si="11"/>
        <v>0</v>
      </c>
      <c r="L30" s="480">
        <f t="shared" si="29"/>
        <v>22627792</v>
      </c>
      <c r="M30" s="329">
        <f t="shared" si="12"/>
        <v>0</v>
      </c>
      <c r="N30" s="327">
        <f t="shared" si="13"/>
        <v>0</v>
      </c>
      <c r="O30" s="502">
        <f t="shared" si="21"/>
        <v>0</v>
      </c>
      <c r="P30" s="480">
        <f t="shared" si="30"/>
        <v>15296.017</v>
      </c>
      <c r="Q30" s="484">
        <f t="shared" si="24"/>
        <v>0</v>
      </c>
      <c r="R30" s="484">
        <f t="shared" si="17"/>
        <v>0</v>
      </c>
      <c r="S30" s="480">
        <f t="shared" si="22"/>
        <v>8369</v>
      </c>
      <c r="T30" s="504">
        <f t="shared" si="2"/>
        <v>0</v>
      </c>
      <c r="U30" s="480">
        <f t="shared" si="22"/>
        <v>1021225</v>
      </c>
      <c r="V30" s="484">
        <f t="shared" si="14"/>
        <v>0</v>
      </c>
      <c r="W30" s="480">
        <f t="shared" si="27"/>
        <v>31836</v>
      </c>
      <c r="X30" s="505">
        <f t="shared" si="20"/>
        <v>0</v>
      </c>
      <c r="Y30" s="480">
        <f t="shared" si="28"/>
        <v>622669</v>
      </c>
      <c r="Z30" s="484">
        <f t="shared" si="18"/>
        <v>0</v>
      </c>
      <c r="AA30" s="480">
        <f t="shared" si="26"/>
        <v>34875</v>
      </c>
      <c r="AB30" s="484">
        <f t="shared" si="15"/>
        <v>0</v>
      </c>
      <c r="AC30" s="480">
        <f t="shared" si="19"/>
        <v>740119</v>
      </c>
      <c r="AD30" s="484">
        <f t="shared" si="25"/>
        <v>0</v>
      </c>
      <c r="AE30" s="507">
        <f t="shared" si="7"/>
        <v>0</v>
      </c>
      <c r="AF30" s="508">
        <f t="shared" si="8"/>
        <v>0</v>
      </c>
      <c r="AG30" s="500">
        <f t="shared" si="23"/>
        <v>0</v>
      </c>
      <c r="AI30" s="501">
        <f>R30-'EDl log'!B28</f>
        <v>-49398189</v>
      </c>
    </row>
    <row r="31" spans="1:35">
      <c r="A31" s="492">
        <f>'General information '!F34</f>
        <v>0</v>
      </c>
      <c r="B31" s="486">
        <f t="shared" si="5"/>
        <v>0</v>
      </c>
      <c r="C31" s="493">
        <v>43859</v>
      </c>
      <c r="D31" s="480">
        <f t="shared" si="29"/>
        <v>31377914</v>
      </c>
      <c r="E31" s="328">
        <f t="shared" si="9"/>
        <v>0</v>
      </c>
      <c r="F31" s="480">
        <f t="shared" si="29"/>
        <v>3486929.6</v>
      </c>
      <c r="G31" s="329">
        <f t="shared" si="0"/>
        <v>0</v>
      </c>
      <c r="H31" s="480">
        <f t="shared" si="29"/>
        <v>17275626</v>
      </c>
      <c r="I31" s="329">
        <f t="shared" si="10"/>
        <v>0</v>
      </c>
      <c r="J31" s="480">
        <f t="shared" si="29"/>
        <v>28272578</v>
      </c>
      <c r="K31" s="329">
        <f t="shared" si="11"/>
        <v>0</v>
      </c>
      <c r="L31" s="480">
        <f t="shared" si="29"/>
        <v>22627792</v>
      </c>
      <c r="M31" s="329">
        <f t="shared" si="12"/>
        <v>0</v>
      </c>
      <c r="N31" s="327">
        <f t="shared" si="13"/>
        <v>0</v>
      </c>
      <c r="O31" s="502">
        <f t="shared" si="21"/>
        <v>0</v>
      </c>
      <c r="P31" s="480">
        <f t="shared" si="30"/>
        <v>15296.017</v>
      </c>
      <c r="Q31" s="484">
        <f t="shared" si="24"/>
        <v>0</v>
      </c>
      <c r="R31" s="484">
        <f t="shared" si="17"/>
        <v>0</v>
      </c>
      <c r="S31" s="480">
        <f t="shared" si="22"/>
        <v>8369</v>
      </c>
      <c r="T31" s="504">
        <f t="shared" si="2"/>
        <v>0</v>
      </c>
      <c r="U31" s="480">
        <f t="shared" si="22"/>
        <v>1021225</v>
      </c>
      <c r="V31" s="484">
        <f t="shared" si="14"/>
        <v>0</v>
      </c>
      <c r="W31" s="480">
        <f t="shared" si="27"/>
        <v>31836</v>
      </c>
      <c r="X31" s="484">
        <f t="shared" si="20"/>
        <v>0</v>
      </c>
      <c r="Y31" s="480">
        <f t="shared" si="28"/>
        <v>622669</v>
      </c>
      <c r="Z31" s="506">
        <f>Y31-Y30</f>
        <v>0</v>
      </c>
      <c r="AA31" s="480">
        <f t="shared" si="26"/>
        <v>34875</v>
      </c>
      <c r="AB31" s="484">
        <f t="shared" si="15"/>
        <v>0</v>
      </c>
      <c r="AC31" s="480">
        <f t="shared" si="19"/>
        <v>740119</v>
      </c>
      <c r="AD31" s="484">
        <f t="shared" si="25"/>
        <v>0</v>
      </c>
      <c r="AE31" s="507">
        <f t="shared" si="7"/>
        <v>0</v>
      </c>
      <c r="AF31" s="508">
        <f t="shared" si="8"/>
        <v>0</v>
      </c>
      <c r="AG31" s="500">
        <f t="shared" si="23"/>
        <v>0</v>
      </c>
      <c r="AI31" s="501">
        <f>R31-'EDl log'!B29</f>
        <v>-49403452</v>
      </c>
    </row>
    <row r="32" spans="1:35">
      <c r="A32" s="492">
        <f>'General information '!F35</f>
        <v>0</v>
      </c>
      <c r="B32" s="486">
        <f>SUM(230*A32)</f>
        <v>0</v>
      </c>
      <c r="C32" s="493">
        <v>43860</v>
      </c>
      <c r="D32" s="480">
        <f t="shared" si="29"/>
        <v>31377914</v>
      </c>
      <c r="E32" s="328">
        <f t="shared" si="9"/>
        <v>0</v>
      </c>
      <c r="F32" s="480">
        <f t="shared" si="29"/>
        <v>3486929.6</v>
      </c>
      <c r="G32" s="329">
        <f>F32-F31</f>
        <v>0</v>
      </c>
      <c r="H32" s="480">
        <f t="shared" si="29"/>
        <v>17275626</v>
      </c>
      <c r="I32" s="329">
        <f>H32-H31</f>
        <v>0</v>
      </c>
      <c r="J32" s="480">
        <f t="shared" si="29"/>
        <v>28272578</v>
      </c>
      <c r="K32" s="329">
        <f>J32-J31</f>
        <v>0</v>
      </c>
      <c r="L32" s="480">
        <f t="shared" si="29"/>
        <v>22627792</v>
      </c>
      <c r="M32" s="329">
        <f>L32-L31</f>
        <v>0</v>
      </c>
      <c r="N32" s="327">
        <f>M32+K32+I32+G32+E32</f>
        <v>0</v>
      </c>
      <c r="O32" s="502">
        <f t="shared" si="21"/>
        <v>0</v>
      </c>
      <c r="P32" s="480">
        <f t="shared" si="30"/>
        <v>15296.017</v>
      </c>
      <c r="Q32" s="484">
        <f>(P32-P31)*1000</f>
        <v>0</v>
      </c>
      <c r="R32" s="484">
        <f>N32-Q32</f>
        <v>0</v>
      </c>
      <c r="S32" s="480">
        <f t="shared" si="22"/>
        <v>8369</v>
      </c>
      <c r="T32" s="504">
        <f t="shared" si="2"/>
        <v>0</v>
      </c>
      <c r="U32" s="480">
        <f t="shared" si="22"/>
        <v>1021225</v>
      </c>
      <c r="V32" s="484">
        <f t="shared" si="14"/>
        <v>0</v>
      </c>
      <c r="W32" s="480">
        <f t="shared" si="27"/>
        <v>31836</v>
      </c>
      <c r="X32" s="484">
        <f t="shared" si="20"/>
        <v>0</v>
      </c>
      <c r="Y32" s="480">
        <f t="shared" si="28"/>
        <v>622669</v>
      </c>
      <c r="Z32" s="506">
        <f>Y32-Y31</f>
        <v>0</v>
      </c>
      <c r="AA32" s="480">
        <f t="shared" si="26"/>
        <v>34875</v>
      </c>
      <c r="AB32" s="484">
        <f t="shared" si="15"/>
        <v>0</v>
      </c>
      <c r="AC32" s="480">
        <f t="shared" si="19"/>
        <v>740119</v>
      </c>
      <c r="AD32" s="484">
        <f t="shared" si="25"/>
        <v>0</v>
      </c>
      <c r="AE32" s="507">
        <f t="shared" si="7"/>
        <v>0</v>
      </c>
      <c r="AF32" s="508">
        <f>V32+Z32+AD32</f>
        <v>0</v>
      </c>
      <c r="AG32" s="500">
        <f t="shared" si="23"/>
        <v>0</v>
      </c>
      <c r="AI32" s="501">
        <f>R32-'EDl log'!B30</f>
        <v>-49403452</v>
      </c>
    </row>
    <row r="33" spans="1:35">
      <c r="A33" s="492">
        <f>'General information '!F36</f>
        <v>0</v>
      </c>
      <c r="B33" s="486">
        <f>SUM(230*A33)</f>
        <v>0</v>
      </c>
      <c r="C33" s="493">
        <v>43861</v>
      </c>
      <c r="D33" s="480">
        <f t="shared" si="29"/>
        <v>31377914</v>
      </c>
      <c r="E33" s="328">
        <f>D33-D32</f>
        <v>0</v>
      </c>
      <c r="F33" s="480">
        <f t="shared" si="29"/>
        <v>3486929.6</v>
      </c>
      <c r="G33" s="329">
        <f>F33-F32</f>
        <v>0</v>
      </c>
      <c r="H33" s="480">
        <f t="shared" si="29"/>
        <v>17275626</v>
      </c>
      <c r="I33" s="329">
        <f>H33-H32</f>
        <v>0</v>
      </c>
      <c r="J33" s="480">
        <f t="shared" si="29"/>
        <v>28272578</v>
      </c>
      <c r="K33" s="329">
        <f>J33-J32</f>
        <v>0</v>
      </c>
      <c r="L33" s="480">
        <f t="shared" si="29"/>
        <v>22627792</v>
      </c>
      <c r="M33" s="329">
        <f>L33-L32</f>
        <v>0</v>
      </c>
      <c r="N33" s="327">
        <f>M33+K33+I33+G33+E33</f>
        <v>0</v>
      </c>
      <c r="O33" s="502">
        <f>IF(B33&gt;0,N33/B33,0)</f>
        <v>0</v>
      </c>
      <c r="P33" s="480">
        <f t="shared" si="30"/>
        <v>15296.017</v>
      </c>
      <c r="Q33" s="484">
        <f>(P33-P32)*1000</f>
        <v>0</v>
      </c>
      <c r="R33" s="484">
        <f>N33-Q33</f>
        <v>0</v>
      </c>
      <c r="S33" s="480">
        <f t="shared" si="22"/>
        <v>8369</v>
      </c>
      <c r="T33" s="504">
        <f>S33-S32</f>
        <v>0</v>
      </c>
      <c r="U33" s="480">
        <f t="shared" si="22"/>
        <v>1021225</v>
      </c>
      <c r="V33" s="484">
        <f>U33-U32</f>
        <v>0</v>
      </c>
      <c r="W33" s="480">
        <f t="shared" si="27"/>
        <v>31836</v>
      </c>
      <c r="X33" s="484">
        <f>W33-W32</f>
        <v>0</v>
      </c>
      <c r="Y33" s="480">
        <f t="shared" si="28"/>
        <v>622669</v>
      </c>
      <c r="Z33" s="506">
        <f>Y33-Y32</f>
        <v>0</v>
      </c>
      <c r="AA33" s="480">
        <f t="shared" si="26"/>
        <v>34875</v>
      </c>
      <c r="AB33" s="484">
        <f>AA33-AA32</f>
        <v>0</v>
      </c>
      <c r="AC33" s="480">
        <f t="shared" si="19"/>
        <v>740119</v>
      </c>
      <c r="AD33" s="484">
        <f>AC33-AC32</f>
        <v>0</v>
      </c>
      <c r="AE33" s="507">
        <f>AB33+X33+T33</f>
        <v>0</v>
      </c>
      <c r="AF33" s="508">
        <f>V33+Z33+AD33</f>
        <v>0</v>
      </c>
      <c r="AG33" s="500">
        <f t="shared" si="23"/>
        <v>0</v>
      </c>
      <c r="AI33" s="501">
        <f>R33-'EDl log'!B31</f>
        <v>-49403452</v>
      </c>
    </row>
    <row r="34" spans="1:35">
      <c r="P34" s="513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zoomScale="90" zoomScaleNormal="90" workbookViewId="0">
      <pane ySplit="1" topLeftCell="A14" activePane="bottomLeft" state="frozen"/>
      <selection activeCell="K1" sqref="K1"/>
      <selection pane="bottomLeft" activeCell="N30" sqref="A30:XFD30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8" customWidth="1"/>
    <col min="38" max="38" width="11.140625" style="338" bestFit="1" customWidth="1"/>
    <col min="39" max="39" width="11.42578125" style="338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30"/>
    <col min="51" max="16384" width="9.140625" style="42"/>
  </cols>
  <sheetData>
    <row r="1" spans="1:50" ht="30.75" thickBot="1">
      <c r="F1" s="581" t="s">
        <v>2</v>
      </c>
      <c r="G1" s="582"/>
      <c r="H1" s="582"/>
      <c r="I1" s="583"/>
      <c r="J1" s="294">
        <f>J36</f>
        <v>77.635416666666671</v>
      </c>
      <c r="K1" s="584" t="s">
        <v>4</v>
      </c>
      <c r="L1" s="585"/>
      <c r="M1" s="585"/>
      <c r="N1" s="585"/>
      <c r="O1" s="586"/>
      <c r="P1" s="575" t="s">
        <v>6</v>
      </c>
      <c r="Q1" s="576"/>
      <c r="R1" s="576"/>
      <c r="S1" s="576"/>
      <c r="T1" s="577"/>
      <c r="U1" s="420"/>
      <c r="V1" s="27" t="s">
        <v>104</v>
      </c>
      <c r="W1" s="421"/>
      <c r="X1" s="575" t="s">
        <v>8</v>
      </c>
      <c r="Y1" s="576"/>
      <c r="Z1" s="576"/>
      <c r="AA1" s="576"/>
      <c r="AB1" s="576"/>
      <c r="AC1" s="578" t="s">
        <v>10</v>
      </c>
      <c r="AD1" s="579"/>
      <c r="AE1" s="579"/>
      <c r="AF1" s="580"/>
      <c r="AG1" s="211"/>
      <c r="AH1" s="86" t="s">
        <v>105</v>
      </c>
      <c r="AI1" s="331" t="s">
        <v>128</v>
      </c>
      <c r="AJ1" s="331"/>
      <c r="AK1" s="331"/>
      <c r="AL1" s="331" t="s">
        <v>133</v>
      </c>
      <c r="AM1" s="331" t="s">
        <v>134</v>
      </c>
      <c r="AN1" s="333" t="s">
        <v>12</v>
      </c>
      <c r="AO1" s="333" t="s">
        <v>13</v>
      </c>
      <c r="AP1" s="333" t="s">
        <v>14</v>
      </c>
      <c r="AQ1" s="333" t="s">
        <v>15</v>
      </c>
      <c r="AR1" s="333" t="s">
        <v>16</v>
      </c>
      <c r="AS1" s="333" t="s">
        <v>17</v>
      </c>
      <c r="AT1" s="333"/>
      <c r="AU1" s="334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73"/>
      <c r="R2" s="574"/>
      <c r="S2" s="52" t="s">
        <v>7</v>
      </c>
      <c r="T2" s="53"/>
      <c r="U2" s="424" t="s">
        <v>384</v>
      </c>
      <c r="V2" s="54" t="s">
        <v>103</v>
      </c>
      <c r="W2" s="422"/>
      <c r="X2" s="55" t="s">
        <v>8</v>
      </c>
      <c r="Y2" s="46" t="s">
        <v>9</v>
      </c>
      <c r="Z2" s="411" t="s">
        <v>380</v>
      </c>
      <c r="AA2" s="412" t="s">
        <v>381</v>
      </c>
      <c r="AB2" s="293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2" t="s">
        <v>103</v>
      </c>
      <c r="AJ2" s="415"/>
      <c r="AK2" s="415"/>
      <c r="AL2" s="415"/>
      <c r="AM2" s="415"/>
      <c r="AN2" s="414"/>
      <c r="AO2" s="414"/>
      <c r="AP2" s="414"/>
      <c r="AQ2" s="414"/>
      <c r="AR2" s="414"/>
      <c r="AS2" s="414"/>
      <c r="AT2" s="414"/>
      <c r="AU2" s="414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4"/>
      <c r="V3" s="59"/>
      <c r="W3" s="422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5"/>
      <c r="AJ3" s="336"/>
      <c r="AK3" s="336"/>
      <c r="AL3" s="336"/>
      <c r="AM3" s="336"/>
    </row>
    <row r="4" spans="1:50" s="357" customFormat="1">
      <c r="A4" s="63" t="s">
        <v>412</v>
      </c>
      <c r="B4" s="418">
        <f>[1]B5!B35</f>
        <v>238</v>
      </c>
      <c r="C4" s="418">
        <f>[1]B5!C35</f>
        <v>98</v>
      </c>
      <c r="D4" s="418">
        <f>[1]B5!D35</f>
        <v>25</v>
      </c>
      <c r="E4" s="418">
        <f>[1]B5!E35</f>
        <v>209.50000000000003</v>
      </c>
      <c r="F4" s="418">
        <f>[1]B5!F35</f>
        <v>1303</v>
      </c>
      <c r="G4" s="418">
        <f>[1]B5!G35</f>
        <v>0</v>
      </c>
      <c r="H4" s="418">
        <f>[1]B5!H35</f>
        <v>330270</v>
      </c>
      <c r="I4" s="418">
        <f>[1]B5!I35</f>
        <v>0</v>
      </c>
      <c r="J4" s="418">
        <f>[1]B5!J35</f>
        <v>0</v>
      </c>
      <c r="K4" s="418">
        <f>[1]B5!K35</f>
        <v>1679</v>
      </c>
      <c r="L4" s="418">
        <f>[1]B5!L35</f>
        <v>13</v>
      </c>
      <c r="M4" s="418">
        <f>[1]B5!M35</f>
        <v>122271</v>
      </c>
      <c r="N4" s="418">
        <f>[1]B5!N35</f>
        <v>950</v>
      </c>
      <c r="O4" s="418">
        <f>[1]B5!O35</f>
        <v>996.67721861471864</v>
      </c>
      <c r="P4" s="418">
        <f>[1]B5!P35</f>
        <v>1452</v>
      </c>
      <c r="Q4" s="418">
        <f>[1]B5!Q35</f>
        <v>126239</v>
      </c>
      <c r="R4" s="418">
        <f>[1]B5!R35</f>
        <v>0</v>
      </c>
      <c r="S4" s="418">
        <f>[1]B5!S35</f>
        <v>0</v>
      </c>
      <c r="T4" s="418">
        <f>[1]B5!T35</f>
        <v>0</v>
      </c>
      <c r="U4" s="418">
        <f>[1]B5!U35</f>
        <v>13</v>
      </c>
      <c r="V4" s="418">
        <f>[1]B5!V35</f>
        <v>950</v>
      </c>
      <c r="W4" s="418">
        <f>[1]B5!W35</f>
        <v>0</v>
      </c>
      <c r="X4" s="418">
        <f>[1]B5!X35</f>
        <v>2320</v>
      </c>
      <c r="Y4" s="418">
        <f>[1]B5!Y35</f>
        <v>0</v>
      </c>
      <c r="Z4" s="418">
        <f>[1]B5!Z35</f>
        <v>130593</v>
      </c>
      <c r="AA4" s="418">
        <f>[1]B5!AA35</f>
        <v>0</v>
      </c>
      <c r="AB4" s="418">
        <f>[1]B5!AB35</f>
        <v>0</v>
      </c>
      <c r="AC4" s="418">
        <f>[1]B5!AC35</f>
        <v>1703</v>
      </c>
      <c r="AD4" s="418">
        <f>[1]B5!AD35</f>
        <v>1</v>
      </c>
      <c r="AE4" s="418">
        <f>[1]B5!AE35</f>
        <v>352700</v>
      </c>
      <c r="AF4" s="418">
        <f>[1]B5!AF35</f>
        <v>334.79999999998836</v>
      </c>
      <c r="AG4" s="418">
        <f>[1]B5!AG35</f>
        <v>334.79999999998836</v>
      </c>
      <c r="AH4" s="418">
        <f>[1]B5!AH35</f>
        <v>334.79999999998836</v>
      </c>
      <c r="AI4" s="418">
        <f>[1]B5!AI35</f>
        <v>1284.7999999999884</v>
      </c>
      <c r="AJ4" s="418">
        <f>[1]B5!AJ35</f>
        <v>1284.7999999999884</v>
      </c>
      <c r="AK4" s="418">
        <f>[1]B5!AK35</f>
        <v>0</v>
      </c>
      <c r="AL4" s="418">
        <f>[1]B5!AL35</f>
        <v>13</v>
      </c>
      <c r="AM4" s="418">
        <f>[1]B5!AM35</f>
        <v>1</v>
      </c>
      <c r="AN4" s="418">
        <f>[1]B5!AN35</f>
        <v>65</v>
      </c>
      <c r="AO4" s="418">
        <f>[1]B5!AO35</f>
        <v>1950</v>
      </c>
      <c r="AP4" s="418">
        <f>[1]B5!AP35</f>
        <v>67</v>
      </c>
      <c r="AQ4" s="418">
        <f>[1]B5!AQ35</f>
        <v>2010.0000000000002</v>
      </c>
      <c r="AR4" s="418">
        <f>[1]B5!AR35</f>
        <v>68</v>
      </c>
      <c r="AS4" s="418">
        <f>[1]B5!AS35</f>
        <v>2040.0000000000002</v>
      </c>
      <c r="AT4" s="418">
        <f>[1]B5!AT35</f>
        <v>6000</v>
      </c>
      <c r="AU4" s="418">
        <f>[1]B5!AU35</f>
        <v>270</v>
      </c>
      <c r="AV4" s="418">
        <f>[1]B5!AV35</f>
        <v>0</v>
      </c>
      <c r="AW4" s="418">
        <f>[1]B5!AW35</f>
        <v>0</v>
      </c>
      <c r="AX4" s="418">
        <f>[1]B5!AX35</f>
        <v>0.7</v>
      </c>
    </row>
    <row r="5" spans="1:50">
      <c r="A5" s="63">
        <v>43831</v>
      </c>
      <c r="B5" s="64">
        <v>234</v>
      </c>
      <c r="C5" s="64">
        <v>78</v>
      </c>
      <c r="D5" s="45">
        <f t="shared" ref="D5:D34" si="0">C4-C5</f>
        <v>20</v>
      </c>
      <c r="E5" s="45">
        <f>D5*8.38</f>
        <v>167.60000000000002</v>
      </c>
      <c r="F5" s="64">
        <v>1303</v>
      </c>
      <c r="G5" s="52">
        <f t="shared" ref="G5:G34" si="1">F5-F4</f>
        <v>0</v>
      </c>
      <c r="H5" s="64">
        <v>330270</v>
      </c>
      <c r="I5" s="419">
        <f t="shared" ref="I5:I34" si="2">SUM(H5-H4)</f>
        <v>0</v>
      </c>
      <c r="J5" s="66">
        <v>1</v>
      </c>
      <c r="K5" s="64">
        <v>1693</v>
      </c>
      <c r="L5" s="52">
        <f t="shared" ref="L5:L34" si="3">K5-K4</f>
        <v>14</v>
      </c>
      <c r="M5" s="64">
        <v>123329</v>
      </c>
      <c r="N5" s="419">
        <f t="shared" ref="N5:N30" si="4">M5-M4</f>
        <v>1058</v>
      </c>
      <c r="O5" s="360">
        <f t="shared" ref="O5:O34" si="5">SUM(L5*$J$1)</f>
        <v>1086.8958333333335</v>
      </c>
      <c r="P5" s="64">
        <v>1452</v>
      </c>
      <c r="Q5" s="64">
        <v>126239</v>
      </c>
      <c r="R5" s="418">
        <f t="shared" ref="R5:R10" si="6">Q5-Q4</f>
        <v>0</v>
      </c>
      <c r="S5" s="52">
        <f>SUM(P5-P4)</f>
        <v>0</v>
      </c>
      <c r="T5" s="68">
        <f>SUM(S5*$T$2)</f>
        <v>0</v>
      </c>
      <c r="U5" s="425">
        <f>SUM(G5+L5+S5)</f>
        <v>14</v>
      </c>
      <c r="V5" s="62">
        <f>R5+N5+I5:I5</f>
        <v>1058</v>
      </c>
      <c r="W5" s="423">
        <f>SUM(V5/U5)</f>
        <v>75.571428571428569</v>
      </c>
      <c r="X5" s="64">
        <v>2320</v>
      </c>
      <c r="Y5" s="52">
        <f>X5-X4</f>
        <v>0</v>
      </c>
      <c r="Z5" s="64">
        <v>130593</v>
      </c>
      <c r="AA5" s="65">
        <f t="shared" ref="AA5:AA34" si="7">Z5-Z4</f>
        <v>0</v>
      </c>
      <c r="AB5" s="296">
        <f>SUM(Y5*$AB$2)</f>
        <v>0</v>
      </c>
      <c r="AC5" s="64">
        <v>1712</v>
      </c>
      <c r="AD5" s="45">
        <f t="shared" ref="AD5:AD34" si="8">AC5-AC4</f>
        <v>9</v>
      </c>
      <c r="AE5" s="64">
        <v>353100</v>
      </c>
      <c r="AF5" s="323">
        <f>AE5-AE4</f>
        <v>400</v>
      </c>
      <c r="AG5" s="213">
        <f>IF(AD5&gt;0,AF5/AD5,0)</f>
        <v>44.444444444444443</v>
      </c>
      <c r="AH5" s="62">
        <f>AF5+AA5</f>
        <v>400</v>
      </c>
      <c r="AI5" s="335">
        <f>SUM(AH5+V5)</f>
        <v>1458</v>
      </c>
      <c r="AJ5" s="335">
        <f>-tanks!AW6</f>
        <v>1458</v>
      </c>
      <c r="AK5" s="335">
        <f>SUM(AJ5-AI5)</f>
        <v>0</v>
      </c>
      <c r="AL5" s="335">
        <f t="shared" ref="AL5:AL18" si="9">S5+L5+G5</f>
        <v>14</v>
      </c>
      <c r="AM5" s="335">
        <f>Y5+AD5</f>
        <v>9</v>
      </c>
      <c r="AN5" s="64">
        <v>64</v>
      </c>
      <c r="AO5" s="337">
        <f>(AN5/100)*3000</f>
        <v>1920</v>
      </c>
      <c r="AP5" s="64">
        <v>65</v>
      </c>
      <c r="AQ5" s="337">
        <f>(AP5/100)*3000</f>
        <v>1950</v>
      </c>
      <c r="AR5" s="64">
        <v>65</v>
      </c>
      <c r="AS5" s="337">
        <f>(AR5/100)*3000</f>
        <v>1950</v>
      </c>
      <c r="AT5" s="337">
        <f>SUM(AO5+AQ5+AS5)</f>
        <v>5820</v>
      </c>
      <c r="AU5" s="337">
        <f>AT4-AT5+AV5</f>
        <v>180</v>
      </c>
      <c r="AV5" s="276"/>
      <c r="AW5" s="276"/>
      <c r="AX5" s="330">
        <f>IF(AV5&gt;0,AW5,AX4)</f>
        <v>0.7</v>
      </c>
    </row>
    <row r="6" spans="1:50">
      <c r="A6" s="63">
        <v>43832</v>
      </c>
      <c r="B6" s="64">
        <v>205</v>
      </c>
      <c r="C6" s="64">
        <v>143</v>
      </c>
      <c r="D6" s="45">
        <f t="shared" si="0"/>
        <v>-65</v>
      </c>
      <c r="E6" s="45">
        <f t="shared" ref="E6:E28" si="10">D6*8.38</f>
        <v>-544.70000000000005</v>
      </c>
      <c r="F6" s="64">
        <v>1303</v>
      </c>
      <c r="G6" s="52">
        <f t="shared" si="1"/>
        <v>0</v>
      </c>
      <c r="H6" s="64">
        <v>330270</v>
      </c>
      <c r="I6" s="419">
        <f t="shared" si="2"/>
        <v>0</v>
      </c>
      <c r="J6" s="66">
        <f t="shared" ref="J6:J34" si="11">IF(G6&gt;0,I6/G6,0)</f>
        <v>0</v>
      </c>
      <c r="K6" s="64">
        <v>1702</v>
      </c>
      <c r="L6" s="52">
        <f t="shared" si="3"/>
        <v>9</v>
      </c>
      <c r="M6" s="64">
        <v>123970</v>
      </c>
      <c r="N6" s="419">
        <f t="shared" si="4"/>
        <v>641</v>
      </c>
      <c r="O6" s="67">
        <f t="shared" si="5"/>
        <v>698.71875</v>
      </c>
      <c r="P6" s="64">
        <v>1456</v>
      </c>
      <c r="Q6" s="64">
        <v>126593</v>
      </c>
      <c r="R6" s="418">
        <f t="shared" si="6"/>
        <v>354</v>
      </c>
      <c r="S6" s="52">
        <f t="shared" ref="S6:S23" si="12">SUM(P6-P5)</f>
        <v>4</v>
      </c>
      <c r="T6" s="68">
        <f>SUM(S6*$T$2)</f>
        <v>0</v>
      </c>
      <c r="U6" s="425">
        <f t="shared" ref="U6:U35" si="13">SUM(G6+L6+S6)</f>
        <v>13</v>
      </c>
      <c r="V6" s="62">
        <f t="shared" ref="V6:V34" si="14">R6+N6+I6:I6</f>
        <v>995</v>
      </c>
      <c r="W6" s="423">
        <f t="shared" ref="W6:W16" si="15">SUM(V6/U6)</f>
        <v>76.538461538461533</v>
      </c>
      <c r="X6" s="64">
        <v>2320</v>
      </c>
      <c r="Y6" s="52">
        <f t="shared" ref="Y6:Y34" si="16">X6-X5</f>
        <v>0</v>
      </c>
      <c r="Z6" s="64">
        <v>130593</v>
      </c>
      <c r="AA6" s="65">
        <f t="shared" si="7"/>
        <v>0</v>
      </c>
      <c r="AB6" s="296">
        <f>SUM(Y6*$AB$2)</f>
        <v>0</v>
      </c>
      <c r="AC6" s="64">
        <v>1714</v>
      </c>
      <c r="AD6" s="45">
        <f t="shared" si="8"/>
        <v>2</v>
      </c>
      <c r="AE6" s="64">
        <v>353197.3</v>
      </c>
      <c r="AF6" s="323">
        <f t="shared" ref="AF6:AF34" si="17">AE6-AE5</f>
        <v>97.299999999988358</v>
      </c>
      <c r="AG6" s="213">
        <f>IF(AD6&gt;0,AF6/AD6,0)</f>
        <v>48.649999999994179</v>
      </c>
      <c r="AH6" s="62">
        <f>AF6+AA6</f>
        <v>97.299999999988358</v>
      </c>
      <c r="AI6" s="335">
        <f t="shared" ref="AI6:AI34" si="18">SUM(AH6+V6)</f>
        <v>1092.2999999999884</v>
      </c>
      <c r="AJ6" s="335">
        <f>-tanks!AW7</f>
        <v>1092.2999999999884</v>
      </c>
      <c r="AK6" s="335">
        <f t="shared" ref="AK6:AK34" si="19">SUM(AJ6-AI6)</f>
        <v>0</v>
      </c>
      <c r="AL6" s="335">
        <f t="shared" si="9"/>
        <v>13</v>
      </c>
      <c r="AM6" s="335">
        <f t="shared" ref="AM6:AM33" si="20">Y6+AD6</f>
        <v>2</v>
      </c>
      <c r="AN6" s="64">
        <v>80</v>
      </c>
      <c r="AO6" s="337">
        <f t="shared" ref="AO6:AO26" si="21">(AN6/100)*3000</f>
        <v>2400</v>
      </c>
      <c r="AP6" s="64">
        <v>80</v>
      </c>
      <c r="AQ6" s="337">
        <f t="shared" ref="AQ6:AQ24" si="22">(AP6/100)*3000</f>
        <v>2400</v>
      </c>
      <c r="AR6" s="64">
        <v>80</v>
      </c>
      <c r="AS6" s="337">
        <f>(AR6/100)*3000</f>
        <v>2400</v>
      </c>
      <c r="AT6" s="337">
        <f>SUM(AO6+AQ6+AS6)</f>
        <v>7200</v>
      </c>
      <c r="AU6" s="337">
        <f>AT5-AT6+AV6</f>
        <v>520</v>
      </c>
      <c r="AV6" s="276">
        <v>1900</v>
      </c>
      <c r="AW6" s="276">
        <v>0.7</v>
      </c>
      <c r="AX6" s="330">
        <f t="shared" ref="AX6:AX34" si="23">IF(AV6&gt;0,AW6,AX5)</f>
        <v>0.7</v>
      </c>
    </row>
    <row r="7" spans="1:50">
      <c r="A7" s="63">
        <v>43833</v>
      </c>
      <c r="B7" s="64">
        <v>198</v>
      </c>
      <c r="C7" s="64">
        <v>127</v>
      </c>
      <c r="D7" s="45">
        <f t="shared" si="0"/>
        <v>16</v>
      </c>
      <c r="E7" s="45">
        <f t="shared" si="10"/>
        <v>134.08000000000001</v>
      </c>
      <c r="F7" s="64">
        <f t="shared" ref="F7:H35" si="24">F6</f>
        <v>1303</v>
      </c>
      <c r="G7" s="52">
        <f t="shared" si="1"/>
        <v>0</v>
      </c>
      <c r="H7" s="64">
        <f t="shared" si="24"/>
        <v>330270</v>
      </c>
      <c r="I7" s="419">
        <f t="shared" si="2"/>
        <v>0</v>
      </c>
      <c r="J7" s="66">
        <f t="shared" si="11"/>
        <v>0</v>
      </c>
      <c r="K7" s="64">
        <f t="shared" ref="K7:M35" si="25">K6</f>
        <v>1702</v>
      </c>
      <c r="L7" s="52">
        <f t="shared" si="3"/>
        <v>0</v>
      </c>
      <c r="M7" s="64">
        <f t="shared" si="25"/>
        <v>123970</v>
      </c>
      <c r="N7" s="419">
        <f>M7-M6</f>
        <v>0</v>
      </c>
      <c r="O7" s="67">
        <v>1</v>
      </c>
      <c r="P7" s="64">
        <v>1467</v>
      </c>
      <c r="Q7" s="64">
        <v>127436</v>
      </c>
      <c r="R7" s="418">
        <f t="shared" si="6"/>
        <v>843</v>
      </c>
      <c r="S7" s="52">
        <f t="shared" si="12"/>
        <v>11</v>
      </c>
      <c r="T7" s="68">
        <f t="shared" ref="T7:T34" si="26">SUM(S7*$T$2)</f>
        <v>0</v>
      </c>
      <c r="U7" s="425">
        <f t="shared" si="13"/>
        <v>11</v>
      </c>
      <c r="V7" s="62">
        <f t="shared" si="14"/>
        <v>843</v>
      </c>
      <c r="W7" s="423">
        <f t="shared" si="15"/>
        <v>76.63636363636364</v>
      </c>
      <c r="X7" s="64">
        <f t="shared" ref="X7:Z35" si="27">X6</f>
        <v>2320</v>
      </c>
      <c r="Y7" s="52">
        <f t="shared" si="16"/>
        <v>0</v>
      </c>
      <c r="Z7" s="64">
        <f t="shared" si="27"/>
        <v>130593</v>
      </c>
      <c r="AA7" s="65">
        <f t="shared" si="7"/>
        <v>0</v>
      </c>
      <c r="AB7" s="296">
        <f t="shared" ref="AB7:AB17" si="28">SUM(Y7*$AB$2)</f>
        <v>0</v>
      </c>
      <c r="AC7" s="64">
        <v>1723</v>
      </c>
      <c r="AD7" s="45">
        <f t="shared" si="8"/>
        <v>9</v>
      </c>
      <c r="AE7" s="64">
        <v>353680.2</v>
      </c>
      <c r="AF7" s="323">
        <f t="shared" si="17"/>
        <v>482.90000000002328</v>
      </c>
      <c r="AG7" s="213">
        <f t="shared" ref="AG7:AG34" si="29">IF(AD7&gt;0,AF7/AD7,0)</f>
        <v>53.655555555558145</v>
      </c>
      <c r="AH7" s="62">
        <f t="shared" ref="AH7:AH34" si="30">AF7+AA7</f>
        <v>482.90000000002328</v>
      </c>
      <c r="AI7" s="335">
        <f t="shared" si="18"/>
        <v>1325.9000000000233</v>
      </c>
      <c r="AJ7" s="335">
        <f>-tanks!AW8</f>
        <v>1325.9000000000233</v>
      </c>
      <c r="AK7" s="335">
        <f t="shared" si="19"/>
        <v>0</v>
      </c>
      <c r="AL7" s="335">
        <f t="shared" si="9"/>
        <v>11</v>
      </c>
      <c r="AM7" s="335">
        <f t="shared" si="20"/>
        <v>9</v>
      </c>
      <c r="AN7" s="64">
        <v>78</v>
      </c>
      <c r="AO7" s="337">
        <f t="shared" si="21"/>
        <v>2340</v>
      </c>
      <c r="AP7" s="64">
        <v>78</v>
      </c>
      <c r="AQ7" s="337">
        <f t="shared" si="22"/>
        <v>2340</v>
      </c>
      <c r="AR7" s="64">
        <v>78</v>
      </c>
      <c r="AS7" s="337">
        <f t="shared" ref="AS7:AS34" si="31">(AR7/100)*3000</f>
        <v>2340</v>
      </c>
      <c r="AT7" s="337">
        <f t="shared" ref="AT7:AT23" si="32">SUM(AO7+AQ7+AS7)</f>
        <v>7020</v>
      </c>
      <c r="AU7" s="337">
        <f t="shared" ref="AU7:AU34" si="33">AT6-AT7+AV7</f>
        <v>180</v>
      </c>
      <c r="AV7" s="276"/>
      <c r="AW7" s="276"/>
      <c r="AX7" s="330">
        <f t="shared" si="23"/>
        <v>0.7</v>
      </c>
    </row>
    <row r="8" spans="1:50">
      <c r="A8" s="63">
        <v>43834</v>
      </c>
      <c r="B8" s="64">
        <v>193</v>
      </c>
      <c r="C8" s="64">
        <v>102</v>
      </c>
      <c r="D8" s="45">
        <f t="shared" si="0"/>
        <v>25</v>
      </c>
      <c r="E8" s="45">
        <f t="shared" si="10"/>
        <v>209.50000000000003</v>
      </c>
      <c r="F8" s="64">
        <f t="shared" si="24"/>
        <v>1303</v>
      </c>
      <c r="G8" s="52">
        <f t="shared" si="1"/>
        <v>0</v>
      </c>
      <c r="H8" s="64">
        <f t="shared" si="24"/>
        <v>330270</v>
      </c>
      <c r="I8" s="419">
        <f t="shared" si="2"/>
        <v>0</v>
      </c>
      <c r="J8" s="66">
        <f t="shared" si="11"/>
        <v>0</v>
      </c>
      <c r="K8" s="64">
        <f t="shared" si="25"/>
        <v>1702</v>
      </c>
      <c r="L8" s="52">
        <f t="shared" si="3"/>
        <v>0</v>
      </c>
      <c r="M8" s="64">
        <f t="shared" si="25"/>
        <v>123970</v>
      </c>
      <c r="N8" s="419">
        <f t="shared" si="4"/>
        <v>0</v>
      </c>
      <c r="O8" s="67">
        <v>1479</v>
      </c>
      <c r="P8" s="64">
        <v>1479</v>
      </c>
      <c r="Q8" s="64">
        <v>128380</v>
      </c>
      <c r="R8" s="418">
        <f t="shared" si="6"/>
        <v>944</v>
      </c>
      <c r="S8" s="52">
        <f t="shared" si="12"/>
        <v>12</v>
      </c>
      <c r="T8" s="68">
        <f t="shared" si="26"/>
        <v>0</v>
      </c>
      <c r="U8" s="425">
        <f t="shared" si="13"/>
        <v>12</v>
      </c>
      <c r="V8" s="62">
        <f t="shared" si="14"/>
        <v>944</v>
      </c>
      <c r="W8" s="423">
        <f t="shared" si="15"/>
        <v>78.666666666666671</v>
      </c>
      <c r="X8" s="64">
        <v>2320</v>
      </c>
      <c r="Y8" s="52">
        <f t="shared" si="16"/>
        <v>0</v>
      </c>
      <c r="Z8" s="64">
        <v>130593</v>
      </c>
      <c r="AA8" s="65">
        <f t="shared" si="7"/>
        <v>0</v>
      </c>
      <c r="AB8" s="296">
        <f t="shared" si="28"/>
        <v>0</v>
      </c>
      <c r="AC8" s="64">
        <v>1723</v>
      </c>
      <c r="AD8" s="45">
        <f t="shared" si="8"/>
        <v>0</v>
      </c>
      <c r="AE8" s="64">
        <f t="shared" ref="AC8:AE35" si="34">AE7</f>
        <v>353680.2</v>
      </c>
      <c r="AF8" s="323">
        <f t="shared" si="17"/>
        <v>0</v>
      </c>
      <c r="AG8" s="213">
        <f t="shared" si="29"/>
        <v>0</v>
      </c>
      <c r="AH8" s="62">
        <f t="shared" si="30"/>
        <v>0</v>
      </c>
      <c r="AI8" s="335">
        <f t="shared" si="18"/>
        <v>944</v>
      </c>
      <c r="AJ8" s="335">
        <f>-tanks!AW9</f>
        <v>944</v>
      </c>
      <c r="AK8" s="335">
        <f t="shared" si="19"/>
        <v>0</v>
      </c>
      <c r="AL8" s="335">
        <f t="shared" si="9"/>
        <v>12</v>
      </c>
      <c r="AM8" s="335">
        <f t="shared" si="20"/>
        <v>0</v>
      </c>
      <c r="AN8" s="64">
        <v>75</v>
      </c>
      <c r="AO8" s="337">
        <f t="shared" si="21"/>
        <v>2250</v>
      </c>
      <c r="AP8" s="64">
        <v>76</v>
      </c>
      <c r="AQ8" s="337">
        <f t="shared" si="22"/>
        <v>2280</v>
      </c>
      <c r="AR8" s="64">
        <v>75</v>
      </c>
      <c r="AS8" s="337">
        <f t="shared" si="31"/>
        <v>2250</v>
      </c>
      <c r="AT8" s="337">
        <f t="shared" si="32"/>
        <v>6780</v>
      </c>
      <c r="AU8" s="337">
        <f t="shared" si="33"/>
        <v>240</v>
      </c>
      <c r="AV8" s="276"/>
      <c r="AW8" s="276"/>
      <c r="AX8" s="330">
        <f t="shared" si="23"/>
        <v>0.7</v>
      </c>
    </row>
    <row r="9" spans="1:50">
      <c r="A9" s="63">
        <v>43835</v>
      </c>
      <c r="B9" s="64">
        <v>190</v>
      </c>
      <c r="C9" s="64">
        <v>88</v>
      </c>
      <c r="D9" s="45">
        <f t="shared" si="0"/>
        <v>14</v>
      </c>
      <c r="E9" s="45">
        <f t="shared" si="10"/>
        <v>117.32000000000001</v>
      </c>
      <c r="F9" s="64">
        <v>1303</v>
      </c>
      <c r="G9" s="52">
        <f t="shared" si="1"/>
        <v>0</v>
      </c>
      <c r="H9" s="64">
        <v>330270</v>
      </c>
      <c r="I9" s="419">
        <f t="shared" si="2"/>
        <v>0</v>
      </c>
      <c r="J9" s="66">
        <f t="shared" si="11"/>
        <v>0</v>
      </c>
      <c r="K9" s="64">
        <v>1702</v>
      </c>
      <c r="L9" s="52">
        <f t="shared" si="3"/>
        <v>0</v>
      </c>
      <c r="M9" s="64">
        <v>123970</v>
      </c>
      <c r="N9" s="419">
        <f t="shared" si="4"/>
        <v>0</v>
      </c>
      <c r="O9" s="67">
        <f t="shared" si="5"/>
        <v>0</v>
      </c>
      <c r="P9" s="64">
        <v>1489</v>
      </c>
      <c r="Q9" s="64">
        <v>129086</v>
      </c>
      <c r="R9" s="418">
        <f t="shared" si="6"/>
        <v>706</v>
      </c>
      <c r="S9" s="52">
        <f t="shared" si="12"/>
        <v>10</v>
      </c>
      <c r="T9" s="68">
        <f t="shared" si="26"/>
        <v>0</v>
      </c>
      <c r="U9" s="425">
        <f t="shared" si="13"/>
        <v>10</v>
      </c>
      <c r="V9" s="62">
        <f t="shared" si="14"/>
        <v>706</v>
      </c>
      <c r="W9" s="423">
        <f t="shared" si="15"/>
        <v>70.599999999999994</v>
      </c>
      <c r="X9" s="64">
        <v>2320</v>
      </c>
      <c r="Y9" s="52">
        <f t="shared" si="16"/>
        <v>0</v>
      </c>
      <c r="Z9" s="64">
        <v>130593</v>
      </c>
      <c r="AA9" s="65">
        <f t="shared" si="7"/>
        <v>0</v>
      </c>
      <c r="AB9" s="296">
        <f t="shared" si="28"/>
        <v>0</v>
      </c>
      <c r="AC9" s="64">
        <v>1732</v>
      </c>
      <c r="AD9" s="45">
        <f t="shared" si="8"/>
        <v>9</v>
      </c>
      <c r="AE9" s="64">
        <v>354081.9</v>
      </c>
      <c r="AF9" s="323">
        <f t="shared" si="17"/>
        <v>401.70000000001164</v>
      </c>
      <c r="AG9" s="213">
        <f t="shared" si="29"/>
        <v>44.633333333334626</v>
      </c>
      <c r="AH9" s="62">
        <f t="shared" si="30"/>
        <v>401.70000000001164</v>
      </c>
      <c r="AI9" s="335">
        <f t="shared" si="18"/>
        <v>1107.7000000000116</v>
      </c>
      <c r="AJ9" s="335">
        <f>-tanks!AW10</f>
        <v>1107.7000000000116</v>
      </c>
      <c r="AK9" s="335">
        <f t="shared" si="19"/>
        <v>0</v>
      </c>
      <c r="AL9" s="335">
        <f t="shared" si="9"/>
        <v>10</v>
      </c>
      <c r="AM9" s="335">
        <f t="shared" si="20"/>
        <v>9</v>
      </c>
      <c r="AN9" s="64">
        <v>71</v>
      </c>
      <c r="AO9" s="337">
        <f t="shared" si="21"/>
        <v>2130</v>
      </c>
      <c r="AP9" s="64">
        <v>73</v>
      </c>
      <c r="AQ9" s="337">
        <f t="shared" si="22"/>
        <v>2190</v>
      </c>
      <c r="AR9" s="64">
        <v>73</v>
      </c>
      <c r="AS9" s="337">
        <f>(AR9/100)*3000</f>
        <v>2190</v>
      </c>
      <c r="AT9" s="337">
        <f t="shared" si="32"/>
        <v>6510</v>
      </c>
      <c r="AU9" s="337">
        <f t="shared" si="33"/>
        <v>270</v>
      </c>
      <c r="AV9" s="276"/>
      <c r="AW9" s="276"/>
      <c r="AX9" s="330">
        <f t="shared" si="23"/>
        <v>0.7</v>
      </c>
    </row>
    <row r="10" spans="1:50">
      <c r="A10" s="63">
        <v>43836</v>
      </c>
      <c r="B10" s="64">
        <v>182</v>
      </c>
      <c r="C10" s="64">
        <v>70</v>
      </c>
      <c r="D10" s="45">
        <f t="shared" si="0"/>
        <v>18</v>
      </c>
      <c r="E10" s="45">
        <f t="shared" si="10"/>
        <v>150.84</v>
      </c>
      <c r="F10" s="64">
        <v>1303</v>
      </c>
      <c r="G10" s="52">
        <f t="shared" si="1"/>
        <v>0</v>
      </c>
      <c r="H10" s="64">
        <v>330270</v>
      </c>
      <c r="I10" s="419">
        <f t="shared" si="2"/>
        <v>0</v>
      </c>
      <c r="J10" s="66">
        <f t="shared" si="11"/>
        <v>0</v>
      </c>
      <c r="K10" s="64">
        <v>1702</v>
      </c>
      <c r="L10" s="52">
        <f t="shared" si="3"/>
        <v>0</v>
      </c>
      <c r="M10" s="64">
        <v>123970</v>
      </c>
      <c r="N10" s="419">
        <f t="shared" si="4"/>
        <v>0</v>
      </c>
      <c r="O10" s="67">
        <f t="shared" si="5"/>
        <v>0</v>
      </c>
      <c r="P10" s="64">
        <v>1497</v>
      </c>
      <c r="Q10" s="64">
        <v>129693</v>
      </c>
      <c r="R10" s="418">
        <f t="shared" si="6"/>
        <v>607</v>
      </c>
      <c r="S10" s="52">
        <f t="shared" si="12"/>
        <v>8</v>
      </c>
      <c r="T10" s="68">
        <f t="shared" si="26"/>
        <v>0</v>
      </c>
      <c r="U10" s="425">
        <f t="shared" si="13"/>
        <v>8</v>
      </c>
      <c r="V10" s="62">
        <f t="shared" si="14"/>
        <v>607</v>
      </c>
      <c r="W10" s="423">
        <f t="shared" si="15"/>
        <v>75.875</v>
      </c>
      <c r="X10" s="64">
        <v>2320</v>
      </c>
      <c r="Y10" s="52">
        <f t="shared" si="16"/>
        <v>0</v>
      </c>
      <c r="Z10" s="64">
        <v>130593</v>
      </c>
      <c r="AA10" s="65">
        <f t="shared" si="7"/>
        <v>0</v>
      </c>
      <c r="AB10" s="296">
        <f t="shared" si="28"/>
        <v>0</v>
      </c>
      <c r="AC10" s="64">
        <v>1732</v>
      </c>
      <c r="AD10" s="45">
        <f t="shared" si="8"/>
        <v>0</v>
      </c>
      <c r="AE10" s="64">
        <v>354081.9</v>
      </c>
      <c r="AF10" s="323">
        <f t="shared" si="17"/>
        <v>0</v>
      </c>
      <c r="AG10" s="213">
        <f t="shared" si="29"/>
        <v>0</v>
      </c>
      <c r="AH10" s="62">
        <f t="shared" si="30"/>
        <v>0</v>
      </c>
      <c r="AI10" s="335">
        <f>SUM(AH10+V10)</f>
        <v>607</v>
      </c>
      <c r="AJ10" s="335">
        <f>-tanks!AW11</f>
        <v>607</v>
      </c>
      <c r="AK10" s="335">
        <f t="shared" si="19"/>
        <v>0</v>
      </c>
      <c r="AL10" s="335">
        <f t="shared" si="9"/>
        <v>8</v>
      </c>
      <c r="AM10" s="335">
        <f t="shared" si="20"/>
        <v>0</v>
      </c>
      <c r="AN10" s="64">
        <v>69</v>
      </c>
      <c r="AO10" s="337">
        <f t="shared" si="21"/>
        <v>2070</v>
      </c>
      <c r="AP10" s="64">
        <v>71</v>
      </c>
      <c r="AQ10" s="337">
        <f t="shared" si="22"/>
        <v>2130</v>
      </c>
      <c r="AR10" s="64">
        <v>71</v>
      </c>
      <c r="AS10" s="337">
        <f t="shared" si="31"/>
        <v>2130</v>
      </c>
      <c r="AT10" s="337">
        <f t="shared" si="32"/>
        <v>6330</v>
      </c>
      <c r="AU10" s="337">
        <f t="shared" si="33"/>
        <v>180</v>
      </c>
      <c r="AV10" s="276"/>
      <c r="AW10" s="276"/>
      <c r="AX10" s="330">
        <f t="shared" si="23"/>
        <v>0.7</v>
      </c>
    </row>
    <row r="11" spans="1:50">
      <c r="A11" s="63">
        <v>43837</v>
      </c>
      <c r="B11" s="64">
        <v>164</v>
      </c>
      <c r="C11" s="64">
        <v>101</v>
      </c>
      <c r="D11" s="45">
        <f t="shared" si="0"/>
        <v>-31</v>
      </c>
      <c r="E11" s="45">
        <f t="shared" si="10"/>
        <v>-259.78000000000003</v>
      </c>
      <c r="F11" s="64">
        <v>1303</v>
      </c>
      <c r="G11" s="52">
        <f t="shared" si="1"/>
        <v>0</v>
      </c>
      <c r="H11" s="64">
        <v>330270</v>
      </c>
      <c r="I11" s="419">
        <f t="shared" si="2"/>
        <v>0</v>
      </c>
      <c r="J11" s="66">
        <f t="shared" si="11"/>
        <v>0</v>
      </c>
      <c r="K11" s="64">
        <v>1702</v>
      </c>
      <c r="L11" s="52">
        <f t="shared" si="3"/>
        <v>0</v>
      </c>
      <c r="M11" s="64">
        <v>123970</v>
      </c>
      <c r="N11" s="419">
        <f t="shared" si="4"/>
        <v>0</v>
      </c>
      <c r="O11" s="67">
        <f t="shared" si="5"/>
        <v>0</v>
      </c>
      <c r="P11" s="64">
        <v>1505</v>
      </c>
      <c r="Q11" s="64">
        <v>130331</v>
      </c>
      <c r="R11" s="418">
        <f t="shared" ref="R11:R34" si="35">Q11-Q10</f>
        <v>638</v>
      </c>
      <c r="S11" s="52">
        <f t="shared" si="12"/>
        <v>8</v>
      </c>
      <c r="T11" s="68">
        <f t="shared" si="26"/>
        <v>0</v>
      </c>
      <c r="U11" s="425">
        <f t="shared" si="13"/>
        <v>8</v>
      </c>
      <c r="V11" s="62">
        <f t="shared" si="14"/>
        <v>638</v>
      </c>
      <c r="W11" s="423">
        <f t="shared" si="15"/>
        <v>79.75</v>
      </c>
      <c r="X11" s="64">
        <v>2320</v>
      </c>
      <c r="Y11" s="52">
        <f t="shared" si="16"/>
        <v>0</v>
      </c>
      <c r="Z11" s="64">
        <v>130593</v>
      </c>
      <c r="AA11" s="65">
        <f t="shared" si="7"/>
        <v>0</v>
      </c>
      <c r="AB11" s="296">
        <f t="shared" si="28"/>
        <v>0</v>
      </c>
      <c r="AC11" s="64">
        <v>1740</v>
      </c>
      <c r="AD11" s="45">
        <f t="shared" si="8"/>
        <v>8</v>
      </c>
      <c r="AE11" s="64">
        <v>354463.2</v>
      </c>
      <c r="AF11" s="323">
        <f t="shared" si="17"/>
        <v>381.29999999998836</v>
      </c>
      <c r="AG11" s="213">
        <f t="shared" si="29"/>
        <v>47.662499999998545</v>
      </c>
      <c r="AH11" s="62">
        <f>AF11+AA11</f>
        <v>381.29999999998836</v>
      </c>
      <c r="AI11" s="335">
        <f>SUM(AH11+V11)</f>
        <v>1019.2999999999884</v>
      </c>
      <c r="AJ11" s="335">
        <f>-tanks!AW12</f>
        <v>1019.2999999999884</v>
      </c>
      <c r="AK11" s="335">
        <f t="shared" si="19"/>
        <v>0</v>
      </c>
      <c r="AL11" s="335">
        <f t="shared" si="9"/>
        <v>8</v>
      </c>
      <c r="AM11" s="335">
        <f t="shared" si="20"/>
        <v>8</v>
      </c>
      <c r="AN11" s="64">
        <v>67</v>
      </c>
      <c r="AO11" s="337">
        <f t="shared" si="21"/>
        <v>2010.0000000000002</v>
      </c>
      <c r="AP11" s="64">
        <v>68</v>
      </c>
      <c r="AQ11" s="337">
        <f t="shared" si="22"/>
        <v>2040.0000000000002</v>
      </c>
      <c r="AR11" s="64">
        <v>69</v>
      </c>
      <c r="AS11" s="337">
        <f t="shared" si="31"/>
        <v>2070</v>
      </c>
      <c r="AT11" s="337">
        <f t="shared" si="32"/>
        <v>6120</v>
      </c>
      <c r="AU11" s="337">
        <f t="shared" si="33"/>
        <v>210</v>
      </c>
      <c r="AV11" s="276"/>
      <c r="AW11" s="276"/>
      <c r="AX11" s="330">
        <f t="shared" si="23"/>
        <v>0.7</v>
      </c>
    </row>
    <row r="12" spans="1:50">
      <c r="A12" s="63">
        <v>43838</v>
      </c>
      <c r="B12" s="64">
        <v>154</v>
      </c>
      <c r="C12" s="64">
        <v>80</v>
      </c>
      <c r="D12" s="45">
        <f t="shared" si="0"/>
        <v>21</v>
      </c>
      <c r="E12" s="45">
        <f t="shared" si="10"/>
        <v>175.98000000000002</v>
      </c>
      <c r="F12" s="64">
        <f t="shared" si="24"/>
        <v>1303</v>
      </c>
      <c r="G12" s="52">
        <f t="shared" si="1"/>
        <v>0</v>
      </c>
      <c r="H12" s="64">
        <f t="shared" si="24"/>
        <v>330270</v>
      </c>
      <c r="I12" s="419">
        <f t="shared" si="2"/>
        <v>0</v>
      </c>
      <c r="J12" s="66">
        <f t="shared" si="11"/>
        <v>0</v>
      </c>
      <c r="K12" s="64">
        <f t="shared" si="25"/>
        <v>1702</v>
      </c>
      <c r="L12" s="52">
        <f t="shared" si="3"/>
        <v>0</v>
      </c>
      <c r="M12" s="64">
        <f t="shared" si="25"/>
        <v>123970</v>
      </c>
      <c r="N12" s="419">
        <f t="shared" si="4"/>
        <v>0</v>
      </c>
      <c r="O12" s="67">
        <f t="shared" si="5"/>
        <v>0</v>
      </c>
      <c r="P12" s="64">
        <v>1516</v>
      </c>
      <c r="Q12" s="64">
        <v>131147</v>
      </c>
      <c r="R12" s="418">
        <f t="shared" si="35"/>
        <v>816</v>
      </c>
      <c r="S12" s="52">
        <f t="shared" si="12"/>
        <v>11</v>
      </c>
      <c r="T12" s="68">
        <f t="shared" si="26"/>
        <v>0</v>
      </c>
      <c r="U12" s="425">
        <f t="shared" si="13"/>
        <v>11</v>
      </c>
      <c r="V12" s="62">
        <f t="shared" si="14"/>
        <v>816</v>
      </c>
      <c r="W12" s="423">
        <f t="shared" si="15"/>
        <v>74.181818181818187</v>
      </c>
      <c r="X12" s="64">
        <v>2320</v>
      </c>
      <c r="Y12" s="52">
        <f t="shared" si="16"/>
        <v>0</v>
      </c>
      <c r="Z12" s="64">
        <f t="shared" si="27"/>
        <v>130593</v>
      </c>
      <c r="AA12" s="65">
        <f t="shared" si="7"/>
        <v>0</v>
      </c>
      <c r="AB12" s="296">
        <f t="shared" si="28"/>
        <v>0</v>
      </c>
      <c r="AC12" s="64">
        <f t="shared" si="34"/>
        <v>1740</v>
      </c>
      <c r="AD12" s="45">
        <f t="shared" si="8"/>
        <v>0</v>
      </c>
      <c r="AE12" s="64">
        <f t="shared" si="34"/>
        <v>354463.2</v>
      </c>
      <c r="AF12" s="323">
        <f t="shared" si="17"/>
        <v>0</v>
      </c>
      <c r="AG12" s="213">
        <f t="shared" si="29"/>
        <v>0</v>
      </c>
      <c r="AH12" s="62">
        <f t="shared" si="30"/>
        <v>0</v>
      </c>
      <c r="AI12" s="335">
        <f t="shared" si="18"/>
        <v>816</v>
      </c>
      <c r="AJ12" s="335">
        <f>-tanks!AW13</f>
        <v>816</v>
      </c>
      <c r="AK12" s="335">
        <f t="shared" si="19"/>
        <v>0</v>
      </c>
      <c r="AL12" s="335">
        <f t="shared" si="9"/>
        <v>11</v>
      </c>
      <c r="AM12" s="335">
        <f t="shared" si="20"/>
        <v>0</v>
      </c>
      <c r="AN12" s="64">
        <v>64</v>
      </c>
      <c r="AO12" s="337">
        <f t="shared" si="21"/>
        <v>1920</v>
      </c>
      <c r="AP12" s="64">
        <v>66</v>
      </c>
      <c r="AQ12" s="337">
        <f t="shared" si="22"/>
        <v>1980</v>
      </c>
      <c r="AR12" s="64">
        <v>66</v>
      </c>
      <c r="AS12" s="337">
        <f t="shared" si="31"/>
        <v>1980</v>
      </c>
      <c r="AT12" s="337">
        <f t="shared" si="32"/>
        <v>5880</v>
      </c>
      <c r="AU12" s="337">
        <f t="shared" si="33"/>
        <v>240</v>
      </c>
      <c r="AV12" s="276"/>
      <c r="AW12" s="276"/>
      <c r="AX12" s="330">
        <f t="shared" si="23"/>
        <v>0.7</v>
      </c>
    </row>
    <row r="13" spans="1:50">
      <c r="A13" s="63">
        <v>43839</v>
      </c>
      <c r="B13" s="64">
        <v>179</v>
      </c>
      <c r="C13" s="64">
        <v>162</v>
      </c>
      <c r="D13" s="45">
        <f t="shared" si="0"/>
        <v>-82</v>
      </c>
      <c r="E13" s="45">
        <f t="shared" si="10"/>
        <v>-687.16000000000008</v>
      </c>
      <c r="F13" s="64">
        <v>1303</v>
      </c>
      <c r="G13" s="52">
        <f t="shared" si="1"/>
        <v>0</v>
      </c>
      <c r="H13" s="64">
        <v>330270</v>
      </c>
      <c r="I13" s="419">
        <f t="shared" si="2"/>
        <v>0</v>
      </c>
      <c r="J13" s="66">
        <f t="shared" si="11"/>
        <v>0</v>
      </c>
      <c r="K13" s="64">
        <v>1702</v>
      </c>
      <c r="L13" s="52">
        <f t="shared" si="3"/>
        <v>0</v>
      </c>
      <c r="M13" s="64">
        <v>123970</v>
      </c>
      <c r="N13" s="419">
        <f t="shared" si="4"/>
        <v>0</v>
      </c>
      <c r="O13" s="67">
        <f t="shared" si="5"/>
        <v>0</v>
      </c>
      <c r="P13" s="64">
        <v>1527</v>
      </c>
      <c r="Q13" s="64">
        <v>132000</v>
      </c>
      <c r="R13" s="418">
        <f t="shared" si="35"/>
        <v>853</v>
      </c>
      <c r="S13" s="52">
        <f t="shared" si="12"/>
        <v>11</v>
      </c>
      <c r="T13" s="68">
        <f t="shared" si="26"/>
        <v>0</v>
      </c>
      <c r="U13" s="425">
        <f t="shared" si="13"/>
        <v>11</v>
      </c>
      <c r="V13" s="62">
        <f>R13+N13+I13:I13</f>
        <v>853</v>
      </c>
      <c r="W13" s="423">
        <f t="shared" si="15"/>
        <v>77.545454545454547</v>
      </c>
      <c r="X13" s="64">
        <v>2320</v>
      </c>
      <c r="Y13" s="52">
        <f t="shared" si="16"/>
        <v>0</v>
      </c>
      <c r="Z13" s="64">
        <v>130593</v>
      </c>
      <c r="AA13" s="296">
        <f t="shared" si="7"/>
        <v>0</v>
      </c>
      <c r="AB13" s="296">
        <f t="shared" si="28"/>
        <v>0</v>
      </c>
      <c r="AC13" s="64">
        <v>1740</v>
      </c>
      <c r="AD13" s="45">
        <f t="shared" si="8"/>
        <v>0</v>
      </c>
      <c r="AE13" s="64">
        <v>354463.2</v>
      </c>
      <c r="AF13" s="323">
        <f t="shared" si="17"/>
        <v>0</v>
      </c>
      <c r="AG13" s="213">
        <f t="shared" si="29"/>
        <v>0</v>
      </c>
      <c r="AH13" s="62">
        <f t="shared" si="30"/>
        <v>0</v>
      </c>
      <c r="AI13" s="335">
        <f t="shared" si="18"/>
        <v>853</v>
      </c>
      <c r="AJ13" s="335">
        <f>-tanks!AW14</f>
        <v>853</v>
      </c>
      <c r="AK13" s="335">
        <f t="shared" si="19"/>
        <v>0</v>
      </c>
      <c r="AL13" s="335">
        <f t="shared" si="9"/>
        <v>11</v>
      </c>
      <c r="AM13" s="335">
        <f t="shared" si="20"/>
        <v>0</v>
      </c>
      <c r="AN13" s="64">
        <v>79</v>
      </c>
      <c r="AO13" s="337">
        <f t="shared" si="21"/>
        <v>2370</v>
      </c>
      <c r="AP13" s="64">
        <v>79</v>
      </c>
      <c r="AQ13" s="337">
        <f t="shared" si="22"/>
        <v>2370</v>
      </c>
      <c r="AR13" s="64">
        <v>81</v>
      </c>
      <c r="AS13" s="337">
        <f t="shared" si="31"/>
        <v>2430</v>
      </c>
      <c r="AT13" s="337">
        <f t="shared" si="32"/>
        <v>7170</v>
      </c>
      <c r="AU13" s="337">
        <f t="shared" si="33"/>
        <v>360</v>
      </c>
      <c r="AV13" s="276">
        <v>1650</v>
      </c>
      <c r="AW13" s="276">
        <v>0.7</v>
      </c>
      <c r="AX13" s="330">
        <f t="shared" si="23"/>
        <v>0.7</v>
      </c>
    </row>
    <row r="14" spans="1:50">
      <c r="A14" s="63">
        <v>43840</v>
      </c>
      <c r="B14" s="64">
        <v>168</v>
      </c>
      <c r="C14" s="64">
        <v>174</v>
      </c>
      <c r="D14" s="45">
        <f t="shared" si="0"/>
        <v>-12</v>
      </c>
      <c r="E14" s="45">
        <f t="shared" si="10"/>
        <v>-100.56</v>
      </c>
      <c r="F14" s="64">
        <v>1309</v>
      </c>
      <c r="G14" s="52">
        <f t="shared" si="1"/>
        <v>6</v>
      </c>
      <c r="H14" s="64">
        <v>330804</v>
      </c>
      <c r="I14" s="419">
        <f t="shared" si="2"/>
        <v>534</v>
      </c>
      <c r="J14" s="66">
        <f t="shared" si="11"/>
        <v>89</v>
      </c>
      <c r="K14" s="64">
        <f t="shared" si="25"/>
        <v>1702</v>
      </c>
      <c r="L14" s="52">
        <f t="shared" si="3"/>
        <v>0</v>
      </c>
      <c r="M14" s="64">
        <f t="shared" si="25"/>
        <v>123970</v>
      </c>
      <c r="N14" s="419">
        <f t="shared" si="4"/>
        <v>0</v>
      </c>
      <c r="O14" s="67">
        <f t="shared" si="5"/>
        <v>0</v>
      </c>
      <c r="P14" s="64">
        <v>1534</v>
      </c>
      <c r="Q14" s="64">
        <v>132477</v>
      </c>
      <c r="R14" s="418">
        <f t="shared" si="35"/>
        <v>477</v>
      </c>
      <c r="S14" s="52">
        <f t="shared" si="12"/>
        <v>7</v>
      </c>
      <c r="T14" s="68">
        <f t="shared" si="26"/>
        <v>0</v>
      </c>
      <c r="U14" s="425">
        <f t="shared" si="13"/>
        <v>13</v>
      </c>
      <c r="V14" s="62">
        <f t="shared" si="14"/>
        <v>1011</v>
      </c>
      <c r="W14" s="423">
        <f t="shared" si="15"/>
        <v>77.769230769230774</v>
      </c>
      <c r="X14" s="64">
        <v>2320</v>
      </c>
      <c r="Y14" s="52">
        <f t="shared" si="16"/>
        <v>0</v>
      </c>
      <c r="Z14" s="64">
        <f t="shared" si="27"/>
        <v>130593</v>
      </c>
      <c r="AA14" s="65">
        <f t="shared" si="7"/>
        <v>0</v>
      </c>
      <c r="AB14" s="296">
        <f t="shared" si="28"/>
        <v>0</v>
      </c>
      <c r="AC14" s="64">
        <v>1749</v>
      </c>
      <c r="AD14" s="45">
        <f t="shared" si="8"/>
        <v>9</v>
      </c>
      <c r="AE14" s="64">
        <v>354914</v>
      </c>
      <c r="AF14" s="323">
        <f t="shared" si="17"/>
        <v>450.79999999998836</v>
      </c>
      <c r="AG14" s="213">
        <f t="shared" si="29"/>
        <v>50.088888888887595</v>
      </c>
      <c r="AH14" s="62">
        <f t="shared" si="30"/>
        <v>450.79999999998836</v>
      </c>
      <c r="AI14" s="335">
        <f t="shared" si="18"/>
        <v>1461.7999999999884</v>
      </c>
      <c r="AJ14" s="335">
        <f>-tanks!AW15</f>
        <v>1461.7999999999884</v>
      </c>
      <c r="AK14" s="335">
        <f t="shared" si="19"/>
        <v>0</v>
      </c>
      <c r="AL14" s="335">
        <f t="shared" si="9"/>
        <v>13</v>
      </c>
      <c r="AM14" s="335">
        <f t="shared" si="20"/>
        <v>9</v>
      </c>
      <c r="AN14" s="64">
        <v>78</v>
      </c>
      <c r="AO14" s="337">
        <f t="shared" si="21"/>
        <v>2340</v>
      </c>
      <c r="AP14" s="64">
        <v>77</v>
      </c>
      <c r="AQ14" s="337">
        <f t="shared" si="22"/>
        <v>2310</v>
      </c>
      <c r="AR14" s="64">
        <v>80</v>
      </c>
      <c r="AS14" s="337">
        <f t="shared" si="31"/>
        <v>2400</v>
      </c>
      <c r="AT14" s="337">
        <f t="shared" si="32"/>
        <v>7050</v>
      </c>
      <c r="AU14" s="337">
        <f t="shared" si="33"/>
        <v>120</v>
      </c>
      <c r="AV14" s="276"/>
      <c r="AW14" s="276"/>
      <c r="AX14" s="330">
        <f t="shared" si="23"/>
        <v>0.7</v>
      </c>
    </row>
    <row r="15" spans="1:50" ht="15" customHeight="1">
      <c r="A15" s="63">
        <v>43841</v>
      </c>
      <c r="B15" s="64">
        <v>162</v>
      </c>
      <c r="C15" s="64">
        <v>168</v>
      </c>
      <c r="D15" s="45">
        <f t="shared" si="0"/>
        <v>6</v>
      </c>
      <c r="E15" s="45">
        <f t="shared" si="10"/>
        <v>50.28</v>
      </c>
      <c r="F15" s="64">
        <v>1314</v>
      </c>
      <c r="G15" s="52">
        <f t="shared" si="1"/>
        <v>5</v>
      </c>
      <c r="H15" s="64">
        <v>331161</v>
      </c>
      <c r="I15" s="419">
        <f t="shared" si="2"/>
        <v>357</v>
      </c>
      <c r="J15" s="66">
        <f t="shared" si="11"/>
        <v>71.400000000000006</v>
      </c>
      <c r="K15" s="64">
        <v>1707</v>
      </c>
      <c r="L15" s="52">
        <f t="shared" si="3"/>
        <v>5</v>
      </c>
      <c r="M15" s="64">
        <v>124341</v>
      </c>
      <c r="N15" s="419">
        <f t="shared" si="4"/>
        <v>371</v>
      </c>
      <c r="O15" s="67">
        <f t="shared" si="5"/>
        <v>388.17708333333337</v>
      </c>
      <c r="P15" s="64">
        <f t="shared" ref="P15:Q35" si="36">P14</f>
        <v>1534</v>
      </c>
      <c r="Q15" s="64">
        <f t="shared" si="36"/>
        <v>132477</v>
      </c>
      <c r="R15" s="418">
        <f t="shared" si="35"/>
        <v>0</v>
      </c>
      <c r="S15" s="52">
        <f t="shared" si="12"/>
        <v>0</v>
      </c>
      <c r="T15" s="68">
        <f t="shared" si="26"/>
        <v>0</v>
      </c>
      <c r="U15" s="425">
        <f t="shared" si="13"/>
        <v>10</v>
      </c>
      <c r="V15" s="62">
        <f t="shared" si="14"/>
        <v>728</v>
      </c>
      <c r="W15" s="423">
        <f t="shared" si="15"/>
        <v>72.8</v>
      </c>
      <c r="X15" s="64">
        <f t="shared" si="27"/>
        <v>2320</v>
      </c>
      <c r="Y15" s="52">
        <f t="shared" si="16"/>
        <v>0</v>
      </c>
      <c r="Z15" s="64">
        <f t="shared" si="27"/>
        <v>130593</v>
      </c>
      <c r="AA15" s="65">
        <f t="shared" si="7"/>
        <v>0</v>
      </c>
      <c r="AB15" s="296">
        <f t="shared" si="28"/>
        <v>0</v>
      </c>
      <c r="AC15" s="64">
        <f t="shared" si="34"/>
        <v>1749</v>
      </c>
      <c r="AD15" s="45">
        <f t="shared" si="8"/>
        <v>0</v>
      </c>
      <c r="AE15" s="64">
        <f t="shared" si="34"/>
        <v>354914</v>
      </c>
      <c r="AF15" s="323">
        <f t="shared" si="17"/>
        <v>0</v>
      </c>
      <c r="AG15" s="213">
        <f t="shared" si="29"/>
        <v>0</v>
      </c>
      <c r="AH15" s="62">
        <f t="shared" si="30"/>
        <v>0</v>
      </c>
      <c r="AI15" s="335">
        <f t="shared" si="18"/>
        <v>728</v>
      </c>
      <c r="AJ15" s="335">
        <f>-tanks!AW16</f>
        <v>728</v>
      </c>
      <c r="AK15" s="335">
        <f t="shared" si="19"/>
        <v>0</v>
      </c>
      <c r="AL15" s="335">
        <f t="shared" si="9"/>
        <v>10</v>
      </c>
      <c r="AM15" s="335">
        <f t="shared" si="20"/>
        <v>0</v>
      </c>
      <c r="AN15" s="64">
        <v>77</v>
      </c>
      <c r="AO15" s="337">
        <f t="shared" si="21"/>
        <v>2310</v>
      </c>
      <c r="AP15" s="64">
        <f t="shared" ref="AN15:AR35" si="37">AP14</f>
        <v>77</v>
      </c>
      <c r="AQ15" s="337">
        <f t="shared" si="22"/>
        <v>2310</v>
      </c>
      <c r="AR15" s="64">
        <v>78</v>
      </c>
      <c r="AS15" s="337">
        <f t="shared" si="31"/>
        <v>2340</v>
      </c>
      <c r="AT15" s="337">
        <f t="shared" si="32"/>
        <v>6960</v>
      </c>
      <c r="AU15" s="337">
        <f t="shared" si="33"/>
        <v>90</v>
      </c>
      <c r="AV15" s="276"/>
      <c r="AW15" s="276"/>
      <c r="AX15" s="330">
        <f t="shared" si="23"/>
        <v>0.7</v>
      </c>
    </row>
    <row r="16" spans="1:50">
      <c r="A16" s="63">
        <v>43842</v>
      </c>
      <c r="B16" s="64">
        <v>158</v>
      </c>
      <c r="C16" s="64">
        <v>163</v>
      </c>
      <c r="D16" s="45">
        <f t="shared" si="0"/>
        <v>5</v>
      </c>
      <c r="E16" s="45">
        <f t="shared" si="10"/>
        <v>41.900000000000006</v>
      </c>
      <c r="F16" s="64">
        <f t="shared" si="24"/>
        <v>1314</v>
      </c>
      <c r="G16" s="52">
        <f t="shared" si="1"/>
        <v>0</v>
      </c>
      <c r="H16" s="64">
        <v>331161</v>
      </c>
      <c r="I16" s="419">
        <f t="shared" si="2"/>
        <v>0</v>
      </c>
      <c r="J16" s="66">
        <f t="shared" si="11"/>
        <v>0</v>
      </c>
      <c r="K16" s="64">
        <v>1711</v>
      </c>
      <c r="L16" s="52">
        <f t="shared" si="3"/>
        <v>4</v>
      </c>
      <c r="M16" s="64">
        <v>124632</v>
      </c>
      <c r="N16" s="419">
        <f t="shared" si="4"/>
        <v>291</v>
      </c>
      <c r="O16" s="67">
        <f t="shared" si="5"/>
        <v>310.54166666666669</v>
      </c>
      <c r="P16" s="64">
        <v>1537</v>
      </c>
      <c r="Q16" s="64">
        <v>132729</v>
      </c>
      <c r="R16" s="418">
        <f t="shared" si="35"/>
        <v>252</v>
      </c>
      <c r="S16" s="52">
        <f t="shared" si="12"/>
        <v>3</v>
      </c>
      <c r="T16" s="68">
        <f t="shared" si="26"/>
        <v>0</v>
      </c>
      <c r="U16" s="425">
        <f t="shared" si="13"/>
        <v>7</v>
      </c>
      <c r="V16" s="62">
        <f t="shared" si="14"/>
        <v>543</v>
      </c>
      <c r="W16" s="423">
        <f t="shared" si="15"/>
        <v>77.571428571428569</v>
      </c>
      <c r="X16" s="64">
        <v>2320</v>
      </c>
      <c r="Y16" s="52">
        <f t="shared" si="16"/>
        <v>0</v>
      </c>
      <c r="Z16" s="64">
        <v>130593</v>
      </c>
      <c r="AA16" s="65">
        <f t="shared" si="7"/>
        <v>0</v>
      </c>
      <c r="AB16" s="296">
        <f t="shared" si="28"/>
        <v>0</v>
      </c>
      <c r="AC16" s="64">
        <v>1749</v>
      </c>
      <c r="AD16" s="45">
        <f t="shared" si="8"/>
        <v>0</v>
      </c>
      <c r="AE16" s="64">
        <v>354914</v>
      </c>
      <c r="AF16" s="323">
        <f t="shared" si="17"/>
        <v>0</v>
      </c>
      <c r="AG16" s="213">
        <f t="shared" si="29"/>
        <v>0</v>
      </c>
      <c r="AH16" s="62">
        <f t="shared" si="30"/>
        <v>0</v>
      </c>
      <c r="AI16" s="335">
        <f t="shared" si="18"/>
        <v>543</v>
      </c>
      <c r="AJ16" s="335">
        <f>-tanks!AW17</f>
        <v>543</v>
      </c>
      <c r="AK16" s="335">
        <f t="shared" si="19"/>
        <v>0</v>
      </c>
      <c r="AL16" s="335">
        <f t="shared" si="9"/>
        <v>7</v>
      </c>
      <c r="AM16" s="335">
        <f t="shared" si="20"/>
        <v>0</v>
      </c>
      <c r="AN16" s="64">
        <v>74</v>
      </c>
      <c r="AO16" s="337">
        <f t="shared" si="21"/>
        <v>2220</v>
      </c>
      <c r="AP16" s="64">
        <v>74</v>
      </c>
      <c r="AQ16" s="337">
        <f t="shared" si="22"/>
        <v>2220</v>
      </c>
      <c r="AR16" s="64">
        <v>76</v>
      </c>
      <c r="AS16" s="337">
        <f t="shared" si="31"/>
        <v>2280</v>
      </c>
      <c r="AT16" s="337">
        <f t="shared" si="32"/>
        <v>6720</v>
      </c>
      <c r="AU16" s="337">
        <f t="shared" si="33"/>
        <v>240</v>
      </c>
      <c r="AV16" s="276"/>
      <c r="AW16" s="276"/>
      <c r="AX16" s="330">
        <f t="shared" si="23"/>
        <v>0.7</v>
      </c>
    </row>
    <row r="17" spans="1:50">
      <c r="A17" s="63">
        <v>43843</v>
      </c>
      <c r="B17" s="64">
        <v>152</v>
      </c>
      <c r="C17" s="64">
        <v>159</v>
      </c>
      <c r="D17" s="45">
        <f t="shared" si="0"/>
        <v>4</v>
      </c>
      <c r="E17" s="45">
        <f t="shared" si="10"/>
        <v>33.520000000000003</v>
      </c>
      <c r="F17" s="64">
        <v>1319</v>
      </c>
      <c r="G17" s="52">
        <f t="shared" si="1"/>
        <v>5</v>
      </c>
      <c r="H17" s="64">
        <v>331585</v>
      </c>
      <c r="I17" s="419">
        <f t="shared" si="2"/>
        <v>424</v>
      </c>
      <c r="J17" s="66">
        <f t="shared" si="11"/>
        <v>84.8</v>
      </c>
      <c r="K17" s="64">
        <v>1711</v>
      </c>
      <c r="L17" s="52">
        <f t="shared" si="3"/>
        <v>0</v>
      </c>
      <c r="M17" s="64">
        <v>124632</v>
      </c>
      <c r="N17" s="419">
        <f t="shared" si="4"/>
        <v>0</v>
      </c>
      <c r="O17" s="67">
        <f t="shared" si="5"/>
        <v>0</v>
      </c>
      <c r="P17" s="64">
        <v>1541</v>
      </c>
      <c r="Q17" s="64">
        <v>133054</v>
      </c>
      <c r="R17" s="418">
        <f t="shared" si="35"/>
        <v>325</v>
      </c>
      <c r="S17" s="52">
        <f t="shared" si="12"/>
        <v>4</v>
      </c>
      <c r="T17" s="68">
        <f t="shared" si="26"/>
        <v>0</v>
      </c>
      <c r="U17" s="425">
        <f t="shared" si="13"/>
        <v>9</v>
      </c>
      <c r="V17" s="62">
        <f t="shared" si="14"/>
        <v>749</v>
      </c>
      <c r="W17" s="423"/>
      <c r="X17" s="64">
        <v>2320</v>
      </c>
      <c r="Y17" s="52">
        <f t="shared" si="16"/>
        <v>0</v>
      </c>
      <c r="Z17" s="64">
        <v>130593</v>
      </c>
      <c r="AA17" s="65">
        <f t="shared" si="7"/>
        <v>0</v>
      </c>
      <c r="AB17" s="296">
        <f t="shared" si="28"/>
        <v>0</v>
      </c>
      <c r="AC17" s="64">
        <v>1749</v>
      </c>
      <c r="AD17" s="45">
        <f t="shared" si="8"/>
        <v>0</v>
      </c>
      <c r="AE17" s="64">
        <v>354914</v>
      </c>
      <c r="AF17" s="323">
        <f t="shared" si="17"/>
        <v>0</v>
      </c>
      <c r="AG17" s="213">
        <f t="shared" si="29"/>
        <v>0</v>
      </c>
      <c r="AH17" s="62">
        <f t="shared" si="30"/>
        <v>0</v>
      </c>
      <c r="AI17" s="335">
        <f t="shared" si="18"/>
        <v>749</v>
      </c>
      <c r="AJ17" s="335">
        <f>-tanks!AW18</f>
        <v>749</v>
      </c>
      <c r="AK17" s="335">
        <f t="shared" si="19"/>
        <v>0</v>
      </c>
      <c r="AL17" s="335">
        <f t="shared" si="9"/>
        <v>9</v>
      </c>
      <c r="AM17" s="335">
        <f t="shared" si="20"/>
        <v>0</v>
      </c>
      <c r="AN17" s="64">
        <v>71</v>
      </c>
      <c r="AO17" s="337">
        <f t="shared" si="21"/>
        <v>2130</v>
      </c>
      <c r="AP17" s="64">
        <v>71</v>
      </c>
      <c r="AQ17" s="337">
        <f t="shared" si="22"/>
        <v>2130</v>
      </c>
      <c r="AR17" s="64">
        <v>74</v>
      </c>
      <c r="AS17" s="337">
        <f t="shared" si="31"/>
        <v>2220</v>
      </c>
      <c r="AT17" s="337">
        <f t="shared" si="32"/>
        <v>6480</v>
      </c>
      <c r="AU17" s="337">
        <f t="shared" si="33"/>
        <v>240</v>
      </c>
      <c r="AV17" s="276"/>
      <c r="AW17" s="276"/>
      <c r="AX17" s="330">
        <f t="shared" si="23"/>
        <v>0.7</v>
      </c>
    </row>
    <row r="18" spans="1:50">
      <c r="A18" s="63">
        <v>43844</v>
      </c>
      <c r="B18" s="64">
        <v>208</v>
      </c>
      <c r="C18" s="64">
        <v>214</v>
      </c>
      <c r="D18" s="45">
        <f t="shared" si="0"/>
        <v>-55</v>
      </c>
      <c r="E18" s="45">
        <f t="shared" si="10"/>
        <v>-460.90000000000003</v>
      </c>
      <c r="F18" s="64">
        <v>1323</v>
      </c>
      <c r="G18" s="52">
        <f t="shared" si="1"/>
        <v>4</v>
      </c>
      <c r="H18" s="64">
        <v>331908</v>
      </c>
      <c r="I18" s="419">
        <f t="shared" si="2"/>
        <v>323</v>
      </c>
      <c r="J18" s="66">
        <f t="shared" si="11"/>
        <v>80.75</v>
      </c>
      <c r="K18" s="64">
        <v>1712</v>
      </c>
      <c r="L18" s="52">
        <f t="shared" si="3"/>
        <v>1</v>
      </c>
      <c r="M18" s="64">
        <v>124752</v>
      </c>
      <c r="N18" s="419">
        <f t="shared" si="4"/>
        <v>120</v>
      </c>
      <c r="O18" s="67">
        <f t="shared" si="5"/>
        <v>77.635416666666671</v>
      </c>
      <c r="P18" s="64">
        <v>1542</v>
      </c>
      <c r="Q18" s="64">
        <v>133071</v>
      </c>
      <c r="R18" s="418">
        <f t="shared" si="35"/>
        <v>17</v>
      </c>
      <c r="S18" s="52">
        <f t="shared" si="12"/>
        <v>1</v>
      </c>
      <c r="T18" s="68">
        <f t="shared" si="26"/>
        <v>0</v>
      </c>
      <c r="U18" s="425">
        <f t="shared" si="13"/>
        <v>6</v>
      </c>
      <c r="V18" s="62">
        <f t="shared" si="14"/>
        <v>460</v>
      </c>
      <c r="W18" s="423"/>
      <c r="X18" s="64">
        <v>2320</v>
      </c>
      <c r="Y18" s="52">
        <f t="shared" si="16"/>
        <v>0</v>
      </c>
      <c r="Z18" s="64">
        <v>130593</v>
      </c>
      <c r="AA18" s="65">
        <f t="shared" si="7"/>
        <v>0</v>
      </c>
      <c r="AB18" s="296">
        <f t="shared" ref="AB18:AB23" si="38">SUM(Y18*$AB$2)</f>
        <v>0</v>
      </c>
      <c r="AC18" s="64">
        <v>1759</v>
      </c>
      <c r="AD18" s="45">
        <f t="shared" si="8"/>
        <v>10</v>
      </c>
      <c r="AE18" s="64">
        <v>355340.6</v>
      </c>
      <c r="AF18" s="323">
        <f t="shared" si="17"/>
        <v>426.59999999997672</v>
      </c>
      <c r="AG18" s="213">
        <f t="shared" si="29"/>
        <v>42.659999999997673</v>
      </c>
      <c r="AH18" s="62">
        <f t="shared" si="30"/>
        <v>426.59999999997672</v>
      </c>
      <c r="AI18" s="335">
        <f t="shared" si="18"/>
        <v>886.59999999997672</v>
      </c>
      <c r="AJ18" s="335">
        <f>-tanks!AW19</f>
        <v>886.59999999997672</v>
      </c>
      <c r="AK18" s="335">
        <f t="shared" si="19"/>
        <v>0</v>
      </c>
      <c r="AL18" s="335">
        <f t="shared" si="9"/>
        <v>6</v>
      </c>
      <c r="AM18" s="335">
        <f t="shared" si="20"/>
        <v>10</v>
      </c>
      <c r="AN18" s="64">
        <v>69</v>
      </c>
      <c r="AO18" s="337">
        <f t="shared" si="21"/>
        <v>2070</v>
      </c>
      <c r="AP18" s="64">
        <v>69</v>
      </c>
      <c r="AQ18" s="337">
        <f t="shared" si="22"/>
        <v>2070</v>
      </c>
      <c r="AR18" s="64">
        <v>71</v>
      </c>
      <c r="AS18" s="337">
        <f t="shared" si="31"/>
        <v>2130</v>
      </c>
      <c r="AT18" s="337">
        <f t="shared" si="32"/>
        <v>6270</v>
      </c>
      <c r="AU18" s="337">
        <f t="shared" si="33"/>
        <v>210</v>
      </c>
      <c r="AV18" s="276"/>
      <c r="AW18" s="276"/>
      <c r="AX18" s="330">
        <f t="shared" si="23"/>
        <v>0.7</v>
      </c>
    </row>
    <row r="19" spans="1:50">
      <c r="A19" s="63">
        <v>43845</v>
      </c>
      <c r="B19" s="64">
        <v>201</v>
      </c>
      <c r="C19" s="64">
        <v>207</v>
      </c>
      <c r="D19" s="45">
        <f t="shared" si="0"/>
        <v>7</v>
      </c>
      <c r="E19" s="45">
        <f t="shared" si="10"/>
        <v>58.660000000000004</v>
      </c>
      <c r="F19" s="64">
        <v>1324</v>
      </c>
      <c r="G19" s="52">
        <f t="shared" si="1"/>
        <v>1</v>
      </c>
      <c r="H19" s="64">
        <v>331958</v>
      </c>
      <c r="I19" s="419">
        <f t="shared" si="2"/>
        <v>50</v>
      </c>
      <c r="J19" s="66">
        <f t="shared" si="11"/>
        <v>50</v>
      </c>
      <c r="K19" s="64">
        <v>1715</v>
      </c>
      <c r="L19" s="52">
        <f t="shared" si="3"/>
        <v>3</v>
      </c>
      <c r="M19" s="64">
        <v>124996</v>
      </c>
      <c r="N19" s="419">
        <f t="shared" si="4"/>
        <v>244</v>
      </c>
      <c r="O19" s="67">
        <f t="shared" si="5"/>
        <v>232.90625</v>
      </c>
      <c r="P19" s="64">
        <v>1545</v>
      </c>
      <c r="Q19" s="64">
        <v>133365</v>
      </c>
      <c r="R19" s="418">
        <f t="shared" si="35"/>
        <v>294</v>
      </c>
      <c r="S19" s="52">
        <f t="shared" si="12"/>
        <v>3</v>
      </c>
      <c r="T19" s="68">
        <f t="shared" si="26"/>
        <v>0</v>
      </c>
      <c r="U19" s="425">
        <f t="shared" si="13"/>
        <v>7</v>
      </c>
      <c r="V19" s="62">
        <f t="shared" si="14"/>
        <v>588</v>
      </c>
      <c r="W19" s="423"/>
      <c r="X19" s="64">
        <v>2320</v>
      </c>
      <c r="Y19" s="52">
        <f t="shared" si="16"/>
        <v>0</v>
      </c>
      <c r="Z19" s="64">
        <v>130593</v>
      </c>
      <c r="AA19" s="65">
        <f t="shared" si="7"/>
        <v>0</v>
      </c>
      <c r="AB19" s="296">
        <f t="shared" si="38"/>
        <v>0</v>
      </c>
      <c r="AC19" s="64">
        <v>1762</v>
      </c>
      <c r="AD19" s="45">
        <f t="shared" si="8"/>
        <v>3</v>
      </c>
      <c r="AE19" s="64">
        <v>355515.2</v>
      </c>
      <c r="AF19" s="323">
        <f t="shared" si="17"/>
        <v>174.60000000003492</v>
      </c>
      <c r="AG19" s="213">
        <f t="shared" si="29"/>
        <v>58.200000000011642</v>
      </c>
      <c r="AH19" s="62">
        <f t="shared" si="30"/>
        <v>174.60000000003492</v>
      </c>
      <c r="AI19" s="335">
        <f t="shared" si="18"/>
        <v>762.60000000003492</v>
      </c>
      <c r="AJ19" s="335">
        <f>-tanks!AW20</f>
        <v>762.60000000003492</v>
      </c>
      <c r="AK19" s="335">
        <f t="shared" si="19"/>
        <v>0</v>
      </c>
      <c r="AL19" s="335">
        <f>S19+L20+G19</f>
        <v>4</v>
      </c>
      <c r="AM19" s="335">
        <f t="shared" si="20"/>
        <v>3</v>
      </c>
      <c r="AN19" s="64">
        <v>67</v>
      </c>
      <c r="AO19" s="337">
        <f t="shared" si="21"/>
        <v>2010.0000000000002</v>
      </c>
      <c r="AP19" s="64">
        <v>67</v>
      </c>
      <c r="AQ19" s="337">
        <f t="shared" si="22"/>
        <v>2010.0000000000002</v>
      </c>
      <c r="AR19" s="64">
        <v>69</v>
      </c>
      <c r="AS19" s="337">
        <f t="shared" si="31"/>
        <v>2070</v>
      </c>
      <c r="AT19" s="337">
        <f t="shared" si="32"/>
        <v>6090</v>
      </c>
      <c r="AU19" s="337">
        <f t="shared" si="33"/>
        <v>180</v>
      </c>
      <c r="AV19" s="276"/>
      <c r="AW19" s="276"/>
      <c r="AX19" s="330">
        <f t="shared" si="23"/>
        <v>0.7</v>
      </c>
    </row>
    <row r="20" spans="1:50">
      <c r="A20" s="63">
        <v>43846</v>
      </c>
      <c r="B20" s="64">
        <v>223</v>
      </c>
      <c r="C20" s="64">
        <v>229</v>
      </c>
      <c r="D20" s="45">
        <f>C19-C20</f>
        <v>-22</v>
      </c>
      <c r="E20" s="45">
        <f t="shared" si="10"/>
        <v>-184.36</v>
      </c>
      <c r="F20" s="64">
        <v>1327</v>
      </c>
      <c r="G20" s="52">
        <f t="shared" si="1"/>
        <v>3</v>
      </c>
      <c r="H20" s="64">
        <v>332212</v>
      </c>
      <c r="I20" s="419">
        <f t="shared" si="2"/>
        <v>254</v>
      </c>
      <c r="J20" s="66">
        <f t="shared" si="11"/>
        <v>84.666666666666671</v>
      </c>
      <c r="K20" s="64">
        <v>1715</v>
      </c>
      <c r="L20" s="52">
        <f t="shared" si="3"/>
        <v>0</v>
      </c>
      <c r="M20" s="64">
        <f t="shared" si="25"/>
        <v>124996</v>
      </c>
      <c r="N20" s="419">
        <f t="shared" si="4"/>
        <v>0</v>
      </c>
      <c r="O20" s="67">
        <f t="shared" si="5"/>
        <v>0</v>
      </c>
      <c r="P20" s="64">
        <v>1548</v>
      </c>
      <c r="Q20" s="64">
        <v>133595</v>
      </c>
      <c r="R20" s="418">
        <f t="shared" si="35"/>
        <v>230</v>
      </c>
      <c r="S20" s="52">
        <f t="shared" si="12"/>
        <v>3</v>
      </c>
      <c r="T20" s="68">
        <f t="shared" si="26"/>
        <v>0</v>
      </c>
      <c r="U20" s="425">
        <f t="shared" si="13"/>
        <v>6</v>
      </c>
      <c r="V20" s="62">
        <f t="shared" si="14"/>
        <v>484</v>
      </c>
      <c r="W20" s="423"/>
      <c r="X20" s="64">
        <f t="shared" si="27"/>
        <v>2320</v>
      </c>
      <c r="Y20" s="52">
        <f t="shared" si="16"/>
        <v>0</v>
      </c>
      <c r="Z20" s="64">
        <f t="shared" si="27"/>
        <v>130593</v>
      </c>
      <c r="AA20" s="65">
        <f t="shared" si="7"/>
        <v>0</v>
      </c>
      <c r="AB20" s="296">
        <f t="shared" si="38"/>
        <v>0</v>
      </c>
      <c r="AC20" s="64">
        <f t="shared" si="34"/>
        <v>1762</v>
      </c>
      <c r="AD20" s="45">
        <f t="shared" si="8"/>
        <v>0</v>
      </c>
      <c r="AE20" s="64">
        <f t="shared" si="34"/>
        <v>355515.2</v>
      </c>
      <c r="AF20" s="323">
        <f t="shared" si="17"/>
        <v>0</v>
      </c>
      <c r="AG20" s="213">
        <f t="shared" si="29"/>
        <v>0</v>
      </c>
      <c r="AH20" s="62">
        <f t="shared" si="30"/>
        <v>0</v>
      </c>
      <c r="AI20" s="335">
        <f t="shared" si="18"/>
        <v>484</v>
      </c>
      <c r="AJ20" s="335">
        <f>-tanks!AW21</f>
        <v>484</v>
      </c>
      <c r="AK20" s="335">
        <f t="shared" si="19"/>
        <v>0</v>
      </c>
      <c r="AL20" s="335">
        <f>S20+L21+G20</f>
        <v>10</v>
      </c>
      <c r="AM20" s="335">
        <f t="shared" si="20"/>
        <v>0</v>
      </c>
      <c r="AN20" s="64">
        <v>79</v>
      </c>
      <c r="AO20" s="337">
        <f t="shared" si="21"/>
        <v>2370</v>
      </c>
      <c r="AP20" s="64">
        <v>79</v>
      </c>
      <c r="AQ20" s="337">
        <f t="shared" si="22"/>
        <v>2370</v>
      </c>
      <c r="AR20" s="64">
        <v>82</v>
      </c>
      <c r="AS20" s="337">
        <f t="shared" si="31"/>
        <v>2460</v>
      </c>
      <c r="AT20" s="337">
        <f t="shared" si="32"/>
        <v>7200</v>
      </c>
      <c r="AU20" s="337">
        <f t="shared" si="33"/>
        <v>290</v>
      </c>
      <c r="AV20" s="276">
        <v>1400</v>
      </c>
      <c r="AW20" s="276">
        <v>0.7</v>
      </c>
      <c r="AX20" s="330">
        <f t="shared" si="23"/>
        <v>0.7</v>
      </c>
    </row>
    <row r="21" spans="1:50">
      <c r="A21" s="63">
        <v>43847</v>
      </c>
      <c r="B21" s="64">
        <v>219</v>
      </c>
      <c r="C21" s="64">
        <v>225</v>
      </c>
      <c r="D21" s="45">
        <f t="shared" si="0"/>
        <v>4</v>
      </c>
      <c r="E21" s="45">
        <f t="shared" si="10"/>
        <v>33.520000000000003</v>
      </c>
      <c r="F21" s="64">
        <v>1330</v>
      </c>
      <c r="G21" s="52">
        <f t="shared" si="1"/>
        <v>3</v>
      </c>
      <c r="H21" s="64">
        <v>332480</v>
      </c>
      <c r="I21" s="419">
        <f t="shared" si="2"/>
        <v>268</v>
      </c>
      <c r="J21" s="66">
        <f t="shared" si="11"/>
        <v>89.333333333333329</v>
      </c>
      <c r="K21" s="64">
        <v>1719</v>
      </c>
      <c r="L21" s="52">
        <f t="shared" si="3"/>
        <v>4</v>
      </c>
      <c r="M21" s="64">
        <v>125236</v>
      </c>
      <c r="N21" s="419">
        <f t="shared" si="4"/>
        <v>240</v>
      </c>
      <c r="O21" s="67">
        <f t="shared" si="5"/>
        <v>310.54166666666669</v>
      </c>
      <c r="P21" s="64">
        <v>1549</v>
      </c>
      <c r="Q21" s="64">
        <v>133617</v>
      </c>
      <c r="R21" s="418">
        <f t="shared" si="35"/>
        <v>22</v>
      </c>
      <c r="S21" s="52">
        <f t="shared" si="12"/>
        <v>1</v>
      </c>
      <c r="T21" s="68">
        <f t="shared" si="26"/>
        <v>0</v>
      </c>
      <c r="U21" s="425">
        <f t="shared" si="13"/>
        <v>8</v>
      </c>
      <c r="V21" s="62">
        <f t="shared" si="14"/>
        <v>530</v>
      </c>
      <c r="W21" s="423"/>
      <c r="X21" s="64">
        <f t="shared" si="27"/>
        <v>2320</v>
      </c>
      <c r="Y21" s="52">
        <f t="shared" si="16"/>
        <v>0</v>
      </c>
      <c r="Z21" s="64">
        <f t="shared" si="27"/>
        <v>130593</v>
      </c>
      <c r="AA21" s="65">
        <f t="shared" si="7"/>
        <v>0</v>
      </c>
      <c r="AB21" s="296">
        <f t="shared" si="38"/>
        <v>0</v>
      </c>
      <c r="AC21" s="64">
        <v>1771</v>
      </c>
      <c r="AD21" s="45">
        <f t="shared" si="8"/>
        <v>9</v>
      </c>
      <c r="AE21" s="64">
        <v>356012.3</v>
      </c>
      <c r="AF21" s="323">
        <f t="shared" si="17"/>
        <v>497.09999999997672</v>
      </c>
      <c r="AG21" s="213">
        <f t="shared" si="29"/>
        <v>55.233333333330748</v>
      </c>
      <c r="AH21" s="62">
        <f t="shared" si="30"/>
        <v>497.09999999997672</v>
      </c>
      <c r="AI21" s="335">
        <f t="shared" si="18"/>
        <v>1027.0999999999767</v>
      </c>
      <c r="AJ21" s="335">
        <f>-tanks!AW22</f>
        <v>1027.0999999999767</v>
      </c>
      <c r="AK21" s="335">
        <f t="shared" si="19"/>
        <v>0</v>
      </c>
      <c r="AL21" s="335">
        <f t="shared" ref="AL21:AL34" si="39">S21+L21+G21</f>
        <v>8</v>
      </c>
      <c r="AM21" s="335">
        <f t="shared" si="20"/>
        <v>9</v>
      </c>
      <c r="AN21" s="64">
        <v>78</v>
      </c>
      <c r="AO21" s="337">
        <f t="shared" si="21"/>
        <v>2340</v>
      </c>
      <c r="AP21" s="64">
        <v>78</v>
      </c>
      <c r="AQ21" s="337">
        <f t="shared" si="22"/>
        <v>2340</v>
      </c>
      <c r="AR21" s="64">
        <v>81</v>
      </c>
      <c r="AS21" s="337">
        <f t="shared" si="31"/>
        <v>2430</v>
      </c>
      <c r="AT21" s="337">
        <f t="shared" si="32"/>
        <v>7110</v>
      </c>
      <c r="AU21" s="337">
        <f t="shared" si="33"/>
        <v>90</v>
      </c>
      <c r="AV21" s="276"/>
      <c r="AW21" s="276"/>
      <c r="AX21" s="330">
        <f t="shared" si="23"/>
        <v>0.7</v>
      </c>
    </row>
    <row r="22" spans="1:50" ht="16.5" customHeight="1">
      <c r="A22" s="63">
        <v>43848</v>
      </c>
      <c r="B22" s="64">
        <v>211</v>
      </c>
      <c r="C22" s="64">
        <v>218</v>
      </c>
      <c r="D22" s="45">
        <f t="shared" si="0"/>
        <v>7</v>
      </c>
      <c r="E22" s="45">
        <f t="shared" si="10"/>
        <v>58.660000000000004</v>
      </c>
      <c r="F22" s="64">
        <f t="shared" si="24"/>
        <v>1330</v>
      </c>
      <c r="G22" s="52">
        <f t="shared" si="1"/>
        <v>0</v>
      </c>
      <c r="H22" s="64">
        <f t="shared" si="24"/>
        <v>332480</v>
      </c>
      <c r="I22" s="419">
        <f t="shared" si="2"/>
        <v>0</v>
      </c>
      <c r="J22" s="66">
        <f t="shared" si="11"/>
        <v>0</v>
      </c>
      <c r="K22" s="64">
        <v>1722</v>
      </c>
      <c r="L22" s="52">
        <f t="shared" si="3"/>
        <v>3</v>
      </c>
      <c r="M22" s="64">
        <v>125525</v>
      </c>
      <c r="N22" s="419">
        <f t="shared" si="4"/>
        <v>289</v>
      </c>
      <c r="O22" s="67">
        <f t="shared" si="5"/>
        <v>232.90625</v>
      </c>
      <c r="P22" s="64">
        <v>1552</v>
      </c>
      <c r="Q22" s="64">
        <v>133894</v>
      </c>
      <c r="R22" s="418">
        <f t="shared" si="35"/>
        <v>277</v>
      </c>
      <c r="S22" s="52">
        <f t="shared" si="12"/>
        <v>3</v>
      </c>
      <c r="T22" s="68">
        <f t="shared" si="26"/>
        <v>0</v>
      </c>
      <c r="U22" s="425">
        <f t="shared" si="13"/>
        <v>6</v>
      </c>
      <c r="V22" s="62">
        <f t="shared" si="14"/>
        <v>566</v>
      </c>
      <c r="W22" s="423"/>
      <c r="X22" s="64">
        <v>2320</v>
      </c>
      <c r="Y22" s="52">
        <f t="shared" si="16"/>
        <v>0</v>
      </c>
      <c r="Z22" s="64">
        <f t="shared" si="27"/>
        <v>130593</v>
      </c>
      <c r="AA22" s="65">
        <f t="shared" si="7"/>
        <v>0</v>
      </c>
      <c r="AB22" s="296">
        <f t="shared" si="38"/>
        <v>0</v>
      </c>
      <c r="AC22" s="64">
        <f t="shared" si="34"/>
        <v>1771</v>
      </c>
      <c r="AD22" s="45">
        <f t="shared" si="8"/>
        <v>0</v>
      </c>
      <c r="AE22" s="64">
        <f t="shared" si="34"/>
        <v>356012.3</v>
      </c>
      <c r="AF22" s="323">
        <f t="shared" si="17"/>
        <v>0</v>
      </c>
      <c r="AG22" s="213">
        <f t="shared" si="29"/>
        <v>0</v>
      </c>
      <c r="AH22" s="62">
        <f t="shared" si="30"/>
        <v>0</v>
      </c>
      <c r="AI22" s="335">
        <f t="shared" si="18"/>
        <v>566</v>
      </c>
      <c r="AJ22" s="335">
        <f>-tanks!AW23</f>
        <v>566</v>
      </c>
      <c r="AK22" s="335">
        <f t="shared" si="19"/>
        <v>0</v>
      </c>
      <c r="AL22" s="335">
        <f t="shared" si="39"/>
        <v>6</v>
      </c>
      <c r="AM22" s="335">
        <f t="shared" si="20"/>
        <v>0</v>
      </c>
      <c r="AN22" s="64">
        <v>76</v>
      </c>
      <c r="AO22" s="337">
        <f t="shared" si="21"/>
        <v>2280</v>
      </c>
      <c r="AP22" s="64">
        <v>77</v>
      </c>
      <c r="AQ22" s="337">
        <f t="shared" si="22"/>
        <v>2310</v>
      </c>
      <c r="AR22" s="64">
        <v>79</v>
      </c>
      <c r="AS22" s="337">
        <f t="shared" si="31"/>
        <v>2370</v>
      </c>
      <c r="AT22" s="337">
        <f t="shared" si="32"/>
        <v>6960</v>
      </c>
      <c r="AU22" s="337">
        <f t="shared" si="33"/>
        <v>150</v>
      </c>
      <c r="AV22" s="276"/>
      <c r="AW22" s="276"/>
      <c r="AX22" s="330">
        <f t="shared" si="23"/>
        <v>0.7</v>
      </c>
    </row>
    <row r="23" spans="1:50">
      <c r="A23" s="63">
        <v>43849</v>
      </c>
      <c r="B23" s="64">
        <v>208</v>
      </c>
      <c r="C23" s="64">
        <v>214</v>
      </c>
      <c r="D23" s="45">
        <f t="shared" si="0"/>
        <v>4</v>
      </c>
      <c r="E23" s="45">
        <f t="shared" si="10"/>
        <v>33.520000000000003</v>
      </c>
      <c r="F23" s="64">
        <v>1332</v>
      </c>
      <c r="G23" s="52">
        <f t="shared" si="1"/>
        <v>2</v>
      </c>
      <c r="H23" s="64">
        <v>332630</v>
      </c>
      <c r="I23" s="419">
        <f t="shared" si="2"/>
        <v>150</v>
      </c>
      <c r="J23" s="66">
        <f t="shared" si="11"/>
        <v>75</v>
      </c>
      <c r="K23" s="64">
        <v>1722</v>
      </c>
      <c r="L23" s="52">
        <f t="shared" si="3"/>
        <v>0</v>
      </c>
      <c r="M23" s="64">
        <v>125525</v>
      </c>
      <c r="N23" s="419">
        <f t="shared" si="4"/>
        <v>0</v>
      </c>
      <c r="O23" s="67">
        <f t="shared" si="5"/>
        <v>0</v>
      </c>
      <c r="P23" s="64">
        <v>1557</v>
      </c>
      <c r="Q23" s="64">
        <v>134212</v>
      </c>
      <c r="R23" s="418">
        <f t="shared" si="35"/>
        <v>318</v>
      </c>
      <c r="S23" s="52">
        <f t="shared" si="12"/>
        <v>5</v>
      </c>
      <c r="T23" s="68">
        <f t="shared" si="26"/>
        <v>0</v>
      </c>
      <c r="U23" s="425">
        <f t="shared" si="13"/>
        <v>7</v>
      </c>
      <c r="V23" s="62">
        <f t="shared" si="14"/>
        <v>468</v>
      </c>
      <c r="W23" s="423"/>
      <c r="X23" s="64">
        <v>2320</v>
      </c>
      <c r="Y23" s="52">
        <f t="shared" si="16"/>
        <v>0</v>
      </c>
      <c r="Z23" s="64">
        <v>130593</v>
      </c>
      <c r="AA23" s="65">
        <f t="shared" si="7"/>
        <v>0</v>
      </c>
      <c r="AB23" s="296">
        <f t="shared" si="38"/>
        <v>0</v>
      </c>
      <c r="AC23" s="64">
        <v>1771</v>
      </c>
      <c r="AD23" s="45">
        <f t="shared" si="8"/>
        <v>0</v>
      </c>
      <c r="AE23" s="64">
        <v>356012.3</v>
      </c>
      <c r="AF23" s="323">
        <f t="shared" si="17"/>
        <v>0</v>
      </c>
      <c r="AG23" s="213">
        <f t="shared" si="29"/>
        <v>0</v>
      </c>
      <c r="AH23" s="62">
        <f t="shared" si="30"/>
        <v>0</v>
      </c>
      <c r="AI23" s="335">
        <f t="shared" si="18"/>
        <v>468</v>
      </c>
      <c r="AJ23" s="335">
        <f>-tanks!AW24</f>
        <v>468</v>
      </c>
      <c r="AK23" s="335">
        <f t="shared" si="19"/>
        <v>0</v>
      </c>
      <c r="AL23" s="335">
        <f t="shared" si="39"/>
        <v>7</v>
      </c>
      <c r="AM23" s="335">
        <f t="shared" si="20"/>
        <v>0</v>
      </c>
      <c r="AN23" s="64">
        <v>74</v>
      </c>
      <c r="AO23" s="337">
        <f t="shared" si="21"/>
        <v>2220</v>
      </c>
      <c r="AP23" s="64">
        <v>75</v>
      </c>
      <c r="AQ23" s="337">
        <f t="shared" si="22"/>
        <v>2250</v>
      </c>
      <c r="AR23" s="64">
        <v>78</v>
      </c>
      <c r="AS23" s="337">
        <f t="shared" si="31"/>
        <v>2340</v>
      </c>
      <c r="AT23" s="337">
        <f t="shared" si="32"/>
        <v>6810</v>
      </c>
      <c r="AU23" s="337">
        <f t="shared" si="33"/>
        <v>150</v>
      </c>
      <c r="AV23" s="276"/>
      <c r="AW23" s="276"/>
      <c r="AX23" s="330">
        <f t="shared" si="23"/>
        <v>0.7</v>
      </c>
    </row>
    <row r="24" spans="1:50">
      <c r="A24" s="63">
        <v>43850</v>
      </c>
      <c r="B24" s="64">
        <v>204</v>
      </c>
      <c r="C24" s="64">
        <v>210</v>
      </c>
      <c r="D24" s="45">
        <f t="shared" si="0"/>
        <v>4</v>
      </c>
      <c r="E24" s="45">
        <f t="shared" si="10"/>
        <v>33.520000000000003</v>
      </c>
      <c r="F24" s="64">
        <v>1335</v>
      </c>
      <c r="G24" s="52">
        <f t="shared" si="1"/>
        <v>3</v>
      </c>
      <c r="H24" s="64">
        <v>332863</v>
      </c>
      <c r="I24" s="419">
        <f t="shared" si="2"/>
        <v>233</v>
      </c>
      <c r="J24" s="66">
        <f t="shared" si="11"/>
        <v>77.666666666666671</v>
      </c>
      <c r="K24" s="64">
        <v>1727</v>
      </c>
      <c r="L24" s="52">
        <f t="shared" si="3"/>
        <v>5</v>
      </c>
      <c r="M24" s="64">
        <v>125847</v>
      </c>
      <c r="N24" s="419">
        <f t="shared" si="4"/>
        <v>322</v>
      </c>
      <c r="O24" s="67">
        <f t="shared" si="5"/>
        <v>388.17708333333337</v>
      </c>
      <c r="P24" s="64">
        <f t="shared" si="36"/>
        <v>1557</v>
      </c>
      <c r="Q24" s="64">
        <f t="shared" si="36"/>
        <v>134212</v>
      </c>
      <c r="R24" s="418">
        <f t="shared" si="35"/>
        <v>0</v>
      </c>
      <c r="S24" s="52">
        <f t="shared" ref="S24:S33" si="40">SUM(P24-P23)</f>
        <v>0</v>
      </c>
      <c r="T24" s="68">
        <f t="shared" si="26"/>
        <v>0</v>
      </c>
      <c r="U24" s="425">
        <f t="shared" si="13"/>
        <v>8</v>
      </c>
      <c r="V24" s="62">
        <f t="shared" si="14"/>
        <v>555</v>
      </c>
      <c r="W24" s="423"/>
      <c r="X24" s="64">
        <f t="shared" si="27"/>
        <v>2320</v>
      </c>
      <c r="Y24" s="52">
        <f t="shared" si="16"/>
        <v>0</v>
      </c>
      <c r="Z24" s="64">
        <f t="shared" si="27"/>
        <v>130593</v>
      </c>
      <c r="AA24" s="65">
        <f t="shared" si="7"/>
        <v>0</v>
      </c>
      <c r="AB24" s="296">
        <f t="shared" ref="AB24:AB34" si="41">SUM(Y24*$AB$2)</f>
        <v>0</v>
      </c>
      <c r="AC24" s="64">
        <f t="shared" si="34"/>
        <v>1771</v>
      </c>
      <c r="AD24" s="45">
        <f t="shared" si="8"/>
        <v>0</v>
      </c>
      <c r="AE24" s="64">
        <f t="shared" si="34"/>
        <v>356012.3</v>
      </c>
      <c r="AF24" s="323">
        <f t="shared" si="17"/>
        <v>0</v>
      </c>
      <c r="AG24" s="213">
        <f t="shared" si="29"/>
        <v>0</v>
      </c>
      <c r="AH24" s="62">
        <f t="shared" si="30"/>
        <v>0</v>
      </c>
      <c r="AI24" s="335">
        <f t="shared" si="18"/>
        <v>555</v>
      </c>
      <c r="AJ24" s="335">
        <f>-tanks!AW25</f>
        <v>555</v>
      </c>
      <c r="AK24" s="335">
        <f t="shared" si="19"/>
        <v>0</v>
      </c>
      <c r="AL24" s="335">
        <f t="shared" si="39"/>
        <v>8</v>
      </c>
      <c r="AM24" s="335">
        <f t="shared" si="20"/>
        <v>0</v>
      </c>
      <c r="AN24" s="64">
        <v>71</v>
      </c>
      <c r="AO24" s="337">
        <f t="shared" si="21"/>
        <v>2130</v>
      </c>
      <c r="AP24" s="64">
        <v>72</v>
      </c>
      <c r="AQ24" s="337">
        <f t="shared" si="22"/>
        <v>2160</v>
      </c>
      <c r="AR24" s="64">
        <v>76</v>
      </c>
      <c r="AS24" s="337">
        <f t="shared" si="31"/>
        <v>2280</v>
      </c>
      <c r="AT24" s="337">
        <f t="shared" ref="AT24:AT34" si="42">SUM(AO24+AQ24+AS24)</f>
        <v>6570</v>
      </c>
      <c r="AU24" s="337">
        <f t="shared" si="33"/>
        <v>240</v>
      </c>
      <c r="AV24" s="276"/>
      <c r="AW24" s="276"/>
      <c r="AX24" s="330">
        <f t="shared" si="23"/>
        <v>0.7</v>
      </c>
    </row>
    <row r="25" spans="1:50" ht="13.5" customHeight="1">
      <c r="A25" s="63">
        <v>43851</v>
      </c>
      <c r="B25" s="64">
        <v>198</v>
      </c>
      <c r="C25" s="64">
        <v>204</v>
      </c>
      <c r="D25" s="45">
        <f t="shared" si="0"/>
        <v>6</v>
      </c>
      <c r="E25" s="45">
        <f t="shared" si="10"/>
        <v>50.28</v>
      </c>
      <c r="F25" s="64">
        <v>1336</v>
      </c>
      <c r="G25" s="52">
        <f t="shared" si="1"/>
        <v>1</v>
      </c>
      <c r="H25" s="64">
        <v>332987</v>
      </c>
      <c r="I25" s="419">
        <f t="shared" si="2"/>
        <v>124</v>
      </c>
      <c r="J25" s="66">
        <f t="shared" si="11"/>
        <v>124</v>
      </c>
      <c r="K25" s="64">
        <v>1732</v>
      </c>
      <c r="L25" s="52">
        <f t="shared" si="3"/>
        <v>5</v>
      </c>
      <c r="M25" s="64">
        <v>126286</v>
      </c>
      <c r="N25" s="419">
        <f t="shared" si="4"/>
        <v>439</v>
      </c>
      <c r="O25" s="67">
        <f t="shared" si="5"/>
        <v>388.17708333333337</v>
      </c>
      <c r="P25" s="64">
        <v>1561</v>
      </c>
      <c r="Q25" s="64">
        <v>134546</v>
      </c>
      <c r="R25" s="418">
        <f t="shared" si="35"/>
        <v>334</v>
      </c>
      <c r="S25" s="52">
        <f t="shared" si="40"/>
        <v>4</v>
      </c>
      <c r="T25" s="68">
        <f t="shared" si="26"/>
        <v>0</v>
      </c>
      <c r="U25" s="425">
        <f t="shared" si="13"/>
        <v>10</v>
      </c>
      <c r="V25" s="62">
        <f t="shared" si="14"/>
        <v>897</v>
      </c>
      <c r="W25" s="423"/>
      <c r="X25" s="64">
        <f t="shared" si="27"/>
        <v>2320</v>
      </c>
      <c r="Y25" s="52">
        <f t="shared" si="16"/>
        <v>0</v>
      </c>
      <c r="Z25" s="64">
        <f t="shared" si="27"/>
        <v>130593</v>
      </c>
      <c r="AA25" s="65">
        <f t="shared" si="7"/>
        <v>0</v>
      </c>
      <c r="AB25" s="296">
        <f t="shared" si="41"/>
        <v>0</v>
      </c>
      <c r="AC25" s="64">
        <v>1778</v>
      </c>
      <c r="AD25" s="45">
        <f t="shared" si="8"/>
        <v>7</v>
      </c>
      <c r="AE25" s="64">
        <v>356430</v>
      </c>
      <c r="AF25" s="323">
        <f t="shared" si="17"/>
        <v>417.70000000001164</v>
      </c>
      <c r="AG25" s="213">
        <f t="shared" si="29"/>
        <v>59.671428571430233</v>
      </c>
      <c r="AH25" s="62">
        <f t="shared" si="30"/>
        <v>417.70000000001164</v>
      </c>
      <c r="AI25" s="335">
        <f t="shared" si="18"/>
        <v>1314.7000000000116</v>
      </c>
      <c r="AJ25" s="335">
        <f>-tanks!AW26</f>
        <v>1314.7000000000116</v>
      </c>
      <c r="AK25" s="335">
        <f t="shared" si="19"/>
        <v>0</v>
      </c>
      <c r="AL25" s="335">
        <f t="shared" si="39"/>
        <v>10</v>
      </c>
      <c r="AM25" s="335">
        <f t="shared" si="20"/>
        <v>7</v>
      </c>
      <c r="AN25" s="64">
        <v>70</v>
      </c>
      <c r="AO25" s="337">
        <f t="shared" si="21"/>
        <v>2100</v>
      </c>
      <c r="AP25" s="64">
        <v>71</v>
      </c>
      <c r="AQ25" s="337">
        <f t="shared" ref="AQ25:AQ34" si="43">(AP25/100)*3000</f>
        <v>2130</v>
      </c>
      <c r="AR25" s="64">
        <v>75</v>
      </c>
      <c r="AS25" s="337">
        <f t="shared" si="31"/>
        <v>2250</v>
      </c>
      <c r="AT25" s="337">
        <f t="shared" si="42"/>
        <v>6480</v>
      </c>
      <c r="AU25" s="337">
        <f t="shared" si="33"/>
        <v>90</v>
      </c>
      <c r="AV25" s="276"/>
      <c r="AW25" s="276"/>
      <c r="AX25" s="330">
        <f t="shared" si="23"/>
        <v>0.7</v>
      </c>
    </row>
    <row r="26" spans="1:50" ht="14.25" customHeight="1">
      <c r="A26" s="63">
        <v>43852</v>
      </c>
      <c r="B26" s="64">
        <v>249</v>
      </c>
      <c r="C26" s="64">
        <v>255</v>
      </c>
      <c r="D26" s="45">
        <f t="shared" si="0"/>
        <v>-51</v>
      </c>
      <c r="E26" s="45">
        <f t="shared" si="10"/>
        <v>-427.38000000000005</v>
      </c>
      <c r="F26" s="64">
        <v>1340</v>
      </c>
      <c r="G26" s="52">
        <f t="shared" si="1"/>
        <v>4</v>
      </c>
      <c r="H26" s="64">
        <v>333257</v>
      </c>
      <c r="I26" s="419">
        <f t="shared" si="2"/>
        <v>270</v>
      </c>
      <c r="J26" s="66">
        <f t="shared" si="11"/>
        <v>67.5</v>
      </c>
      <c r="K26" s="64">
        <v>1732</v>
      </c>
      <c r="L26" s="52">
        <f t="shared" si="3"/>
        <v>0</v>
      </c>
      <c r="M26" s="64">
        <v>126286</v>
      </c>
      <c r="N26" s="419">
        <f t="shared" si="4"/>
        <v>0</v>
      </c>
      <c r="O26" s="67">
        <f t="shared" si="5"/>
        <v>0</v>
      </c>
      <c r="P26" s="64">
        <v>1565</v>
      </c>
      <c r="Q26" s="64">
        <v>134855</v>
      </c>
      <c r="R26" s="418">
        <f t="shared" si="35"/>
        <v>309</v>
      </c>
      <c r="S26" s="52">
        <f t="shared" si="40"/>
        <v>4</v>
      </c>
      <c r="T26" s="68">
        <f t="shared" si="26"/>
        <v>0</v>
      </c>
      <c r="U26" s="425">
        <f t="shared" si="13"/>
        <v>8</v>
      </c>
      <c r="V26" s="62">
        <f t="shared" si="14"/>
        <v>579</v>
      </c>
      <c r="W26" s="423"/>
      <c r="X26" s="64">
        <v>2320</v>
      </c>
      <c r="Y26" s="52">
        <f t="shared" si="16"/>
        <v>0</v>
      </c>
      <c r="Z26" s="64">
        <v>130593</v>
      </c>
      <c r="AA26" s="65">
        <f t="shared" si="7"/>
        <v>0</v>
      </c>
      <c r="AB26" s="296">
        <f t="shared" si="41"/>
        <v>0</v>
      </c>
      <c r="AC26" s="64">
        <v>1778</v>
      </c>
      <c r="AD26" s="45">
        <f t="shared" si="8"/>
        <v>0</v>
      </c>
      <c r="AE26" s="64">
        <v>356430</v>
      </c>
      <c r="AF26" s="323">
        <f t="shared" si="17"/>
        <v>0</v>
      </c>
      <c r="AG26" s="213">
        <f t="shared" si="29"/>
        <v>0</v>
      </c>
      <c r="AH26" s="62">
        <f t="shared" si="30"/>
        <v>0</v>
      </c>
      <c r="AI26" s="335">
        <f t="shared" si="18"/>
        <v>579</v>
      </c>
      <c r="AJ26" s="335">
        <f>-tanks!AW27</f>
        <v>579</v>
      </c>
      <c r="AK26" s="335">
        <f t="shared" si="19"/>
        <v>0</v>
      </c>
      <c r="AL26" s="335">
        <f t="shared" si="39"/>
        <v>8</v>
      </c>
      <c r="AM26" s="335">
        <f t="shared" si="20"/>
        <v>0</v>
      </c>
      <c r="AN26" s="64">
        <v>69</v>
      </c>
      <c r="AO26" s="337">
        <f t="shared" si="21"/>
        <v>2070</v>
      </c>
      <c r="AP26" s="64">
        <v>70</v>
      </c>
      <c r="AQ26" s="337">
        <f t="shared" si="43"/>
        <v>2100</v>
      </c>
      <c r="AR26" s="64">
        <v>72</v>
      </c>
      <c r="AS26" s="337">
        <f t="shared" si="31"/>
        <v>2160</v>
      </c>
      <c r="AT26" s="337">
        <f t="shared" si="42"/>
        <v>6330</v>
      </c>
      <c r="AU26" s="337">
        <f t="shared" si="33"/>
        <v>150</v>
      </c>
      <c r="AV26" s="276"/>
      <c r="AW26" s="276"/>
      <c r="AX26" s="330">
        <f t="shared" si="23"/>
        <v>0.7</v>
      </c>
    </row>
    <row r="27" spans="1:50">
      <c r="A27" s="63">
        <v>43853</v>
      </c>
      <c r="B27" s="64">
        <v>245</v>
      </c>
      <c r="C27" s="64">
        <v>252</v>
      </c>
      <c r="D27" s="45">
        <f t="shared" si="0"/>
        <v>3</v>
      </c>
      <c r="E27" s="45">
        <f t="shared" si="10"/>
        <v>25.14</v>
      </c>
      <c r="F27" s="64">
        <v>1344</v>
      </c>
      <c r="G27" s="52">
        <f t="shared" si="1"/>
        <v>4</v>
      </c>
      <c r="H27" s="64">
        <v>333585</v>
      </c>
      <c r="I27" s="419">
        <f t="shared" si="2"/>
        <v>328</v>
      </c>
      <c r="J27" s="66">
        <f t="shared" si="11"/>
        <v>82</v>
      </c>
      <c r="K27" s="64">
        <v>1737</v>
      </c>
      <c r="L27" s="52">
        <f t="shared" si="3"/>
        <v>5</v>
      </c>
      <c r="M27" s="64">
        <v>126604</v>
      </c>
      <c r="N27" s="419">
        <f t="shared" si="4"/>
        <v>318</v>
      </c>
      <c r="O27" s="67">
        <f t="shared" si="5"/>
        <v>388.17708333333337</v>
      </c>
      <c r="P27" s="64">
        <f t="shared" si="36"/>
        <v>1565</v>
      </c>
      <c r="Q27" s="64">
        <f t="shared" si="36"/>
        <v>134855</v>
      </c>
      <c r="R27" s="418">
        <f t="shared" si="35"/>
        <v>0</v>
      </c>
      <c r="S27" s="52">
        <f t="shared" si="40"/>
        <v>0</v>
      </c>
      <c r="T27" s="68">
        <f t="shared" si="26"/>
        <v>0</v>
      </c>
      <c r="U27" s="425">
        <f t="shared" si="13"/>
        <v>9</v>
      </c>
      <c r="V27" s="62">
        <f t="shared" si="14"/>
        <v>646</v>
      </c>
      <c r="W27" s="423"/>
      <c r="X27" s="64">
        <f t="shared" si="27"/>
        <v>2320</v>
      </c>
      <c r="Y27" s="52">
        <f t="shared" si="16"/>
        <v>0</v>
      </c>
      <c r="Z27" s="64">
        <f t="shared" si="27"/>
        <v>130593</v>
      </c>
      <c r="AA27" s="65">
        <f t="shared" si="7"/>
        <v>0</v>
      </c>
      <c r="AB27" s="296">
        <f t="shared" si="41"/>
        <v>0</v>
      </c>
      <c r="AC27" s="64">
        <f t="shared" si="34"/>
        <v>1778</v>
      </c>
      <c r="AD27" s="45">
        <f t="shared" si="8"/>
        <v>0</v>
      </c>
      <c r="AE27" s="64">
        <f t="shared" si="34"/>
        <v>356430</v>
      </c>
      <c r="AF27" s="323">
        <f t="shared" si="17"/>
        <v>0</v>
      </c>
      <c r="AG27" s="213">
        <f t="shared" si="29"/>
        <v>0</v>
      </c>
      <c r="AH27" s="62">
        <f t="shared" si="30"/>
        <v>0</v>
      </c>
      <c r="AI27" s="335">
        <f t="shared" si="18"/>
        <v>646</v>
      </c>
      <c r="AJ27" s="335">
        <f>-tanks!AW28</f>
        <v>646</v>
      </c>
      <c r="AK27" s="335">
        <f t="shared" si="19"/>
        <v>0</v>
      </c>
      <c r="AL27" s="335">
        <f t="shared" si="39"/>
        <v>9</v>
      </c>
      <c r="AM27" s="335">
        <f t="shared" si="20"/>
        <v>0</v>
      </c>
      <c r="AN27" s="64">
        <v>82</v>
      </c>
      <c r="AO27" s="337">
        <f>(AN27/100)*3000</f>
        <v>2460</v>
      </c>
      <c r="AP27" s="64">
        <v>79</v>
      </c>
      <c r="AQ27" s="337">
        <f t="shared" si="43"/>
        <v>2370</v>
      </c>
      <c r="AR27" s="64">
        <v>81</v>
      </c>
      <c r="AS27" s="337">
        <f t="shared" si="31"/>
        <v>2430</v>
      </c>
      <c r="AT27" s="337">
        <f t="shared" si="42"/>
        <v>7260</v>
      </c>
      <c r="AU27" s="337">
        <f t="shared" si="33"/>
        <v>470</v>
      </c>
      <c r="AV27" s="276">
        <v>1400</v>
      </c>
      <c r="AW27" s="549">
        <v>0.7</v>
      </c>
      <c r="AX27" s="330">
        <f t="shared" si="23"/>
        <v>0.7</v>
      </c>
    </row>
    <row r="28" spans="1:50">
      <c r="A28" s="63">
        <v>43854</v>
      </c>
      <c r="B28" s="64">
        <v>241</v>
      </c>
      <c r="C28" s="64">
        <v>247</v>
      </c>
      <c r="D28" s="45">
        <f t="shared" si="0"/>
        <v>5</v>
      </c>
      <c r="E28" s="45">
        <f t="shared" si="10"/>
        <v>41.900000000000006</v>
      </c>
      <c r="F28" s="64">
        <v>1345</v>
      </c>
      <c r="G28" s="52">
        <f t="shared" si="1"/>
        <v>1</v>
      </c>
      <c r="H28" s="64">
        <v>333694</v>
      </c>
      <c r="I28" s="419">
        <f t="shared" si="2"/>
        <v>109</v>
      </c>
      <c r="J28" s="66">
        <f t="shared" si="11"/>
        <v>109</v>
      </c>
      <c r="K28" s="64">
        <v>1740</v>
      </c>
      <c r="L28" s="52">
        <f t="shared" si="3"/>
        <v>3</v>
      </c>
      <c r="M28" s="64">
        <v>126849</v>
      </c>
      <c r="N28" s="419">
        <f t="shared" si="4"/>
        <v>245</v>
      </c>
      <c r="O28" s="67">
        <f t="shared" si="5"/>
        <v>232.90625</v>
      </c>
      <c r="P28" s="64">
        <v>1569</v>
      </c>
      <c r="Q28" s="64">
        <v>135184</v>
      </c>
      <c r="R28" s="418">
        <f t="shared" si="35"/>
        <v>329</v>
      </c>
      <c r="S28" s="52">
        <f t="shared" si="40"/>
        <v>4</v>
      </c>
      <c r="T28" s="68">
        <f t="shared" si="26"/>
        <v>0</v>
      </c>
      <c r="U28" s="425">
        <f t="shared" si="13"/>
        <v>8</v>
      </c>
      <c r="V28" s="62">
        <f t="shared" si="14"/>
        <v>683</v>
      </c>
      <c r="W28" s="423"/>
      <c r="X28" s="64">
        <f t="shared" si="27"/>
        <v>2320</v>
      </c>
      <c r="Y28" s="52">
        <f t="shared" si="16"/>
        <v>0</v>
      </c>
      <c r="Z28" s="64">
        <f t="shared" si="27"/>
        <v>130593</v>
      </c>
      <c r="AA28" s="65">
        <f t="shared" si="7"/>
        <v>0</v>
      </c>
      <c r="AB28" s="296">
        <f t="shared" si="41"/>
        <v>0</v>
      </c>
      <c r="AC28" s="64">
        <v>1785</v>
      </c>
      <c r="AD28" s="45">
        <f t="shared" si="8"/>
        <v>7</v>
      </c>
      <c r="AE28" s="64">
        <v>356843</v>
      </c>
      <c r="AF28" s="323">
        <f t="shared" si="17"/>
        <v>413</v>
      </c>
      <c r="AG28" s="213">
        <f t="shared" si="29"/>
        <v>59</v>
      </c>
      <c r="AH28" s="62">
        <f t="shared" si="30"/>
        <v>413</v>
      </c>
      <c r="AI28" s="335">
        <f t="shared" si="18"/>
        <v>1096</v>
      </c>
      <c r="AJ28" s="335">
        <f>-tanks!AW29</f>
        <v>1096</v>
      </c>
      <c r="AK28" s="335">
        <f t="shared" si="19"/>
        <v>0</v>
      </c>
      <c r="AL28" s="335">
        <f t="shared" si="39"/>
        <v>8</v>
      </c>
      <c r="AM28" s="335">
        <f t="shared" si="20"/>
        <v>7</v>
      </c>
      <c r="AN28" s="64">
        <v>81</v>
      </c>
      <c r="AO28" s="337">
        <f t="shared" ref="AO28:AO34" si="44">(AN28/100)*3000</f>
        <v>2430</v>
      </c>
      <c r="AP28" s="64">
        <v>78</v>
      </c>
      <c r="AQ28" s="337">
        <f t="shared" si="43"/>
        <v>2340</v>
      </c>
      <c r="AR28" s="64">
        <v>80</v>
      </c>
      <c r="AS28" s="337">
        <f t="shared" si="31"/>
        <v>2400</v>
      </c>
      <c r="AT28" s="337">
        <f t="shared" si="42"/>
        <v>7170</v>
      </c>
      <c r="AU28" s="337">
        <f t="shared" si="33"/>
        <v>90</v>
      </c>
      <c r="AV28" s="276"/>
      <c r="AW28" s="276"/>
      <c r="AX28" s="330">
        <f t="shared" si="23"/>
        <v>0.7</v>
      </c>
    </row>
    <row r="29" spans="1:50">
      <c r="A29" s="63">
        <v>43855</v>
      </c>
      <c r="B29" s="64">
        <v>234</v>
      </c>
      <c r="C29" s="64">
        <v>240</v>
      </c>
      <c r="D29" s="45">
        <f t="shared" si="0"/>
        <v>7</v>
      </c>
      <c r="E29" s="45">
        <f t="shared" ref="E29:E34" si="45">D29*8.38</f>
        <v>58.660000000000004</v>
      </c>
      <c r="F29" s="64">
        <v>1350</v>
      </c>
      <c r="G29" s="52">
        <f t="shared" si="1"/>
        <v>5</v>
      </c>
      <c r="H29" s="64">
        <v>334053</v>
      </c>
      <c r="I29" s="419">
        <f t="shared" si="2"/>
        <v>359</v>
      </c>
      <c r="J29" s="66">
        <f t="shared" si="11"/>
        <v>71.8</v>
      </c>
      <c r="K29" s="64">
        <v>1740</v>
      </c>
      <c r="L29" s="52">
        <f t="shared" si="3"/>
        <v>0</v>
      </c>
      <c r="M29" s="64">
        <v>126849</v>
      </c>
      <c r="N29" s="419">
        <f t="shared" si="4"/>
        <v>0</v>
      </c>
      <c r="O29" s="67">
        <f t="shared" si="5"/>
        <v>0</v>
      </c>
      <c r="P29" s="64">
        <v>1575</v>
      </c>
      <c r="Q29" s="64">
        <v>135386</v>
      </c>
      <c r="R29" s="418">
        <f t="shared" si="35"/>
        <v>202</v>
      </c>
      <c r="S29" s="52">
        <f t="shared" si="40"/>
        <v>6</v>
      </c>
      <c r="T29" s="68">
        <f t="shared" si="26"/>
        <v>0</v>
      </c>
      <c r="U29" s="425">
        <f t="shared" si="13"/>
        <v>11</v>
      </c>
      <c r="V29" s="62">
        <f t="shared" si="14"/>
        <v>561</v>
      </c>
      <c r="W29" s="423"/>
      <c r="X29" s="64">
        <f t="shared" si="27"/>
        <v>2320</v>
      </c>
      <c r="Y29" s="52">
        <f t="shared" si="16"/>
        <v>0</v>
      </c>
      <c r="Z29" s="64">
        <f t="shared" si="27"/>
        <v>130593</v>
      </c>
      <c r="AA29" s="65">
        <f t="shared" si="7"/>
        <v>0</v>
      </c>
      <c r="AB29" s="296">
        <f t="shared" si="41"/>
        <v>0</v>
      </c>
      <c r="AC29" s="64">
        <f t="shared" si="34"/>
        <v>1785</v>
      </c>
      <c r="AD29" s="45">
        <f t="shared" si="8"/>
        <v>0</v>
      </c>
      <c r="AE29" s="64">
        <f t="shared" si="34"/>
        <v>356843</v>
      </c>
      <c r="AF29" s="323">
        <f t="shared" si="17"/>
        <v>0</v>
      </c>
      <c r="AG29" s="213">
        <f t="shared" si="29"/>
        <v>0</v>
      </c>
      <c r="AH29" s="62">
        <f t="shared" si="30"/>
        <v>0</v>
      </c>
      <c r="AI29" s="335">
        <f t="shared" si="18"/>
        <v>561</v>
      </c>
      <c r="AJ29" s="335">
        <f>-tanks!AW30</f>
        <v>561</v>
      </c>
      <c r="AK29" s="335">
        <f t="shared" si="19"/>
        <v>0</v>
      </c>
      <c r="AL29" s="335">
        <f t="shared" si="39"/>
        <v>11</v>
      </c>
      <c r="AM29" s="335">
        <f t="shared" si="20"/>
        <v>0</v>
      </c>
      <c r="AN29" s="64">
        <v>80</v>
      </c>
      <c r="AO29" s="337">
        <f t="shared" si="44"/>
        <v>2400</v>
      </c>
      <c r="AP29" s="64">
        <v>77</v>
      </c>
      <c r="AQ29" s="337">
        <f t="shared" si="43"/>
        <v>2310</v>
      </c>
      <c r="AR29" s="64">
        <v>79</v>
      </c>
      <c r="AS29" s="337">
        <f t="shared" si="31"/>
        <v>2370</v>
      </c>
      <c r="AT29" s="337">
        <f>SUM(AO29+AQ29+AS29)</f>
        <v>7080</v>
      </c>
      <c r="AU29" s="337">
        <f>AT28-AT29+AV29</f>
        <v>90</v>
      </c>
      <c r="AV29" s="276"/>
      <c r="AW29" s="276"/>
      <c r="AX29" s="330">
        <f t="shared" si="23"/>
        <v>0.7</v>
      </c>
    </row>
    <row r="30" spans="1:50">
      <c r="A30" s="63">
        <v>43856</v>
      </c>
      <c r="B30" s="64">
        <v>230</v>
      </c>
      <c r="C30" s="64">
        <v>236</v>
      </c>
      <c r="D30" s="45">
        <f t="shared" si="0"/>
        <v>4</v>
      </c>
      <c r="E30" s="45">
        <f t="shared" si="45"/>
        <v>33.520000000000003</v>
      </c>
      <c r="F30" s="64">
        <v>1354</v>
      </c>
      <c r="G30" s="52">
        <f t="shared" si="1"/>
        <v>4</v>
      </c>
      <c r="H30" s="64">
        <v>334390</v>
      </c>
      <c r="I30" s="419">
        <f t="shared" si="2"/>
        <v>337</v>
      </c>
      <c r="J30" s="66">
        <f t="shared" si="11"/>
        <v>84.25</v>
      </c>
      <c r="K30" s="64">
        <v>1744</v>
      </c>
      <c r="L30" s="52">
        <f t="shared" si="3"/>
        <v>4</v>
      </c>
      <c r="M30" s="64">
        <v>127140</v>
      </c>
      <c r="N30" s="419">
        <f t="shared" si="4"/>
        <v>291</v>
      </c>
      <c r="O30" s="67">
        <f t="shared" si="5"/>
        <v>310.54166666666669</v>
      </c>
      <c r="P30" s="64">
        <f t="shared" si="36"/>
        <v>1575</v>
      </c>
      <c r="Q30" s="64">
        <v>135639</v>
      </c>
      <c r="R30" s="418">
        <f t="shared" si="35"/>
        <v>253</v>
      </c>
      <c r="S30" s="52">
        <f t="shared" si="40"/>
        <v>0</v>
      </c>
      <c r="T30" s="68">
        <f t="shared" si="26"/>
        <v>0</v>
      </c>
      <c r="U30" s="425">
        <f t="shared" si="13"/>
        <v>8</v>
      </c>
      <c r="V30" s="62">
        <f t="shared" si="14"/>
        <v>881</v>
      </c>
      <c r="W30" s="423"/>
      <c r="X30" s="64">
        <f t="shared" si="27"/>
        <v>2320</v>
      </c>
      <c r="Y30" s="52">
        <f t="shared" si="16"/>
        <v>0</v>
      </c>
      <c r="Z30" s="64">
        <f t="shared" si="27"/>
        <v>130593</v>
      </c>
      <c r="AA30" s="65">
        <f t="shared" si="7"/>
        <v>0</v>
      </c>
      <c r="AB30" s="296">
        <f t="shared" si="41"/>
        <v>0</v>
      </c>
      <c r="AC30" s="64">
        <f t="shared" si="34"/>
        <v>1785</v>
      </c>
      <c r="AD30" s="45">
        <f t="shared" si="8"/>
        <v>0</v>
      </c>
      <c r="AE30" s="64">
        <f t="shared" si="34"/>
        <v>356843</v>
      </c>
      <c r="AF30" s="323">
        <f t="shared" si="17"/>
        <v>0</v>
      </c>
      <c r="AG30" s="213">
        <f t="shared" si="29"/>
        <v>0</v>
      </c>
      <c r="AH30" s="62">
        <f t="shared" si="30"/>
        <v>0</v>
      </c>
      <c r="AI30" s="335">
        <f t="shared" si="18"/>
        <v>881</v>
      </c>
      <c r="AJ30" s="335">
        <f>-tanks!AW31</f>
        <v>881</v>
      </c>
      <c r="AK30" s="335">
        <f t="shared" si="19"/>
        <v>0</v>
      </c>
      <c r="AL30" s="335">
        <f t="shared" si="39"/>
        <v>8</v>
      </c>
      <c r="AM30" s="335">
        <f t="shared" si="20"/>
        <v>0</v>
      </c>
      <c r="AN30" s="64">
        <v>78</v>
      </c>
      <c r="AO30" s="337">
        <f t="shared" si="44"/>
        <v>2340</v>
      </c>
      <c r="AP30" s="64">
        <v>76</v>
      </c>
      <c r="AQ30" s="337">
        <f t="shared" si="43"/>
        <v>2280</v>
      </c>
      <c r="AR30" s="64">
        <v>77</v>
      </c>
      <c r="AS30" s="337">
        <f t="shared" si="31"/>
        <v>2310</v>
      </c>
      <c r="AT30" s="337">
        <f t="shared" si="42"/>
        <v>6930</v>
      </c>
      <c r="AU30" s="337">
        <f t="shared" si="33"/>
        <v>150</v>
      </c>
      <c r="AV30" s="276"/>
      <c r="AW30" s="276"/>
      <c r="AX30" s="330">
        <f t="shared" si="23"/>
        <v>0.7</v>
      </c>
    </row>
    <row r="31" spans="1:50">
      <c r="A31" s="63">
        <v>43857</v>
      </c>
      <c r="B31" s="64">
        <f t="shared" ref="B30:C35" si="46">B30</f>
        <v>230</v>
      </c>
      <c r="C31" s="64">
        <f t="shared" si="46"/>
        <v>236</v>
      </c>
      <c r="D31" s="45">
        <f t="shared" si="0"/>
        <v>0</v>
      </c>
      <c r="E31" s="45">
        <f t="shared" si="45"/>
        <v>0</v>
      </c>
      <c r="F31" s="64">
        <f t="shared" si="24"/>
        <v>1354</v>
      </c>
      <c r="G31" s="52">
        <f t="shared" si="1"/>
        <v>0</v>
      </c>
      <c r="H31" s="64">
        <f t="shared" si="24"/>
        <v>334390</v>
      </c>
      <c r="I31" s="419">
        <f t="shared" si="2"/>
        <v>0</v>
      </c>
      <c r="J31" s="66">
        <f t="shared" si="11"/>
        <v>0</v>
      </c>
      <c r="K31" s="64">
        <f t="shared" si="25"/>
        <v>1744</v>
      </c>
      <c r="L31" s="52">
        <f t="shared" si="3"/>
        <v>0</v>
      </c>
      <c r="M31" s="64">
        <f t="shared" si="25"/>
        <v>127140</v>
      </c>
      <c r="N31" s="419">
        <f>M31-M30</f>
        <v>0</v>
      </c>
      <c r="O31" s="67">
        <f t="shared" si="5"/>
        <v>0</v>
      </c>
      <c r="P31" s="64">
        <f t="shared" si="36"/>
        <v>1575</v>
      </c>
      <c r="Q31" s="64">
        <f t="shared" si="36"/>
        <v>135639</v>
      </c>
      <c r="R31" s="418">
        <f t="shared" si="35"/>
        <v>0</v>
      </c>
      <c r="S31" s="52">
        <f t="shared" si="40"/>
        <v>0</v>
      </c>
      <c r="T31" s="68">
        <f t="shared" si="26"/>
        <v>0</v>
      </c>
      <c r="U31" s="425">
        <f t="shared" si="13"/>
        <v>0</v>
      </c>
      <c r="V31" s="62">
        <f t="shared" si="14"/>
        <v>0</v>
      </c>
      <c r="W31" s="423"/>
      <c r="X31" s="64">
        <f t="shared" si="27"/>
        <v>2320</v>
      </c>
      <c r="Y31" s="52">
        <f t="shared" si="16"/>
        <v>0</v>
      </c>
      <c r="Z31" s="64">
        <f t="shared" si="27"/>
        <v>130593</v>
      </c>
      <c r="AA31" s="65">
        <f t="shared" si="7"/>
        <v>0</v>
      </c>
      <c r="AB31" s="296">
        <f t="shared" si="41"/>
        <v>0</v>
      </c>
      <c r="AC31" s="64">
        <f t="shared" si="34"/>
        <v>1785</v>
      </c>
      <c r="AD31" s="276">
        <f t="shared" si="8"/>
        <v>0</v>
      </c>
      <c r="AE31" s="64">
        <f t="shared" si="34"/>
        <v>356843</v>
      </c>
      <c r="AF31" s="323">
        <f t="shared" si="17"/>
        <v>0</v>
      </c>
      <c r="AG31" s="213">
        <f t="shared" si="29"/>
        <v>0</v>
      </c>
      <c r="AH31" s="62">
        <f t="shared" si="30"/>
        <v>0</v>
      </c>
      <c r="AI31" s="335">
        <f t="shared" si="18"/>
        <v>0</v>
      </c>
      <c r="AJ31" s="335">
        <f>-tanks!AW32</f>
        <v>0</v>
      </c>
      <c r="AK31" s="335">
        <f t="shared" si="19"/>
        <v>0</v>
      </c>
      <c r="AL31" s="335">
        <f t="shared" si="39"/>
        <v>0</v>
      </c>
      <c r="AM31" s="335">
        <f t="shared" si="20"/>
        <v>0</v>
      </c>
      <c r="AN31" s="64">
        <f t="shared" si="37"/>
        <v>78</v>
      </c>
      <c r="AO31" s="337">
        <f t="shared" si="44"/>
        <v>2340</v>
      </c>
      <c r="AP31" s="64">
        <f t="shared" si="37"/>
        <v>76</v>
      </c>
      <c r="AQ31" s="337">
        <f t="shared" si="43"/>
        <v>2280</v>
      </c>
      <c r="AR31" s="64">
        <f t="shared" si="37"/>
        <v>77</v>
      </c>
      <c r="AS31" s="337">
        <f t="shared" si="31"/>
        <v>2310</v>
      </c>
      <c r="AT31" s="337">
        <f t="shared" si="42"/>
        <v>6930</v>
      </c>
      <c r="AU31" s="337">
        <f t="shared" si="33"/>
        <v>0</v>
      </c>
      <c r="AV31" s="276"/>
      <c r="AW31" s="276"/>
      <c r="AX31" s="330">
        <f t="shared" si="23"/>
        <v>0.7</v>
      </c>
    </row>
    <row r="32" spans="1:50">
      <c r="A32" s="63">
        <v>43858</v>
      </c>
      <c r="B32" s="64">
        <f t="shared" si="46"/>
        <v>230</v>
      </c>
      <c r="C32" s="64">
        <f t="shared" si="46"/>
        <v>236</v>
      </c>
      <c r="D32" s="45">
        <f t="shared" si="0"/>
        <v>0</v>
      </c>
      <c r="E32" s="45">
        <f t="shared" si="45"/>
        <v>0</v>
      </c>
      <c r="F32" s="64">
        <f t="shared" si="24"/>
        <v>1354</v>
      </c>
      <c r="G32" s="52">
        <f t="shared" si="1"/>
        <v>0</v>
      </c>
      <c r="H32" s="64">
        <f t="shared" si="24"/>
        <v>334390</v>
      </c>
      <c r="I32" s="419">
        <f t="shared" si="2"/>
        <v>0</v>
      </c>
      <c r="J32" s="66">
        <f t="shared" si="11"/>
        <v>0</v>
      </c>
      <c r="K32" s="64">
        <f t="shared" si="25"/>
        <v>1744</v>
      </c>
      <c r="L32" s="52">
        <f t="shared" si="3"/>
        <v>0</v>
      </c>
      <c r="M32" s="64">
        <f t="shared" si="25"/>
        <v>127140</v>
      </c>
      <c r="N32" s="419">
        <f>M32-M31</f>
        <v>0</v>
      </c>
      <c r="O32" s="67">
        <f t="shared" si="5"/>
        <v>0</v>
      </c>
      <c r="P32" s="64">
        <f t="shared" si="36"/>
        <v>1575</v>
      </c>
      <c r="Q32" s="64">
        <f t="shared" si="36"/>
        <v>135639</v>
      </c>
      <c r="R32" s="418">
        <f t="shared" si="35"/>
        <v>0</v>
      </c>
      <c r="S32" s="52">
        <f t="shared" si="40"/>
        <v>0</v>
      </c>
      <c r="T32" s="68">
        <f t="shared" si="26"/>
        <v>0</v>
      </c>
      <c r="U32" s="425">
        <f t="shared" si="13"/>
        <v>0</v>
      </c>
      <c r="V32" s="62">
        <f t="shared" si="14"/>
        <v>0</v>
      </c>
      <c r="W32" s="423"/>
      <c r="X32" s="64">
        <f t="shared" si="27"/>
        <v>2320</v>
      </c>
      <c r="Y32" s="52">
        <f t="shared" si="16"/>
        <v>0</v>
      </c>
      <c r="Z32" s="64">
        <f t="shared" si="27"/>
        <v>130593</v>
      </c>
      <c r="AA32" s="65">
        <f t="shared" si="7"/>
        <v>0</v>
      </c>
      <c r="AB32" s="296">
        <f t="shared" si="41"/>
        <v>0</v>
      </c>
      <c r="AC32" s="64">
        <f t="shared" si="34"/>
        <v>1785</v>
      </c>
      <c r="AD32" s="276">
        <f t="shared" si="8"/>
        <v>0</v>
      </c>
      <c r="AE32" s="64">
        <f t="shared" si="34"/>
        <v>356843</v>
      </c>
      <c r="AF32" s="323">
        <f t="shared" si="17"/>
        <v>0</v>
      </c>
      <c r="AG32" s="213">
        <f t="shared" si="29"/>
        <v>0</v>
      </c>
      <c r="AH32" s="62">
        <f t="shared" si="30"/>
        <v>0</v>
      </c>
      <c r="AI32" s="335">
        <f t="shared" si="18"/>
        <v>0</v>
      </c>
      <c r="AJ32" s="335">
        <f>-tanks!AW33</f>
        <v>0</v>
      </c>
      <c r="AK32" s="335">
        <f t="shared" si="19"/>
        <v>0</v>
      </c>
      <c r="AL32" s="335">
        <f t="shared" si="39"/>
        <v>0</v>
      </c>
      <c r="AM32" s="335">
        <f t="shared" si="20"/>
        <v>0</v>
      </c>
      <c r="AN32" s="64">
        <f t="shared" si="37"/>
        <v>78</v>
      </c>
      <c r="AO32" s="337">
        <f t="shared" si="44"/>
        <v>2340</v>
      </c>
      <c r="AP32" s="64">
        <f t="shared" si="37"/>
        <v>76</v>
      </c>
      <c r="AQ32" s="337">
        <f t="shared" si="43"/>
        <v>2280</v>
      </c>
      <c r="AR32" s="64">
        <f t="shared" si="37"/>
        <v>77</v>
      </c>
      <c r="AS32" s="337">
        <f t="shared" si="31"/>
        <v>2310</v>
      </c>
      <c r="AT32" s="337">
        <f t="shared" si="42"/>
        <v>6930</v>
      </c>
      <c r="AU32" s="337">
        <f t="shared" si="33"/>
        <v>0</v>
      </c>
      <c r="AV32" s="276"/>
      <c r="AW32" s="276"/>
      <c r="AX32" s="330">
        <f t="shared" si="23"/>
        <v>0.7</v>
      </c>
    </row>
    <row r="33" spans="1:50">
      <c r="A33" s="63">
        <v>43859</v>
      </c>
      <c r="B33" s="64">
        <f t="shared" si="46"/>
        <v>230</v>
      </c>
      <c r="C33" s="64">
        <f t="shared" si="46"/>
        <v>236</v>
      </c>
      <c r="D33" s="45">
        <f t="shared" si="0"/>
        <v>0</v>
      </c>
      <c r="E33" s="45">
        <f t="shared" si="45"/>
        <v>0</v>
      </c>
      <c r="F33" s="64">
        <f t="shared" si="24"/>
        <v>1354</v>
      </c>
      <c r="G33" s="52">
        <f t="shared" si="1"/>
        <v>0</v>
      </c>
      <c r="H33" s="64">
        <f t="shared" si="24"/>
        <v>334390</v>
      </c>
      <c r="I33" s="419">
        <f t="shared" si="2"/>
        <v>0</v>
      </c>
      <c r="J33" s="66">
        <f t="shared" si="11"/>
        <v>0</v>
      </c>
      <c r="K33" s="64">
        <f t="shared" si="25"/>
        <v>1744</v>
      </c>
      <c r="L33" s="52">
        <f t="shared" si="3"/>
        <v>0</v>
      </c>
      <c r="M33" s="64">
        <f t="shared" si="25"/>
        <v>127140</v>
      </c>
      <c r="N33" s="419">
        <f>M33-M32</f>
        <v>0</v>
      </c>
      <c r="O33" s="67">
        <f t="shared" si="5"/>
        <v>0</v>
      </c>
      <c r="P33" s="64">
        <f t="shared" si="36"/>
        <v>1575</v>
      </c>
      <c r="Q33" s="64">
        <f t="shared" si="36"/>
        <v>135639</v>
      </c>
      <c r="R33" s="418">
        <f t="shared" si="35"/>
        <v>0</v>
      </c>
      <c r="S33" s="52">
        <f t="shared" si="40"/>
        <v>0</v>
      </c>
      <c r="T33" s="68">
        <f t="shared" si="26"/>
        <v>0</v>
      </c>
      <c r="U33" s="425">
        <f t="shared" si="13"/>
        <v>0</v>
      </c>
      <c r="V33" s="62">
        <f t="shared" si="14"/>
        <v>0</v>
      </c>
      <c r="W33" s="423"/>
      <c r="X33" s="64">
        <f t="shared" si="27"/>
        <v>2320</v>
      </c>
      <c r="Y33" s="52">
        <f t="shared" si="16"/>
        <v>0</v>
      </c>
      <c r="Z33" s="64">
        <f t="shared" si="27"/>
        <v>130593</v>
      </c>
      <c r="AA33" s="65">
        <f t="shared" si="7"/>
        <v>0</v>
      </c>
      <c r="AB33" s="296">
        <f t="shared" si="41"/>
        <v>0</v>
      </c>
      <c r="AC33" s="64">
        <f t="shared" si="34"/>
        <v>1785</v>
      </c>
      <c r="AD33" s="45">
        <f t="shared" si="8"/>
        <v>0</v>
      </c>
      <c r="AE33" s="64">
        <f t="shared" si="34"/>
        <v>356843</v>
      </c>
      <c r="AF33" s="323">
        <f t="shared" si="17"/>
        <v>0</v>
      </c>
      <c r="AG33" s="213">
        <f t="shared" si="29"/>
        <v>0</v>
      </c>
      <c r="AH33" s="62">
        <f t="shared" si="30"/>
        <v>0</v>
      </c>
      <c r="AI33" s="335">
        <f t="shared" si="18"/>
        <v>0</v>
      </c>
      <c r="AJ33" s="335">
        <f>-tanks!AW34</f>
        <v>0</v>
      </c>
      <c r="AK33" s="335">
        <f t="shared" si="19"/>
        <v>0</v>
      </c>
      <c r="AL33" s="335">
        <f t="shared" si="39"/>
        <v>0</v>
      </c>
      <c r="AM33" s="335">
        <f t="shared" si="20"/>
        <v>0</v>
      </c>
      <c r="AN33" s="64">
        <f t="shared" si="37"/>
        <v>78</v>
      </c>
      <c r="AO33" s="337">
        <f t="shared" si="44"/>
        <v>2340</v>
      </c>
      <c r="AP33" s="64">
        <f t="shared" si="37"/>
        <v>76</v>
      </c>
      <c r="AQ33" s="337">
        <f t="shared" si="43"/>
        <v>2280</v>
      </c>
      <c r="AR33" s="64">
        <f t="shared" si="37"/>
        <v>77</v>
      </c>
      <c r="AS33" s="337">
        <f t="shared" si="31"/>
        <v>2310</v>
      </c>
      <c r="AT33" s="337">
        <f t="shared" si="42"/>
        <v>6930</v>
      </c>
      <c r="AU33" s="337">
        <f t="shared" si="33"/>
        <v>0</v>
      </c>
      <c r="AV33" s="276"/>
      <c r="AW33" s="276"/>
      <c r="AX33" s="330">
        <f t="shared" si="23"/>
        <v>0.7</v>
      </c>
    </row>
    <row r="34" spans="1:50">
      <c r="A34" s="63">
        <v>43860</v>
      </c>
      <c r="B34" s="64">
        <f t="shared" si="46"/>
        <v>230</v>
      </c>
      <c r="C34" s="64">
        <f t="shared" si="46"/>
        <v>236</v>
      </c>
      <c r="D34" s="45">
        <f t="shared" si="0"/>
        <v>0</v>
      </c>
      <c r="E34" s="45">
        <f t="shared" si="45"/>
        <v>0</v>
      </c>
      <c r="F34" s="64">
        <f t="shared" si="24"/>
        <v>1354</v>
      </c>
      <c r="G34" s="52">
        <f t="shared" si="1"/>
        <v>0</v>
      </c>
      <c r="H34" s="64">
        <f t="shared" si="24"/>
        <v>334390</v>
      </c>
      <c r="I34" s="419">
        <f t="shared" si="2"/>
        <v>0</v>
      </c>
      <c r="J34" s="66">
        <f t="shared" si="11"/>
        <v>0</v>
      </c>
      <c r="K34" s="64">
        <f t="shared" si="25"/>
        <v>1744</v>
      </c>
      <c r="L34" s="52">
        <f t="shared" si="3"/>
        <v>0</v>
      </c>
      <c r="M34" s="64">
        <f t="shared" si="25"/>
        <v>127140</v>
      </c>
      <c r="N34" s="419">
        <f>M34-M33</f>
        <v>0</v>
      </c>
      <c r="O34" s="67">
        <f t="shared" si="5"/>
        <v>0</v>
      </c>
      <c r="P34" s="64">
        <f t="shared" si="36"/>
        <v>1575</v>
      </c>
      <c r="Q34" s="64">
        <f t="shared" si="36"/>
        <v>135639</v>
      </c>
      <c r="R34" s="418">
        <f t="shared" si="35"/>
        <v>0</v>
      </c>
      <c r="S34" s="52">
        <f>SUM(P34-P33)</f>
        <v>0</v>
      </c>
      <c r="T34" s="68">
        <f t="shared" si="26"/>
        <v>0</v>
      </c>
      <c r="U34" s="425">
        <f t="shared" si="13"/>
        <v>0</v>
      </c>
      <c r="V34" s="62">
        <f t="shared" si="14"/>
        <v>0</v>
      </c>
      <c r="W34" s="423"/>
      <c r="X34" s="64">
        <f t="shared" si="27"/>
        <v>2320</v>
      </c>
      <c r="Y34" s="52">
        <f t="shared" si="16"/>
        <v>0</v>
      </c>
      <c r="Z34" s="64">
        <f t="shared" si="27"/>
        <v>130593</v>
      </c>
      <c r="AA34" s="65">
        <f t="shared" si="7"/>
        <v>0</v>
      </c>
      <c r="AB34" s="296">
        <f t="shared" si="41"/>
        <v>0</v>
      </c>
      <c r="AC34" s="64">
        <f t="shared" si="34"/>
        <v>1785</v>
      </c>
      <c r="AD34" s="45">
        <f t="shared" si="8"/>
        <v>0</v>
      </c>
      <c r="AE34" s="64">
        <f t="shared" si="34"/>
        <v>356843</v>
      </c>
      <c r="AF34" s="323">
        <f t="shared" si="17"/>
        <v>0</v>
      </c>
      <c r="AG34" s="213">
        <f t="shared" si="29"/>
        <v>0</v>
      </c>
      <c r="AH34" s="62">
        <f t="shared" si="30"/>
        <v>0</v>
      </c>
      <c r="AI34" s="335">
        <f t="shared" si="18"/>
        <v>0</v>
      </c>
      <c r="AJ34" s="335">
        <f>-tanks!AW35</f>
        <v>0</v>
      </c>
      <c r="AK34" s="335">
        <f t="shared" si="19"/>
        <v>0</v>
      </c>
      <c r="AL34" s="335">
        <f t="shared" si="39"/>
        <v>0</v>
      </c>
      <c r="AM34" s="335">
        <f>Y34+AD34</f>
        <v>0</v>
      </c>
      <c r="AN34" s="64">
        <f t="shared" si="37"/>
        <v>78</v>
      </c>
      <c r="AO34" s="337">
        <f t="shared" si="44"/>
        <v>2340</v>
      </c>
      <c r="AP34" s="64">
        <f t="shared" si="37"/>
        <v>76</v>
      </c>
      <c r="AQ34" s="337">
        <f t="shared" si="43"/>
        <v>2280</v>
      </c>
      <c r="AR34" s="64">
        <f t="shared" si="37"/>
        <v>77</v>
      </c>
      <c r="AS34" s="337">
        <f t="shared" si="31"/>
        <v>2310</v>
      </c>
      <c r="AT34" s="337">
        <f t="shared" si="42"/>
        <v>6930</v>
      </c>
      <c r="AU34" s="337">
        <f t="shared" si="33"/>
        <v>0</v>
      </c>
      <c r="AV34" s="276"/>
      <c r="AW34" s="276"/>
      <c r="AX34" s="330">
        <f t="shared" si="23"/>
        <v>0.7</v>
      </c>
    </row>
    <row r="35" spans="1:50">
      <c r="A35" s="63">
        <v>43861</v>
      </c>
      <c r="B35" s="64">
        <f t="shared" si="46"/>
        <v>230</v>
      </c>
      <c r="C35" s="64">
        <f t="shared" si="46"/>
        <v>236</v>
      </c>
      <c r="D35" s="45">
        <f>C34-C35</f>
        <v>0</v>
      </c>
      <c r="E35" s="45">
        <f>D35*8.38</f>
        <v>0</v>
      </c>
      <c r="F35" s="64">
        <f t="shared" si="24"/>
        <v>1354</v>
      </c>
      <c r="G35" s="52">
        <f>F35-F34</f>
        <v>0</v>
      </c>
      <c r="H35" s="64">
        <f t="shared" si="24"/>
        <v>334390</v>
      </c>
      <c r="I35" s="419">
        <f>SUM(H35-H34)</f>
        <v>0</v>
      </c>
      <c r="J35" s="66">
        <f>IF(G35&gt;0,I35/G35,0)</f>
        <v>0</v>
      </c>
      <c r="K35" s="64">
        <f t="shared" si="25"/>
        <v>1744</v>
      </c>
      <c r="L35" s="52">
        <f>K35-K34</f>
        <v>0</v>
      </c>
      <c r="M35" s="64">
        <f t="shared" si="25"/>
        <v>127140</v>
      </c>
      <c r="N35" s="419">
        <f>M35-M34</f>
        <v>0</v>
      </c>
      <c r="O35" s="67">
        <f>SUM(L35*$J$1)</f>
        <v>0</v>
      </c>
      <c r="P35" s="64">
        <f t="shared" si="36"/>
        <v>1575</v>
      </c>
      <c r="Q35" s="64">
        <f t="shared" si="36"/>
        <v>135639</v>
      </c>
      <c r="R35" s="418">
        <f>Q35-Q34</f>
        <v>0</v>
      </c>
      <c r="S35" s="52">
        <f>SUM(P35-P34)</f>
        <v>0</v>
      </c>
      <c r="T35" s="68">
        <f>SUM(S35*$T$2)</f>
        <v>0</v>
      </c>
      <c r="U35" s="425">
        <f t="shared" si="13"/>
        <v>0</v>
      </c>
      <c r="V35" s="62">
        <f>R35+N35+I35:I35</f>
        <v>0</v>
      </c>
      <c r="W35" s="423"/>
      <c r="X35" s="64">
        <f t="shared" si="27"/>
        <v>2320</v>
      </c>
      <c r="Y35" s="52">
        <f>X35-X34</f>
        <v>0</v>
      </c>
      <c r="Z35" s="64">
        <f t="shared" si="27"/>
        <v>130593</v>
      </c>
      <c r="AA35" s="65">
        <f>Z35-Z34</f>
        <v>0</v>
      </c>
      <c r="AB35" s="296">
        <f>SUM(Y35*$AB$2)</f>
        <v>0</v>
      </c>
      <c r="AC35" s="64">
        <f t="shared" si="34"/>
        <v>1785</v>
      </c>
      <c r="AD35" s="45">
        <f>AC35-AC34</f>
        <v>0</v>
      </c>
      <c r="AE35" s="64">
        <f t="shared" si="34"/>
        <v>356843</v>
      </c>
      <c r="AF35" s="323">
        <f>AE35-AE34</f>
        <v>0</v>
      </c>
      <c r="AG35" s="213">
        <f>IF(AD35&gt;0,AF35/AD35,0)</f>
        <v>0</v>
      </c>
      <c r="AH35" s="62">
        <f>AF35+AA35</f>
        <v>0</v>
      </c>
      <c r="AI35" s="335">
        <f>SUM(AH35+V35)</f>
        <v>0</v>
      </c>
      <c r="AJ35" s="335">
        <f>-tanks!AW36</f>
        <v>0</v>
      </c>
      <c r="AK35" s="335">
        <f>SUM(AJ35-AI35)</f>
        <v>0</v>
      </c>
      <c r="AL35" s="335">
        <f>S35+L35+G35</f>
        <v>0</v>
      </c>
      <c r="AM35" s="335">
        <f>Y35+AD35</f>
        <v>0</v>
      </c>
      <c r="AN35" s="64">
        <f t="shared" si="37"/>
        <v>78</v>
      </c>
      <c r="AO35" s="337">
        <f>(AN35/100)*3000</f>
        <v>2340</v>
      </c>
      <c r="AP35" s="64">
        <f t="shared" si="37"/>
        <v>76</v>
      </c>
      <c r="AQ35" s="337">
        <f>(AP35/100)*3000</f>
        <v>2280</v>
      </c>
      <c r="AR35" s="64">
        <f t="shared" si="37"/>
        <v>77</v>
      </c>
      <c r="AS35" s="337">
        <f>(AR35/100)*3000</f>
        <v>2310</v>
      </c>
      <c r="AT35" s="337">
        <f>SUM(AO35+AQ35+AS35)</f>
        <v>6930</v>
      </c>
      <c r="AU35" s="337">
        <f>AT34-AT35+AV35</f>
        <v>0</v>
      </c>
      <c r="AV35" s="276"/>
      <c r="AW35" s="276"/>
      <c r="AX35" s="330">
        <f>IF(AV35&gt;0,AW35,AX34)</f>
        <v>0.7</v>
      </c>
    </row>
    <row r="36" spans="1:50">
      <c r="J36" s="295">
        <f>SUM(J5:J34)/(COUNT(J5:J34)-COUNTIF(J5:J34,0))</f>
        <v>77.635416666666671</v>
      </c>
      <c r="AE36" s="72" t="s">
        <v>386</v>
      </c>
      <c r="AG36" s="365"/>
      <c r="AH36" s="62"/>
      <c r="AP36" s="330"/>
      <c r="AQ36" s="330"/>
      <c r="AR36" s="330" t="s">
        <v>225</v>
      </c>
      <c r="AS36" s="330">
        <f>COUNT(AW5:AW35)</f>
        <v>4</v>
      </c>
      <c r="AT36" s="330"/>
      <c r="AU36" s="330">
        <f>SUM(AU5:AU35)</f>
        <v>5420</v>
      </c>
      <c r="AV36" s="72">
        <f>SUM(AV5:AV35)</f>
        <v>6350</v>
      </c>
      <c r="AW36" s="330">
        <f>SUM(AW5:AW35)/AS36</f>
        <v>0.7</v>
      </c>
    </row>
    <row r="37" spans="1:50">
      <c r="AH37" s="62">
        <f>AF37+AA37</f>
        <v>0</v>
      </c>
      <c r="AI37" s="338">
        <f>SUM(AI5:AI35)</f>
        <v>22532</v>
      </c>
      <c r="AP37" s="330"/>
      <c r="AQ37" s="330"/>
      <c r="AR37" s="330"/>
      <c r="AS37" s="330"/>
      <c r="AT37" s="330"/>
      <c r="AU37" s="330"/>
      <c r="AV37" s="330"/>
      <c r="AW37" s="330"/>
    </row>
    <row r="38" spans="1:50">
      <c r="AH38" s="62">
        <f>AF38+AA38</f>
        <v>0</v>
      </c>
      <c r="AP38" s="330"/>
      <c r="AQ38" s="330"/>
      <c r="AR38" s="330"/>
      <c r="AS38" s="330"/>
      <c r="AT38" s="330"/>
      <c r="AU38" s="330">
        <f>AU36*0.51</f>
        <v>2764.2000000000003</v>
      </c>
      <c r="AV38" s="330">
        <f>AV36/0.51</f>
        <v>12450.980392156862</v>
      </c>
      <c r="AW38" s="330">
        <f>SUM(AW5:AW35)/AS36</f>
        <v>0.7</v>
      </c>
    </row>
    <row r="39" spans="1:50">
      <c r="AP39" s="330"/>
      <c r="AQ39" s="330"/>
      <c r="AR39" s="330"/>
      <c r="AS39" s="330"/>
      <c r="AT39" s="330"/>
      <c r="AU39" s="330"/>
      <c r="AV39" s="330">
        <f>AV36*0.51</f>
        <v>3238.5</v>
      </c>
      <c r="AW39" s="330"/>
    </row>
    <row r="40" spans="1:50">
      <c r="AP40" s="330"/>
      <c r="AQ40" s="330"/>
      <c r="AR40" s="330"/>
      <c r="AS40" s="330"/>
      <c r="AT40" s="330"/>
      <c r="AU40" s="330"/>
      <c r="AV40" s="330"/>
      <c r="AW40" s="330"/>
    </row>
    <row r="41" spans="1:50">
      <c r="P41" s="70"/>
      <c r="Q41" s="70"/>
      <c r="R41" s="70"/>
      <c r="AP41" s="330"/>
      <c r="AQ41" s="330"/>
      <c r="AR41" s="330"/>
      <c r="AS41" s="330"/>
      <c r="AT41" s="330"/>
      <c r="AU41" s="330"/>
      <c r="AV41" s="330"/>
      <c r="AW41" s="330"/>
    </row>
    <row r="43" spans="1:50">
      <c r="AG43" s="378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5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G1" zoomScaleNormal="100" workbookViewId="0">
      <pane ySplit="3" topLeftCell="A15" activePane="bottomLeft" state="frozen"/>
      <selection pane="bottomLeft" activeCell="BF31" sqref="BF3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9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9" customWidth="1"/>
    <col min="11" max="11" width="13.5703125" style="1" customWidth="1"/>
    <col min="12" max="12" width="13.28515625" style="1" customWidth="1"/>
    <col min="13" max="13" width="10.7109375" style="538" customWidth="1"/>
    <col min="14" max="14" width="10.7109375" style="540" customWidth="1"/>
    <col min="15" max="15" width="11.140625" style="538" customWidth="1"/>
    <col min="16" max="16" width="11.140625" style="540" customWidth="1"/>
    <col min="17" max="17" width="17.28515625" style="538" customWidth="1"/>
    <col min="18" max="18" width="10.85546875" style="538" customWidth="1"/>
    <col min="19" max="19" width="10.7109375" style="538" customWidth="1"/>
    <col min="20" max="20" width="13.28515625" style="429" customWidth="1"/>
    <col min="21" max="21" width="8.7109375" style="433" customWidth="1"/>
    <col min="22" max="22" width="13.28515625" style="339" customWidth="1"/>
    <col min="23" max="23" width="9.7109375" style="339" bestFit="1" customWidth="1"/>
    <col min="24" max="27" width="9.7109375" style="339" customWidth="1"/>
    <col min="28" max="28" width="14.42578125" style="339" customWidth="1"/>
    <col min="29" max="32" width="9.7109375" style="339" customWidth="1"/>
    <col min="33" max="33" width="11.28515625" style="339" customWidth="1"/>
    <col min="34" max="36" width="9.7109375" style="339" customWidth="1"/>
    <col min="37" max="37" width="7.42578125" style="339" customWidth="1"/>
    <col min="38" max="39" width="8.7109375" style="339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80" customFormat="1" ht="15.75" thickBot="1">
      <c r="B1" s="381"/>
      <c r="C1" s="381"/>
      <c r="D1" s="440">
        <f>SUM(G21:G35)</f>
        <v>8821944</v>
      </c>
      <c r="E1" s="382"/>
      <c r="F1" s="382"/>
      <c r="G1" s="381"/>
      <c r="H1" s="381"/>
      <c r="I1" s="381"/>
      <c r="J1" s="382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3"/>
      <c r="AI1" s="383"/>
      <c r="AJ1" s="383"/>
      <c r="AK1" s="383"/>
      <c r="AL1" s="383"/>
      <c r="AM1" s="383"/>
      <c r="AN1" s="381"/>
      <c r="AR1" s="384" t="s">
        <v>92</v>
      </c>
      <c r="AS1" s="385"/>
      <c r="AT1" s="385" t="s">
        <v>60</v>
      </c>
      <c r="AU1" s="385"/>
      <c r="AV1" s="386" t="s">
        <v>61</v>
      </c>
    </row>
    <row r="2" spans="1:65" s="380" customFormat="1" ht="15.75" customHeight="1" thickBot="1">
      <c r="B2" s="381"/>
      <c r="C2" s="381"/>
      <c r="D2" s="381"/>
      <c r="E2" s="382"/>
      <c r="F2" s="382"/>
      <c r="G2" s="381"/>
      <c r="H2" s="381"/>
      <c r="I2" s="381"/>
      <c r="J2" s="382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3"/>
      <c r="W2" s="383"/>
      <c r="X2" s="383"/>
      <c r="Y2" s="383"/>
      <c r="Z2" s="383"/>
      <c r="AA2" s="383"/>
      <c r="AB2" s="383"/>
      <c r="AC2" s="383"/>
      <c r="AD2" s="383"/>
      <c r="AE2" s="383"/>
      <c r="AF2" s="383"/>
      <c r="AG2" s="383"/>
      <c r="AH2" s="383"/>
      <c r="AI2" s="383"/>
      <c r="AJ2" s="383"/>
      <c r="AK2" s="383"/>
      <c r="AL2" s="383"/>
      <c r="AM2" s="383"/>
      <c r="AN2" s="381"/>
      <c r="AR2" s="590" t="s">
        <v>95</v>
      </c>
      <c r="AS2" s="591"/>
      <c r="AT2" s="591"/>
      <c r="AU2" s="591"/>
      <c r="AV2" s="592"/>
      <c r="AW2" s="590" t="s">
        <v>96</v>
      </c>
      <c r="AX2" s="591"/>
      <c r="AY2" s="592"/>
      <c r="AZ2" s="590" t="s">
        <v>98</v>
      </c>
      <c r="BA2" s="591"/>
      <c r="BB2" s="592"/>
      <c r="BC2" s="387"/>
      <c r="BE2" s="388"/>
    </row>
    <row r="3" spans="1:65" s="380" customFormat="1" ht="48" customHeight="1" thickBot="1">
      <c r="A3" s="389" t="s">
        <v>51</v>
      </c>
      <c r="B3" s="390" t="s">
        <v>52</v>
      </c>
      <c r="C3" s="390" t="s">
        <v>53</v>
      </c>
      <c r="D3" s="390" t="s">
        <v>54</v>
      </c>
      <c r="E3" s="391"/>
      <c r="F3" s="392" t="s">
        <v>80</v>
      </c>
      <c r="G3" s="390" t="s">
        <v>55</v>
      </c>
      <c r="H3" s="390" t="s">
        <v>56</v>
      </c>
      <c r="I3" s="390" t="s">
        <v>100</v>
      </c>
      <c r="J3" s="391"/>
      <c r="K3" s="390" t="s">
        <v>395</v>
      </c>
      <c r="L3" s="393" t="s">
        <v>330</v>
      </c>
      <c r="M3" s="562" t="s">
        <v>402</v>
      </c>
      <c r="N3" s="563"/>
      <c r="O3" s="564" t="s">
        <v>403</v>
      </c>
      <c r="P3" s="564"/>
      <c r="Q3" s="564" t="s">
        <v>399</v>
      </c>
      <c r="R3" s="564" t="s">
        <v>401</v>
      </c>
      <c r="S3" s="564" t="s">
        <v>400</v>
      </c>
      <c r="T3" s="390" t="s">
        <v>383</v>
      </c>
      <c r="U3" s="390" t="s">
        <v>385</v>
      </c>
      <c r="V3" s="394" t="s">
        <v>334</v>
      </c>
      <c r="W3" s="395" t="s">
        <v>335</v>
      </c>
      <c r="X3" s="394" t="s">
        <v>338</v>
      </c>
      <c r="Y3" s="395" t="s">
        <v>339</v>
      </c>
      <c r="Z3" s="396" t="s">
        <v>340</v>
      </c>
      <c r="AA3" s="397" t="s">
        <v>398</v>
      </c>
      <c r="AB3" s="476" t="s">
        <v>397</v>
      </c>
      <c r="AC3" s="474" t="s">
        <v>396</v>
      </c>
      <c r="AD3" s="474"/>
      <c r="AE3" s="398" t="s">
        <v>407</v>
      </c>
      <c r="AF3" s="398" t="s">
        <v>408</v>
      </c>
      <c r="AG3" s="398" t="s">
        <v>409</v>
      </c>
      <c r="AH3" s="398" t="s">
        <v>410</v>
      </c>
      <c r="AI3" s="397" t="s">
        <v>411</v>
      </c>
      <c r="AJ3" s="397" t="s">
        <v>341</v>
      </c>
      <c r="AK3" s="398" t="s">
        <v>343</v>
      </c>
      <c r="AL3" s="398" t="s">
        <v>342</v>
      </c>
      <c r="AM3" s="399" t="s">
        <v>125</v>
      </c>
      <c r="AN3" s="587" t="s">
        <v>126</v>
      </c>
      <c r="AO3" s="588"/>
      <c r="AP3" s="589"/>
      <c r="AR3" s="400" t="s">
        <v>51</v>
      </c>
      <c r="AS3" s="401"/>
      <c r="AT3" s="400" t="s">
        <v>94</v>
      </c>
      <c r="AU3" s="401"/>
      <c r="AV3" s="402" t="s">
        <v>57</v>
      </c>
      <c r="AW3" s="403"/>
      <c r="AX3" s="401" t="s">
        <v>59</v>
      </c>
      <c r="AY3" s="404" t="s">
        <v>93</v>
      </c>
      <c r="AZ3" s="402" t="s">
        <v>57</v>
      </c>
      <c r="BA3" s="405" t="s">
        <v>59</v>
      </c>
      <c r="BB3" s="406" t="s">
        <v>57</v>
      </c>
      <c r="BC3" s="406" t="s">
        <v>58</v>
      </c>
      <c r="BD3" s="407" t="s">
        <v>59</v>
      </c>
      <c r="BE3" s="408" t="s">
        <v>99</v>
      </c>
      <c r="BF3" s="407" t="s">
        <v>97</v>
      </c>
      <c r="BG3" s="409"/>
      <c r="BI3" s="410"/>
      <c r="BJ3" s="410"/>
      <c r="BK3" s="410"/>
      <c r="BL3" s="410"/>
      <c r="BM3" s="410"/>
    </row>
    <row r="4" spans="1:65" ht="16.5" thickBot="1">
      <c r="A4" s="88"/>
      <c r="B4" s="5"/>
      <c r="C4" s="5"/>
      <c r="D4" s="273"/>
      <c r="E4" s="350">
        <v>1.66</v>
      </c>
      <c r="F4" s="350"/>
      <c r="G4" s="5"/>
      <c r="H4" s="5"/>
      <c r="I4" s="5"/>
      <c r="J4" s="351"/>
      <c r="K4" s="5"/>
      <c r="L4" s="84"/>
      <c r="M4" s="565"/>
      <c r="N4" s="565"/>
      <c r="O4" s="565"/>
      <c r="P4" s="565"/>
      <c r="Q4" s="565"/>
      <c r="R4" s="565"/>
      <c r="S4" s="565"/>
      <c r="T4" s="84"/>
      <c r="U4" s="84"/>
      <c r="V4" s="340"/>
      <c r="W4" s="341"/>
      <c r="X4" s="340"/>
      <c r="Y4" s="341"/>
      <c r="Z4" s="342"/>
      <c r="AA4" s="475"/>
      <c r="AB4" s="477"/>
      <c r="AC4" s="475"/>
      <c r="AD4" s="475"/>
      <c r="AE4" s="475"/>
      <c r="AF4" s="475"/>
      <c r="AG4" s="475"/>
      <c r="AH4" s="475"/>
      <c r="AI4" s="475"/>
      <c r="AJ4" s="343"/>
      <c r="AK4" s="344"/>
      <c r="AL4" s="344"/>
      <c r="AM4" s="345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43769</v>
      </c>
      <c r="B5" s="434">
        <f>[1]WATER!B36</f>
        <v>108202</v>
      </c>
      <c r="C5" s="434">
        <f>[1]WATER!C36</f>
        <v>132</v>
      </c>
      <c r="D5" s="434">
        <f>[1]WATER!D36</f>
        <v>4.8888888888888893</v>
      </c>
      <c r="E5" s="434">
        <f>[1]WATER!E36</f>
        <v>461.05548387096769</v>
      </c>
      <c r="F5" s="434">
        <f>[1]WATER!F36</f>
        <v>0</v>
      </c>
      <c r="G5" s="434">
        <f>[1]WATER!G36</f>
        <v>584867</v>
      </c>
      <c r="H5" s="434">
        <f>[1]WATER!H36</f>
        <v>213</v>
      </c>
      <c r="I5" s="434">
        <f>[1]WATER!I36</f>
        <v>345</v>
      </c>
      <c r="J5" s="434">
        <f>[1]WATER!J36</f>
        <v>1.3363927068723702</v>
      </c>
      <c r="K5" s="434">
        <f>[1]WATER!K36</f>
        <v>5773</v>
      </c>
      <c r="L5" s="434">
        <f>[1]WATER!L36</f>
        <v>0</v>
      </c>
      <c r="M5" s="434">
        <f>[1]WATER!M36</f>
        <v>457.44</v>
      </c>
      <c r="N5" s="434">
        <f>[1]WATER!N36</f>
        <v>0</v>
      </c>
      <c r="O5" s="434">
        <f>[1]WATER!O36</f>
        <v>529.52</v>
      </c>
      <c r="P5" s="434">
        <f>[1]WATER!P36</f>
        <v>0</v>
      </c>
      <c r="Q5" s="434">
        <f>[1]WATER!Q36</f>
        <v>0</v>
      </c>
      <c r="R5" s="434">
        <f>[1]WATER!R36</f>
        <v>0</v>
      </c>
      <c r="S5" s="434">
        <f>[1]WATER!S36</f>
        <v>0</v>
      </c>
      <c r="T5" s="434">
        <f>[1]WATER!T36</f>
        <v>4363</v>
      </c>
      <c r="U5" s="434">
        <f>[1]WATER!U36</f>
        <v>9</v>
      </c>
      <c r="V5" s="434">
        <f>[1]WATER!V36</f>
        <v>332</v>
      </c>
      <c r="W5" s="434">
        <f>[1]WATER!W36</f>
        <v>6</v>
      </c>
      <c r="X5" s="434">
        <f>[1]WATER!X36</f>
        <v>138671</v>
      </c>
      <c r="Y5" s="434">
        <f>[1]WATER!Y36</f>
        <v>114</v>
      </c>
      <c r="Z5" s="434">
        <f>[1]WATER!Z36</f>
        <v>90621</v>
      </c>
      <c r="AA5" s="434">
        <f>[1]WATER!AA36</f>
        <v>94</v>
      </c>
      <c r="AB5" s="434">
        <f>[1]WATER!AB36</f>
        <v>249</v>
      </c>
      <c r="AC5" s="434">
        <f>[1]WATER!AC36</f>
        <v>670</v>
      </c>
      <c r="AD5" s="434">
        <f>[1]WATER!AD36</f>
        <v>0</v>
      </c>
      <c r="AE5" s="434">
        <f>[1]WATER!AE36</f>
        <v>60.22</v>
      </c>
      <c r="AF5" s="434">
        <f>[1]WATER!AF36</f>
        <v>2.009999999999998</v>
      </c>
      <c r="AG5" s="434">
        <f>[1]WATER!AG36</f>
        <v>961.36</v>
      </c>
      <c r="AH5" s="434">
        <f>[1]WATER!AH36</f>
        <v>19.759999999999991</v>
      </c>
      <c r="AI5" s="434">
        <f>[1]WATER!AI36</f>
        <v>21.769999999999989</v>
      </c>
      <c r="AJ5" s="434">
        <f>[1]WATER!AJ36</f>
        <v>94</v>
      </c>
      <c r="AK5" s="434">
        <f>[1]WATER!AK36</f>
        <v>114</v>
      </c>
      <c r="AL5" s="434">
        <f>[1]WATER!AL36</f>
        <v>88</v>
      </c>
      <c r="AM5" s="434">
        <f>[1]WATER!AM36</f>
        <v>13.5</v>
      </c>
      <c r="AN5" s="434">
        <f>[1]WATER!AN36</f>
        <v>0</v>
      </c>
      <c r="AO5" s="434">
        <f>[1]WATER!AO36</f>
        <v>0</v>
      </c>
      <c r="AP5" s="434">
        <f>[1]WATER!AP36</f>
        <v>439</v>
      </c>
      <c r="AQ5" s="434">
        <f>[1]WATER!AQ36</f>
        <v>0</v>
      </c>
      <c r="AR5" s="434">
        <f>[1]WATER!AR36</f>
        <v>43830</v>
      </c>
      <c r="AS5" s="434">
        <f>[1]WATER!AS36</f>
        <v>0.9</v>
      </c>
      <c r="AT5" s="434">
        <f>[1]WATER!AT36</f>
        <v>102</v>
      </c>
      <c r="AU5" s="434">
        <f>[1]WATER!AU36</f>
        <v>1.1000000000000001</v>
      </c>
      <c r="AV5" s="434">
        <f>[1]WATER!AV36</f>
        <v>71</v>
      </c>
      <c r="AW5" s="434">
        <f>[1]WATER!AW36</f>
        <v>2.9</v>
      </c>
      <c r="AX5" s="434">
        <f>[1]WATER!AX36</f>
        <v>76</v>
      </c>
      <c r="AY5" s="434">
        <f>[1]WATER!AY36</f>
        <v>91.8</v>
      </c>
      <c r="AZ5" s="434">
        <f>[1]WATER!AZ36</f>
        <v>78.100000000000009</v>
      </c>
      <c r="BA5" s="434">
        <f>[1]WATER!BA36</f>
        <v>220.4</v>
      </c>
      <c r="BB5" s="434">
        <f>[1]WATER!BB36</f>
        <v>37.799999999999997</v>
      </c>
      <c r="BC5" s="434">
        <f>[1]WATER!BC36</f>
        <v>5.5</v>
      </c>
      <c r="BD5" s="434">
        <f>[1]WATER!BD36</f>
        <v>84.100000000000023</v>
      </c>
      <c r="BE5" s="434">
        <f>[1]WATER!BE36</f>
        <v>127.40000000000002</v>
      </c>
      <c r="BF5" s="434">
        <f>[1]WATER!BF36</f>
        <v>217.59999999999997</v>
      </c>
      <c r="BG5" s="434">
        <f>[1]WATER!BG36</f>
        <v>127.40000000000003</v>
      </c>
    </row>
    <row r="6" spans="1:65" ht="15.75" thickBot="1">
      <c r="A6" s="6">
        <f>ELEC!C3</f>
        <v>43831</v>
      </c>
      <c r="B6" s="5">
        <v>108202</v>
      </c>
      <c r="C6" s="5">
        <f>B6-B5</f>
        <v>0</v>
      </c>
      <c r="D6" s="443">
        <f>C6/27</f>
        <v>0</v>
      </c>
      <c r="E6" s="350">
        <f>SUM((C6*$E$4)+(7500/'EDl log'!$A$38))</f>
        <v>241.93548387096774</v>
      </c>
      <c r="F6" s="442"/>
      <c r="G6" s="5">
        <v>584886</v>
      </c>
      <c r="H6" s="5">
        <f>G6-G5</f>
        <v>19</v>
      </c>
      <c r="I6" s="5">
        <f t="shared" ref="I6:I35" si="0">C6+H6</f>
        <v>19</v>
      </c>
      <c r="J6" s="351">
        <f t="shared" ref="J6:J35" si="1">IF(I6&gt;0,E6/I6,0)</f>
        <v>12.733446519524618</v>
      </c>
      <c r="K6" s="5">
        <f>'Swimming Pool quality check '!H6</f>
        <v>5783</v>
      </c>
      <c r="L6" s="84">
        <v>0</v>
      </c>
      <c r="M6" s="434">
        <f>M5</f>
        <v>457.44</v>
      </c>
      <c r="N6" s="565">
        <f t="shared" ref="N6:N13" si="2">SUM(M6-M5)</f>
        <v>0</v>
      </c>
      <c r="O6" s="434">
        <f>O5</f>
        <v>529.52</v>
      </c>
      <c r="P6" s="565">
        <f t="shared" ref="P6:P13" si="3">SUM(O6-O5)</f>
        <v>0</v>
      </c>
      <c r="Q6" s="566">
        <f>P6+N6</f>
        <v>0</v>
      </c>
      <c r="R6" s="565"/>
      <c r="S6" s="565"/>
      <c r="T6" s="5">
        <v>4371</v>
      </c>
      <c r="U6" s="5">
        <f t="shared" ref="U6:U35" si="4">SUM(T6-T5)</f>
        <v>8</v>
      </c>
      <c r="V6" s="5">
        <v>336</v>
      </c>
      <c r="W6" s="341">
        <f>+V6-V5</f>
        <v>4</v>
      </c>
      <c r="X6" s="5">
        <v>138719</v>
      </c>
      <c r="Y6" s="341">
        <f>SUM(X6-X5)</f>
        <v>48</v>
      </c>
      <c r="Z6" s="5">
        <v>90702</v>
      </c>
      <c r="AA6" s="84">
        <f>Z6-Z5</f>
        <v>81</v>
      </c>
      <c r="AB6" s="5">
        <v>249</v>
      </c>
      <c r="AC6" s="5">
        <f>AC5</f>
        <v>670</v>
      </c>
      <c r="AD6" s="84">
        <v>0</v>
      </c>
      <c r="AE6" s="5">
        <v>61.38</v>
      </c>
      <c r="AF6" s="84">
        <f>AE6-AE5</f>
        <v>1.1600000000000037</v>
      </c>
      <c r="AG6" s="5">
        <v>970.45</v>
      </c>
      <c r="AH6" s="84">
        <f>AG6-AG5</f>
        <v>9.0900000000000318</v>
      </c>
      <c r="AI6" s="84">
        <f>AF6+AH6</f>
        <v>10.250000000000036</v>
      </c>
      <c r="AJ6" s="343">
        <f>+Z6-Z5</f>
        <v>81</v>
      </c>
      <c r="AK6" s="344">
        <f t="shared" ref="AK6:AK38" si="5">SUM(Y6-L6)</f>
        <v>48</v>
      </c>
      <c r="AL6" s="344">
        <f>SUM(AJ6-W6)</f>
        <v>77</v>
      </c>
      <c r="AM6" s="344">
        <f>'General information '!D6</f>
        <v>13.5</v>
      </c>
      <c r="AN6" s="85">
        <f>'General information '!H6</f>
        <v>0</v>
      </c>
      <c r="AO6" s="85"/>
      <c r="AP6" s="85">
        <f>'General information '!J6</f>
        <v>549</v>
      </c>
      <c r="AQ6" s="82"/>
      <c r="AR6" s="287">
        <f>A6</f>
        <v>43831</v>
      </c>
      <c r="AS6" s="449">
        <f t="shared" ref="AS6:AS21" si="6">AS5</f>
        <v>0.9</v>
      </c>
      <c r="AT6" s="205">
        <v>0</v>
      </c>
      <c r="AU6" s="450">
        <f>AU5</f>
        <v>1.1000000000000001</v>
      </c>
      <c r="AV6" s="205">
        <v>80</v>
      </c>
      <c r="AW6" s="5">
        <v>2.9</v>
      </c>
      <c r="AX6" s="205">
        <v>72</v>
      </c>
      <c r="AY6" s="453">
        <f t="shared" ref="AY6:AY35" si="7">AS6*AT6</f>
        <v>0</v>
      </c>
      <c r="AZ6" s="453">
        <f>AU6*AV6</f>
        <v>88</v>
      </c>
      <c r="BA6" s="453">
        <f>AW6*AX6</f>
        <v>208.79999999999998</v>
      </c>
      <c r="BB6" s="21">
        <f>AY6-AY5</f>
        <v>-91.8</v>
      </c>
      <c r="BC6" s="21">
        <f>AZ6-AZ5</f>
        <v>9.8999999999999915</v>
      </c>
      <c r="BD6" s="21">
        <f>BA6-BA5</f>
        <v>-11.600000000000023</v>
      </c>
      <c r="BE6" s="24">
        <f>SUM(BB6:BD6)</f>
        <v>-93.500000000000028</v>
      </c>
      <c r="BF6" s="97">
        <f t="shared" ref="BF6:BF35" si="8">SUM(I6-BE6)</f>
        <v>112.50000000000003</v>
      </c>
      <c r="BG6" s="83">
        <f t="shared" ref="BG6:BG35" si="9">SUM(I6-BF6)</f>
        <v>-93.500000000000028</v>
      </c>
      <c r="BI6" s="17"/>
      <c r="BJ6" s="17"/>
      <c r="BK6" s="17"/>
      <c r="BL6" s="17"/>
      <c r="BM6" s="17"/>
    </row>
    <row r="7" spans="1:65" ht="15.75" thickBot="1">
      <c r="A7" s="6">
        <f>ELEC!C4</f>
        <v>43832</v>
      </c>
      <c r="B7" s="5">
        <v>108282</v>
      </c>
      <c r="C7" s="5">
        <f t="shared" ref="C7:C35" si="10">B7-B6</f>
        <v>80</v>
      </c>
      <c r="D7" s="443">
        <f t="shared" ref="D7:D36" si="11">C7/27</f>
        <v>2.9629629629629628</v>
      </c>
      <c r="E7" s="350">
        <f>SUM((C7*$E$4)+(7500/'EDl log'!$A$38))</f>
        <v>374.73548387096776</v>
      </c>
      <c r="F7" s="442">
        <v>3</v>
      </c>
      <c r="G7" s="5">
        <v>585122</v>
      </c>
      <c r="H7" s="5">
        <f t="shared" ref="H7:H35" si="12">G7-G6</f>
        <v>236</v>
      </c>
      <c r="I7" s="5">
        <f t="shared" si="0"/>
        <v>316</v>
      </c>
      <c r="J7" s="351">
        <f t="shared" si="1"/>
        <v>1.1858717844017967</v>
      </c>
      <c r="K7" s="5">
        <f>'Swimming Pool quality check '!H7</f>
        <v>5790</v>
      </c>
      <c r="L7" s="84">
        <f>K7-K6</f>
        <v>7</v>
      </c>
      <c r="M7" s="434">
        <f t="shared" ref="M7:O36" si="13">M6</f>
        <v>457.44</v>
      </c>
      <c r="N7" s="565">
        <f t="shared" si="2"/>
        <v>0</v>
      </c>
      <c r="O7" s="434">
        <f t="shared" si="13"/>
        <v>529.52</v>
      </c>
      <c r="P7" s="565">
        <f t="shared" si="3"/>
        <v>0</v>
      </c>
      <c r="Q7" s="566">
        <f>P7+N7</f>
        <v>0</v>
      </c>
      <c r="R7" s="565"/>
      <c r="S7" s="565"/>
      <c r="T7" s="5">
        <v>4376</v>
      </c>
      <c r="U7" s="5">
        <f t="shared" si="4"/>
        <v>5</v>
      </c>
      <c r="V7" s="5">
        <v>338</v>
      </c>
      <c r="W7" s="341">
        <f t="shared" ref="W7:W36" si="14">+V7-V6</f>
        <v>2</v>
      </c>
      <c r="X7" s="5">
        <v>138807</v>
      </c>
      <c r="Y7" s="341">
        <f t="shared" ref="Y7:Y35" si="15">SUM(X7-X6)</f>
        <v>88</v>
      </c>
      <c r="Z7" s="5">
        <v>90761</v>
      </c>
      <c r="AA7" s="84">
        <f t="shared" ref="AA7:AA35" si="16">Z7-Z6</f>
        <v>59</v>
      </c>
      <c r="AB7" s="5">
        <f t="shared" ref="T7:AG36" si="17">AB6</f>
        <v>249</v>
      </c>
      <c r="AC7" s="5">
        <f t="shared" si="17"/>
        <v>670</v>
      </c>
      <c r="AD7" s="84">
        <f>AC7-AC6</f>
        <v>0</v>
      </c>
      <c r="AE7" s="5">
        <v>63.34</v>
      </c>
      <c r="AF7" s="84">
        <f t="shared" ref="AF7:AF35" si="18">AE7-AE6</f>
        <v>1.9600000000000009</v>
      </c>
      <c r="AG7" s="5">
        <v>991.8</v>
      </c>
      <c r="AH7" s="84">
        <f t="shared" ref="AH7:AH36" si="19">AG7-AG6</f>
        <v>21.349999999999909</v>
      </c>
      <c r="AI7" s="84">
        <f t="shared" ref="AI7:AI36" si="20">AF7+AH7</f>
        <v>23.30999999999991</v>
      </c>
      <c r="AJ7" s="343">
        <f t="shared" ref="AJ7:AJ35" si="21">+Z7-Z6</f>
        <v>59</v>
      </c>
      <c r="AK7" s="344">
        <f t="shared" si="5"/>
        <v>81</v>
      </c>
      <c r="AL7" s="344">
        <f t="shared" ref="AL7:AL35" si="22">SUM(AJ7-W7)</f>
        <v>57</v>
      </c>
      <c r="AM7" s="344">
        <f>'General information '!D7</f>
        <v>14.5</v>
      </c>
      <c r="AN7" s="85">
        <f>'General information '!H7</f>
        <v>0</v>
      </c>
      <c r="AO7" s="85"/>
      <c r="AP7" s="85">
        <f>'General information '!J7</f>
        <v>371</v>
      </c>
      <c r="AQ7" s="82"/>
      <c r="AR7" s="287">
        <f t="shared" ref="AR7:AR35" si="23">A7</f>
        <v>43832</v>
      </c>
      <c r="AS7" s="449">
        <f t="shared" si="6"/>
        <v>0.9</v>
      </c>
      <c r="AT7" s="205">
        <v>57</v>
      </c>
      <c r="AU7" s="450">
        <f>AU6</f>
        <v>1.1000000000000001</v>
      </c>
      <c r="AV7" s="205">
        <v>106</v>
      </c>
      <c r="AW7" s="5">
        <v>2.9</v>
      </c>
      <c r="AX7" s="205">
        <v>70</v>
      </c>
      <c r="AY7" s="453">
        <f t="shared" si="7"/>
        <v>51.300000000000004</v>
      </c>
      <c r="AZ7" s="453">
        <f t="shared" ref="AZ7:AZ35" si="24">AU7*AV7</f>
        <v>116.60000000000001</v>
      </c>
      <c r="BA7" s="453">
        <f t="shared" ref="BA7:BA36" si="25">AW7*AX7</f>
        <v>203</v>
      </c>
      <c r="BB7" s="21">
        <f t="shared" ref="BB7:BD35" si="26">AY7-AY6</f>
        <v>51.300000000000004</v>
      </c>
      <c r="BC7" s="21">
        <f t="shared" ref="BC7:BD21" si="27">AZ7-AZ6</f>
        <v>28.600000000000009</v>
      </c>
      <c r="BD7" s="21">
        <f t="shared" si="27"/>
        <v>-5.7999999999999829</v>
      </c>
      <c r="BE7" s="24">
        <f t="shared" ref="BE7:BE35" si="28">SUM(BB7:BD7)</f>
        <v>74.100000000000023</v>
      </c>
      <c r="BF7" s="97">
        <f t="shared" si="8"/>
        <v>241.89999999999998</v>
      </c>
      <c r="BG7" s="83">
        <f t="shared" si="9"/>
        <v>74.100000000000023</v>
      </c>
      <c r="BI7" s="87"/>
      <c r="BJ7" s="17"/>
      <c r="BK7" s="17"/>
      <c r="BL7" s="17"/>
      <c r="BM7" s="17"/>
    </row>
    <row r="8" spans="1:65" ht="15.75" thickBot="1">
      <c r="A8" s="6">
        <f>ELEC!C5</f>
        <v>43833</v>
      </c>
      <c r="B8" s="5">
        <v>108282</v>
      </c>
      <c r="C8" s="5">
        <f>B8-B7</f>
        <v>0</v>
      </c>
      <c r="D8" s="443">
        <f t="shared" si="11"/>
        <v>0</v>
      </c>
      <c r="E8" s="350">
        <f>SUM((C8*$E$4)+(7500/'EDl log'!$A$38))</f>
        <v>241.93548387096774</v>
      </c>
      <c r="F8" s="442"/>
      <c r="G8" s="5">
        <f t="shared" ref="G8:G36" si="29">G7</f>
        <v>585122</v>
      </c>
      <c r="H8" s="5">
        <f t="shared" si="12"/>
        <v>0</v>
      </c>
      <c r="I8" s="5">
        <f t="shared" si="0"/>
        <v>0</v>
      </c>
      <c r="J8" s="351">
        <f t="shared" si="1"/>
        <v>0</v>
      </c>
      <c r="K8" s="5">
        <f>'Swimming Pool quality check '!H8</f>
        <v>5791</v>
      </c>
      <c r="L8" s="84">
        <f>K8-K7</f>
        <v>1</v>
      </c>
      <c r="M8" s="434">
        <f t="shared" si="13"/>
        <v>457.44</v>
      </c>
      <c r="N8" s="565">
        <f t="shared" si="2"/>
        <v>0</v>
      </c>
      <c r="O8" s="434">
        <f>O7</f>
        <v>529.52</v>
      </c>
      <c r="P8" s="565">
        <f t="shared" si="3"/>
        <v>0</v>
      </c>
      <c r="Q8" s="566">
        <f>P8+N8</f>
        <v>0</v>
      </c>
      <c r="R8" s="565"/>
      <c r="S8" s="565"/>
      <c r="T8" s="5">
        <v>4381</v>
      </c>
      <c r="U8" s="5">
        <f t="shared" si="4"/>
        <v>5</v>
      </c>
      <c r="V8" s="5">
        <v>339</v>
      </c>
      <c r="W8" s="341">
        <f t="shared" si="14"/>
        <v>1</v>
      </c>
      <c r="X8" s="5">
        <v>138827</v>
      </c>
      <c r="Y8" s="341">
        <f t="shared" si="15"/>
        <v>20</v>
      </c>
      <c r="Z8" s="5">
        <v>90788</v>
      </c>
      <c r="AA8" s="84">
        <f t="shared" si="16"/>
        <v>27</v>
      </c>
      <c r="AB8" s="5">
        <v>246</v>
      </c>
      <c r="AC8" s="5">
        <f t="shared" si="17"/>
        <v>670</v>
      </c>
      <c r="AD8" s="84">
        <f t="shared" ref="AD8:AD35" si="30">AC8-AC7</f>
        <v>0</v>
      </c>
      <c r="AE8" s="5">
        <f t="shared" si="17"/>
        <v>63.34</v>
      </c>
      <c r="AF8" s="84">
        <f t="shared" si="18"/>
        <v>0</v>
      </c>
      <c r="AG8" s="5">
        <v>993.36</v>
      </c>
      <c r="AH8" s="84">
        <f t="shared" si="19"/>
        <v>1.5600000000000591</v>
      </c>
      <c r="AI8" s="84">
        <f t="shared" si="20"/>
        <v>1.5600000000000591</v>
      </c>
      <c r="AJ8" s="343">
        <f t="shared" si="21"/>
        <v>27</v>
      </c>
      <c r="AK8" s="344">
        <f t="shared" si="5"/>
        <v>19</v>
      </c>
      <c r="AL8" s="344">
        <f t="shared" si="22"/>
        <v>26</v>
      </c>
      <c r="AM8" s="344">
        <f>'General information '!D8</f>
        <v>14</v>
      </c>
      <c r="AN8" s="85">
        <f>'General information '!H8</f>
        <v>157</v>
      </c>
      <c r="AO8" s="85"/>
      <c r="AP8" s="85">
        <f>'General information '!J8</f>
        <v>535</v>
      </c>
      <c r="AQ8" s="82"/>
      <c r="AR8" s="287">
        <f t="shared" si="23"/>
        <v>43833</v>
      </c>
      <c r="AS8" s="449">
        <f t="shared" si="6"/>
        <v>0.9</v>
      </c>
      <c r="AT8" s="205">
        <v>7</v>
      </c>
      <c r="AU8" s="450">
        <v>1.1000000000000001</v>
      </c>
      <c r="AV8" s="205">
        <v>100</v>
      </c>
      <c r="AW8" s="5">
        <v>2.9</v>
      </c>
      <c r="AX8" s="205">
        <v>59</v>
      </c>
      <c r="AY8" s="453">
        <f t="shared" si="7"/>
        <v>6.3</v>
      </c>
      <c r="AZ8" s="453">
        <f t="shared" si="24"/>
        <v>110.00000000000001</v>
      </c>
      <c r="BA8" s="453">
        <f t="shared" si="25"/>
        <v>171.1</v>
      </c>
      <c r="BB8" s="21">
        <f t="shared" si="26"/>
        <v>-45.000000000000007</v>
      </c>
      <c r="BC8" s="21">
        <f t="shared" si="27"/>
        <v>-6.5999999999999943</v>
      </c>
      <c r="BD8" s="21">
        <f t="shared" si="27"/>
        <v>-31.900000000000006</v>
      </c>
      <c r="BE8" s="24">
        <f t="shared" si="28"/>
        <v>-83.5</v>
      </c>
      <c r="BF8" s="97">
        <f t="shared" si="8"/>
        <v>83.5</v>
      </c>
      <c r="BG8" s="83">
        <f t="shared" si="9"/>
        <v>-83.5</v>
      </c>
      <c r="BI8" s="87"/>
      <c r="BJ8" s="17"/>
      <c r="BK8" s="17"/>
    </row>
    <row r="9" spans="1:65" ht="15.75" thickBot="1">
      <c r="A9" s="6">
        <f>ELEC!C6</f>
        <v>43834</v>
      </c>
      <c r="B9" s="5">
        <v>108282</v>
      </c>
      <c r="C9" s="5">
        <f t="shared" si="10"/>
        <v>0</v>
      </c>
      <c r="D9" s="443">
        <f t="shared" si="11"/>
        <v>0</v>
      </c>
      <c r="E9" s="350">
        <f>SUM((C9*$E$4)+(7500/'EDl log'!$A$38))</f>
        <v>241.93548387096774</v>
      </c>
      <c r="F9" s="442"/>
      <c r="G9" s="5">
        <v>585410</v>
      </c>
      <c r="H9" s="5">
        <f t="shared" si="12"/>
        <v>288</v>
      </c>
      <c r="I9" s="5">
        <f t="shared" si="0"/>
        <v>288</v>
      </c>
      <c r="J9" s="351">
        <f t="shared" si="1"/>
        <v>0.84005376344086025</v>
      </c>
      <c r="K9" s="5">
        <f>'Swimming Pool quality check '!H9</f>
        <v>5794</v>
      </c>
      <c r="L9" s="84">
        <f t="shared" ref="L9:L35" si="31">K9-K8</f>
        <v>3</v>
      </c>
      <c r="M9" s="434">
        <f t="shared" si="13"/>
        <v>457.44</v>
      </c>
      <c r="N9" s="565">
        <f t="shared" si="2"/>
        <v>0</v>
      </c>
      <c r="O9" s="434">
        <f t="shared" si="13"/>
        <v>529.52</v>
      </c>
      <c r="P9" s="565">
        <f t="shared" si="3"/>
        <v>0</v>
      </c>
      <c r="Q9" s="566">
        <f>P9+N9</f>
        <v>0</v>
      </c>
      <c r="R9" s="565"/>
      <c r="S9" s="565"/>
      <c r="T9" s="5">
        <v>4388</v>
      </c>
      <c r="U9" s="5">
        <f t="shared" si="4"/>
        <v>7</v>
      </c>
      <c r="V9" s="5">
        <v>339</v>
      </c>
      <c r="W9" s="341">
        <f t="shared" si="14"/>
        <v>0</v>
      </c>
      <c r="X9" s="5">
        <v>138925</v>
      </c>
      <c r="Y9" s="341">
        <f t="shared" si="15"/>
        <v>98</v>
      </c>
      <c r="Z9" s="5">
        <v>90790</v>
      </c>
      <c r="AA9" s="84">
        <f t="shared" si="16"/>
        <v>2</v>
      </c>
      <c r="AB9" s="5">
        <f t="shared" si="17"/>
        <v>246</v>
      </c>
      <c r="AC9" s="5">
        <f t="shared" si="17"/>
        <v>670</v>
      </c>
      <c r="AD9" s="84">
        <f t="shared" si="30"/>
        <v>0</v>
      </c>
      <c r="AE9" s="5">
        <v>67.05</v>
      </c>
      <c r="AF9" s="84">
        <f t="shared" si="18"/>
        <v>3.7099999999999937</v>
      </c>
      <c r="AG9" s="5">
        <v>1020.78</v>
      </c>
      <c r="AH9" s="84">
        <f t="shared" si="19"/>
        <v>27.419999999999959</v>
      </c>
      <c r="AI9" s="84">
        <f t="shared" si="20"/>
        <v>31.129999999999953</v>
      </c>
      <c r="AJ9" s="343">
        <f t="shared" si="21"/>
        <v>2</v>
      </c>
      <c r="AK9" s="344">
        <f t="shared" si="5"/>
        <v>95</v>
      </c>
      <c r="AL9" s="344">
        <f t="shared" si="22"/>
        <v>2</v>
      </c>
      <c r="AM9" s="344">
        <f>'General information '!D9</f>
        <v>13</v>
      </c>
      <c r="AN9" s="85">
        <f>'General information '!H9</f>
        <v>260</v>
      </c>
      <c r="AO9" s="85"/>
      <c r="AP9" s="85">
        <f>'General information '!J9</f>
        <v>650</v>
      </c>
      <c r="AQ9" s="82"/>
      <c r="AR9" s="287">
        <f t="shared" si="23"/>
        <v>43834</v>
      </c>
      <c r="AS9" s="449">
        <f t="shared" si="6"/>
        <v>0.9</v>
      </c>
      <c r="AT9" s="205">
        <v>79</v>
      </c>
      <c r="AU9" s="450">
        <f t="shared" ref="AU9:AU36" si="32">AU8</f>
        <v>1.1000000000000001</v>
      </c>
      <c r="AV9" s="205">
        <v>54</v>
      </c>
      <c r="AW9" s="5">
        <v>2.9</v>
      </c>
      <c r="AX9" s="205">
        <v>69</v>
      </c>
      <c r="AY9" s="453">
        <f t="shared" si="7"/>
        <v>71.100000000000009</v>
      </c>
      <c r="AZ9" s="453">
        <f t="shared" si="24"/>
        <v>59.400000000000006</v>
      </c>
      <c r="BA9" s="453">
        <f t="shared" si="25"/>
        <v>200.1</v>
      </c>
      <c r="BB9" s="21">
        <f t="shared" si="26"/>
        <v>64.800000000000011</v>
      </c>
      <c r="BC9" s="21">
        <f t="shared" si="27"/>
        <v>-50.600000000000009</v>
      </c>
      <c r="BD9" s="21">
        <f t="shared" si="27"/>
        <v>29</v>
      </c>
      <c r="BE9" s="24">
        <f t="shared" si="28"/>
        <v>43.2</v>
      </c>
      <c r="BF9" s="366">
        <f t="shared" si="8"/>
        <v>244.8</v>
      </c>
      <c r="BG9" s="83">
        <f t="shared" si="9"/>
        <v>43.199999999999989</v>
      </c>
    </row>
    <row r="10" spans="1:65" ht="15.75" thickBot="1">
      <c r="A10" s="6">
        <f>ELEC!C7</f>
        <v>43835</v>
      </c>
      <c r="B10" s="5">
        <v>108282</v>
      </c>
      <c r="C10" s="5">
        <f t="shared" si="10"/>
        <v>0</v>
      </c>
      <c r="D10" s="443">
        <f t="shared" si="11"/>
        <v>0</v>
      </c>
      <c r="E10" s="350">
        <f>SUM((C10*$E$4)+(7500/'EDl log'!$A$38))</f>
        <v>241.93548387096774</v>
      </c>
      <c r="F10" s="442"/>
      <c r="G10" s="5">
        <v>585410</v>
      </c>
      <c r="H10" s="5">
        <f t="shared" si="12"/>
        <v>0</v>
      </c>
      <c r="I10" s="5">
        <f t="shared" si="0"/>
        <v>0</v>
      </c>
      <c r="J10" s="351">
        <f t="shared" si="1"/>
        <v>0</v>
      </c>
      <c r="K10" s="5">
        <f>'Swimming Pool quality check '!H10</f>
        <v>5796</v>
      </c>
      <c r="L10" s="84">
        <f>K10-K9</f>
        <v>2</v>
      </c>
      <c r="M10" s="434">
        <f t="shared" si="13"/>
        <v>457.44</v>
      </c>
      <c r="N10" s="565">
        <f t="shared" si="2"/>
        <v>0</v>
      </c>
      <c r="O10" s="434">
        <f t="shared" si="13"/>
        <v>529.52</v>
      </c>
      <c r="P10" s="565">
        <f t="shared" si="3"/>
        <v>0</v>
      </c>
      <c r="Q10" s="566">
        <f>P10+N10</f>
        <v>0</v>
      </c>
      <c r="R10" s="565"/>
      <c r="S10" s="565"/>
      <c r="T10" s="5">
        <v>4396</v>
      </c>
      <c r="U10" s="5">
        <f t="shared" si="4"/>
        <v>8</v>
      </c>
      <c r="V10" s="5">
        <v>342</v>
      </c>
      <c r="W10" s="341">
        <f t="shared" si="14"/>
        <v>3</v>
      </c>
      <c r="X10" s="5">
        <v>138929</v>
      </c>
      <c r="Y10" s="341">
        <f t="shared" si="15"/>
        <v>4</v>
      </c>
      <c r="Z10" s="5">
        <v>90843</v>
      </c>
      <c r="AA10" s="84">
        <f t="shared" si="16"/>
        <v>53</v>
      </c>
      <c r="AB10" s="5">
        <v>246</v>
      </c>
      <c r="AC10" s="5">
        <f t="shared" si="17"/>
        <v>670</v>
      </c>
      <c r="AD10" s="84">
        <f t="shared" si="30"/>
        <v>0</v>
      </c>
      <c r="AE10" s="5">
        <v>67.540000000000006</v>
      </c>
      <c r="AF10" s="84">
        <f t="shared" si="18"/>
        <v>0.49000000000000909</v>
      </c>
      <c r="AG10" s="5">
        <v>1025.94</v>
      </c>
      <c r="AH10" s="84">
        <f t="shared" si="19"/>
        <v>5.1600000000000819</v>
      </c>
      <c r="AI10" s="84">
        <f t="shared" si="20"/>
        <v>5.6500000000000909</v>
      </c>
      <c r="AJ10" s="343">
        <f t="shared" si="21"/>
        <v>53</v>
      </c>
      <c r="AK10" s="344">
        <f t="shared" si="5"/>
        <v>2</v>
      </c>
      <c r="AL10" s="344">
        <f t="shared" si="22"/>
        <v>50</v>
      </c>
      <c r="AM10" s="344">
        <f>'General information '!D10</f>
        <v>13</v>
      </c>
      <c r="AN10" s="85">
        <f>'General information '!H10</f>
        <v>0</v>
      </c>
      <c r="AO10" s="85"/>
      <c r="AP10" s="85">
        <f>'General information '!J10</f>
        <v>287</v>
      </c>
      <c r="AQ10" s="82"/>
      <c r="AR10" s="287">
        <f t="shared" si="23"/>
        <v>43835</v>
      </c>
      <c r="AS10" s="449">
        <f t="shared" si="6"/>
        <v>0.9</v>
      </c>
      <c r="AT10" s="205">
        <v>23</v>
      </c>
      <c r="AU10" s="450">
        <f t="shared" si="32"/>
        <v>1.1000000000000001</v>
      </c>
      <c r="AV10" s="205">
        <v>67</v>
      </c>
      <c r="AW10" s="5">
        <v>2.9</v>
      </c>
      <c r="AX10" s="205">
        <v>60</v>
      </c>
      <c r="AY10" s="453">
        <f t="shared" si="7"/>
        <v>20.7</v>
      </c>
      <c r="AZ10" s="453">
        <f t="shared" si="24"/>
        <v>73.7</v>
      </c>
      <c r="BA10" s="453">
        <f t="shared" si="25"/>
        <v>174</v>
      </c>
      <c r="BB10" s="21">
        <f t="shared" si="26"/>
        <v>-50.400000000000006</v>
      </c>
      <c r="BC10" s="21">
        <f t="shared" si="27"/>
        <v>14.299999999999997</v>
      </c>
      <c r="BD10" s="21">
        <f t="shared" si="27"/>
        <v>-26.099999999999994</v>
      </c>
      <c r="BE10" s="24">
        <f t="shared" si="28"/>
        <v>-62.2</v>
      </c>
      <c r="BF10" s="97">
        <f t="shared" si="8"/>
        <v>62.2</v>
      </c>
      <c r="BG10" s="83">
        <f t="shared" si="9"/>
        <v>-62.2</v>
      </c>
    </row>
    <row r="11" spans="1:65" ht="15.75" thickBot="1">
      <c r="A11" s="6">
        <f>ELEC!C8</f>
        <v>43836</v>
      </c>
      <c r="B11" s="5">
        <v>108282</v>
      </c>
      <c r="C11" s="5">
        <f t="shared" si="10"/>
        <v>0</v>
      </c>
      <c r="D11" s="443">
        <f t="shared" si="11"/>
        <v>0</v>
      </c>
      <c r="E11" s="350">
        <f>SUM((C11*$E$4)+(7500/'EDl log'!$A$38))</f>
        <v>241.93548387096774</v>
      </c>
      <c r="F11" s="442"/>
      <c r="G11" s="5">
        <v>585589</v>
      </c>
      <c r="H11" s="5">
        <f t="shared" si="12"/>
        <v>179</v>
      </c>
      <c r="I11" s="5">
        <f t="shared" si="0"/>
        <v>179</v>
      </c>
      <c r="J11" s="351">
        <f t="shared" si="1"/>
        <v>1.3515948819607138</v>
      </c>
      <c r="K11" s="5">
        <f>'Swimming Pool quality check '!H11</f>
        <v>5800</v>
      </c>
      <c r="L11" s="84">
        <f t="shared" si="31"/>
        <v>4</v>
      </c>
      <c r="M11" s="434">
        <f t="shared" si="13"/>
        <v>457.44</v>
      </c>
      <c r="N11" s="565">
        <f t="shared" si="2"/>
        <v>0</v>
      </c>
      <c r="O11" s="434">
        <f t="shared" si="13"/>
        <v>529.52</v>
      </c>
      <c r="P11" s="565">
        <f t="shared" si="3"/>
        <v>0</v>
      </c>
      <c r="Q11" s="565">
        <f>SUM(P11+N11)</f>
        <v>0</v>
      </c>
      <c r="R11" s="565"/>
      <c r="S11" s="565"/>
      <c r="T11" s="5">
        <v>4400</v>
      </c>
      <c r="U11" s="5">
        <f t="shared" si="4"/>
        <v>4</v>
      </c>
      <c r="V11" s="5">
        <v>342</v>
      </c>
      <c r="W11" s="341">
        <f t="shared" si="14"/>
        <v>0</v>
      </c>
      <c r="X11" s="5">
        <v>138983</v>
      </c>
      <c r="Y11" s="341">
        <f t="shared" si="15"/>
        <v>54</v>
      </c>
      <c r="Z11" s="5">
        <v>90900</v>
      </c>
      <c r="AA11" s="84">
        <f t="shared" si="16"/>
        <v>57</v>
      </c>
      <c r="AB11" s="5">
        <f t="shared" si="17"/>
        <v>246</v>
      </c>
      <c r="AC11" s="5">
        <f t="shared" si="17"/>
        <v>670</v>
      </c>
      <c r="AD11" s="84">
        <f t="shared" si="30"/>
        <v>0</v>
      </c>
      <c r="AE11" s="5">
        <v>69.8</v>
      </c>
      <c r="AF11" s="84">
        <f t="shared" si="18"/>
        <v>2.2599999999999909</v>
      </c>
      <c r="AG11" s="5">
        <v>1046.25</v>
      </c>
      <c r="AH11" s="84">
        <f t="shared" si="19"/>
        <v>20.309999999999945</v>
      </c>
      <c r="AI11" s="84">
        <f t="shared" si="20"/>
        <v>22.569999999999936</v>
      </c>
      <c r="AJ11" s="343">
        <f t="shared" si="21"/>
        <v>57</v>
      </c>
      <c r="AK11" s="344">
        <f t="shared" si="5"/>
        <v>50</v>
      </c>
      <c r="AL11" s="344">
        <f t="shared" si="22"/>
        <v>57</v>
      </c>
      <c r="AM11" s="344">
        <f>'General information '!D11</f>
        <v>14</v>
      </c>
      <c r="AN11" s="85">
        <f>'General information '!H11</f>
        <v>0</v>
      </c>
      <c r="AO11" s="85"/>
      <c r="AP11" s="85">
        <f>'General information '!J11</f>
        <v>186</v>
      </c>
      <c r="AQ11" s="82"/>
      <c r="AR11" s="287">
        <f t="shared" si="23"/>
        <v>43836</v>
      </c>
      <c r="AS11" s="449">
        <f t="shared" si="6"/>
        <v>0.9</v>
      </c>
      <c r="AT11" s="205">
        <v>20</v>
      </c>
      <c r="AU11" s="450">
        <f t="shared" si="32"/>
        <v>1.1000000000000001</v>
      </c>
      <c r="AV11" s="205">
        <v>75</v>
      </c>
      <c r="AW11" s="5">
        <v>2.9</v>
      </c>
      <c r="AX11" s="205">
        <v>63</v>
      </c>
      <c r="AY11" s="453">
        <f t="shared" si="7"/>
        <v>18</v>
      </c>
      <c r="AZ11" s="453">
        <f t="shared" si="24"/>
        <v>82.5</v>
      </c>
      <c r="BA11" s="453">
        <f t="shared" si="25"/>
        <v>182.7</v>
      </c>
      <c r="BB11" s="21">
        <f t="shared" si="26"/>
        <v>-2.6999999999999993</v>
      </c>
      <c r="BC11" s="21">
        <f t="shared" si="27"/>
        <v>8.7999999999999972</v>
      </c>
      <c r="BD11" s="21">
        <f t="shared" si="27"/>
        <v>8.6999999999999886</v>
      </c>
      <c r="BE11" s="24">
        <f t="shared" si="28"/>
        <v>14.799999999999986</v>
      </c>
      <c r="BF11" s="97">
        <f t="shared" si="8"/>
        <v>164.20000000000002</v>
      </c>
      <c r="BG11" s="83">
        <f t="shared" si="9"/>
        <v>14.799999999999983</v>
      </c>
    </row>
    <row r="12" spans="1:65" ht="15.75" thickBot="1">
      <c r="A12" s="6">
        <f>ELEC!C9</f>
        <v>43837</v>
      </c>
      <c r="B12" s="5">
        <v>108361</v>
      </c>
      <c r="C12" s="5">
        <f>B12-B11</f>
        <v>79</v>
      </c>
      <c r="D12" s="443">
        <f t="shared" si="11"/>
        <v>2.925925925925926</v>
      </c>
      <c r="E12" s="350">
        <f>SUM((C12*$E$4)+(7500/'EDl log'!$A$38))</f>
        <v>373.07548387096773</v>
      </c>
      <c r="F12" s="442"/>
      <c r="G12" s="5">
        <v>585589</v>
      </c>
      <c r="H12" s="5">
        <f t="shared" si="12"/>
        <v>0</v>
      </c>
      <c r="I12" s="5">
        <f t="shared" si="0"/>
        <v>79</v>
      </c>
      <c r="J12" s="351">
        <f t="shared" si="1"/>
        <v>4.7224744793793381</v>
      </c>
      <c r="K12" s="5">
        <f>'Swimming Pool quality check '!H12</f>
        <v>5803</v>
      </c>
      <c r="L12" s="84">
        <f t="shared" si="31"/>
        <v>3</v>
      </c>
      <c r="M12" s="434">
        <f t="shared" si="13"/>
        <v>457.44</v>
      </c>
      <c r="N12" s="565">
        <f t="shared" si="2"/>
        <v>0</v>
      </c>
      <c r="O12" s="434">
        <f t="shared" si="13"/>
        <v>529.52</v>
      </c>
      <c r="P12" s="565">
        <f t="shared" si="3"/>
        <v>0</v>
      </c>
      <c r="Q12" s="565">
        <f>SUM(P12+N12)</f>
        <v>0</v>
      </c>
      <c r="R12" s="565"/>
      <c r="S12" s="565"/>
      <c r="T12" s="5">
        <v>4405</v>
      </c>
      <c r="U12" s="5">
        <f t="shared" si="4"/>
        <v>5</v>
      </c>
      <c r="V12" s="5">
        <v>343</v>
      </c>
      <c r="W12" s="341">
        <f t="shared" si="14"/>
        <v>1</v>
      </c>
      <c r="X12" s="5">
        <v>138983</v>
      </c>
      <c r="Y12" s="341">
        <f t="shared" si="15"/>
        <v>0</v>
      </c>
      <c r="Z12" s="5">
        <v>90931</v>
      </c>
      <c r="AA12" s="84">
        <f t="shared" si="16"/>
        <v>31</v>
      </c>
      <c r="AB12" s="5">
        <f t="shared" si="17"/>
        <v>246</v>
      </c>
      <c r="AC12" s="5">
        <f t="shared" si="17"/>
        <v>670</v>
      </c>
      <c r="AD12" s="84">
        <f t="shared" si="30"/>
        <v>0</v>
      </c>
      <c r="AE12" s="5">
        <v>70.28</v>
      </c>
      <c r="AF12" s="84">
        <f t="shared" si="18"/>
        <v>0.48000000000000398</v>
      </c>
      <c r="AG12" s="5">
        <v>1053.3</v>
      </c>
      <c r="AH12" s="84">
        <f t="shared" si="19"/>
        <v>7.0499999999999545</v>
      </c>
      <c r="AI12" s="84">
        <f t="shared" si="20"/>
        <v>7.5299999999999585</v>
      </c>
      <c r="AJ12" s="343">
        <f t="shared" si="21"/>
        <v>31</v>
      </c>
      <c r="AK12" s="344">
        <f t="shared" si="5"/>
        <v>-3</v>
      </c>
      <c r="AL12" s="344">
        <f t="shared" si="22"/>
        <v>30</v>
      </c>
      <c r="AM12" s="344">
        <f>'General information '!D12</f>
        <v>14</v>
      </c>
      <c r="AN12" s="85">
        <f>'General information '!H12</f>
        <v>0</v>
      </c>
      <c r="AO12" s="85"/>
      <c r="AP12" s="85">
        <f>'General information '!J12</f>
        <v>269</v>
      </c>
      <c r="AQ12" s="82"/>
      <c r="AR12" s="287">
        <f t="shared" si="23"/>
        <v>43837</v>
      </c>
      <c r="AS12" s="449">
        <f t="shared" si="6"/>
        <v>0.9</v>
      </c>
      <c r="AT12" s="205">
        <v>60</v>
      </c>
      <c r="AU12" s="450">
        <f t="shared" si="32"/>
        <v>1.1000000000000001</v>
      </c>
      <c r="AV12" s="205">
        <v>71</v>
      </c>
      <c r="AW12" s="5">
        <v>2.9</v>
      </c>
      <c r="AX12" s="205">
        <v>52</v>
      </c>
      <c r="AY12" s="453">
        <f t="shared" si="7"/>
        <v>54</v>
      </c>
      <c r="AZ12" s="453">
        <f t="shared" si="24"/>
        <v>78.100000000000009</v>
      </c>
      <c r="BA12" s="453">
        <f t="shared" si="25"/>
        <v>150.79999999999998</v>
      </c>
      <c r="BB12" s="21">
        <f t="shared" si="26"/>
        <v>36</v>
      </c>
      <c r="BC12" s="21">
        <f t="shared" si="27"/>
        <v>-4.3999999999999915</v>
      </c>
      <c r="BD12" s="21">
        <f t="shared" si="27"/>
        <v>-31.900000000000006</v>
      </c>
      <c r="BE12" s="24">
        <f t="shared" si="28"/>
        <v>-0.29999999999999716</v>
      </c>
      <c r="BF12" s="97">
        <f t="shared" si="8"/>
        <v>79.3</v>
      </c>
      <c r="BG12" s="83">
        <f t="shared" si="9"/>
        <v>-0.29999999999999716</v>
      </c>
    </row>
    <row r="13" spans="1:65" ht="15.75" thickBot="1">
      <c r="A13" s="6">
        <f>ELEC!C10</f>
        <v>43838</v>
      </c>
      <c r="B13" s="5">
        <v>108361</v>
      </c>
      <c r="C13" s="5">
        <f t="shared" si="10"/>
        <v>0</v>
      </c>
      <c r="D13" s="443">
        <f t="shared" si="11"/>
        <v>0</v>
      </c>
      <c r="E13" s="350">
        <f>SUM((C13*$E$4)+(7500/'EDl log'!$A$38))</f>
        <v>241.93548387096774</v>
      </c>
      <c r="F13" s="442"/>
      <c r="G13" s="5">
        <v>585771</v>
      </c>
      <c r="H13" s="5">
        <f t="shared" si="12"/>
        <v>182</v>
      </c>
      <c r="I13" s="5">
        <f t="shared" si="0"/>
        <v>182</v>
      </c>
      <c r="J13" s="351">
        <f t="shared" si="1"/>
        <v>1.3293158454448777</v>
      </c>
      <c r="K13" s="5">
        <f>'Swimming Pool quality check '!H13</f>
        <v>5803</v>
      </c>
      <c r="L13" s="84">
        <f t="shared" si="31"/>
        <v>0</v>
      </c>
      <c r="M13" s="434">
        <f t="shared" si="13"/>
        <v>457.44</v>
      </c>
      <c r="N13" s="565">
        <f t="shared" si="2"/>
        <v>0</v>
      </c>
      <c r="O13" s="434">
        <f t="shared" si="13"/>
        <v>529.52</v>
      </c>
      <c r="P13" s="565">
        <f t="shared" si="3"/>
        <v>0</v>
      </c>
      <c r="Q13" s="565">
        <f>SUM(P13+N13)</f>
        <v>0</v>
      </c>
      <c r="R13" s="565"/>
      <c r="S13" s="565"/>
      <c r="T13" s="5">
        <v>4410</v>
      </c>
      <c r="U13" s="5">
        <f t="shared" si="4"/>
        <v>5</v>
      </c>
      <c r="V13" s="5">
        <f t="shared" si="17"/>
        <v>343</v>
      </c>
      <c r="W13" s="341">
        <f t="shared" si="14"/>
        <v>0</v>
      </c>
      <c r="X13" s="5">
        <v>139051</v>
      </c>
      <c r="Y13" s="341">
        <f t="shared" si="15"/>
        <v>68</v>
      </c>
      <c r="Z13" s="5">
        <v>90989</v>
      </c>
      <c r="AA13" s="84">
        <f t="shared" si="16"/>
        <v>58</v>
      </c>
      <c r="AB13" s="5">
        <f t="shared" si="17"/>
        <v>246</v>
      </c>
      <c r="AC13" s="5">
        <f t="shared" si="17"/>
        <v>670</v>
      </c>
      <c r="AD13" s="84">
        <f t="shared" si="30"/>
        <v>0</v>
      </c>
      <c r="AE13" s="5">
        <v>71.52</v>
      </c>
      <c r="AF13" s="84">
        <f t="shared" si="18"/>
        <v>1.2399999999999949</v>
      </c>
      <c r="AG13" s="5">
        <v>1065.07</v>
      </c>
      <c r="AH13" s="84">
        <f t="shared" si="19"/>
        <v>11.769999999999982</v>
      </c>
      <c r="AI13" s="84">
        <f t="shared" si="20"/>
        <v>13.009999999999977</v>
      </c>
      <c r="AJ13" s="343">
        <f t="shared" si="21"/>
        <v>58</v>
      </c>
      <c r="AK13" s="344">
        <f t="shared" si="5"/>
        <v>68</v>
      </c>
      <c r="AL13" s="344">
        <f t="shared" si="22"/>
        <v>58</v>
      </c>
      <c r="AM13" s="344">
        <f>'General information '!D13</f>
        <v>12.5</v>
      </c>
      <c r="AN13" s="85">
        <f>'General information '!J13</f>
        <v>0</v>
      </c>
      <c r="AO13" s="85"/>
      <c r="AP13" s="85">
        <f>'General information '!J13</f>
        <v>0</v>
      </c>
      <c r="AQ13" s="96"/>
      <c r="AR13" s="287">
        <f t="shared" si="23"/>
        <v>43838</v>
      </c>
      <c r="AS13" s="449">
        <f t="shared" si="6"/>
        <v>0.9</v>
      </c>
      <c r="AT13" s="205">
        <v>49</v>
      </c>
      <c r="AU13" s="450">
        <f t="shared" si="32"/>
        <v>1.1000000000000001</v>
      </c>
      <c r="AV13" s="205">
        <v>84</v>
      </c>
      <c r="AW13" s="5">
        <v>2.9</v>
      </c>
      <c r="AX13" s="205">
        <v>61</v>
      </c>
      <c r="AY13" s="453">
        <f t="shared" si="7"/>
        <v>44.1</v>
      </c>
      <c r="AZ13" s="453">
        <f t="shared" si="24"/>
        <v>92.4</v>
      </c>
      <c r="BA13" s="453">
        <f t="shared" si="25"/>
        <v>176.9</v>
      </c>
      <c r="BB13" s="21">
        <f t="shared" si="26"/>
        <v>-9.8999999999999986</v>
      </c>
      <c r="BC13" s="21">
        <f t="shared" si="27"/>
        <v>14.299999999999997</v>
      </c>
      <c r="BD13" s="21">
        <f t="shared" si="27"/>
        <v>26.100000000000023</v>
      </c>
      <c r="BE13" s="24">
        <f t="shared" si="28"/>
        <v>30.500000000000021</v>
      </c>
      <c r="BF13" s="97">
        <f t="shared" si="8"/>
        <v>151.49999999999997</v>
      </c>
      <c r="BG13" s="83">
        <f t="shared" si="9"/>
        <v>30.500000000000028</v>
      </c>
    </row>
    <row r="14" spans="1:65" ht="15.75" thickBot="1">
      <c r="A14" s="6">
        <f>ELEC!C11</f>
        <v>43839</v>
      </c>
      <c r="B14" s="5">
        <v>108441</v>
      </c>
      <c r="C14" s="5">
        <f t="shared" si="10"/>
        <v>80</v>
      </c>
      <c r="D14" s="443">
        <f t="shared" si="11"/>
        <v>2.9629629629629628</v>
      </c>
      <c r="E14" s="350">
        <f>SUM((C14*$E$4)+(7500/'EDl log'!$A$38))</f>
        <v>374.73548387096776</v>
      </c>
      <c r="F14" s="442"/>
      <c r="G14" s="5">
        <v>585771</v>
      </c>
      <c r="H14" s="5">
        <f t="shared" si="12"/>
        <v>0</v>
      </c>
      <c r="I14" s="5">
        <f t="shared" si="0"/>
        <v>80</v>
      </c>
      <c r="J14" s="351">
        <f t="shared" si="1"/>
        <v>4.6841935483870971</v>
      </c>
      <c r="K14" s="5">
        <f>'Swimming Pool quality check '!H14</f>
        <v>5805</v>
      </c>
      <c r="L14" s="84">
        <f t="shared" si="31"/>
        <v>2</v>
      </c>
      <c r="M14" s="434">
        <f t="shared" si="13"/>
        <v>457.44</v>
      </c>
      <c r="N14" s="565">
        <f t="shared" ref="N14:N36" si="33">SUM(M14-M13)</f>
        <v>0</v>
      </c>
      <c r="O14" s="434">
        <f t="shared" si="13"/>
        <v>529.52</v>
      </c>
      <c r="P14" s="565">
        <f t="shared" ref="P14:P36" si="34">SUM(O14-O13)</f>
        <v>0</v>
      </c>
      <c r="Q14" s="565">
        <f t="shared" ref="Q14:Q36" si="35">SUM(P14+N14)</f>
        <v>0</v>
      </c>
      <c r="R14" s="565"/>
      <c r="S14" s="565"/>
      <c r="T14" s="5">
        <v>4415</v>
      </c>
      <c r="U14" s="5">
        <f t="shared" si="4"/>
        <v>5</v>
      </c>
      <c r="V14" s="5">
        <v>347</v>
      </c>
      <c r="W14" s="341">
        <f t="shared" si="14"/>
        <v>4</v>
      </c>
      <c r="X14" s="5">
        <v>139103</v>
      </c>
      <c r="Y14" s="341">
        <f t="shared" si="15"/>
        <v>52</v>
      </c>
      <c r="Z14" s="5">
        <v>90993</v>
      </c>
      <c r="AA14" s="84">
        <f t="shared" si="16"/>
        <v>4</v>
      </c>
      <c r="AB14" s="5">
        <f t="shared" si="17"/>
        <v>246</v>
      </c>
      <c r="AC14" s="5">
        <f t="shared" si="17"/>
        <v>670</v>
      </c>
      <c r="AD14" s="84">
        <f t="shared" si="30"/>
        <v>0</v>
      </c>
      <c r="AE14" s="5">
        <v>71.52</v>
      </c>
      <c r="AF14" s="84">
        <f t="shared" si="18"/>
        <v>0</v>
      </c>
      <c r="AG14" s="5">
        <v>1065.68</v>
      </c>
      <c r="AH14" s="84">
        <f t="shared" si="19"/>
        <v>0.61000000000012733</v>
      </c>
      <c r="AI14" s="84">
        <f t="shared" si="20"/>
        <v>0.61000000000012733</v>
      </c>
      <c r="AJ14" s="343">
        <f t="shared" si="21"/>
        <v>4</v>
      </c>
      <c r="AK14" s="344">
        <f t="shared" si="5"/>
        <v>50</v>
      </c>
      <c r="AL14" s="344">
        <f t="shared" si="22"/>
        <v>0</v>
      </c>
      <c r="AM14" s="344">
        <f>'General information '!D14</f>
        <v>12.5</v>
      </c>
      <c r="AN14" s="85">
        <f>'General information '!H14</f>
        <v>0</v>
      </c>
      <c r="AO14" s="85"/>
      <c r="AP14" s="85">
        <f>'General information '!J14</f>
        <v>258</v>
      </c>
      <c r="AQ14" s="82"/>
      <c r="AR14" s="287">
        <f t="shared" si="23"/>
        <v>43839</v>
      </c>
      <c r="AS14" s="449">
        <f t="shared" si="6"/>
        <v>0.9</v>
      </c>
      <c r="AT14" s="205">
        <v>48</v>
      </c>
      <c r="AU14" s="450">
        <f t="shared" si="32"/>
        <v>1.1000000000000001</v>
      </c>
      <c r="AV14" s="205">
        <v>68</v>
      </c>
      <c r="AW14" s="5">
        <v>2.9</v>
      </c>
      <c r="AX14" s="205">
        <v>64</v>
      </c>
      <c r="AY14" s="453">
        <f t="shared" si="7"/>
        <v>43.2</v>
      </c>
      <c r="AZ14" s="453">
        <f t="shared" si="24"/>
        <v>74.800000000000011</v>
      </c>
      <c r="BA14" s="453">
        <f t="shared" si="25"/>
        <v>185.6</v>
      </c>
      <c r="BB14" s="21">
        <f t="shared" si="26"/>
        <v>-0.89999999999999858</v>
      </c>
      <c r="BC14" s="21">
        <f t="shared" si="27"/>
        <v>-17.599999999999994</v>
      </c>
      <c r="BD14" s="21">
        <f t="shared" si="27"/>
        <v>8.6999999999999886</v>
      </c>
      <c r="BE14" s="24">
        <f t="shared" si="28"/>
        <v>-9.8000000000000043</v>
      </c>
      <c r="BF14" s="97">
        <f t="shared" si="8"/>
        <v>89.800000000000011</v>
      </c>
      <c r="BG14" s="83">
        <f t="shared" si="9"/>
        <v>-9.8000000000000114</v>
      </c>
    </row>
    <row r="15" spans="1:65" ht="16.5" customHeight="1" thickBot="1">
      <c r="A15" s="6">
        <f>ELEC!C12</f>
        <v>43840</v>
      </c>
      <c r="B15" s="5">
        <f t="shared" ref="B15:B36" si="36">B14</f>
        <v>108441</v>
      </c>
      <c r="C15" s="5">
        <f t="shared" si="10"/>
        <v>0</v>
      </c>
      <c r="D15" s="443">
        <f t="shared" si="11"/>
        <v>0</v>
      </c>
      <c r="E15" s="350">
        <f>SUM((C15*$E$4)+(7500/'EDl log'!$A$38))</f>
        <v>241.93548387096774</v>
      </c>
      <c r="F15" s="442"/>
      <c r="G15" s="5">
        <v>586114</v>
      </c>
      <c r="H15" s="5">
        <f t="shared" si="12"/>
        <v>343</v>
      </c>
      <c r="I15" s="5">
        <f t="shared" si="0"/>
        <v>343</v>
      </c>
      <c r="J15" s="351">
        <f t="shared" si="1"/>
        <v>0.70535126492993516</v>
      </c>
      <c r="K15" s="5">
        <f>'Swimming Pool quality check '!H15</f>
        <v>5805</v>
      </c>
      <c r="L15" s="84">
        <f t="shared" si="31"/>
        <v>0</v>
      </c>
      <c r="M15" s="434">
        <f t="shared" si="13"/>
        <v>457.44</v>
      </c>
      <c r="N15" s="565">
        <f t="shared" si="33"/>
        <v>0</v>
      </c>
      <c r="O15" s="434">
        <f t="shared" si="13"/>
        <v>529.52</v>
      </c>
      <c r="P15" s="565">
        <f t="shared" si="34"/>
        <v>0</v>
      </c>
      <c r="Q15" s="565">
        <f t="shared" si="35"/>
        <v>0</v>
      </c>
      <c r="R15" s="565"/>
      <c r="S15" s="565"/>
      <c r="T15" s="5">
        <v>4420</v>
      </c>
      <c r="U15" s="5">
        <f t="shared" si="4"/>
        <v>5</v>
      </c>
      <c r="V15" s="5">
        <v>348</v>
      </c>
      <c r="W15" s="341">
        <f t="shared" si="14"/>
        <v>1</v>
      </c>
      <c r="X15" s="5">
        <v>139243</v>
      </c>
      <c r="Y15" s="341">
        <f t="shared" si="15"/>
        <v>140</v>
      </c>
      <c r="Z15" s="5">
        <v>91044</v>
      </c>
      <c r="AA15" s="84">
        <f t="shared" si="16"/>
        <v>51</v>
      </c>
      <c r="AB15" s="5">
        <f t="shared" si="17"/>
        <v>246</v>
      </c>
      <c r="AC15" s="5">
        <f t="shared" si="17"/>
        <v>670</v>
      </c>
      <c r="AD15" s="84">
        <f t="shared" si="30"/>
        <v>0</v>
      </c>
      <c r="AE15" s="5">
        <v>72.709999999999994</v>
      </c>
      <c r="AF15" s="84">
        <f t="shared" si="18"/>
        <v>1.1899999999999977</v>
      </c>
      <c r="AG15" s="5">
        <v>1073.6500000000001</v>
      </c>
      <c r="AH15" s="84">
        <f t="shared" si="19"/>
        <v>7.9700000000000273</v>
      </c>
      <c r="AI15" s="84">
        <f t="shared" si="20"/>
        <v>9.160000000000025</v>
      </c>
      <c r="AJ15" s="343">
        <f t="shared" si="21"/>
        <v>51</v>
      </c>
      <c r="AK15" s="344">
        <f t="shared" si="5"/>
        <v>140</v>
      </c>
      <c r="AL15" s="344">
        <f t="shared" si="22"/>
        <v>50</v>
      </c>
      <c r="AM15" s="344">
        <f>'General information '!D15</f>
        <v>14.5</v>
      </c>
      <c r="AN15" s="85">
        <f>'General information '!H15</f>
        <v>0</v>
      </c>
      <c r="AO15" s="85"/>
      <c r="AP15" s="85">
        <f>'General information '!J15</f>
        <v>276</v>
      </c>
      <c r="AQ15" s="82"/>
      <c r="AR15" s="287">
        <f t="shared" si="23"/>
        <v>43840</v>
      </c>
      <c r="AS15" s="449">
        <f t="shared" si="6"/>
        <v>0.9</v>
      </c>
      <c r="AT15" s="205">
        <v>122</v>
      </c>
      <c r="AU15" s="450">
        <f t="shared" si="32"/>
        <v>1.1000000000000001</v>
      </c>
      <c r="AV15" s="205">
        <v>79</v>
      </c>
      <c r="AW15" s="5">
        <v>2.9</v>
      </c>
      <c r="AX15" s="205">
        <v>88</v>
      </c>
      <c r="AY15" s="453">
        <f t="shared" si="7"/>
        <v>109.8</v>
      </c>
      <c r="AZ15" s="453">
        <f t="shared" si="24"/>
        <v>86.9</v>
      </c>
      <c r="BA15" s="453">
        <f t="shared" si="25"/>
        <v>255.2</v>
      </c>
      <c r="BB15" s="21">
        <f t="shared" si="26"/>
        <v>66.599999999999994</v>
      </c>
      <c r="BC15" s="21">
        <f t="shared" si="27"/>
        <v>12.099999999999994</v>
      </c>
      <c r="BD15" s="21">
        <f t="shared" si="27"/>
        <v>69.599999999999994</v>
      </c>
      <c r="BE15" s="24">
        <f t="shared" si="28"/>
        <v>148.29999999999998</v>
      </c>
      <c r="BF15" s="97">
        <f t="shared" si="8"/>
        <v>194.70000000000002</v>
      </c>
      <c r="BG15" s="83">
        <f t="shared" si="9"/>
        <v>148.29999999999998</v>
      </c>
    </row>
    <row r="16" spans="1:65" ht="15.75" thickBot="1">
      <c r="A16" s="6">
        <f>ELEC!C13</f>
        <v>43841</v>
      </c>
      <c r="B16" s="5">
        <f t="shared" si="36"/>
        <v>108441</v>
      </c>
      <c r="C16" s="5">
        <f t="shared" si="10"/>
        <v>0</v>
      </c>
      <c r="D16" s="443">
        <f t="shared" si="11"/>
        <v>0</v>
      </c>
      <c r="E16" s="350">
        <f>SUM((C16*$E$4)+(7500/'EDl log'!$A$38))</f>
        <v>241.93548387096774</v>
      </c>
      <c r="F16" s="442"/>
      <c r="G16" s="5">
        <f t="shared" si="29"/>
        <v>586114</v>
      </c>
      <c r="H16" s="5">
        <f t="shared" si="12"/>
        <v>0</v>
      </c>
      <c r="I16" s="5">
        <f t="shared" si="0"/>
        <v>0</v>
      </c>
      <c r="J16" s="351">
        <f t="shared" si="1"/>
        <v>0</v>
      </c>
      <c r="K16" s="5">
        <f>'Swimming Pool quality check '!H16</f>
        <v>5813</v>
      </c>
      <c r="L16" s="282">
        <f t="shared" si="31"/>
        <v>8</v>
      </c>
      <c r="M16" s="434">
        <f t="shared" si="13"/>
        <v>457.44</v>
      </c>
      <c r="N16" s="565">
        <f t="shared" si="33"/>
        <v>0</v>
      </c>
      <c r="O16" s="434">
        <f t="shared" si="13"/>
        <v>529.52</v>
      </c>
      <c r="P16" s="565">
        <f t="shared" si="34"/>
        <v>0</v>
      </c>
      <c r="Q16" s="565">
        <f t="shared" si="35"/>
        <v>0</v>
      </c>
      <c r="R16" s="567"/>
      <c r="S16" s="567"/>
      <c r="T16" s="5">
        <v>4427</v>
      </c>
      <c r="U16" s="5">
        <f t="shared" si="4"/>
        <v>7</v>
      </c>
      <c r="V16" s="5">
        <v>348</v>
      </c>
      <c r="W16" s="341">
        <f t="shared" si="14"/>
        <v>0</v>
      </c>
      <c r="X16" s="5">
        <v>139310</v>
      </c>
      <c r="Y16" s="341">
        <f t="shared" si="15"/>
        <v>67</v>
      </c>
      <c r="Z16" s="5">
        <v>91079</v>
      </c>
      <c r="AA16" s="84">
        <f t="shared" si="16"/>
        <v>35</v>
      </c>
      <c r="AB16" s="5">
        <v>244</v>
      </c>
      <c r="AC16" s="5">
        <f t="shared" si="17"/>
        <v>670</v>
      </c>
      <c r="AD16" s="84">
        <f t="shared" si="30"/>
        <v>0</v>
      </c>
      <c r="AE16" s="5">
        <v>74.260000000000005</v>
      </c>
      <c r="AF16" s="84">
        <f t="shared" si="18"/>
        <v>1.5500000000000114</v>
      </c>
      <c r="AG16" s="5">
        <v>1089.47</v>
      </c>
      <c r="AH16" s="84">
        <f t="shared" si="19"/>
        <v>15.819999999999936</v>
      </c>
      <c r="AI16" s="84">
        <f t="shared" si="20"/>
        <v>17.369999999999948</v>
      </c>
      <c r="AJ16" s="343">
        <f t="shared" si="21"/>
        <v>35</v>
      </c>
      <c r="AK16" s="344">
        <f t="shared" si="5"/>
        <v>59</v>
      </c>
      <c r="AL16" s="344">
        <f t="shared" si="22"/>
        <v>35</v>
      </c>
      <c r="AM16" s="344">
        <f>'General information '!D16</f>
        <v>15</v>
      </c>
      <c r="AN16" s="85">
        <f>'General information '!H16</f>
        <v>180</v>
      </c>
      <c r="AO16" s="85"/>
      <c r="AP16" s="85">
        <f>'General information '!J16</f>
        <v>536</v>
      </c>
      <c r="AQ16" s="82"/>
      <c r="AR16" s="287">
        <f t="shared" si="23"/>
        <v>43841</v>
      </c>
      <c r="AS16" s="449">
        <f t="shared" si="6"/>
        <v>0.9</v>
      </c>
      <c r="AT16" s="205">
        <v>47</v>
      </c>
      <c r="AU16" s="450">
        <f t="shared" si="32"/>
        <v>1.1000000000000001</v>
      </c>
      <c r="AV16" s="205">
        <v>70</v>
      </c>
      <c r="AW16" s="5">
        <v>2.9</v>
      </c>
      <c r="AX16" s="205">
        <v>92</v>
      </c>
      <c r="AY16" s="453">
        <f t="shared" si="7"/>
        <v>42.300000000000004</v>
      </c>
      <c r="AZ16" s="453">
        <f t="shared" si="24"/>
        <v>77</v>
      </c>
      <c r="BA16" s="453">
        <f t="shared" si="25"/>
        <v>266.8</v>
      </c>
      <c r="BB16" s="21">
        <f t="shared" si="26"/>
        <v>-67.5</v>
      </c>
      <c r="BC16" s="21">
        <f t="shared" si="27"/>
        <v>-9.9000000000000057</v>
      </c>
      <c r="BD16" s="21">
        <f t="shared" si="27"/>
        <v>11.600000000000023</v>
      </c>
      <c r="BE16" s="24">
        <f t="shared" si="28"/>
        <v>-65.799999999999983</v>
      </c>
      <c r="BF16" s="97">
        <f t="shared" si="8"/>
        <v>65.799999999999983</v>
      </c>
      <c r="BG16" s="83">
        <f t="shared" si="9"/>
        <v>-65.799999999999983</v>
      </c>
    </row>
    <row r="17" spans="1:61" ht="15.75" thickBot="1">
      <c r="A17" s="6">
        <f>ELEC!C14</f>
        <v>43842</v>
      </c>
      <c r="B17" s="5">
        <v>108441</v>
      </c>
      <c r="C17" s="5">
        <f t="shared" si="10"/>
        <v>0</v>
      </c>
      <c r="D17" s="443">
        <f t="shared" si="11"/>
        <v>0</v>
      </c>
      <c r="E17" s="350">
        <f>SUM((C17*$E$4)+(7500/'EDl log'!$A$38))</f>
        <v>241.93548387096774</v>
      </c>
      <c r="F17" s="442"/>
      <c r="G17" s="5">
        <v>586851</v>
      </c>
      <c r="H17" s="5">
        <f t="shared" si="12"/>
        <v>737</v>
      </c>
      <c r="I17" s="5">
        <f t="shared" si="0"/>
        <v>737</v>
      </c>
      <c r="J17" s="351">
        <f t="shared" si="1"/>
        <v>0.32827067010986127</v>
      </c>
      <c r="K17" s="5">
        <f>'Swimming Pool quality check '!H17</f>
        <v>5819</v>
      </c>
      <c r="L17" s="84">
        <f t="shared" si="31"/>
        <v>6</v>
      </c>
      <c r="M17" s="434">
        <f t="shared" si="13"/>
        <v>457.44</v>
      </c>
      <c r="N17" s="565">
        <f t="shared" si="33"/>
        <v>0</v>
      </c>
      <c r="O17" s="434">
        <f t="shared" si="13"/>
        <v>529.52</v>
      </c>
      <c r="P17" s="565">
        <f t="shared" si="34"/>
        <v>0</v>
      </c>
      <c r="Q17" s="565">
        <f t="shared" si="35"/>
        <v>0</v>
      </c>
      <c r="R17" s="565"/>
      <c r="S17" s="565"/>
      <c r="T17" s="5">
        <v>4434</v>
      </c>
      <c r="U17" s="5">
        <f t="shared" si="4"/>
        <v>7</v>
      </c>
      <c r="V17" s="5">
        <v>348</v>
      </c>
      <c r="W17" s="341">
        <f t="shared" si="14"/>
        <v>0</v>
      </c>
      <c r="X17" s="5">
        <v>139411</v>
      </c>
      <c r="Y17" s="341">
        <f t="shared" si="15"/>
        <v>101</v>
      </c>
      <c r="Z17" s="5">
        <v>91189</v>
      </c>
      <c r="AA17" s="84">
        <f t="shared" si="16"/>
        <v>110</v>
      </c>
      <c r="AB17" s="5">
        <f t="shared" si="17"/>
        <v>244</v>
      </c>
      <c r="AC17" s="5">
        <f t="shared" si="17"/>
        <v>670</v>
      </c>
      <c r="AD17" s="84">
        <f t="shared" si="30"/>
        <v>0</v>
      </c>
      <c r="AE17" s="5">
        <v>74.260000000000005</v>
      </c>
      <c r="AF17" s="84">
        <f t="shared" si="18"/>
        <v>0</v>
      </c>
      <c r="AG17" s="5">
        <v>1090.3</v>
      </c>
      <c r="AH17" s="84">
        <f t="shared" si="19"/>
        <v>0.82999999999992724</v>
      </c>
      <c r="AI17" s="84">
        <f t="shared" si="20"/>
        <v>0.82999999999992724</v>
      </c>
      <c r="AJ17" s="343">
        <f t="shared" si="21"/>
        <v>110</v>
      </c>
      <c r="AK17" s="344">
        <f t="shared" si="5"/>
        <v>95</v>
      </c>
      <c r="AL17" s="344">
        <f t="shared" si="22"/>
        <v>110</v>
      </c>
      <c r="AM17" s="344">
        <f>'General information '!D17</f>
        <v>14</v>
      </c>
      <c r="AN17" s="85">
        <f>'General information '!H17</f>
        <v>0</v>
      </c>
      <c r="AO17" s="85"/>
      <c r="AP17" s="85">
        <f>'General information '!J17</f>
        <v>233</v>
      </c>
      <c r="AQ17" s="96"/>
      <c r="AR17" s="287">
        <f t="shared" si="23"/>
        <v>43842</v>
      </c>
      <c r="AS17" s="449">
        <f t="shared" si="6"/>
        <v>0.9</v>
      </c>
      <c r="AT17" s="205">
        <v>36</v>
      </c>
      <c r="AU17" s="450">
        <f t="shared" si="32"/>
        <v>1.1000000000000001</v>
      </c>
      <c r="AV17" s="205">
        <v>120</v>
      </c>
      <c r="AW17" s="5">
        <v>2.9</v>
      </c>
      <c r="AX17" s="205">
        <v>109</v>
      </c>
      <c r="AY17" s="453">
        <f t="shared" si="7"/>
        <v>32.4</v>
      </c>
      <c r="AZ17" s="453">
        <f t="shared" si="24"/>
        <v>132</v>
      </c>
      <c r="BA17" s="453">
        <f t="shared" si="25"/>
        <v>316.09999999999997</v>
      </c>
      <c r="BB17" s="21">
        <f t="shared" si="26"/>
        <v>-9.9000000000000057</v>
      </c>
      <c r="BC17" s="21">
        <f t="shared" si="27"/>
        <v>55</v>
      </c>
      <c r="BD17" s="21">
        <f t="shared" si="27"/>
        <v>49.299999999999955</v>
      </c>
      <c r="BE17" s="24">
        <f t="shared" si="28"/>
        <v>94.399999999999949</v>
      </c>
      <c r="BF17" s="97">
        <f t="shared" si="8"/>
        <v>642.6</v>
      </c>
      <c r="BG17" s="83">
        <f t="shared" si="9"/>
        <v>94.399999999999977</v>
      </c>
    </row>
    <row r="18" spans="1:61" ht="15.75" thickBot="1">
      <c r="A18" s="6">
        <f>ELEC!C15</f>
        <v>43843</v>
      </c>
      <c r="B18" s="5">
        <v>108441</v>
      </c>
      <c r="C18" s="5">
        <f t="shared" si="10"/>
        <v>0</v>
      </c>
      <c r="D18" s="443">
        <f t="shared" si="11"/>
        <v>0</v>
      </c>
      <c r="E18" s="350">
        <f>SUM((C18*$E$4)+(7500/'EDl log'!$A$38))</f>
        <v>241.93548387096774</v>
      </c>
      <c r="F18" s="442"/>
      <c r="G18" s="5">
        <v>586851</v>
      </c>
      <c r="H18" s="5">
        <f t="shared" si="12"/>
        <v>0</v>
      </c>
      <c r="I18" s="5">
        <f t="shared" si="0"/>
        <v>0</v>
      </c>
      <c r="J18" s="351">
        <f t="shared" si="1"/>
        <v>0</v>
      </c>
      <c r="K18" s="5">
        <f>'Swimming Pool quality check '!H18</f>
        <v>5822</v>
      </c>
      <c r="L18" s="84">
        <f t="shared" si="31"/>
        <v>3</v>
      </c>
      <c r="M18" s="434">
        <f t="shared" si="13"/>
        <v>457.44</v>
      </c>
      <c r="N18" s="565">
        <f t="shared" si="33"/>
        <v>0</v>
      </c>
      <c r="O18" s="434">
        <f t="shared" si="13"/>
        <v>529.52</v>
      </c>
      <c r="P18" s="565">
        <f t="shared" si="34"/>
        <v>0</v>
      </c>
      <c r="Q18" s="565">
        <f t="shared" si="35"/>
        <v>0</v>
      </c>
      <c r="R18" s="565"/>
      <c r="S18" s="565"/>
      <c r="T18" s="5">
        <v>4443</v>
      </c>
      <c r="U18" s="5">
        <f t="shared" si="4"/>
        <v>9</v>
      </c>
      <c r="V18" s="5">
        <v>348</v>
      </c>
      <c r="W18" s="341">
        <f t="shared" si="14"/>
        <v>0</v>
      </c>
      <c r="X18" s="5">
        <v>139486</v>
      </c>
      <c r="Y18" s="341">
        <f t="shared" si="15"/>
        <v>75</v>
      </c>
      <c r="Z18" s="5">
        <v>91189</v>
      </c>
      <c r="AA18" s="84">
        <f t="shared" si="16"/>
        <v>0</v>
      </c>
      <c r="AB18" s="5">
        <v>244</v>
      </c>
      <c r="AC18" s="5">
        <f t="shared" si="17"/>
        <v>670</v>
      </c>
      <c r="AD18" s="84">
        <f t="shared" si="30"/>
        <v>0</v>
      </c>
      <c r="AE18" s="5">
        <v>74.260000000000005</v>
      </c>
      <c r="AF18" s="84">
        <f t="shared" si="18"/>
        <v>0</v>
      </c>
      <c r="AG18" s="5">
        <v>1090.83</v>
      </c>
      <c r="AH18" s="84">
        <f t="shared" si="19"/>
        <v>0.52999999999997272</v>
      </c>
      <c r="AI18" s="84">
        <f t="shared" si="20"/>
        <v>0.52999999999997272</v>
      </c>
      <c r="AJ18" s="343">
        <f t="shared" si="21"/>
        <v>0</v>
      </c>
      <c r="AK18" s="344">
        <f t="shared" si="5"/>
        <v>72</v>
      </c>
      <c r="AL18" s="344">
        <f t="shared" si="22"/>
        <v>0</v>
      </c>
      <c r="AM18" s="344">
        <f>'General information '!D18</f>
        <v>15</v>
      </c>
      <c r="AN18" s="85">
        <f>'General information '!H18</f>
        <v>0</v>
      </c>
      <c r="AO18" s="85"/>
      <c r="AP18" s="85">
        <f>'General information '!J18</f>
        <v>540</v>
      </c>
      <c r="AQ18" s="96"/>
      <c r="AR18" s="287">
        <f t="shared" si="23"/>
        <v>43843</v>
      </c>
      <c r="AS18" s="449">
        <f t="shared" si="6"/>
        <v>0.9</v>
      </c>
      <c r="AT18" s="205">
        <v>73</v>
      </c>
      <c r="AU18" s="450">
        <f t="shared" si="32"/>
        <v>1.1000000000000001</v>
      </c>
      <c r="AV18" s="205">
        <v>107</v>
      </c>
      <c r="AW18" s="5">
        <v>2.9</v>
      </c>
      <c r="AX18" s="205">
        <v>115</v>
      </c>
      <c r="AY18" s="453">
        <f t="shared" si="7"/>
        <v>65.7</v>
      </c>
      <c r="AZ18" s="453">
        <f t="shared" si="24"/>
        <v>117.7</v>
      </c>
      <c r="BA18" s="453">
        <f t="shared" si="25"/>
        <v>333.5</v>
      </c>
      <c r="BB18" s="21">
        <f t="shared" si="26"/>
        <v>33.300000000000004</v>
      </c>
      <c r="BC18" s="21">
        <f t="shared" si="27"/>
        <v>-14.299999999999997</v>
      </c>
      <c r="BD18" s="21">
        <f t="shared" si="27"/>
        <v>17.400000000000034</v>
      </c>
      <c r="BE18" s="24">
        <f t="shared" si="28"/>
        <v>36.400000000000041</v>
      </c>
      <c r="BF18" s="97">
        <f t="shared" si="8"/>
        <v>-36.400000000000041</v>
      </c>
      <c r="BG18" s="83">
        <f t="shared" si="9"/>
        <v>36.400000000000041</v>
      </c>
    </row>
    <row r="19" spans="1:61" ht="15.75" thickBot="1">
      <c r="A19" s="6">
        <f>ELEC!C16</f>
        <v>43844</v>
      </c>
      <c r="B19" s="5">
        <v>108441</v>
      </c>
      <c r="C19" s="5">
        <f t="shared" si="10"/>
        <v>0</v>
      </c>
      <c r="D19" s="443">
        <f t="shared" si="11"/>
        <v>0</v>
      </c>
      <c r="E19" s="350">
        <f>SUM((C19*$E$4)+(7500/'EDl log'!$A$38))</f>
        <v>241.93548387096774</v>
      </c>
      <c r="F19" s="442"/>
      <c r="G19" s="5">
        <v>586940</v>
      </c>
      <c r="H19" s="5">
        <f t="shared" si="12"/>
        <v>89</v>
      </c>
      <c r="I19" s="5">
        <f t="shared" si="0"/>
        <v>89</v>
      </c>
      <c r="J19" s="351">
        <f t="shared" si="1"/>
        <v>2.7183762232693005</v>
      </c>
      <c r="K19" s="5">
        <f>'Swimming Pool quality check '!H19</f>
        <v>5826</v>
      </c>
      <c r="L19" s="84">
        <f t="shared" si="31"/>
        <v>4</v>
      </c>
      <c r="M19" s="434">
        <f t="shared" si="13"/>
        <v>457.44</v>
      </c>
      <c r="N19" s="565">
        <f t="shared" si="33"/>
        <v>0</v>
      </c>
      <c r="O19" s="434">
        <f t="shared" si="13"/>
        <v>529.52</v>
      </c>
      <c r="P19" s="565">
        <f t="shared" si="34"/>
        <v>0</v>
      </c>
      <c r="Q19" s="565">
        <f t="shared" si="35"/>
        <v>0</v>
      </c>
      <c r="R19" s="565"/>
      <c r="S19" s="565"/>
      <c r="T19" s="5">
        <v>4446</v>
      </c>
      <c r="U19" s="5">
        <f t="shared" si="4"/>
        <v>3</v>
      </c>
      <c r="V19" s="5">
        <v>349</v>
      </c>
      <c r="W19" s="341">
        <f t="shared" si="14"/>
        <v>1</v>
      </c>
      <c r="X19" s="5">
        <v>139576</v>
      </c>
      <c r="Y19" s="341">
        <f t="shared" si="15"/>
        <v>90</v>
      </c>
      <c r="Z19" s="5">
        <v>91246</v>
      </c>
      <c r="AA19" s="84">
        <f t="shared" si="16"/>
        <v>57</v>
      </c>
      <c r="AB19" s="5">
        <f t="shared" si="17"/>
        <v>244</v>
      </c>
      <c r="AC19" s="5">
        <f t="shared" si="17"/>
        <v>670</v>
      </c>
      <c r="AD19" s="84">
        <f t="shared" si="30"/>
        <v>0</v>
      </c>
      <c r="AE19" s="5">
        <v>74.28</v>
      </c>
      <c r="AF19" s="84">
        <f t="shared" si="18"/>
        <v>1.9999999999996021E-2</v>
      </c>
      <c r="AG19" s="5">
        <v>1091.76</v>
      </c>
      <c r="AH19" s="84">
        <f t="shared" si="19"/>
        <v>0.93000000000006366</v>
      </c>
      <c r="AI19" s="84">
        <f t="shared" si="20"/>
        <v>0.95000000000005969</v>
      </c>
      <c r="AJ19" s="343">
        <f t="shared" si="21"/>
        <v>57</v>
      </c>
      <c r="AK19" s="344">
        <f t="shared" si="5"/>
        <v>86</v>
      </c>
      <c r="AL19" s="344">
        <f t="shared" si="22"/>
        <v>56</v>
      </c>
      <c r="AM19" s="344">
        <f>'General information '!D19</f>
        <v>14</v>
      </c>
      <c r="AN19" s="85">
        <f>'General information '!H19</f>
        <v>0</v>
      </c>
      <c r="AO19" s="85"/>
      <c r="AP19" s="85">
        <f>'General information '!J19</f>
        <v>184</v>
      </c>
      <c r="AQ19" s="82"/>
      <c r="AR19" s="287">
        <f t="shared" si="23"/>
        <v>43844</v>
      </c>
      <c r="AS19" s="449">
        <f t="shared" si="6"/>
        <v>0.9</v>
      </c>
      <c r="AT19" s="205">
        <v>133</v>
      </c>
      <c r="AU19" s="450">
        <f t="shared" si="32"/>
        <v>1.1000000000000001</v>
      </c>
      <c r="AV19" s="205">
        <v>59</v>
      </c>
      <c r="AW19" s="5">
        <v>2.9</v>
      </c>
      <c r="AX19" s="205">
        <v>131</v>
      </c>
      <c r="AY19" s="453">
        <f t="shared" si="7"/>
        <v>119.7</v>
      </c>
      <c r="AZ19" s="453">
        <f t="shared" si="24"/>
        <v>64.900000000000006</v>
      </c>
      <c r="BA19" s="453">
        <f t="shared" si="25"/>
        <v>379.9</v>
      </c>
      <c r="BB19" s="21">
        <f t="shared" si="26"/>
        <v>54</v>
      </c>
      <c r="BC19" s="21">
        <f t="shared" si="27"/>
        <v>-52.8</v>
      </c>
      <c r="BD19" s="21">
        <f t="shared" si="27"/>
        <v>46.399999999999977</v>
      </c>
      <c r="BE19" s="24">
        <f t="shared" si="28"/>
        <v>47.59999999999998</v>
      </c>
      <c r="BF19" s="97">
        <f t="shared" si="8"/>
        <v>41.40000000000002</v>
      </c>
      <c r="BG19" s="83">
        <f t="shared" si="9"/>
        <v>47.59999999999998</v>
      </c>
    </row>
    <row r="20" spans="1:61" ht="15.75" thickBot="1">
      <c r="A20" s="6">
        <f>ELEC!C17</f>
        <v>43845</v>
      </c>
      <c r="B20" s="5">
        <v>108441</v>
      </c>
      <c r="C20" s="5">
        <f t="shared" si="10"/>
        <v>0</v>
      </c>
      <c r="D20" s="443">
        <f t="shared" si="11"/>
        <v>0</v>
      </c>
      <c r="E20" s="350">
        <f>SUM((C20*$E$4)+(7500/'EDl log'!$A$38))</f>
        <v>241.93548387096774</v>
      </c>
      <c r="F20" s="442"/>
      <c r="G20" s="5">
        <v>586940</v>
      </c>
      <c r="H20" s="5">
        <f t="shared" si="12"/>
        <v>0</v>
      </c>
      <c r="I20" s="5">
        <f t="shared" si="0"/>
        <v>0</v>
      </c>
      <c r="J20" s="351">
        <f t="shared" si="1"/>
        <v>0</v>
      </c>
      <c r="K20" s="5">
        <f>'Swimming Pool quality check '!H20</f>
        <v>5832</v>
      </c>
      <c r="L20" s="84">
        <f t="shared" si="31"/>
        <v>6</v>
      </c>
      <c r="M20" s="434">
        <f t="shared" si="13"/>
        <v>457.44</v>
      </c>
      <c r="N20" s="565">
        <f t="shared" si="33"/>
        <v>0</v>
      </c>
      <c r="O20" s="434">
        <f t="shared" si="13"/>
        <v>529.52</v>
      </c>
      <c r="P20" s="565">
        <f t="shared" si="34"/>
        <v>0</v>
      </c>
      <c r="Q20" s="565">
        <f t="shared" si="35"/>
        <v>0</v>
      </c>
      <c r="R20" s="565"/>
      <c r="S20" s="565"/>
      <c r="T20" s="5">
        <v>4450</v>
      </c>
      <c r="U20" s="5">
        <f t="shared" si="4"/>
        <v>4</v>
      </c>
      <c r="V20" s="5">
        <v>350</v>
      </c>
      <c r="W20" s="341">
        <f t="shared" si="14"/>
        <v>1</v>
      </c>
      <c r="X20" s="5">
        <v>139578</v>
      </c>
      <c r="Y20" s="341">
        <f t="shared" si="15"/>
        <v>2</v>
      </c>
      <c r="Z20" s="5">
        <v>91246</v>
      </c>
      <c r="AA20" s="84">
        <f t="shared" si="16"/>
        <v>0</v>
      </c>
      <c r="AB20" s="5">
        <v>262</v>
      </c>
      <c r="AC20" s="5">
        <f t="shared" si="17"/>
        <v>670</v>
      </c>
      <c r="AD20" s="84">
        <f t="shared" si="30"/>
        <v>0</v>
      </c>
      <c r="AE20" s="5">
        <v>78.03</v>
      </c>
      <c r="AF20" s="84">
        <f t="shared" si="18"/>
        <v>3.75</v>
      </c>
      <c r="AG20" s="5">
        <v>1117.74</v>
      </c>
      <c r="AH20" s="84">
        <f t="shared" si="19"/>
        <v>25.980000000000018</v>
      </c>
      <c r="AI20" s="84">
        <f t="shared" si="20"/>
        <v>29.730000000000018</v>
      </c>
      <c r="AJ20" s="343">
        <f t="shared" si="21"/>
        <v>0</v>
      </c>
      <c r="AK20" s="344">
        <f t="shared" si="5"/>
        <v>-4</v>
      </c>
      <c r="AL20" s="344">
        <f t="shared" si="22"/>
        <v>-1</v>
      </c>
      <c r="AM20" s="344">
        <f>'General information '!D20</f>
        <v>15</v>
      </c>
      <c r="AN20" s="85">
        <f>'General information '!H20</f>
        <v>0</v>
      </c>
      <c r="AO20" s="85"/>
      <c r="AP20" s="85">
        <f>'General information '!J20</f>
        <v>345</v>
      </c>
      <c r="AQ20" s="82"/>
      <c r="AR20" s="287">
        <f t="shared" si="23"/>
        <v>43845</v>
      </c>
      <c r="AS20" s="449">
        <f t="shared" si="6"/>
        <v>0.9</v>
      </c>
      <c r="AT20" s="205">
        <v>62</v>
      </c>
      <c r="AU20" s="450">
        <f t="shared" si="32"/>
        <v>1.1000000000000001</v>
      </c>
      <c r="AV20" s="205">
        <v>95</v>
      </c>
      <c r="AW20" s="5">
        <v>2.9</v>
      </c>
      <c r="AX20" s="205">
        <v>117</v>
      </c>
      <c r="AY20" s="453">
        <f t="shared" si="7"/>
        <v>55.800000000000004</v>
      </c>
      <c r="AZ20" s="453">
        <f t="shared" si="24"/>
        <v>104.50000000000001</v>
      </c>
      <c r="BA20" s="453">
        <f t="shared" si="25"/>
        <v>339.3</v>
      </c>
      <c r="BB20" s="21">
        <f t="shared" si="26"/>
        <v>-63.9</v>
      </c>
      <c r="BC20" s="21">
        <f t="shared" si="27"/>
        <v>39.600000000000009</v>
      </c>
      <c r="BD20" s="21">
        <f t="shared" si="27"/>
        <v>-40.599999999999966</v>
      </c>
      <c r="BE20" s="24">
        <f t="shared" si="28"/>
        <v>-64.899999999999949</v>
      </c>
      <c r="BF20" s="97">
        <f t="shared" si="8"/>
        <v>64.899999999999949</v>
      </c>
      <c r="BG20" s="83">
        <f t="shared" si="9"/>
        <v>-64.899999999999949</v>
      </c>
    </row>
    <row r="21" spans="1:61" ht="15.75" thickBot="1">
      <c r="A21" s="6">
        <f>ELEC!C18</f>
        <v>43846</v>
      </c>
      <c r="B21" s="5">
        <f t="shared" si="36"/>
        <v>108441</v>
      </c>
      <c r="C21" s="5">
        <f t="shared" si="10"/>
        <v>0</v>
      </c>
      <c r="D21" s="443">
        <f t="shared" si="11"/>
        <v>0</v>
      </c>
      <c r="E21" s="350">
        <f>SUM((C21*$E$4)+(7500/'EDl log'!$A$38))</f>
        <v>241.93548387096774</v>
      </c>
      <c r="F21" s="344"/>
      <c r="G21" s="5">
        <v>587283</v>
      </c>
      <c r="H21" s="5">
        <f t="shared" si="12"/>
        <v>343</v>
      </c>
      <c r="I21" s="5">
        <f t="shared" si="0"/>
        <v>343</v>
      </c>
      <c r="J21" s="351">
        <f t="shared" si="1"/>
        <v>0.70535126492993516</v>
      </c>
      <c r="K21" s="5">
        <f>'Swimming Pool quality check '!H21</f>
        <v>5834</v>
      </c>
      <c r="L21" s="84">
        <f t="shared" si="31"/>
        <v>2</v>
      </c>
      <c r="M21" s="434">
        <f t="shared" si="13"/>
        <v>457.44</v>
      </c>
      <c r="N21" s="565">
        <f t="shared" si="33"/>
        <v>0</v>
      </c>
      <c r="O21" s="434">
        <f t="shared" si="13"/>
        <v>529.52</v>
      </c>
      <c r="P21" s="565">
        <f t="shared" si="34"/>
        <v>0</v>
      </c>
      <c r="Q21" s="565">
        <f t="shared" si="35"/>
        <v>0</v>
      </c>
      <c r="R21" s="565"/>
      <c r="S21" s="565"/>
      <c r="T21" s="5">
        <v>4456</v>
      </c>
      <c r="U21" s="5">
        <f t="shared" si="4"/>
        <v>6</v>
      </c>
      <c r="V21" s="5">
        <f t="shared" si="17"/>
        <v>350</v>
      </c>
      <c r="W21" s="341">
        <f t="shared" si="14"/>
        <v>0</v>
      </c>
      <c r="X21" s="5">
        <v>139647</v>
      </c>
      <c r="Y21" s="341">
        <f>SUM(X21-X20)</f>
        <v>69</v>
      </c>
      <c r="Z21" s="5">
        <v>91335</v>
      </c>
      <c r="AA21" s="84">
        <f t="shared" si="16"/>
        <v>89</v>
      </c>
      <c r="AB21" s="5">
        <v>262</v>
      </c>
      <c r="AC21" s="5">
        <f t="shared" si="17"/>
        <v>670</v>
      </c>
      <c r="AD21" s="84">
        <f t="shared" si="30"/>
        <v>0</v>
      </c>
      <c r="AE21" s="5">
        <f t="shared" si="17"/>
        <v>78.03</v>
      </c>
      <c r="AF21" s="84">
        <f t="shared" si="18"/>
        <v>0</v>
      </c>
      <c r="AG21" s="5">
        <v>1122.72</v>
      </c>
      <c r="AH21" s="84">
        <f t="shared" si="19"/>
        <v>4.9800000000000182</v>
      </c>
      <c r="AI21" s="84">
        <f t="shared" si="20"/>
        <v>4.9800000000000182</v>
      </c>
      <c r="AJ21" s="343">
        <f t="shared" si="21"/>
        <v>89</v>
      </c>
      <c r="AK21" s="344">
        <f t="shared" si="5"/>
        <v>67</v>
      </c>
      <c r="AL21" s="344">
        <f t="shared" si="22"/>
        <v>89</v>
      </c>
      <c r="AM21" s="344">
        <f>'General information '!D21</f>
        <v>16</v>
      </c>
      <c r="AN21" s="85">
        <f>'General information '!H21</f>
        <v>107</v>
      </c>
      <c r="AO21" s="85"/>
      <c r="AP21" s="85">
        <f>'General information '!J21</f>
        <v>331</v>
      </c>
      <c r="AQ21" s="82"/>
      <c r="AR21" s="287">
        <f t="shared" si="23"/>
        <v>43846</v>
      </c>
      <c r="AS21" s="449">
        <f t="shared" si="6"/>
        <v>0.9</v>
      </c>
      <c r="AT21" s="205">
        <v>118</v>
      </c>
      <c r="AU21" s="450">
        <f t="shared" si="32"/>
        <v>1.1000000000000001</v>
      </c>
      <c r="AV21" s="205">
        <v>140</v>
      </c>
      <c r="AW21" s="5">
        <v>2.9</v>
      </c>
      <c r="AX21" s="205">
        <v>125</v>
      </c>
      <c r="AY21" s="453">
        <f t="shared" si="7"/>
        <v>106.2</v>
      </c>
      <c r="AZ21" s="453">
        <f t="shared" si="24"/>
        <v>154</v>
      </c>
      <c r="BA21" s="453">
        <f t="shared" si="25"/>
        <v>362.5</v>
      </c>
      <c r="BB21" s="21">
        <f t="shared" si="26"/>
        <v>50.4</v>
      </c>
      <c r="BC21" s="21">
        <f t="shared" si="27"/>
        <v>49.499999999999986</v>
      </c>
      <c r="BD21" s="21">
        <f t="shared" si="27"/>
        <v>23.199999999999989</v>
      </c>
      <c r="BE21" s="24">
        <f t="shared" si="28"/>
        <v>123.09999999999997</v>
      </c>
      <c r="BF21" s="97">
        <f t="shared" si="8"/>
        <v>219.90000000000003</v>
      </c>
      <c r="BG21" s="83">
        <f t="shared" si="9"/>
        <v>123.09999999999997</v>
      </c>
    </row>
    <row r="22" spans="1:61" ht="15.75" thickBot="1">
      <c r="A22" s="6">
        <f>ELEC!C19</f>
        <v>43847</v>
      </c>
      <c r="B22" s="5">
        <f t="shared" si="36"/>
        <v>108441</v>
      </c>
      <c r="C22" s="5">
        <f t="shared" si="10"/>
        <v>0</v>
      </c>
      <c r="D22" s="443">
        <f t="shared" si="11"/>
        <v>0</v>
      </c>
      <c r="E22" s="350">
        <f>SUM((C22*$E$4)+(7500/'EDl log'!$A$38))</f>
        <v>241.93548387096774</v>
      </c>
      <c r="F22" s="344"/>
      <c r="G22" s="5">
        <f t="shared" si="29"/>
        <v>587283</v>
      </c>
      <c r="H22" s="5">
        <f t="shared" si="12"/>
        <v>0</v>
      </c>
      <c r="I22" s="5">
        <f t="shared" si="0"/>
        <v>0</v>
      </c>
      <c r="J22" s="351">
        <f t="shared" si="1"/>
        <v>0</v>
      </c>
      <c r="K22" s="5">
        <f>'Swimming Pool quality check '!H22</f>
        <v>5834</v>
      </c>
      <c r="L22" s="84">
        <f t="shared" si="31"/>
        <v>0</v>
      </c>
      <c r="M22" s="434">
        <f t="shared" si="13"/>
        <v>457.44</v>
      </c>
      <c r="N22" s="565">
        <f t="shared" si="33"/>
        <v>0</v>
      </c>
      <c r="O22" s="434">
        <f t="shared" si="13"/>
        <v>529.52</v>
      </c>
      <c r="P22" s="565">
        <f t="shared" si="34"/>
        <v>0</v>
      </c>
      <c r="Q22" s="565">
        <f t="shared" si="35"/>
        <v>0</v>
      </c>
      <c r="R22" s="565"/>
      <c r="S22" s="565"/>
      <c r="T22" s="5">
        <v>4460</v>
      </c>
      <c r="U22" s="5">
        <f t="shared" si="4"/>
        <v>4</v>
      </c>
      <c r="V22" s="5">
        <v>353</v>
      </c>
      <c r="W22" s="341">
        <f t="shared" si="14"/>
        <v>3</v>
      </c>
      <c r="X22" s="5">
        <v>139647</v>
      </c>
      <c r="Y22" s="341">
        <f t="shared" si="15"/>
        <v>0</v>
      </c>
      <c r="Z22" s="5">
        <f t="shared" si="17"/>
        <v>91335</v>
      </c>
      <c r="AA22" s="84">
        <f t="shared" si="16"/>
        <v>0</v>
      </c>
      <c r="AB22" s="5">
        <v>262</v>
      </c>
      <c r="AC22" s="5">
        <f t="shared" si="17"/>
        <v>670</v>
      </c>
      <c r="AD22" s="84">
        <f t="shared" si="30"/>
        <v>0</v>
      </c>
      <c r="AE22" s="5">
        <v>81.78</v>
      </c>
      <c r="AF22" s="84">
        <f t="shared" si="18"/>
        <v>3.75</v>
      </c>
      <c r="AG22" s="5">
        <v>1126.6099999999999</v>
      </c>
      <c r="AH22" s="84">
        <f t="shared" si="19"/>
        <v>3.8899999999998727</v>
      </c>
      <c r="AI22" s="84">
        <f t="shared" si="20"/>
        <v>7.6399999999998727</v>
      </c>
      <c r="AJ22" s="343">
        <f t="shared" si="21"/>
        <v>0</v>
      </c>
      <c r="AK22" s="344">
        <f t="shared" si="5"/>
        <v>0</v>
      </c>
      <c r="AL22" s="344">
        <f t="shared" si="22"/>
        <v>-3</v>
      </c>
      <c r="AM22" s="344">
        <f>'General information '!D22</f>
        <v>16.5</v>
      </c>
      <c r="AN22" s="85">
        <f>'General information '!H22</f>
        <v>100</v>
      </c>
      <c r="AO22" s="85"/>
      <c r="AP22" s="85">
        <f>'General information '!J22</f>
        <v>340</v>
      </c>
      <c r="AR22" s="287">
        <f t="shared" si="23"/>
        <v>43847</v>
      </c>
      <c r="AS22" s="449">
        <f t="shared" ref="AS22:AT37" si="37">AS21</f>
        <v>0.9</v>
      </c>
      <c r="AT22" s="205">
        <v>127</v>
      </c>
      <c r="AU22" s="450">
        <f t="shared" si="32"/>
        <v>1.1000000000000001</v>
      </c>
      <c r="AV22" s="205">
        <v>120</v>
      </c>
      <c r="AW22" s="5">
        <v>2.9</v>
      </c>
      <c r="AX22" s="205">
        <v>113</v>
      </c>
      <c r="AY22" s="453">
        <f t="shared" si="7"/>
        <v>114.3</v>
      </c>
      <c r="AZ22" s="453">
        <f t="shared" si="24"/>
        <v>132</v>
      </c>
      <c r="BA22" s="453">
        <f t="shared" si="25"/>
        <v>327.7</v>
      </c>
      <c r="BB22" s="21">
        <f t="shared" si="26"/>
        <v>8.0999999999999943</v>
      </c>
      <c r="BC22" s="21">
        <f t="shared" si="26"/>
        <v>-22</v>
      </c>
      <c r="BD22" s="21">
        <f t="shared" si="26"/>
        <v>-34.800000000000011</v>
      </c>
      <c r="BE22" s="24">
        <f t="shared" si="28"/>
        <v>-48.700000000000017</v>
      </c>
      <c r="BF22" s="97">
        <f t="shared" si="8"/>
        <v>48.700000000000017</v>
      </c>
      <c r="BG22" s="83">
        <f t="shared" si="9"/>
        <v>-48.700000000000017</v>
      </c>
    </row>
    <row r="23" spans="1:61" ht="15.75" thickBot="1">
      <c r="A23" s="6">
        <f>ELEC!C20</f>
        <v>43848</v>
      </c>
      <c r="B23" s="5">
        <f t="shared" si="36"/>
        <v>108441</v>
      </c>
      <c r="C23" s="5">
        <f t="shared" si="10"/>
        <v>0</v>
      </c>
      <c r="D23" s="443">
        <f t="shared" si="11"/>
        <v>0</v>
      </c>
      <c r="E23" s="350">
        <f>SUM((C23*$E$4)+(7500/'EDl log'!$A$38))</f>
        <v>241.93548387096774</v>
      </c>
      <c r="F23" s="344"/>
      <c r="G23" s="5">
        <v>587658</v>
      </c>
      <c r="H23" s="5">
        <f t="shared" si="12"/>
        <v>375</v>
      </c>
      <c r="I23" s="5">
        <f t="shared" si="0"/>
        <v>375</v>
      </c>
      <c r="J23" s="351">
        <f t="shared" si="1"/>
        <v>0.64516129032258063</v>
      </c>
      <c r="K23" s="5">
        <f>'Swimming Pool quality check '!H23</f>
        <v>5846</v>
      </c>
      <c r="L23" s="282">
        <f t="shared" si="31"/>
        <v>12</v>
      </c>
      <c r="M23" s="434">
        <f t="shared" si="13"/>
        <v>457.44</v>
      </c>
      <c r="N23" s="565">
        <f t="shared" si="33"/>
        <v>0</v>
      </c>
      <c r="O23" s="434">
        <f t="shared" si="13"/>
        <v>529.52</v>
      </c>
      <c r="P23" s="565">
        <f t="shared" si="34"/>
        <v>0</v>
      </c>
      <c r="Q23" s="565">
        <f t="shared" si="35"/>
        <v>0</v>
      </c>
      <c r="R23" s="567"/>
      <c r="S23" s="567"/>
      <c r="T23" s="5">
        <v>4468</v>
      </c>
      <c r="U23" s="5">
        <f t="shared" si="4"/>
        <v>8</v>
      </c>
      <c r="V23" s="5">
        <f t="shared" si="17"/>
        <v>353</v>
      </c>
      <c r="W23" s="341">
        <f t="shared" si="14"/>
        <v>0</v>
      </c>
      <c r="X23" s="5">
        <v>139830</v>
      </c>
      <c r="Y23" s="341">
        <f t="shared" si="15"/>
        <v>183</v>
      </c>
      <c r="Z23" s="5">
        <v>91421</v>
      </c>
      <c r="AA23" s="84">
        <f t="shared" si="16"/>
        <v>86</v>
      </c>
      <c r="AB23" s="5">
        <v>262</v>
      </c>
      <c r="AC23" s="5">
        <v>671</v>
      </c>
      <c r="AD23" s="84">
        <f t="shared" si="30"/>
        <v>1</v>
      </c>
      <c r="AE23" s="5">
        <f t="shared" si="17"/>
        <v>81.78</v>
      </c>
      <c r="AF23" s="84">
        <f t="shared" si="18"/>
        <v>0</v>
      </c>
      <c r="AG23" s="5">
        <v>1147.3599999999999</v>
      </c>
      <c r="AH23" s="84">
        <f t="shared" si="19"/>
        <v>20.75</v>
      </c>
      <c r="AI23" s="84">
        <f t="shared" si="20"/>
        <v>20.75</v>
      </c>
      <c r="AJ23" s="343">
        <f t="shared" si="21"/>
        <v>86</v>
      </c>
      <c r="AK23" s="344">
        <f t="shared" si="5"/>
        <v>171</v>
      </c>
      <c r="AL23" s="344">
        <f t="shared" si="22"/>
        <v>86</v>
      </c>
      <c r="AM23" s="344">
        <f>'General information '!D23</f>
        <v>13.5</v>
      </c>
      <c r="AN23" s="85">
        <f>'General information '!H23</f>
        <v>0</v>
      </c>
      <c r="AO23" s="85"/>
      <c r="AP23" s="85">
        <f>'General information '!J23</f>
        <v>159</v>
      </c>
      <c r="AR23" s="287">
        <f t="shared" si="23"/>
        <v>43848</v>
      </c>
      <c r="AS23" s="449">
        <f t="shared" si="37"/>
        <v>0.9</v>
      </c>
      <c r="AT23" s="205">
        <v>95</v>
      </c>
      <c r="AU23" s="450">
        <f t="shared" si="32"/>
        <v>1.1000000000000001</v>
      </c>
      <c r="AV23" s="205">
        <v>145</v>
      </c>
      <c r="AW23" s="5">
        <v>2.9</v>
      </c>
      <c r="AX23" s="205">
        <v>148</v>
      </c>
      <c r="AY23" s="453">
        <f t="shared" si="7"/>
        <v>85.5</v>
      </c>
      <c r="AZ23" s="453">
        <f t="shared" si="24"/>
        <v>159.5</v>
      </c>
      <c r="BA23" s="453">
        <f t="shared" si="25"/>
        <v>429.2</v>
      </c>
      <c r="BB23" s="21">
        <f t="shared" si="26"/>
        <v>-28.799999999999997</v>
      </c>
      <c r="BC23" s="21">
        <f t="shared" si="26"/>
        <v>27.5</v>
      </c>
      <c r="BD23" s="21">
        <f t="shared" si="26"/>
        <v>101.5</v>
      </c>
      <c r="BE23" s="24">
        <f t="shared" si="28"/>
        <v>100.2</v>
      </c>
      <c r="BF23" s="97">
        <f t="shared" si="8"/>
        <v>274.8</v>
      </c>
      <c r="BG23" s="83">
        <f t="shared" si="9"/>
        <v>100.19999999999999</v>
      </c>
    </row>
    <row r="24" spans="1:61" ht="15.75" thickBot="1">
      <c r="A24" s="6">
        <f>ELEC!C21</f>
        <v>43849</v>
      </c>
      <c r="B24" s="5">
        <v>108441</v>
      </c>
      <c r="C24" s="5">
        <f t="shared" si="10"/>
        <v>0</v>
      </c>
      <c r="D24" s="443">
        <f t="shared" si="11"/>
        <v>0</v>
      </c>
      <c r="E24" s="350">
        <f>SUM((C24*$E$4)+(7500/'EDl log'!$A$38))</f>
        <v>241.93548387096774</v>
      </c>
      <c r="F24" s="344"/>
      <c r="G24" s="5">
        <v>587658</v>
      </c>
      <c r="H24" s="5">
        <f t="shared" si="12"/>
        <v>0</v>
      </c>
      <c r="I24" s="5">
        <f t="shared" si="0"/>
        <v>0</v>
      </c>
      <c r="J24" s="351">
        <f t="shared" si="1"/>
        <v>0</v>
      </c>
      <c r="K24" s="5">
        <f>'Swimming Pool quality check '!H24</f>
        <v>5846</v>
      </c>
      <c r="L24" s="282">
        <f t="shared" si="31"/>
        <v>0</v>
      </c>
      <c r="M24" s="434">
        <f t="shared" si="13"/>
        <v>457.44</v>
      </c>
      <c r="N24" s="565">
        <f t="shared" si="33"/>
        <v>0</v>
      </c>
      <c r="O24" s="434">
        <f t="shared" si="13"/>
        <v>529.52</v>
      </c>
      <c r="P24" s="565">
        <f t="shared" si="34"/>
        <v>0</v>
      </c>
      <c r="Q24" s="565">
        <f t="shared" si="35"/>
        <v>0</v>
      </c>
      <c r="R24" s="567"/>
      <c r="S24" s="567"/>
      <c r="T24" s="5">
        <v>4474</v>
      </c>
      <c r="U24" s="5">
        <f t="shared" si="4"/>
        <v>6</v>
      </c>
      <c r="V24" s="5">
        <v>353</v>
      </c>
      <c r="W24" s="341">
        <f t="shared" si="14"/>
        <v>0</v>
      </c>
      <c r="X24" s="5">
        <v>139838</v>
      </c>
      <c r="Y24" s="341">
        <f t="shared" si="15"/>
        <v>8</v>
      </c>
      <c r="Z24" s="5">
        <v>91421</v>
      </c>
      <c r="AA24" s="84">
        <f t="shared" si="16"/>
        <v>0</v>
      </c>
      <c r="AB24" s="5">
        <f t="shared" si="17"/>
        <v>262</v>
      </c>
      <c r="AC24" s="5">
        <f t="shared" si="17"/>
        <v>671</v>
      </c>
      <c r="AD24" s="84">
        <f t="shared" si="30"/>
        <v>0</v>
      </c>
      <c r="AE24" s="5">
        <v>81.78</v>
      </c>
      <c r="AF24" s="84">
        <f t="shared" si="18"/>
        <v>0</v>
      </c>
      <c r="AG24" s="5">
        <v>1147.6600000000001</v>
      </c>
      <c r="AH24" s="84">
        <f t="shared" si="19"/>
        <v>0.3000000000001819</v>
      </c>
      <c r="AI24" s="84">
        <f t="shared" si="20"/>
        <v>0.3000000000001819</v>
      </c>
      <c r="AJ24" s="343">
        <f t="shared" si="21"/>
        <v>0</v>
      </c>
      <c r="AK24" s="344">
        <f t="shared" si="5"/>
        <v>8</v>
      </c>
      <c r="AL24" s="344">
        <f t="shared" si="22"/>
        <v>0</v>
      </c>
      <c r="AM24" s="344">
        <f>'General information '!D24</f>
        <v>14</v>
      </c>
      <c r="AN24" s="85">
        <f>'General information '!H24</f>
        <v>0</v>
      </c>
      <c r="AO24" s="85"/>
      <c r="AP24" s="85">
        <f>'General information '!J24</f>
        <v>0</v>
      </c>
      <c r="AR24" s="287">
        <f t="shared" si="23"/>
        <v>43849</v>
      </c>
      <c r="AS24" s="449">
        <f t="shared" si="37"/>
        <v>0.9</v>
      </c>
      <c r="AT24" s="205">
        <v>97</v>
      </c>
      <c r="AU24" s="450">
        <f t="shared" si="32"/>
        <v>1.1000000000000001</v>
      </c>
      <c r="AV24" s="205">
        <v>111</v>
      </c>
      <c r="AW24" s="5">
        <v>2.9</v>
      </c>
      <c r="AX24" s="205">
        <v>139</v>
      </c>
      <c r="AY24" s="453">
        <f t="shared" si="7"/>
        <v>87.3</v>
      </c>
      <c r="AZ24" s="453">
        <f t="shared" si="24"/>
        <v>122.10000000000001</v>
      </c>
      <c r="BA24" s="453">
        <f t="shared" si="25"/>
        <v>403.09999999999997</v>
      </c>
      <c r="BB24" s="21">
        <f t="shared" si="26"/>
        <v>1.7999999999999972</v>
      </c>
      <c r="BC24" s="21">
        <f t="shared" si="26"/>
        <v>-37.399999999999991</v>
      </c>
      <c r="BD24" s="21">
        <f t="shared" si="26"/>
        <v>-26.100000000000023</v>
      </c>
      <c r="BE24" s="24">
        <f t="shared" si="28"/>
        <v>-61.700000000000017</v>
      </c>
      <c r="BF24" s="97">
        <f t="shared" si="8"/>
        <v>61.700000000000017</v>
      </c>
      <c r="BG24" s="83">
        <f t="shared" si="9"/>
        <v>-61.700000000000017</v>
      </c>
      <c r="BI24" s="83"/>
    </row>
    <row r="25" spans="1:61" ht="15.75" thickBot="1">
      <c r="A25" s="6">
        <f>ELEC!C22</f>
        <v>43850</v>
      </c>
      <c r="B25" s="5">
        <f t="shared" si="36"/>
        <v>108441</v>
      </c>
      <c r="C25" s="5">
        <f t="shared" si="10"/>
        <v>0</v>
      </c>
      <c r="D25" s="443">
        <f t="shared" si="11"/>
        <v>0</v>
      </c>
      <c r="E25" s="350">
        <f>SUM((C25*$E$4)+(7500/'EDl log'!$A$38))</f>
        <v>241.93548387096774</v>
      </c>
      <c r="F25" s="344"/>
      <c r="G25" s="5">
        <v>587968</v>
      </c>
      <c r="H25" s="5">
        <f t="shared" si="12"/>
        <v>310</v>
      </c>
      <c r="I25" s="5">
        <f t="shared" si="0"/>
        <v>310</v>
      </c>
      <c r="J25" s="351">
        <f t="shared" si="1"/>
        <v>0.78043704474505726</v>
      </c>
      <c r="K25" s="5">
        <f>'Swimming Pool quality check '!H25</f>
        <v>5849</v>
      </c>
      <c r="L25" s="282">
        <f t="shared" si="31"/>
        <v>3</v>
      </c>
      <c r="M25" s="434">
        <f t="shared" si="13"/>
        <v>457.44</v>
      </c>
      <c r="N25" s="565">
        <f t="shared" si="33"/>
        <v>0</v>
      </c>
      <c r="O25" s="434">
        <f t="shared" si="13"/>
        <v>529.52</v>
      </c>
      <c r="P25" s="565">
        <f t="shared" si="34"/>
        <v>0</v>
      </c>
      <c r="Q25" s="565">
        <f t="shared" si="35"/>
        <v>0</v>
      </c>
      <c r="R25" s="567"/>
      <c r="S25" s="567"/>
      <c r="T25" s="5">
        <v>4478</v>
      </c>
      <c r="U25" s="5">
        <f t="shared" si="4"/>
        <v>4</v>
      </c>
      <c r="V25" s="5">
        <f t="shared" si="17"/>
        <v>353</v>
      </c>
      <c r="W25" s="341">
        <f t="shared" si="14"/>
        <v>0</v>
      </c>
      <c r="X25" s="5">
        <v>139880</v>
      </c>
      <c r="Y25" s="341">
        <f t="shared" si="15"/>
        <v>42</v>
      </c>
      <c r="Z25" s="5">
        <v>91500</v>
      </c>
      <c r="AA25" s="84">
        <f t="shared" si="16"/>
        <v>79</v>
      </c>
      <c r="AB25" s="5">
        <f t="shared" si="17"/>
        <v>262</v>
      </c>
      <c r="AC25" s="5">
        <f t="shared" si="17"/>
        <v>671</v>
      </c>
      <c r="AD25" s="84">
        <f t="shared" si="30"/>
        <v>0</v>
      </c>
      <c r="AE25" s="5">
        <f t="shared" si="17"/>
        <v>81.78</v>
      </c>
      <c r="AF25" s="84">
        <f t="shared" si="18"/>
        <v>0</v>
      </c>
      <c r="AG25" s="5">
        <v>1147.99</v>
      </c>
      <c r="AH25" s="84">
        <f t="shared" si="19"/>
        <v>0.32999999999992724</v>
      </c>
      <c r="AI25" s="84">
        <f t="shared" si="20"/>
        <v>0.32999999999992724</v>
      </c>
      <c r="AJ25" s="343">
        <f t="shared" si="21"/>
        <v>79</v>
      </c>
      <c r="AK25" s="344">
        <f t="shared" si="5"/>
        <v>39</v>
      </c>
      <c r="AL25" s="344">
        <f t="shared" si="22"/>
        <v>79</v>
      </c>
      <c r="AM25" s="344">
        <f>'General information '!D25</f>
        <v>12.5</v>
      </c>
      <c r="AN25" s="85">
        <f>'General information '!H25</f>
        <v>0</v>
      </c>
      <c r="AO25" s="85"/>
      <c r="AP25" s="85">
        <f>'General information '!J25</f>
        <v>182</v>
      </c>
      <c r="AR25" s="287">
        <f t="shared" si="23"/>
        <v>43850</v>
      </c>
      <c r="AS25" s="449">
        <f t="shared" si="37"/>
        <v>0.9</v>
      </c>
      <c r="AT25" s="205">
        <v>127</v>
      </c>
      <c r="AU25" s="450">
        <f t="shared" si="32"/>
        <v>1.1000000000000001</v>
      </c>
      <c r="AV25" s="205">
        <v>135</v>
      </c>
      <c r="AW25" s="5">
        <v>2.9</v>
      </c>
      <c r="AX25" s="205">
        <v>140</v>
      </c>
      <c r="AY25" s="453">
        <f t="shared" si="7"/>
        <v>114.3</v>
      </c>
      <c r="AZ25" s="453">
        <f t="shared" si="24"/>
        <v>148.5</v>
      </c>
      <c r="BA25" s="453">
        <f t="shared" si="25"/>
        <v>406</v>
      </c>
      <c r="BB25" s="21">
        <f t="shared" si="26"/>
        <v>27</v>
      </c>
      <c r="BC25" s="21">
        <f t="shared" si="26"/>
        <v>26.399999999999991</v>
      </c>
      <c r="BD25" s="21">
        <f t="shared" si="26"/>
        <v>2.9000000000000341</v>
      </c>
      <c r="BE25" s="24">
        <f t="shared" si="28"/>
        <v>56.300000000000026</v>
      </c>
      <c r="BF25" s="97">
        <f t="shared" si="8"/>
        <v>253.7</v>
      </c>
      <c r="BG25" s="83">
        <f t="shared" si="9"/>
        <v>56.300000000000011</v>
      </c>
    </row>
    <row r="26" spans="1:61" ht="15.75" thickBot="1">
      <c r="A26" s="6">
        <f>ELEC!C23</f>
        <v>43851</v>
      </c>
      <c r="B26" s="5">
        <f t="shared" si="36"/>
        <v>108441</v>
      </c>
      <c r="C26" s="5">
        <f t="shared" si="10"/>
        <v>0</v>
      </c>
      <c r="D26" s="443">
        <f t="shared" si="11"/>
        <v>0</v>
      </c>
      <c r="E26" s="350">
        <f>SUM((C26*$E$4)+(7500/'EDl log'!$A$38))</f>
        <v>241.93548387096774</v>
      </c>
      <c r="F26" s="344"/>
      <c r="G26" s="5">
        <f t="shared" si="29"/>
        <v>587968</v>
      </c>
      <c r="H26" s="5">
        <f>G26-G25</f>
        <v>0</v>
      </c>
      <c r="I26" s="5">
        <f t="shared" si="0"/>
        <v>0</v>
      </c>
      <c r="J26" s="351">
        <f t="shared" si="1"/>
        <v>0</v>
      </c>
      <c r="K26" s="5">
        <f>'Swimming Pool quality check '!H26</f>
        <v>5853</v>
      </c>
      <c r="L26" s="282">
        <f t="shared" si="31"/>
        <v>4</v>
      </c>
      <c r="M26" s="434">
        <f t="shared" si="13"/>
        <v>457.44</v>
      </c>
      <c r="N26" s="565">
        <f t="shared" si="33"/>
        <v>0</v>
      </c>
      <c r="O26" s="434">
        <f t="shared" si="13"/>
        <v>529.52</v>
      </c>
      <c r="P26" s="565">
        <f t="shared" si="34"/>
        <v>0</v>
      </c>
      <c r="Q26" s="565">
        <f t="shared" si="35"/>
        <v>0</v>
      </c>
      <c r="R26" s="567"/>
      <c r="S26" s="567"/>
      <c r="T26" s="5">
        <v>4482</v>
      </c>
      <c r="U26" s="5">
        <f t="shared" si="4"/>
        <v>4</v>
      </c>
      <c r="V26" s="5">
        <v>354</v>
      </c>
      <c r="W26" s="341">
        <f t="shared" si="14"/>
        <v>1</v>
      </c>
      <c r="X26" s="5">
        <v>139880</v>
      </c>
      <c r="Y26" s="341">
        <f t="shared" si="15"/>
        <v>0</v>
      </c>
      <c r="Z26" s="5">
        <f t="shared" si="17"/>
        <v>91500</v>
      </c>
      <c r="AA26" s="84">
        <f t="shared" si="16"/>
        <v>0</v>
      </c>
      <c r="AB26" s="5">
        <f t="shared" si="17"/>
        <v>262</v>
      </c>
      <c r="AC26" s="5">
        <f t="shared" si="17"/>
        <v>671</v>
      </c>
      <c r="AD26" s="84">
        <f t="shared" si="30"/>
        <v>0</v>
      </c>
      <c r="AE26" s="5">
        <v>82.68</v>
      </c>
      <c r="AF26" s="84">
        <f t="shared" si="18"/>
        <v>0.90000000000000568</v>
      </c>
      <c r="AG26" s="5">
        <v>1152.74</v>
      </c>
      <c r="AH26" s="84">
        <f t="shared" si="19"/>
        <v>4.75</v>
      </c>
      <c r="AI26" s="84">
        <f t="shared" si="20"/>
        <v>5.6500000000000057</v>
      </c>
      <c r="AJ26" s="343">
        <f t="shared" si="21"/>
        <v>0</v>
      </c>
      <c r="AK26" s="344">
        <f t="shared" si="5"/>
        <v>-4</v>
      </c>
      <c r="AL26" s="344">
        <f>SUM(AJ26-W26)</f>
        <v>-1</v>
      </c>
      <c r="AM26" s="344">
        <f>'General information '!D26</f>
        <v>11</v>
      </c>
      <c r="AN26" s="85">
        <f>'General information '!H26</f>
        <v>0</v>
      </c>
      <c r="AO26" s="85"/>
      <c r="AP26" s="85">
        <f>'General information '!J26</f>
        <v>197</v>
      </c>
      <c r="AR26" s="287">
        <f t="shared" si="23"/>
        <v>43851</v>
      </c>
      <c r="AS26" s="449">
        <f t="shared" si="37"/>
        <v>0.9</v>
      </c>
      <c r="AT26" s="205">
        <v>132</v>
      </c>
      <c r="AU26" s="450">
        <f t="shared" si="32"/>
        <v>1.1000000000000001</v>
      </c>
      <c r="AV26" s="205">
        <v>96</v>
      </c>
      <c r="AW26" s="5">
        <v>2.9</v>
      </c>
      <c r="AX26" s="205">
        <v>129</v>
      </c>
      <c r="AY26" s="453">
        <f t="shared" si="7"/>
        <v>118.8</v>
      </c>
      <c r="AZ26" s="453">
        <f t="shared" si="24"/>
        <v>105.60000000000001</v>
      </c>
      <c r="BA26" s="453">
        <f t="shared" si="25"/>
        <v>374.09999999999997</v>
      </c>
      <c r="BB26" s="21">
        <f t="shared" si="26"/>
        <v>4.5</v>
      </c>
      <c r="BC26" s="21">
        <f t="shared" si="26"/>
        <v>-42.899999999999991</v>
      </c>
      <c r="BD26" s="21">
        <f t="shared" si="26"/>
        <v>-31.900000000000034</v>
      </c>
      <c r="BE26" s="24">
        <f t="shared" si="28"/>
        <v>-70.300000000000026</v>
      </c>
      <c r="BF26" s="361">
        <f t="shared" si="8"/>
        <v>70.300000000000026</v>
      </c>
      <c r="BG26" s="83">
        <f t="shared" si="9"/>
        <v>-70.300000000000026</v>
      </c>
    </row>
    <row r="27" spans="1:61" ht="15.75" thickBot="1">
      <c r="A27" s="6">
        <f>ELEC!C24</f>
        <v>43852</v>
      </c>
      <c r="B27" s="5">
        <v>108441</v>
      </c>
      <c r="C27" s="5">
        <f t="shared" si="10"/>
        <v>0</v>
      </c>
      <c r="D27" s="443">
        <f t="shared" si="11"/>
        <v>0</v>
      </c>
      <c r="E27" s="350">
        <f>SUM((C27*$E$4)+(7500/'EDl log'!$A$38))</f>
        <v>241.93548387096774</v>
      </c>
      <c r="F27" s="344"/>
      <c r="G27" s="5">
        <v>587987</v>
      </c>
      <c r="H27" s="5">
        <f t="shared" si="12"/>
        <v>19</v>
      </c>
      <c r="I27" s="5">
        <f t="shared" si="0"/>
        <v>19</v>
      </c>
      <c r="J27" s="351">
        <f t="shared" si="1"/>
        <v>12.733446519524618</v>
      </c>
      <c r="K27" s="5">
        <f>'Swimming Pool quality check '!H27</f>
        <v>5858</v>
      </c>
      <c r="L27" s="282">
        <f t="shared" si="31"/>
        <v>5</v>
      </c>
      <c r="M27" s="434">
        <f t="shared" si="13"/>
        <v>457.44</v>
      </c>
      <c r="N27" s="565">
        <f t="shared" si="33"/>
        <v>0</v>
      </c>
      <c r="O27" s="434">
        <f t="shared" si="13"/>
        <v>529.52</v>
      </c>
      <c r="P27" s="565">
        <f t="shared" si="34"/>
        <v>0</v>
      </c>
      <c r="Q27" s="565">
        <f t="shared" si="35"/>
        <v>0</v>
      </c>
      <c r="R27" s="567"/>
      <c r="S27" s="567"/>
      <c r="T27" s="5">
        <v>4485</v>
      </c>
      <c r="U27" s="5">
        <f t="shared" si="4"/>
        <v>3</v>
      </c>
      <c r="V27" s="5">
        <v>354</v>
      </c>
      <c r="W27" s="341">
        <f t="shared" si="14"/>
        <v>0</v>
      </c>
      <c r="X27" s="5">
        <v>139887</v>
      </c>
      <c r="Y27" s="341">
        <f>SUM(X27-X26)</f>
        <v>7</v>
      </c>
      <c r="Z27" s="5">
        <v>91557</v>
      </c>
      <c r="AA27" s="84">
        <f t="shared" si="16"/>
        <v>57</v>
      </c>
      <c r="AB27" s="5">
        <f t="shared" si="17"/>
        <v>262</v>
      </c>
      <c r="AC27" s="5">
        <f t="shared" si="17"/>
        <v>671</v>
      </c>
      <c r="AD27" s="84">
        <f t="shared" si="30"/>
        <v>0</v>
      </c>
      <c r="AE27" s="5">
        <v>85.08</v>
      </c>
      <c r="AF27" s="84">
        <f t="shared" si="18"/>
        <v>2.3999999999999915</v>
      </c>
      <c r="AG27" s="5">
        <v>1171.8599999999999</v>
      </c>
      <c r="AH27" s="84">
        <f t="shared" si="19"/>
        <v>19.119999999999891</v>
      </c>
      <c r="AI27" s="84">
        <f t="shared" si="20"/>
        <v>21.519999999999882</v>
      </c>
      <c r="AJ27" s="343">
        <f t="shared" si="21"/>
        <v>57</v>
      </c>
      <c r="AK27" s="344">
        <f t="shared" si="5"/>
        <v>2</v>
      </c>
      <c r="AL27" s="344">
        <f t="shared" si="22"/>
        <v>57</v>
      </c>
      <c r="AM27" s="344">
        <f>'General information '!D27</f>
        <v>12</v>
      </c>
      <c r="AN27" s="85">
        <f>'General information '!H27</f>
        <v>0</v>
      </c>
      <c r="AO27" s="85"/>
      <c r="AP27" s="85">
        <f>'General information '!J27</f>
        <v>139</v>
      </c>
      <c r="AR27" s="287">
        <f t="shared" si="23"/>
        <v>43852</v>
      </c>
      <c r="AS27" s="449">
        <f t="shared" si="37"/>
        <v>0.9</v>
      </c>
      <c r="AT27" s="205">
        <v>122</v>
      </c>
      <c r="AU27" s="450">
        <f t="shared" si="32"/>
        <v>1.1000000000000001</v>
      </c>
      <c r="AV27" s="205">
        <v>91</v>
      </c>
      <c r="AW27" s="5">
        <v>2.9</v>
      </c>
      <c r="AX27" s="205">
        <v>117</v>
      </c>
      <c r="AY27" s="453">
        <f t="shared" si="7"/>
        <v>109.8</v>
      </c>
      <c r="AZ27" s="453">
        <f t="shared" si="24"/>
        <v>100.10000000000001</v>
      </c>
      <c r="BA27" s="453">
        <f t="shared" si="25"/>
        <v>339.3</v>
      </c>
      <c r="BB27" s="21">
        <f t="shared" si="26"/>
        <v>-9</v>
      </c>
      <c r="BC27" s="21">
        <f t="shared" si="26"/>
        <v>-5.5</v>
      </c>
      <c r="BD27" s="21">
        <f t="shared" si="26"/>
        <v>-34.799999999999955</v>
      </c>
      <c r="BE27" s="24">
        <f t="shared" si="28"/>
        <v>-49.299999999999955</v>
      </c>
      <c r="BF27" s="97">
        <f t="shared" si="8"/>
        <v>68.299999999999955</v>
      </c>
      <c r="BG27" s="83">
        <f t="shared" si="9"/>
        <v>-49.299999999999955</v>
      </c>
    </row>
    <row r="28" spans="1:61" ht="15.75" thickBot="1">
      <c r="A28" s="6">
        <f>ELEC!C25</f>
        <v>43853</v>
      </c>
      <c r="B28" s="5">
        <f t="shared" si="36"/>
        <v>108441</v>
      </c>
      <c r="C28" s="5">
        <f t="shared" si="10"/>
        <v>0</v>
      </c>
      <c r="D28" s="443">
        <f t="shared" si="11"/>
        <v>0</v>
      </c>
      <c r="E28" s="350">
        <f>SUM((C28*$E$4)+(7500/'EDl log'!$A$38))</f>
        <v>241.93548387096774</v>
      </c>
      <c r="F28" s="344"/>
      <c r="G28" s="5">
        <f t="shared" si="29"/>
        <v>587987</v>
      </c>
      <c r="H28" s="5">
        <f t="shared" si="12"/>
        <v>0</v>
      </c>
      <c r="I28" s="5">
        <f t="shared" si="0"/>
        <v>0</v>
      </c>
      <c r="J28" s="351">
        <f t="shared" si="1"/>
        <v>0</v>
      </c>
      <c r="K28" s="5">
        <f>'Swimming Pool quality check '!H28</f>
        <v>5859</v>
      </c>
      <c r="L28" s="282">
        <f t="shared" si="31"/>
        <v>1</v>
      </c>
      <c r="M28" s="434">
        <f t="shared" si="13"/>
        <v>457.44</v>
      </c>
      <c r="N28" s="565">
        <f t="shared" si="33"/>
        <v>0</v>
      </c>
      <c r="O28" s="434">
        <f t="shared" si="13"/>
        <v>529.52</v>
      </c>
      <c r="P28" s="565">
        <f t="shared" si="34"/>
        <v>0</v>
      </c>
      <c r="Q28" s="565">
        <f t="shared" si="35"/>
        <v>0</v>
      </c>
      <c r="R28" s="567"/>
      <c r="S28" s="567"/>
      <c r="T28" s="5">
        <v>4489</v>
      </c>
      <c r="U28" s="5">
        <f t="shared" si="4"/>
        <v>4</v>
      </c>
      <c r="V28" s="5">
        <f t="shared" si="17"/>
        <v>354</v>
      </c>
      <c r="W28" s="341">
        <f t="shared" si="14"/>
        <v>0</v>
      </c>
      <c r="X28" s="5">
        <v>139922</v>
      </c>
      <c r="Y28" s="341">
        <f t="shared" si="15"/>
        <v>35</v>
      </c>
      <c r="Z28" s="5">
        <v>91570</v>
      </c>
      <c r="AA28" s="84">
        <f t="shared" si="16"/>
        <v>13</v>
      </c>
      <c r="AB28" s="5">
        <f t="shared" si="17"/>
        <v>262</v>
      </c>
      <c r="AC28" s="5">
        <f t="shared" si="17"/>
        <v>671</v>
      </c>
      <c r="AD28" s="84">
        <f t="shared" si="30"/>
        <v>0</v>
      </c>
      <c r="AE28" s="5">
        <f t="shared" si="17"/>
        <v>85.08</v>
      </c>
      <c r="AF28" s="84">
        <f t="shared" si="18"/>
        <v>0</v>
      </c>
      <c r="AG28" s="5">
        <f t="shared" si="17"/>
        <v>1171.8599999999999</v>
      </c>
      <c r="AH28" s="84">
        <f t="shared" si="19"/>
        <v>0</v>
      </c>
      <c r="AI28" s="84">
        <f t="shared" si="20"/>
        <v>0</v>
      </c>
      <c r="AJ28" s="343">
        <f t="shared" si="21"/>
        <v>13</v>
      </c>
      <c r="AK28" s="344">
        <f t="shared" si="5"/>
        <v>34</v>
      </c>
      <c r="AL28" s="344">
        <f t="shared" si="22"/>
        <v>13</v>
      </c>
      <c r="AM28" s="344">
        <f>'General information '!D28</f>
        <v>10</v>
      </c>
      <c r="AN28" s="85">
        <f>'General information '!H28</f>
        <v>0</v>
      </c>
      <c r="AO28" s="85"/>
      <c r="AP28" s="85">
        <f>'General information '!J28</f>
        <v>153</v>
      </c>
      <c r="AR28" s="287">
        <f t="shared" si="23"/>
        <v>43853</v>
      </c>
      <c r="AS28" s="449">
        <f t="shared" si="37"/>
        <v>0.9</v>
      </c>
      <c r="AT28" s="205">
        <v>99</v>
      </c>
      <c r="AU28" s="450">
        <f t="shared" si="32"/>
        <v>1.1000000000000001</v>
      </c>
      <c r="AV28" s="205">
        <v>75</v>
      </c>
      <c r="AW28" s="5">
        <v>2.9</v>
      </c>
      <c r="AX28" s="205">
        <v>112</v>
      </c>
      <c r="AY28" s="453">
        <f t="shared" si="7"/>
        <v>89.100000000000009</v>
      </c>
      <c r="AZ28" s="453">
        <f t="shared" si="24"/>
        <v>82.5</v>
      </c>
      <c r="BA28" s="453">
        <f t="shared" si="25"/>
        <v>324.8</v>
      </c>
      <c r="BB28" s="21">
        <f t="shared" si="26"/>
        <v>-20.699999999999989</v>
      </c>
      <c r="BC28" s="21">
        <f t="shared" si="26"/>
        <v>-17.600000000000009</v>
      </c>
      <c r="BD28" s="21">
        <f t="shared" si="26"/>
        <v>-14.5</v>
      </c>
      <c r="BE28" s="24">
        <f t="shared" si="28"/>
        <v>-52.8</v>
      </c>
      <c r="BF28" s="97">
        <f t="shared" si="8"/>
        <v>52.8</v>
      </c>
      <c r="BG28" s="83">
        <f t="shared" si="9"/>
        <v>-52.8</v>
      </c>
    </row>
    <row r="29" spans="1:61" ht="15.75" thickBot="1">
      <c r="A29" s="6">
        <f>ELEC!C26</f>
        <v>43854</v>
      </c>
      <c r="B29" s="5">
        <f t="shared" si="36"/>
        <v>108441</v>
      </c>
      <c r="C29" s="5">
        <f t="shared" si="10"/>
        <v>0</v>
      </c>
      <c r="D29" s="443">
        <f t="shared" si="11"/>
        <v>0</v>
      </c>
      <c r="E29" s="350">
        <f>SUM((C29*$E$4)+(7500/'EDl log'!$A$38))</f>
        <v>241.93548387096774</v>
      </c>
      <c r="F29" s="344"/>
      <c r="G29" s="5">
        <v>588351</v>
      </c>
      <c r="H29" s="5">
        <f t="shared" si="12"/>
        <v>364</v>
      </c>
      <c r="I29" s="5">
        <f t="shared" si="0"/>
        <v>364</v>
      </c>
      <c r="J29" s="351">
        <f t="shared" si="1"/>
        <v>0.66465792272243884</v>
      </c>
      <c r="K29" s="5">
        <f>'Swimming Pool quality check '!H29</f>
        <v>5861</v>
      </c>
      <c r="L29" s="282">
        <f t="shared" si="31"/>
        <v>2</v>
      </c>
      <c r="M29" s="434">
        <f t="shared" si="13"/>
        <v>457.44</v>
      </c>
      <c r="N29" s="565">
        <f t="shared" si="33"/>
        <v>0</v>
      </c>
      <c r="O29" s="434">
        <f t="shared" si="13"/>
        <v>529.52</v>
      </c>
      <c r="P29" s="565">
        <f t="shared" si="34"/>
        <v>0</v>
      </c>
      <c r="Q29" s="565">
        <f t="shared" si="35"/>
        <v>0</v>
      </c>
      <c r="R29" s="567"/>
      <c r="S29" s="567"/>
      <c r="T29" s="5">
        <v>4493</v>
      </c>
      <c r="U29" s="5">
        <f t="shared" si="4"/>
        <v>4</v>
      </c>
      <c r="V29" s="5">
        <v>359</v>
      </c>
      <c r="W29" s="341">
        <f t="shared" si="14"/>
        <v>5</v>
      </c>
      <c r="X29" s="5">
        <v>140051</v>
      </c>
      <c r="Y29" s="341">
        <f t="shared" si="15"/>
        <v>129</v>
      </c>
      <c r="Z29" s="5">
        <v>91701</v>
      </c>
      <c r="AA29" s="84">
        <f t="shared" si="16"/>
        <v>131</v>
      </c>
      <c r="AB29" s="5">
        <f t="shared" si="17"/>
        <v>262</v>
      </c>
      <c r="AC29" s="5">
        <f t="shared" si="17"/>
        <v>671</v>
      </c>
      <c r="AD29" s="84">
        <f t="shared" si="30"/>
        <v>0</v>
      </c>
      <c r="AE29" s="5">
        <v>86.42</v>
      </c>
      <c r="AF29" s="84">
        <f t="shared" si="18"/>
        <v>1.3400000000000034</v>
      </c>
      <c r="AG29" s="5">
        <v>1174.4000000000001</v>
      </c>
      <c r="AH29" s="84">
        <f t="shared" si="19"/>
        <v>2.540000000000191</v>
      </c>
      <c r="AI29" s="84">
        <f t="shared" si="20"/>
        <v>3.8800000000001944</v>
      </c>
      <c r="AJ29" s="343">
        <f t="shared" si="21"/>
        <v>131</v>
      </c>
      <c r="AK29" s="344">
        <f t="shared" si="5"/>
        <v>127</v>
      </c>
      <c r="AL29" s="344">
        <f t="shared" si="22"/>
        <v>126</v>
      </c>
      <c r="AM29" s="344">
        <f>'General information '!D29</f>
        <v>11</v>
      </c>
      <c r="AN29" s="85">
        <f>'General information '!H29</f>
        <v>0</v>
      </c>
      <c r="AO29" s="85"/>
      <c r="AP29" s="85">
        <f>'General information '!J29</f>
        <v>183</v>
      </c>
      <c r="AR29" s="287">
        <f t="shared" si="23"/>
        <v>43854</v>
      </c>
      <c r="AS29" s="449">
        <f t="shared" si="37"/>
        <v>0.9</v>
      </c>
      <c r="AT29" s="205">
        <v>33</v>
      </c>
      <c r="AU29" s="450">
        <f t="shared" si="32"/>
        <v>1.1000000000000001</v>
      </c>
      <c r="AV29" s="205">
        <v>140</v>
      </c>
      <c r="AW29" s="5">
        <v>2.9</v>
      </c>
      <c r="AX29" s="205">
        <v>133</v>
      </c>
      <c r="AY29" s="453">
        <f t="shared" si="7"/>
        <v>29.7</v>
      </c>
      <c r="AZ29" s="453">
        <f t="shared" si="24"/>
        <v>154</v>
      </c>
      <c r="BA29" s="453">
        <f t="shared" si="25"/>
        <v>385.7</v>
      </c>
      <c r="BB29" s="21">
        <f t="shared" si="26"/>
        <v>-59.400000000000006</v>
      </c>
      <c r="BC29" s="21">
        <f t="shared" si="26"/>
        <v>71.5</v>
      </c>
      <c r="BD29" s="21">
        <f t="shared" si="26"/>
        <v>60.899999999999977</v>
      </c>
      <c r="BE29" s="24">
        <f t="shared" si="28"/>
        <v>72.999999999999972</v>
      </c>
      <c r="BF29" s="97">
        <f t="shared" si="8"/>
        <v>291</v>
      </c>
      <c r="BG29" s="83">
        <f t="shared" si="9"/>
        <v>73</v>
      </c>
    </row>
    <row r="30" spans="1:61" ht="15.75" thickBot="1">
      <c r="A30" s="6">
        <f>ELEC!C27</f>
        <v>43855</v>
      </c>
      <c r="B30" s="5">
        <f t="shared" si="36"/>
        <v>108441</v>
      </c>
      <c r="C30" s="5">
        <f t="shared" si="10"/>
        <v>0</v>
      </c>
      <c r="D30" s="443">
        <f t="shared" si="11"/>
        <v>0</v>
      </c>
      <c r="E30" s="350">
        <f>SUM((C30*$E$4)+(7500/'EDl log'!$A$38))</f>
        <v>241.93548387096774</v>
      </c>
      <c r="F30" s="344"/>
      <c r="G30" s="5">
        <f t="shared" si="29"/>
        <v>588351</v>
      </c>
      <c r="H30" s="5">
        <f t="shared" si="12"/>
        <v>0</v>
      </c>
      <c r="I30" s="5">
        <f t="shared" si="0"/>
        <v>0</v>
      </c>
      <c r="J30" s="351">
        <f t="shared" si="1"/>
        <v>0</v>
      </c>
      <c r="K30" s="5">
        <f>'Swimming Pool quality check '!H30</f>
        <v>5862</v>
      </c>
      <c r="L30" s="282">
        <f t="shared" si="31"/>
        <v>1</v>
      </c>
      <c r="M30" s="434">
        <f t="shared" si="13"/>
        <v>457.44</v>
      </c>
      <c r="N30" s="565">
        <f t="shared" si="33"/>
        <v>0</v>
      </c>
      <c r="O30" s="434">
        <f t="shared" si="13"/>
        <v>529.52</v>
      </c>
      <c r="P30" s="565">
        <f t="shared" si="34"/>
        <v>0</v>
      </c>
      <c r="Q30" s="565">
        <f t="shared" si="35"/>
        <v>0</v>
      </c>
      <c r="R30" s="567"/>
      <c r="S30" s="567"/>
      <c r="T30" s="5">
        <v>4498</v>
      </c>
      <c r="U30" s="5">
        <f t="shared" si="4"/>
        <v>5</v>
      </c>
      <c r="V30" s="5">
        <v>361</v>
      </c>
      <c r="W30" s="341">
        <f t="shared" si="14"/>
        <v>2</v>
      </c>
      <c r="X30" s="5">
        <v>140064</v>
      </c>
      <c r="Y30" s="341">
        <f t="shared" si="15"/>
        <v>13</v>
      </c>
      <c r="Z30" s="5">
        <v>91718</v>
      </c>
      <c r="AA30" s="84">
        <f t="shared" si="16"/>
        <v>17</v>
      </c>
      <c r="AB30" s="5">
        <f t="shared" si="17"/>
        <v>262</v>
      </c>
      <c r="AC30" s="5">
        <f t="shared" si="17"/>
        <v>671</v>
      </c>
      <c r="AD30" s="84">
        <f t="shared" si="30"/>
        <v>0</v>
      </c>
      <c r="AE30" s="5">
        <f t="shared" si="17"/>
        <v>86.42</v>
      </c>
      <c r="AF30" s="84">
        <f t="shared" si="18"/>
        <v>0</v>
      </c>
      <c r="AG30" s="5">
        <v>1193.18</v>
      </c>
      <c r="AH30" s="84">
        <f t="shared" si="19"/>
        <v>18.779999999999973</v>
      </c>
      <c r="AI30" s="84">
        <f t="shared" si="20"/>
        <v>18.779999999999973</v>
      </c>
      <c r="AJ30" s="343">
        <f t="shared" si="21"/>
        <v>17</v>
      </c>
      <c r="AK30" s="344">
        <f t="shared" si="5"/>
        <v>12</v>
      </c>
      <c r="AL30" s="344">
        <f t="shared" si="22"/>
        <v>15</v>
      </c>
      <c r="AM30" s="344">
        <f>'General information '!D30</f>
        <v>13</v>
      </c>
      <c r="AN30" s="85">
        <f>'General information '!H30</f>
        <v>0</v>
      </c>
      <c r="AO30" s="85"/>
      <c r="AP30" s="85">
        <f>'General information '!J30</f>
        <v>239</v>
      </c>
      <c r="AR30" s="287">
        <f t="shared" si="23"/>
        <v>43855</v>
      </c>
      <c r="AS30" s="449">
        <f t="shared" si="37"/>
        <v>0.9</v>
      </c>
      <c r="AT30" s="205">
        <v>14</v>
      </c>
      <c r="AU30" s="450">
        <f t="shared" si="32"/>
        <v>1.1000000000000001</v>
      </c>
      <c r="AV30" s="205">
        <v>106</v>
      </c>
      <c r="AW30" s="5">
        <v>2.9</v>
      </c>
      <c r="AX30" s="205">
        <v>125</v>
      </c>
      <c r="AY30" s="453">
        <f t="shared" si="7"/>
        <v>12.6</v>
      </c>
      <c r="AZ30" s="453">
        <f t="shared" si="24"/>
        <v>116.60000000000001</v>
      </c>
      <c r="BA30" s="453">
        <f t="shared" si="25"/>
        <v>362.5</v>
      </c>
      <c r="BB30" s="21">
        <f t="shared" si="26"/>
        <v>-17.100000000000001</v>
      </c>
      <c r="BC30" s="21">
        <f t="shared" si="26"/>
        <v>-37.399999999999991</v>
      </c>
      <c r="BD30" s="21">
        <f t="shared" si="26"/>
        <v>-23.199999999999989</v>
      </c>
      <c r="BE30" s="24">
        <f t="shared" si="28"/>
        <v>-77.699999999999989</v>
      </c>
      <c r="BF30" s="97">
        <f t="shared" si="8"/>
        <v>77.699999999999989</v>
      </c>
      <c r="BG30" s="83">
        <f t="shared" si="9"/>
        <v>-77.699999999999989</v>
      </c>
    </row>
    <row r="31" spans="1:61" ht="15.75" thickBot="1">
      <c r="A31" s="6">
        <f>ELEC!C28</f>
        <v>43856</v>
      </c>
      <c r="B31" s="5">
        <f t="shared" si="36"/>
        <v>108441</v>
      </c>
      <c r="C31" s="5">
        <f t="shared" si="10"/>
        <v>0</v>
      </c>
      <c r="D31" s="443">
        <f t="shared" si="11"/>
        <v>0</v>
      </c>
      <c r="E31" s="350">
        <f>SUM((C31*$E$4)+(7500/'EDl log'!$A$38))</f>
        <v>241.93548387096774</v>
      </c>
      <c r="F31" s="344"/>
      <c r="G31" s="5">
        <v>588690</v>
      </c>
      <c r="H31" s="5">
        <f t="shared" si="12"/>
        <v>339</v>
      </c>
      <c r="I31" s="5">
        <f t="shared" si="0"/>
        <v>339</v>
      </c>
      <c r="J31" s="351">
        <f t="shared" si="1"/>
        <v>0.71367399371966889</v>
      </c>
      <c r="K31" s="5">
        <f>'Swimming Pool quality check '!H31</f>
        <v>5885</v>
      </c>
      <c r="L31" s="282">
        <f t="shared" si="31"/>
        <v>23</v>
      </c>
      <c r="M31" s="434">
        <f t="shared" si="13"/>
        <v>457.44</v>
      </c>
      <c r="N31" s="565">
        <f t="shared" si="33"/>
        <v>0</v>
      </c>
      <c r="O31" s="434">
        <f t="shared" si="13"/>
        <v>529.52</v>
      </c>
      <c r="P31" s="565">
        <f t="shared" si="34"/>
        <v>0</v>
      </c>
      <c r="Q31" s="565">
        <f t="shared" si="35"/>
        <v>0</v>
      </c>
      <c r="R31" s="567"/>
      <c r="S31" s="567"/>
      <c r="T31" s="5">
        <v>4503</v>
      </c>
      <c r="U31" s="5">
        <f t="shared" si="4"/>
        <v>5</v>
      </c>
      <c r="V31" s="5">
        <f t="shared" si="17"/>
        <v>361</v>
      </c>
      <c r="W31" s="341">
        <f t="shared" si="14"/>
        <v>0</v>
      </c>
      <c r="X31" s="5">
        <v>140141</v>
      </c>
      <c r="Y31" s="341">
        <f t="shared" si="15"/>
        <v>77</v>
      </c>
      <c r="Z31" s="5">
        <v>91820</v>
      </c>
      <c r="AA31" s="84">
        <f t="shared" si="16"/>
        <v>102</v>
      </c>
      <c r="AB31" s="5">
        <f t="shared" si="17"/>
        <v>262</v>
      </c>
      <c r="AC31" s="5">
        <f t="shared" si="17"/>
        <v>671</v>
      </c>
      <c r="AD31" s="84">
        <f t="shared" si="30"/>
        <v>0</v>
      </c>
      <c r="AE31" s="5">
        <v>88.42</v>
      </c>
      <c r="AF31" s="84">
        <f t="shared" si="18"/>
        <v>2</v>
      </c>
      <c r="AG31" s="5">
        <v>1193.42</v>
      </c>
      <c r="AH31" s="84">
        <f t="shared" si="19"/>
        <v>0.24000000000000909</v>
      </c>
      <c r="AI31" s="84">
        <f t="shared" si="20"/>
        <v>2.2400000000000091</v>
      </c>
      <c r="AJ31" s="343">
        <f t="shared" si="21"/>
        <v>102</v>
      </c>
      <c r="AK31" s="344">
        <f t="shared" si="5"/>
        <v>54</v>
      </c>
      <c r="AL31" s="344">
        <f t="shared" si="22"/>
        <v>102</v>
      </c>
      <c r="AM31" s="344">
        <f>'General information '!D31</f>
        <v>12</v>
      </c>
      <c r="AN31" s="85">
        <f>'General information '!H31</f>
        <v>0</v>
      </c>
      <c r="AO31" s="85"/>
      <c r="AP31" s="85">
        <f>'General information '!J31</f>
        <v>179</v>
      </c>
      <c r="AR31" s="287">
        <f t="shared" si="23"/>
        <v>43856</v>
      </c>
      <c r="AS31" s="449">
        <f t="shared" si="37"/>
        <v>0.9</v>
      </c>
      <c r="AT31" s="205">
        <v>43</v>
      </c>
      <c r="AU31" s="450">
        <f t="shared" si="32"/>
        <v>1.1000000000000001</v>
      </c>
      <c r="AV31" s="205">
        <v>151</v>
      </c>
      <c r="AW31" s="5">
        <v>2.9</v>
      </c>
      <c r="AX31" s="205">
        <v>135</v>
      </c>
      <c r="AY31" s="453">
        <f t="shared" si="7"/>
        <v>38.700000000000003</v>
      </c>
      <c r="AZ31" s="453">
        <f t="shared" si="24"/>
        <v>166.10000000000002</v>
      </c>
      <c r="BA31" s="453">
        <f t="shared" si="25"/>
        <v>391.5</v>
      </c>
      <c r="BB31" s="21">
        <f t="shared" si="26"/>
        <v>26.1</v>
      </c>
      <c r="BC31" s="21">
        <f t="shared" si="26"/>
        <v>49.500000000000014</v>
      </c>
      <c r="BD31" s="21">
        <f t="shared" si="26"/>
        <v>29</v>
      </c>
      <c r="BE31" s="24">
        <f t="shared" si="28"/>
        <v>104.60000000000002</v>
      </c>
      <c r="BF31" s="97">
        <f t="shared" si="8"/>
        <v>234.39999999999998</v>
      </c>
      <c r="BG31" s="83">
        <f t="shared" si="9"/>
        <v>104.60000000000002</v>
      </c>
    </row>
    <row r="32" spans="1:61" ht="15.75" thickBot="1">
      <c r="A32" s="6">
        <f>ELEC!C29</f>
        <v>43857</v>
      </c>
      <c r="B32" s="5">
        <f t="shared" si="36"/>
        <v>108441</v>
      </c>
      <c r="C32" s="5">
        <f t="shared" si="10"/>
        <v>0</v>
      </c>
      <c r="D32" s="443">
        <f t="shared" si="11"/>
        <v>0</v>
      </c>
      <c r="E32" s="350">
        <f>SUM((C32*$E$4)+(7500/'EDl log'!$A$38))</f>
        <v>241.93548387096774</v>
      </c>
      <c r="F32" s="344"/>
      <c r="G32" s="5">
        <f t="shared" si="29"/>
        <v>588690</v>
      </c>
      <c r="H32" s="5">
        <f t="shared" si="12"/>
        <v>0</v>
      </c>
      <c r="I32" s="5">
        <f t="shared" si="0"/>
        <v>0</v>
      </c>
      <c r="J32" s="351">
        <f t="shared" si="1"/>
        <v>0</v>
      </c>
      <c r="K32" s="5">
        <f>'Swimming Pool quality check '!H32</f>
        <v>5885</v>
      </c>
      <c r="L32" s="282">
        <f t="shared" si="31"/>
        <v>0</v>
      </c>
      <c r="M32" s="434">
        <f t="shared" si="13"/>
        <v>457.44</v>
      </c>
      <c r="N32" s="565">
        <f t="shared" si="33"/>
        <v>0</v>
      </c>
      <c r="O32" s="434">
        <f t="shared" si="13"/>
        <v>529.52</v>
      </c>
      <c r="P32" s="565">
        <f t="shared" si="34"/>
        <v>0</v>
      </c>
      <c r="Q32" s="565">
        <f t="shared" si="35"/>
        <v>0</v>
      </c>
      <c r="R32" s="567"/>
      <c r="S32" s="567"/>
      <c r="T32" s="5">
        <f t="shared" si="17"/>
        <v>4503</v>
      </c>
      <c r="U32" s="5">
        <f t="shared" si="4"/>
        <v>0</v>
      </c>
      <c r="V32" s="5">
        <f t="shared" si="17"/>
        <v>361</v>
      </c>
      <c r="W32" s="341">
        <f t="shared" si="14"/>
        <v>0</v>
      </c>
      <c r="X32" s="5">
        <f t="shared" si="17"/>
        <v>140141</v>
      </c>
      <c r="Y32" s="341">
        <f t="shared" si="15"/>
        <v>0</v>
      </c>
      <c r="Z32" s="5">
        <f t="shared" si="17"/>
        <v>91820</v>
      </c>
      <c r="AA32" s="84">
        <f t="shared" si="16"/>
        <v>0</v>
      </c>
      <c r="AB32" s="5">
        <f t="shared" si="17"/>
        <v>262</v>
      </c>
      <c r="AC32" s="5">
        <f t="shared" si="17"/>
        <v>671</v>
      </c>
      <c r="AD32" s="84">
        <f t="shared" si="30"/>
        <v>0</v>
      </c>
      <c r="AE32" s="5">
        <f t="shared" si="17"/>
        <v>88.42</v>
      </c>
      <c r="AF32" s="84">
        <f t="shared" si="18"/>
        <v>0</v>
      </c>
      <c r="AG32" s="5">
        <f t="shared" si="17"/>
        <v>1193.42</v>
      </c>
      <c r="AH32" s="84">
        <f t="shared" si="19"/>
        <v>0</v>
      </c>
      <c r="AI32" s="84">
        <f t="shared" si="20"/>
        <v>0</v>
      </c>
      <c r="AJ32" s="343">
        <f t="shared" si="21"/>
        <v>0</v>
      </c>
      <c r="AK32" s="344">
        <f t="shared" si="5"/>
        <v>0</v>
      </c>
      <c r="AL32" s="344">
        <f t="shared" si="22"/>
        <v>0</v>
      </c>
      <c r="AM32" s="344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7">
        <f t="shared" si="23"/>
        <v>43857</v>
      </c>
      <c r="AS32" s="449">
        <f t="shared" si="37"/>
        <v>0.9</v>
      </c>
      <c r="AT32" s="205">
        <f t="shared" si="37"/>
        <v>43</v>
      </c>
      <c r="AU32" s="450">
        <f t="shared" si="32"/>
        <v>1.1000000000000001</v>
      </c>
      <c r="AV32" s="205">
        <f t="shared" ref="AV32:AX32" si="38">AV31</f>
        <v>151</v>
      </c>
      <c r="AW32" s="5">
        <v>2.9</v>
      </c>
      <c r="AX32" s="205">
        <f t="shared" si="38"/>
        <v>135</v>
      </c>
      <c r="AY32" s="453">
        <f t="shared" si="7"/>
        <v>38.700000000000003</v>
      </c>
      <c r="AZ32" s="453">
        <f t="shared" si="24"/>
        <v>166.10000000000002</v>
      </c>
      <c r="BA32" s="453">
        <f t="shared" si="25"/>
        <v>391.5</v>
      </c>
      <c r="BB32" s="21">
        <f t="shared" si="26"/>
        <v>0</v>
      </c>
      <c r="BC32" s="21">
        <f t="shared" si="26"/>
        <v>0</v>
      </c>
      <c r="BD32" s="21">
        <f t="shared" si="26"/>
        <v>0</v>
      </c>
      <c r="BE32" s="24">
        <f t="shared" si="28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43858</v>
      </c>
      <c r="B33" s="5">
        <f t="shared" si="36"/>
        <v>108441</v>
      </c>
      <c r="C33" s="5">
        <f t="shared" si="10"/>
        <v>0</v>
      </c>
      <c r="D33" s="443">
        <f t="shared" si="11"/>
        <v>0</v>
      </c>
      <c r="E33" s="350">
        <f>SUM((C33*$E$4)+(7500/'EDl log'!$A$38))</f>
        <v>241.93548387096774</v>
      </c>
      <c r="F33" s="344"/>
      <c r="G33" s="5">
        <f t="shared" si="29"/>
        <v>588690</v>
      </c>
      <c r="H33" s="5">
        <f t="shared" si="12"/>
        <v>0</v>
      </c>
      <c r="I33" s="5">
        <f t="shared" si="0"/>
        <v>0</v>
      </c>
      <c r="J33" s="351">
        <f t="shared" si="1"/>
        <v>0</v>
      </c>
      <c r="K33" s="5">
        <f>'Swimming Pool quality check '!H33</f>
        <v>5885</v>
      </c>
      <c r="L33" s="282">
        <f t="shared" si="31"/>
        <v>0</v>
      </c>
      <c r="M33" s="434">
        <f t="shared" si="13"/>
        <v>457.44</v>
      </c>
      <c r="N33" s="565">
        <f t="shared" si="33"/>
        <v>0</v>
      </c>
      <c r="O33" s="434">
        <f t="shared" si="13"/>
        <v>529.52</v>
      </c>
      <c r="P33" s="565">
        <f t="shared" si="34"/>
        <v>0</v>
      </c>
      <c r="Q33" s="565">
        <f t="shared" si="35"/>
        <v>0</v>
      </c>
      <c r="R33" s="567"/>
      <c r="S33" s="567"/>
      <c r="T33" s="5">
        <f t="shared" si="17"/>
        <v>4503</v>
      </c>
      <c r="U33" s="5">
        <f t="shared" si="4"/>
        <v>0</v>
      </c>
      <c r="V33" s="5">
        <f t="shared" si="17"/>
        <v>361</v>
      </c>
      <c r="W33" s="341">
        <f t="shared" si="14"/>
        <v>0</v>
      </c>
      <c r="X33" s="5">
        <f t="shared" si="17"/>
        <v>140141</v>
      </c>
      <c r="Y33" s="341">
        <f t="shared" si="15"/>
        <v>0</v>
      </c>
      <c r="Z33" s="5">
        <f t="shared" si="17"/>
        <v>91820</v>
      </c>
      <c r="AA33" s="84">
        <f t="shared" si="16"/>
        <v>0</v>
      </c>
      <c r="AB33" s="5">
        <f t="shared" si="17"/>
        <v>262</v>
      </c>
      <c r="AC33" s="5">
        <f t="shared" si="17"/>
        <v>671</v>
      </c>
      <c r="AD33" s="84">
        <f t="shared" si="30"/>
        <v>0</v>
      </c>
      <c r="AE33" s="5">
        <f t="shared" si="17"/>
        <v>88.42</v>
      </c>
      <c r="AF33" s="84">
        <f>AE33-AE32</f>
        <v>0</v>
      </c>
      <c r="AG33" s="5">
        <f t="shared" si="17"/>
        <v>1193.42</v>
      </c>
      <c r="AH33" s="84">
        <f t="shared" si="19"/>
        <v>0</v>
      </c>
      <c r="AI33" s="84">
        <f t="shared" si="20"/>
        <v>0</v>
      </c>
      <c r="AJ33" s="343">
        <f t="shared" si="21"/>
        <v>0</v>
      </c>
      <c r="AK33" s="344">
        <f t="shared" si="5"/>
        <v>0</v>
      </c>
      <c r="AL33" s="344">
        <f t="shared" si="22"/>
        <v>0</v>
      </c>
      <c r="AM33" s="344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7">
        <f t="shared" si="23"/>
        <v>43858</v>
      </c>
      <c r="AS33" s="449">
        <f t="shared" si="37"/>
        <v>0.9</v>
      </c>
      <c r="AT33" s="205">
        <f t="shared" si="37"/>
        <v>43</v>
      </c>
      <c r="AU33" s="450">
        <f t="shared" si="32"/>
        <v>1.1000000000000001</v>
      </c>
      <c r="AV33" s="205">
        <f t="shared" ref="AV33:AX33" si="39">AV32</f>
        <v>151</v>
      </c>
      <c r="AW33" s="5">
        <v>2.9</v>
      </c>
      <c r="AX33" s="205">
        <f t="shared" si="39"/>
        <v>135</v>
      </c>
      <c r="AY33" s="453">
        <f t="shared" si="7"/>
        <v>38.700000000000003</v>
      </c>
      <c r="AZ33" s="453">
        <f t="shared" si="24"/>
        <v>166.10000000000002</v>
      </c>
      <c r="BA33" s="453">
        <f t="shared" si="25"/>
        <v>391.5</v>
      </c>
      <c r="BB33" s="21">
        <f t="shared" si="26"/>
        <v>0</v>
      </c>
      <c r="BC33" s="21">
        <f t="shared" si="26"/>
        <v>0</v>
      </c>
      <c r="BD33" s="21">
        <f t="shared" si="26"/>
        <v>0</v>
      </c>
      <c r="BE33" s="24">
        <f t="shared" si="28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43859</v>
      </c>
      <c r="B34" s="5">
        <f t="shared" si="36"/>
        <v>108441</v>
      </c>
      <c r="C34" s="5">
        <f t="shared" si="10"/>
        <v>0</v>
      </c>
      <c r="D34" s="443">
        <f t="shared" si="11"/>
        <v>0</v>
      </c>
      <c r="E34" s="350">
        <f>SUM((C34*$E$4)+(7500/'EDl log'!$A$38))</f>
        <v>241.93548387096774</v>
      </c>
      <c r="F34" s="344"/>
      <c r="G34" s="5">
        <f t="shared" si="29"/>
        <v>588690</v>
      </c>
      <c r="H34" s="5">
        <f t="shared" si="12"/>
        <v>0</v>
      </c>
      <c r="I34" s="5">
        <f t="shared" si="0"/>
        <v>0</v>
      </c>
      <c r="J34" s="351">
        <f t="shared" si="1"/>
        <v>0</v>
      </c>
      <c r="K34" s="5">
        <f>'Swimming Pool quality check '!H34</f>
        <v>5885</v>
      </c>
      <c r="L34" s="282">
        <f t="shared" si="31"/>
        <v>0</v>
      </c>
      <c r="M34" s="434">
        <f t="shared" si="13"/>
        <v>457.44</v>
      </c>
      <c r="N34" s="565">
        <f t="shared" si="33"/>
        <v>0</v>
      </c>
      <c r="O34" s="434">
        <f t="shared" si="13"/>
        <v>529.52</v>
      </c>
      <c r="P34" s="565">
        <f t="shared" si="34"/>
        <v>0</v>
      </c>
      <c r="Q34" s="565">
        <f t="shared" si="35"/>
        <v>0</v>
      </c>
      <c r="R34" s="567"/>
      <c r="S34" s="567"/>
      <c r="T34" s="5">
        <f t="shared" si="17"/>
        <v>4503</v>
      </c>
      <c r="U34" s="5">
        <f t="shared" si="4"/>
        <v>0</v>
      </c>
      <c r="V34" s="5">
        <f t="shared" si="17"/>
        <v>361</v>
      </c>
      <c r="W34" s="341">
        <f t="shared" si="14"/>
        <v>0</v>
      </c>
      <c r="X34" s="5">
        <f t="shared" si="17"/>
        <v>140141</v>
      </c>
      <c r="Y34" s="341">
        <f t="shared" si="15"/>
        <v>0</v>
      </c>
      <c r="Z34" s="5">
        <f t="shared" si="17"/>
        <v>91820</v>
      </c>
      <c r="AA34" s="84">
        <f t="shared" si="16"/>
        <v>0</v>
      </c>
      <c r="AB34" s="5">
        <f t="shared" si="17"/>
        <v>262</v>
      </c>
      <c r="AC34" s="5">
        <f t="shared" si="17"/>
        <v>671</v>
      </c>
      <c r="AD34" s="84">
        <f t="shared" si="30"/>
        <v>0</v>
      </c>
      <c r="AE34" s="5">
        <f t="shared" si="17"/>
        <v>88.42</v>
      </c>
      <c r="AF34" s="84">
        <f t="shared" si="18"/>
        <v>0</v>
      </c>
      <c r="AG34" s="5">
        <f t="shared" si="17"/>
        <v>1193.42</v>
      </c>
      <c r="AH34" s="84">
        <f t="shared" si="19"/>
        <v>0</v>
      </c>
      <c r="AI34" s="84">
        <f t="shared" si="20"/>
        <v>0</v>
      </c>
      <c r="AJ34" s="343">
        <f t="shared" si="21"/>
        <v>0</v>
      </c>
      <c r="AK34" s="344">
        <f t="shared" si="5"/>
        <v>0</v>
      </c>
      <c r="AL34" s="344">
        <f t="shared" si="22"/>
        <v>0</v>
      </c>
      <c r="AM34" s="344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7">
        <f t="shared" si="23"/>
        <v>43859</v>
      </c>
      <c r="AS34" s="449">
        <f t="shared" si="37"/>
        <v>0.9</v>
      </c>
      <c r="AT34" s="205">
        <f t="shared" si="37"/>
        <v>43</v>
      </c>
      <c r="AU34" s="451">
        <f t="shared" si="32"/>
        <v>1.1000000000000001</v>
      </c>
      <c r="AV34" s="205">
        <f t="shared" ref="AV34:AX34" si="40">AV33</f>
        <v>151</v>
      </c>
      <c r="AW34" s="5">
        <v>2.9</v>
      </c>
      <c r="AX34" s="205">
        <f t="shared" si="40"/>
        <v>135</v>
      </c>
      <c r="AY34" s="453">
        <f t="shared" si="7"/>
        <v>38.700000000000003</v>
      </c>
      <c r="AZ34" s="453">
        <f t="shared" si="24"/>
        <v>166.10000000000002</v>
      </c>
      <c r="BA34" s="453">
        <f t="shared" si="25"/>
        <v>391.5</v>
      </c>
      <c r="BB34" s="21">
        <f t="shared" si="26"/>
        <v>0</v>
      </c>
      <c r="BC34" s="21">
        <f t="shared" si="26"/>
        <v>0</v>
      </c>
      <c r="BD34" s="21">
        <f t="shared" si="26"/>
        <v>0</v>
      </c>
      <c r="BE34" s="24">
        <f t="shared" si="28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>
        <f>ELEC!C32</f>
        <v>43860</v>
      </c>
      <c r="B35" s="5">
        <f t="shared" si="36"/>
        <v>108441</v>
      </c>
      <c r="C35" s="5">
        <f t="shared" si="10"/>
        <v>0</v>
      </c>
      <c r="D35" s="443">
        <f t="shared" si="11"/>
        <v>0</v>
      </c>
      <c r="E35" s="350">
        <f>SUM((C35*$E$4)+(7500/'EDl log'!$A$38))</f>
        <v>241.93548387096774</v>
      </c>
      <c r="F35" s="344"/>
      <c r="G35" s="5">
        <f t="shared" si="29"/>
        <v>588690</v>
      </c>
      <c r="H35" s="5">
        <f t="shared" si="12"/>
        <v>0</v>
      </c>
      <c r="I35" s="5">
        <f t="shared" si="0"/>
        <v>0</v>
      </c>
      <c r="J35" s="351">
        <f t="shared" si="1"/>
        <v>0</v>
      </c>
      <c r="K35" s="5">
        <f>'Swimming Pool quality check '!H35</f>
        <v>5885</v>
      </c>
      <c r="L35" s="84">
        <f t="shared" si="31"/>
        <v>0</v>
      </c>
      <c r="M35" s="434">
        <f t="shared" si="13"/>
        <v>457.44</v>
      </c>
      <c r="N35" s="565">
        <f t="shared" si="33"/>
        <v>0</v>
      </c>
      <c r="O35" s="434">
        <f t="shared" si="13"/>
        <v>529.52</v>
      </c>
      <c r="P35" s="565">
        <f t="shared" si="34"/>
        <v>0</v>
      </c>
      <c r="Q35" s="565">
        <f t="shared" si="35"/>
        <v>0</v>
      </c>
      <c r="R35" s="565"/>
      <c r="S35" s="565"/>
      <c r="T35" s="5">
        <f t="shared" si="17"/>
        <v>4503</v>
      </c>
      <c r="U35" s="5">
        <f t="shared" si="4"/>
        <v>0</v>
      </c>
      <c r="V35" s="5">
        <f t="shared" si="17"/>
        <v>361</v>
      </c>
      <c r="W35" s="341">
        <f t="shared" si="14"/>
        <v>0</v>
      </c>
      <c r="X35" s="5">
        <f t="shared" si="17"/>
        <v>140141</v>
      </c>
      <c r="Y35" s="341">
        <f t="shared" si="15"/>
        <v>0</v>
      </c>
      <c r="Z35" s="5">
        <f t="shared" si="17"/>
        <v>91820</v>
      </c>
      <c r="AA35" s="84">
        <f t="shared" si="16"/>
        <v>0</v>
      </c>
      <c r="AB35" s="5">
        <f t="shared" si="17"/>
        <v>262</v>
      </c>
      <c r="AC35" s="5">
        <f t="shared" si="17"/>
        <v>671</v>
      </c>
      <c r="AD35" s="84">
        <f t="shared" si="30"/>
        <v>0</v>
      </c>
      <c r="AE35" s="5">
        <f t="shared" si="17"/>
        <v>88.42</v>
      </c>
      <c r="AF35" s="84">
        <f t="shared" si="18"/>
        <v>0</v>
      </c>
      <c r="AG35" s="5">
        <f t="shared" si="17"/>
        <v>1193.42</v>
      </c>
      <c r="AH35" s="84">
        <f t="shared" si="19"/>
        <v>0</v>
      </c>
      <c r="AI35" s="84">
        <f t="shared" si="20"/>
        <v>0</v>
      </c>
      <c r="AJ35" s="343">
        <f t="shared" si="21"/>
        <v>0</v>
      </c>
      <c r="AK35" s="344">
        <f t="shared" si="5"/>
        <v>0</v>
      </c>
      <c r="AL35" s="344">
        <f t="shared" si="22"/>
        <v>0</v>
      </c>
      <c r="AM35" s="344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7">
        <f t="shared" si="23"/>
        <v>43860</v>
      </c>
      <c r="AS35" s="449">
        <f t="shared" si="37"/>
        <v>0.9</v>
      </c>
      <c r="AT35" s="205">
        <f t="shared" si="37"/>
        <v>43</v>
      </c>
      <c r="AU35" s="452">
        <f t="shared" si="32"/>
        <v>1.1000000000000001</v>
      </c>
      <c r="AV35" s="205">
        <f t="shared" ref="AV35:AX35" si="41">AV34</f>
        <v>151</v>
      </c>
      <c r="AW35" s="5">
        <v>2.9</v>
      </c>
      <c r="AX35" s="205">
        <f t="shared" si="41"/>
        <v>135</v>
      </c>
      <c r="AY35" s="453">
        <f t="shared" si="7"/>
        <v>38.700000000000003</v>
      </c>
      <c r="AZ35" s="453">
        <f t="shared" si="24"/>
        <v>166.10000000000002</v>
      </c>
      <c r="BA35" s="453">
        <f t="shared" si="25"/>
        <v>391.5</v>
      </c>
      <c r="BB35" s="21">
        <f t="shared" si="26"/>
        <v>0</v>
      </c>
      <c r="BC35" s="231">
        <f t="shared" si="26"/>
        <v>0</v>
      </c>
      <c r="BD35" s="231">
        <f t="shared" si="26"/>
        <v>0</v>
      </c>
      <c r="BE35" s="24">
        <f t="shared" si="28"/>
        <v>0</v>
      </c>
      <c r="BF35" s="97">
        <f t="shared" si="8"/>
        <v>0</v>
      </c>
      <c r="BG35" s="83">
        <f t="shared" si="9"/>
        <v>0</v>
      </c>
    </row>
    <row r="36" spans="1:59" ht="15.75" thickBot="1">
      <c r="A36" s="6">
        <f>ELEC!C33</f>
        <v>43861</v>
      </c>
      <c r="B36" s="5">
        <f t="shared" si="36"/>
        <v>108441</v>
      </c>
      <c r="C36" s="5">
        <f>B36-B35</f>
        <v>0</v>
      </c>
      <c r="D36" s="443">
        <f t="shared" si="11"/>
        <v>0</v>
      </c>
      <c r="E36" s="350">
        <f>SUM((C36*$E$4)+(7500/'EDl log'!$A$38))</f>
        <v>241.93548387096774</v>
      </c>
      <c r="F36" s="344"/>
      <c r="G36" s="5">
        <f t="shared" si="29"/>
        <v>588690</v>
      </c>
      <c r="H36" s="5">
        <f>G36-G35</f>
        <v>0</v>
      </c>
      <c r="I36" s="5">
        <f>C36+H36</f>
        <v>0</v>
      </c>
      <c r="J36" s="351">
        <f>IF(I36&gt;0,E36/I36,0)</f>
        <v>0</v>
      </c>
      <c r="K36" s="5">
        <f>'Swimming Pool quality check '!H36</f>
        <v>5885</v>
      </c>
      <c r="L36" s="84">
        <f>K36-K35</f>
        <v>0</v>
      </c>
      <c r="M36" s="434">
        <f t="shared" si="13"/>
        <v>457.44</v>
      </c>
      <c r="N36" s="565">
        <f t="shared" si="33"/>
        <v>0</v>
      </c>
      <c r="O36" s="434">
        <f t="shared" si="13"/>
        <v>529.52</v>
      </c>
      <c r="P36" s="565">
        <f t="shared" si="34"/>
        <v>0</v>
      </c>
      <c r="Q36" s="565">
        <f t="shared" si="35"/>
        <v>0</v>
      </c>
      <c r="R36" s="565"/>
      <c r="S36" s="565"/>
      <c r="T36" s="5">
        <f t="shared" si="17"/>
        <v>4503</v>
      </c>
      <c r="U36" s="5">
        <f>SUM(T36-T35)</f>
        <v>0</v>
      </c>
      <c r="V36" s="5">
        <f t="shared" si="17"/>
        <v>361</v>
      </c>
      <c r="W36" s="341">
        <f t="shared" si="14"/>
        <v>0</v>
      </c>
      <c r="X36" s="5">
        <f t="shared" si="17"/>
        <v>140141</v>
      </c>
      <c r="Y36" s="341">
        <f>SUM(X36-X35)</f>
        <v>0</v>
      </c>
      <c r="Z36" s="5">
        <f t="shared" si="17"/>
        <v>91820</v>
      </c>
      <c r="AA36" s="84">
        <f>Z36-Z35</f>
        <v>0</v>
      </c>
      <c r="AB36" s="5">
        <f t="shared" si="17"/>
        <v>262</v>
      </c>
      <c r="AC36" s="5">
        <f t="shared" si="17"/>
        <v>671</v>
      </c>
      <c r="AD36" s="84">
        <f>AC36-AC35</f>
        <v>0</v>
      </c>
      <c r="AE36" s="5">
        <f t="shared" si="17"/>
        <v>88.42</v>
      </c>
      <c r="AF36" s="84">
        <f>AE36-AE35</f>
        <v>0</v>
      </c>
      <c r="AG36" s="5">
        <f t="shared" si="17"/>
        <v>1193.42</v>
      </c>
      <c r="AH36" s="84">
        <f t="shared" si="19"/>
        <v>0</v>
      </c>
      <c r="AI36" s="84">
        <f t="shared" si="20"/>
        <v>0</v>
      </c>
      <c r="AJ36" s="343">
        <f>+Z36-Z35</f>
        <v>0</v>
      </c>
      <c r="AK36" s="344">
        <f t="shared" si="5"/>
        <v>0</v>
      </c>
      <c r="AL36" s="344">
        <f>SUM(AJ36-W36)</f>
        <v>0</v>
      </c>
      <c r="AM36" s="344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7">
        <f>A36</f>
        <v>43861</v>
      </c>
      <c r="AS36" s="449">
        <f t="shared" si="37"/>
        <v>0.9</v>
      </c>
      <c r="AT36" s="205">
        <f t="shared" si="37"/>
        <v>43</v>
      </c>
      <c r="AU36" s="452">
        <f t="shared" si="32"/>
        <v>1.1000000000000001</v>
      </c>
      <c r="AV36" s="205">
        <f t="shared" ref="AV36:AX36" si="42">AV35</f>
        <v>151</v>
      </c>
      <c r="AW36" s="5">
        <v>2.9</v>
      </c>
      <c r="AX36" s="205">
        <f t="shared" si="42"/>
        <v>135</v>
      </c>
      <c r="AY36" s="453">
        <f>AS36*AT36</f>
        <v>38.700000000000003</v>
      </c>
      <c r="AZ36" s="453">
        <f>AU36*AV36</f>
        <v>166.10000000000002</v>
      </c>
      <c r="BA36" s="453">
        <f t="shared" si="25"/>
        <v>391.5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6">
        <f>SUM(C6:C36)</f>
        <v>239</v>
      </c>
      <c r="D37" s="339">
        <f>SUM(D6:D36)</f>
        <v>8.8518518518518512</v>
      </c>
      <c r="F37" s="438">
        <f>SUM(F6:F36)</f>
        <v>3</v>
      </c>
      <c r="H37" s="436">
        <f>SUM(H6:H36)</f>
        <v>3823</v>
      </c>
      <c r="I37" s="436">
        <f>SUM(I6:I36)</f>
        <v>4062</v>
      </c>
      <c r="L37" s="275">
        <f>SUM(L7:L36)</f>
        <v>102</v>
      </c>
      <c r="Q37" s="541">
        <f>SUM(Q5:Q35)</f>
        <v>0</v>
      </c>
      <c r="U37" s="433">
        <f>SUM(U6:U36)</f>
        <v>140</v>
      </c>
      <c r="X37" s="340"/>
      <c r="Y37" s="339">
        <f>SUM(Y35,Y33,Y31,Y29,Y27,Y25,Y23,Y21,Y19,Y17,Y15,Y13,Y11,Y9,Y7+Y36)</f>
        <v>1146</v>
      </c>
      <c r="AJ37" s="339">
        <f>SUM(AJ6:AJ36)</f>
        <v>1199</v>
      </c>
      <c r="AK37" s="344">
        <f t="shared" si="5"/>
        <v>1044</v>
      </c>
      <c r="AL37" s="339">
        <f>SUM(AL6:AL36)</f>
        <v>1170</v>
      </c>
      <c r="AP37" s="17"/>
      <c r="AQ37" s="17"/>
      <c r="AR37" s="17"/>
      <c r="AS37" s="230"/>
      <c r="AT37" s="5">
        <f t="shared" si="37"/>
        <v>43</v>
      </c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396.74</v>
      </c>
      <c r="E38" s="349">
        <f>SUM(E6:E36)</f>
        <v>7896.7400000000016</v>
      </c>
      <c r="F38" s="441">
        <f>SUM(F6:F36)</f>
        <v>3</v>
      </c>
      <c r="H38" s="158">
        <v>7500</v>
      </c>
      <c r="I38" s="437">
        <f>SUM('General information '!G37/WATER!I37)</f>
        <v>0.2714645494830133</v>
      </c>
      <c r="L38" s="158"/>
      <c r="O38" s="538">
        <f>SUM(Q37+I37)</f>
        <v>4062</v>
      </c>
      <c r="Z38" s="339">
        <f>SUM(Y37:AJ37)</f>
        <v>2345</v>
      </c>
      <c r="AK38" s="344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8">
        <f>SUM(D21:D35)</f>
        <v>0</v>
      </c>
      <c r="F39" s="439">
        <f>SUM(F6:F36)</f>
        <v>3</v>
      </c>
      <c r="G39" s="1">
        <f>SUM(I37)</f>
        <v>4062</v>
      </c>
      <c r="H39" s="1">
        <f>SUM(H38+C38)</f>
        <v>7896.74</v>
      </c>
      <c r="K39" s="1">
        <f>SUM(H39/G39)</f>
        <v>1.944052191038897</v>
      </c>
      <c r="AJ39" s="339">
        <f>SUM(C38-AK38)</f>
        <v>396.74</v>
      </c>
      <c r="AM39" s="367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27" activePane="bottomLeft" state="frozen"/>
      <selection pane="bottomLeft" activeCell="F31" sqref="F31"/>
    </sheetView>
  </sheetViews>
  <sheetFormatPr defaultRowHeight="15"/>
  <cols>
    <col min="1" max="1" width="11.85546875" style="52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93" t="s">
        <v>193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5"/>
    </row>
    <row r="2" spans="1:15" ht="15.75" customHeight="1" thickBot="1">
      <c r="A2" s="596"/>
      <c r="B2" s="597"/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8"/>
    </row>
    <row r="3" spans="1:15" ht="9" customHeight="1" thickBot="1">
      <c r="A3" s="518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19"/>
      <c r="B4" s="150" t="s">
        <v>390</v>
      </c>
      <c r="C4" s="151" t="s">
        <v>158</v>
      </c>
      <c r="D4" s="148" t="s">
        <v>160</v>
      </c>
      <c r="E4" s="152" t="s">
        <v>159</v>
      </c>
      <c r="F4" s="550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20" t="str">
        <f>ELEC!C2</f>
        <v>31-12-2019</v>
      </c>
      <c r="B5" s="377">
        <f>'[1]General information '!B36</f>
        <v>16</v>
      </c>
      <c r="C5" s="377">
        <f>'[1]General information '!C36</f>
        <v>11</v>
      </c>
      <c r="D5" s="377">
        <f>'[1]General information '!D36</f>
        <v>13.5</v>
      </c>
      <c r="E5" s="377">
        <f>'[1]General information '!E36</f>
        <v>0.67</v>
      </c>
      <c r="F5" s="377">
        <f>'[1]General information '!F36</f>
        <v>0.5</v>
      </c>
      <c r="G5" s="377">
        <f>'[1]General information '!G36</f>
        <v>115</v>
      </c>
      <c r="H5" s="377">
        <f>'[1]General information '!H36</f>
        <v>0</v>
      </c>
      <c r="I5" s="377">
        <f>'[1]General information '!I36</f>
        <v>0</v>
      </c>
      <c r="J5" s="377">
        <f>'[1]General information '!J36</f>
        <v>439</v>
      </c>
      <c r="K5" s="377">
        <f>'[1]General information '!K36</f>
        <v>439</v>
      </c>
      <c r="L5" s="377">
        <f>'[1]General information '!L36</f>
        <v>0</v>
      </c>
      <c r="M5" s="377">
        <f>'[1]General information '!M36</f>
        <v>0</v>
      </c>
      <c r="N5" s="377">
        <f>'[1]General information '!N36</f>
        <v>0</v>
      </c>
      <c r="O5" s="377">
        <f>'[1]General information '!O36</f>
        <v>0</v>
      </c>
    </row>
    <row r="6" spans="1:15">
      <c r="A6" s="520">
        <f>ELEC!C3</f>
        <v>43831</v>
      </c>
      <c r="B6" s="37">
        <v>16</v>
      </c>
      <c r="C6" s="37">
        <v>11</v>
      </c>
      <c r="D6" s="26">
        <f t="shared" ref="D6:D12" si="0">(C6+B6)/2</f>
        <v>13.5</v>
      </c>
      <c r="E6" s="358">
        <v>0.55000000000000004</v>
      </c>
      <c r="F6" s="364">
        <v>0.42599999999999999</v>
      </c>
      <c r="G6" s="246">
        <f t="shared" ref="G6:G12" si="1">F6*230</f>
        <v>97.98</v>
      </c>
      <c r="H6" s="3">
        <v>0</v>
      </c>
      <c r="I6" s="3"/>
      <c r="J6" s="37">
        <v>549</v>
      </c>
      <c r="K6" s="270">
        <f t="shared" ref="K6:K26" si="2">+J6+H6</f>
        <v>549</v>
      </c>
      <c r="L6" s="3"/>
      <c r="M6" s="3"/>
      <c r="N6" s="156"/>
      <c r="O6" s="3"/>
    </row>
    <row r="7" spans="1:15">
      <c r="A7" s="520">
        <f>ELEC!C4</f>
        <v>43832</v>
      </c>
      <c r="B7" s="37">
        <v>17</v>
      </c>
      <c r="C7" s="37">
        <v>12</v>
      </c>
      <c r="D7" s="26">
        <f t="shared" si="0"/>
        <v>14.5</v>
      </c>
      <c r="E7" s="358">
        <v>0.55000000000000004</v>
      </c>
      <c r="F7" s="364">
        <v>0.33479999999999999</v>
      </c>
      <c r="G7" s="246">
        <f t="shared" si="1"/>
        <v>77.003999999999991</v>
      </c>
      <c r="H7" s="3">
        <v>0</v>
      </c>
      <c r="I7" s="3">
        <v>0</v>
      </c>
      <c r="J7" s="37">
        <v>371</v>
      </c>
      <c r="K7" s="270">
        <f t="shared" si="2"/>
        <v>371</v>
      </c>
      <c r="L7" s="3"/>
      <c r="M7" s="3"/>
      <c r="N7" s="156"/>
      <c r="O7" s="3"/>
    </row>
    <row r="8" spans="1:15">
      <c r="A8" s="520">
        <f>ELEC!C5</f>
        <v>43833</v>
      </c>
      <c r="B8" s="37">
        <v>16</v>
      </c>
      <c r="C8" s="37">
        <v>12</v>
      </c>
      <c r="D8" s="26">
        <f t="shared" si="0"/>
        <v>14</v>
      </c>
      <c r="E8" s="358">
        <v>0.54</v>
      </c>
      <c r="F8" s="358">
        <v>0.2782</v>
      </c>
      <c r="G8" s="246">
        <f t="shared" si="1"/>
        <v>63.986000000000004</v>
      </c>
      <c r="H8" s="3">
        <v>157</v>
      </c>
      <c r="I8" s="3"/>
      <c r="J8" s="37">
        <v>535</v>
      </c>
      <c r="K8" s="270">
        <f t="shared" si="2"/>
        <v>692</v>
      </c>
      <c r="L8" s="3"/>
      <c r="M8" s="171"/>
      <c r="N8" s="156"/>
      <c r="O8" s="3"/>
    </row>
    <row r="9" spans="1:15">
      <c r="A9" s="520">
        <f>ELEC!C6</f>
        <v>43834</v>
      </c>
      <c r="B9" s="37">
        <v>15</v>
      </c>
      <c r="C9" s="37">
        <v>11</v>
      </c>
      <c r="D9" s="26">
        <f>(C9+B9)/2</f>
        <v>13</v>
      </c>
      <c r="E9" s="417">
        <v>0.55000000000000004</v>
      </c>
      <c r="F9" s="417">
        <v>0.21299999999999999</v>
      </c>
      <c r="G9" s="246">
        <f>F9*230</f>
        <v>48.99</v>
      </c>
      <c r="H9" s="3">
        <v>260</v>
      </c>
      <c r="I9" s="3"/>
      <c r="J9" s="37">
        <v>650</v>
      </c>
      <c r="K9" s="270">
        <f>+J9+H9</f>
        <v>910</v>
      </c>
      <c r="L9" s="3"/>
      <c r="M9" s="3"/>
      <c r="N9" s="156"/>
      <c r="O9" s="3"/>
    </row>
    <row r="10" spans="1:15">
      <c r="A10" s="520">
        <f>ELEC!C7</f>
        <v>43835</v>
      </c>
      <c r="B10" s="37">
        <v>15</v>
      </c>
      <c r="C10" s="37">
        <v>11</v>
      </c>
      <c r="D10" s="26">
        <f t="shared" si="0"/>
        <v>13</v>
      </c>
      <c r="E10" s="375">
        <v>0.55000000000000004</v>
      </c>
      <c r="F10" s="358">
        <v>0.16089999999999999</v>
      </c>
      <c r="G10" s="246">
        <f t="shared" si="1"/>
        <v>37.006999999999998</v>
      </c>
      <c r="H10" s="3">
        <v>0</v>
      </c>
      <c r="I10" s="3"/>
      <c r="J10" s="37">
        <v>287</v>
      </c>
      <c r="K10" s="270">
        <f t="shared" si="2"/>
        <v>287</v>
      </c>
      <c r="L10" s="3"/>
      <c r="M10" s="3"/>
      <c r="N10" s="156"/>
      <c r="O10" s="3"/>
    </row>
    <row r="11" spans="1:15">
      <c r="A11" s="520">
        <f>ELEC!C8</f>
        <v>43836</v>
      </c>
      <c r="B11" s="37">
        <v>16</v>
      </c>
      <c r="C11" s="37">
        <v>12</v>
      </c>
      <c r="D11" s="26">
        <f t="shared" si="0"/>
        <v>14</v>
      </c>
      <c r="E11" s="417">
        <v>0.57999999999999996</v>
      </c>
      <c r="F11" s="358">
        <v>0.16520000000000001</v>
      </c>
      <c r="G11" s="246">
        <f t="shared" si="1"/>
        <v>37.996000000000002</v>
      </c>
      <c r="H11" s="3">
        <v>0</v>
      </c>
      <c r="I11" s="3"/>
      <c r="J11" s="37">
        <v>186</v>
      </c>
      <c r="K11" s="270">
        <f>+J11+H11</f>
        <v>186</v>
      </c>
      <c r="L11" s="3"/>
      <c r="M11" s="3"/>
      <c r="N11" s="156"/>
      <c r="O11" s="3"/>
    </row>
    <row r="12" spans="1:15">
      <c r="A12" s="520">
        <f>ELEC!C9</f>
        <v>43837</v>
      </c>
      <c r="B12" s="37">
        <v>16</v>
      </c>
      <c r="C12" s="37">
        <v>12</v>
      </c>
      <c r="D12" s="26">
        <f t="shared" si="0"/>
        <v>14</v>
      </c>
      <c r="E12" s="417">
        <v>0.5</v>
      </c>
      <c r="F12" s="417">
        <v>0.23480000000000001</v>
      </c>
      <c r="G12" s="246">
        <f t="shared" si="1"/>
        <v>54.004000000000005</v>
      </c>
      <c r="H12" s="3">
        <v>0</v>
      </c>
      <c r="I12" s="3"/>
      <c r="J12" s="37">
        <v>269</v>
      </c>
      <c r="K12" s="270">
        <f t="shared" si="2"/>
        <v>269</v>
      </c>
      <c r="L12" s="3"/>
      <c r="M12" s="3"/>
      <c r="N12" s="156"/>
      <c r="O12" s="3"/>
    </row>
    <row r="13" spans="1:15">
      <c r="A13" s="520">
        <f>ELEC!C10</f>
        <v>43838</v>
      </c>
      <c r="B13" s="37">
        <v>14</v>
      </c>
      <c r="C13" s="37">
        <v>11</v>
      </c>
      <c r="D13" s="26">
        <f>(C13+B13)/2</f>
        <v>12.5</v>
      </c>
      <c r="E13" s="375">
        <v>0.72</v>
      </c>
      <c r="F13" s="375">
        <v>0.23400000000000001</v>
      </c>
      <c r="G13" s="246">
        <f>F13*230</f>
        <v>53.82</v>
      </c>
      <c r="H13" s="3">
        <v>0</v>
      </c>
      <c r="I13" s="3"/>
      <c r="J13" s="37"/>
      <c r="K13" s="270">
        <v>269</v>
      </c>
      <c r="L13" s="3"/>
      <c r="M13" s="3"/>
      <c r="N13" s="156"/>
      <c r="O13" s="3"/>
    </row>
    <row r="14" spans="1:15">
      <c r="A14" s="520">
        <f>ELEC!C11</f>
        <v>43839</v>
      </c>
      <c r="B14" s="37">
        <v>14</v>
      </c>
      <c r="C14" s="37">
        <v>11</v>
      </c>
      <c r="D14" s="26">
        <f t="shared" ref="D14:D35" si="3">(C14+B14)/2</f>
        <v>12.5</v>
      </c>
      <c r="E14" s="358">
        <v>0.6</v>
      </c>
      <c r="F14" s="358">
        <v>0.2087</v>
      </c>
      <c r="G14" s="246">
        <f t="shared" ref="G14:G35" si="4">F14*230</f>
        <v>48.000999999999998</v>
      </c>
      <c r="H14" s="3">
        <v>0</v>
      </c>
      <c r="I14" s="3"/>
      <c r="J14" s="37">
        <v>258</v>
      </c>
      <c r="K14" s="270">
        <f t="shared" si="2"/>
        <v>258</v>
      </c>
      <c r="L14" s="3"/>
      <c r="M14" s="3"/>
      <c r="N14" s="156"/>
      <c r="O14" s="3"/>
    </row>
    <row r="15" spans="1:15">
      <c r="A15" s="520">
        <f>ELEC!C12</f>
        <v>43840</v>
      </c>
      <c r="B15" s="37">
        <v>17</v>
      </c>
      <c r="C15" s="37">
        <v>12</v>
      </c>
      <c r="D15" s="26">
        <f t="shared" si="3"/>
        <v>14.5</v>
      </c>
      <c r="E15" s="358">
        <v>0.5</v>
      </c>
      <c r="F15" s="358">
        <v>0.2</v>
      </c>
      <c r="G15" s="246">
        <f>F15*230</f>
        <v>46</v>
      </c>
      <c r="H15" s="3">
        <v>0</v>
      </c>
      <c r="I15" s="3"/>
      <c r="J15" s="37">
        <v>276</v>
      </c>
      <c r="K15" s="270">
        <f>+J15+H15</f>
        <v>276</v>
      </c>
      <c r="L15" s="3"/>
      <c r="M15" s="3"/>
      <c r="N15" s="156"/>
      <c r="O15" s="3"/>
    </row>
    <row r="16" spans="1:15">
      <c r="A16" s="520">
        <f>ELEC!C13</f>
        <v>43841</v>
      </c>
      <c r="B16" s="37">
        <v>17</v>
      </c>
      <c r="C16" s="37">
        <v>13</v>
      </c>
      <c r="D16" s="26">
        <f t="shared" si="3"/>
        <v>15</v>
      </c>
      <c r="E16" s="358">
        <v>0.5</v>
      </c>
      <c r="F16" s="358">
        <v>0.1696</v>
      </c>
      <c r="G16" s="246">
        <f t="shared" si="4"/>
        <v>39.008000000000003</v>
      </c>
      <c r="H16" s="3">
        <v>180</v>
      </c>
      <c r="I16" s="3"/>
      <c r="J16" s="37">
        <v>536</v>
      </c>
      <c r="K16" s="270">
        <f>+J16+H16</f>
        <v>716</v>
      </c>
      <c r="L16" s="3"/>
      <c r="M16" s="3"/>
      <c r="N16" s="156"/>
      <c r="O16" s="3"/>
    </row>
    <row r="17" spans="1:15">
      <c r="A17" s="520">
        <f>ELEC!C14</f>
        <v>43842</v>
      </c>
      <c r="B17" s="37">
        <v>16</v>
      </c>
      <c r="C17" s="37">
        <v>12</v>
      </c>
      <c r="D17" s="26">
        <f t="shared" si="3"/>
        <v>14</v>
      </c>
      <c r="E17" s="358">
        <v>0.55000000000000004</v>
      </c>
      <c r="F17" s="358">
        <v>0.1739</v>
      </c>
      <c r="G17" s="246">
        <f t="shared" si="4"/>
        <v>39.997</v>
      </c>
      <c r="H17" s="3">
        <v>0</v>
      </c>
      <c r="I17" s="3"/>
      <c r="J17" s="468">
        <v>233</v>
      </c>
      <c r="K17" s="270">
        <f t="shared" si="2"/>
        <v>233</v>
      </c>
      <c r="L17" s="3"/>
      <c r="M17" s="3"/>
      <c r="N17" s="156"/>
      <c r="O17" s="3"/>
    </row>
    <row r="18" spans="1:15">
      <c r="A18" s="520">
        <f>ELEC!C15</f>
        <v>43843</v>
      </c>
      <c r="B18" s="37">
        <v>17</v>
      </c>
      <c r="C18" s="37">
        <v>13</v>
      </c>
      <c r="D18" s="26">
        <f t="shared" si="3"/>
        <v>15</v>
      </c>
      <c r="E18" s="454">
        <v>0.55000000000000004</v>
      </c>
      <c r="F18" s="358">
        <v>0.18260000000000001</v>
      </c>
      <c r="G18" s="246">
        <f t="shared" si="4"/>
        <v>41.998000000000005</v>
      </c>
      <c r="H18" s="3">
        <v>0</v>
      </c>
      <c r="I18" s="3"/>
      <c r="J18" s="3">
        <v>540</v>
      </c>
      <c r="K18" s="270">
        <f t="shared" si="2"/>
        <v>540</v>
      </c>
      <c r="L18" s="3"/>
      <c r="M18" s="3"/>
      <c r="N18" s="156"/>
      <c r="O18" s="3"/>
    </row>
    <row r="19" spans="1:15">
      <c r="A19" s="520">
        <f>ELEC!C16</f>
        <v>43844</v>
      </c>
      <c r="B19" s="37">
        <v>16</v>
      </c>
      <c r="C19" s="37">
        <v>12</v>
      </c>
      <c r="D19" s="26">
        <f t="shared" si="3"/>
        <v>14</v>
      </c>
      <c r="E19" s="358">
        <v>0.55000000000000004</v>
      </c>
      <c r="F19" s="358">
        <v>0.2087</v>
      </c>
      <c r="G19" s="246">
        <f t="shared" si="4"/>
        <v>48.000999999999998</v>
      </c>
      <c r="H19" s="3">
        <v>0</v>
      </c>
      <c r="I19" s="3"/>
      <c r="J19" s="3">
        <v>184</v>
      </c>
      <c r="K19" s="270">
        <f t="shared" si="2"/>
        <v>184</v>
      </c>
      <c r="L19" s="3"/>
      <c r="M19" s="3"/>
      <c r="N19" s="156"/>
      <c r="O19" s="3"/>
    </row>
    <row r="20" spans="1:15">
      <c r="A20" s="520">
        <f>ELEC!C17</f>
        <v>43845</v>
      </c>
      <c r="B20" s="37">
        <v>17</v>
      </c>
      <c r="C20" s="37">
        <v>13</v>
      </c>
      <c r="D20" s="26">
        <f t="shared" si="3"/>
        <v>15</v>
      </c>
      <c r="E20" s="358">
        <v>0.55000000000000004</v>
      </c>
      <c r="F20" s="358">
        <v>0.2261</v>
      </c>
      <c r="G20" s="246">
        <f t="shared" si="4"/>
        <v>52.003</v>
      </c>
      <c r="H20" s="3">
        <v>0</v>
      </c>
      <c r="I20" s="3"/>
      <c r="J20" s="3">
        <v>345</v>
      </c>
      <c r="K20" s="270">
        <f t="shared" si="2"/>
        <v>345</v>
      </c>
      <c r="L20" s="3"/>
      <c r="M20" s="3"/>
      <c r="N20" s="156"/>
      <c r="O20" s="3"/>
    </row>
    <row r="21" spans="1:15">
      <c r="A21" s="520">
        <f>ELEC!C18</f>
        <v>43846</v>
      </c>
      <c r="B21" s="37">
        <v>19</v>
      </c>
      <c r="C21" s="37">
        <v>13</v>
      </c>
      <c r="D21" s="26">
        <f>(C21+B21)/2</f>
        <v>16</v>
      </c>
      <c r="E21" s="358">
        <v>0.6</v>
      </c>
      <c r="F21" s="358">
        <v>0.2261</v>
      </c>
      <c r="G21" s="246">
        <f t="shared" si="4"/>
        <v>52.003</v>
      </c>
      <c r="H21" s="3">
        <v>107</v>
      </c>
      <c r="I21" s="3"/>
      <c r="J21" s="3">
        <v>331</v>
      </c>
      <c r="K21" s="270">
        <f t="shared" si="2"/>
        <v>438</v>
      </c>
      <c r="L21" s="3"/>
      <c r="M21" s="3"/>
      <c r="N21" s="156"/>
      <c r="O21" s="3"/>
    </row>
    <row r="22" spans="1:15">
      <c r="A22" s="520">
        <f>ELEC!C19</f>
        <v>43847</v>
      </c>
      <c r="B22" s="37">
        <v>20</v>
      </c>
      <c r="C22" s="37">
        <v>13</v>
      </c>
      <c r="D22" s="26">
        <f t="shared" si="3"/>
        <v>16.5</v>
      </c>
      <c r="E22" s="358">
        <v>0.56999999999999995</v>
      </c>
      <c r="F22" s="417">
        <v>0.1739</v>
      </c>
      <c r="G22" s="246">
        <f t="shared" si="4"/>
        <v>39.997</v>
      </c>
      <c r="H22" s="3">
        <v>100</v>
      </c>
      <c r="I22" s="3"/>
      <c r="J22" s="3">
        <v>340</v>
      </c>
      <c r="K22" s="270">
        <f t="shared" si="2"/>
        <v>440</v>
      </c>
      <c r="L22" s="3"/>
      <c r="M22" s="3"/>
      <c r="N22" s="156"/>
      <c r="O22" s="3"/>
    </row>
    <row r="23" spans="1:15">
      <c r="A23" s="520">
        <f>ELEC!C20</f>
        <v>43848</v>
      </c>
      <c r="B23" s="37">
        <v>14</v>
      </c>
      <c r="C23" s="37">
        <v>13</v>
      </c>
      <c r="D23" s="26">
        <f>(C23+B23)/2</f>
        <v>13.5</v>
      </c>
      <c r="E23" s="358">
        <v>0.86</v>
      </c>
      <c r="F23" s="358">
        <v>9.5699999999999993E-2</v>
      </c>
      <c r="G23" s="246">
        <f t="shared" si="4"/>
        <v>22.010999999999999</v>
      </c>
      <c r="H23" s="3">
        <v>0</v>
      </c>
      <c r="I23" s="3"/>
      <c r="J23" s="3">
        <v>159</v>
      </c>
      <c r="K23" s="270">
        <f t="shared" si="2"/>
        <v>159</v>
      </c>
      <c r="L23" s="3"/>
      <c r="M23" s="3"/>
      <c r="N23" s="156"/>
      <c r="O23" s="3"/>
    </row>
    <row r="24" spans="1:15">
      <c r="A24" s="520">
        <f>ELEC!C21</f>
        <v>43849</v>
      </c>
      <c r="B24" s="37">
        <v>15</v>
      </c>
      <c r="C24" s="37">
        <v>13</v>
      </c>
      <c r="D24" s="26">
        <f t="shared" si="3"/>
        <v>14</v>
      </c>
      <c r="E24" s="358">
        <v>0.66</v>
      </c>
      <c r="F24" s="358">
        <v>9.1300000000000006E-2</v>
      </c>
      <c r="G24" s="246">
        <f t="shared" si="4"/>
        <v>20.999000000000002</v>
      </c>
      <c r="H24" s="3">
        <v>0</v>
      </c>
      <c r="I24" s="3"/>
      <c r="J24" s="3"/>
      <c r="K24" s="270">
        <f t="shared" si="2"/>
        <v>0</v>
      </c>
      <c r="L24" s="3"/>
      <c r="M24" s="3"/>
      <c r="N24" s="156"/>
      <c r="O24" s="3"/>
    </row>
    <row r="25" spans="1:15">
      <c r="A25" s="520">
        <f>ELEC!C22</f>
        <v>43850</v>
      </c>
      <c r="B25" s="37">
        <v>15</v>
      </c>
      <c r="C25" s="37">
        <v>10</v>
      </c>
      <c r="D25" s="26">
        <f t="shared" si="3"/>
        <v>12.5</v>
      </c>
      <c r="E25" s="358">
        <v>0.8</v>
      </c>
      <c r="F25" s="358">
        <v>0.1087</v>
      </c>
      <c r="G25" s="246">
        <f t="shared" si="4"/>
        <v>25.001000000000001</v>
      </c>
      <c r="H25" s="3">
        <v>0</v>
      </c>
      <c r="I25" s="3"/>
      <c r="J25" s="3">
        <v>182</v>
      </c>
      <c r="K25" s="270">
        <f t="shared" si="2"/>
        <v>182</v>
      </c>
      <c r="L25" s="3"/>
      <c r="M25" s="3"/>
      <c r="N25" s="156"/>
      <c r="O25" s="3"/>
    </row>
    <row r="26" spans="1:15">
      <c r="A26" s="520">
        <f>ELEC!C23</f>
        <v>43851</v>
      </c>
      <c r="B26" s="37">
        <v>13</v>
      </c>
      <c r="C26" s="37">
        <v>9</v>
      </c>
      <c r="D26" s="26">
        <f>(C26+B26)/2</f>
        <v>11</v>
      </c>
      <c r="E26" s="358">
        <v>0.7</v>
      </c>
      <c r="F26" s="358">
        <v>0.1217</v>
      </c>
      <c r="G26" s="246">
        <f t="shared" si="4"/>
        <v>27.991</v>
      </c>
      <c r="H26" s="3">
        <v>0</v>
      </c>
      <c r="I26" s="3"/>
      <c r="J26" s="3">
        <v>197</v>
      </c>
      <c r="K26" s="270">
        <f t="shared" si="2"/>
        <v>197</v>
      </c>
      <c r="L26" s="3"/>
      <c r="M26" s="3"/>
      <c r="N26" s="156"/>
      <c r="O26" s="3"/>
    </row>
    <row r="27" spans="1:15">
      <c r="A27" s="520">
        <f>ELEC!C24</f>
        <v>43852</v>
      </c>
      <c r="B27" s="37">
        <v>14</v>
      </c>
      <c r="C27" s="37">
        <v>10</v>
      </c>
      <c r="D27" s="26">
        <f t="shared" si="3"/>
        <v>12</v>
      </c>
      <c r="E27" s="358">
        <v>0.65</v>
      </c>
      <c r="F27" s="358">
        <v>0.13</v>
      </c>
      <c r="G27" s="246">
        <f t="shared" si="4"/>
        <v>29.900000000000002</v>
      </c>
      <c r="H27" s="3">
        <v>0</v>
      </c>
      <c r="I27" s="3"/>
      <c r="J27" s="3">
        <v>139</v>
      </c>
      <c r="K27" s="270">
        <f>+J27+H27+I27</f>
        <v>139</v>
      </c>
      <c r="L27" s="3"/>
      <c r="M27" s="3"/>
      <c r="N27" s="156"/>
      <c r="O27" s="3"/>
    </row>
    <row r="28" spans="1:15">
      <c r="A28" s="520">
        <f>ELEC!C25</f>
        <v>43853</v>
      </c>
      <c r="B28" s="37">
        <v>13</v>
      </c>
      <c r="C28" s="37">
        <v>7</v>
      </c>
      <c r="D28" s="26">
        <f t="shared" si="3"/>
        <v>10</v>
      </c>
      <c r="E28" s="358">
        <v>0.69</v>
      </c>
      <c r="F28" s="358">
        <v>0.14779999999999999</v>
      </c>
      <c r="G28" s="246">
        <f t="shared" si="4"/>
        <v>33.994</v>
      </c>
      <c r="H28" s="3">
        <v>0</v>
      </c>
      <c r="I28" s="3"/>
      <c r="J28" s="3">
        <v>153</v>
      </c>
      <c r="K28" s="270">
        <f t="shared" ref="K28:K35" si="5">+J28+H28+I28</f>
        <v>153</v>
      </c>
      <c r="L28" s="3"/>
      <c r="M28" s="3"/>
      <c r="N28" s="156"/>
      <c r="O28" s="3"/>
    </row>
    <row r="29" spans="1:15">
      <c r="A29" s="520">
        <f>ELEC!C26</f>
        <v>43854</v>
      </c>
      <c r="B29" s="37">
        <v>14</v>
      </c>
      <c r="C29" s="37">
        <v>8</v>
      </c>
      <c r="D29" s="26">
        <f t="shared" si="3"/>
        <v>11</v>
      </c>
      <c r="E29" s="358">
        <v>0.37</v>
      </c>
      <c r="F29" s="358">
        <v>0.113</v>
      </c>
      <c r="G29" s="246">
        <f t="shared" si="4"/>
        <v>25.990000000000002</v>
      </c>
      <c r="H29" s="3">
        <v>0</v>
      </c>
      <c r="I29" s="3"/>
      <c r="J29" s="3">
        <v>183</v>
      </c>
      <c r="K29" s="270">
        <f t="shared" si="5"/>
        <v>183</v>
      </c>
      <c r="L29" s="3"/>
      <c r="M29" s="3"/>
      <c r="N29" s="156"/>
      <c r="O29" s="3"/>
    </row>
    <row r="30" spans="1:15">
      <c r="A30" s="520">
        <f>ELEC!C27</f>
        <v>43855</v>
      </c>
      <c r="B30" s="37">
        <v>16</v>
      </c>
      <c r="C30" s="37">
        <v>10</v>
      </c>
      <c r="D30" s="26">
        <f t="shared" si="3"/>
        <v>13</v>
      </c>
      <c r="E30" s="358">
        <v>0.5</v>
      </c>
      <c r="F30" s="417">
        <v>0.1</v>
      </c>
      <c r="G30" s="246">
        <f t="shared" si="4"/>
        <v>23</v>
      </c>
      <c r="H30" s="3">
        <v>0</v>
      </c>
      <c r="I30" s="3"/>
      <c r="J30" s="3">
        <v>239</v>
      </c>
      <c r="K30" s="270">
        <f t="shared" si="5"/>
        <v>239</v>
      </c>
      <c r="L30" s="3"/>
      <c r="M30" s="3"/>
      <c r="N30" s="156"/>
      <c r="O30" s="3"/>
    </row>
    <row r="31" spans="1:15">
      <c r="A31" s="520">
        <f>ELEC!C28</f>
        <v>43856</v>
      </c>
      <c r="B31" s="37">
        <v>15</v>
      </c>
      <c r="C31" s="37">
        <v>9</v>
      </c>
      <c r="D31" s="3">
        <f t="shared" si="3"/>
        <v>12</v>
      </c>
      <c r="E31" s="359">
        <v>0.57999999999999996</v>
      </c>
      <c r="F31" s="292">
        <v>6.9599999999999995E-2</v>
      </c>
      <c r="G31" s="246">
        <f t="shared" si="4"/>
        <v>16.007999999999999</v>
      </c>
      <c r="H31" s="3">
        <v>0</v>
      </c>
      <c r="I31" s="3"/>
      <c r="J31" s="37">
        <v>179</v>
      </c>
      <c r="K31" s="270">
        <f t="shared" si="5"/>
        <v>179</v>
      </c>
      <c r="L31" s="3"/>
      <c r="M31" s="3"/>
      <c r="N31" s="156"/>
      <c r="O31" s="3"/>
    </row>
    <row r="32" spans="1:15">
      <c r="A32" s="520">
        <f>ELEC!C29</f>
        <v>43857</v>
      </c>
      <c r="B32" s="37"/>
      <c r="C32" s="37"/>
      <c r="D32" s="291">
        <f>(C32+B32)/2</f>
        <v>0</v>
      </c>
      <c r="E32" s="359"/>
      <c r="F32" s="363"/>
      <c r="G32" s="246">
        <f t="shared" si="4"/>
        <v>0</v>
      </c>
      <c r="H32" s="3"/>
      <c r="I32" s="3"/>
      <c r="J32" s="3"/>
      <c r="K32" s="270">
        <f t="shared" si="5"/>
        <v>0</v>
      </c>
      <c r="L32" s="3"/>
      <c r="M32" s="3"/>
      <c r="N32" s="156"/>
      <c r="O32" s="3"/>
    </row>
    <row r="33" spans="1:15">
      <c r="A33" s="520">
        <f>ELEC!C30</f>
        <v>43858</v>
      </c>
      <c r="B33" s="37"/>
      <c r="C33" s="37"/>
      <c r="D33" s="26">
        <f t="shared" si="3"/>
        <v>0</v>
      </c>
      <c r="E33" s="358"/>
      <c r="F33" s="358"/>
      <c r="G33" s="246">
        <f t="shared" si="4"/>
        <v>0</v>
      </c>
      <c r="H33" s="3"/>
      <c r="I33" s="3"/>
      <c r="J33" s="3"/>
      <c r="K33" s="270">
        <f t="shared" si="5"/>
        <v>0</v>
      </c>
      <c r="L33" s="3"/>
      <c r="M33" s="3"/>
      <c r="N33" s="156"/>
      <c r="O33" s="3"/>
    </row>
    <row r="34" spans="1:15">
      <c r="A34" s="520">
        <f>ELEC!C31</f>
        <v>43859</v>
      </c>
      <c r="B34" s="37"/>
      <c r="C34" s="37"/>
      <c r="D34" s="26">
        <f t="shared" si="3"/>
        <v>0</v>
      </c>
      <c r="E34" s="358"/>
      <c r="F34" s="358"/>
      <c r="G34" s="246">
        <f t="shared" si="4"/>
        <v>0</v>
      </c>
      <c r="H34" s="3"/>
      <c r="I34" s="3"/>
      <c r="J34" s="3"/>
      <c r="K34" s="270">
        <f t="shared" si="5"/>
        <v>0</v>
      </c>
      <c r="L34" s="3"/>
      <c r="M34" s="3"/>
      <c r="N34" s="156"/>
      <c r="O34" s="3"/>
    </row>
    <row r="35" spans="1:15">
      <c r="A35" s="520">
        <f>ELEC!C32</f>
        <v>43860</v>
      </c>
      <c r="B35" s="37"/>
      <c r="C35" s="37"/>
      <c r="D35" s="26">
        <f t="shared" si="3"/>
        <v>0</v>
      </c>
      <c r="E35" s="375"/>
      <c r="F35" s="375"/>
      <c r="G35" s="246">
        <f t="shared" si="4"/>
        <v>0</v>
      </c>
      <c r="H35" s="3"/>
      <c r="I35" s="3"/>
      <c r="J35" s="3"/>
      <c r="K35" s="270">
        <f t="shared" si="5"/>
        <v>0</v>
      </c>
      <c r="L35" s="3"/>
      <c r="M35" s="3"/>
      <c r="N35" s="156"/>
      <c r="O35" s="3"/>
    </row>
    <row r="36" spans="1:15">
      <c r="A36" s="520">
        <f>ELEC!C33</f>
        <v>43861</v>
      </c>
      <c r="B36" s="37"/>
      <c r="C36" s="37"/>
      <c r="D36" s="26">
        <f>(C36+B36)/2</f>
        <v>0</v>
      </c>
      <c r="E36" s="417"/>
      <c r="F36" s="417"/>
      <c r="G36" s="246">
        <f>F36*230</f>
        <v>0</v>
      </c>
      <c r="H36" s="3"/>
      <c r="I36" s="3"/>
      <c r="J36" s="3"/>
      <c r="K36" s="270">
        <f>+J36+H36+I36</f>
        <v>0</v>
      </c>
      <c r="L36" s="3"/>
      <c r="M36" s="3"/>
      <c r="N36" s="156"/>
      <c r="O36" s="3"/>
    </row>
    <row r="37" spans="1:15">
      <c r="D37" s="268"/>
      <c r="F37" s="215">
        <f>AVERAGE(F6:F36)</f>
        <v>0.18439615384615388</v>
      </c>
      <c r="G37" s="207">
        <f>SUM(G6:G35)</f>
        <v>1102.6890000000001</v>
      </c>
    </row>
    <row r="38" spans="1:15">
      <c r="D38" s="268">
        <f>SUM(D6:D36)/'EDl log'!A36</f>
        <v>13.461538461538462</v>
      </c>
      <c r="F38" s="215"/>
    </row>
    <row r="41" spans="1:15">
      <c r="I41" s="435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P1" activePane="topRight" state="frozen"/>
      <selection pane="topRight" activeCell="AS32" sqref="AS32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69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47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9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46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46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01" t="s">
        <v>108</v>
      </c>
      <c r="AS3" s="601" t="s">
        <v>234</v>
      </c>
      <c r="AT3" s="599" t="s">
        <v>302</v>
      </c>
      <c r="AU3" s="600"/>
      <c r="AV3" s="32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02"/>
      <c r="AS4" s="602"/>
      <c r="AT4" s="3" t="s">
        <v>71</v>
      </c>
      <c r="AU4" s="3" t="s">
        <v>222</v>
      </c>
      <c r="AV4" s="321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79" t="str">
        <f>ELEC!C2</f>
        <v>31-12-2019</v>
      </c>
      <c r="B5" s="207">
        <f>[1]tanks!B36</f>
        <v>238</v>
      </c>
      <c r="C5" s="207">
        <f>[1]tanks!C36</f>
        <v>5120.8387096774195</v>
      </c>
      <c r="D5" s="207">
        <f>[1]tanks!D36</f>
        <v>238</v>
      </c>
      <c r="E5" s="207">
        <f>[1]tanks!E36</f>
        <v>5120.8387096774195</v>
      </c>
      <c r="F5" s="207">
        <f>[1]tanks!F36</f>
        <v>238</v>
      </c>
      <c r="G5" s="207">
        <f>[1]tanks!G36</f>
        <v>5120.8387096774195</v>
      </c>
      <c r="H5" s="207">
        <f>[1]tanks!H36</f>
        <v>238</v>
      </c>
      <c r="I5" s="207">
        <f>[1]tanks!I36</f>
        <v>5120.8387096774195</v>
      </c>
      <c r="J5" s="207">
        <f>[1]tanks!J36</f>
        <v>238</v>
      </c>
      <c r="K5" s="207">
        <f>[1]tanks!K36</f>
        <v>5120.8387096774195</v>
      </c>
      <c r="L5" s="207">
        <f>[1]tanks!L36</f>
        <v>238</v>
      </c>
      <c r="M5" s="207">
        <f>[1]tanks!M36</f>
        <v>5120.8387096774195</v>
      </c>
      <c r="N5" s="207">
        <f>[1]tanks!N36</f>
        <v>238</v>
      </c>
      <c r="O5" s="207">
        <f>[1]tanks!O36</f>
        <v>5120.8387096774195</v>
      </c>
      <c r="P5" s="207">
        <f>[1]tanks!P36</f>
        <v>238</v>
      </c>
      <c r="Q5" s="207">
        <f>[1]tanks!Q36</f>
        <v>5120.8387096774195</v>
      </c>
      <c r="R5" s="207">
        <f>[1]tanks!R36</f>
        <v>238</v>
      </c>
      <c r="S5" s="207">
        <f>[1]tanks!S36</f>
        <v>5120.8387096774195</v>
      </c>
      <c r="T5" s="207">
        <f>[1]tanks!T36</f>
        <v>238</v>
      </c>
      <c r="U5" s="207">
        <f>[1]tanks!U36</f>
        <v>5120.8387096774195</v>
      </c>
      <c r="V5" s="207">
        <f>[1]tanks!V36</f>
        <v>238</v>
      </c>
      <c r="W5" s="207">
        <f>[1]tanks!W36</f>
        <v>5120.8387096774195</v>
      </c>
      <c r="X5" s="207">
        <f>[1]tanks!X36</f>
        <v>0.76774193548387093</v>
      </c>
      <c r="Y5" s="207">
        <f>[1]tanks!Y36</f>
        <v>56329.225806451606</v>
      </c>
      <c r="Z5" s="207">
        <f>[1]tanks!Z36</f>
        <v>98</v>
      </c>
      <c r="AA5" s="207">
        <f>[1]tanks!AA36</f>
        <v>980</v>
      </c>
      <c r="AB5" s="207">
        <f>[1]tanks!AB36</f>
        <v>98</v>
      </c>
      <c r="AC5" s="207">
        <f>[1]tanks!AC36</f>
        <v>980</v>
      </c>
      <c r="AD5" s="207">
        <f>[1]tanks!AD36</f>
        <v>98</v>
      </c>
      <c r="AE5" s="207">
        <f>[1]tanks!AE36</f>
        <v>980</v>
      </c>
      <c r="AF5" s="207">
        <f>[1]tanks!AF36</f>
        <v>98</v>
      </c>
      <c r="AG5" s="207">
        <f>[1]tanks!AG36</f>
        <v>980</v>
      </c>
      <c r="AH5" s="207">
        <f>[1]tanks!AH36</f>
        <v>98</v>
      </c>
      <c r="AI5" s="207">
        <f>[1]tanks!AI36</f>
        <v>980</v>
      </c>
      <c r="AJ5" s="207">
        <f>[1]tanks!AJ36</f>
        <v>98</v>
      </c>
      <c r="AK5" s="207">
        <f>[1]tanks!AK36</f>
        <v>980</v>
      </c>
      <c r="AL5" s="207">
        <f>[1]tanks!AL36</f>
        <v>98</v>
      </c>
      <c r="AM5" s="207">
        <f>[1]tanks!AM36</f>
        <v>980</v>
      </c>
      <c r="AN5" s="207">
        <f>[1]tanks!AN36</f>
        <v>0.35</v>
      </c>
      <c r="AO5" s="207">
        <f>[1]tanks!AO36</f>
        <v>6860</v>
      </c>
      <c r="AP5" s="207">
        <f>[1]tanks!AP36</f>
        <v>0</v>
      </c>
      <c r="AQ5" s="552">
        <f>[1]tanks!AQ36</f>
        <v>0.67967329037809621</v>
      </c>
      <c r="AR5" s="207">
        <f>[1]tanks!AR36</f>
        <v>63189.225806451606</v>
      </c>
      <c r="AS5" s="207">
        <f>[1]tanks!AS36</f>
        <v>-4109.6451612903184</v>
      </c>
      <c r="AT5" s="207">
        <f>[1]tanks!AT36</f>
        <v>0</v>
      </c>
      <c r="AU5" s="207">
        <f>[1]tanks!AU36</f>
        <v>0</v>
      </c>
      <c r="AV5" s="552">
        <f>[1]tanks!AV36</f>
        <v>0.56340000000000001</v>
      </c>
      <c r="AW5" s="207">
        <f>[1]tanks!AW36</f>
        <v>-1284.7999999999884</v>
      </c>
      <c r="AX5" s="207">
        <f>[1]tanks!AX36</f>
        <v>-2824.84516129033</v>
      </c>
      <c r="AY5" s="207">
        <f>[1]tanks!AY36</f>
        <v>-4109.6451612903184</v>
      </c>
      <c r="AZ5" s="552">
        <f>[1]tanks!AZ36</f>
        <v>0.5</v>
      </c>
      <c r="BA5" s="207">
        <f>[1]tanks!BA36</f>
        <v>13.5</v>
      </c>
      <c r="BB5" s="552">
        <f>[1]tanks!BB36</f>
        <v>0.67</v>
      </c>
      <c r="BC5" s="207">
        <f>[1]tanks!BC36</f>
        <v>0</v>
      </c>
      <c r="BD5" s="207">
        <f>[1]tanks!BD36</f>
        <v>0</v>
      </c>
      <c r="BE5" s="207">
        <f>[1]tanks!BE36</f>
        <v>0</v>
      </c>
      <c r="BF5" s="207">
        <f>[1]tanks!BF36</f>
        <v>0</v>
      </c>
      <c r="BG5" s="207">
        <f>[1]tanks!BG36</f>
        <v>0</v>
      </c>
      <c r="BH5" s="207">
        <f>[1]tanks!BH36</f>
        <v>0</v>
      </c>
      <c r="BI5" s="207"/>
    </row>
    <row r="6" spans="1:61">
      <c r="A6" s="479">
        <f>ELEC!C3</f>
        <v>43831</v>
      </c>
      <c r="B6">
        <f>'B5'!B5</f>
        <v>234</v>
      </c>
      <c r="C6" s="207">
        <f>B6*$B$4</f>
        <v>5034.7741935483873</v>
      </c>
      <c r="D6">
        <f>SUM(B6)</f>
        <v>234</v>
      </c>
      <c r="E6" s="207">
        <f>D6*$B$4</f>
        <v>5034.7741935483873</v>
      </c>
      <c r="F6">
        <f>SUM(D6)</f>
        <v>234</v>
      </c>
      <c r="G6" s="207">
        <f t="shared" ref="G6:G35" si="1">F6*$B$4</f>
        <v>5034.7741935483873</v>
      </c>
      <c r="H6" s="207">
        <f>SUM(F6)</f>
        <v>234</v>
      </c>
      <c r="I6" s="207">
        <f t="shared" ref="I6:I35" si="2">H6*$B$4</f>
        <v>5034.7741935483873</v>
      </c>
      <c r="J6" s="207">
        <f>SUM(H6)</f>
        <v>234</v>
      </c>
      <c r="K6" s="207">
        <f t="shared" ref="K6:K35" si="3">J6*$B$4</f>
        <v>5034.7741935483873</v>
      </c>
      <c r="L6" s="207">
        <f>SUM(J6)</f>
        <v>234</v>
      </c>
      <c r="M6" s="207">
        <f t="shared" ref="M6:M35" si="4">L6*$B$4</f>
        <v>5034.7741935483873</v>
      </c>
      <c r="N6" s="207">
        <f>SUM(L6)</f>
        <v>234</v>
      </c>
      <c r="O6" s="207">
        <f t="shared" ref="O6:O35" si="5">N6*$B$4</f>
        <v>5034.7741935483873</v>
      </c>
      <c r="P6" s="207">
        <f>SUM(N6)</f>
        <v>234</v>
      </c>
      <c r="Q6" s="207">
        <f t="shared" ref="Q6:Q35" si="6">P6*$B$4</f>
        <v>5034.7741935483873</v>
      </c>
      <c r="R6" s="207">
        <f>SUM(P6)</f>
        <v>234</v>
      </c>
      <c r="S6" s="207">
        <f t="shared" ref="S6:S35" si="7">R6*$B$4</f>
        <v>5034.7741935483873</v>
      </c>
      <c r="T6" s="207">
        <f>SUM(R6)</f>
        <v>234</v>
      </c>
      <c r="U6" s="207">
        <f t="shared" ref="U6:U35" si="8">T6*$B$4</f>
        <v>5034.7741935483873</v>
      </c>
      <c r="V6" s="207">
        <f>SUM(T6)</f>
        <v>234</v>
      </c>
      <c r="W6" s="207">
        <f t="shared" ref="W6:W35" si="9">V6*$B$4</f>
        <v>5034.7741935483873</v>
      </c>
      <c r="X6" s="35">
        <f t="shared" ref="X6:X29" si="10">SUM(Y6/73370)</f>
        <v>0.75483870967741939</v>
      </c>
      <c r="Y6" s="36">
        <f>SUM(C6+E6+G6+I6+K6+M6+O6+Q6+S6+U6+W6)</f>
        <v>55382.516129032258</v>
      </c>
      <c r="Z6" s="207">
        <f>'B5'!C5</f>
        <v>78</v>
      </c>
      <c r="AA6" s="207">
        <f>SUM(Z6*$Z$4)</f>
        <v>780</v>
      </c>
      <c r="AB6" s="207">
        <f>SUM(Z6)</f>
        <v>78</v>
      </c>
      <c r="AC6" s="207">
        <f>SUM(AB6*$Z$4)</f>
        <v>780</v>
      </c>
      <c r="AD6" s="207">
        <f>SUM(AB6)</f>
        <v>78</v>
      </c>
      <c r="AE6" s="207">
        <f t="shared" ref="AE6:AE35" si="11">SUM(AD6*$Z$4)</f>
        <v>780</v>
      </c>
      <c r="AF6" s="207">
        <f>SUM(AD6)</f>
        <v>78</v>
      </c>
      <c r="AG6" s="207">
        <f t="shared" ref="AG6:AG35" si="12">SUM(AF6*$Z$4)</f>
        <v>780</v>
      </c>
      <c r="AH6" s="207">
        <f>SUM(AF6)</f>
        <v>78</v>
      </c>
      <c r="AI6" s="207">
        <f t="shared" ref="AI6:AI35" si="13">SUM(AH6*$Z$4)</f>
        <v>780</v>
      </c>
      <c r="AJ6" s="207">
        <f>SUM(AH6)</f>
        <v>78</v>
      </c>
      <c r="AK6" s="207">
        <f t="shared" ref="AK6:AK35" si="14">SUM(AJ6*$Z$4)</f>
        <v>780</v>
      </c>
      <c r="AL6" s="207">
        <f>SUM(AJ6)</f>
        <v>78</v>
      </c>
      <c r="AM6" s="207">
        <f t="shared" ref="AM6:AM35" si="15">SUM(AL6*$Z$4)</f>
        <v>780</v>
      </c>
      <c r="AN6" s="35">
        <f t="shared" ref="AN6:AN29" si="16">SUM(AO6/19600)</f>
        <v>0.27857142857142858</v>
      </c>
      <c r="AO6" s="36">
        <f t="shared" ref="AO6:AO29" si="17">SUM(AA6+AC6+AE6+AG6+AI6+AK6+AM6)</f>
        <v>5460</v>
      </c>
      <c r="AQ6" s="227">
        <f>SUM(AR6/92970)</f>
        <v>0.65443171054138172</v>
      </c>
      <c r="AR6" s="38">
        <f>SUM(AO6+Y6)</f>
        <v>60842.516129032258</v>
      </c>
      <c r="AS6" s="201">
        <f>SUM(AR6-AR5-AT6)</f>
        <v>-2346.7096774193487</v>
      </c>
      <c r="AT6" s="376"/>
      <c r="AU6" s="471"/>
      <c r="AV6" s="569">
        <f>IF(AT6&gt;0,AU6,AV5)</f>
        <v>0.56340000000000001</v>
      </c>
      <c r="AW6" s="302">
        <f>-SUM('B5'!AI5)</f>
        <v>-1458</v>
      </c>
      <c r="AX6" s="302">
        <f>-SUM(AW6-AS6)</f>
        <v>-888.70967741934874</v>
      </c>
      <c r="AY6" s="37">
        <f>SUM(AX6+AW6)</f>
        <v>-2346.7096774193487</v>
      </c>
      <c r="AZ6" s="101">
        <f>ELEC!A3</f>
        <v>0.42599999999999999</v>
      </c>
      <c r="BA6" s="119">
        <f>'General information '!D6</f>
        <v>13.5</v>
      </c>
      <c r="BB6" s="292">
        <f>SUM('General information '!E6)</f>
        <v>0.55000000000000004</v>
      </c>
      <c r="BC6" s="3">
        <f>IF(AR3&gt;=AR6,0,1)</f>
        <v>0</v>
      </c>
      <c r="BD6" s="103">
        <v>19222</v>
      </c>
      <c r="BE6" s="14">
        <f>(305/1185)*ELEC!Q4</f>
        <v>1189.6286919834333</v>
      </c>
      <c r="BF6" s="14"/>
      <c r="BG6" s="14" t="e">
        <f>#REF!-BE6</f>
        <v>#REF!</v>
      </c>
      <c r="BH6" s="11">
        <v>21</v>
      </c>
    </row>
    <row r="7" spans="1:61">
      <c r="A7" s="479">
        <f>ELEC!C4</f>
        <v>43832</v>
      </c>
      <c r="B7">
        <f>'B5'!B6</f>
        <v>205</v>
      </c>
      <c r="C7" s="207">
        <f t="shared" ref="C7:E35" si="18">B7*$B$4</f>
        <v>4410.8064516129034</v>
      </c>
      <c r="D7">
        <f t="shared" ref="D7:D29" si="19">SUM(B7)</f>
        <v>205</v>
      </c>
      <c r="E7" s="207">
        <f t="shared" si="18"/>
        <v>4410.8064516129034</v>
      </c>
      <c r="F7">
        <f t="shared" ref="F7:F29" si="20">SUM(D7)</f>
        <v>205</v>
      </c>
      <c r="G7" s="207">
        <f t="shared" si="1"/>
        <v>4410.8064516129034</v>
      </c>
      <c r="H7" s="207">
        <f t="shared" ref="H7:H29" si="21">SUM(F7)</f>
        <v>205</v>
      </c>
      <c r="I7" s="207">
        <f t="shared" si="2"/>
        <v>4410.8064516129034</v>
      </c>
      <c r="J7" s="207">
        <f t="shared" ref="J7:J29" si="22">SUM(H7)</f>
        <v>205</v>
      </c>
      <c r="K7" s="207">
        <f t="shared" si="3"/>
        <v>4410.8064516129034</v>
      </c>
      <c r="L7" s="207">
        <f t="shared" ref="L7:L29" si="23">SUM(J7)</f>
        <v>205</v>
      </c>
      <c r="M7" s="207">
        <f t="shared" si="4"/>
        <v>4410.8064516129034</v>
      </c>
      <c r="N7" s="207">
        <f t="shared" ref="N7:N29" si="24">SUM(L7)</f>
        <v>205</v>
      </c>
      <c r="O7" s="207">
        <f t="shared" si="5"/>
        <v>4410.8064516129034</v>
      </c>
      <c r="P7" s="207">
        <f t="shared" ref="P7:P29" si="25">SUM(N7)</f>
        <v>205</v>
      </c>
      <c r="Q7" s="207">
        <f t="shared" si="6"/>
        <v>4410.8064516129034</v>
      </c>
      <c r="R7" s="207">
        <f t="shared" ref="R7:R29" si="26">SUM(P7)</f>
        <v>205</v>
      </c>
      <c r="S7" s="207">
        <f t="shared" si="7"/>
        <v>4410.8064516129034</v>
      </c>
      <c r="T7" s="207">
        <f t="shared" ref="T7:T29" si="27">SUM(R7)</f>
        <v>205</v>
      </c>
      <c r="U7" s="207">
        <f t="shared" si="8"/>
        <v>4410.8064516129034</v>
      </c>
      <c r="V7" s="207">
        <f t="shared" ref="V7:V29" si="28">SUM(T7)</f>
        <v>205</v>
      </c>
      <c r="W7" s="207">
        <f t="shared" si="9"/>
        <v>4410.8064516129034</v>
      </c>
      <c r="X7" s="35">
        <f t="shared" si="10"/>
        <v>0.66129032258064502</v>
      </c>
      <c r="Y7" s="36">
        <f t="shared" ref="Y7:Y29" si="29">SUM(C7+E7+G7+I7+K7+M7+O7+Q7+S7+U7+W7)</f>
        <v>48518.870967741925</v>
      </c>
      <c r="Z7" s="207">
        <f>'B5'!C6</f>
        <v>143</v>
      </c>
      <c r="AA7" s="207">
        <f t="shared" ref="AA7:AC35" si="30">SUM(Z7*$Z$4)</f>
        <v>1430</v>
      </c>
      <c r="AB7" s="207">
        <f t="shared" ref="AB7:AB29" si="31">SUM(Z7)</f>
        <v>143</v>
      </c>
      <c r="AC7" s="207">
        <f t="shared" si="30"/>
        <v>1430</v>
      </c>
      <c r="AD7" s="207">
        <f t="shared" ref="AD7:AD29" si="32">SUM(AB7)</f>
        <v>143</v>
      </c>
      <c r="AE7" s="207">
        <f t="shared" si="11"/>
        <v>1430</v>
      </c>
      <c r="AF7" s="207">
        <f t="shared" ref="AF7:AF29" si="33">SUM(AD7)</f>
        <v>143</v>
      </c>
      <c r="AG7" s="207">
        <f t="shared" si="12"/>
        <v>1430</v>
      </c>
      <c r="AH7" s="207">
        <f t="shared" ref="AH7:AH29" si="34">SUM(AF7)</f>
        <v>143</v>
      </c>
      <c r="AI7" s="207">
        <f t="shared" si="13"/>
        <v>1430</v>
      </c>
      <c r="AJ7" s="207">
        <f t="shared" ref="AJ7:AJ29" si="35">SUM(AH7)</f>
        <v>143</v>
      </c>
      <c r="AK7" s="207">
        <f t="shared" si="14"/>
        <v>1430</v>
      </c>
      <c r="AL7" s="207">
        <f t="shared" ref="AL7:AL29" si="36">SUM(AJ7)</f>
        <v>143</v>
      </c>
      <c r="AM7" s="207">
        <f t="shared" si="15"/>
        <v>1430</v>
      </c>
      <c r="AN7" s="35">
        <f t="shared" si="16"/>
        <v>0.51071428571428568</v>
      </c>
      <c r="AO7" s="36">
        <f t="shared" si="17"/>
        <v>10010</v>
      </c>
      <c r="AQ7" s="227">
        <f t="shared" ref="AQ7:AQ33" si="37">SUM(AR7/92970)</f>
        <v>0.62954577786105115</v>
      </c>
      <c r="AR7" s="38">
        <f>SUM(AO7+Y7)</f>
        <v>58528.870967741925</v>
      </c>
      <c r="AS7" s="201">
        <f t="shared" ref="AS7:AS35" si="38">SUM(AR7-AR6-AT7)</f>
        <v>-2313.6451612903329</v>
      </c>
      <c r="AT7" s="278"/>
      <c r="AU7" s="537"/>
      <c r="AV7" s="569">
        <f>IF(AT7&gt;0,AU7,AV6)</f>
        <v>0.56340000000000001</v>
      </c>
      <c r="AW7" s="302">
        <f>-SUM('B5'!AI6)</f>
        <v>-1092.2999999999884</v>
      </c>
      <c r="AX7" s="302">
        <f t="shared" ref="AX7:AX35" si="39">-SUM(AW7-AS7)</f>
        <v>-1221.3451612903445</v>
      </c>
      <c r="AY7" s="37">
        <f t="shared" ref="AY7:AY35" si="40">SUM(AX7+AW7)</f>
        <v>-2313.6451612903329</v>
      </c>
      <c r="AZ7" s="101">
        <f>ELEC!A4</f>
        <v>0.33479999999999999</v>
      </c>
      <c r="BA7" s="119">
        <f>'General information '!D7</f>
        <v>14.5</v>
      </c>
      <c r="BB7" s="208">
        <f>SUM('General information '!E7)</f>
        <v>0.55000000000000004</v>
      </c>
      <c r="BC7" s="3">
        <v>0</v>
      </c>
      <c r="BD7" s="103">
        <v>19222</v>
      </c>
      <c r="BE7" s="14">
        <f>(305/1185)*ELEC!Q5</f>
        <v>1191.9451476791714</v>
      </c>
      <c r="BF7" s="14"/>
      <c r="BG7" s="14" t="e">
        <f>#REF!-BE7</f>
        <v>#REF!</v>
      </c>
      <c r="BH7" s="11">
        <v>19</v>
      </c>
    </row>
    <row r="8" spans="1:61">
      <c r="A8" s="479">
        <f>ELEC!C5</f>
        <v>43833</v>
      </c>
      <c r="B8">
        <f>'B5'!B7</f>
        <v>198</v>
      </c>
      <c r="C8" s="207">
        <f t="shared" si="18"/>
        <v>4260.1935483870966</v>
      </c>
      <c r="D8">
        <f t="shared" si="19"/>
        <v>198</v>
      </c>
      <c r="E8" s="207">
        <f t="shared" si="18"/>
        <v>4260.1935483870966</v>
      </c>
      <c r="F8">
        <f t="shared" si="20"/>
        <v>198</v>
      </c>
      <c r="G8" s="207">
        <f t="shared" si="1"/>
        <v>4260.1935483870966</v>
      </c>
      <c r="H8" s="207">
        <f t="shared" si="21"/>
        <v>198</v>
      </c>
      <c r="I8" s="207">
        <f t="shared" si="2"/>
        <v>4260.1935483870966</v>
      </c>
      <c r="J8" s="207">
        <f t="shared" si="22"/>
        <v>198</v>
      </c>
      <c r="K8" s="207">
        <f t="shared" si="3"/>
        <v>4260.1935483870966</v>
      </c>
      <c r="L8" s="207">
        <f t="shared" si="23"/>
        <v>198</v>
      </c>
      <c r="M8" s="207">
        <f t="shared" si="4"/>
        <v>4260.1935483870966</v>
      </c>
      <c r="N8" s="207">
        <f t="shared" si="24"/>
        <v>198</v>
      </c>
      <c r="O8" s="207">
        <f t="shared" si="5"/>
        <v>4260.1935483870966</v>
      </c>
      <c r="P8" s="207">
        <f t="shared" si="25"/>
        <v>198</v>
      </c>
      <c r="Q8" s="207">
        <f t="shared" si="6"/>
        <v>4260.1935483870966</v>
      </c>
      <c r="R8" s="207">
        <f t="shared" si="26"/>
        <v>198</v>
      </c>
      <c r="S8" s="207">
        <f t="shared" si="7"/>
        <v>4260.1935483870966</v>
      </c>
      <c r="T8" s="207">
        <f t="shared" si="27"/>
        <v>198</v>
      </c>
      <c r="U8" s="207">
        <f t="shared" si="8"/>
        <v>4260.1935483870966</v>
      </c>
      <c r="V8" s="207">
        <f t="shared" si="28"/>
        <v>198</v>
      </c>
      <c r="W8" s="207">
        <f t="shared" si="9"/>
        <v>4260.1935483870966</v>
      </c>
      <c r="X8" s="35">
        <f t="shared" si="10"/>
        <v>0.63870967741935503</v>
      </c>
      <c r="Y8" s="36">
        <f t="shared" si="29"/>
        <v>46862.129032258075</v>
      </c>
      <c r="Z8" s="207">
        <f>'B5'!C7</f>
        <v>127</v>
      </c>
      <c r="AA8" s="207">
        <f t="shared" si="30"/>
        <v>1270</v>
      </c>
      <c r="AB8" s="207">
        <f t="shared" si="31"/>
        <v>127</v>
      </c>
      <c r="AC8" s="207">
        <f t="shared" si="30"/>
        <v>1270</v>
      </c>
      <c r="AD8" s="207">
        <f t="shared" si="32"/>
        <v>127</v>
      </c>
      <c r="AE8" s="207">
        <f t="shared" si="11"/>
        <v>1270</v>
      </c>
      <c r="AF8" s="207">
        <f t="shared" si="33"/>
        <v>127</v>
      </c>
      <c r="AG8" s="207">
        <f t="shared" si="12"/>
        <v>1270</v>
      </c>
      <c r="AH8" s="207">
        <f t="shared" si="34"/>
        <v>127</v>
      </c>
      <c r="AI8" s="207">
        <f t="shared" si="13"/>
        <v>1270</v>
      </c>
      <c r="AJ8" s="207">
        <f t="shared" si="35"/>
        <v>127</v>
      </c>
      <c r="AK8" s="207">
        <f t="shared" si="14"/>
        <v>1270</v>
      </c>
      <c r="AL8" s="207">
        <f t="shared" si="36"/>
        <v>127</v>
      </c>
      <c r="AM8" s="207">
        <f t="shared" si="15"/>
        <v>1270</v>
      </c>
      <c r="AN8" s="35">
        <f t="shared" si="16"/>
        <v>0.45357142857142857</v>
      </c>
      <c r="AO8" s="36">
        <f t="shared" si="17"/>
        <v>8890</v>
      </c>
      <c r="AQ8" s="227">
        <f t="shared" si="37"/>
        <v>0.59967870315433014</v>
      </c>
      <c r="AR8" s="38">
        <f>SUM(AO8+Y8)</f>
        <v>55752.129032258075</v>
      </c>
      <c r="AS8" s="201">
        <f t="shared" si="38"/>
        <v>-2776.7419354838494</v>
      </c>
      <c r="AT8" s="376"/>
      <c r="AU8" s="471"/>
      <c r="AV8" s="569">
        <f t="shared" ref="AV8:AV34" si="41">IF(AT8&gt;0,AU8,AV7)</f>
        <v>0.56340000000000001</v>
      </c>
      <c r="AW8" s="302">
        <f>-SUM('B5'!AI7)</f>
        <v>-1325.9000000000233</v>
      </c>
      <c r="AX8" s="302">
        <f t="shared" si="39"/>
        <v>-1450.8419354838261</v>
      </c>
      <c r="AY8" s="37">
        <f t="shared" si="40"/>
        <v>-2776.7419354838494</v>
      </c>
      <c r="AZ8" s="101">
        <f>ELEC!A5</f>
        <v>0.2782</v>
      </c>
      <c r="BA8" s="119">
        <f>'General information '!D8</f>
        <v>14</v>
      </c>
      <c r="BB8" s="208">
        <f>SUM('General information '!E8)</f>
        <v>0.54</v>
      </c>
      <c r="BC8" s="3">
        <f t="shared" ref="BC8:BC33" si="42">IF(AR7&gt;=AR8,0,1)</f>
        <v>0</v>
      </c>
      <c r="BD8" s="103">
        <v>19222</v>
      </c>
      <c r="BE8" s="14">
        <f>(305/1185)*ELEC!Q6</f>
        <v>1029.535864978903</v>
      </c>
      <c r="BF8" s="14"/>
      <c r="BG8" s="14" t="e">
        <f>#REF!-BE8</f>
        <v>#REF!</v>
      </c>
      <c r="BH8" s="11">
        <v>16</v>
      </c>
    </row>
    <row r="9" spans="1:61">
      <c r="A9" s="479">
        <f>ELEC!C6</f>
        <v>43834</v>
      </c>
      <c r="B9">
        <f>'B5'!B8</f>
        <v>193</v>
      </c>
      <c r="C9" s="207">
        <f t="shared" si="18"/>
        <v>4152.6129032258068</v>
      </c>
      <c r="D9">
        <f t="shared" si="19"/>
        <v>193</v>
      </c>
      <c r="E9" s="207">
        <f t="shared" si="18"/>
        <v>4152.6129032258068</v>
      </c>
      <c r="F9">
        <f t="shared" si="20"/>
        <v>193</v>
      </c>
      <c r="G9" s="207">
        <f t="shared" si="1"/>
        <v>4152.6129032258068</v>
      </c>
      <c r="H9" s="207">
        <f t="shared" si="21"/>
        <v>193</v>
      </c>
      <c r="I9" s="207">
        <f t="shared" si="2"/>
        <v>4152.6129032258068</v>
      </c>
      <c r="J9" s="207">
        <f t="shared" si="22"/>
        <v>193</v>
      </c>
      <c r="K9" s="207">
        <f t="shared" si="3"/>
        <v>4152.6129032258068</v>
      </c>
      <c r="L9" s="207">
        <f t="shared" si="23"/>
        <v>193</v>
      </c>
      <c r="M9" s="207">
        <f t="shared" si="4"/>
        <v>4152.6129032258068</v>
      </c>
      <c r="N9" s="207">
        <f t="shared" si="24"/>
        <v>193</v>
      </c>
      <c r="O9" s="207">
        <f t="shared" si="5"/>
        <v>4152.6129032258068</v>
      </c>
      <c r="P9" s="207">
        <f t="shared" si="25"/>
        <v>193</v>
      </c>
      <c r="Q9" s="207">
        <f t="shared" si="6"/>
        <v>4152.6129032258068</v>
      </c>
      <c r="R9" s="207">
        <f t="shared" si="26"/>
        <v>193</v>
      </c>
      <c r="S9" s="207">
        <f t="shared" si="7"/>
        <v>4152.6129032258068</v>
      </c>
      <c r="T9" s="207">
        <f t="shared" si="27"/>
        <v>193</v>
      </c>
      <c r="U9" s="207">
        <f t="shared" si="8"/>
        <v>4152.6129032258068</v>
      </c>
      <c r="V9" s="207">
        <f t="shared" si="28"/>
        <v>193</v>
      </c>
      <c r="W9" s="207">
        <f t="shared" si="9"/>
        <v>4152.6129032258068</v>
      </c>
      <c r="X9" s="35">
        <f t="shared" si="10"/>
        <v>0.62258064516129019</v>
      </c>
      <c r="Y9" s="36">
        <f t="shared" si="29"/>
        <v>45678.741935483864</v>
      </c>
      <c r="Z9" s="207">
        <f>'B5'!C8</f>
        <v>102</v>
      </c>
      <c r="AA9" s="207">
        <f t="shared" si="30"/>
        <v>1020</v>
      </c>
      <c r="AB9" s="207">
        <f t="shared" si="31"/>
        <v>102</v>
      </c>
      <c r="AC9" s="207">
        <f t="shared" si="30"/>
        <v>1020</v>
      </c>
      <c r="AD9" s="207">
        <f t="shared" si="32"/>
        <v>102</v>
      </c>
      <c r="AE9" s="207">
        <f t="shared" si="11"/>
        <v>1020</v>
      </c>
      <c r="AF9" s="207">
        <f t="shared" si="33"/>
        <v>102</v>
      </c>
      <c r="AG9" s="207">
        <f t="shared" si="12"/>
        <v>1020</v>
      </c>
      <c r="AH9" s="207">
        <f t="shared" si="34"/>
        <v>102</v>
      </c>
      <c r="AI9" s="207">
        <f t="shared" si="13"/>
        <v>1020</v>
      </c>
      <c r="AJ9" s="207">
        <f t="shared" si="35"/>
        <v>102</v>
      </c>
      <c r="AK9" s="207">
        <f t="shared" si="14"/>
        <v>1020</v>
      </c>
      <c r="AL9" s="207">
        <f t="shared" si="36"/>
        <v>102</v>
      </c>
      <c r="AM9" s="207">
        <f t="shared" si="15"/>
        <v>1020</v>
      </c>
      <c r="AN9" s="35">
        <f t="shared" si="16"/>
        <v>0.36428571428571427</v>
      </c>
      <c r="AO9" s="36">
        <f>SUM(AA9+AC9+AE9+AG9+AI9+AK9+AM9)</f>
        <v>7140</v>
      </c>
      <c r="AQ9" s="227">
        <f t="shared" si="37"/>
        <v>0.56812672835843669</v>
      </c>
      <c r="AR9" s="38">
        <f>SUM(AO9+Y9)</f>
        <v>52818.741935483864</v>
      </c>
      <c r="AS9" s="201">
        <f t="shared" si="38"/>
        <v>-2933.3870967742114</v>
      </c>
      <c r="AT9" s="376"/>
      <c r="AU9" s="471"/>
      <c r="AV9" s="569">
        <f t="shared" si="41"/>
        <v>0.56340000000000001</v>
      </c>
      <c r="AW9" s="302">
        <f>-SUM('B5'!AI8)</f>
        <v>-944</v>
      </c>
      <c r="AX9" s="302">
        <f>-SUM(AW9-AS9)</f>
        <v>-1989.3870967742114</v>
      </c>
      <c r="AY9" s="37">
        <f t="shared" si="40"/>
        <v>-2933.3870967742114</v>
      </c>
      <c r="AZ9" s="101">
        <f>ELEC!A6</f>
        <v>0.21299999999999999</v>
      </c>
      <c r="BA9" s="119">
        <f>'General information '!D9</f>
        <v>13</v>
      </c>
      <c r="BB9" s="208">
        <f>SUM('General information '!E9)</f>
        <v>0.55000000000000004</v>
      </c>
      <c r="BC9" s="3">
        <f t="shared" si="42"/>
        <v>0</v>
      </c>
      <c r="BD9" s="103">
        <v>19222</v>
      </c>
      <c r="BE9" s="14">
        <f>(305/1185)*ELEC!Q7</f>
        <v>665.59493670868858</v>
      </c>
      <c r="BF9" s="14"/>
      <c r="BG9" s="14" t="e">
        <f>#REF!-BE9</f>
        <v>#REF!</v>
      </c>
      <c r="BH9" s="11">
        <v>18</v>
      </c>
    </row>
    <row r="10" spans="1:61">
      <c r="A10" s="479">
        <f>ELEC!C7</f>
        <v>43835</v>
      </c>
      <c r="B10">
        <f>'B5'!B9</f>
        <v>190</v>
      </c>
      <c r="C10" s="207">
        <f t="shared" si="18"/>
        <v>4088.0645161290322</v>
      </c>
      <c r="D10">
        <f t="shared" si="19"/>
        <v>190</v>
      </c>
      <c r="E10" s="207">
        <f t="shared" si="18"/>
        <v>4088.0645161290322</v>
      </c>
      <c r="F10">
        <f t="shared" si="20"/>
        <v>190</v>
      </c>
      <c r="G10" s="207">
        <f t="shared" si="1"/>
        <v>4088.0645161290322</v>
      </c>
      <c r="H10" s="207">
        <f t="shared" si="21"/>
        <v>190</v>
      </c>
      <c r="I10" s="207">
        <f t="shared" si="2"/>
        <v>4088.0645161290322</v>
      </c>
      <c r="J10" s="207">
        <f t="shared" si="22"/>
        <v>190</v>
      </c>
      <c r="K10" s="207">
        <f t="shared" si="3"/>
        <v>4088.0645161290322</v>
      </c>
      <c r="L10" s="207">
        <f t="shared" si="23"/>
        <v>190</v>
      </c>
      <c r="M10" s="207">
        <f t="shared" si="4"/>
        <v>4088.0645161290322</v>
      </c>
      <c r="N10" s="207">
        <f t="shared" si="24"/>
        <v>190</v>
      </c>
      <c r="O10" s="207">
        <f t="shared" si="5"/>
        <v>4088.0645161290322</v>
      </c>
      <c r="P10" s="207">
        <f t="shared" si="25"/>
        <v>190</v>
      </c>
      <c r="Q10" s="207">
        <f t="shared" si="6"/>
        <v>4088.0645161290322</v>
      </c>
      <c r="R10" s="207">
        <f t="shared" si="26"/>
        <v>190</v>
      </c>
      <c r="S10" s="207">
        <f t="shared" si="7"/>
        <v>4088.0645161290322</v>
      </c>
      <c r="T10" s="207">
        <f t="shared" si="27"/>
        <v>190</v>
      </c>
      <c r="U10" s="207">
        <f t="shared" si="8"/>
        <v>4088.0645161290322</v>
      </c>
      <c r="V10" s="207">
        <f t="shared" si="28"/>
        <v>190</v>
      </c>
      <c r="W10" s="207">
        <f t="shared" si="9"/>
        <v>4088.0645161290322</v>
      </c>
      <c r="X10" s="35">
        <f t="shared" si="10"/>
        <v>0.6129032258064514</v>
      </c>
      <c r="Y10" s="36">
        <f t="shared" si="29"/>
        <v>44968.709677419341</v>
      </c>
      <c r="Z10" s="207">
        <f>'B5'!C9</f>
        <v>88</v>
      </c>
      <c r="AA10" s="207">
        <f t="shared" si="30"/>
        <v>880</v>
      </c>
      <c r="AB10" s="207">
        <f t="shared" si="31"/>
        <v>88</v>
      </c>
      <c r="AC10" s="207">
        <f t="shared" si="30"/>
        <v>880</v>
      </c>
      <c r="AD10" s="207">
        <f t="shared" si="32"/>
        <v>88</v>
      </c>
      <c r="AE10" s="207">
        <f t="shared" si="11"/>
        <v>880</v>
      </c>
      <c r="AF10" s="207">
        <f t="shared" si="33"/>
        <v>88</v>
      </c>
      <c r="AG10" s="207">
        <f t="shared" si="12"/>
        <v>880</v>
      </c>
      <c r="AH10" s="207">
        <f t="shared" si="34"/>
        <v>88</v>
      </c>
      <c r="AI10" s="207">
        <f t="shared" si="13"/>
        <v>880</v>
      </c>
      <c r="AJ10" s="207">
        <f t="shared" si="35"/>
        <v>88</v>
      </c>
      <c r="AK10" s="207">
        <f t="shared" si="14"/>
        <v>880</v>
      </c>
      <c r="AL10" s="207">
        <f t="shared" si="36"/>
        <v>88</v>
      </c>
      <c r="AM10" s="207">
        <f t="shared" si="15"/>
        <v>880</v>
      </c>
      <c r="AN10" s="35">
        <f t="shared" si="16"/>
        <v>0.31428571428571428</v>
      </c>
      <c r="AO10" s="36">
        <f t="shared" si="17"/>
        <v>6160</v>
      </c>
      <c r="AQ10" s="227">
        <f t="shared" si="37"/>
        <v>0.54994847453392859</v>
      </c>
      <c r="AR10" s="38">
        <f t="shared" ref="AR10:AR28" si="43">SUM(AO10+Y10)</f>
        <v>51128.709677419341</v>
      </c>
      <c r="AS10" s="201">
        <f>SUM(AR10-AR9-AT10)</f>
        <v>-1690.0322580645225</v>
      </c>
      <c r="AT10" s="376"/>
      <c r="AU10" s="471"/>
      <c r="AV10" s="569">
        <f>IF(AT10&gt;0,AU10,AV9)</f>
        <v>0.56340000000000001</v>
      </c>
      <c r="AW10" s="302">
        <f>-SUM('B5'!AI9)</f>
        <v>-1107.7000000000116</v>
      </c>
      <c r="AX10" s="302">
        <f>-SUM(AW10-AS10)</f>
        <v>-582.33225806451082</v>
      </c>
      <c r="AY10" s="37">
        <f t="shared" si="40"/>
        <v>-1690.0322580645225</v>
      </c>
      <c r="AZ10" s="101">
        <f>ELEC!A7</f>
        <v>0.16089999999999999</v>
      </c>
      <c r="BA10" s="119">
        <f>'General information '!D10</f>
        <v>13</v>
      </c>
      <c r="BB10" s="208">
        <f>SUM('General information '!E10)</f>
        <v>0.55000000000000004</v>
      </c>
      <c r="BC10" s="3">
        <f t="shared" si="42"/>
        <v>0</v>
      </c>
      <c r="BD10" s="103">
        <v>19222</v>
      </c>
      <c r="BE10" s="14">
        <f>(305/1185)*ELEC!Q8</f>
        <v>1347.1476793249919</v>
      </c>
      <c r="BF10" s="14"/>
      <c r="BG10" s="14" t="e">
        <f>#REF!-BE10</f>
        <v>#REF!</v>
      </c>
      <c r="BH10" s="11">
        <v>16</v>
      </c>
    </row>
    <row r="11" spans="1:61">
      <c r="A11" s="479">
        <f>ELEC!C8</f>
        <v>43836</v>
      </c>
      <c r="B11">
        <f>'B5'!B10</f>
        <v>182</v>
      </c>
      <c r="C11" s="207">
        <f t="shared" si="18"/>
        <v>3915.9354838709678</v>
      </c>
      <c r="D11">
        <f>SUM(B11)</f>
        <v>182</v>
      </c>
      <c r="E11" s="207">
        <f t="shared" si="18"/>
        <v>3915.9354838709678</v>
      </c>
      <c r="F11">
        <f>SUM(D11)</f>
        <v>182</v>
      </c>
      <c r="G11" s="207">
        <f t="shared" si="1"/>
        <v>3915.9354838709678</v>
      </c>
      <c r="H11" s="207">
        <f>SUM(F11)</f>
        <v>182</v>
      </c>
      <c r="I11" s="207">
        <f t="shared" si="2"/>
        <v>3915.9354838709678</v>
      </c>
      <c r="J11" s="207">
        <f>SUM(H11)</f>
        <v>182</v>
      </c>
      <c r="K11" s="207">
        <f t="shared" si="3"/>
        <v>3915.9354838709678</v>
      </c>
      <c r="L11" s="207">
        <f>SUM(J11)</f>
        <v>182</v>
      </c>
      <c r="M11" s="207">
        <f t="shared" si="4"/>
        <v>3915.9354838709678</v>
      </c>
      <c r="N11" s="207">
        <f>SUM(L11)</f>
        <v>182</v>
      </c>
      <c r="O11" s="207">
        <f t="shared" si="5"/>
        <v>3915.9354838709678</v>
      </c>
      <c r="P11" s="207">
        <f>SUM(N11)</f>
        <v>182</v>
      </c>
      <c r="Q11" s="207">
        <f t="shared" si="6"/>
        <v>3915.9354838709678</v>
      </c>
      <c r="R11" s="207">
        <f>SUM(P11)</f>
        <v>182</v>
      </c>
      <c r="S11" s="207">
        <f t="shared" si="7"/>
        <v>3915.9354838709678</v>
      </c>
      <c r="T11" s="207">
        <f>SUM(R11)</f>
        <v>182</v>
      </c>
      <c r="U11" s="207">
        <f t="shared" si="8"/>
        <v>3915.9354838709678</v>
      </c>
      <c r="V11" s="207">
        <f>SUM(T11)</f>
        <v>182</v>
      </c>
      <c r="W11" s="207">
        <f t="shared" si="9"/>
        <v>3915.9354838709678</v>
      </c>
      <c r="X11" s="35">
        <f>SUM(Y11/73370)</f>
        <v>0.58709677419354855</v>
      </c>
      <c r="Y11" s="36">
        <f>SUM(C11+E11+G11+I11+K11+M11+O11+Q11+S11+U11+W11)</f>
        <v>43075.290322580659</v>
      </c>
      <c r="Z11" s="207">
        <f>'B5'!C10</f>
        <v>70</v>
      </c>
      <c r="AA11" s="207">
        <f t="shared" si="30"/>
        <v>700</v>
      </c>
      <c r="AB11" s="207">
        <f>SUM(Z11)</f>
        <v>70</v>
      </c>
      <c r="AC11" s="207">
        <f t="shared" si="30"/>
        <v>700</v>
      </c>
      <c r="AD11" s="207">
        <f>SUM(AB11)</f>
        <v>70</v>
      </c>
      <c r="AE11" s="207">
        <f t="shared" si="11"/>
        <v>700</v>
      </c>
      <c r="AF11" s="207">
        <f>SUM(AD11)</f>
        <v>70</v>
      </c>
      <c r="AG11" s="207">
        <f t="shared" si="12"/>
        <v>700</v>
      </c>
      <c r="AH11" s="207">
        <f>SUM(AF11)</f>
        <v>70</v>
      </c>
      <c r="AI11" s="207">
        <f t="shared" si="13"/>
        <v>700</v>
      </c>
      <c r="AJ11" s="207">
        <f>SUM(AH11)</f>
        <v>70</v>
      </c>
      <c r="AK11" s="207">
        <f t="shared" si="14"/>
        <v>700</v>
      </c>
      <c r="AL11" s="207">
        <f>SUM(AJ11)</f>
        <v>70</v>
      </c>
      <c r="AM11" s="207">
        <f t="shared" si="15"/>
        <v>700</v>
      </c>
      <c r="AN11" s="35">
        <f>SUM(AO11/19600)</f>
        <v>0.25</v>
      </c>
      <c r="AO11" s="36">
        <f t="shared" si="17"/>
        <v>4900</v>
      </c>
      <c r="AQ11" s="227">
        <f t="shared" si="37"/>
        <v>0.51602979802711257</v>
      </c>
      <c r="AR11" s="38">
        <f t="shared" si="43"/>
        <v>47975.290322580659</v>
      </c>
      <c r="AS11" s="201">
        <f>SUM(AR11-AR10-AT11)</f>
        <v>-3153.4193548386829</v>
      </c>
      <c r="AT11" s="376"/>
      <c r="AU11" s="471"/>
      <c r="AV11" s="569">
        <f>IF(AT11&gt;0,AU11,AV10)</f>
        <v>0.56340000000000001</v>
      </c>
      <c r="AW11" s="302">
        <f>-SUM('B5'!AI10)</f>
        <v>-607</v>
      </c>
      <c r="AX11" s="302">
        <f>-SUM(AW11-AS11)</f>
        <v>-2546.4193548386829</v>
      </c>
      <c r="AY11" s="37">
        <f t="shared" si="40"/>
        <v>-3153.4193548386829</v>
      </c>
      <c r="AZ11" s="101">
        <f>ELEC!A8</f>
        <v>0.16520000000000001</v>
      </c>
      <c r="BA11" s="119">
        <f>'General information '!D11</f>
        <v>14</v>
      </c>
      <c r="BB11" s="208">
        <f>SUM('General information '!E11)</f>
        <v>0.57999999999999996</v>
      </c>
      <c r="BC11" s="3">
        <f t="shared" si="42"/>
        <v>0</v>
      </c>
      <c r="BD11" s="103">
        <v>19222</v>
      </c>
      <c r="BE11" s="14">
        <f>(305/1185)*ELEC!Q9</f>
        <v>1255.7763713082268</v>
      </c>
      <c r="BF11" s="14"/>
      <c r="BG11" s="14" t="e">
        <f>#REF!-BE11</f>
        <v>#REF!</v>
      </c>
      <c r="BH11" s="11">
        <v>16.5</v>
      </c>
    </row>
    <row r="12" spans="1:61">
      <c r="A12" s="479">
        <f>ELEC!C9</f>
        <v>43837</v>
      </c>
      <c r="B12">
        <f>'B5'!B11</f>
        <v>164</v>
      </c>
      <c r="C12" s="207">
        <f t="shared" si="18"/>
        <v>3528.6451612903224</v>
      </c>
      <c r="D12">
        <f t="shared" si="19"/>
        <v>164</v>
      </c>
      <c r="E12" s="207">
        <f t="shared" si="18"/>
        <v>3528.6451612903224</v>
      </c>
      <c r="F12">
        <f t="shared" si="20"/>
        <v>164</v>
      </c>
      <c r="G12" s="207">
        <f t="shared" si="1"/>
        <v>3528.6451612903224</v>
      </c>
      <c r="H12" s="207">
        <f t="shared" si="21"/>
        <v>164</v>
      </c>
      <c r="I12" s="207">
        <f t="shared" si="2"/>
        <v>3528.6451612903224</v>
      </c>
      <c r="J12" s="207">
        <f t="shared" si="22"/>
        <v>164</v>
      </c>
      <c r="K12" s="207">
        <f t="shared" si="3"/>
        <v>3528.6451612903224</v>
      </c>
      <c r="L12" s="207">
        <f t="shared" si="23"/>
        <v>164</v>
      </c>
      <c r="M12" s="207">
        <f t="shared" si="4"/>
        <v>3528.6451612903224</v>
      </c>
      <c r="N12" s="207">
        <f t="shared" si="24"/>
        <v>164</v>
      </c>
      <c r="O12" s="207">
        <f t="shared" si="5"/>
        <v>3528.6451612903224</v>
      </c>
      <c r="P12" s="207">
        <f t="shared" si="25"/>
        <v>164</v>
      </c>
      <c r="Q12" s="207">
        <f t="shared" si="6"/>
        <v>3528.6451612903224</v>
      </c>
      <c r="R12" s="207">
        <f t="shared" si="26"/>
        <v>164</v>
      </c>
      <c r="S12" s="207">
        <f t="shared" si="7"/>
        <v>3528.6451612903224</v>
      </c>
      <c r="T12" s="207">
        <f t="shared" si="27"/>
        <v>164</v>
      </c>
      <c r="U12" s="207">
        <f t="shared" si="8"/>
        <v>3528.6451612903224</v>
      </c>
      <c r="V12" s="207">
        <f t="shared" si="28"/>
        <v>164</v>
      </c>
      <c r="W12" s="207">
        <f t="shared" si="9"/>
        <v>3528.6451612903224</v>
      </c>
      <c r="X12" s="35">
        <f t="shared" si="10"/>
        <v>0.52903225806451615</v>
      </c>
      <c r="Y12" s="36">
        <f t="shared" si="29"/>
        <v>38815.096774193553</v>
      </c>
      <c r="Z12" s="207">
        <f>'B5'!C11</f>
        <v>101</v>
      </c>
      <c r="AA12" s="207">
        <f t="shared" si="30"/>
        <v>1010</v>
      </c>
      <c r="AB12" s="207">
        <f t="shared" si="31"/>
        <v>101</v>
      </c>
      <c r="AC12" s="207">
        <f t="shared" si="30"/>
        <v>1010</v>
      </c>
      <c r="AD12" s="207">
        <f t="shared" si="32"/>
        <v>101</v>
      </c>
      <c r="AE12" s="207">
        <f t="shared" si="11"/>
        <v>1010</v>
      </c>
      <c r="AF12" s="207">
        <f t="shared" si="33"/>
        <v>101</v>
      </c>
      <c r="AG12" s="207">
        <f t="shared" si="12"/>
        <v>1010</v>
      </c>
      <c r="AH12" s="207">
        <f t="shared" si="34"/>
        <v>101</v>
      </c>
      <c r="AI12" s="207">
        <f t="shared" si="13"/>
        <v>1010</v>
      </c>
      <c r="AJ12" s="207">
        <f t="shared" si="35"/>
        <v>101</v>
      </c>
      <c r="AK12" s="207">
        <f t="shared" si="14"/>
        <v>1010</v>
      </c>
      <c r="AL12" s="207">
        <f t="shared" si="36"/>
        <v>101</v>
      </c>
      <c r="AM12" s="207">
        <f t="shared" si="15"/>
        <v>1010</v>
      </c>
      <c r="AN12" s="35">
        <f t="shared" si="16"/>
        <v>0.36071428571428571</v>
      </c>
      <c r="AO12" s="36">
        <f t="shared" si="17"/>
        <v>7070</v>
      </c>
      <c r="AQ12" s="227">
        <f t="shared" si="37"/>
        <v>0.49354734617826773</v>
      </c>
      <c r="AR12" s="38">
        <f t="shared" si="43"/>
        <v>45885.096774193553</v>
      </c>
      <c r="AS12" s="201">
        <f t="shared" si="38"/>
        <v>-2090.1935483871057</v>
      </c>
      <c r="AT12" s="278"/>
      <c r="AU12" s="515"/>
      <c r="AV12" s="569">
        <f t="shared" si="41"/>
        <v>0.56340000000000001</v>
      </c>
      <c r="AW12" s="302">
        <f>-SUM('B5'!AI11)</f>
        <v>-1019.2999999999884</v>
      </c>
      <c r="AX12" s="302">
        <f t="shared" si="39"/>
        <v>-1070.8935483871173</v>
      </c>
      <c r="AY12" s="37">
        <f t="shared" si="40"/>
        <v>-2090.1935483871057</v>
      </c>
      <c r="AZ12" s="101">
        <f>ELEC!A9</f>
        <v>0.23480000000000001</v>
      </c>
      <c r="BA12" s="119">
        <f>'General information '!D12</f>
        <v>14</v>
      </c>
      <c r="BB12" s="208">
        <f>SUM('General information '!E12)</f>
        <v>0.5</v>
      </c>
      <c r="BC12" s="3">
        <f t="shared" si="42"/>
        <v>0</v>
      </c>
      <c r="BD12" s="103">
        <v>19222</v>
      </c>
      <c r="BE12" s="14">
        <f>(305/1185)*ELEC!Q10</f>
        <v>1801.9451476793774</v>
      </c>
      <c r="BF12" s="14"/>
      <c r="BG12" s="14" t="e">
        <f>#REF!-BE12</f>
        <v>#REF!</v>
      </c>
      <c r="BH12" s="11">
        <v>15.5</v>
      </c>
    </row>
    <row r="13" spans="1:61">
      <c r="A13" s="479">
        <f>ELEC!C10</f>
        <v>43838</v>
      </c>
      <c r="B13">
        <f>'B5'!B12</f>
        <v>154</v>
      </c>
      <c r="C13" s="207">
        <f t="shared" si="18"/>
        <v>3313.483870967742</v>
      </c>
      <c r="D13">
        <f t="shared" si="19"/>
        <v>154</v>
      </c>
      <c r="E13" s="207">
        <f t="shared" si="18"/>
        <v>3313.483870967742</v>
      </c>
      <c r="F13">
        <f t="shared" si="20"/>
        <v>154</v>
      </c>
      <c r="G13" s="207">
        <f t="shared" si="1"/>
        <v>3313.483870967742</v>
      </c>
      <c r="H13" s="207">
        <f t="shared" si="21"/>
        <v>154</v>
      </c>
      <c r="I13" s="207">
        <f t="shared" si="2"/>
        <v>3313.483870967742</v>
      </c>
      <c r="J13" s="207">
        <f t="shared" si="22"/>
        <v>154</v>
      </c>
      <c r="K13" s="207">
        <f t="shared" si="3"/>
        <v>3313.483870967742</v>
      </c>
      <c r="L13" s="207">
        <f t="shared" si="23"/>
        <v>154</v>
      </c>
      <c r="M13" s="207">
        <f t="shared" si="4"/>
        <v>3313.483870967742</v>
      </c>
      <c r="N13" s="207">
        <f t="shared" si="24"/>
        <v>154</v>
      </c>
      <c r="O13" s="207">
        <f t="shared" si="5"/>
        <v>3313.483870967742</v>
      </c>
      <c r="P13" s="207">
        <f t="shared" si="25"/>
        <v>154</v>
      </c>
      <c r="Q13" s="207">
        <f t="shared" si="6"/>
        <v>3313.483870967742</v>
      </c>
      <c r="R13" s="207">
        <f t="shared" si="26"/>
        <v>154</v>
      </c>
      <c r="S13" s="207">
        <f t="shared" si="7"/>
        <v>3313.483870967742</v>
      </c>
      <c r="T13" s="207">
        <f t="shared" si="27"/>
        <v>154</v>
      </c>
      <c r="U13" s="207">
        <f t="shared" si="8"/>
        <v>3313.483870967742</v>
      </c>
      <c r="V13" s="207">
        <f t="shared" si="28"/>
        <v>154</v>
      </c>
      <c r="W13" s="207">
        <f t="shared" si="9"/>
        <v>3313.483870967742</v>
      </c>
      <c r="X13" s="35">
        <f t="shared" si="10"/>
        <v>0.49677419354838709</v>
      </c>
      <c r="Y13" s="36">
        <f t="shared" si="29"/>
        <v>36448.322580645159</v>
      </c>
      <c r="Z13" s="207">
        <f>'B5'!C12</f>
        <v>80</v>
      </c>
      <c r="AA13" s="207">
        <f t="shared" si="30"/>
        <v>800</v>
      </c>
      <c r="AB13" s="207">
        <f t="shared" si="31"/>
        <v>80</v>
      </c>
      <c r="AC13" s="207">
        <f t="shared" si="30"/>
        <v>800</v>
      </c>
      <c r="AD13" s="207">
        <f t="shared" si="32"/>
        <v>80</v>
      </c>
      <c r="AE13" s="207">
        <f t="shared" si="11"/>
        <v>800</v>
      </c>
      <c r="AF13" s="207">
        <f t="shared" si="33"/>
        <v>80</v>
      </c>
      <c r="AG13" s="207">
        <f t="shared" si="12"/>
        <v>800</v>
      </c>
      <c r="AH13" s="207">
        <f t="shared" si="34"/>
        <v>80</v>
      </c>
      <c r="AI13" s="207">
        <f t="shared" si="13"/>
        <v>800</v>
      </c>
      <c r="AJ13" s="207">
        <f t="shared" si="35"/>
        <v>80</v>
      </c>
      <c r="AK13" s="207">
        <f t="shared" si="14"/>
        <v>800</v>
      </c>
      <c r="AL13" s="207">
        <f t="shared" si="36"/>
        <v>80</v>
      </c>
      <c r="AM13" s="207">
        <f t="shared" si="15"/>
        <v>800</v>
      </c>
      <c r="AN13" s="35">
        <f t="shared" si="16"/>
        <v>0.2857142857142857</v>
      </c>
      <c r="AO13" s="36">
        <f t="shared" si="17"/>
        <v>5600</v>
      </c>
      <c r="AQ13" s="227">
        <f t="shared" si="37"/>
        <v>0.45227839712428913</v>
      </c>
      <c r="AR13" s="38">
        <f t="shared" si="43"/>
        <v>42048.322580645159</v>
      </c>
      <c r="AS13" s="201">
        <f t="shared" si="38"/>
        <v>-3836.7741935483937</v>
      </c>
      <c r="AT13" s="278"/>
      <c r="AU13" s="471"/>
      <c r="AV13" s="569">
        <f t="shared" si="41"/>
        <v>0.56340000000000001</v>
      </c>
      <c r="AW13" s="302">
        <f>-SUM('B5'!AI12)</f>
        <v>-816</v>
      </c>
      <c r="AX13" s="302">
        <f t="shared" si="39"/>
        <v>-3020.7741935483937</v>
      </c>
      <c r="AY13" s="37">
        <f t="shared" si="40"/>
        <v>-3836.7741935483937</v>
      </c>
      <c r="AZ13" s="101">
        <f>ELEC!A10</f>
        <v>0.23400000000000001</v>
      </c>
      <c r="BA13" s="119">
        <f>'General information '!D13</f>
        <v>12.5</v>
      </c>
      <c r="BB13" s="208">
        <f>SUM('General information '!E13)</f>
        <v>0.72</v>
      </c>
      <c r="BC13" s="3">
        <f t="shared" si="42"/>
        <v>0</v>
      </c>
      <c r="BD13" s="103">
        <v>19222</v>
      </c>
      <c r="BE13" s="14">
        <f>(305/1185)*ELEC!Q11</f>
        <v>1257.5780590713705</v>
      </c>
      <c r="BF13" s="14"/>
      <c r="BG13" s="14" t="e">
        <f>#REF!-BE13</f>
        <v>#REF!</v>
      </c>
      <c r="BH13" s="11"/>
    </row>
    <row r="14" spans="1:61">
      <c r="A14" s="479">
        <f>ELEC!C11</f>
        <v>43839</v>
      </c>
      <c r="B14">
        <f>'B5'!B13</f>
        <v>179</v>
      </c>
      <c r="C14" s="207">
        <f t="shared" si="18"/>
        <v>3851.3870967741937</v>
      </c>
      <c r="D14">
        <f t="shared" si="19"/>
        <v>179</v>
      </c>
      <c r="E14" s="207">
        <f t="shared" si="18"/>
        <v>3851.3870967741937</v>
      </c>
      <c r="F14">
        <f t="shared" si="20"/>
        <v>179</v>
      </c>
      <c r="G14" s="207">
        <f t="shared" si="1"/>
        <v>3851.3870967741937</v>
      </c>
      <c r="H14" s="207">
        <f t="shared" si="21"/>
        <v>179</v>
      </c>
      <c r="I14" s="207">
        <f t="shared" si="2"/>
        <v>3851.3870967741937</v>
      </c>
      <c r="J14" s="207">
        <f t="shared" si="22"/>
        <v>179</v>
      </c>
      <c r="K14" s="207">
        <f t="shared" si="3"/>
        <v>3851.3870967741937</v>
      </c>
      <c r="L14" s="207">
        <f t="shared" si="23"/>
        <v>179</v>
      </c>
      <c r="M14" s="207">
        <f t="shared" si="4"/>
        <v>3851.3870967741937</v>
      </c>
      <c r="N14" s="207">
        <f t="shared" si="24"/>
        <v>179</v>
      </c>
      <c r="O14" s="207">
        <f t="shared" si="5"/>
        <v>3851.3870967741937</v>
      </c>
      <c r="P14" s="207">
        <f t="shared" si="25"/>
        <v>179</v>
      </c>
      <c r="Q14" s="207">
        <f t="shared" si="6"/>
        <v>3851.3870967741937</v>
      </c>
      <c r="R14" s="207">
        <f t="shared" si="26"/>
        <v>179</v>
      </c>
      <c r="S14" s="207">
        <f t="shared" si="7"/>
        <v>3851.3870967741937</v>
      </c>
      <c r="T14" s="207">
        <f t="shared" si="27"/>
        <v>179</v>
      </c>
      <c r="U14" s="207">
        <f t="shared" si="8"/>
        <v>3851.3870967741937</v>
      </c>
      <c r="V14" s="207">
        <f t="shared" si="28"/>
        <v>179</v>
      </c>
      <c r="W14" s="207">
        <f t="shared" si="9"/>
        <v>3851.3870967741937</v>
      </c>
      <c r="X14" s="35">
        <f t="shared" si="10"/>
        <v>0.57741935483870976</v>
      </c>
      <c r="Y14" s="36">
        <f t="shared" si="29"/>
        <v>42365.258064516136</v>
      </c>
      <c r="Z14" s="207">
        <f>'B5'!C13</f>
        <v>162</v>
      </c>
      <c r="AA14" s="207">
        <f t="shared" si="30"/>
        <v>1620</v>
      </c>
      <c r="AB14" s="207">
        <f t="shared" si="31"/>
        <v>162</v>
      </c>
      <c r="AC14" s="207">
        <f t="shared" si="30"/>
        <v>1620</v>
      </c>
      <c r="AD14" s="207">
        <f t="shared" si="32"/>
        <v>162</v>
      </c>
      <c r="AE14" s="207">
        <f t="shared" si="11"/>
        <v>1620</v>
      </c>
      <c r="AF14" s="207">
        <f t="shared" si="33"/>
        <v>162</v>
      </c>
      <c r="AG14" s="207">
        <f t="shared" si="12"/>
        <v>1620</v>
      </c>
      <c r="AH14" s="207">
        <f t="shared" si="34"/>
        <v>162</v>
      </c>
      <c r="AI14" s="207">
        <f t="shared" si="13"/>
        <v>1620</v>
      </c>
      <c r="AJ14" s="207">
        <f t="shared" si="35"/>
        <v>162</v>
      </c>
      <c r="AK14" s="207">
        <f t="shared" si="14"/>
        <v>1620</v>
      </c>
      <c r="AL14" s="207">
        <f t="shared" si="36"/>
        <v>162</v>
      </c>
      <c r="AM14" s="207">
        <f t="shared" si="15"/>
        <v>1620</v>
      </c>
      <c r="AN14" s="35">
        <f t="shared" si="16"/>
        <v>0.57857142857142863</v>
      </c>
      <c r="AO14" s="36">
        <f t="shared" si="17"/>
        <v>11340</v>
      </c>
      <c r="AQ14" s="227">
        <f t="shared" si="37"/>
        <v>0.57766223582355747</v>
      </c>
      <c r="AR14" s="38">
        <f t="shared" si="43"/>
        <v>53705.258064516136</v>
      </c>
      <c r="AS14" s="201">
        <f t="shared" si="38"/>
        <v>-4135.0645161290231</v>
      </c>
      <c r="AT14" s="278">
        <v>15792</v>
      </c>
      <c r="AU14" s="515">
        <v>0.57650000000000001</v>
      </c>
      <c r="AV14" s="569">
        <f t="shared" si="41"/>
        <v>0.57650000000000001</v>
      </c>
      <c r="AW14" s="302">
        <f>-SUM('B5'!AI13)</f>
        <v>-853</v>
      </c>
      <c r="AX14" s="302">
        <f t="shared" si="39"/>
        <v>-3282.0645161290231</v>
      </c>
      <c r="AY14" s="37">
        <f t="shared" si="40"/>
        <v>-4135.0645161290231</v>
      </c>
      <c r="AZ14" s="101">
        <f>ELEC!A11</f>
        <v>0.2087</v>
      </c>
      <c r="BA14" s="119">
        <f>'General information '!D14</f>
        <v>12.5</v>
      </c>
      <c r="BB14" s="208">
        <f>SUM('General information '!E14)</f>
        <v>0.6</v>
      </c>
      <c r="BC14" s="3">
        <f t="shared" si="42"/>
        <v>1</v>
      </c>
      <c r="BD14" s="103">
        <v>19222</v>
      </c>
      <c r="BE14" s="14">
        <f>(305/1185)*ELEC!Q12</f>
        <v>621.3248945149403</v>
      </c>
      <c r="BF14" s="14"/>
      <c r="BG14" s="14" t="e">
        <f>#REF!-BE14</f>
        <v>#REF!</v>
      </c>
      <c r="BH14" s="11"/>
    </row>
    <row r="15" spans="1:61" ht="13.5" customHeight="1">
      <c r="A15" s="479">
        <f>ELEC!C12</f>
        <v>43840</v>
      </c>
      <c r="B15">
        <f>'B5'!B14</f>
        <v>168</v>
      </c>
      <c r="C15" s="207">
        <f t="shared" si="18"/>
        <v>3614.7096774193546</v>
      </c>
      <c r="D15">
        <f t="shared" si="19"/>
        <v>168</v>
      </c>
      <c r="E15" s="207">
        <f t="shared" si="18"/>
        <v>3614.7096774193546</v>
      </c>
      <c r="F15">
        <f t="shared" si="20"/>
        <v>168</v>
      </c>
      <c r="G15" s="207">
        <f t="shared" si="1"/>
        <v>3614.7096774193546</v>
      </c>
      <c r="H15" s="207">
        <f t="shared" si="21"/>
        <v>168</v>
      </c>
      <c r="I15" s="207">
        <f t="shared" si="2"/>
        <v>3614.7096774193546</v>
      </c>
      <c r="J15" s="207">
        <f t="shared" si="22"/>
        <v>168</v>
      </c>
      <c r="K15" s="207">
        <f t="shared" si="3"/>
        <v>3614.7096774193546</v>
      </c>
      <c r="L15" s="207">
        <f t="shared" si="23"/>
        <v>168</v>
      </c>
      <c r="M15" s="207">
        <f t="shared" si="4"/>
        <v>3614.7096774193546</v>
      </c>
      <c r="N15" s="207">
        <f t="shared" si="24"/>
        <v>168</v>
      </c>
      <c r="O15" s="207">
        <f t="shared" si="5"/>
        <v>3614.7096774193546</v>
      </c>
      <c r="P15" s="207">
        <f t="shared" si="25"/>
        <v>168</v>
      </c>
      <c r="Q15" s="207">
        <f t="shared" si="6"/>
        <v>3614.7096774193546</v>
      </c>
      <c r="R15" s="207">
        <f t="shared" si="26"/>
        <v>168</v>
      </c>
      <c r="S15" s="207">
        <f t="shared" si="7"/>
        <v>3614.7096774193546</v>
      </c>
      <c r="T15" s="207">
        <f t="shared" si="27"/>
        <v>168</v>
      </c>
      <c r="U15" s="207">
        <f t="shared" si="8"/>
        <v>3614.7096774193546</v>
      </c>
      <c r="V15" s="207">
        <f t="shared" si="28"/>
        <v>168</v>
      </c>
      <c r="W15" s="207">
        <f t="shared" si="9"/>
        <v>3614.7096774193546</v>
      </c>
      <c r="X15" s="35">
        <f t="shared" si="10"/>
        <v>0.54193548387096779</v>
      </c>
      <c r="Y15" s="36">
        <f t="shared" si="29"/>
        <v>39761.806451612909</v>
      </c>
      <c r="Z15" s="207">
        <f>'B5'!C14</f>
        <v>174</v>
      </c>
      <c r="AA15" s="207">
        <f t="shared" si="30"/>
        <v>1740</v>
      </c>
      <c r="AB15" s="207">
        <f t="shared" si="31"/>
        <v>174</v>
      </c>
      <c r="AC15" s="207">
        <f t="shared" si="30"/>
        <v>1740</v>
      </c>
      <c r="AD15" s="207">
        <f t="shared" si="32"/>
        <v>174</v>
      </c>
      <c r="AE15" s="207">
        <f t="shared" si="11"/>
        <v>1740</v>
      </c>
      <c r="AF15" s="207">
        <f t="shared" si="33"/>
        <v>174</v>
      </c>
      <c r="AG15" s="207">
        <f t="shared" si="12"/>
        <v>1740</v>
      </c>
      <c r="AH15" s="207">
        <f t="shared" si="34"/>
        <v>174</v>
      </c>
      <c r="AI15" s="207">
        <f t="shared" si="13"/>
        <v>1740</v>
      </c>
      <c r="AJ15" s="207">
        <f t="shared" si="35"/>
        <v>174</v>
      </c>
      <c r="AK15" s="207">
        <f t="shared" si="14"/>
        <v>1740</v>
      </c>
      <c r="AL15" s="207">
        <f t="shared" si="36"/>
        <v>174</v>
      </c>
      <c r="AM15" s="207">
        <f t="shared" si="15"/>
        <v>1740</v>
      </c>
      <c r="AN15" s="35">
        <f t="shared" si="16"/>
        <v>0.62142857142857144</v>
      </c>
      <c r="AO15" s="36">
        <f t="shared" si="17"/>
        <v>12180</v>
      </c>
      <c r="AQ15" s="227">
        <f t="shared" si="37"/>
        <v>0.55869427182545883</v>
      </c>
      <c r="AR15" s="38">
        <f t="shared" si="43"/>
        <v>51941.806451612909</v>
      </c>
      <c r="AS15" s="201">
        <f>SUM(AR15-AR14-AT15)</f>
        <v>-1763.4516129032272</v>
      </c>
      <c r="AT15" s="278"/>
      <c r="AU15" s="471"/>
      <c r="AV15" s="569">
        <f>IF(AT15&gt;0,AU15,AV14)</f>
        <v>0.57650000000000001</v>
      </c>
      <c r="AW15" s="302">
        <f>-SUM('B5'!AI14)</f>
        <v>-1461.7999999999884</v>
      </c>
      <c r="AX15" s="302">
        <f t="shared" si="39"/>
        <v>-301.65161290323886</v>
      </c>
      <c r="AY15" s="37">
        <f t="shared" si="40"/>
        <v>-1763.4516129032272</v>
      </c>
      <c r="AZ15" s="101">
        <f>ELEC!A12</f>
        <v>0.2</v>
      </c>
      <c r="BA15" s="119">
        <f>'General information '!D15</f>
        <v>14.5</v>
      </c>
      <c r="BB15" s="208">
        <f>SUM('General information '!E15)</f>
        <v>0.5</v>
      </c>
      <c r="BC15" s="3">
        <f t="shared" si="42"/>
        <v>0</v>
      </c>
      <c r="BD15" s="103">
        <v>19222</v>
      </c>
      <c r="BE15" s="14">
        <f>(305/1185)*ELEC!Q13</f>
        <v>422.88185654009192</v>
      </c>
      <c r="BF15" s="14"/>
      <c r="BG15" s="14" t="e">
        <f>#REF!-BE15</f>
        <v>#REF!</v>
      </c>
      <c r="BH15" s="11"/>
    </row>
    <row r="16" spans="1:61">
      <c r="A16" s="479">
        <f>ELEC!C13</f>
        <v>43841</v>
      </c>
      <c r="B16">
        <f>'B5'!B15</f>
        <v>162</v>
      </c>
      <c r="C16" s="207">
        <f t="shared" si="18"/>
        <v>3485.6129032258063</v>
      </c>
      <c r="D16">
        <f t="shared" si="19"/>
        <v>162</v>
      </c>
      <c r="E16" s="207">
        <f t="shared" si="18"/>
        <v>3485.6129032258063</v>
      </c>
      <c r="F16">
        <f t="shared" si="20"/>
        <v>162</v>
      </c>
      <c r="G16" s="207">
        <f t="shared" si="1"/>
        <v>3485.6129032258063</v>
      </c>
      <c r="H16" s="207">
        <f t="shared" si="21"/>
        <v>162</v>
      </c>
      <c r="I16" s="207">
        <f t="shared" si="2"/>
        <v>3485.6129032258063</v>
      </c>
      <c r="J16" s="207">
        <f t="shared" si="22"/>
        <v>162</v>
      </c>
      <c r="K16" s="207">
        <f t="shared" si="3"/>
        <v>3485.6129032258063</v>
      </c>
      <c r="L16" s="207">
        <f t="shared" si="23"/>
        <v>162</v>
      </c>
      <c r="M16" s="207">
        <f t="shared" si="4"/>
        <v>3485.6129032258063</v>
      </c>
      <c r="N16" s="207">
        <f t="shared" si="24"/>
        <v>162</v>
      </c>
      <c r="O16" s="207">
        <f t="shared" si="5"/>
        <v>3485.6129032258063</v>
      </c>
      <c r="P16" s="207">
        <f t="shared" si="25"/>
        <v>162</v>
      </c>
      <c r="Q16" s="207">
        <f t="shared" si="6"/>
        <v>3485.6129032258063</v>
      </c>
      <c r="R16" s="207">
        <f t="shared" si="26"/>
        <v>162</v>
      </c>
      <c r="S16" s="207">
        <f t="shared" si="7"/>
        <v>3485.6129032258063</v>
      </c>
      <c r="T16" s="207">
        <f t="shared" si="27"/>
        <v>162</v>
      </c>
      <c r="U16" s="207">
        <f t="shared" si="8"/>
        <v>3485.6129032258063</v>
      </c>
      <c r="V16" s="207">
        <f t="shared" si="28"/>
        <v>162</v>
      </c>
      <c r="W16" s="207">
        <f t="shared" si="9"/>
        <v>3485.6129032258063</v>
      </c>
      <c r="X16" s="35">
        <f t="shared" si="10"/>
        <v>0.52258064516129021</v>
      </c>
      <c r="Y16" s="36">
        <f t="shared" si="29"/>
        <v>38341.741935483864</v>
      </c>
      <c r="Z16" s="207">
        <f>'B5'!C15</f>
        <v>168</v>
      </c>
      <c r="AA16" s="207">
        <f t="shared" si="30"/>
        <v>1680</v>
      </c>
      <c r="AB16" s="207">
        <f t="shared" si="31"/>
        <v>168</v>
      </c>
      <c r="AC16" s="207">
        <f t="shared" si="30"/>
        <v>1680</v>
      </c>
      <c r="AD16" s="207">
        <f t="shared" si="32"/>
        <v>168</v>
      </c>
      <c r="AE16" s="207">
        <f t="shared" si="11"/>
        <v>1680</v>
      </c>
      <c r="AF16" s="207">
        <f t="shared" si="33"/>
        <v>168</v>
      </c>
      <c r="AG16" s="207">
        <f t="shared" si="12"/>
        <v>1680</v>
      </c>
      <c r="AH16" s="207">
        <f t="shared" si="34"/>
        <v>168</v>
      </c>
      <c r="AI16" s="207">
        <f t="shared" si="13"/>
        <v>1680</v>
      </c>
      <c r="AJ16" s="207">
        <f t="shared" si="35"/>
        <v>168</v>
      </c>
      <c r="AK16" s="207">
        <f t="shared" si="14"/>
        <v>1680</v>
      </c>
      <c r="AL16" s="207">
        <f t="shared" si="36"/>
        <v>168</v>
      </c>
      <c r="AM16" s="207">
        <f t="shared" si="15"/>
        <v>1680</v>
      </c>
      <c r="AN16" s="35">
        <f t="shared" si="16"/>
        <v>0.6</v>
      </c>
      <c r="AO16" s="36">
        <f t="shared" si="17"/>
        <v>11760</v>
      </c>
      <c r="AQ16" s="227">
        <f t="shared" si="37"/>
        <v>0.53890224734305547</v>
      </c>
      <c r="AR16" s="38">
        <f t="shared" si="43"/>
        <v>50101.741935483864</v>
      </c>
      <c r="AS16" s="201">
        <f>SUM(AR16-AR15-AT16)</f>
        <v>-1840.0645161290449</v>
      </c>
      <c r="AT16" s="278"/>
      <c r="AU16" s="471"/>
      <c r="AV16" s="569">
        <f>IF(AT16&gt;0,AU16,AV15)</f>
        <v>0.57650000000000001</v>
      </c>
      <c r="AW16" s="302">
        <f>-SUM('B5'!AI15)</f>
        <v>-728</v>
      </c>
      <c r="AX16" s="302">
        <f>-SUM(AW16-AS16)</f>
        <v>-1112.0645161290449</v>
      </c>
      <c r="AY16" s="37">
        <f t="shared" si="40"/>
        <v>-1840.0645161290449</v>
      </c>
      <c r="AZ16" s="101">
        <f>ELEC!A13</f>
        <v>0.1696</v>
      </c>
      <c r="BA16" s="119">
        <f>'General information '!D16</f>
        <v>15</v>
      </c>
      <c r="BB16" s="208">
        <f>SUM('General information '!E16)</f>
        <v>0.5</v>
      </c>
      <c r="BC16" s="3">
        <f t="shared" si="42"/>
        <v>0</v>
      </c>
      <c r="BD16" s="103">
        <v>19222</v>
      </c>
      <c r="BE16" s="14">
        <f>(305/1185)*ELEC!Q14</f>
        <v>544.88185654013307</v>
      </c>
      <c r="BF16" s="14"/>
      <c r="BG16" s="14" t="e">
        <f>#REF!-BE16</f>
        <v>#REF!</v>
      </c>
      <c r="BH16" s="11"/>
    </row>
    <row r="17" spans="1:61">
      <c r="A17" s="479">
        <f>ELEC!C14</f>
        <v>43842</v>
      </c>
      <c r="B17">
        <f>'B5'!B16</f>
        <v>158</v>
      </c>
      <c r="C17" s="207">
        <f t="shared" si="18"/>
        <v>3399.5483870967741</v>
      </c>
      <c r="D17">
        <f t="shared" si="19"/>
        <v>158</v>
      </c>
      <c r="E17" s="207">
        <f t="shared" si="18"/>
        <v>3399.5483870967741</v>
      </c>
      <c r="F17">
        <f t="shared" si="20"/>
        <v>158</v>
      </c>
      <c r="G17" s="207">
        <f t="shared" si="1"/>
        <v>3399.5483870967741</v>
      </c>
      <c r="H17" s="207">
        <f t="shared" si="21"/>
        <v>158</v>
      </c>
      <c r="I17" s="207">
        <f t="shared" si="2"/>
        <v>3399.5483870967741</v>
      </c>
      <c r="J17" s="207">
        <f t="shared" si="22"/>
        <v>158</v>
      </c>
      <c r="K17" s="207">
        <f t="shared" si="3"/>
        <v>3399.5483870967741</v>
      </c>
      <c r="L17" s="207">
        <f t="shared" si="23"/>
        <v>158</v>
      </c>
      <c r="M17" s="207">
        <f t="shared" si="4"/>
        <v>3399.5483870967741</v>
      </c>
      <c r="N17" s="207">
        <f t="shared" si="24"/>
        <v>158</v>
      </c>
      <c r="O17" s="207">
        <f t="shared" si="5"/>
        <v>3399.5483870967741</v>
      </c>
      <c r="P17" s="207">
        <f t="shared" si="25"/>
        <v>158</v>
      </c>
      <c r="Q17" s="207">
        <f t="shared" si="6"/>
        <v>3399.5483870967741</v>
      </c>
      <c r="R17" s="207">
        <f t="shared" si="26"/>
        <v>158</v>
      </c>
      <c r="S17" s="207">
        <f t="shared" si="7"/>
        <v>3399.5483870967741</v>
      </c>
      <c r="T17" s="207">
        <f t="shared" si="27"/>
        <v>158</v>
      </c>
      <c r="U17" s="207">
        <f t="shared" si="8"/>
        <v>3399.5483870967741</v>
      </c>
      <c r="V17" s="207">
        <f t="shared" si="28"/>
        <v>158</v>
      </c>
      <c r="W17" s="207">
        <f t="shared" si="9"/>
        <v>3399.5483870967741</v>
      </c>
      <c r="X17" s="35">
        <f t="shared" si="10"/>
        <v>0.50967741935483857</v>
      </c>
      <c r="Y17" s="36">
        <f t="shared" si="29"/>
        <v>37395.032258064508</v>
      </c>
      <c r="Z17" s="207">
        <f>'B5'!C16</f>
        <v>163</v>
      </c>
      <c r="AA17" s="207">
        <f t="shared" si="30"/>
        <v>1630</v>
      </c>
      <c r="AB17" s="207">
        <f t="shared" si="31"/>
        <v>163</v>
      </c>
      <c r="AC17" s="207">
        <f t="shared" si="30"/>
        <v>1630</v>
      </c>
      <c r="AD17" s="207">
        <f t="shared" si="32"/>
        <v>163</v>
      </c>
      <c r="AE17" s="207">
        <f t="shared" si="11"/>
        <v>1630</v>
      </c>
      <c r="AF17" s="207">
        <f t="shared" si="33"/>
        <v>163</v>
      </c>
      <c r="AG17" s="207">
        <f t="shared" si="12"/>
        <v>1630</v>
      </c>
      <c r="AH17" s="207">
        <f t="shared" si="34"/>
        <v>163</v>
      </c>
      <c r="AI17" s="207">
        <f t="shared" si="13"/>
        <v>1630</v>
      </c>
      <c r="AJ17" s="207">
        <f t="shared" si="35"/>
        <v>163</v>
      </c>
      <c r="AK17" s="207">
        <f t="shared" si="14"/>
        <v>1630</v>
      </c>
      <c r="AL17" s="207">
        <f t="shared" si="36"/>
        <v>163</v>
      </c>
      <c r="AM17" s="207">
        <f t="shared" si="15"/>
        <v>1630</v>
      </c>
      <c r="AN17" s="35">
        <f t="shared" si="16"/>
        <v>0.58214285714285718</v>
      </c>
      <c r="AO17" s="36">
        <f>SUM(AA17+AC17+AE17+AG17+AI17+AK17+AM17)</f>
        <v>11410</v>
      </c>
      <c r="AQ17" s="227">
        <f t="shared" si="37"/>
        <v>0.52495463330175873</v>
      </c>
      <c r="AR17" s="38">
        <f t="shared" si="43"/>
        <v>48805.032258064508</v>
      </c>
      <c r="AS17" s="201">
        <f t="shared" si="38"/>
        <v>-1296.709677419356</v>
      </c>
      <c r="AT17" s="376"/>
      <c r="AU17" s="515"/>
      <c r="AV17" s="569">
        <f t="shared" si="41"/>
        <v>0.57650000000000001</v>
      </c>
      <c r="AW17" s="302">
        <f>-SUM('B5'!AI16)</f>
        <v>-543</v>
      </c>
      <c r="AX17" s="302">
        <f t="shared" si="39"/>
        <v>-753.70967741935601</v>
      </c>
      <c r="AY17" s="37">
        <f t="shared" si="40"/>
        <v>-1296.709677419356</v>
      </c>
      <c r="AZ17" s="101">
        <f>ELEC!A14</f>
        <v>0.1739</v>
      </c>
      <c r="BA17" s="119">
        <f>'General information '!D17</f>
        <v>14</v>
      </c>
      <c r="BB17" s="208">
        <f>SUM('General information '!E17)</f>
        <v>0.55000000000000004</v>
      </c>
      <c r="BC17" s="3">
        <f t="shared" si="42"/>
        <v>0</v>
      </c>
      <c r="BD17" s="103">
        <v>19222</v>
      </c>
      <c r="BE17" s="14">
        <f>(305/1185)*ELEC!Q15</f>
        <v>594.81434599148258</v>
      </c>
      <c r="BF17" s="14"/>
      <c r="BG17" s="14" t="e">
        <f>#REF!-BE17</f>
        <v>#REF!</v>
      </c>
      <c r="BH17" s="11"/>
    </row>
    <row r="18" spans="1:61">
      <c r="A18" s="479">
        <f>ELEC!C15</f>
        <v>43843</v>
      </c>
      <c r="B18">
        <f>'B5'!B17</f>
        <v>152</v>
      </c>
      <c r="C18" s="207">
        <f t="shared" si="18"/>
        <v>3270.4516129032259</v>
      </c>
      <c r="D18">
        <f t="shared" si="19"/>
        <v>152</v>
      </c>
      <c r="E18" s="207">
        <f t="shared" si="18"/>
        <v>3270.4516129032259</v>
      </c>
      <c r="F18">
        <f t="shared" si="20"/>
        <v>152</v>
      </c>
      <c r="G18" s="207">
        <f t="shared" si="1"/>
        <v>3270.4516129032259</v>
      </c>
      <c r="H18" s="207">
        <f t="shared" si="21"/>
        <v>152</v>
      </c>
      <c r="I18" s="207">
        <f t="shared" si="2"/>
        <v>3270.4516129032259</v>
      </c>
      <c r="J18" s="207">
        <f t="shared" si="22"/>
        <v>152</v>
      </c>
      <c r="K18" s="207">
        <f t="shared" si="3"/>
        <v>3270.4516129032259</v>
      </c>
      <c r="L18" s="207">
        <f t="shared" si="23"/>
        <v>152</v>
      </c>
      <c r="M18" s="207">
        <f t="shared" si="4"/>
        <v>3270.4516129032259</v>
      </c>
      <c r="N18" s="207">
        <f t="shared" si="24"/>
        <v>152</v>
      </c>
      <c r="O18" s="207">
        <f t="shared" si="5"/>
        <v>3270.4516129032259</v>
      </c>
      <c r="P18" s="207">
        <f t="shared" si="25"/>
        <v>152</v>
      </c>
      <c r="Q18" s="207">
        <f t="shared" si="6"/>
        <v>3270.4516129032259</v>
      </c>
      <c r="R18" s="207">
        <f t="shared" si="26"/>
        <v>152</v>
      </c>
      <c r="S18" s="207">
        <f t="shared" si="7"/>
        <v>3270.4516129032259</v>
      </c>
      <c r="T18" s="207">
        <f t="shared" si="27"/>
        <v>152</v>
      </c>
      <c r="U18" s="207">
        <f t="shared" si="8"/>
        <v>3270.4516129032259</v>
      </c>
      <c r="V18" s="207">
        <f t="shared" si="28"/>
        <v>152</v>
      </c>
      <c r="W18" s="207">
        <f t="shared" si="9"/>
        <v>3270.4516129032259</v>
      </c>
      <c r="X18" s="35">
        <f t="shared" si="10"/>
        <v>0.49032258064516138</v>
      </c>
      <c r="Y18" s="36">
        <f t="shared" si="29"/>
        <v>35974.967741935492</v>
      </c>
      <c r="Z18" s="207">
        <f>'B5'!C17</f>
        <v>159</v>
      </c>
      <c r="AA18" s="207">
        <f t="shared" si="30"/>
        <v>1590</v>
      </c>
      <c r="AB18" s="207">
        <f t="shared" si="31"/>
        <v>159</v>
      </c>
      <c r="AC18" s="207">
        <f t="shared" si="30"/>
        <v>1590</v>
      </c>
      <c r="AD18" s="207">
        <f t="shared" si="32"/>
        <v>159</v>
      </c>
      <c r="AE18" s="207">
        <f t="shared" si="11"/>
        <v>1590</v>
      </c>
      <c r="AF18" s="207">
        <f t="shared" si="33"/>
        <v>159</v>
      </c>
      <c r="AG18" s="207">
        <f t="shared" si="12"/>
        <v>1590</v>
      </c>
      <c r="AH18" s="207">
        <f t="shared" si="34"/>
        <v>159</v>
      </c>
      <c r="AI18" s="207">
        <f t="shared" si="13"/>
        <v>1590</v>
      </c>
      <c r="AJ18" s="207">
        <f t="shared" si="35"/>
        <v>159</v>
      </c>
      <c r="AK18" s="207">
        <f t="shared" si="14"/>
        <v>1590</v>
      </c>
      <c r="AL18" s="207">
        <f t="shared" si="36"/>
        <v>159</v>
      </c>
      <c r="AM18" s="207">
        <f t="shared" si="15"/>
        <v>1590</v>
      </c>
      <c r="AN18" s="35">
        <f t="shared" si="16"/>
        <v>0.56785714285714284</v>
      </c>
      <c r="AO18" s="36">
        <f t="shared" si="17"/>
        <v>11130</v>
      </c>
      <c r="AQ18" s="227">
        <f t="shared" si="37"/>
        <v>0.50666847092541134</v>
      </c>
      <c r="AR18" s="38">
        <f t="shared" si="43"/>
        <v>47104.967741935492</v>
      </c>
      <c r="AS18" s="201">
        <f t="shared" si="38"/>
        <v>-1700.0645161290158</v>
      </c>
      <c r="AT18" s="278"/>
      <c r="AU18" s="471"/>
      <c r="AV18" s="569">
        <f>IF(AT18&gt;0,AU18,AV17)</f>
        <v>0.57650000000000001</v>
      </c>
      <c r="AW18" s="302">
        <f>-SUM('B5'!AI17)</f>
        <v>-749</v>
      </c>
      <c r="AX18" s="302">
        <f t="shared" si="39"/>
        <v>-951.06451612901583</v>
      </c>
      <c r="AY18" s="37">
        <f t="shared" si="40"/>
        <v>-1700.0645161290158</v>
      </c>
      <c r="AZ18" s="101">
        <f>ELEC!A15</f>
        <v>0.18260000000000001</v>
      </c>
      <c r="BA18" s="119">
        <f>'General information '!D18</f>
        <v>15</v>
      </c>
      <c r="BB18" s="417">
        <f>SUM('General information '!E18)</f>
        <v>0.55000000000000004</v>
      </c>
      <c r="BC18" s="3">
        <f t="shared" si="42"/>
        <v>0</v>
      </c>
      <c r="BD18" s="103">
        <v>19222</v>
      </c>
      <c r="BE18" s="14">
        <f>(305/1185)*ELEC!Q16</f>
        <v>721.70464135023349</v>
      </c>
      <c r="BF18" s="14"/>
      <c r="BG18" s="14" t="e">
        <f>#REF!-BE18</f>
        <v>#REF!</v>
      </c>
      <c r="BH18" s="11"/>
    </row>
    <row r="19" spans="1:61">
      <c r="A19" s="479">
        <f>ELEC!C16</f>
        <v>43844</v>
      </c>
      <c r="B19">
        <f>'B5'!B18</f>
        <v>208</v>
      </c>
      <c r="C19" s="207">
        <f t="shared" si="18"/>
        <v>4475.3548387096771</v>
      </c>
      <c r="D19">
        <f t="shared" si="19"/>
        <v>208</v>
      </c>
      <c r="E19" s="207">
        <f t="shared" si="18"/>
        <v>4475.3548387096771</v>
      </c>
      <c r="F19">
        <f t="shared" si="20"/>
        <v>208</v>
      </c>
      <c r="G19" s="207">
        <f t="shared" si="1"/>
        <v>4475.3548387096771</v>
      </c>
      <c r="H19" s="207">
        <f t="shared" si="21"/>
        <v>208</v>
      </c>
      <c r="I19" s="207">
        <f t="shared" si="2"/>
        <v>4475.3548387096771</v>
      </c>
      <c r="J19" s="207">
        <f t="shared" si="22"/>
        <v>208</v>
      </c>
      <c r="K19" s="207">
        <f t="shared" si="3"/>
        <v>4475.3548387096771</v>
      </c>
      <c r="L19" s="207">
        <f t="shared" si="23"/>
        <v>208</v>
      </c>
      <c r="M19" s="207">
        <f t="shared" si="4"/>
        <v>4475.3548387096771</v>
      </c>
      <c r="N19" s="207">
        <f t="shared" si="24"/>
        <v>208</v>
      </c>
      <c r="O19" s="207">
        <f t="shared" si="5"/>
        <v>4475.3548387096771</v>
      </c>
      <c r="P19" s="207">
        <f t="shared" si="25"/>
        <v>208</v>
      </c>
      <c r="Q19" s="207">
        <f t="shared" si="6"/>
        <v>4475.3548387096771</v>
      </c>
      <c r="R19" s="207">
        <f t="shared" si="26"/>
        <v>208</v>
      </c>
      <c r="S19" s="207">
        <f t="shared" si="7"/>
        <v>4475.3548387096771</v>
      </c>
      <c r="T19" s="207">
        <f t="shared" si="27"/>
        <v>208</v>
      </c>
      <c r="U19" s="207">
        <f t="shared" si="8"/>
        <v>4475.3548387096771</v>
      </c>
      <c r="V19" s="207">
        <f t="shared" si="28"/>
        <v>208</v>
      </c>
      <c r="W19" s="207">
        <f t="shared" si="9"/>
        <v>4475.3548387096771</v>
      </c>
      <c r="X19" s="35">
        <f t="shared" si="10"/>
        <v>0.6709677419354837</v>
      </c>
      <c r="Y19" s="36">
        <f t="shared" si="29"/>
        <v>49228.90322580644</v>
      </c>
      <c r="Z19" s="207">
        <f>'B5'!C18</f>
        <v>214</v>
      </c>
      <c r="AA19" s="207">
        <f t="shared" si="30"/>
        <v>2140</v>
      </c>
      <c r="AB19" s="207">
        <f t="shared" si="31"/>
        <v>214</v>
      </c>
      <c r="AC19" s="207">
        <f t="shared" si="30"/>
        <v>2140</v>
      </c>
      <c r="AD19" s="207">
        <f t="shared" si="32"/>
        <v>214</v>
      </c>
      <c r="AE19" s="207">
        <f t="shared" si="11"/>
        <v>2140</v>
      </c>
      <c r="AF19" s="207">
        <f t="shared" si="33"/>
        <v>214</v>
      </c>
      <c r="AG19" s="207">
        <f t="shared" si="12"/>
        <v>2140</v>
      </c>
      <c r="AH19" s="207">
        <f t="shared" si="34"/>
        <v>214</v>
      </c>
      <c r="AI19" s="207">
        <f t="shared" si="13"/>
        <v>2140</v>
      </c>
      <c r="AJ19" s="207">
        <f t="shared" si="35"/>
        <v>214</v>
      </c>
      <c r="AK19" s="207">
        <f t="shared" si="14"/>
        <v>2140</v>
      </c>
      <c r="AL19" s="207">
        <f t="shared" si="36"/>
        <v>214</v>
      </c>
      <c r="AM19" s="207">
        <f t="shared" si="15"/>
        <v>2140</v>
      </c>
      <c r="AN19" s="35">
        <f t="shared" si="16"/>
        <v>0.76428571428571423</v>
      </c>
      <c r="AO19" s="36">
        <f t="shared" si="17"/>
        <v>14980</v>
      </c>
      <c r="AQ19" s="227">
        <f t="shared" si="37"/>
        <v>0.69064110170814719</v>
      </c>
      <c r="AR19" s="38">
        <f t="shared" si="43"/>
        <v>64208.90322580644</v>
      </c>
      <c r="AS19" s="201">
        <f t="shared" si="38"/>
        <v>1179.9354838709478</v>
      </c>
      <c r="AT19" s="278">
        <v>15924</v>
      </c>
      <c r="AU19" s="515">
        <v>0.57650000000000001</v>
      </c>
      <c r="AV19" s="569">
        <f t="shared" si="41"/>
        <v>0.57650000000000001</v>
      </c>
      <c r="AW19" s="302">
        <f>-SUM('B5'!AI18)</f>
        <v>-886.59999999997672</v>
      </c>
      <c r="AX19" s="302">
        <f t="shared" si="39"/>
        <v>2066.5354838709245</v>
      </c>
      <c r="AY19" s="37">
        <f t="shared" si="40"/>
        <v>1179.9354838709478</v>
      </c>
      <c r="AZ19" s="101">
        <f>ELEC!A16</f>
        <v>0.2087</v>
      </c>
      <c r="BA19" s="119">
        <f>'General information '!D19</f>
        <v>14</v>
      </c>
      <c r="BB19" s="208">
        <f>SUM('General information '!E19)</f>
        <v>0.55000000000000004</v>
      </c>
      <c r="BC19" s="3">
        <f t="shared" si="42"/>
        <v>1</v>
      </c>
      <c r="BD19" s="103">
        <v>19222</v>
      </c>
      <c r="BE19" s="14">
        <f>(305/1185)*ELEC!Q17</f>
        <v>681.03797468370919</v>
      </c>
      <c r="BF19" s="14"/>
      <c r="BG19" s="14" t="e">
        <f>#REF!-BE19</f>
        <v>#REF!</v>
      </c>
      <c r="BH19" s="11"/>
    </row>
    <row r="20" spans="1:61">
      <c r="A20" s="479">
        <f>ELEC!C17</f>
        <v>43845</v>
      </c>
      <c r="B20">
        <f>'B5'!B19</f>
        <v>201</v>
      </c>
      <c r="C20" s="207">
        <f t="shared" si="18"/>
        <v>4324.7419354838712</v>
      </c>
      <c r="D20">
        <f t="shared" si="19"/>
        <v>201</v>
      </c>
      <c r="E20" s="207">
        <f t="shared" si="18"/>
        <v>4324.7419354838712</v>
      </c>
      <c r="F20">
        <f t="shared" si="20"/>
        <v>201</v>
      </c>
      <c r="G20" s="207">
        <f t="shared" si="1"/>
        <v>4324.7419354838712</v>
      </c>
      <c r="H20" s="207">
        <f t="shared" si="21"/>
        <v>201</v>
      </c>
      <c r="I20" s="207">
        <f t="shared" si="2"/>
        <v>4324.7419354838712</v>
      </c>
      <c r="J20" s="207">
        <f t="shared" si="22"/>
        <v>201</v>
      </c>
      <c r="K20" s="207">
        <f t="shared" si="3"/>
        <v>4324.7419354838712</v>
      </c>
      <c r="L20" s="207">
        <f t="shared" si="23"/>
        <v>201</v>
      </c>
      <c r="M20" s="207">
        <f t="shared" si="4"/>
        <v>4324.7419354838712</v>
      </c>
      <c r="N20" s="207">
        <f t="shared" si="24"/>
        <v>201</v>
      </c>
      <c r="O20" s="207">
        <f t="shared" si="5"/>
        <v>4324.7419354838712</v>
      </c>
      <c r="P20" s="207">
        <f t="shared" si="25"/>
        <v>201</v>
      </c>
      <c r="Q20" s="207">
        <f t="shared" si="6"/>
        <v>4324.7419354838712</v>
      </c>
      <c r="R20" s="207">
        <f t="shared" si="26"/>
        <v>201</v>
      </c>
      <c r="S20" s="207">
        <f t="shared" si="7"/>
        <v>4324.7419354838712</v>
      </c>
      <c r="T20" s="207">
        <f t="shared" si="27"/>
        <v>201</v>
      </c>
      <c r="U20" s="207">
        <f t="shared" si="8"/>
        <v>4324.7419354838712</v>
      </c>
      <c r="V20" s="207">
        <f t="shared" si="28"/>
        <v>201</v>
      </c>
      <c r="W20" s="207">
        <f t="shared" si="9"/>
        <v>4324.7419354838712</v>
      </c>
      <c r="X20" s="35">
        <f t="shared" si="10"/>
        <v>0.64838709677419359</v>
      </c>
      <c r="Y20" s="36">
        <f t="shared" si="29"/>
        <v>47572.161290322583</v>
      </c>
      <c r="Z20" s="207">
        <f>'B5'!C19</f>
        <v>207</v>
      </c>
      <c r="AA20" s="207">
        <f t="shared" si="30"/>
        <v>2070</v>
      </c>
      <c r="AB20" s="207">
        <f t="shared" si="31"/>
        <v>207</v>
      </c>
      <c r="AC20" s="207">
        <f t="shared" si="30"/>
        <v>2070</v>
      </c>
      <c r="AD20" s="207">
        <f t="shared" si="32"/>
        <v>207</v>
      </c>
      <c r="AE20" s="207">
        <f t="shared" si="11"/>
        <v>2070</v>
      </c>
      <c r="AF20" s="207">
        <f t="shared" si="33"/>
        <v>207</v>
      </c>
      <c r="AG20" s="207">
        <f t="shared" si="12"/>
        <v>2070</v>
      </c>
      <c r="AH20" s="207">
        <f t="shared" si="34"/>
        <v>207</v>
      </c>
      <c r="AI20" s="207">
        <f t="shared" si="13"/>
        <v>2070</v>
      </c>
      <c r="AJ20" s="207">
        <f t="shared" si="35"/>
        <v>207</v>
      </c>
      <c r="AK20" s="207">
        <f t="shared" si="14"/>
        <v>2070</v>
      </c>
      <c r="AL20" s="207">
        <f t="shared" si="36"/>
        <v>207</v>
      </c>
      <c r="AM20" s="207">
        <f t="shared" si="15"/>
        <v>2070</v>
      </c>
      <c r="AN20" s="35">
        <f t="shared" si="16"/>
        <v>0.73928571428571432</v>
      </c>
      <c r="AO20" s="36">
        <f t="shared" si="17"/>
        <v>14490</v>
      </c>
      <c r="AQ20" s="227">
        <f t="shared" si="37"/>
        <v>0.66755040647867681</v>
      </c>
      <c r="AR20" s="38">
        <f t="shared" si="43"/>
        <v>62062.161290322583</v>
      </c>
      <c r="AS20" s="201">
        <f t="shared" si="38"/>
        <v>-2146.7419354838567</v>
      </c>
      <c r="AT20" s="278"/>
      <c r="AU20" s="471"/>
      <c r="AV20" s="569">
        <f t="shared" si="41"/>
        <v>0.57650000000000001</v>
      </c>
      <c r="AW20" s="302">
        <f>-SUM('B5'!AI19)</f>
        <v>-762.60000000003492</v>
      </c>
      <c r="AX20" s="302">
        <f t="shared" si="39"/>
        <v>-1384.1419354838217</v>
      </c>
      <c r="AY20" s="37">
        <f t="shared" si="40"/>
        <v>-2146.7419354838567</v>
      </c>
      <c r="AZ20" s="101">
        <f>ELEC!A17</f>
        <v>0.2261</v>
      </c>
      <c r="BA20" s="119">
        <f>'General information '!D20</f>
        <v>15</v>
      </c>
      <c r="BB20" s="208">
        <f>SUM('General information '!E20)</f>
        <v>0.55000000000000004</v>
      </c>
      <c r="BC20" s="3">
        <f t="shared" si="42"/>
        <v>0</v>
      </c>
      <c r="BD20" s="103">
        <v>19222</v>
      </c>
      <c r="BE20" s="14">
        <f>(305/1185)*ELEC!Q18</f>
        <v>1153.0801687762591</v>
      </c>
      <c r="BF20" s="14"/>
      <c r="BG20" s="14" t="e">
        <f>#REF!-BE20</f>
        <v>#REF!</v>
      </c>
      <c r="BH20" s="11"/>
    </row>
    <row r="21" spans="1:61">
      <c r="A21" s="479">
        <f>ELEC!C18</f>
        <v>43846</v>
      </c>
      <c r="B21">
        <f>'B5'!B20</f>
        <v>223</v>
      </c>
      <c r="C21" s="207">
        <f t="shared" si="18"/>
        <v>4798.0967741935483</v>
      </c>
      <c r="D21">
        <f t="shared" si="19"/>
        <v>223</v>
      </c>
      <c r="E21" s="207">
        <f t="shared" si="18"/>
        <v>4798.0967741935483</v>
      </c>
      <c r="F21">
        <f t="shared" si="20"/>
        <v>223</v>
      </c>
      <c r="G21" s="207">
        <f t="shared" si="1"/>
        <v>4798.0967741935483</v>
      </c>
      <c r="H21" s="207">
        <f t="shared" si="21"/>
        <v>223</v>
      </c>
      <c r="I21" s="207">
        <f t="shared" si="2"/>
        <v>4798.0967741935483</v>
      </c>
      <c r="J21" s="207">
        <f t="shared" si="22"/>
        <v>223</v>
      </c>
      <c r="K21" s="207">
        <f t="shared" si="3"/>
        <v>4798.0967741935483</v>
      </c>
      <c r="L21" s="207">
        <f t="shared" si="23"/>
        <v>223</v>
      </c>
      <c r="M21" s="207">
        <f t="shared" si="4"/>
        <v>4798.0967741935483</v>
      </c>
      <c r="N21" s="207">
        <f t="shared" si="24"/>
        <v>223</v>
      </c>
      <c r="O21" s="207">
        <f t="shared" si="5"/>
        <v>4798.0967741935483</v>
      </c>
      <c r="P21" s="207">
        <f t="shared" si="25"/>
        <v>223</v>
      </c>
      <c r="Q21" s="207">
        <f t="shared" si="6"/>
        <v>4798.0967741935483</v>
      </c>
      <c r="R21" s="207">
        <f t="shared" si="26"/>
        <v>223</v>
      </c>
      <c r="S21" s="207">
        <f t="shared" si="7"/>
        <v>4798.0967741935483</v>
      </c>
      <c r="T21" s="207">
        <f t="shared" si="27"/>
        <v>223</v>
      </c>
      <c r="U21" s="207">
        <f t="shared" si="8"/>
        <v>4798.0967741935483</v>
      </c>
      <c r="V21" s="207">
        <f t="shared" si="28"/>
        <v>223</v>
      </c>
      <c r="W21" s="207">
        <f t="shared" si="9"/>
        <v>4798.0967741935483</v>
      </c>
      <c r="X21" s="35">
        <f t="shared" si="10"/>
        <v>0.71935483870967731</v>
      </c>
      <c r="Y21" s="36">
        <f t="shared" si="29"/>
        <v>52779.064516129023</v>
      </c>
      <c r="Z21" s="207">
        <f>'B5'!C20</f>
        <v>229</v>
      </c>
      <c r="AA21" s="207">
        <f t="shared" si="30"/>
        <v>2290</v>
      </c>
      <c r="AB21" s="207">
        <f t="shared" si="31"/>
        <v>229</v>
      </c>
      <c r="AC21" s="207">
        <f t="shared" si="30"/>
        <v>2290</v>
      </c>
      <c r="AD21" s="207">
        <f t="shared" si="32"/>
        <v>229</v>
      </c>
      <c r="AE21" s="207">
        <f t="shared" si="11"/>
        <v>2290</v>
      </c>
      <c r="AF21" s="207">
        <f t="shared" si="33"/>
        <v>229</v>
      </c>
      <c r="AG21" s="207">
        <f t="shared" si="12"/>
        <v>2290</v>
      </c>
      <c r="AH21" s="207">
        <f t="shared" si="34"/>
        <v>229</v>
      </c>
      <c r="AI21" s="207">
        <f t="shared" si="13"/>
        <v>2290</v>
      </c>
      <c r="AJ21" s="207">
        <f t="shared" si="35"/>
        <v>229</v>
      </c>
      <c r="AK21" s="207">
        <f t="shared" si="14"/>
        <v>2290</v>
      </c>
      <c r="AL21" s="207">
        <f t="shared" si="36"/>
        <v>229</v>
      </c>
      <c r="AM21" s="207">
        <f t="shared" si="15"/>
        <v>2290</v>
      </c>
      <c r="AN21" s="35">
        <f t="shared" si="16"/>
        <v>0.81785714285714284</v>
      </c>
      <c r="AO21" s="36">
        <f t="shared" si="17"/>
        <v>16030</v>
      </c>
      <c r="AQ21" s="227">
        <f t="shared" si="37"/>
        <v>0.74012116291415542</v>
      </c>
      <c r="AR21" s="38">
        <f>SUM(AO21+Y21)</f>
        <v>68809.06451612903</v>
      </c>
      <c r="AS21" s="201">
        <f>SUM(AR21-AR20-AT21)</f>
        <v>-1707.0967741935528</v>
      </c>
      <c r="AT21" s="278">
        <v>8454</v>
      </c>
      <c r="AU21" s="471">
        <v>0.57999999999999996</v>
      </c>
      <c r="AV21" s="569">
        <f t="shared" si="41"/>
        <v>0.57999999999999996</v>
      </c>
      <c r="AW21" s="302">
        <f>-SUM('B5'!AI20)</f>
        <v>-484</v>
      </c>
      <c r="AX21" s="302">
        <f t="shared" si="39"/>
        <v>-1223.0967741935528</v>
      </c>
      <c r="AY21" s="37">
        <f t="shared" si="40"/>
        <v>-1707.0967741935528</v>
      </c>
      <c r="AZ21" s="101">
        <f>ELEC!A18</f>
        <v>0.2261</v>
      </c>
      <c r="BA21" s="119">
        <f>'General information '!D21</f>
        <v>16</v>
      </c>
      <c r="BB21" s="208">
        <f>SUM('General information '!E21)</f>
        <v>0.6</v>
      </c>
      <c r="BC21" s="3">
        <f t="shared" si="42"/>
        <v>1</v>
      </c>
      <c r="BD21" s="103">
        <v>19222</v>
      </c>
      <c r="BE21" s="14">
        <f>(305/1185)*ELEC!Q19</f>
        <v>518.37130801667547</v>
      </c>
      <c r="BF21" s="14"/>
      <c r="BG21" s="14" t="e">
        <f>#REF!-BE21</f>
        <v>#REF!</v>
      </c>
      <c r="BH21" s="11"/>
    </row>
    <row r="22" spans="1:61">
      <c r="A22" s="479">
        <f>ELEC!C19</f>
        <v>43847</v>
      </c>
      <c r="B22">
        <f>'B5'!B21</f>
        <v>219</v>
      </c>
      <c r="C22" s="207">
        <f t="shared" si="18"/>
        <v>4712.0322580645161</v>
      </c>
      <c r="D22">
        <f t="shared" si="19"/>
        <v>219</v>
      </c>
      <c r="E22" s="207">
        <f t="shared" si="18"/>
        <v>4712.0322580645161</v>
      </c>
      <c r="F22">
        <f t="shared" si="20"/>
        <v>219</v>
      </c>
      <c r="G22" s="207">
        <f t="shared" si="1"/>
        <v>4712.0322580645161</v>
      </c>
      <c r="H22" s="207">
        <f t="shared" si="21"/>
        <v>219</v>
      </c>
      <c r="I22" s="207">
        <f t="shared" si="2"/>
        <v>4712.0322580645161</v>
      </c>
      <c r="J22" s="207">
        <f t="shared" si="22"/>
        <v>219</v>
      </c>
      <c r="K22" s="207">
        <f t="shared" si="3"/>
        <v>4712.0322580645161</v>
      </c>
      <c r="L22" s="207">
        <f t="shared" si="23"/>
        <v>219</v>
      </c>
      <c r="M22" s="207">
        <f t="shared" si="4"/>
        <v>4712.0322580645161</v>
      </c>
      <c r="N22" s="207">
        <f t="shared" si="24"/>
        <v>219</v>
      </c>
      <c r="O22" s="207">
        <f t="shared" si="5"/>
        <v>4712.0322580645161</v>
      </c>
      <c r="P22" s="207">
        <f t="shared" si="25"/>
        <v>219</v>
      </c>
      <c r="Q22" s="207">
        <f t="shared" si="6"/>
        <v>4712.0322580645161</v>
      </c>
      <c r="R22" s="207">
        <f t="shared" si="26"/>
        <v>219</v>
      </c>
      <c r="S22" s="207">
        <f t="shared" si="7"/>
        <v>4712.0322580645161</v>
      </c>
      <c r="T22" s="207">
        <f t="shared" si="27"/>
        <v>219</v>
      </c>
      <c r="U22" s="207">
        <f t="shared" si="8"/>
        <v>4712.0322580645161</v>
      </c>
      <c r="V22" s="207">
        <f t="shared" si="28"/>
        <v>219</v>
      </c>
      <c r="W22" s="207">
        <f t="shared" si="9"/>
        <v>4712.0322580645161</v>
      </c>
      <c r="X22" s="35">
        <f t="shared" si="10"/>
        <v>0.70645161290322578</v>
      </c>
      <c r="Y22" s="36">
        <f t="shared" si="29"/>
        <v>51832.354838709674</v>
      </c>
      <c r="Z22" s="207">
        <f>'B5'!C21</f>
        <v>225</v>
      </c>
      <c r="AA22" s="207">
        <f t="shared" si="30"/>
        <v>2250</v>
      </c>
      <c r="AB22" s="207">
        <f t="shared" si="31"/>
        <v>225</v>
      </c>
      <c r="AC22" s="207">
        <f t="shared" si="30"/>
        <v>2250</v>
      </c>
      <c r="AD22" s="207">
        <f t="shared" si="32"/>
        <v>225</v>
      </c>
      <c r="AE22" s="207">
        <f t="shared" si="11"/>
        <v>2250</v>
      </c>
      <c r="AF22" s="207">
        <f t="shared" si="33"/>
        <v>225</v>
      </c>
      <c r="AG22" s="207">
        <f t="shared" si="12"/>
        <v>2250</v>
      </c>
      <c r="AH22" s="207">
        <f t="shared" si="34"/>
        <v>225</v>
      </c>
      <c r="AI22" s="207">
        <f t="shared" si="13"/>
        <v>2250</v>
      </c>
      <c r="AJ22" s="207">
        <f t="shared" si="35"/>
        <v>225</v>
      </c>
      <c r="AK22" s="207">
        <f t="shared" si="14"/>
        <v>2250</v>
      </c>
      <c r="AL22" s="207">
        <f t="shared" si="36"/>
        <v>225</v>
      </c>
      <c r="AM22" s="207">
        <f t="shared" si="15"/>
        <v>2250</v>
      </c>
      <c r="AN22" s="35">
        <f t="shared" si="16"/>
        <v>0.8035714285714286</v>
      </c>
      <c r="AO22" s="36">
        <f t="shared" si="17"/>
        <v>15750</v>
      </c>
      <c r="AQ22" s="227">
        <f t="shared" si="37"/>
        <v>0.72692647992588644</v>
      </c>
      <c r="AR22" s="38">
        <f t="shared" si="43"/>
        <v>67582.354838709667</v>
      </c>
      <c r="AS22" s="201">
        <f t="shared" si="38"/>
        <v>-1226.7096774193633</v>
      </c>
      <c r="AT22" s="278"/>
      <c r="AU22" s="471"/>
      <c r="AV22" s="569">
        <f t="shared" si="41"/>
        <v>0.57999999999999996</v>
      </c>
      <c r="AW22" s="302">
        <f>-SUM('B5'!AI21)</f>
        <v>-1027.0999999999767</v>
      </c>
      <c r="AX22" s="302">
        <f t="shared" si="39"/>
        <v>-199.60967741938657</v>
      </c>
      <c r="AY22" s="37">
        <f t="shared" si="40"/>
        <v>-1226.7096774193633</v>
      </c>
      <c r="AZ22" s="101">
        <f>ELEC!A19</f>
        <v>0.1739</v>
      </c>
      <c r="BA22" s="119">
        <f>'General information '!D22</f>
        <v>16.5</v>
      </c>
      <c r="BB22" s="208">
        <f>SUM('General information '!E22)</f>
        <v>0.56999999999999995</v>
      </c>
      <c r="BC22" s="3">
        <f t="shared" si="42"/>
        <v>0</v>
      </c>
      <c r="BD22" s="103">
        <v>19222</v>
      </c>
      <c r="BE22" s="14">
        <f>(305/1185)*ELEC!Q20</f>
        <v>768.29113924065621</v>
      </c>
      <c r="BF22" s="14"/>
      <c r="BG22" s="14" t="e">
        <f>#REF!-BE22</f>
        <v>#REF!</v>
      </c>
      <c r="BH22" s="11"/>
    </row>
    <row r="23" spans="1:61">
      <c r="A23" s="479">
        <f>ELEC!C20</f>
        <v>43848</v>
      </c>
      <c r="B23">
        <f>'B5'!B22</f>
        <v>211</v>
      </c>
      <c r="C23" s="207">
        <f t="shared" si="18"/>
        <v>4539.9032258064517</v>
      </c>
      <c r="D23">
        <f t="shared" si="19"/>
        <v>211</v>
      </c>
      <c r="E23" s="207">
        <f t="shared" si="18"/>
        <v>4539.9032258064517</v>
      </c>
      <c r="F23">
        <f t="shared" si="20"/>
        <v>211</v>
      </c>
      <c r="G23" s="207">
        <f t="shared" si="1"/>
        <v>4539.9032258064517</v>
      </c>
      <c r="H23" s="207">
        <f t="shared" si="21"/>
        <v>211</v>
      </c>
      <c r="I23" s="207">
        <f t="shared" si="2"/>
        <v>4539.9032258064517</v>
      </c>
      <c r="J23" s="207">
        <f t="shared" si="22"/>
        <v>211</v>
      </c>
      <c r="K23" s="207">
        <f t="shared" si="3"/>
        <v>4539.9032258064517</v>
      </c>
      <c r="L23" s="207">
        <f t="shared" si="23"/>
        <v>211</v>
      </c>
      <c r="M23" s="207">
        <f t="shared" si="4"/>
        <v>4539.9032258064517</v>
      </c>
      <c r="N23" s="207">
        <f t="shared" si="24"/>
        <v>211</v>
      </c>
      <c r="O23" s="207">
        <f t="shared" si="5"/>
        <v>4539.9032258064517</v>
      </c>
      <c r="P23" s="207">
        <f t="shared" si="25"/>
        <v>211</v>
      </c>
      <c r="Q23" s="207">
        <f t="shared" si="6"/>
        <v>4539.9032258064517</v>
      </c>
      <c r="R23" s="207">
        <f t="shared" si="26"/>
        <v>211</v>
      </c>
      <c r="S23" s="207">
        <f t="shared" si="7"/>
        <v>4539.9032258064517</v>
      </c>
      <c r="T23" s="207">
        <f t="shared" si="27"/>
        <v>211</v>
      </c>
      <c r="U23" s="207">
        <f t="shared" si="8"/>
        <v>4539.9032258064517</v>
      </c>
      <c r="V23" s="207">
        <f t="shared" si="28"/>
        <v>211</v>
      </c>
      <c r="W23" s="207">
        <f t="shared" si="9"/>
        <v>4539.9032258064517</v>
      </c>
      <c r="X23" s="35">
        <f t="shared" si="10"/>
        <v>0.68064516129032271</v>
      </c>
      <c r="Y23" s="36">
        <f t="shared" si="29"/>
        <v>49938.935483870977</v>
      </c>
      <c r="Z23" s="207">
        <f>'B5'!C22</f>
        <v>218</v>
      </c>
      <c r="AA23" s="207">
        <f t="shared" si="30"/>
        <v>2180</v>
      </c>
      <c r="AB23" s="207">
        <f t="shared" si="31"/>
        <v>218</v>
      </c>
      <c r="AC23" s="207">
        <f t="shared" si="30"/>
        <v>2180</v>
      </c>
      <c r="AD23" s="207">
        <f t="shared" si="32"/>
        <v>218</v>
      </c>
      <c r="AE23" s="207">
        <f t="shared" si="11"/>
        <v>2180</v>
      </c>
      <c r="AF23" s="207">
        <f t="shared" si="33"/>
        <v>218</v>
      </c>
      <c r="AG23" s="207">
        <f t="shared" si="12"/>
        <v>2180</v>
      </c>
      <c r="AH23" s="207">
        <f t="shared" si="34"/>
        <v>218</v>
      </c>
      <c r="AI23" s="207">
        <f t="shared" si="13"/>
        <v>2180</v>
      </c>
      <c r="AJ23" s="207">
        <f t="shared" si="35"/>
        <v>218</v>
      </c>
      <c r="AK23" s="207">
        <f t="shared" si="14"/>
        <v>2180</v>
      </c>
      <c r="AL23" s="207">
        <f t="shared" si="36"/>
        <v>218</v>
      </c>
      <c r="AM23" s="207">
        <f t="shared" si="15"/>
        <v>2180</v>
      </c>
      <c r="AN23" s="35">
        <f t="shared" si="16"/>
        <v>0.77857142857142858</v>
      </c>
      <c r="AO23" s="36">
        <f t="shared" si="17"/>
        <v>15260</v>
      </c>
      <c r="AQ23" s="227">
        <f t="shared" si="37"/>
        <v>0.70129004500237691</v>
      </c>
      <c r="AR23" s="38">
        <f t="shared" si="43"/>
        <v>65198.935483870977</v>
      </c>
      <c r="AS23" s="201">
        <f t="shared" si="38"/>
        <v>-2383.4193548386902</v>
      </c>
      <c r="AT23" s="278"/>
      <c r="AU23" s="471"/>
      <c r="AV23" s="569">
        <f t="shared" si="41"/>
        <v>0.57999999999999996</v>
      </c>
      <c r="AW23" s="302">
        <f>-SUM('B5'!AI22)</f>
        <v>-566</v>
      </c>
      <c r="AX23" s="302">
        <f t="shared" si="39"/>
        <v>-1817.4193548386902</v>
      </c>
      <c r="AY23" s="37">
        <f t="shared" si="40"/>
        <v>-2383.4193548386902</v>
      </c>
      <c r="AZ23" s="101">
        <f>ELEC!A20</f>
        <v>9.5699999999999993E-2</v>
      </c>
      <c r="BA23" s="119">
        <f>'General information '!D23</f>
        <v>13.5</v>
      </c>
      <c r="BB23" s="208">
        <f>SUM('General information '!E23)</f>
        <v>0.86</v>
      </c>
      <c r="BC23" s="3">
        <f t="shared" si="42"/>
        <v>0</v>
      </c>
      <c r="BD23" s="103">
        <v>19222</v>
      </c>
      <c r="BE23" s="14">
        <f>(305/1185)*ELEC!Q21</f>
        <v>422.36708860749758</v>
      </c>
      <c r="BF23" s="14"/>
      <c r="BG23" s="14" t="e">
        <f>#REF!-BE23</f>
        <v>#REF!</v>
      </c>
      <c r="BH23" s="11"/>
    </row>
    <row r="24" spans="1:61">
      <c r="A24" s="479">
        <f>ELEC!C21</f>
        <v>43849</v>
      </c>
      <c r="B24">
        <f>'B5'!B23</f>
        <v>208</v>
      </c>
      <c r="C24" s="207">
        <f t="shared" si="18"/>
        <v>4475.3548387096771</v>
      </c>
      <c r="D24">
        <f t="shared" si="19"/>
        <v>208</v>
      </c>
      <c r="E24" s="207">
        <f t="shared" si="18"/>
        <v>4475.3548387096771</v>
      </c>
      <c r="F24">
        <f t="shared" si="20"/>
        <v>208</v>
      </c>
      <c r="G24" s="207">
        <f t="shared" si="1"/>
        <v>4475.3548387096771</v>
      </c>
      <c r="H24" s="207">
        <f t="shared" si="21"/>
        <v>208</v>
      </c>
      <c r="I24" s="207">
        <f t="shared" si="2"/>
        <v>4475.3548387096771</v>
      </c>
      <c r="J24" s="207">
        <f t="shared" si="22"/>
        <v>208</v>
      </c>
      <c r="K24" s="207">
        <f t="shared" si="3"/>
        <v>4475.3548387096771</v>
      </c>
      <c r="L24" s="207">
        <f t="shared" si="23"/>
        <v>208</v>
      </c>
      <c r="M24" s="207">
        <f t="shared" si="4"/>
        <v>4475.3548387096771</v>
      </c>
      <c r="N24" s="207">
        <f t="shared" si="24"/>
        <v>208</v>
      </c>
      <c r="O24" s="207">
        <f t="shared" si="5"/>
        <v>4475.3548387096771</v>
      </c>
      <c r="P24" s="207">
        <f t="shared" si="25"/>
        <v>208</v>
      </c>
      <c r="Q24" s="207">
        <f t="shared" si="6"/>
        <v>4475.3548387096771</v>
      </c>
      <c r="R24" s="207">
        <f t="shared" si="26"/>
        <v>208</v>
      </c>
      <c r="S24" s="207">
        <f t="shared" si="7"/>
        <v>4475.3548387096771</v>
      </c>
      <c r="T24" s="207">
        <f t="shared" si="27"/>
        <v>208</v>
      </c>
      <c r="U24" s="207">
        <f t="shared" si="8"/>
        <v>4475.3548387096771</v>
      </c>
      <c r="V24" s="207">
        <f t="shared" si="28"/>
        <v>208</v>
      </c>
      <c r="W24" s="207">
        <f t="shared" si="9"/>
        <v>4475.3548387096771</v>
      </c>
      <c r="X24" s="35">
        <f t="shared" si="10"/>
        <v>0.6709677419354837</v>
      </c>
      <c r="Y24" s="36">
        <f t="shared" si="29"/>
        <v>49228.90322580644</v>
      </c>
      <c r="Z24" s="207">
        <f>'B5'!C23</f>
        <v>214</v>
      </c>
      <c r="AA24" s="207">
        <f t="shared" si="30"/>
        <v>2140</v>
      </c>
      <c r="AB24" s="207">
        <f t="shared" si="31"/>
        <v>214</v>
      </c>
      <c r="AC24" s="207">
        <f t="shared" si="30"/>
        <v>2140</v>
      </c>
      <c r="AD24" s="207">
        <f t="shared" si="32"/>
        <v>214</v>
      </c>
      <c r="AE24" s="207">
        <f t="shared" si="11"/>
        <v>2140</v>
      </c>
      <c r="AF24" s="207">
        <f t="shared" si="33"/>
        <v>214</v>
      </c>
      <c r="AG24" s="207">
        <f t="shared" si="12"/>
        <v>2140</v>
      </c>
      <c r="AH24" s="207">
        <f t="shared" si="34"/>
        <v>214</v>
      </c>
      <c r="AI24" s="207">
        <f t="shared" si="13"/>
        <v>2140</v>
      </c>
      <c r="AJ24" s="207">
        <f t="shared" si="35"/>
        <v>214</v>
      </c>
      <c r="AK24" s="207">
        <f t="shared" si="14"/>
        <v>2140</v>
      </c>
      <c r="AL24" s="207">
        <f t="shared" si="36"/>
        <v>214</v>
      </c>
      <c r="AM24" s="207">
        <f t="shared" si="15"/>
        <v>2140</v>
      </c>
      <c r="AN24" s="35">
        <f t="shared" si="16"/>
        <v>0.76428571428571423</v>
      </c>
      <c r="AO24" s="36">
        <f t="shared" si="17"/>
        <v>14980</v>
      </c>
      <c r="AQ24" s="227">
        <f t="shared" si="37"/>
        <v>0.69064110170814719</v>
      </c>
      <c r="AR24" s="38">
        <f t="shared" si="43"/>
        <v>64208.90322580644</v>
      </c>
      <c r="AS24" s="201">
        <f t="shared" si="38"/>
        <v>-990.03225806453702</v>
      </c>
      <c r="AT24" s="278"/>
      <c r="AU24" s="471"/>
      <c r="AV24" s="569">
        <f t="shared" si="41"/>
        <v>0.57999999999999996</v>
      </c>
      <c r="AW24" s="302">
        <f>-SUM('B5'!AI23)</f>
        <v>-468</v>
      </c>
      <c r="AX24" s="302">
        <f t="shared" si="39"/>
        <v>-522.03225806453702</v>
      </c>
      <c r="AY24" s="37">
        <f t="shared" si="40"/>
        <v>-990.03225806453702</v>
      </c>
      <c r="AZ24" s="101">
        <f>ELEC!A21</f>
        <v>9.1300000000000006E-2</v>
      </c>
      <c r="BA24" s="119">
        <f>'General information '!D24</f>
        <v>14</v>
      </c>
      <c r="BB24" s="208">
        <f>SUM('General information '!E24)</f>
        <v>0.66</v>
      </c>
      <c r="BC24" s="3">
        <f t="shared" si="42"/>
        <v>0</v>
      </c>
      <c r="BD24" s="103">
        <v>19222</v>
      </c>
      <c r="BE24" s="14">
        <f>(305/1185)*ELEC!Q22</f>
        <v>546.16877637161895</v>
      </c>
      <c r="BF24" s="14"/>
      <c r="BG24" s="14" t="e">
        <f>#REF!-BE24</f>
        <v>#REF!</v>
      </c>
      <c r="BH24" s="11"/>
      <c r="BI24" t="s">
        <v>326</v>
      </c>
    </row>
    <row r="25" spans="1:61">
      <c r="A25" s="479">
        <f>ELEC!C22</f>
        <v>43850</v>
      </c>
      <c r="B25">
        <f>'B5'!B24</f>
        <v>204</v>
      </c>
      <c r="C25" s="207">
        <f t="shared" si="18"/>
        <v>4389.2903225806449</v>
      </c>
      <c r="D25">
        <f t="shared" si="19"/>
        <v>204</v>
      </c>
      <c r="E25" s="207">
        <f t="shared" si="18"/>
        <v>4389.2903225806449</v>
      </c>
      <c r="F25">
        <f t="shared" si="20"/>
        <v>204</v>
      </c>
      <c r="G25" s="207">
        <f t="shared" si="1"/>
        <v>4389.2903225806449</v>
      </c>
      <c r="H25" s="207">
        <f t="shared" si="21"/>
        <v>204</v>
      </c>
      <c r="I25" s="207">
        <f t="shared" si="2"/>
        <v>4389.2903225806449</v>
      </c>
      <c r="J25" s="207">
        <f t="shared" si="22"/>
        <v>204</v>
      </c>
      <c r="K25" s="207">
        <f t="shared" si="3"/>
        <v>4389.2903225806449</v>
      </c>
      <c r="L25" s="207">
        <f t="shared" si="23"/>
        <v>204</v>
      </c>
      <c r="M25" s="207">
        <f t="shared" si="4"/>
        <v>4389.2903225806449</v>
      </c>
      <c r="N25" s="207">
        <f t="shared" si="24"/>
        <v>204</v>
      </c>
      <c r="O25" s="207">
        <f t="shared" si="5"/>
        <v>4389.2903225806449</v>
      </c>
      <c r="P25" s="207">
        <f t="shared" si="25"/>
        <v>204</v>
      </c>
      <c r="Q25" s="207">
        <f t="shared" si="6"/>
        <v>4389.2903225806449</v>
      </c>
      <c r="R25" s="207">
        <f t="shared" si="26"/>
        <v>204</v>
      </c>
      <c r="S25" s="207">
        <f t="shared" si="7"/>
        <v>4389.2903225806449</v>
      </c>
      <c r="T25" s="207">
        <f t="shared" si="27"/>
        <v>204</v>
      </c>
      <c r="U25" s="207">
        <f t="shared" si="8"/>
        <v>4389.2903225806449</v>
      </c>
      <c r="V25" s="207">
        <f t="shared" si="28"/>
        <v>204</v>
      </c>
      <c r="W25" s="207">
        <f t="shared" si="9"/>
        <v>4389.2903225806449</v>
      </c>
      <c r="X25" s="35">
        <f t="shared" si="10"/>
        <v>0.65806451612903216</v>
      </c>
      <c r="Y25" s="36">
        <f t="shared" si="29"/>
        <v>48282.193548387091</v>
      </c>
      <c r="Z25" s="207">
        <f>'B5'!C24</f>
        <v>210</v>
      </c>
      <c r="AA25" s="207">
        <f t="shared" si="30"/>
        <v>2100</v>
      </c>
      <c r="AB25" s="207">
        <f t="shared" si="31"/>
        <v>210</v>
      </c>
      <c r="AC25" s="207">
        <f t="shared" si="30"/>
        <v>2100</v>
      </c>
      <c r="AD25" s="207">
        <f t="shared" si="32"/>
        <v>210</v>
      </c>
      <c r="AE25" s="207">
        <f t="shared" si="11"/>
        <v>2100</v>
      </c>
      <c r="AF25" s="207">
        <f t="shared" si="33"/>
        <v>210</v>
      </c>
      <c r="AG25" s="207">
        <f t="shared" si="12"/>
        <v>2100</v>
      </c>
      <c r="AH25" s="207">
        <f t="shared" si="34"/>
        <v>210</v>
      </c>
      <c r="AI25" s="207">
        <f t="shared" si="13"/>
        <v>2100</v>
      </c>
      <c r="AJ25" s="207">
        <f t="shared" si="35"/>
        <v>210</v>
      </c>
      <c r="AK25" s="207">
        <f t="shared" si="14"/>
        <v>2100</v>
      </c>
      <c r="AL25" s="207">
        <f t="shared" si="36"/>
        <v>210</v>
      </c>
      <c r="AM25" s="207">
        <f t="shared" si="15"/>
        <v>2100</v>
      </c>
      <c r="AN25" s="35">
        <f t="shared" si="16"/>
        <v>0.75</v>
      </c>
      <c r="AO25" s="36">
        <f t="shared" si="17"/>
        <v>14700</v>
      </c>
      <c r="AQ25" s="227">
        <f t="shared" si="37"/>
        <v>0.67744641871987832</v>
      </c>
      <c r="AR25" s="38">
        <f t="shared" si="43"/>
        <v>62982.193548387091</v>
      </c>
      <c r="AS25" s="201">
        <f t="shared" si="38"/>
        <v>-1226.7096774193487</v>
      </c>
      <c r="AT25" s="278"/>
      <c r="AU25" s="471"/>
      <c r="AV25" s="569">
        <f t="shared" si="41"/>
        <v>0.57999999999999996</v>
      </c>
      <c r="AW25" s="302">
        <f>-SUM('B5'!AI24)</f>
        <v>-555</v>
      </c>
      <c r="AX25" s="302">
        <f t="shared" si="39"/>
        <v>-671.70967741934874</v>
      </c>
      <c r="AY25" s="37">
        <f t="shared" si="40"/>
        <v>-1226.7096774193487</v>
      </c>
      <c r="AZ25" s="101">
        <f>ELEC!A22</f>
        <v>0.1087</v>
      </c>
      <c r="BA25" s="119">
        <f>'General information '!D25</f>
        <v>12.5</v>
      </c>
      <c r="BB25" s="208">
        <f>SUM('General information '!E25)</f>
        <v>0.8</v>
      </c>
      <c r="BC25" s="3">
        <f t="shared" si="42"/>
        <v>0</v>
      </c>
      <c r="BD25" s="103">
        <v>19222</v>
      </c>
      <c r="BE25" s="14">
        <f>(305/1185)*ELEC!Q23</f>
        <v>568.30379746802487</v>
      </c>
      <c r="BF25" s="14"/>
      <c r="BG25" s="14" t="e">
        <f>#REF!-BE25</f>
        <v>#REF!</v>
      </c>
      <c r="BH25" s="11"/>
    </row>
    <row r="26" spans="1:61">
      <c r="A26" s="479">
        <f>ELEC!C23</f>
        <v>43851</v>
      </c>
      <c r="B26">
        <f>'B5'!B25</f>
        <v>198</v>
      </c>
      <c r="C26" s="207">
        <f t="shared" si="18"/>
        <v>4260.1935483870966</v>
      </c>
      <c r="D26">
        <f t="shared" si="19"/>
        <v>198</v>
      </c>
      <c r="E26" s="207">
        <f t="shared" si="18"/>
        <v>4260.1935483870966</v>
      </c>
      <c r="F26">
        <f t="shared" si="20"/>
        <v>198</v>
      </c>
      <c r="G26" s="207">
        <f t="shared" si="1"/>
        <v>4260.1935483870966</v>
      </c>
      <c r="H26" s="207">
        <f t="shared" si="21"/>
        <v>198</v>
      </c>
      <c r="I26" s="207">
        <f t="shared" si="2"/>
        <v>4260.1935483870966</v>
      </c>
      <c r="J26" s="207">
        <f t="shared" si="22"/>
        <v>198</v>
      </c>
      <c r="K26" s="207">
        <f t="shared" si="3"/>
        <v>4260.1935483870966</v>
      </c>
      <c r="L26" s="207">
        <f t="shared" si="23"/>
        <v>198</v>
      </c>
      <c r="M26" s="207">
        <f t="shared" si="4"/>
        <v>4260.1935483870966</v>
      </c>
      <c r="N26" s="207">
        <f t="shared" si="24"/>
        <v>198</v>
      </c>
      <c r="O26" s="207">
        <f t="shared" si="5"/>
        <v>4260.1935483870966</v>
      </c>
      <c r="P26" s="207">
        <f t="shared" si="25"/>
        <v>198</v>
      </c>
      <c r="Q26" s="207">
        <f t="shared" si="6"/>
        <v>4260.1935483870966</v>
      </c>
      <c r="R26" s="207">
        <f t="shared" si="26"/>
        <v>198</v>
      </c>
      <c r="S26" s="207">
        <f t="shared" si="7"/>
        <v>4260.1935483870966</v>
      </c>
      <c r="T26" s="207">
        <f t="shared" si="27"/>
        <v>198</v>
      </c>
      <c r="U26" s="207">
        <f t="shared" si="8"/>
        <v>4260.1935483870966</v>
      </c>
      <c r="V26" s="207">
        <f t="shared" si="28"/>
        <v>198</v>
      </c>
      <c r="W26" s="207">
        <f t="shared" si="9"/>
        <v>4260.1935483870966</v>
      </c>
      <c r="X26" s="35">
        <f t="shared" si="10"/>
        <v>0.63870967741935503</v>
      </c>
      <c r="Y26" s="36">
        <f t="shared" si="29"/>
        <v>46862.129032258075</v>
      </c>
      <c r="Z26" s="207">
        <f>'B5'!C25</f>
        <v>204</v>
      </c>
      <c r="AA26" s="207">
        <f t="shared" si="30"/>
        <v>2040</v>
      </c>
      <c r="AB26" s="207">
        <f t="shared" si="31"/>
        <v>204</v>
      </c>
      <c r="AC26" s="207">
        <f t="shared" si="30"/>
        <v>2040</v>
      </c>
      <c r="AD26" s="207">
        <f t="shared" si="32"/>
        <v>204</v>
      </c>
      <c r="AE26" s="207">
        <f t="shared" si="11"/>
        <v>2040</v>
      </c>
      <c r="AF26" s="207">
        <f t="shared" si="33"/>
        <v>204</v>
      </c>
      <c r="AG26" s="207">
        <f t="shared" si="12"/>
        <v>2040</v>
      </c>
      <c r="AH26" s="207">
        <f t="shared" si="34"/>
        <v>204</v>
      </c>
      <c r="AI26" s="207">
        <f t="shared" si="13"/>
        <v>2040</v>
      </c>
      <c r="AJ26" s="207">
        <f t="shared" si="35"/>
        <v>204</v>
      </c>
      <c r="AK26" s="207">
        <f t="shared" si="14"/>
        <v>2040</v>
      </c>
      <c r="AL26" s="207">
        <f t="shared" si="36"/>
        <v>204</v>
      </c>
      <c r="AM26" s="207">
        <f t="shared" si="15"/>
        <v>2040</v>
      </c>
      <c r="AN26" s="35">
        <f t="shared" si="16"/>
        <v>0.72857142857142854</v>
      </c>
      <c r="AO26" s="36">
        <f t="shared" si="17"/>
        <v>14280</v>
      </c>
      <c r="AQ26" s="227">
        <f t="shared" si="37"/>
        <v>0.65765439423747529</v>
      </c>
      <c r="AR26" s="38">
        <f t="shared" si="43"/>
        <v>61142.129032258075</v>
      </c>
      <c r="AS26" s="201">
        <f t="shared" si="38"/>
        <v>-1840.0645161290158</v>
      </c>
      <c r="AT26" s="278"/>
      <c r="AU26" s="471"/>
      <c r="AV26" s="569">
        <f t="shared" si="41"/>
        <v>0.57999999999999996</v>
      </c>
      <c r="AW26" s="302">
        <f>-SUM('B5'!AI25)</f>
        <v>-1314.7000000000116</v>
      </c>
      <c r="AX26" s="302">
        <f t="shared" si="39"/>
        <v>-525.36451612900419</v>
      </c>
      <c r="AY26" s="37">
        <f t="shared" si="40"/>
        <v>-1840.0645161290158</v>
      </c>
      <c r="AZ26" s="101">
        <f>ELEC!A23</f>
        <v>0.1217</v>
      </c>
      <c r="BA26" s="119">
        <f>'General information '!D26</f>
        <v>11</v>
      </c>
      <c r="BB26" s="208">
        <f>SUM('General information '!E26)</f>
        <v>0.7</v>
      </c>
      <c r="BC26" s="3">
        <f t="shared" si="42"/>
        <v>0</v>
      </c>
      <c r="BD26" s="103">
        <v>19222</v>
      </c>
      <c r="BE26" s="14">
        <f>(305/1185)*ELEC!Q24</f>
        <v>387.6202531648716</v>
      </c>
      <c r="BF26" s="14"/>
      <c r="BG26" s="14" t="e">
        <f>#REF!-BE26</f>
        <v>#REF!</v>
      </c>
      <c r="BH26" s="11"/>
    </row>
    <row r="27" spans="1:61">
      <c r="A27" s="479">
        <f>ELEC!C24</f>
        <v>43852</v>
      </c>
      <c r="B27">
        <f>'B5'!B26</f>
        <v>249</v>
      </c>
      <c r="C27" s="207">
        <f t="shared" si="18"/>
        <v>5357.5161290322576</v>
      </c>
      <c r="D27">
        <f t="shared" si="19"/>
        <v>249</v>
      </c>
      <c r="E27" s="207">
        <f t="shared" si="18"/>
        <v>5357.5161290322576</v>
      </c>
      <c r="F27">
        <f t="shared" si="20"/>
        <v>249</v>
      </c>
      <c r="G27" s="207">
        <f t="shared" si="1"/>
        <v>5357.5161290322576</v>
      </c>
      <c r="H27" s="207">
        <f t="shared" si="21"/>
        <v>249</v>
      </c>
      <c r="I27" s="207">
        <f t="shared" si="2"/>
        <v>5357.5161290322576</v>
      </c>
      <c r="J27" s="207">
        <f t="shared" si="22"/>
        <v>249</v>
      </c>
      <c r="K27" s="207">
        <f t="shared" si="3"/>
        <v>5357.5161290322576</v>
      </c>
      <c r="L27" s="207">
        <f t="shared" si="23"/>
        <v>249</v>
      </c>
      <c r="M27" s="207">
        <f t="shared" si="4"/>
        <v>5357.5161290322576</v>
      </c>
      <c r="N27" s="207">
        <f t="shared" si="24"/>
        <v>249</v>
      </c>
      <c r="O27" s="207">
        <f t="shared" si="5"/>
        <v>5357.5161290322576</v>
      </c>
      <c r="P27" s="207">
        <f t="shared" si="25"/>
        <v>249</v>
      </c>
      <c r="Q27" s="207">
        <f t="shared" si="6"/>
        <v>5357.5161290322576</v>
      </c>
      <c r="R27" s="207">
        <f t="shared" si="26"/>
        <v>249</v>
      </c>
      <c r="S27" s="207">
        <f t="shared" si="7"/>
        <v>5357.5161290322576</v>
      </c>
      <c r="T27" s="207">
        <f t="shared" si="27"/>
        <v>249</v>
      </c>
      <c r="U27" s="207">
        <f t="shared" si="8"/>
        <v>5357.5161290322576</v>
      </c>
      <c r="V27" s="207">
        <f t="shared" si="28"/>
        <v>249</v>
      </c>
      <c r="W27" s="207">
        <f t="shared" si="9"/>
        <v>5357.5161290322576</v>
      </c>
      <c r="X27" s="35">
        <f t="shared" si="10"/>
        <v>0.80322580645161279</v>
      </c>
      <c r="Y27" s="36">
        <f t="shared" si="29"/>
        <v>58932.677419354834</v>
      </c>
      <c r="Z27" s="207">
        <f>'B5'!C26</f>
        <v>255</v>
      </c>
      <c r="AA27" s="207">
        <f t="shared" si="30"/>
        <v>2550</v>
      </c>
      <c r="AB27" s="207">
        <f t="shared" si="31"/>
        <v>255</v>
      </c>
      <c r="AC27" s="207">
        <f t="shared" si="30"/>
        <v>2550</v>
      </c>
      <c r="AD27" s="207">
        <f t="shared" si="32"/>
        <v>255</v>
      </c>
      <c r="AE27" s="207">
        <f t="shared" si="11"/>
        <v>2550</v>
      </c>
      <c r="AF27" s="207">
        <f t="shared" si="33"/>
        <v>255</v>
      </c>
      <c r="AG27" s="207">
        <f t="shared" si="12"/>
        <v>2550</v>
      </c>
      <c r="AH27" s="207">
        <f t="shared" si="34"/>
        <v>255</v>
      </c>
      <c r="AI27" s="207">
        <f t="shared" si="13"/>
        <v>2550</v>
      </c>
      <c r="AJ27" s="207">
        <f t="shared" si="35"/>
        <v>255</v>
      </c>
      <c r="AK27" s="207">
        <f t="shared" si="14"/>
        <v>2550</v>
      </c>
      <c r="AL27" s="207">
        <f t="shared" si="36"/>
        <v>255</v>
      </c>
      <c r="AM27" s="207">
        <f t="shared" si="15"/>
        <v>2550</v>
      </c>
      <c r="AN27" s="35">
        <f t="shared" si="16"/>
        <v>0.9107142857142857</v>
      </c>
      <c r="AO27" s="36">
        <f t="shared" si="17"/>
        <v>17850</v>
      </c>
      <c r="AQ27" s="227">
        <f t="shared" si="37"/>
        <v>0.8258866023379029</v>
      </c>
      <c r="AR27" s="38">
        <f t="shared" si="43"/>
        <v>76782.677419354834</v>
      </c>
      <c r="AS27" s="201">
        <f t="shared" si="38"/>
        <v>-283.45161290324177</v>
      </c>
      <c r="AT27" s="278">
        <v>15924</v>
      </c>
      <c r="AU27" s="471">
        <v>0.58350000000000002</v>
      </c>
      <c r="AV27" s="569">
        <f t="shared" si="41"/>
        <v>0.58350000000000002</v>
      </c>
      <c r="AW27" s="302">
        <f>-SUM('B5'!AI26)</f>
        <v>-579</v>
      </c>
      <c r="AX27" s="302">
        <f t="shared" si="39"/>
        <v>295.54838709675823</v>
      </c>
      <c r="AY27" s="37">
        <f t="shared" si="40"/>
        <v>-283.45161290324177</v>
      </c>
      <c r="AZ27" s="101">
        <f>ELEC!A24</f>
        <v>0.13</v>
      </c>
      <c r="BA27" s="119">
        <f>'General information '!D27</f>
        <v>12</v>
      </c>
      <c r="BB27" s="208">
        <f>SUM('General information '!E27)</f>
        <v>0.65</v>
      </c>
      <c r="BC27" s="3">
        <f t="shared" si="42"/>
        <v>1</v>
      </c>
      <c r="BD27" s="103">
        <v>19222</v>
      </c>
      <c r="BE27" s="14">
        <f>(305/1185)*ELEC!Q25</f>
        <v>382.47257383939655</v>
      </c>
      <c r="BF27" s="14"/>
      <c r="BG27" s="14" t="e">
        <f>#REF!-BE27</f>
        <v>#REF!</v>
      </c>
      <c r="BH27" s="11"/>
    </row>
    <row r="28" spans="1:61">
      <c r="A28" s="479">
        <f>ELEC!C25</f>
        <v>43853</v>
      </c>
      <c r="B28">
        <f>'B5'!B27</f>
        <v>245</v>
      </c>
      <c r="C28" s="207">
        <f t="shared" si="18"/>
        <v>5271.4516129032254</v>
      </c>
      <c r="D28">
        <f t="shared" si="19"/>
        <v>245</v>
      </c>
      <c r="E28" s="207">
        <f t="shared" si="18"/>
        <v>5271.4516129032254</v>
      </c>
      <c r="F28">
        <f t="shared" si="20"/>
        <v>245</v>
      </c>
      <c r="G28" s="207">
        <f t="shared" si="1"/>
        <v>5271.4516129032254</v>
      </c>
      <c r="H28" s="207">
        <f t="shared" si="21"/>
        <v>245</v>
      </c>
      <c r="I28" s="207">
        <f t="shared" si="2"/>
        <v>5271.4516129032254</v>
      </c>
      <c r="J28" s="207">
        <f t="shared" si="22"/>
        <v>245</v>
      </c>
      <c r="K28" s="207">
        <f t="shared" si="3"/>
        <v>5271.4516129032254</v>
      </c>
      <c r="L28" s="207">
        <f t="shared" si="23"/>
        <v>245</v>
      </c>
      <c r="M28" s="207">
        <f t="shared" si="4"/>
        <v>5271.4516129032254</v>
      </c>
      <c r="N28" s="207">
        <f t="shared" si="24"/>
        <v>245</v>
      </c>
      <c r="O28" s="207">
        <f t="shared" si="5"/>
        <v>5271.4516129032254</v>
      </c>
      <c r="P28" s="207">
        <f t="shared" si="25"/>
        <v>245</v>
      </c>
      <c r="Q28" s="207">
        <f t="shared" si="6"/>
        <v>5271.4516129032254</v>
      </c>
      <c r="R28" s="207">
        <f t="shared" si="26"/>
        <v>245</v>
      </c>
      <c r="S28" s="207">
        <f t="shared" si="7"/>
        <v>5271.4516129032254</v>
      </c>
      <c r="T28" s="207">
        <f t="shared" si="27"/>
        <v>245</v>
      </c>
      <c r="U28" s="207">
        <f t="shared" si="8"/>
        <v>5271.4516129032254</v>
      </c>
      <c r="V28" s="207">
        <f t="shared" si="28"/>
        <v>245</v>
      </c>
      <c r="W28" s="207">
        <f t="shared" si="9"/>
        <v>5271.4516129032254</v>
      </c>
      <c r="X28" s="35">
        <f t="shared" si="10"/>
        <v>0.79032258064516137</v>
      </c>
      <c r="Y28" s="36">
        <f t="shared" si="29"/>
        <v>57985.967741935492</v>
      </c>
      <c r="Z28" s="207">
        <f>'B5'!C27</f>
        <v>252</v>
      </c>
      <c r="AA28" s="207">
        <f t="shared" si="30"/>
        <v>2520</v>
      </c>
      <c r="AB28" s="207">
        <f t="shared" si="31"/>
        <v>252</v>
      </c>
      <c r="AC28" s="207">
        <f t="shared" si="30"/>
        <v>2520</v>
      </c>
      <c r="AD28" s="207">
        <f t="shared" si="32"/>
        <v>252</v>
      </c>
      <c r="AE28" s="207">
        <f t="shared" si="11"/>
        <v>2520</v>
      </c>
      <c r="AF28" s="207">
        <f t="shared" si="33"/>
        <v>252</v>
      </c>
      <c r="AG28" s="207">
        <f t="shared" si="12"/>
        <v>2520</v>
      </c>
      <c r="AH28" s="207">
        <f t="shared" si="34"/>
        <v>252</v>
      </c>
      <c r="AI28" s="207">
        <f t="shared" si="13"/>
        <v>2520</v>
      </c>
      <c r="AJ28" s="207">
        <f t="shared" si="35"/>
        <v>252</v>
      </c>
      <c r="AK28" s="207">
        <f t="shared" si="14"/>
        <v>2520</v>
      </c>
      <c r="AL28" s="207">
        <f t="shared" si="36"/>
        <v>252</v>
      </c>
      <c r="AM28" s="207">
        <f t="shared" si="15"/>
        <v>2520</v>
      </c>
      <c r="AN28" s="35">
        <f t="shared" si="16"/>
        <v>0.9</v>
      </c>
      <c r="AO28" s="36">
        <f t="shared" si="17"/>
        <v>17640</v>
      </c>
      <c r="AQ28" s="227">
        <f t="shared" si="37"/>
        <v>0.81344485040266201</v>
      </c>
      <c r="AR28" s="38">
        <f t="shared" si="43"/>
        <v>75625.967741935485</v>
      </c>
      <c r="AS28" s="201">
        <f t="shared" si="38"/>
        <v>-1156.7096774193487</v>
      </c>
      <c r="AT28" s="376"/>
      <c r="AU28" s="471"/>
      <c r="AV28" s="569">
        <f t="shared" si="41"/>
        <v>0.58350000000000002</v>
      </c>
      <c r="AW28" s="302">
        <f>-SUM('B5'!AI27)</f>
        <v>-646</v>
      </c>
      <c r="AX28" s="302">
        <f t="shared" si="39"/>
        <v>-510.70967741934874</v>
      </c>
      <c r="AY28" s="37">
        <f t="shared" si="40"/>
        <v>-1156.7096774193487</v>
      </c>
      <c r="AZ28" s="101">
        <f>ELEC!A25</f>
        <v>0.14779999999999999</v>
      </c>
      <c r="BA28" s="119">
        <f>'General information '!D28</f>
        <v>10</v>
      </c>
      <c r="BB28" s="208">
        <f>SUM('General information '!E28)</f>
        <v>0.69</v>
      </c>
      <c r="BC28" s="3">
        <f t="shared" si="42"/>
        <v>0</v>
      </c>
      <c r="BD28" s="103">
        <v>19222</v>
      </c>
      <c r="BE28" s="14">
        <f>(305/1185)*ELEC!Q26</f>
        <v>520.43037974705271</v>
      </c>
      <c r="BF28" s="14"/>
      <c r="BG28" s="14" t="e">
        <f>#REF!-BE28</f>
        <v>#REF!</v>
      </c>
      <c r="BH28" s="11"/>
    </row>
    <row r="29" spans="1:61">
      <c r="A29" s="479">
        <f>ELEC!C26</f>
        <v>43854</v>
      </c>
      <c r="B29">
        <f>'B5'!B28</f>
        <v>241</v>
      </c>
      <c r="C29" s="207">
        <f t="shared" si="18"/>
        <v>5185.3870967741932</v>
      </c>
      <c r="D29">
        <f t="shared" si="19"/>
        <v>241</v>
      </c>
      <c r="E29" s="207">
        <f t="shared" si="18"/>
        <v>5185.3870967741932</v>
      </c>
      <c r="F29">
        <f t="shared" si="20"/>
        <v>241</v>
      </c>
      <c r="G29" s="207">
        <f t="shared" si="1"/>
        <v>5185.3870967741932</v>
      </c>
      <c r="H29" s="207">
        <f t="shared" si="21"/>
        <v>241</v>
      </c>
      <c r="I29" s="207">
        <f t="shared" si="2"/>
        <v>5185.3870967741932</v>
      </c>
      <c r="J29" s="207">
        <f t="shared" si="22"/>
        <v>241</v>
      </c>
      <c r="K29" s="207">
        <f t="shared" si="3"/>
        <v>5185.3870967741932</v>
      </c>
      <c r="L29" s="207">
        <f t="shared" si="23"/>
        <v>241</v>
      </c>
      <c r="M29" s="207">
        <f t="shared" si="4"/>
        <v>5185.3870967741932</v>
      </c>
      <c r="N29" s="207">
        <f t="shared" si="24"/>
        <v>241</v>
      </c>
      <c r="O29" s="207">
        <f t="shared" si="5"/>
        <v>5185.3870967741932</v>
      </c>
      <c r="P29" s="207">
        <f t="shared" si="25"/>
        <v>241</v>
      </c>
      <c r="Q29" s="207">
        <f t="shared" si="6"/>
        <v>5185.3870967741932</v>
      </c>
      <c r="R29" s="207">
        <f t="shared" si="26"/>
        <v>241</v>
      </c>
      <c r="S29" s="207">
        <f t="shared" si="7"/>
        <v>5185.3870967741932</v>
      </c>
      <c r="T29" s="207">
        <f t="shared" si="27"/>
        <v>241</v>
      </c>
      <c r="U29" s="207">
        <f t="shared" si="8"/>
        <v>5185.3870967741932</v>
      </c>
      <c r="V29" s="207">
        <f t="shared" si="28"/>
        <v>241</v>
      </c>
      <c r="W29" s="207">
        <f t="shared" si="9"/>
        <v>5185.3870967741932</v>
      </c>
      <c r="X29" s="35">
        <f t="shared" si="10"/>
        <v>0.77741935483870972</v>
      </c>
      <c r="Y29" s="36">
        <f t="shared" si="29"/>
        <v>57039.258064516136</v>
      </c>
      <c r="Z29" s="207">
        <f>'B5'!C28</f>
        <v>247</v>
      </c>
      <c r="AA29" s="207">
        <f t="shared" si="30"/>
        <v>2470</v>
      </c>
      <c r="AB29" s="207">
        <f t="shared" si="31"/>
        <v>247</v>
      </c>
      <c r="AC29" s="207">
        <f t="shared" si="30"/>
        <v>2470</v>
      </c>
      <c r="AD29" s="207">
        <f t="shared" si="32"/>
        <v>247</v>
      </c>
      <c r="AE29" s="207">
        <f t="shared" si="11"/>
        <v>2470</v>
      </c>
      <c r="AF29" s="207">
        <f t="shared" si="33"/>
        <v>247</v>
      </c>
      <c r="AG29" s="207">
        <f t="shared" si="12"/>
        <v>2470</v>
      </c>
      <c r="AH29" s="207">
        <f t="shared" si="34"/>
        <v>247</v>
      </c>
      <c r="AI29" s="207">
        <f t="shared" si="13"/>
        <v>2470</v>
      </c>
      <c r="AJ29" s="207">
        <f t="shared" si="35"/>
        <v>247</v>
      </c>
      <c r="AK29" s="207">
        <f t="shared" si="14"/>
        <v>2470</v>
      </c>
      <c r="AL29" s="207">
        <f t="shared" si="36"/>
        <v>247</v>
      </c>
      <c r="AM29" s="207">
        <f t="shared" si="15"/>
        <v>2470</v>
      </c>
      <c r="AN29" s="35">
        <f t="shared" si="16"/>
        <v>0.88214285714285712</v>
      </c>
      <c r="AO29" s="36">
        <f t="shared" si="17"/>
        <v>17290</v>
      </c>
      <c r="AQ29" s="227">
        <f t="shared" si="37"/>
        <v>0.79949723636136538</v>
      </c>
      <c r="AR29" s="38">
        <f t="shared" ref="AR29:AR35" si="44">SUM(AO29+Y29)</f>
        <v>74329.258064516136</v>
      </c>
      <c r="AS29" s="201">
        <f t="shared" si="38"/>
        <v>-1296.7096774193487</v>
      </c>
      <c r="AT29" s="376"/>
      <c r="AU29" s="471"/>
      <c r="AV29" s="569">
        <f t="shared" si="41"/>
        <v>0.58350000000000002</v>
      </c>
      <c r="AW29" s="302">
        <f>-SUM('B5'!AI28)</f>
        <v>-1096</v>
      </c>
      <c r="AX29" s="302">
        <f t="shared" si="39"/>
        <v>-200.70967741934874</v>
      </c>
      <c r="AY29" s="37">
        <f t="shared" si="40"/>
        <v>-1296.7096774193487</v>
      </c>
      <c r="AZ29" s="101">
        <f>ELEC!A26</f>
        <v>0.113</v>
      </c>
      <c r="BA29" s="119">
        <f>'General information '!D29</f>
        <v>11</v>
      </c>
      <c r="BB29" s="208">
        <f>SUM('General information '!E29)</f>
        <v>0.37</v>
      </c>
      <c r="BC29" s="3">
        <f t="shared" si="42"/>
        <v>0</v>
      </c>
      <c r="BD29" s="103">
        <v>19222</v>
      </c>
      <c r="BE29" s="14">
        <f>(305/1185)*ELEC!Q27</f>
        <v>395.34177215191374</v>
      </c>
      <c r="BF29" s="14"/>
      <c r="BG29" s="14" t="e">
        <f>#REF!-BE29</f>
        <v>#REF!</v>
      </c>
      <c r="BH29" s="11"/>
    </row>
    <row r="30" spans="1:61">
      <c r="A30" s="479">
        <f>ELEC!C27</f>
        <v>43855</v>
      </c>
      <c r="B30">
        <f>'B5'!B29</f>
        <v>234</v>
      </c>
      <c r="C30" s="207">
        <f t="shared" si="18"/>
        <v>5034.7741935483873</v>
      </c>
      <c r="D30">
        <f t="shared" ref="D30:D35" si="45">SUM(B30)</f>
        <v>234</v>
      </c>
      <c r="E30" s="207">
        <f t="shared" si="18"/>
        <v>5034.7741935483873</v>
      </c>
      <c r="F30">
        <f t="shared" ref="F30:F35" si="46">SUM(D30)</f>
        <v>234</v>
      </c>
      <c r="G30" s="207">
        <f t="shared" si="1"/>
        <v>5034.7741935483873</v>
      </c>
      <c r="H30" s="207">
        <f t="shared" ref="H30:H35" si="47">SUM(F30)</f>
        <v>234</v>
      </c>
      <c r="I30" s="207">
        <f t="shared" si="2"/>
        <v>5034.7741935483873</v>
      </c>
      <c r="J30" s="207">
        <f t="shared" ref="J30:J35" si="48">SUM(H30)</f>
        <v>234</v>
      </c>
      <c r="K30" s="207">
        <f t="shared" si="3"/>
        <v>5034.7741935483873</v>
      </c>
      <c r="L30" s="207">
        <f t="shared" ref="L30:L35" si="49">SUM(J30)</f>
        <v>234</v>
      </c>
      <c r="M30" s="207">
        <f t="shared" si="4"/>
        <v>5034.7741935483873</v>
      </c>
      <c r="N30" s="207">
        <f t="shared" ref="N30:N35" si="50">SUM(L30)</f>
        <v>234</v>
      </c>
      <c r="O30" s="207">
        <f t="shared" si="5"/>
        <v>5034.7741935483873</v>
      </c>
      <c r="P30" s="207">
        <f t="shared" ref="P30:P35" si="51">SUM(N30)</f>
        <v>234</v>
      </c>
      <c r="Q30" s="207">
        <f t="shared" si="6"/>
        <v>5034.7741935483873</v>
      </c>
      <c r="R30" s="207">
        <f t="shared" ref="R30:R35" si="52">SUM(P30)</f>
        <v>234</v>
      </c>
      <c r="S30" s="207">
        <f t="shared" si="7"/>
        <v>5034.7741935483873</v>
      </c>
      <c r="T30" s="207">
        <f t="shared" ref="T30:T35" si="53">SUM(R30)</f>
        <v>234</v>
      </c>
      <c r="U30" s="207">
        <f t="shared" si="8"/>
        <v>5034.7741935483873</v>
      </c>
      <c r="V30" s="207">
        <f t="shared" ref="V30:V35" si="54">SUM(T30)</f>
        <v>234</v>
      </c>
      <c r="W30" s="207">
        <f t="shared" si="9"/>
        <v>5034.7741935483873</v>
      </c>
      <c r="X30" s="35">
        <f t="shared" ref="X30:X35" si="55">SUM(Y30/73370)</f>
        <v>0.75483870967741939</v>
      </c>
      <c r="Y30" s="36">
        <f t="shared" ref="Y30:Y35" si="56">SUM(C30+E30+G30+I30+K30+M30+O30+Q30+S30+U30+W30)</f>
        <v>55382.516129032258</v>
      </c>
      <c r="Z30" s="207">
        <f>'B5'!C29</f>
        <v>240</v>
      </c>
      <c r="AA30" s="207">
        <f t="shared" si="30"/>
        <v>2400</v>
      </c>
      <c r="AB30" s="207">
        <f t="shared" ref="AB30:AB35" si="57">SUM(Z30)</f>
        <v>240</v>
      </c>
      <c r="AC30" s="207">
        <f t="shared" si="30"/>
        <v>2400</v>
      </c>
      <c r="AD30" s="207">
        <f t="shared" ref="AD30:AD35" si="58">SUM(AB30)</f>
        <v>240</v>
      </c>
      <c r="AE30" s="207">
        <f t="shared" si="11"/>
        <v>2400</v>
      </c>
      <c r="AF30" s="207">
        <f t="shared" ref="AF30:AF35" si="59">SUM(AD30)</f>
        <v>240</v>
      </c>
      <c r="AG30" s="207">
        <f t="shared" si="12"/>
        <v>2400</v>
      </c>
      <c r="AH30" s="207">
        <f t="shared" ref="AH30:AH35" si="60">SUM(AF30)</f>
        <v>240</v>
      </c>
      <c r="AI30" s="207">
        <f t="shared" si="13"/>
        <v>2400</v>
      </c>
      <c r="AJ30" s="207">
        <f t="shared" ref="AJ30:AJ35" si="61">SUM(AH30)</f>
        <v>240</v>
      </c>
      <c r="AK30" s="207">
        <f t="shared" si="14"/>
        <v>2400</v>
      </c>
      <c r="AL30" s="207">
        <f t="shared" ref="AL30:AL35" si="62">SUM(AJ30)</f>
        <v>240</v>
      </c>
      <c r="AM30" s="207">
        <f t="shared" si="15"/>
        <v>2400</v>
      </c>
      <c r="AN30" s="35">
        <f t="shared" ref="AN30:AN35" si="63">SUM(AO30/19600)</f>
        <v>0.8571428571428571</v>
      </c>
      <c r="AO30" s="36">
        <f t="shared" ref="AO30:AO35" si="64">SUM(AA30+AC30+AE30+AG30+AI30+AK30+AM30)</f>
        <v>16800</v>
      </c>
      <c r="AQ30" s="227">
        <f t="shared" si="37"/>
        <v>0.77640654113189478</v>
      </c>
      <c r="AR30" s="38">
        <f t="shared" si="44"/>
        <v>72182.516129032258</v>
      </c>
      <c r="AS30" s="201">
        <f t="shared" si="38"/>
        <v>-2146.7419354838785</v>
      </c>
      <c r="AT30" s="376"/>
      <c r="AU30" s="471"/>
      <c r="AV30" s="569">
        <f t="shared" si="41"/>
        <v>0.58350000000000002</v>
      </c>
      <c r="AW30" s="302">
        <f>-SUM('B5'!AI29)</f>
        <v>-561</v>
      </c>
      <c r="AX30" s="302">
        <f t="shared" si="39"/>
        <v>-1585.7419354838785</v>
      </c>
      <c r="AY30" s="37">
        <f t="shared" si="40"/>
        <v>-2146.7419354838785</v>
      </c>
      <c r="AZ30" s="101">
        <f>ELEC!A27</f>
        <v>0.1</v>
      </c>
      <c r="BA30" s="119">
        <f>'General information '!D30</f>
        <v>13</v>
      </c>
      <c r="BB30" s="208">
        <f>SUM('General information '!E30)</f>
        <v>0.5</v>
      </c>
      <c r="BC30" s="3">
        <f t="shared" si="42"/>
        <v>0</v>
      </c>
      <c r="BD30" s="103">
        <v>19222</v>
      </c>
      <c r="BE30" s="14">
        <f>(305/1185)*ELEC!Q28</f>
        <v>385.04641350190002</v>
      </c>
      <c r="BF30" s="14"/>
      <c r="BG30" s="14" t="e">
        <f>#REF!-BE30</f>
        <v>#REF!</v>
      </c>
      <c r="BH30" s="11"/>
    </row>
    <row r="31" spans="1:61">
      <c r="A31" s="479">
        <f>ELEC!C28</f>
        <v>43856</v>
      </c>
      <c r="B31">
        <f>'B5'!B30</f>
        <v>230</v>
      </c>
      <c r="C31" s="207">
        <f t="shared" si="18"/>
        <v>4948.7096774193551</v>
      </c>
      <c r="D31">
        <f t="shared" si="45"/>
        <v>230</v>
      </c>
      <c r="E31" s="207">
        <f t="shared" si="18"/>
        <v>4948.7096774193551</v>
      </c>
      <c r="F31">
        <f t="shared" si="46"/>
        <v>230</v>
      </c>
      <c r="G31" s="207">
        <f t="shared" si="1"/>
        <v>4948.7096774193551</v>
      </c>
      <c r="H31" s="207">
        <f t="shared" si="47"/>
        <v>230</v>
      </c>
      <c r="I31" s="207">
        <f t="shared" si="2"/>
        <v>4948.7096774193551</v>
      </c>
      <c r="J31" s="207">
        <f t="shared" si="48"/>
        <v>230</v>
      </c>
      <c r="K31" s="207">
        <f t="shared" si="3"/>
        <v>4948.7096774193551</v>
      </c>
      <c r="L31" s="207">
        <f t="shared" si="49"/>
        <v>230</v>
      </c>
      <c r="M31" s="207">
        <f t="shared" si="4"/>
        <v>4948.7096774193551</v>
      </c>
      <c r="N31" s="207">
        <f t="shared" si="50"/>
        <v>230</v>
      </c>
      <c r="O31" s="207">
        <f t="shared" si="5"/>
        <v>4948.7096774193551</v>
      </c>
      <c r="P31" s="207">
        <f t="shared" si="51"/>
        <v>230</v>
      </c>
      <c r="Q31" s="207">
        <f t="shared" si="6"/>
        <v>4948.7096774193551</v>
      </c>
      <c r="R31" s="207">
        <f t="shared" si="52"/>
        <v>230</v>
      </c>
      <c r="S31" s="207">
        <f t="shared" si="7"/>
        <v>4948.7096774193551</v>
      </c>
      <c r="T31" s="207">
        <f t="shared" si="53"/>
        <v>230</v>
      </c>
      <c r="U31" s="207">
        <f t="shared" si="8"/>
        <v>4948.7096774193551</v>
      </c>
      <c r="V31" s="207">
        <f t="shared" si="54"/>
        <v>230</v>
      </c>
      <c r="W31" s="207">
        <f t="shared" si="9"/>
        <v>4948.7096774193551</v>
      </c>
      <c r="X31" s="35">
        <f t="shared" si="55"/>
        <v>0.74193548387096786</v>
      </c>
      <c r="Y31" s="36">
        <f t="shared" si="56"/>
        <v>54435.806451612909</v>
      </c>
      <c r="Z31" s="207">
        <f>'B5'!C30</f>
        <v>236</v>
      </c>
      <c r="AA31" s="207">
        <f t="shared" si="30"/>
        <v>2360</v>
      </c>
      <c r="AB31" s="207">
        <f t="shared" si="57"/>
        <v>236</v>
      </c>
      <c r="AC31" s="207">
        <f t="shared" si="30"/>
        <v>2360</v>
      </c>
      <c r="AD31" s="207">
        <f t="shared" si="58"/>
        <v>236</v>
      </c>
      <c r="AE31" s="207">
        <f t="shared" si="11"/>
        <v>2360</v>
      </c>
      <c r="AF31" s="207">
        <f t="shared" si="59"/>
        <v>236</v>
      </c>
      <c r="AG31" s="207">
        <f t="shared" si="12"/>
        <v>2360</v>
      </c>
      <c r="AH31" s="207">
        <f t="shared" si="60"/>
        <v>236</v>
      </c>
      <c r="AI31" s="207">
        <f t="shared" si="13"/>
        <v>2360</v>
      </c>
      <c r="AJ31" s="207">
        <f t="shared" si="61"/>
        <v>236</v>
      </c>
      <c r="AK31" s="207">
        <f t="shared" si="14"/>
        <v>2360</v>
      </c>
      <c r="AL31" s="207">
        <f t="shared" si="62"/>
        <v>236</v>
      </c>
      <c r="AM31" s="207">
        <f t="shared" si="15"/>
        <v>2360</v>
      </c>
      <c r="AN31" s="35">
        <f t="shared" si="63"/>
        <v>0.84285714285714286</v>
      </c>
      <c r="AO31" s="36">
        <f t="shared" si="64"/>
        <v>16520</v>
      </c>
      <c r="AQ31" s="227">
        <f t="shared" si="37"/>
        <v>0.76321185814362602</v>
      </c>
      <c r="AR31" s="38">
        <f t="shared" si="44"/>
        <v>70955.806451612909</v>
      </c>
      <c r="AS31" s="201">
        <f>SUM(AR31-AR30-AT31)</f>
        <v>-1226.7096774193487</v>
      </c>
      <c r="AT31" s="376"/>
      <c r="AU31" s="471"/>
      <c r="AV31" s="569">
        <f t="shared" si="41"/>
        <v>0.58350000000000002</v>
      </c>
      <c r="AW31" s="302">
        <f>-SUM('B5'!AI30)</f>
        <v>-881</v>
      </c>
      <c r="AX31" s="302">
        <f t="shared" si="39"/>
        <v>-345.70967741934874</v>
      </c>
      <c r="AY31" s="37">
        <f t="shared" si="40"/>
        <v>-1226.7096774193487</v>
      </c>
      <c r="AZ31" s="101">
        <f>ELEC!A28</f>
        <v>6.9599999999999995E-2</v>
      </c>
      <c r="BA31" s="119">
        <f>'General information '!D31</f>
        <v>12</v>
      </c>
      <c r="BB31" s="208">
        <f>SUM('General information '!E32)</f>
        <v>0</v>
      </c>
      <c r="BC31" s="3">
        <f t="shared" si="42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79">
        <f>ELEC!C29</f>
        <v>43857</v>
      </c>
      <c r="B32">
        <f>'B5'!B31</f>
        <v>230</v>
      </c>
      <c r="C32" s="207">
        <f t="shared" si="18"/>
        <v>4948.7096774193551</v>
      </c>
      <c r="D32">
        <f t="shared" si="45"/>
        <v>230</v>
      </c>
      <c r="E32" s="207">
        <f t="shared" si="18"/>
        <v>4948.7096774193551</v>
      </c>
      <c r="F32">
        <f t="shared" si="46"/>
        <v>230</v>
      </c>
      <c r="G32" s="207">
        <f t="shared" si="1"/>
        <v>4948.7096774193551</v>
      </c>
      <c r="H32" s="207">
        <f t="shared" si="47"/>
        <v>230</v>
      </c>
      <c r="I32" s="207">
        <f t="shared" si="2"/>
        <v>4948.7096774193551</v>
      </c>
      <c r="J32" s="207">
        <f t="shared" si="48"/>
        <v>230</v>
      </c>
      <c r="K32" s="207">
        <f t="shared" si="3"/>
        <v>4948.7096774193551</v>
      </c>
      <c r="L32" s="207">
        <f t="shared" si="49"/>
        <v>230</v>
      </c>
      <c r="M32" s="207">
        <f t="shared" si="4"/>
        <v>4948.7096774193551</v>
      </c>
      <c r="N32" s="207">
        <f t="shared" si="50"/>
        <v>230</v>
      </c>
      <c r="O32" s="207">
        <f t="shared" si="5"/>
        <v>4948.7096774193551</v>
      </c>
      <c r="P32" s="207">
        <f t="shared" si="51"/>
        <v>230</v>
      </c>
      <c r="Q32" s="207">
        <f t="shared" si="6"/>
        <v>4948.7096774193551</v>
      </c>
      <c r="R32" s="207">
        <f t="shared" si="52"/>
        <v>230</v>
      </c>
      <c r="S32" s="207">
        <f t="shared" si="7"/>
        <v>4948.7096774193551</v>
      </c>
      <c r="T32" s="207">
        <f t="shared" si="53"/>
        <v>230</v>
      </c>
      <c r="U32" s="207">
        <f t="shared" si="8"/>
        <v>4948.7096774193551</v>
      </c>
      <c r="V32" s="207">
        <f t="shared" si="54"/>
        <v>230</v>
      </c>
      <c r="W32" s="207">
        <f t="shared" si="9"/>
        <v>4948.7096774193551</v>
      </c>
      <c r="X32" s="35">
        <f t="shared" si="55"/>
        <v>0.74193548387096786</v>
      </c>
      <c r="Y32" s="36">
        <f t="shared" si="56"/>
        <v>54435.806451612909</v>
      </c>
      <c r="Z32" s="207">
        <f>'B5'!C31</f>
        <v>236</v>
      </c>
      <c r="AA32" s="207">
        <f t="shared" si="30"/>
        <v>2360</v>
      </c>
      <c r="AB32" s="207">
        <f t="shared" si="57"/>
        <v>236</v>
      </c>
      <c r="AC32" s="207">
        <f t="shared" si="30"/>
        <v>2360</v>
      </c>
      <c r="AD32" s="207">
        <f t="shared" si="58"/>
        <v>236</v>
      </c>
      <c r="AE32" s="207">
        <f t="shared" si="11"/>
        <v>2360</v>
      </c>
      <c r="AF32" s="207">
        <f t="shared" si="59"/>
        <v>236</v>
      </c>
      <c r="AG32" s="207">
        <f t="shared" si="12"/>
        <v>2360</v>
      </c>
      <c r="AH32" s="207">
        <f t="shared" si="60"/>
        <v>236</v>
      </c>
      <c r="AI32" s="207">
        <f t="shared" si="13"/>
        <v>2360</v>
      </c>
      <c r="AJ32" s="207">
        <f t="shared" si="61"/>
        <v>236</v>
      </c>
      <c r="AK32" s="207">
        <f t="shared" si="14"/>
        <v>2360</v>
      </c>
      <c r="AL32" s="207">
        <f t="shared" si="62"/>
        <v>236</v>
      </c>
      <c r="AM32" s="207">
        <f t="shared" si="15"/>
        <v>2360</v>
      </c>
      <c r="AN32" s="35">
        <f t="shared" si="63"/>
        <v>0.84285714285714286</v>
      </c>
      <c r="AO32" s="36">
        <f t="shared" si="64"/>
        <v>16520</v>
      </c>
      <c r="AQ32" s="227">
        <f t="shared" si="37"/>
        <v>0.76321185814362602</v>
      </c>
      <c r="AR32" s="38">
        <f t="shared" si="44"/>
        <v>70955.806451612909</v>
      </c>
      <c r="AS32" s="201">
        <f t="shared" si="38"/>
        <v>0</v>
      </c>
      <c r="AT32" s="376"/>
      <c r="AU32" s="471"/>
      <c r="AV32" s="569">
        <f>IF(AT32&gt;0,AU32,AV31)</f>
        <v>0.58350000000000002</v>
      </c>
      <c r="AW32" s="302">
        <f>-SUM('B5'!AI31)</f>
        <v>0</v>
      </c>
      <c r="AX32" s="302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292">
        <f>SUM('General information '!E33)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79">
        <f>ELEC!C30</f>
        <v>43858</v>
      </c>
      <c r="B33">
        <f>'B5'!B32</f>
        <v>230</v>
      </c>
      <c r="C33" s="207">
        <f t="shared" si="18"/>
        <v>4948.7096774193551</v>
      </c>
      <c r="D33">
        <f t="shared" si="45"/>
        <v>230</v>
      </c>
      <c r="E33" s="207">
        <f t="shared" si="18"/>
        <v>4948.7096774193551</v>
      </c>
      <c r="F33">
        <f t="shared" si="46"/>
        <v>230</v>
      </c>
      <c r="G33" s="207">
        <f t="shared" si="1"/>
        <v>4948.7096774193551</v>
      </c>
      <c r="H33" s="207">
        <f t="shared" si="47"/>
        <v>230</v>
      </c>
      <c r="I33" s="207">
        <f t="shared" si="2"/>
        <v>4948.7096774193551</v>
      </c>
      <c r="J33" s="207">
        <f t="shared" si="48"/>
        <v>230</v>
      </c>
      <c r="K33" s="207">
        <f t="shared" si="3"/>
        <v>4948.7096774193551</v>
      </c>
      <c r="L33" s="207">
        <f t="shared" si="49"/>
        <v>230</v>
      </c>
      <c r="M33" s="207">
        <f t="shared" si="4"/>
        <v>4948.7096774193551</v>
      </c>
      <c r="N33" s="207">
        <f t="shared" si="50"/>
        <v>230</v>
      </c>
      <c r="O33" s="207">
        <f t="shared" si="5"/>
        <v>4948.7096774193551</v>
      </c>
      <c r="P33" s="207">
        <f t="shared" si="51"/>
        <v>230</v>
      </c>
      <c r="Q33" s="207">
        <f t="shared" si="6"/>
        <v>4948.7096774193551</v>
      </c>
      <c r="R33" s="207">
        <f t="shared" si="52"/>
        <v>230</v>
      </c>
      <c r="S33" s="207">
        <f t="shared" si="7"/>
        <v>4948.7096774193551</v>
      </c>
      <c r="T33" s="207">
        <f t="shared" si="53"/>
        <v>230</v>
      </c>
      <c r="U33" s="207">
        <f t="shared" si="8"/>
        <v>4948.7096774193551</v>
      </c>
      <c r="V33" s="207">
        <f t="shared" si="54"/>
        <v>230</v>
      </c>
      <c r="W33" s="207">
        <f t="shared" si="9"/>
        <v>4948.7096774193551</v>
      </c>
      <c r="X33" s="35">
        <f t="shared" si="55"/>
        <v>0.74193548387096786</v>
      </c>
      <c r="Y33" s="36">
        <f t="shared" si="56"/>
        <v>54435.806451612909</v>
      </c>
      <c r="Z33" s="207">
        <f>'B5'!C32</f>
        <v>236</v>
      </c>
      <c r="AA33" s="207">
        <f t="shared" si="30"/>
        <v>2360</v>
      </c>
      <c r="AB33" s="207">
        <f t="shared" si="57"/>
        <v>236</v>
      </c>
      <c r="AC33" s="207">
        <f t="shared" si="30"/>
        <v>2360</v>
      </c>
      <c r="AD33" s="207">
        <f t="shared" si="58"/>
        <v>236</v>
      </c>
      <c r="AE33" s="207">
        <f t="shared" si="11"/>
        <v>2360</v>
      </c>
      <c r="AF33" s="207">
        <f t="shared" si="59"/>
        <v>236</v>
      </c>
      <c r="AG33" s="207">
        <f t="shared" si="12"/>
        <v>2360</v>
      </c>
      <c r="AH33" s="207">
        <f t="shared" si="60"/>
        <v>236</v>
      </c>
      <c r="AI33" s="207">
        <f t="shared" si="13"/>
        <v>2360</v>
      </c>
      <c r="AJ33" s="207">
        <f t="shared" si="61"/>
        <v>236</v>
      </c>
      <c r="AK33" s="207">
        <f t="shared" si="14"/>
        <v>2360</v>
      </c>
      <c r="AL33" s="207">
        <f t="shared" si="62"/>
        <v>236</v>
      </c>
      <c r="AM33" s="207">
        <f t="shared" si="15"/>
        <v>2360</v>
      </c>
      <c r="AN33" s="35">
        <f t="shared" si="63"/>
        <v>0.84285714285714286</v>
      </c>
      <c r="AO33" s="36">
        <f t="shared" si="64"/>
        <v>16520</v>
      </c>
      <c r="AQ33" s="227">
        <f t="shared" si="37"/>
        <v>0.76321185814362602</v>
      </c>
      <c r="AR33" s="38">
        <f t="shared" si="44"/>
        <v>70955.806451612909</v>
      </c>
      <c r="AS33" s="201">
        <f t="shared" si="38"/>
        <v>0</v>
      </c>
      <c r="AT33" s="376"/>
      <c r="AU33" s="471"/>
      <c r="AV33" s="569">
        <f>IF(AT33&gt;0,AU33,AV32)</f>
        <v>0.58350000000000002</v>
      </c>
      <c r="AW33" s="302">
        <f>-SUM('B5'!AI32)</f>
        <v>0</v>
      </c>
      <c r="AX33" s="302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79">
        <f>ELEC!C31</f>
        <v>43859</v>
      </c>
      <c r="B34">
        <f>'B5'!B33</f>
        <v>230</v>
      </c>
      <c r="C34" s="207">
        <f t="shared" si="18"/>
        <v>4948.7096774193551</v>
      </c>
      <c r="D34">
        <f t="shared" si="45"/>
        <v>230</v>
      </c>
      <c r="E34" s="207">
        <f t="shared" si="18"/>
        <v>4948.7096774193551</v>
      </c>
      <c r="F34">
        <f t="shared" si="46"/>
        <v>230</v>
      </c>
      <c r="G34" s="207">
        <f t="shared" si="1"/>
        <v>4948.7096774193551</v>
      </c>
      <c r="H34" s="207">
        <f t="shared" si="47"/>
        <v>230</v>
      </c>
      <c r="I34" s="207">
        <f t="shared" si="2"/>
        <v>4948.7096774193551</v>
      </c>
      <c r="J34" s="207">
        <f t="shared" si="48"/>
        <v>230</v>
      </c>
      <c r="K34" s="207">
        <f t="shared" si="3"/>
        <v>4948.7096774193551</v>
      </c>
      <c r="L34" s="207">
        <f t="shared" si="49"/>
        <v>230</v>
      </c>
      <c r="M34" s="207">
        <f t="shared" si="4"/>
        <v>4948.7096774193551</v>
      </c>
      <c r="N34" s="207">
        <f t="shared" si="50"/>
        <v>230</v>
      </c>
      <c r="O34" s="207">
        <f t="shared" si="5"/>
        <v>4948.7096774193551</v>
      </c>
      <c r="P34" s="207">
        <f t="shared" si="51"/>
        <v>230</v>
      </c>
      <c r="Q34" s="207">
        <f t="shared" si="6"/>
        <v>4948.7096774193551</v>
      </c>
      <c r="R34" s="207">
        <f t="shared" si="52"/>
        <v>230</v>
      </c>
      <c r="S34" s="207">
        <f t="shared" si="7"/>
        <v>4948.7096774193551</v>
      </c>
      <c r="T34" s="207">
        <f t="shared" si="53"/>
        <v>230</v>
      </c>
      <c r="U34" s="207">
        <f t="shared" si="8"/>
        <v>4948.7096774193551</v>
      </c>
      <c r="V34" s="207">
        <f t="shared" si="54"/>
        <v>230</v>
      </c>
      <c r="W34" s="207">
        <f t="shared" si="9"/>
        <v>4948.7096774193551</v>
      </c>
      <c r="X34" s="35">
        <f t="shared" si="55"/>
        <v>0.74193548387096786</v>
      </c>
      <c r="Y34" s="36">
        <f t="shared" si="56"/>
        <v>54435.806451612909</v>
      </c>
      <c r="Z34" s="207">
        <f>'B5'!C33</f>
        <v>236</v>
      </c>
      <c r="AA34" s="207">
        <f t="shared" si="30"/>
        <v>2360</v>
      </c>
      <c r="AB34" s="207">
        <f t="shared" si="57"/>
        <v>236</v>
      </c>
      <c r="AC34" s="207">
        <f t="shared" si="30"/>
        <v>2360</v>
      </c>
      <c r="AD34" s="207">
        <f t="shared" si="58"/>
        <v>236</v>
      </c>
      <c r="AE34" s="207">
        <f t="shared" si="11"/>
        <v>2360</v>
      </c>
      <c r="AF34" s="207">
        <f t="shared" si="59"/>
        <v>236</v>
      </c>
      <c r="AG34" s="207">
        <f t="shared" si="12"/>
        <v>2360</v>
      </c>
      <c r="AH34" s="207">
        <f t="shared" si="60"/>
        <v>236</v>
      </c>
      <c r="AI34" s="207">
        <f t="shared" si="13"/>
        <v>2360</v>
      </c>
      <c r="AJ34" s="207">
        <f t="shared" si="61"/>
        <v>236</v>
      </c>
      <c r="AK34" s="207">
        <f t="shared" si="14"/>
        <v>2360</v>
      </c>
      <c r="AL34" s="207">
        <f t="shared" si="62"/>
        <v>236</v>
      </c>
      <c r="AM34" s="207">
        <f t="shared" si="15"/>
        <v>2360</v>
      </c>
      <c r="AN34" s="35">
        <f t="shared" si="63"/>
        <v>0.84285714285714286</v>
      </c>
      <c r="AO34" s="36">
        <f t="shared" si="64"/>
        <v>16520</v>
      </c>
      <c r="AQ34" s="227">
        <f>SUM(AR34/92970)</f>
        <v>0.76321185814362602</v>
      </c>
      <c r="AR34" s="38">
        <f t="shared" si="44"/>
        <v>70955.806451612909</v>
      </c>
      <c r="AS34" s="201">
        <f t="shared" si="38"/>
        <v>0</v>
      </c>
      <c r="AT34" s="376"/>
      <c r="AU34" s="471"/>
      <c r="AV34" s="569">
        <f t="shared" si="41"/>
        <v>0.58350000000000002</v>
      </c>
      <c r="AW34" s="302">
        <f>-SUM('B5'!AI33)</f>
        <v>0</v>
      </c>
      <c r="AX34" s="302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79">
        <f>ELEC!C32</f>
        <v>43860</v>
      </c>
      <c r="B35">
        <f>'B5'!B34</f>
        <v>230</v>
      </c>
      <c r="C35" s="207">
        <f t="shared" si="18"/>
        <v>4948.7096774193551</v>
      </c>
      <c r="D35">
        <f t="shared" si="45"/>
        <v>230</v>
      </c>
      <c r="E35" s="207">
        <f t="shared" si="18"/>
        <v>4948.7096774193551</v>
      </c>
      <c r="F35">
        <f t="shared" si="46"/>
        <v>230</v>
      </c>
      <c r="G35" s="207">
        <f t="shared" si="1"/>
        <v>4948.7096774193551</v>
      </c>
      <c r="H35" s="207">
        <f t="shared" si="47"/>
        <v>230</v>
      </c>
      <c r="I35" s="207">
        <f t="shared" si="2"/>
        <v>4948.7096774193551</v>
      </c>
      <c r="J35" s="207">
        <f t="shared" si="48"/>
        <v>230</v>
      </c>
      <c r="K35" s="207">
        <f t="shared" si="3"/>
        <v>4948.7096774193551</v>
      </c>
      <c r="L35" s="207">
        <f t="shared" si="49"/>
        <v>230</v>
      </c>
      <c r="M35" s="207">
        <f t="shared" si="4"/>
        <v>4948.7096774193551</v>
      </c>
      <c r="N35" s="207">
        <f t="shared" si="50"/>
        <v>230</v>
      </c>
      <c r="O35" s="207">
        <f t="shared" si="5"/>
        <v>4948.7096774193551</v>
      </c>
      <c r="P35" s="207">
        <f t="shared" si="51"/>
        <v>230</v>
      </c>
      <c r="Q35" s="207">
        <f t="shared" si="6"/>
        <v>4948.7096774193551</v>
      </c>
      <c r="R35" s="207">
        <f t="shared" si="52"/>
        <v>230</v>
      </c>
      <c r="S35" s="207">
        <f t="shared" si="7"/>
        <v>4948.7096774193551</v>
      </c>
      <c r="T35" s="207">
        <f t="shared" si="53"/>
        <v>230</v>
      </c>
      <c r="U35" s="207">
        <f t="shared" si="8"/>
        <v>4948.7096774193551</v>
      </c>
      <c r="V35" s="207">
        <f t="shared" si="54"/>
        <v>230</v>
      </c>
      <c r="W35" s="207">
        <f t="shared" si="9"/>
        <v>4948.7096774193551</v>
      </c>
      <c r="X35" s="35">
        <f t="shared" si="55"/>
        <v>0.74193548387096786</v>
      </c>
      <c r="Y35" s="36">
        <f t="shared" si="56"/>
        <v>54435.806451612909</v>
      </c>
      <c r="Z35" s="207">
        <f>'B5'!C34</f>
        <v>236</v>
      </c>
      <c r="AA35" s="207">
        <f t="shared" si="30"/>
        <v>2360</v>
      </c>
      <c r="AB35" s="207">
        <f t="shared" si="57"/>
        <v>236</v>
      </c>
      <c r="AC35" s="207">
        <f t="shared" si="30"/>
        <v>2360</v>
      </c>
      <c r="AD35" s="207">
        <f t="shared" si="58"/>
        <v>236</v>
      </c>
      <c r="AE35" s="207">
        <f t="shared" si="11"/>
        <v>2360</v>
      </c>
      <c r="AF35" s="207">
        <f t="shared" si="59"/>
        <v>236</v>
      </c>
      <c r="AG35" s="207">
        <f t="shared" si="12"/>
        <v>2360</v>
      </c>
      <c r="AH35" s="207">
        <f t="shared" si="60"/>
        <v>236</v>
      </c>
      <c r="AI35" s="207">
        <f t="shared" si="13"/>
        <v>2360</v>
      </c>
      <c r="AJ35" s="207">
        <f t="shared" si="61"/>
        <v>236</v>
      </c>
      <c r="AK35" s="207">
        <f t="shared" si="14"/>
        <v>2360</v>
      </c>
      <c r="AL35" s="207">
        <f t="shared" si="62"/>
        <v>236</v>
      </c>
      <c r="AM35" s="207">
        <f t="shared" si="15"/>
        <v>2360</v>
      </c>
      <c r="AN35" s="35">
        <f t="shared" si="63"/>
        <v>0.84285714285714286</v>
      </c>
      <c r="AO35" s="36">
        <f t="shared" si="64"/>
        <v>16520</v>
      </c>
      <c r="AQ35" s="227">
        <f>SUM(AR35/92970)</f>
        <v>0.76321185814362602</v>
      </c>
      <c r="AR35" s="38">
        <f t="shared" si="44"/>
        <v>70955.806451612909</v>
      </c>
      <c r="AS35" s="201">
        <f t="shared" si="38"/>
        <v>0</v>
      </c>
      <c r="AT35" s="376"/>
      <c r="AU35" s="471"/>
      <c r="AV35" s="569">
        <f>IF(AT35&gt;0,AU35,AV34)</f>
        <v>0.58350000000000002</v>
      </c>
      <c r="AW35" s="302">
        <f>-SUM('B5'!AI34)</f>
        <v>0</v>
      </c>
      <c r="AX35" s="302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79">
        <f>ELEC!C33</f>
        <v>43861</v>
      </c>
      <c r="B36">
        <f>'B5'!B35</f>
        <v>230</v>
      </c>
      <c r="C36" s="207">
        <f>B36*$B$4</f>
        <v>4948.7096774193551</v>
      </c>
      <c r="D36">
        <f>SUM(B36)</f>
        <v>230</v>
      </c>
      <c r="E36" s="207">
        <f>D36*$B$4</f>
        <v>4948.7096774193551</v>
      </c>
      <c r="F36">
        <f>SUM(D36)</f>
        <v>230</v>
      </c>
      <c r="G36" s="207">
        <f>F36*$B$4</f>
        <v>4948.7096774193551</v>
      </c>
      <c r="H36" s="207">
        <f>SUM(F36)</f>
        <v>230</v>
      </c>
      <c r="I36" s="207">
        <f>H36*$B$4</f>
        <v>4948.7096774193551</v>
      </c>
      <c r="J36" s="207">
        <f>SUM(H36)</f>
        <v>230</v>
      </c>
      <c r="K36" s="207">
        <f>J36*$B$4</f>
        <v>4948.7096774193551</v>
      </c>
      <c r="L36" s="207">
        <f>SUM(J36)</f>
        <v>230</v>
      </c>
      <c r="M36" s="207">
        <f>L36*$B$4</f>
        <v>4948.7096774193551</v>
      </c>
      <c r="N36" s="207">
        <f>SUM(L36)</f>
        <v>230</v>
      </c>
      <c r="O36" s="207">
        <f>N36*$B$4</f>
        <v>4948.7096774193551</v>
      </c>
      <c r="P36" s="207">
        <f>SUM(N36)</f>
        <v>230</v>
      </c>
      <c r="Q36" s="207">
        <f>P36*$B$4</f>
        <v>4948.7096774193551</v>
      </c>
      <c r="R36" s="207">
        <f>SUM(P36)</f>
        <v>230</v>
      </c>
      <c r="S36" s="207">
        <f>R36*$B$4</f>
        <v>4948.7096774193551</v>
      </c>
      <c r="T36" s="207">
        <f>SUM(R36)</f>
        <v>230</v>
      </c>
      <c r="U36" s="207">
        <f>T36*$B$4</f>
        <v>4948.7096774193551</v>
      </c>
      <c r="V36" s="207">
        <f>SUM(T36)</f>
        <v>230</v>
      </c>
      <c r="W36" s="207">
        <f>V36*$B$4</f>
        <v>4948.7096774193551</v>
      </c>
      <c r="X36" s="35">
        <f>SUM(Y36/73370)</f>
        <v>0.74193548387096786</v>
      </c>
      <c r="Y36" s="36">
        <f>SUM(C36+E36+G36+I36+K36+M36+O36+Q36+S36+U36+W36)</f>
        <v>54435.806451612909</v>
      </c>
      <c r="Z36" s="207">
        <f>'B5'!C35</f>
        <v>236</v>
      </c>
      <c r="AA36" s="207">
        <f>SUM(Z36*$Z$4)</f>
        <v>2360</v>
      </c>
      <c r="AB36" s="207">
        <f>SUM(Z36)</f>
        <v>236</v>
      </c>
      <c r="AC36" s="207">
        <f>SUM(AB36*$Z$4)</f>
        <v>2360</v>
      </c>
      <c r="AD36" s="207">
        <f>SUM(AB36)</f>
        <v>236</v>
      </c>
      <c r="AE36" s="207">
        <f>SUM(AD36*$Z$4)</f>
        <v>2360</v>
      </c>
      <c r="AF36" s="207">
        <f>SUM(AD36)</f>
        <v>236</v>
      </c>
      <c r="AG36" s="207">
        <f>SUM(AF36*$Z$4)</f>
        <v>2360</v>
      </c>
      <c r="AH36" s="207">
        <f>SUM(AF36)</f>
        <v>236</v>
      </c>
      <c r="AI36" s="207">
        <f>SUM(AH36*$Z$4)</f>
        <v>2360</v>
      </c>
      <c r="AJ36" s="207">
        <f>SUM(AH36)</f>
        <v>236</v>
      </c>
      <c r="AK36" s="207">
        <f>SUM(AJ36*$Z$4)</f>
        <v>2360</v>
      </c>
      <c r="AL36" s="207">
        <f>SUM(AJ36)</f>
        <v>236</v>
      </c>
      <c r="AM36" s="207">
        <f>SUM(AL36*$Z$4)</f>
        <v>2360</v>
      </c>
      <c r="AN36" s="35">
        <f>SUM(AO36/19600)</f>
        <v>0.84285714285714286</v>
      </c>
      <c r="AO36" s="36">
        <f>SUM(AA36+AC36+AE36+AG36+AI36+AK36+AM36)</f>
        <v>16520</v>
      </c>
      <c r="AP36" s="259"/>
      <c r="AQ36" s="227">
        <f>SUM(AR36/92970)</f>
        <v>0.76321185814362602</v>
      </c>
      <c r="AR36" s="38">
        <f>SUM(AO36+Y36)</f>
        <v>70955.806451612909</v>
      </c>
      <c r="AS36" s="201">
        <f>SUM(AR36-AR35-AT36)</f>
        <v>0</v>
      </c>
      <c r="AT36" s="376"/>
      <c r="AU36" s="471"/>
      <c r="AV36" s="569">
        <f>IF(AT36&gt;0,AU36,AV35)</f>
        <v>0.58350000000000002</v>
      </c>
      <c r="AW36" s="302">
        <f>-SUM('B5'!AI35)</f>
        <v>0</v>
      </c>
      <c r="AX36" s="302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7">
        <f>SUM('General information '!E36)</f>
        <v>0</v>
      </c>
      <c r="BC36" s="17"/>
      <c r="BD36" s="522"/>
      <c r="BE36" s="523"/>
      <c r="BF36" s="523"/>
      <c r="BG36" s="523"/>
      <c r="BH36" s="524"/>
    </row>
    <row r="37" spans="1:60">
      <c r="AQ37" s="20"/>
      <c r="AR37" s="516" t="s">
        <v>226</v>
      </c>
      <c r="AS37" s="525">
        <f>COUNT(AT6:AT36)</f>
        <v>4</v>
      </c>
      <c r="AT37" s="207">
        <f>SUM(AT6:AT36)</f>
        <v>56094</v>
      </c>
      <c r="AU37">
        <f>SUM(AU6:AU36)/AS37</f>
        <v>0.579125</v>
      </c>
      <c r="AX37" s="207">
        <f>SUM(AX6:AX36)</f>
        <v>-25795.419354838697</v>
      </c>
      <c r="AY37" s="207">
        <f>SUM(AY6:AY36)</f>
        <v>-48327.419354838697</v>
      </c>
    </row>
    <row r="38" spans="1:60">
      <c r="AS38" s="210"/>
      <c r="AT38">
        <f>+AT37*AU37</f>
        <v>32485.437750000001</v>
      </c>
    </row>
    <row r="40" spans="1:60">
      <c r="AS40" s="166">
        <f>SUM(AS6:AS36)/'EDl log'!A36</f>
        <v>-1858.7468982630269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4" priority="3" stopIfTrue="1" operator="greaterThan">
      <formula>0</formula>
    </cfRule>
  </conditionalFormatting>
  <conditionalFormatting sqref="AT6:AU36">
    <cfRule type="cellIs" dxfId="3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15" activePane="bottomLeft" state="frozen"/>
      <selection pane="bottomLeft" activeCell="U28" sqref="U28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2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32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8"/>
      <c r="P1" s="25" t="s">
        <v>46</v>
      </c>
      <c r="Q1" s="25" t="s">
        <v>49</v>
      </c>
      <c r="R1" s="432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8" t="s">
        <v>375</v>
      </c>
      <c r="AC1" s="298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 t="str">
        <f>ELEC!C2</f>
        <v>31-12-2019</v>
      </c>
      <c r="B2" s="277">
        <f>[1]GEN!B33</f>
        <v>8486</v>
      </c>
      <c r="C2" s="277">
        <f>[1]GEN!C33</f>
        <v>1</v>
      </c>
      <c r="D2" s="277">
        <f>[1]GEN!D33</f>
        <v>118621.7</v>
      </c>
      <c r="E2" s="277">
        <f>[1]GEN!E33</f>
        <v>83.69999999999709</v>
      </c>
      <c r="F2" s="277">
        <f>[1]GEN!F33</f>
        <v>83.69999999999709</v>
      </c>
      <c r="G2" s="277">
        <f>[1]GEN!G33</f>
        <v>0</v>
      </c>
      <c r="H2" s="277">
        <f>[1]GEN!H33</f>
        <v>8497</v>
      </c>
      <c r="I2" s="277" t="str">
        <f>[1]GEN!I33</f>
        <v>ok</v>
      </c>
      <c r="J2" s="277">
        <f>[1]GEN!J33</f>
        <v>10588</v>
      </c>
      <c r="K2" s="277">
        <f>[1]GEN!K33</f>
        <v>5</v>
      </c>
      <c r="L2" s="277">
        <f>[1]GEN!L33</f>
        <v>218633</v>
      </c>
      <c r="M2" s="277">
        <f>[1]GEN!M33</f>
        <v>507.10000000000582</v>
      </c>
      <c r="N2" s="277">
        <f>[1]GEN!N33</f>
        <v>101.42000000000117</v>
      </c>
      <c r="O2" s="277">
        <f>[1]GEN!O33</f>
        <v>0</v>
      </c>
      <c r="P2" s="277">
        <f>[1]GEN!P33</f>
        <v>10873</v>
      </c>
      <c r="Q2" s="277" t="str">
        <f>[1]GEN!Q33</f>
        <v>ok</v>
      </c>
      <c r="R2" s="277">
        <f>[1]GEN!R33</f>
        <v>10884</v>
      </c>
      <c r="S2" s="277">
        <f>[1]GEN!S33</f>
        <v>1</v>
      </c>
      <c r="T2" s="277">
        <f>[1]GEN!T33</f>
        <v>175184.2</v>
      </c>
      <c r="U2" s="277">
        <f>[1]GEN!U33</f>
        <v>232.60000000000582</v>
      </c>
      <c r="V2" s="277">
        <f>[1]GEN!V33</f>
        <v>232.60000000000582</v>
      </c>
      <c r="W2" s="277">
        <f>[1]GEN!W33</f>
        <v>0</v>
      </c>
      <c r="X2" s="277">
        <f>[1]GEN!X33</f>
        <v>10989</v>
      </c>
      <c r="Y2" s="277" t="str">
        <f>[1]GEN!Y33</f>
        <v>ok</v>
      </c>
      <c r="Z2" s="277">
        <f>[1]GEN!Z33</f>
        <v>7</v>
      </c>
      <c r="AA2" s="277">
        <f>[1]GEN!AA33</f>
        <v>823.40000000000873</v>
      </c>
      <c r="AB2" s="277">
        <f>[1]GEN!AB33</f>
        <v>417.72000000000406</v>
      </c>
      <c r="AC2" s="277">
        <f>[1]GEN!AC33</f>
        <v>117.62857142857267</v>
      </c>
      <c r="AD2" s="277">
        <f>[1]GEN!AD33</f>
        <v>3495.0000000008004</v>
      </c>
      <c r="AE2" s="277">
        <f>[1]GEN!AE33</f>
        <v>499.28571428582865</v>
      </c>
      <c r="AF2" s="277">
        <f>[1]GEN!AF33</f>
        <v>0.31205357142864293</v>
      </c>
      <c r="AG2" s="277">
        <f>[1]GEN!AG33</f>
        <v>99.857142857165741</v>
      </c>
      <c r="AH2" s="277">
        <f>[1]GEN!AH33</f>
        <v>17.771428571406929</v>
      </c>
      <c r="AI2" s="277">
        <f>[1]GEN!AI33</f>
        <v>899.55696202552258</v>
      </c>
      <c r="AJ2" s="277">
        <f>[1]GEN!AJ33</f>
        <v>0.25738396624472576</v>
      </c>
      <c r="AK2" s="277">
        <f>[1]GEN!AK33</f>
        <v>128.50813743221752</v>
      </c>
    </row>
    <row r="3" spans="1:37">
      <c r="A3" s="4">
        <f>ELEC!C3</f>
        <v>43831</v>
      </c>
      <c r="B3" s="277">
        <v>8486</v>
      </c>
      <c r="C3" s="299">
        <f>B3-B2</f>
        <v>0</v>
      </c>
      <c r="D3" s="277">
        <v>118644</v>
      </c>
      <c r="E3" s="299">
        <f>SUM(D3-D2)</f>
        <v>22.30000000000291</v>
      </c>
      <c r="F3" s="299">
        <f t="shared" ref="F3:F32" si="0">IF(C3&gt;0,E3/C3,0)</f>
        <v>0</v>
      </c>
      <c r="G3" s="277">
        <f>[2]GEN!G32</f>
        <v>0</v>
      </c>
      <c r="H3" s="300">
        <f>H2</f>
        <v>8497</v>
      </c>
      <c r="I3" s="299" t="str">
        <f t="shared" ref="I3:I32" si="1">IF(B3-H3&lt;=0,"ok","oil change")</f>
        <v>ok</v>
      </c>
      <c r="J3" s="277">
        <v>10591</v>
      </c>
      <c r="K3" s="299">
        <f t="shared" ref="K3:K31" si="2">J3-J2</f>
        <v>3</v>
      </c>
      <c r="L3" s="277">
        <v>219030.1</v>
      </c>
      <c r="M3" s="299">
        <f t="shared" ref="M3:M33" si="3">SUM(L3-L2)</f>
        <v>397.10000000000582</v>
      </c>
      <c r="N3" s="299">
        <f>IF(K3&gt;0,M3/K3,0)</f>
        <v>132.36666666666861</v>
      </c>
      <c r="O3" s="277">
        <f>[2]GEN!O32</f>
        <v>0</v>
      </c>
      <c r="P3" s="300">
        <f>P2</f>
        <v>10873</v>
      </c>
      <c r="Q3" s="299" t="str">
        <f t="shared" ref="Q3:Q17" si="4">IF(J3-P3&lt;=0,"ok","oil change")</f>
        <v>ok</v>
      </c>
      <c r="R3" s="277">
        <v>10884</v>
      </c>
      <c r="S3" s="299">
        <f t="shared" ref="S3:S32" si="5">R3-R2</f>
        <v>0</v>
      </c>
      <c r="T3" s="277">
        <v>175258</v>
      </c>
      <c r="U3" s="299">
        <f t="shared" ref="U3:U18" si="6">SUM(T3-T2)</f>
        <v>73.799999999988358</v>
      </c>
      <c r="V3" s="299">
        <f>IF(S3&gt;0,U3/S3,0)</f>
        <v>0</v>
      </c>
      <c r="W3" s="277">
        <f>[2]GEN!W32</f>
        <v>0</v>
      </c>
      <c r="X3" s="300">
        <f>X2</f>
        <v>10989</v>
      </c>
      <c r="Y3" s="299" t="str">
        <f t="shared" ref="Y3:Y20" si="7">IF(R3-X3&lt;=0,"ok","oil change")</f>
        <v>ok</v>
      </c>
      <c r="Z3" s="299">
        <f t="shared" ref="Z3:Z32" si="8">C3+K3+S3</f>
        <v>3</v>
      </c>
      <c r="AA3" s="299">
        <f>U3+M3+E3</f>
        <v>493.19999999999709</v>
      </c>
      <c r="AB3" s="299">
        <f>V3+N3+F3</f>
        <v>132.36666666666861</v>
      </c>
      <c r="AC3" s="299">
        <f>IF(Z3&gt;0,AA3/Z3,0)</f>
        <v>164.39999999999904</v>
      </c>
      <c r="AD3" s="74">
        <f>ELEC!Q3</f>
        <v>2546.9999999986612</v>
      </c>
      <c r="AE3" s="74">
        <f>SUM(AD3/Z3)</f>
        <v>848.99999999955378</v>
      </c>
      <c r="AF3" s="426">
        <f>SUM(AE3/1600)</f>
        <v>0.53062499999972113</v>
      </c>
      <c r="AG3" s="427">
        <f>SUM(360*AF3)</f>
        <v>191.02499999989959</v>
      </c>
      <c r="AH3" s="427">
        <f>SUM(AC3-AG3)</f>
        <v>-26.624999999900552</v>
      </c>
      <c r="AI3" s="74">
        <f>AD3*AJ3</f>
        <v>655.55696202497188</v>
      </c>
      <c r="AJ3" s="301">
        <f t="shared" ref="AJ3:AJ32" si="9">305/1185</f>
        <v>0.25738396624472576</v>
      </c>
      <c r="AK3" s="301">
        <f t="shared" ref="AK3:AK8" si="10">AI3/Z3</f>
        <v>218.51898734165729</v>
      </c>
    </row>
    <row r="4" spans="1:37">
      <c r="A4" s="4">
        <f>ELEC!C4</f>
        <v>43832</v>
      </c>
      <c r="B4" s="277">
        <v>8486</v>
      </c>
      <c r="C4" s="299">
        <f t="shared" ref="C4:C32" si="11">B4-B3</f>
        <v>0</v>
      </c>
      <c r="D4" s="277">
        <v>118701</v>
      </c>
      <c r="E4" s="299">
        <f t="shared" ref="E4:E32" si="12">SUM(D4-D3)</f>
        <v>57</v>
      </c>
      <c r="F4" s="299">
        <f t="shared" si="0"/>
        <v>0</v>
      </c>
      <c r="G4" s="200"/>
      <c r="H4" s="300">
        <f t="shared" ref="H4:H33" si="13">H3</f>
        <v>8497</v>
      </c>
      <c r="I4" s="299" t="str">
        <f t="shared" si="1"/>
        <v>ok</v>
      </c>
      <c r="J4" s="277">
        <v>10597</v>
      </c>
      <c r="K4" s="299">
        <f t="shared" si="2"/>
        <v>6</v>
      </c>
      <c r="L4" s="277">
        <v>219814</v>
      </c>
      <c r="M4" s="299">
        <f t="shared" si="3"/>
        <v>783.89999999999418</v>
      </c>
      <c r="N4" s="299">
        <f t="shared" ref="N4:N32" si="14">IF(K4&gt;0,M4/K4,0)</f>
        <v>130.64999999999904</v>
      </c>
      <c r="O4" s="200"/>
      <c r="P4" s="300">
        <f t="shared" ref="P4:P33" si="15">P3</f>
        <v>10873</v>
      </c>
      <c r="Q4" s="299" t="str">
        <f t="shared" si="4"/>
        <v>ok</v>
      </c>
      <c r="R4" s="277">
        <v>10885</v>
      </c>
      <c r="S4" s="299">
        <f t="shared" si="5"/>
        <v>1</v>
      </c>
      <c r="T4" s="277">
        <v>175393.1</v>
      </c>
      <c r="U4" s="299">
        <f t="shared" si="6"/>
        <v>135.10000000000582</v>
      </c>
      <c r="V4" s="299">
        <f t="shared" ref="V4:V32" si="16">IF(S4&gt;0,U4/S4,0)</f>
        <v>135.10000000000582</v>
      </c>
      <c r="W4" s="200"/>
      <c r="X4" s="300">
        <f t="shared" ref="X4:X33" si="17">X3</f>
        <v>10989</v>
      </c>
      <c r="Y4" s="299" t="str">
        <f t="shared" si="7"/>
        <v>ok</v>
      </c>
      <c r="Z4" s="299">
        <f>C4+K4+S4</f>
        <v>7</v>
      </c>
      <c r="AA4" s="299">
        <f t="shared" ref="AA4:AA32" si="18">U4+M4+E4</f>
        <v>976</v>
      </c>
      <c r="AB4" s="299">
        <f t="shared" ref="AB4:AB32" si="19">V4+N4+F4</f>
        <v>265.75000000000489</v>
      </c>
      <c r="AC4" s="299">
        <f t="shared" ref="AC4:AC32" si="20">IF(Z4&gt;0,AA4/Z4,0)</f>
        <v>139.42857142857142</v>
      </c>
      <c r="AD4" s="74">
        <f>ELEC!Q4</f>
        <v>4622.0000000012078</v>
      </c>
      <c r="AE4" s="74">
        <f>SUM(AD4/Z4)</f>
        <v>660.2857142858868</v>
      </c>
      <c r="AF4" s="426">
        <f>SUM(AE4/1600)</f>
        <v>0.41267857142867925</v>
      </c>
      <c r="AG4" s="427">
        <f>SUM(360*AF4)</f>
        <v>148.56428571432454</v>
      </c>
      <c r="AH4" s="427">
        <f t="shared" ref="AH4:AH32" si="21">SUM(AC4-AG4)</f>
        <v>-9.1357142857531244</v>
      </c>
      <c r="AI4" s="74">
        <f>AD4*AJ4</f>
        <v>1189.6286919834333</v>
      </c>
      <c r="AJ4" s="301">
        <f t="shared" si="9"/>
        <v>0.25738396624472576</v>
      </c>
      <c r="AK4" s="301">
        <f t="shared" si="10"/>
        <v>169.94695599763332</v>
      </c>
    </row>
    <row r="5" spans="1:37">
      <c r="A5" s="4">
        <f>ELEC!C5</f>
        <v>43833</v>
      </c>
      <c r="B5" s="277">
        <f t="shared" ref="B5:D33" si="22">B4</f>
        <v>8486</v>
      </c>
      <c r="C5" s="299">
        <f t="shared" si="11"/>
        <v>0</v>
      </c>
      <c r="D5" s="277">
        <v>118732.4</v>
      </c>
      <c r="E5" s="299">
        <f t="shared" si="12"/>
        <v>31.399999999994179</v>
      </c>
      <c r="F5" s="299">
        <f t="shared" si="0"/>
        <v>0</v>
      </c>
      <c r="G5" s="297"/>
      <c r="H5" s="300">
        <v>8497</v>
      </c>
      <c r="I5" s="299" t="str">
        <f t="shared" si="1"/>
        <v>ok</v>
      </c>
      <c r="J5" s="277">
        <v>10603</v>
      </c>
      <c r="K5" s="299">
        <f t="shared" si="2"/>
        <v>6</v>
      </c>
      <c r="L5" s="277">
        <v>220473.1</v>
      </c>
      <c r="M5" s="299">
        <f t="shared" si="3"/>
        <v>659.10000000000582</v>
      </c>
      <c r="N5" s="299">
        <f t="shared" si="14"/>
        <v>109.85000000000097</v>
      </c>
      <c r="O5" s="200"/>
      <c r="P5" s="300">
        <f>P4</f>
        <v>10873</v>
      </c>
      <c r="Q5" s="299" t="str">
        <f t="shared" si="4"/>
        <v>ok</v>
      </c>
      <c r="R5" s="277">
        <v>10885</v>
      </c>
      <c r="S5" s="299">
        <f t="shared" si="5"/>
        <v>0</v>
      </c>
      <c r="T5" s="277">
        <v>175498.8</v>
      </c>
      <c r="U5" s="299">
        <f t="shared" si="6"/>
        <v>105.69999999998254</v>
      </c>
      <c r="V5" s="299">
        <f>IF(S5&gt;0,U5/S5,0)</f>
        <v>0</v>
      </c>
      <c r="W5" s="200"/>
      <c r="X5" s="300">
        <f t="shared" si="17"/>
        <v>10989</v>
      </c>
      <c r="Y5" s="299" t="str">
        <f t="shared" si="7"/>
        <v>ok</v>
      </c>
      <c r="Z5" s="299">
        <f t="shared" si="8"/>
        <v>6</v>
      </c>
      <c r="AA5" s="299">
        <f t="shared" si="18"/>
        <v>796.19999999998254</v>
      </c>
      <c r="AB5" s="299">
        <f t="shared" si="19"/>
        <v>109.85000000000097</v>
      </c>
      <c r="AC5" s="299">
        <f t="shared" si="20"/>
        <v>132.69999999999709</v>
      </c>
      <c r="AD5" s="74">
        <f>ELEC!Q5</f>
        <v>4630.9999999994034</v>
      </c>
      <c r="AE5" s="74">
        <f t="shared" ref="AE5:AE32" si="23">SUM(AD5/Z5)</f>
        <v>771.8333333332339</v>
      </c>
      <c r="AF5" s="426">
        <f t="shared" ref="AF5:AF32" si="24">SUM(AE5/1600)</f>
        <v>0.48239583333327118</v>
      </c>
      <c r="AG5" s="427">
        <f t="shared" ref="AG5:AG32" si="25">SUM(320*AF5)</f>
        <v>154.36666666664678</v>
      </c>
      <c r="AH5" s="427">
        <f t="shared" si="21"/>
        <v>-21.666666666649689</v>
      </c>
      <c r="AI5" s="74">
        <f t="shared" ref="AI5:AI32" si="26">AD5*AJ5</f>
        <v>1191.9451476791714</v>
      </c>
      <c r="AJ5" s="301">
        <f t="shared" si="9"/>
        <v>0.25738396624472576</v>
      </c>
      <c r="AK5" s="301">
        <f t="shared" si="10"/>
        <v>198.65752461319525</v>
      </c>
    </row>
    <row r="6" spans="1:37">
      <c r="A6" s="4">
        <f>ELEC!C6</f>
        <v>43834</v>
      </c>
      <c r="B6" s="277">
        <f t="shared" si="22"/>
        <v>8486</v>
      </c>
      <c r="C6" s="299">
        <f t="shared" si="11"/>
        <v>0</v>
      </c>
      <c r="D6" s="277">
        <v>118765.8</v>
      </c>
      <c r="E6" s="299">
        <f t="shared" si="12"/>
        <v>33.400000000008731</v>
      </c>
      <c r="F6" s="299">
        <f t="shared" si="0"/>
        <v>0</v>
      </c>
      <c r="G6" s="200"/>
      <c r="H6" s="300">
        <f t="shared" si="13"/>
        <v>8497</v>
      </c>
      <c r="I6" s="299" t="str">
        <f t="shared" si="1"/>
        <v>ok</v>
      </c>
      <c r="J6" s="277">
        <v>10608</v>
      </c>
      <c r="K6" s="299">
        <f t="shared" si="2"/>
        <v>5</v>
      </c>
      <c r="L6" s="277">
        <v>221194.7</v>
      </c>
      <c r="M6" s="299">
        <f t="shared" si="3"/>
        <v>721.60000000000582</v>
      </c>
      <c r="N6" s="299">
        <f t="shared" si="14"/>
        <v>144.32000000000116</v>
      </c>
      <c r="O6" s="324"/>
      <c r="P6" s="300">
        <f t="shared" si="15"/>
        <v>10873</v>
      </c>
      <c r="Q6" s="299" t="str">
        <f t="shared" si="4"/>
        <v>ok</v>
      </c>
      <c r="R6" s="277">
        <v>10886</v>
      </c>
      <c r="S6" s="299">
        <f t="shared" si="5"/>
        <v>1</v>
      </c>
      <c r="T6" s="277">
        <v>175723.2</v>
      </c>
      <c r="U6" s="299">
        <f t="shared" si="6"/>
        <v>224.40000000002328</v>
      </c>
      <c r="V6" s="299">
        <f t="shared" si="16"/>
        <v>224.40000000002328</v>
      </c>
      <c r="W6" s="324"/>
      <c r="X6" s="300">
        <f t="shared" si="17"/>
        <v>10989</v>
      </c>
      <c r="Y6" s="299" t="str">
        <f t="shared" si="7"/>
        <v>ok</v>
      </c>
      <c r="Z6" s="299">
        <f t="shared" si="8"/>
        <v>6</v>
      </c>
      <c r="AA6" s="299">
        <f t="shared" si="18"/>
        <v>979.40000000003783</v>
      </c>
      <c r="AB6" s="299">
        <f t="shared" si="19"/>
        <v>368.72000000002447</v>
      </c>
      <c r="AC6" s="299">
        <f t="shared" si="20"/>
        <v>163.23333333333963</v>
      </c>
      <c r="AD6" s="74">
        <f>ELEC!Q6</f>
        <v>4000</v>
      </c>
      <c r="AE6" s="74">
        <f>SUM(AD6/Z6)</f>
        <v>666.66666666666663</v>
      </c>
      <c r="AF6" s="426">
        <f t="shared" si="24"/>
        <v>0.41666666666666663</v>
      </c>
      <c r="AG6" s="427">
        <f>SUM(320*AF6)</f>
        <v>133.33333333333331</v>
      </c>
      <c r="AH6" s="427">
        <f t="shared" si="21"/>
        <v>29.900000000006315</v>
      </c>
      <c r="AI6" s="74">
        <f t="shared" si="26"/>
        <v>1029.535864978903</v>
      </c>
      <c r="AJ6" s="301">
        <f t="shared" si="9"/>
        <v>0.25738396624472576</v>
      </c>
      <c r="AK6" s="301">
        <f t="shared" si="10"/>
        <v>171.58931082981715</v>
      </c>
    </row>
    <row r="7" spans="1:37">
      <c r="A7" s="4">
        <f>ELEC!C7</f>
        <v>43835</v>
      </c>
      <c r="B7" s="277">
        <v>8486</v>
      </c>
      <c r="C7" s="299">
        <f t="shared" si="11"/>
        <v>0</v>
      </c>
      <c r="D7" s="277">
        <v>118781</v>
      </c>
      <c r="E7" s="299">
        <f t="shared" si="12"/>
        <v>15.19999999999709</v>
      </c>
      <c r="F7" s="299">
        <f t="shared" si="0"/>
        <v>0</v>
      </c>
      <c r="G7" s="200"/>
      <c r="H7" s="300">
        <f t="shared" si="13"/>
        <v>8497</v>
      </c>
      <c r="I7" s="299" t="str">
        <f t="shared" si="1"/>
        <v>ok</v>
      </c>
      <c r="J7" s="277">
        <v>10611</v>
      </c>
      <c r="K7" s="299">
        <f t="shared" si="2"/>
        <v>3</v>
      </c>
      <c r="L7" s="277">
        <v>221540</v>
      </c>
      <c r="M7" s="299">
        <f t="shared" si="3"/>
        <v>345.29999999998836</v>
      </c>
      <c r="N7" s="299">
        <f t="shared" si="14"/>
        <v>115.09999999999611</v>
      </c>
      <c r="O7" s="324"/>
      <c r="P7" s="300">
        <f t="shared" si="15"/>
        <v>10873</v>
      </c>
      <c r="Q7" s="299" t="str">
        <f t="shared" si="4"/>
        <v>ok</v>
      </c>
      <c r="R7" s="277">
        <v>10886</v>
      </c>
      <c r="S7" s="299">
        <f t="shared" si="5"/>
        <v>0</v>
      </c>
      <c r="T7" s="277">
        <v>175776.5</v>
      </c>
      <c r="U7" s="299">
        <f t="shared" si="6"/>
        <v>53.299999999988358</v>
      </c>
      <c r="V7" s="299">
        <f t="shared" si="16"/>
        <v>0</v>
      </c>
      <c r="W7" s="200"/>
      <c r="X7" s="300">
        <f t="shared" si="17"/>
        <v>10989</v>
      </c>
      <c r="Y7" s="299" t="str">
        <f t="shared" si="7"/>
        <v>ok</v>
      </c>
      <c r="Z7" s="299">
        <f t="shared" si="8"/>
        <v>3</v>
      </c>
      <c r="AA7" s="299">
        <f>U7+M7+E7</f>
        <v>413.79999999997381</v>
      </c>
      <c r="AB7" s="299">
        <f t="shared" si="19"/>
        <v>115.09999999999611</v>
      </c>
      <c r="AC7" s="299">
        <f t="shared" si="20"/>
        <v>137.93333333332461</v>
      </c>
      <c r="AD7" s="74">
        <f>ELEC!Q7</f>
        <v>2585.9999999993306</v>
      </c>
      <c r="AE7" s="74">
        <f t="shared" si="23"/>
        <v>861.99999999977683</v>
      </c>
      <c r="AF7" s="426">
        <f t="shared" si="24"/>
        <v>0.53874999999986051</v>
      </c>
      <c r="AG7" s="551" t="s">
        <v>406</v>
      </c>
      <c r="AH7" s="427" t="e">
        <f t="shared" si="21"/>
        <v>#VALUE!</v>
      </c>
      <c r="AI7" s="74">
        <f t="shared" si="26"/>
        <v>665.59493670868858</v>
      </c>
      <c r="AJ7" s="301">
        <f t="shared" si="9"/>
        <v>0.25738396624472576</v>
      </c>
      <c r="AK7" s="301">
        <f t="shared" si="10"/>
        <v>221.86497890289618</v>
      </c>
    </row>
    <row r="8" spans="1:37">
      <c r="A8" s="4">
        <f>ELEC!C8</f>
        <v>43836</v>
      </c>
      <c r="B8" s="277">
        <v>8487</v>
      </c>
      <c r="C8" s="299">
        <f t="shared" si="11"/>
        <v>1</v>
      </c>
      <c r="D8" s="277">
        <v>118823</v>
      </c>
      <c r="E8" s="299">
        <f t="shared" si="12"/>
        <v>42</v>
      </c>
      <c r="F8" s="299">
        <f t="shared" si="0"/>
        <v>42</v>
      </c>
      <c r="G8" s="200"/>
      <c r="H8" s="300">
        <f t="shared" si="13"/>
        <v>8497</v>
      </c>
      <c r="I8" s="299" t="str">
        <f t="shared" si="1"/>
        <v>ok</v>
      </c>
      <c r="J8" s="277">
        <v>10619</v>
      </c>
      <c r="K8" s="299">
        <f t="shared" si="2"/>
        <v>8</v>
      </c>
      <c r="L8" s="277">
        <v>222802</v>
      </c>
      <c r="M8" s="299">
        <f t="shared" si="3"/>
        <v>1262</v>
      </c>
      <c r="N8" s="299">
        <f t="shared" si="14"/>
        <v>157.75</v>
      </c>
      <c r="O8" s="200"/>
      <c r="P8" s="300">
        <f t="shared" si="15"/>
        <v>10873</v>
      </c>
      <c r="Q8" s="299" t="str">
        <f t="shared" si="4"/>
        <v>ok</v>
      </c>
      <c r="R8" s="277">
        <v>10887</v>
      </c>
      <c r="S8" s="299">
        <f t="shared" si="5"/>
        <v>1</v>
      </c>
      <c r="T8" s="277">
        <v>175937.9</v>
      </c>
      <c r="U8" s="299">
        <f t="shared" si="6"/>
        <v>161.39999999999418</v>
      </c>
      <c r="V8" s="299">
        <f t="shared" si="16"/>
        <v>161.39999999999418</v>
      </c>
      <c r="W8" s="200"/>
      <c r="X8" s="300">
        <f t="shared" si="17"/>
        <v>10989</v>
      </c>
      <c r="Y8" s="299" t="str">
        <f t="shared" si="7"/>
        <v>ok</v>
      </c>
      <c r="Z8" s="299">
        <f t="shared" si="8"/>
        <v>10</v>
      </c>
      <c r="AA8" s="299">
        <f t="shared" si="18"/>
        <v>1465.3999999999942</v>
      </c>
      <c r="AB8" s="299">
        <f t="shared" si="19"/>
        <v>361.14999999999418</v>
      </c>
      <c r="AC8" s="299">
        <f t="shared" si="20"/>
        <v>146.53999999999942</v>
      </c>
      <c r="AD8" s="74">
        <f>ELEC!Q8</f>
        <v>5234.0000000003783</v>
      </c>
      <c r="AE8" s="74">
        <f t="shared" si="23"/>
        <v>523.40000000003783</v>
      </c>
      <c r="AF8" s="426">
        <f t="shared" si="24"/>
        <v>0.32712500000002365</v>
      </c>
      <c r="AG8" s="427">
        <f t="shared" si="25"/>
        <v>104.68000000000757</v>
      </c>
      <c r="AH8" s="427">
        <f t="shared" si="21"/>
        <v>41.859999999991857</v>
      </c>
      <c r="AI8" s="74">
        <f t="shared" si="26"/>
        <v>1347.1476793249919</v>
      </c>
      <c r="AJ8" s="301">
        <f t="shared" si="9"/>
        <v>0.25738396624472576</v>
      </c>
      <c r="AK8" s="301">
        <f t="shared" si="10"/>
        <v>134.7147679324992</v>
      </c>
    </row>
    <row r="9" spans="1:37">
      <c r="A9" s="4">
        <f>ELEC!C9</f>
        <v>43837</v>
      </c>
      <c r="B9" s="277">
        <v>8487</v>
      </c>
      <c r="C9" s="299">
        <f t="shared" si="11"/>
        <v>0</v>
      </c>
      <c r="D9" s="277">
        <v>118878</v>
      </c>
      <c r="E9" s="299">
        <f t="shared" si="12"/>
        <v>55</v>
      </c>
      <c r="F9" s="299">
        <f t="shared" si="0"/>
        <v>0</v>
      </c>
      <c r="G9" s="200"/>
      <c r="H9" s="300">
        <f t="shared" si="13"/>
        <v>8497</v>
      </c>
      <c r="I9" s="299" t="str">
        <f t="shared" si="1"/>
        <v>ok</v>
      </c>
      <c r="J9" s="277">
        <v>10628</v>
      </c>
      <c r="K9" s="299">
        <f t="shared" si="2"/>
        <v>9</v>
      </c>
      <c r="L9" s="277">
        <v>224521</v>
      </c>
      <c r="M9" s="299">
        <f t="shared" si="3"/>
        <v>1719</v>
      </c>
      <c r="N9" s="299">
        <f t="shared" si="14"/>
        <v>191</v>
      </c>
      <c r="O9" s="200"/>
      <c r="P9" s="300">
        <f t="shared" si="15"/>
        <v>10873</v>
      </c>
      <c r="Q9" s="299" t="str">
        <f t="shared" si="4"/>
        <v>ok</v>
      </c>
      <c r="R9" s="277">
        <v>10887</v>
      </c>
      <c r="S9" s="299">
        <f t="shared" si="5"/>
        <v>0</v>
      </c>
      <c r="T9" s="277">
        <v>176085</v>
      </c>
      <c r="U9" s="299">
        <f t="shared" si="6"/>
        <v>147.10000000000582</v>
      </c>
      <c r="V9" s="299">
        <f t="shared" si="16"/>
        <v>0</v>
      </c>
      <c r="W9" s="200"/>
      <c r="X9" s="300">
        <f t="shared" si="17"/>
        <v>10989</v>
      </c>
      <c r="Y9" s="299" t="str">
        <f t="shared" si="7"/>
        <v>ok</v>
      </c>
      <c r="Z9" s="299">
        <f t="shared" si="8"/>
        <v>9</v>
      </c>
      <c r="AA9" s="299">
        <f t="shared" si="18"/>
        <v>1921.1000000000058</v>
      </c>
      <c r="AB9" s="299">
        <f t="shared" si="19"/>
        <v>191</v>
      </c>
      <c r="AC9" s="299">
        <f t="shared" si="20"/>
        <v>213.4555555555562</v>
      </c>
      <c r="AD9" s="74">
        <f>ELEC!Q9</f>
        <v>4879.0000000008149</v>
      </c>
      <c r="AE9" s="74">
        <f t="shared" si="23"/>
        <v>542.11111111120169</v>
      </c>
      <c r="AF9" s="426">
        <f t="shared" si="24"/>
        <v>0.33881944444450107</v>
      </c>
      <c r="AG9" s="427">
        <f t="shared" si="25"/>
        <v>108.42222222224035</v>
      </c>
      <c r="AH9" s="427">
        <f t="shared" si="21"/>
        <v>105.03333333331585</v>
      </c>
      <c r="AI9" s="74">
        <f t="shared" si="26"/>
        <v>1255.7763713082268</v>
      </c>
      <c r="AJ9" s="301">
        <v>0.25738396624472576</v>
      </c>
      <c r="AK9" s="301">
        <f t="shared" ref="AK9:AK16" si="27">IF(Z9&gt;0,AI9/Z9,0)</f>
        <v>139.5307079231363</v>
      </c>
    </row>
    <row r="10" spans="1:37">
      <c r="A10" s="4">
        <f>ELEC!C10</f>
        <v>43838</v>
      </c>
      <c r="B10" s="277">
        <f t="shared" si="22"/>
        <v>8487</v>
      </c>
      <c r="C10" s="299">
        <f t="shared" si="11"/>
        <v>0</v>
      </c>
      <c r="D10" s="277">
        <f t="shared" si="22"/>
        <v>118878</v>
      </c>
      <c r="E10" s="299">
        <f t="shared" si="12"/>
        <v>0</v>
      </c>
      <c r="F10" s="299">
        <f t="shared" si="0"/>
        <v>0</v>
      </c>
      <c r="G10" s="200"/>
      <c r="H10" s="300">
        <f t="shared" si="13"/>
        <v>8497</v>
      </c>
      <c r="I10" s="299" t="str">
        <f t="shared" si="1"/>
        <v>ok</v>
      </c>
      <c r="J10" s="277">
        <v>10642</v>
      </c>
      <c r="K10" s="299">
        <f t="shared" si="2"/>
        <v>14</v>
      </c>
      <c r="L10" s="277">
        <v>227914.9</v>
      </c>
      <c r="M10" s="299">
        <f t="shared" si="3"/>
        <v>3393.8999999999942</v>
      </c>
      <c r="N10" s="299">
        <f t="shared" si="14"/>
        <v>242.42142857142815</v>
      </c>
      <c r="O10" s="200"/>
      <c r="P10" s="300">
        <v>10873</v>
      </c>
      <c r="Q10" s="299" t="str">
        <f t="shared" si="4"/>
        <v>ok</v>
      </c>
      <c r="R10" s="277">
        <v>10889</v>
      </c>
      <c r="S10" s="299">
        <f t="shared" si="5"/>
        <v>2</v>
      </c>
      <c r="T10" s="277">
        <v>176482.2</v>
      </c>
      <c r="U10" s="299">
        <f t="shared" si="6"/>
        <v>397.20000000001164</v>
      </c>
      <c r="V10" s="299">
        <f t="shared" si="16"/>
        <v>198.60000000000582</v>
      </c>
      <c r="W10" s="200"/>
      <c r="X10" s="300">
        <f t="shared" si="17"/>
        <v>10989</v>
      </c>
      <c r="Y10" s="299" t="str">
        <f t="shared" si="7"/>
        <v>ok</v>
      </c>
      <c r="Z10" s="299">
        <f t="shared" si="8"/>
        <v>16</v>
      </c>
      <c r="AA10" s="299">
        <f t="shared" si="18"/>
        <v>3791.1000000000058</v>
      </c>
      <c r="AB10" s="299">
        <f t="shared" si="19"/>
        <v>441.02142857143394</v>
      </c>
      <c r="AC10" s="299">
        <f t="shared" si="20"/>
        <v>236.94375000000036</v>
      </c>
      <c r="AD10" s="74">
        <f>ELEC!Q10</f>
        <v>7001.0000000002037</v>
      </c>
      <c r="AE10" s="74">
        <f t="shared" si="23"/>
        <v>437.56250000001273</v>
      </c>
      <c r="AF10" s="426">
        <f t="shared" si="24"/>
        <v>0.27347656250000796</v>
      </c>
      <c r="AG10" s="427">
        <f t="shared" si="25"/>
        <v>87.512500000002547</v>
      </c>
      <c r="AH10" s="427">
        <f t="shared" si="21"/>
        <v>149.43124999999782</v>
      </c>
      <c r="AI10" s="74">
        <f t="shared" si="26"/>
        <v>1801.9451476793774</v>
      </c>
      <c r="AJ10" s="301">
        <f t="shared" si="9"/>
        <v>0.25738396624472576</v>
      </c>
      <c r="AK10" s="301">
        <f t="shared" si="27"/>
        <v>112.62157172996109</v>
      </c>
    </row>
    <row r="11" spans="1:37">
      <c r="A11" s="4">
        <f>ELEC!C11</f>
        <v>43839</v>
      </c>
      <c r="B11" s="277">
        <v>8487</v>
      </c>
      <c r="C11" s="299">
        <f t="shared" si="11"/>
        <v>0</v>
      </c>
      <c r="D11" s="277">
        <v>118922.3</v>
      </c>
      <c r="E11" s="299">
        <f t="shared" si="12"/>
        <v>44.30000000000291</v>
      </c>
      <c r="F11" s="299">
        <f t="shared" si="0"/>
        <v>0</v>
      </c>
      <c r="G11" s="200"/>
      <c r="H11" s="300">
        <f t="shared" si="13"/>
        <v>8497</v>
      </c>
      <c r="I11" s="299" t="str">
        <f t="shared" si="1"/>
        <v>ok</v>
      </c>
      <c r="J11" s="277">
        <v>10649</v>
      </c>
      <c r="K11" s="299">
        <f t="shared" si="2"/>
        <v>7</v>
      </c>
      <c r="L11" s="277">
        <v>229412.3</v>
      </c>
      <c r="M11" s="299">
        <f t="shared" si="3"/>
        <v>1497.3999999999942</v>
      </c>
      <c r="N11" s="299">
        <f t="shared" si="14"/>
        <v>213.91428571428489</v>
      </c>
      <c r="O11" s="200"/>
      <c r="P11" s="300">
        <f t="shared" si="15"/>
        <v>10873</v>
      </c>
      <c r="Q11" s="299" t="str">
        <f t="shared" si="4"/>
        <v>ok</v>
      </c>
      <c r="R11" s="277">
        <v>10889</v>
      </c>
      <c r="S11" s="299">
        <f t="shared" si="5"/>
        <v>0</v>
      </c>
      <c r="T11" s="277">
        <v>176646</v>
      </c>
      <c r="U11" s="299">
        <f t="shared" si="6"/>
        <v>163.79999999998836</v>
      </c>
      <c r="V11" s="299">
        <f t="shared" si="16"/>
        <v>0</v>
      </c>
      <c r="W11" s="200"/>
      <c r="X11" s="300">
        <f t="shared" si="17"/>
        <v>10989</v>
      </c>
      <c r="Y11" s="299" t="str">
        <f t="shared" si="7"/>
        <v>ok</v>
      </c>
      <c r="Z11" s="299">
        <f t="shared" si="8"/>
        <v>7</v>
      </c>
      <c r="AA11" s="299">
        <f t="shared" si="18"/>
        <v>1705.4999999999854</v>
      </c>
      <c r="AB11" s="299">
        <f t="shared" si="19"/>
        <v>213.91428571428489</v>
      </c>
      <c r="AC11" s="299">
        <f t="shared" si="20"/>
        <v>243.64285714285506</v>
      </c>
      <c r="AD11" s="74">
        <f>ELEC!Q11</f>
        <v>4885.999999998603</v>
      </c>
      <c r="AE11" s="74">
        <f t="shared" si="23"/>
        <v>697.99999999980048</v>
      </c>
      <c r="AF11" s="426">
        <f t="shared" si="24"/>
        <v>0.43624999999987529</v>
      </c>
      <c r="AG11" s="427">
        <f t="shared" si="25"/>
        <v>139.59999999996009</v>
      </c>
      <c r="AH11" s="427">
        <f t="shared" si="21"/>
        <v>104.04285714289497</v>
      </c>
      <c r="AI11" s="74">
        <f t="shared" si="26"/>
        <v>1257.5780590713705</v>
      </c>
      <c r="AJ11" s="301">
        <f t="shared" si="9"/>
        <v>0.25738396624472576</v>
      </c>
      <c r="AK11" s="301">
        <f t="shared" si="27"/>
        <v>179.65400843876722</v>
      </c>
    </row>
    <row r="12" spans="1:37">
      <c r="A12" s="4">
        <f>ELEC!C12</f>
        <v>43840</v>
      </c>
      <c r="B12" s="277">
        <v>8487</v>
      </c>
      <c r="C12" s="299">
        <f t="shared" si="11"/>
        <v>0</v>
      </c>
      <c r="D12" s="277">
        <v>118922.4</v>
      </c>
      <c r="E12" s="299">
        <f t="shared" si="12"/>
        <v>9.9999999991268851E-2</v>
      </c>
      <c r="F12" s="299">
        <f t="shared" si="0"/>
        <v>0</v>
      </c>
      <c r="G12" s="200"/>
      <c r="H12" s="300">
        <f t="shared" si="13"/>
        <v>8497</v>
      </c>
      <c r="I12" s="299" t="str">
        <f t="shared" si="1"/>
        <v>ok</v>
      </c>
      <c r="J12" s="277">
        <v>10652</v>
      </c>
      <c r="K12" s="299">
        <f t="shared" si="2"/>
        <v>3</v>
      </c>
      <c r="L12" s="277">
        <v>229782</v>
      </c>
      <c r="M12" s="299">
        <f t="shared" si="3"/>
        <v>369.70000000001164</v>
      </c>
      <c r="N12" s="299">
        <f t="shared" si="14"/>
        <v>123.23333333333721</v>
      </c>
      <c r="O12" s="200"/>
      <c r="P12" s="300">
        <f t="shared" si="15"/>
        <v>10873</v>
      </c>
      <c r="Q12" s="299" t="str">
        <f t="shared" si="4"/>
        <v>ok</v>
      </c>
      <c r="R12" s="277">
        <v>10890</v>
      </c>
      <c r="S12" s="299">
        <f t="shared" si="5"/>
        <v>1</v>
      </c>
      <c r="T12" s="277">
        <v>176663</v>
      </c>
      <c r="U12" s="299">
        <f t="shared" si="6"/>
        <v>17</v>
      </c>
      <c r="V12" s="299">
        <f t="shared" si="16"/>
        <v>17</v>
      </c>
      <c r="W12" s="200"/>
      <c r="X12" s="300">
        <f t="shared" si="17"/>
        <v>10989</v>
      </c>
      <c r="Y12" s="299" t="str">
        <f t="shared" si="7"/>
        <v>ok</v>
      </c>
      <c r="Z12" s="299">
        <f t="shared" si="8"/>
        <v>4</v>
      </c>
      <c r="AA12" s="299">
        <f t="shared" si="18"/>
        <v>386.80000000000291</v>
      </c>
      <c r="AB12" s="299">
        <f t="shared" si="19"/>
        <v>140.23333333333721</v>
      </c>
      <c r="AC12" s="299">
        <f t="shared" si="20"/>
        <v>96.700000000000728</v>
      </c>
      <c r="AD12" s="74">
        <f>ELEC!Q12</f>
        <v>2414.0000000006694</v>
      </c>
      <c r="AE12" s="74">
        <f t="shared" si="23"/>
        <v>603.50000000016735</v>
      </c>
      <c r="AF12" s="426">
        <f t="shared" si="24"/>
        <v>0.37718750000010459</v>
      </c>
      <c r="AG12" s="427">
        <f t="shared" si="25"/>
        <v>120.70000000003347</v>
      </c>
      <c r="AH12" s="427">
        <f t="shared" si="21"/>
        <v>-24.000000000032742</v>
      </c>
      <c r="AI12" s="74">
        <f t="shared" si="26"/>
        <v>621.3248945149403</v>
      </c>
      <c r="AJ12" s="301">
        <f t="shared" si="9"/>
        <v>0.25738396624472576</v>
      </c>
      <c r="AK12" s="301">
        <f t="shared" si="27"/>
        <v>155.33122362873507</v>
      </c>
    </row>
    <row r="13" spans="1:37">
      <c r="A13" s="4">
        <f>ELEC!C13</f>
        <v>43841</v>
      </c>
      <c r="B13" s="277">
        <f t="shared" si="22"/>
        <v>8487</v>
      </c>
      <c r="C13" s="299">
        <f t="shared" si="11"/>
        <v>0</v>
      </c>
      <c r="D13" s="277">
        <v>118922.4</v>
      </c>
      <c r="E13" s="299">
        <f t="shared" si="12"/>
        <v>0</v>
      </c>
      <c r="F13" s="299">
        <f t="shared" si="0"/>
        <v>0</v>
      </c>
      <c r="G13" s="200"/>
      <c r="H13" s="300">
        <f t="shared" si="13"/>
        <v>8497</v>
      </c>
      <c r="I13" s="299" t="str">
        <f t="shared" si="1"/>
        <v>ok</v>
      </c>
      <c r="J13" s="277">
        <v>10656</v>
      </c>
      <c r="K13" s="299">
        <f t="shared" si="2"/>
        <v>4</v>
      </c>
      <c r="L13" s="277">
        <v>230579.6</v>
      </c>
      <c r="M13" s="299">
        <f t="shared" si="3"/>
        <v>797.60000000000582</v>
      </c>
      <c r="N13" s="299">
        <f t="shared" si="14"/>
        <v>199.40000000000146</v>
      </c>
      <c r="O13" s="200"/>
      <c r="P13" s="300">
        <f t="shared" si="15"/>
        <v>10873</v>
      </c>
      <c r="Q13" s="299" t="str">
        <f t="shared" si="4"/>
        <v>ok</v>
      </c>
      <c r="R13" s="277">
        <f t="shared" ref="R13:T33" si="28">R12</f>
        <v>10890</v>
      </c>
      <c r="S13" s="299">
        <f t="shared" si="5"/>
        <v>0</v>
      </c>
      <c r="T13" s="277">
        <v>176718.7</v>
      </c>
      <c r="U13" s="299">
        <f t="shared" si="6"/>
        <v>55.700000000011642</v>
      </c>
      <c r="V13" s="299">
        <f t="shared" si="16"/>
        <v>0</v>
      </c>
      <c r="W13" s="200"/>
      <c r="X13" s="300">
        <f>X12+180</f>
        <v>11169</v>
      </c>
      <c r="Y13" s="299" t="str">
        <f t="shared" si="7"/>
        <v>ok</v>
      </c>
      <c r="Z13" s="299">
        <f t="shared" si="8"/>
        <v>4</v>
      </c>
      <c r="AA13" s="299">
        <f t="shared" si="18"/>
        <v>853.30000000001746</v>
      </c>
      <c r="AB13" s="299">
        <f t="shared" si="19"/>
        <v>199.40000000000146</v>
      </c>
      <c r="AC13" s="299">
        <f t="shared" si="20"/>
        <v>213.32500000000437</v>
      </c>
      <c r="AD13" s="74">
        <f>ELEC!Q13</f>
        <v>1643.0000000000291</v>
      </c>
      <c r="AE13" s="74">
        <f t="shared" si="23"/>
        <v>410.75000000000728</v>
      </c>
      <c r="AF13" s="426">
        <f t="shared" si="24"/>
        <v>0.25671875000000455</v>
      </c>
      <c r="AG13" s="427">
        <f t="shared" si="25"/>
        <v>82.150000000001455</v>
      </c>
      <c r="AH13" s="427">
        <f t="shared" si="21"/>
        <v>131.17500000000291</v>
      </c>
      <c r="AI13" s="74">
        <f t="shared" si="26"/>
        <v>422.88185654009192</v>
      </c>
      <c r="AJ13" s="301">
        <f t="shared" si="9"/>
        <v>0.25738396624472576</v>
      </c>
      <c r="AK13" s="301">
        <f t="shared" si="27"/>
        <v>105.72046413502298</v>
      </c>
    </row>
    <row r="14" spans="1:37">
      <c r="A14" s="4">
        <f>ELEC!C14</f>
        <v>43842</v>
      </c>
      <c r="B14" s="277">
        <v>8487</v>
      </c>
      <c r="C14" s="299">
        <f t="shared" si="11"/>
        <v>0</v>
      </c>
      <c r="D14" s="277">
        <v>118922</v>
      </c>
      <c r="E14" s="299">
        <f t="shared" si="12"/>
        <v>-0.39999999999417923</v>
      </c>
      <c r="F14" s="299">
        <f t="shared" si="0"/>
        <v>0</v>
      </c>
      <c r="G14" s="200"/>
      <c r="H14" s="300">
        <f t="shared" si="13"/>
        <v>8497</v>
      </c>
      <c r="I14" s="299" t="str">
        <f t="shared" si="1"/>
        <v>ok</v>
      </c>
      <c r="J14" s="277">
        <v>10659</v>
      </c>
      <c r="K14" s="299">
        <f t="shared" si="2"/>
        <v>3</v>
      </c>
      <c r="L14" s="277">
        <v>231104</v>
      </c>
      <c r="M14" s="299">
        <f t="shared" si="3"/>
        <v>524.39999999999418</v>
      </c>
      <c r="N14" s="299">
        <f t="shared" si="14"/>
        <v>174.79999999999805</v>
      </c>
      <c r="O14" s="200"/>
      <c r="P14" s="300">
        <f t="shared" si="15"/>
        <v>10873</v>
      </c>
      <c r="Q14" s="299" t="str">
        <f t="shared" si="4"/>
        <v>ok</v>
      </c>
      <c r="R14" s="277">
        <v>10890</v>
      </c>
      <c r="S14" s="299">
        <f t="shared" si="5"/>
        <v>0</v>
      </c>
      <c r="T14" s="277">
        <f>T13</f>
        <v>176718.7</v>
      </c>
      <c r="U14" s="299">
        <f t="shared" si="6"/>
        <v>0</v>
      </c>
      <c r="V14" s="299">
        <f t="shared" si="16"/>
        <v>0</v>
      </c>
      <c r="W14" s="200"/>
      <c r="X14" s="300">
        <f t="shared" si="17"/>
        <v>11169</v>
      </c>
      <c r="Y14" s="299" t="str">
        <f t="shared" si="7"/>
        <v>ok</v>
      </c>
      <c r="Z14" s="299">
        <f t="shared" si="8"/>
        <v>3</v>
      </c>
      <c r="AA14" s="299">
        <f t="shared" si="18"/>
        <v>524</v>
      </c>
      <c r="AB14" s="299">
        <f t="shared" si="19"/>
        <v>174.79999999999805</v>
      </c>
      <c r="AC14" s="299">
        <f t="shared" si="20"/>
        <v>174.66666666666666</v>
      </c>
      <c r="AD14" s="74">
        <f>ELEC!Q14</f>
        <v>2117.0000000001892</v>
      </c>
      <c r="AE14" s="74">
        <f t="shared" si="23"/>
        <v>705.66666666672972</v>
      </c>
      <c r="AF14" s="426">
        <f t="shared" si="24"/>
        <v>0.44104166666670608</v>
      </c>
      <c r="AG14" s="427">
        <f t="shared" si="25"/>
        <v>141.13333333334594</v>
      </c>
      <c r="AH14" s="427">
        <f t="shared" si="21"/>
        <v>33.533333333320712</v>
      </c>
      <c r="AI14" s="74">
        <f t="shared" si="26"/>
        <v>544.88185654013307</v>
      </c>
      <c r="AJ14" s="301">
        <f t="shared" si="9"/>
        <v>0.25738396624472576</v>
      </c>
      <c r="AK14" s="301">
        <f t="shared" si="27"/>
        <v>181.6272855133777</v>
      </c>
    </row>
    <row r="15" spans="1:37">
      <c r="A15" s="4">
        <f>ELEC!C15</f>
        <v>43843</v>
      </c>
      <c r="B15" s="277">
        <v>8487</v>
      </c>
      <c r="C15" s="299">
        <f t="shared" si="11"/>
        <v>0</v>
      </c>
      <c r="D15" s="277">
        <v>118922.5</v>
      </c>
      <c r="E15" s="299">
        <f t="shared" si="12"/>
        <v>0.5</v>
      </c>
      <c r="F15" s="299">
        <f t="shared" si="0"/>
        <v>0</v>
      </c>
      <c r="G15" s="200"/>
      <c r="H15" s="300">
        <f t="shared" si="13"/>
        <v>8497</v>
      </c>
      <c r="I15" s="299" t="str">
        <f t="shared" si="1"/>
        <v>ok</v>
      </c>
      <c r="J15" s="277">
        <v>10662</v>
      </c>
      <c r="K15" s="299">
        <f t="shared" si="2"/>
        <v>3</v>
      </c>
      <c r="L15" s="277">
        <v>231479</v>
      </c>
      <c r="M15" s="299">
        <f t="shared" si="3"/>
        <v>375</v>
      </c>
      <c r="N15" s="299">
        <f t="shared" si="14"/>
        <v>125</v>
      </c>
      <c r="O15" s="200"/>
      <c r="P15" s="300">
        <f t="shared" si="15"/>
        <v>10873</v>
      </c>
      <c r="Q15" s="299" t="str">
        <f t="shared" si="4"/>
        <v>ok</v>
      </c>
      <c r="R15" s="277">
        <v>10890</v>
      </c>
      <c r="S15" s="299">
        <f t="shared" si="5"/>
        <v>0</v>
      </c>
      <c r="T15" s="277">
        <f>T14</f>
        <v>176718.7</v>
      </c>
      <c r="U15" s="299">
        <f t="shared" si="6"/>
        <v>0</v>
      </c>
      <c r="V15" s="299">
        <f t="shared" si="16"/>
        <v>0</v>
      </c>
      <c r="W15" s="200"/>
      <c r="X15" s="300">
        <f t="shared" si="17"/>
        <v>11169</v>
      </c>
      <c r="Y15" s="299" t="str">
        <f t="shared" si="7"/>
        <v>ok</v>
      </c>
      <c r="Z15" s="299">
        <f t="shared" si="8"/>
        <v>3</v>
      </c>
      <c r="AA15" s="299">
        <f t="shared" si="18"/>
        <v>375.5</v>
      </c>
      <c r="AB15" s="299">
        <f t="shared" si="19"/>
        <v>125</v>
      </c>
      <c r="AC15" s="299">
        <f t="shared" si="20"/>
        <v>125.16666666666667</v>
      </c>
      <c r="AD15" s="74">
        <f>ELEC!Q15</f>
        <v>2310.9999999996944</v>
      </c>
      <c r="AE15" s="74">
        <f t="shared" si="23"/>
        <v>770.33333333323151</v>
      </c>
      <c r="AF15" s="426">
        <f t="shared" si="24"/>
        <v>0.48145833333326971</v>
      </c>
      <c r="AG15" s="427">
        <f t="shared" si="25"/>
        <v>154.06666666664631</v>
      </c>
      <c r="AH15" s="427">
        <f t="shared" si="21"/>
        <v>-28.899999999979642</v>
      </c>
      <c r="AI15" s="74">
        <f t="shared" si="26"/>
        <v>594.81434599148258</v>
      </c>
      <c r="AJ15" s="301">
        <f t="shared" si="9"/>
        <v>0.25738396624472576</v>
      </c>
      <c r="AK15" s="301">
        <f t="shared" si="27"/>
        <v>198.27144866382753</v>
      </c>
    </row>
    <row r="16" spans="1:37">
      <c r="A16" s="4">
        <f>ELEC!C16</f>
        <v>43844</v>
      </c>
      <c r="B16" s="277">
        <v>8487</v>
      </c>
      <c r="C16" s="299">
        <f t="shared" si="11"/>
        <v>0</v>
      </c>
      <c r="D16" s="277">
        <f>D15</f>
        <v>118922.5</v>
      </c>
      <c r="E16" s="299">
        <f t="shared" si="12"/>
        <v>0</v>
      </c>
      <c r="F16" s="299">
        <f t="shared" si="0"/>
        <v>0</v>
      </c>
      <c r="G16" s="200"/>
      <c r="H16" s="300">
        <f t="shared" si="13"/>
        <v>8497</v>
      </c>
      <c r="I16" s="299" t="str">
        <f t="shared" si="1"/>
        <v>ok</v>
      </c>
      <c r="J16" s="277">
        <v>10666</v>
      </c>
      <c r="K16" s="299">
        <f t="shared" si="2"/>
        <v>4</v>
      </c>
      <c r="L16" s="277">
        <v>232349</v>
      </c>
      <c r="M16" s="299">
        <f t="shared" si="3"/>
        <v>870</v>
      </c>
      <c r="N16" s="299">
        <f t="shared" si="14"/>
        <v>217.5</v>
      </c>
      <c r="O16" s="200"/>
      <c r="P16" s="300">
        <f t="shared" si="15"/>
        <v>10873</v>
      </c>
      <c r="Q16" s="299" t="str">
        <f t="shared" si="4"/>
        <v>ok</v>
      </c>
      <c r="R16" s="277">
        <v>10890</v>
      </c>
      <c r="S16" s="560">
        <f t="shared" si="5"/>
        <v>0</v>
      </c>
      <c r="T16" s="277">
        <v>176718.7</v>
      </c>
      <c r="U16" s="560">
        <f t="shared" si="6"/>
        <v>0</v>
      </c>
      <c r="V16" s="299">
        <f t="shared" si="16"/>
        <v>0</v>
      </c>
      <c r="W16" s="200"/>
      <c r="X16" s="300">
        <f t="shared" si="17"/>
        <v>11169</v>
      </c>
      <c r="Y16" s="299" t="str">
        <f t="shared" si="7"/>
        <v>ok</v>
      </c>
      <c r="Z16" s="299">
        <f t="shared" si="8"/>
        <v>4</v>
      </c>
      <c r="AA16" s="299">
        <f t="shared" si="18"/>
        <v>870</v>
      </c>
      <c r="AB16" s="299">
        <f t="shared" si="19"/>
        <v>217.5</v>
      </c>
      <c r="AC16" s="299">
        <f t="shared" si="20"/>
        <v>217.5</v>
      </c>
      <c r="AD16" s="74">
        <f>ELEC!Q16</f>
        <v>2804.0000000000873</v>
      </c>
      <c r="AE16" s="74">
        <f t="shared" si="23"/>
        <v>701.00000000002183</v>
      </c>
      <c r="AF16" s="426">
        <f t="shared" si="24"/>
        <v>0.43812500000001364</v>
      </c>
      <c r="AG16" s="427">
        <f t="shared" si="25"/>
        <v>140.20000000000437</v>
      </c>
      <c r="AH16" s="427">
        <f t="shared" si="21"/>
        <v>77.299999999995634</v>
      </c>
      <c r="AI16" s="74">
        <f t="shared" si="26"/>
        <v>721.70464135023349</v>
      </c>
      <c r="AJ16" s="301">
        <f t="shared" si="9"/>
        <v>0.25738396624472576</v>
      </c>
      <c r="AK16" s="301">
        <f t="shared" si="27"/>
        <v>180.42616033755837</v>
      </c>
    </row>
    <row r="17" spans="1:37">
      <c r="A17" s="4">
        <f>ELEC!C17</f>
        <v>43845</v>
      </c>
      <c r="B17" s="277">
        <v>8487</v>
      </c>
      <c r="C17" s="299">
        <f t="shared" si="11"/>
        <v>0</v>
      </c>
      <c r="D17" s="277">
        <v>118922.6</v>
      </c>
      <c r="E17" s="299">
        <f t="shared" si="12"/>
        <v>0.10000000000582077</v>
      </c>
      <c r="F17" s="299">
        <f t="shared" si="0"/>
        <v>0</v>
      </c>
      <c r="G17" s="200"/>
      <c r="H17" s="300">
        <f t="shared" si="13"/>
        <v>8497</v>
      </c>
      <c r="I17" s="299" t="str">
        <f t="shared" si="1"/>
        <v>ok</v>
      </c>
      <c r="J17" s="277">
        <v>10671</v>
      </c>
      <c r="K17" s="299">
        <f t="shared" si="2"/>
        <v>5</v>
      </c>
      <c r="L17" s="277">
        <v>233233.3</v>
      </c>
      <c r="M17" s="299">
        <f t="shared" si="3"/>
        <v>884.29999999998836</v>
      </c>
      <c r="N17" s="299">
        <f t="shared" si="14"/>
        <v>176.85999999999768</v>
      </c>
      <c r="O17" s="200"/>
      <c r="P17" s="300">
        <f t="shared" si="15"/>
        <v>10873</v>
      </c>
      <c r="Q17" s="299" t="str">
        <f t="shared" si="4"/>
        <v>ok</v>
      </c>
      <c r="R17" s="277">
        <v>10890</v>
      </c>
      <c r="S17" s="561">
        <f t="shared" si="5"/>
        <v>0</v>
      </c>
      <c r="T17" s="277">
        <v>176718.7</v>
      </c>
      <c r="U17" s="561">
        <f t="shared" si="6"/>
        <v>0</v>
      </c>
      <c r="V17" s="299">
        <f t="shared" si="16"/>
        <v>0</v>
      </c>
      <c r="W17" s="200"/>
      <c r="X17" s="300">
        <f t="shared" si="17"/>
        <v>11169</v>
      </c>
      <c r="Y17" s="299" t="str">
        <f t="shared" si="7"/>
        <v>ok</v>
      </c>
      <c r="Z17" s="299">
        <f t="shared" si="8"/>
        <v>5</v>
      </c>
      <c r="AA17" s="299">
        <f t="shared" si="18"/>
        <v>884.39999999999418</v>
      </c>
      <c r="AB17" s="299">
        <f t="shared" si="19"/>
        <v>176.85999999999768</v>
      </c>
      <c r="AC17" s="299">
        <f t="shared" si="20"/>
        <v>176.87999999999883</v>
      </c>
      <c r="AD17" s="74">
        <f>ELEC!Q17</f>
        <v>2646.0000000006403</v>
      </c>
      <c r="AE17" s="74">
        <f t="shared" si="23"/>
        <v>529.20000000012806</v>
      </c>
      <c r="AF17" s="426">
        <f t="shared" si="24"/>
        <v>0.33075000000008004</v>
      </c>
      <c r="AG17" s="427">
        <f t="shared" si="25"/>
        <v>105.84000000002561</v>
      </c>
      <c r="AH17" s="427">
        <f t="shared" si="21"/>
        <v>71.039999999973219</v>
      </c>
      <c r="AI17" s="74">
        <f t="shared" si="26"/>
        <v>681.03797468370919</v>
      </c>
      <c r="AJ17" s="301">
        <f t="shared" si="9"/>
        <v>0.25738396624472576</v>
      </c>
      <c r="AK17" s="301">
        <f t="shared" ref="AK17:AK32" si="29">IF(Z17&gt;0,AI17/Z17,0)</f>
        <v>136.20759493674183</v>
      </c>
    </row>
    <row r="18" spans="1:37">
      <c r="A18" s="4">
        <f>ELEC!C18</f>
        <v>43846</v>
      </c>
      <c r="B18" s="277">
        <f t="shared" si="22"/>
        <v>8487</v>
      </c>
      <c r="C18" s="299">
        <f t="shared" si="11"/>
        <v>0</v>
      </c>
      <c r="D18" s="277">
        <f t="shared" si="22"/>
        <v>118922.6</v>
      </c>
      <c r="E18" s="299">
        <f t="shared" si="12"/>
        <v>0</v>
      </c>
      <c r="F18" s="299">
        <f t="shared" si="0"/>
        <v>0</v>
      </c>
      <c r="G18" s="200"/>
      <c r="H18" s="300">
        <f t="shared" si="13"/>
        <v>8497</v>
      </c>
      <c r="I18" s="299" t="str">
        <f t="shared" si="1"/>
        <v>ok</v>
      </c>
      <c r="J18" s="277">
        <v>10677</v>
      </c>
      <c r="K18" s="299">
        <f t="shared" si="2"/>
        <v>6</v>
      </c>
      <c r="L18" s="277">
        <v>234033.6</v>
      </c>
      <c r="M18" s="299">
        <f t="shared" si="3"/>
        <v>800.30000000001746</v>
      </c>
      <c r="N18" s="299">
        <f t="shared" si="14"/>
        <v>133.38333333333625</v>
      </c>
      <c r="O18" s="200"/>
      <c r="P18" s="300">
        <f t="shared" si="15"/>
        <v>10873</v>
      </c>
      <c r="Q18" s="299" t="str">
        <f>IF(J18-P14&lt;=0,"ok","oil change")</f>
        <v>ok</v>
      </c>
      <c r="R18" s="277">
        <f t="shared" si="28"/>
        <v>10890</v>
      </c>
      <c r="S18" s="299">
        <f t="shared" si="5"/>
        <v>0</v>
      </c>
      <c r="T18" s="277">
        <f t="shared" si="28"/>
        <v>176718.7</v>
      </c>
      <c r="U18" s="299">
        <f t="shared" si="6"/>
        <v>0</v>
      </c>
      <c r="V18" s="299">
        <f t="shared" si="16"/>
        <v>0</v>
      </c>
      <c r="W18" s="356"/>
      <c r="X18" s="300">
        <f t="shared" si="17"/>
        <v>11169</v>
      </c>
      <c r="Y18" s="299" t="str">
        <f t="shared" si="7"/>
        <v>ok</v>
      </c>
      <c r="Z18" s="299">
        <f t="shared" si="8"/>
        <v>6</v>
      </c>
      <c r="AA18" s="299">
        <f t="shared" si="18"/>
        <v>800.30000000001746</v>
      </c>
      <c r="AB18" s="299">
        <f t="shared" si="19"/>
        <v>133.38333333333625</v>
      </c>
      <c r="AC18" s="299">
        <f t="shared" si="20"/>
        <v>133.38333333333625</v>
      </c>
      <c r="AD18" s="74">
        <f>ELEC!Q18</f>
        <v>4479.9999999995634</v>
      </c>
      <c r="AE18" s="74">
        <f t="shared" si="23"/>
        <v>746.66666666659387</v>
      </c>
      <c r="AF18" s="426">
        <f t="shared" si="24"/>
        <v>0.46666666666662115</v>
      </c>
      <c r="AG18" s="427">
        <f t="shared" si="25"/>
        <v>149.33333333331876</v>
      </c>
      <c r="AH18" s="427">
        <f t="shared" si="21"/>
        <v>-15.949999999982509</v>
      </c>
      <c r="AI18" s="74">
        <f t="shared" si="26"/>
        <v>1153.0801687762591</v>
      </c>
      <c r="AJ18" s="301">
        <f t="shared" si="9"/>
        <v>0.25738396624472576</v>
      </c>
      <c r="AK18" s="301">
        <f t="shared" si="29"/>
        <v>192.18002812937652</v>
      </c>
    </row>
    <row r="19" spans="1:37">
      <c r="A19" s="4">
        <f>ELEC!C19</f>
        <v>43847</v>
      </c>
      <c r="B19" s="277">
        <f t="shared" si="22"/>
        <v>8487</v>
      </c>
      <c r="C19" s="299">
        <f t="shared" si="11"/>
        <v>0</v>
      </c>
      <c r="D19" s="277">
        <f t="shared" si="22"/>
        <v>118922.6</v>
      </c>
      <c r="E19" s="299">
        <f t="shared" si="12"/>
        <v>0</v>
      </c>
      <c r="F19" s="299">
        <f t="shared" si="0"/>
        <v>0</v>
      </c>
      <c r="G19" s="200"/>
      <c r="H19" s="300">
        <f t="shared" si="13"/>
        <v>8497</v>
      </c>
      <c r="I19" s="299" t="str">
        <f t="shared" si="1"/>
        <v>ok</v>
      </c>
      <c r="J19" s="277">
        <v>10680</v>
      </c>
      <c r="K19" s="299">
        <f t="shared" si="2"/>
        <v>3</v>
      </c>
      <c r="L19" s="277">
        <v>234681.60000000001</v>
      </c>
      <c r="M19" s="299">
        <f t="shared" si="3"/>
        <v>648</v>
      </c>
      <c r="N19" s="299">
        <f t="shared" si="14"/>
        <v>216</v>
      </c>
      <c r="O19" s="200"/>
      <c r="P19" s="300">
        <f t="shared" si="15"/>
        <v>10873</v>
      </c>
      <c r="Q19" s="299" t="str">
        <f t="shared" ref="Q19:Q32" si="30">IF(J19-P19&lt;=0,"ok","oil change")</f>
        <v>ok</v>
      </c>
      <c r="R19" s="277">
        <f t="shared" si="28"/>
        <v>10890</v>
      </c>
      <c r="S19" s="299">
        <f t="shared" si="5"/>
        <v>0</v>
      </c>
      <c r="T19" s="277">
        <f t="shared" si="28"/>
        <v>176718.7</v>
      </c>
      <c r="U19" s="299">
        <f t="shared" ref="U19:U32" si="31">SUM(T19-T18)</f>
        <v>0</v>
      </c>
      <c r="V19" s="299">
        <f t="shared" si="16"/>
        <v>0</v>
      </c>
      <c r="W19" s="200"/>
      <c r="X19" s="300">
        <f t="shared" si="17"/>
        <v>11169</v>
      </c>
      <c r="Y19" s="299" t="str">
        <f t="shared" si="7"/>
        <v>ok</v>
      </c>
      <c r="Z19" s="299">
        <f t="shared" si="8"/>
        <v>3</v>
      </c>
      <c r="AA19" s="299">
        <f t="shared" si="18"/>
        <v>648</v>
      </c>
      <c r="AB19" s="299">
        <f t="shared" si="19"/>
        <v>216</v>
      </c>
      <c r="AC19" s="299">
        <f t="shared" si="20"/>
        <v>216</v>
      </c>
      <c r="AD19" s="74">
        <f>ELEC!Q19</f>
        <v>2013.9999999992142</v>
      </c>
      <c r="AE19" s="74">
        <f t="shared" si="23"/>
        <v>671.33333333307144</v>
      </c>
      <c r="AF19" s="426">
        <f t="shared" si="24"/>
        <v>0.41958333333316966</v>
      </c>
      <c r="AG19" s="427">
        <f t="shared" si="25"/>
        <v>134.2666666666143</v>
      </c>
      <c r="AH19" s="427">
        <f t="shared" si="21"/>
        <v>81.733333333385701</v>
      </c>
      <c r="AI19" s="74">
        <f t="shared" si="26"/>
        <v>518.37130801667547</v>
      </c>
      <c r="AJ19" s="301">
        <f t="shared" si="9"/>
        <v>0.25738396624472576</v>
      </c>
      <c r="AK19" s="301">
        <f t="shared" si="29"/>
        <v>172.79043600555849</v>
      </c>
    </row>
    <row r="20" spans="1:37">
      <c r="A20" s="4">
        <f>ELEC!C20</f>
        <v>43848</v>
      </c>
      <c r="B20" s="277">
        <f t="shared" si="22"/>
        <v>8487</v>
      </c>
      <c r="C20" s="299">
        <f>B20-B19</f>
        <v>0</v>
      </c>
      <c r="D20" s="277">
        <f t="shared" si="22"/>
        <v>118922.6</v>
      </c>
      <c r="E20" s="299">
        <f t="shared" si="12"/>
        <v>0</v>
      </c>
      <c r="F20" s="299">
        <f t="shared" si="0"/>
        <v>0</v>
      </c>
      <c r="G20" s="200"/>
      <c r="H20" s="300">
        <f t="shared" si="13"/>
        <v>8497</v>
      </c>
      <c r="I20" s="299" t="str">
        <f t="shared" si="1"/>
        <v>ok</v>
      </c>
      <c r="J20" s="277">
        <v>10686</v>
      </c>
      <c r="K20" s="299">
        <f t="shared" si="2"/>
        <v>6</v>
      </c>
      <c r="L20" s="277">
        <v>236230</v>
      </c>
      <c r="M20" s="299">
        <f t="shared" si="3"/>
        <v>1548.3999999999942</v>
      </c>
      <c r="N20" s="299">
        <f t="shared" si="14"/>
        <v>258.0666666666657</v>
      </c>
      <c r="O20" s="200"/>
      <c r="P20" s="300">
        <f t="shared" si="15"/>
        <v>10873</v>
      </c>
      <c r="Q20" s="299" t="str">
        <f t="shared" si="30"/>
        <v>ok</v>
      </c>
      <c r="R20" s="277">
        <f t="shared" si="28"/>
        <v>10890</v>
      </c>
      <c r="S20" s="299">
        <f t="shared" si="5"/>
        <v>0</v>
      </c>
      <c r="T20" s="277">
        <f t="shared" si="28"/>
        <v>176718.7</v>
      </c>
      <c r="U20" s="299">
        <f t="shared" si="31"/>
        <v>0</v>
      </c>
      <c r="V20" s="299">
        <f t="shared" si="16"/>
        <v>0</v>
      </c>
      <c r="W20" s="200"/>
      <c r="X20" s="300">
        <f t="shared" si="17"/>
        <v>11169</v>
      </c>
      <c r="Y20" s="299" t="str">
        <f t="shared" si="7"/>
        <v>ok</v>
      </c>
      <c r="Z20" s="299">
        <f t="shared" si="8"/>
        <v>6</v>
      </c>
      <c r="AA20" s="299">
        <f t="shared" si="18"/>
        <v>1548.3999999999942</v>
      </c>
      <c r="AB20" s="299">
        <f t="shared" si="19"/>
        <v>258.0666666666657</v>
      </c>
      <c r="AC20" s="299">
        <f t="shared" si="20"/>
        <v>258.0666666666657</v>
      </c>
      <c r="AD20" s="74">
        <f>ELEC!Q20</f>
        <v>2985.0000000005821</v>
      </c>
      <c r="AE20" s="74">
        <f t="shared" si="23"/>
        <v>497.50000000009703</v>
      </c>
      <c r="AF20" s="426">
        <f t="shared" si="24"/>
        <v>0.31093750000006065</v>
      </c>
      <c r="AG20" s="427">
        <f t="shared" si="25"/>
        <v>99.500000000019412</v>
      </c>
      <c r="AH20" s="427">
        <f t="shared" si="21"/>
        <v>158.56666666664628</v>
      </c>
      <c r="AI20" s="74">
        <f>AD20*AJ20</f>
        <v>768.29113924065621</v>
      </c>
      <c r="AJ20" s="301">
        <f t="shared" si="9"/>
        <v>0.25738396624472576</v>
      </c>
      <c r="AK20" s="301">
        <f t="shared" si="29"/>
        <v>128.04852320677603</v>
      </c>
    </row>
    <row r="21" spans="1:37">
      <c r="A21" s="4">
        <f>ELEC!C21</f>
        <v>43849</v>
      </c>
      <c r="B21" s="277">
        <v>8487</v>
      </c>
      <c r="C21" s="299">
        <f t="shared" si="11"/>
        <v>0</v>
      </c>
      <c r="D21" s="277">
        <v>118922.9</v>
      </c>
      <c r="E21" s="299">
        <f t="shared" si="12"/>
        <v>0.29999999998835847</v>
      </c>
      <c r="F21" s="299">
        <f t="shared" si="0"/>
        <v>0</v>
      </c>
      <c r="G21" s="200"/>
      <c r="H21" s="300">
        <f t="shared" si="13"/>
        <v>8497</v>
      </c>
      <c r="I21" s="299" t="str">
        <f t="shared" si="1"/>
        <v>ok</v>
      </c>
      <c r="J21" s="277">
        <v>10689</v>
      </c>
      <c r="K21" s="299">
        <f t="shared" si="2"/>
        <v>3</v>
      </c>
      <c r="L21" s="277">
        <v>237058.9</v>
      </c>
      <c r="M21" s="299">
        <f t="shared" si="3"/>
        <v>828.89999999999418</v>
      </c>
      <c r="N21" s="299">
        <f t="shared" si="14"/>
        <v>276.29999999999808</v>
      </c>
      <c r="O21" s="200"/>
      <c r="P21" s="300">
        <f t="shared" si="15"/>
        <v>10873</v>
      </c>
      <c r="Q21" s="299" t="str">
        <f t="shared" si="30"/>
        <v>ok</v>
      </c>
      <c r="R21" s="277">
        <v>10890.16</v>
      </c>
      <c r="S21" s="299">
        <f t="shared" si="5"/>
        <v>0.15999999999985448</v>
      </c>
      <c r="T21" s="277">
        <v>176718.7</v>
      </c>
      <c r="U21" s="299">
        <f t="shared" si="31"/>
        <v>0</v>
      </c>
      <c r="V21" s="299">
        <f t="shared" si="16"/>
        <v>0</v>
      </c>
      <c r="W21" s="200"/>
      <c r="X21" s="300">
        <f t="shared" si="17"/>
        <v>11169</v>
      </c>
      <c r="Y21" s="299" t="str">
        <f>Y20</f>
        <v>ok</v>
      </c>
      <c r="Z21" s="299">
        <f t="shared" si="8"/>
        <v>3.1599999999998545</v>
      </c>
      <c r="AA21" s="299">
        <f t="shared" si="18"/>
        <v>829.19999999998254</v>
      </c>
      <c r="AB21" s="299">
        <f t="shared" si="19"/>
        <v>276.29999999999808</v>
      </c>
      <c r="AC21" s="299">
        <f t="shared" si="20"/>
        <v>262.40506329114578</v>
      </c>
      <c r="AD21" s="74">
        <f>ELEC!Q21</f>
        <v>1640.9999999996217</v>
      </c>
      <c r="AE21" s="74">
        <f t="shared" si="23"/>
        <v>519.30379746825861</v>
      </c>
      <c r="AF21" s="426">
        <f t="shared" si="24"/>
        <v>0.3245648734176616</v>
      </c>
      <c r="AG21" s="427">
        <f t="shared" si="25"/>
        <v>103.86075949365171</v>
      </c>
      <c r="AH21" s="427">
        <f t="shared" si="21"/>
        <v>158.54430379749408</v>
      </c>
      <c r="AI21" s="74">
        <f t="shared" si="26"/>
        <v>422.36708860749758</v>
      </c>
      <c r="AJ21" s="301">
        <f t="shared" si="9"/>
        <v>0.25738396624472576</v>
      </c>
      <c r="AK21" s="301">
        <f t="shared" si="29"/>
        <v>133.66047107832819</v>
      </c>
    </row>
    <row r="22" spans="1:37">
      <c r="A22" s="4">
        <f>ELEC!C22</f>
        <v>43850</v>
      </c>
      <c r="B22" s="277">
        <f t="shared" si="22"/>
        <v>8487</v>
      </c>
      <c r="C22" s="299">
        <f t="shared" si="11"/>
        <v>0</v>
      </c>
      <c r="D22" s="277">
        <f t="shared" si="22"/>
        <v>118922.9</v>
      </c>
      <c r="E22" s="299">
        <f t="shared" si="12"/>
        <v>0</v>
      </c>
      <c r="F22" s="299">
        <f t="shared" si="0"/>
        <v>0</v>
      </c>
      <c r="G22" s="200"/>
      <c r="H22" s="300">
        <f t="shared" si="13"/>
        <v>8497</v>
      </c>
      <c r="I22" s="299" t="str">
        <f t="shared" si="1"/>
        <v>ok</v>
      </c>
      <c r="J22" s="277">
        <f t="shared" ref="J22:L33" si="32">J21</f>
        <v>10689</v>
      </c>
      <c r="K22" s="299">
        <f t="shared" si="2"/>
        <v>0</v>
      </c>
      <c r="L22" s="277">
        <f t="shared" si="32"/>
        <v>237058.9</v>
      </c>
      <c r="M22" s="299">
        <f t="shared" si="3"/>
        <v>0</v>
      </c>
      <c r="N22" s="299">
        <f t="shared" si="14"/>
        <v>0</v>
      </c>
      <c r="O22" s="200"/>
      <c r="P22" s="300">
        <f t="shared" si="15"/>
        <v>10873</v>
      </c>
      <c r="Q22" s="299" t="str">
        <f t="shared" si="30"/>
        <v>ok</v>
      </c>
      <c r="R22" s="277">
        <v>10893.26</v>
      </c>
      <c r="S22" s="299">
        <f t="shared" si="5"/>
        <v>3.1000000000003638</v>
      </c>
      <c r="T22" s="277">
        <v>177258.1</v>
      </c>
      <c r="U22" s="299">
        <f t="shared" si="31"/>
        <v>539.39999999999418</v>
      </c>
      <c r="V22" s="299">
        <f t="shared" si="16"/>
        <v>173.99999999997769</v>
      </c>
      <c r="W22" s="200"/>
      <c r="X22" s="300">
        <f t="shared" si="17"/>
        <v>11169</v>
      </c>
      <c r="Y22" s="299" t="str">
        <f t="shared" ref="Y22:Y32" si="33">IF(R22-X22&lt;=0,"ok","oil change")</f>
        <v>ok</v>
      </c>
      <c r="Z22" s="299">
        <f t="shared" si="8"/>
        <v>3.1000000000003638</v>
      </c>
      <c r="AA22" s="299">
        <f t="shared" si="18"/>
        <v>539.39999999999418</v>
      </c>
      <c r="AB22" s="299">
        <f t="shared" si="19"/>
        <v>173.99999999997769</v>
      </c>
      <c r="AC22" s="299">
        <f t="shared" si="20"/>
        <v>173.99999999997769</v>
      </c>
      <c r="AD22" s="74">
        <f>ELEC!Q22</f>
        <v>2122.0000000012078</v>
      </c>
      <c r="AE22" s="74">
        <f t="shared" si="23"/>
        <v>684.51612903256739</v>
      </c>
      <c r="AF22" s="426">
        <f t="shared" si="24"/>
        <v>0.42782258064535461</v>
      </c>
      <c r="AG22" s="427">
        <f t="shared" si="25"/>
        <v>136.90322580651349</v>
      </c>
      <c r="AH22" s="427">
        <f t="shared" si="21"/>
        <v>37.096774193464199</v>
      </c>
      <c r="AI22" s="74">
        <f t="shared" si="26"/>
        <v>546.16877637161895</v>
      </c>
      <c r="AJ22" s="301">
        <f t="shared" si="9"/>
        <v>0.25738396624472576</v>
      </c>
      <c r="AK22" s="301">
        <f t="shared" si="29"/>
        <v>176.18347624888867</v>
      </c>
    </row>
    <row r="23" spans="1:37">
      <c r="A23" s="4">
        <f>ELEC!C23</f>
        <v>43851</v>
      </c>
      <c r="B23" s="277">
        <v>8491.01</v>
      </c>
      <c r="C23" s="299">
        <f t="shared" si="11"/>
        <v>4.0100000000002183</v>
      </c>
      <c r="D23" s="277">
        <v>119394.1</v>
      </c>
      <c r="E23" s="561">
        <f t="shared" si="12"/>
        <v>471.20000000001164</v>
      </c>
      <c r="F23" s="299">
        <f t="shared" si="0"/>
        <v>117.50623441396159</v>
      </c>
      <c r="G23" s="200"/>
      <c r="H23" s="300">
        <f t="shared" si="13"/>
        <v>8497</v>
      </c>
      <c r="I23" s="299" t="str">
        <f t="shared" si="1"/>
        <v>ok</v>
      </c>
      <c r="J23" s="277">
        <f t="shared" si="32"/>
        <v>10689</v>
      </c>
      <c r="K23" s="299">
        <f t="shared" si="2"/>
        <v>0</v>
      </c>
      <c r="L23" s="277">
        <v>237066.9</v>
      </c>
      <c r="M23" s="299">
        <f t="shared" si="3"/>
        <v>8</v>
      </c>
      <c r="N23" s="299">
        <f t="shared" si="14"/>
        <v>0</v>
      </c>
      <c r="O23" s="200"/>
      <c r="P23" s="300">
        <f t="shared" si="15"/>
        <v>10873</v>
      </c>
      <c r="Q23" s="299" t="str">
        <f t="shared" si="30"/>
        <v>ok</v>
      </c>
      <c r="R23" s="277">
        <f t="shared" si="28"/>
        <v>10893.26</v>
      </c>
      <c r="S23" s="299">
        <f t="shared" si="5"/>
        <v>0</v>
      </c>
      <c r="T23" s="277">
        <v>177266.9</v>
      </c>
      <c r="U23" s="299">
        <f t="shared" si="31"/>
        <v>8.7999999999883585</v>
      </c>
      <c r="V23" s="299">
        <f t="shared" si="16"/>
        <v>0</v>
      </c>
      <c r="W23" s="200"/>
      <c r="X23" s="300">
        <f t="shared" si="17"/>
        <v>11169</v>
      </c>
      <c r="Y23" s="299" t="str">
        <f t="shared" si="33"/>
        <v>ok</v>
      </c>
      <c r="Z23" s="299">
        <f t="shared" si="8"/>
        <v>4.0100000000002183</v>
      </c>
      <c r="AA23" s="299">
        <f t="shared" si="18"/>
        <v>488</v>
      </c>
      <c r="AB23" s="299">
        <f t="shared" si="19"/>
        <v>117.50623441396159</v>
      </c>
      <c r="AC23" s="299">
        <f t="shared" si="20"/>
        <v>121.69576059849712</v>
      </c>
      <c r="AD23" s="74">
        <f>ELEC!Q23</f>
        <v>2207.9999999987194</v>
      </c>
      <c r="AE23" s="74">
        <f t="shared" si="23"/>
        <v>550.62344139615936</v>
      </c>
      <c r="AF23" s="426">
        <f t="shared" si="24"/>
        <v>0.34413965087259962</v>
      </c>
      <c r="AG23" s="427">
        <f t="shared" si="25"/>
        <v>110.12468827923188</v>
      </c>
      <c r="AH23" s="427">
        <f t="shared" si="21"/>
        <v>11.571072319265241</v>
      </c>
      <c r="AI23" s="74">
        <f t="shared" si="26"/>
        <v>568.30379746802487</v>
      </c>
      <c r="AJ23" s="301">
        <f t="shared" si="9"/>
        <v>0.25738396624472576</v>
      </c>
      <c r="AK23" s="301">
        <f t="shared" si="29"/>
        <v>141.72164525386381</v>
      </c>
    </row>
    <row r="24" spans="1:37">
      <c r="A24" s="4">
        <f>ELEC!C24</f>
        <v>43852</v>
      </c>
      <c r="B24" s="277">
        <v>8494</v>
      </c>
      <c r="C24" s="299">
        <f t="shared" si="11"/>
        <v>2.9899999999997817</v>
      </c>
      <c r="D24" s="277">
        <v>120750</v>
      </c>
      <c r="E24" s="561">
        <f t="shared" si="12"/>
        <v>1355.8999999999942</v>
      </c>
      <c r="F24" s="299">
        <f t="shared" si="0"/>
        <v>453.4782608695964</v>
      </c>
      <c r="G24" s="200"/>
      <c r="H24" s="300">
        <f t="shared" si="13"/>
        <v>8497</v>
      </c>
      <c r="I24" s="299" t="str">
        <f t="shared" si="1"/>
        <v>ok</v>
      </c>
      <c r="J24" s="277">
        <v>10689</v>
      </c>
      <c r="K24" s="299">
        <f t="shared" si="2"/>
        <v>0</v>
      </c>
      <c r="L24" s="277">
        <v>237066</v>
      </c>
      <c r="M24" s="299">
        <f t="shared" si="3"/>
        <v>-0.89999999999417923</v>
      </c>
      <c r="N24" s="299">
        <f t="shared" si="14"/>
        <v>0</v>
      </c>
      <c r="O24" s="200"/>
      <c r="P24" s="300">
        <f t="shared" si="15"/>
        <v>10873</v>
      </c>
      <c r="Q24" s="299" t="str">
        <f t="shared" si="30"/>
        <v>ok</v>
      </c>
      <c r="R24" s="277">
        <v>10893</v>
      </c>
      <c r="S24" s="299">
        <f t="shared" si="5"/>
        <v>-0.26000000000021828</v>
      </c>
      <c r="T24" s="277">
        <f>T23</f>
        <v>177266.9</v>
      </c>
      <c r="U24" s="299">
        <f t="shared" si="31"/>
        <v>0</v>
      </c>
      <c r="V24" s="299">
        <f t="shared" si="16"/>
        <v>0</v>
      </c>
      <c r="W24" s="200"/>
      <c r="X24" s="300">
        <f t="shared" si="17"/>
        <v>11169</v>
      </c>
      <c r="Y24" s="299" t="str">
        <f t="shared" si="33"/>
        <v>ok</v>
      </c>
      <c r="Z24" s="299">
        <f t="shared" si="8"/>
        <v>2.7299999999995634</v>
      </c>
      <c r="AA24" s="299">
        <f t="shared" si="18"/>
        <v>1355</v>
      </c>
      <c r="AB24" s="299">
        <f t="shared" si="19"/>
        <v>453.4782608695964</v>
      </c>
      <c r="AC24" s="299">
        <f t="shared" si="20"/>
        <v>496.33699633707573</v>
      </c>
      <c r="AD24" s="74">
        <f>ELEC!Q24</f>
        <v>1506.0000000012224</v>
      </c>
      <c r="AE24" s="74">
        <f t="shared" si="23"/>
        <v>551.64835164888757</v>
      </c>
      <c r="AF24" s="426">
        <f t="shared" si="24"/>
        <v>0.34478021978055473</v>
      </c>
      <c r="AG24" s="427">
        <f t="shared" si="25"/>
        <v>110.32967032977751</v>
      </c>
      <c r="AH24" s="427">
        <f t="shared" si="21"/>
        <v>386.00732600729822</v>
      </c>
      <c r="AI24" s="74">
        <f t="shared" si="26"/>
        <v>387.6202531648716</v>
      </c>
      <c r="AJ24" s="301">
        <f t="shared" si="9"/>
        <v>0.25738396624472576</v>
      </c>
      <c r="AK24" s="301">
        <f t="shared" si="29"/>
        <v>141.9854407197559</v>
      </c>
    </row>
    <row r="25" spans="1:37">
      <c r="A25" s="4">
        <f>ELEC!C25</f>
        <v>43853</v>
      </c>
      <c r="B25" s="277">
        <v>8497</v>
      </c>
      <c r="C25" s="299">
        <f t="shared" si="11"/>
        <v>3</v>
      </c>
      <c r="D25" s="277">
        <v>121282</v>
      </c>
      <c r="E25" s="561">
        <f t="shared" si="12"/>
        <v>532</v>
      </c>
      <c r="F25" s="299">
        <f t="shared" si="0"/>
        <v>177.33333333333334</v>
      </c>
      <c r="G25" s="200"/>
      <c r="H25" s="300">
        <f t="shared" si="13"/>
        <v>8497</v>
      </c>
      <c r="I25" s="299" t="str">
        <f t="shared" si="1"/>
        <v>ok</v>
      </c>
      <c r="J25" s="277">
        <f t="shared" si="32"/>
        <v>10689</v>
      </c>
      <c r="K25" s="299">
        <f t="shared" si="2"/>
        <v>0</v>
      </c>
      <c r="L25" s="277">
        <f t="shared" si="32"/>
        <v>237066</v>
      </c>
      <c r="M25" s="299">
        <f t="shared" si="3"/>
        <v>0</v>
      </c>
      <c r="N25" s="299">
        <f t="shared" si="14"/>
        <v>0</v>
      </c>
      <c r="O25" s="200"/>
      <c r="P25" s="300">
        <f t="shared" si="15"/>
        <v>10873</v>
      </c>
      <c r="Q25" s="299" t="str">
        <f t="shared" si="30"/>
        <v>ok</v>
      </c>
      <c r="R25" s="277">
        <f t="shared" si="28"/>
        <v>10893</v>
      </c>
      <c r="S25" s="299">
        <f t="shared" si="5"/>
        <v>0</v>
      </c>
      <c r="T25" s="277">
        <f t="shared" si="28"/>
        <v>177266.9</v>
      </c>
      <c r="U25" s="299">
        <f t="shared" si="31"/>
        <v>0</v>
      </c>
      <c r="V25" s="299">
        <f t="shared" si="16"/>
        <v>0</v>
      </c>
      <c r="W25" s="200"/>
      <c r="X25" s="300">
        <f t="shared" si="17"/>
        <v>11169</v>
      </c>
      <c r="Y25" s="299" t="str">
        <f t="shared" si="33"/>
        <v>ok</v>
      </c>
      <c r="Z25" s="299">
        <f t="shared" si="8"/>
        <v>3</v>
      </c>
      <c r="AA25" s="299">
        <f t="shared" si="18"/>
        <v>532</v>
      </c>
      <c r="AB25" s="299">
        <f t="shared" si="19"/>
        <v>177.33333333333334</v>
      </c>
      <c r="AC25" s="299">
        <f t="shared" si="20"/>
        <v>177.33333333333334</v>
      </c>
      <c r="AD25" s="74">
        <f>ELEC!Q25</f>
        <v>1485.9999999989668</v>
      </c>
      <c r="AE25" s="74">
        <f t="shared" si="23"/>
        <v>495.33333333298896</v>
      </c>
      <c r="AF25" s="426">
        <f t="shared" si="24"/>
        <v>0.3095833333331181</v>
      </c>
      <c r="AG25" s="427">
        <f t="shared" si="25"/>
        <v>99.066666666597797</v>
      </c>
      <c r="AH25" s="427">
        <f t="shared" si="21"/>
        <v>78.266666666735546</v>
      </c>
      <c r="AI25" s="74">
        <f t="shared" si="26"/>
        <v>382.47257383939655</v>
      </c>
      <c r="AJ25" s="301">
        <f t="shared" si="9"/>
        <v>0.25738396624472576</v>
      </c>
      <c r="AK25" s="301">
        <f t="shared" si="29"/>
        <v>127.49085794646551</v>
      </c>
    </row>
    <row r="26" spans="1:37">
      <c r="A26" s="4">
        <f>ELEC!C26</f>
        <v>43854</v>
      </c>
      <c r="B26" s="277">
        <v>8502</v>
      </c>
      <c r="C26" s="299">
        <f t="shared" si="11"/>
        <v>5</v>
      </c>
      <c r="D26" s="277">
        <v>122625.8</v>
      </c>
      <c r="E26" s="299">
        <f t="shared" si="12"/>
        <v>1343.8000000000029</v>
      </c>
      <c r="F26" s="299">
        <f t="shared" si="0"/>
        <v>268.76000000000056</v>
      </c>
      <c r="G26" s="200"/>
      <c r="H26" s="300">
        <f t="shared" si="13"/>
        <v>8497</v>
      </c>
      <c r="I26" s="299" t="str">
        <f t="shared" si="1"/>
        <v>oil change</v>
      </c>
      <c r="J26" s="277">
        <f t="shared" si="32"/>
        <v>10689</v>
      </c>
      <c r="K26" s="299">
        <f t="shared" si="2"/>
        <v>0</v>
      </c>
      <c r="L26" s="277">
        <f t="shared" si="32"/>
        <v>237066</v>
      </c>
      <c r="M26" s="299">
        <f t="shared" si="3"/>
        <v>0</v>
      </c>
      <c r="N26" s="299">
        <f t="shared" si="14"/>
        <v>0</v>
      </c>
      <c r="O26" s="200"/>
      <c r="P26" s="300">
        <f t="shared" si="15"/>
        <v>10873</v>
      </c>
      <c r="Q26" s="299" t="str">
        <f t="shared" si="30"/>
        <v>ok</v>
      </c>
      <c r="R26" s="277">
        <f t="shared" si="28"/>
        <v>10893</v>
      </c>
      <c r="S26" s="299">
        <f t="shared" si="5"/>
        <v>0</v>
      </c>
      <c r="T26" s="277">
        <f t="shared" si="28"/>
        <v>177266.9</v>
      </c>
      <c r="U26" s="299">
        <f t="shared" si="31"/>
        <v>0</v>
      </c>
      <c r="V26" s="299">
        <f t="shared" si="16"/>
        <v>0</v>
      </c>
      <c r="W26" s="200"/>
      <c r="X26" s="300">
        <f t="shared" si="17"/>
        <v>11169</v>
      </c>
      <c r="Y26" s="299" t="str">
        <f t="shared" si="33"/>
        <v>ok</v>
      </c>
      <c r="Z26" s="299">
        <f t="shared" si="8"/>
        <v>5</v>
      </c>
      <c r="AA26" s="299">
        <f t="shared" si="18"/>
        <v>1343.8000000000029</v>
      </c>
      <c r="AB26" s="299">
        <f t="shared" si="19"/>
        <v>268.76000000000056</v>
      </c>
      <c r="AC26" s="299">
        <f t="shared" si="20"/>
        <v>268.76000000000056</v>
      </c>
      <c r="AD26" s="74">
        <f>ELEC!Q26</f>
        <v>2022.000000000844</v>
      </c>
      <c r="AE26" s="74">
        <f t="shared" si="23"/>
        <v>404.4000000001688</v>
      </c>
      <c r="AF26" s="426">
        <f t="shared" si="24"/>
        <v>0.2527500000001055</v>
      </c>
      <c r="AG26" s="427">
        <f t="shared" si="25"/>
        <v>80.88000000003376</v>
      </c>
      <c r="AH26" s="427">
        <f t="shared" si="21"/>
        <v>187.8799999999668</v>
      </c>
      <c r="AI26" s="74">
        <f t="shared" si="26"/>
        <v>520.43037974705271</v>
      </c>
      <c r="AJ26" s="301">
        <f t="shared" si="9"/>
        <v>0.25738396624472576</v>
      </c>
      <c r="AK26" s="301">
        <f t="shared" si="29"/>
        <v>104.08607594941054</v>
      </c>
    </row>
    <row r="27" spans="1:37">
      <c r="A27" s="4">
        <f>ELEC!C27</f>
        <v>43855</v>
      </c>
      <c r="B27" s="277">
        <v>8505</v>
      </c>
      <c r="C27" s="299">
        <f t="shared" si="11"/>
        <v>3</v>
      </c>
      <c r="D27" s="277">
        <v>123647</v>
      </c>
      <c r="E27" s="299">
        <f t="shared" si="12"/>
        <v>1021.1999999999971</v>
      </c>
      <c r="F27" s="299">
        <f t="shared" si="0"/>
        <v>340.39999999999901</v>
      </c>
      <c r="G27" s="200"/>
      <c r="H27" s="300">
        <f t="shared" si="13"/>
        <v>8497</v>
      </c>
      <c r="I27" s="299" t="str">
        <f>IF(B27-H27&lt;=0,"ok","oil change")</f>
        <v>oil change</v>
      </c>
      <c r="J27" s="277">
        <f t="shared" si="32"/>
        <v>10689</v>
      </c>
      <c r="K27" s="299">
        <f t="shared" si="2"/>
        <v>0</v>
      </c>
      <c r="L27" s="277">
        <f t="shared" si="32"/>
        <v>237066</v>
      </c>
      <c r="M27" s="299">
        <f t="shared" si="3"/>
        <v>0</v>
      </c>
      <c r="N27" s="299">
        <f t="shared" si="14"/>
        <v>0</v>
      </c>
      <c r="O27" s="200"/>
      <c r="P27" s="300">
        <f t="shared" si="15"/>
        <v>10873</v>
      </c>
      <c r="Q27" s="299" t="str">
        <f t="shared" si="30"/>
        <v>ok</v>
      </c>
      <c r="R27" s="277">
        <f t="shared" si="28"/>
        <v>10893</v>
      </c>
      <c r="S27" s="299">
        <f t="shared" si="5"/>
        <v>0</v>
      </c>
      <c r="T27" s="277">
        <f t="shared" si="28"/>
        <v>177266.9</v>
      </c>
      <c r="U27" s="299">
        <f t="shared" si="31"/>
        <v>0</v>
      </c>
      <c r="V27" s="299">
        <f t="shared" si="16"/>
        <v>0</v>
      </c>
      <c r="W27" s="200"/>
      <c r="X27" s="300">
        <f t="shared" si="17"/>
        <v>11169</v>
      </c>
      <c r="Y27" s="299" t="str">
        <f t="shared" si="33"/>
        <v>ok</v>
      </c>
      <c r="Z27" s="299">
        <f t="shared" si="8"/>
        <v>3</v>
      </c>
      <c r="AA27" s="299">
        <f t="shared" si="18"/>
        <v>1021.1999999999971</v>
      </c>
      <c r="AB27" s="299">
        <f t="shared" si="19"/>
        <v>340.39999999999901</v>
      </c>
      <c r="AC27" s="299">
        <f t="shared" si="20"/>
        <v>340.39999999999901</v>
      </c>
      <c r="AD27" s="74">
        <f>ELEC!Q27</f>
        <v>1536.0000000000582</v>
      </c>
      <c r="AE27" s="74">
        <f t="shared" si="23"/>
        <v>512.00000000001944</v>
      </c>
      <c r="AF27" s="426">
        <f t="shared" si="24"/>
        <v>0.32000000000001216</v>
      </c>
      <c r="AG27" s="427">
        <f t="shared" si="25"/>
        <v>102.4000000000039</v>
      </c>
      <c r="AH27" s="427">
        <f t="shared" si="21"/>
        <v>237.99999999999511</v>
      </c>
      <c r="AI27" s="74">
        <f t="shared" si="26"/>
        <v>395.34177215191374</v>
      </c>
      <c r="AJ27" s="301">
        <f t="shared" si="9"/>
        <v>0.25738396624472576</v>
      </c>
      <c r="AK27" s="301">
        <f t="shared" si="29"/>
        <v>131.78059071730459</v>
      </c>
    </row>
    <row r="28" spans="1:37">
      <c r="A28" s="4">
        <f>ELEC!C28</f>
        <v>43856</v>
      </c>
      <c r="B28" s="277">
        <f t="shared" si="22"/>
        <v>8505</v>
      </c>
      <c r="C28" s="299">
        <f t="shared" si="11"/>
        <v>0</v>
      </c>
      <c r="D28" s="277">
        <v>123672.3</v>
      </c>
      <c r="E28" s="299">
        <f t="shared" si="12"/>
        <v>25.30000000000291</v>
      </c>
      <c r="F28" s="299">
        <f t="shared" si="0"/>
        <v>0</v>
      </c>
      <c r="G28" s="297"/>
      <c r="H28" s="300">
        <f t="shared" si="13"/>
        <v>8497</v>
      </c>
      <c r="I28" s="299" t="str">
        <f t="shared" si="1"/>
        <v>oil change</v>
      </c>
      <c r="J28" s="277">
        <f t="shared" si="32"/>
        <v>10689</v>
      </c>
      <c r="K28" s="299">
        <f t="shared" si="2"/>
        <v>0</v>
      </c>
      <c r="L28" s="277">
        <f t="shared" si="32"/>
        <v>237066</v>
      </c>
      <c r="M28" s="299">
        <f t="shared" si="3"/>
        <v>0</v>
      </c>
      <c r="N28" s="299">
        <f t="shared" si="14"/>
        <v>0</v>
      </c>
      <c r="O28" s="200"/>
      <c r="P28" s="300">
        <f t="shared" si="15"/>
        <v>10873</v>
      </c>
      <c r="Q28" s="299" t="str">
        <f t="shared" si="30"/>
        <v>ok</v>
      </c>
      <c r="R28" s="277">
        <v>10896</v>
      </c>
      <c r="S28" s="299">
        <f t="shared" si="5"/>
        <v>3</v>
      </c>
      <c r="T28" s="277">
        <v>178074.3</v>
      </c>
      <c r="U28" s="299">
        <f t="shared" si="31"/>
        <v>807.39999999999418</v>
      </c>
      <c r="V28" s="299">
        <f t="shared" si="16"/>
        <v>269.13333333333139</v>
      </c>
      <c r="W28" s="200"/>
      <c r="X28" s="300">
        <f t="shared" si="17"/>
        <v>11169</v>
      </c>
      <c r="Y28" s="299" t="str">
        <f t="shared" si="33"/>
        <v>ok</v>
      </c>
      <c r="Z28" s="299">
        <f t="shared" si="8"/>
        <v>3</v>
      </c>
      <c r="AA28" s="299">
        <f t="shared" si="18"/>
        <v>832.69999999999709</v>
      </c>
      <c r="AB28" s="299">
        <f t="shared" si="19"/>
        <v>269.13333333333139</v>
      </c>
      <c r="AC28" s="299">
        <f t="shared" si="20"/>
        <v>277.5666666666657</v>
      </c>
      <c r="AD28" s="74">
        <f>ELEC!Q28</f>
        <v>1495.9999999991851</v>
      </c>
      <c r="AE28" s="74">
        <f t="shared" si="23"/>
        <v>498.66666666639503</v>
      </c>
      <c r="AF28" s="426">
        <f t="shared" si="24"/>
        <v>0.31166666666649689</v>
      </c>
      <c r="AG28" s="427">
        <f t="shared" si="25"/>
        <v>99.733333333279006</v>
      </c>
      <c r="AH28" s="427">
        <f t="shared" si="21"/>
        <v>177.83333333338669</v>
      </c>
      <c r="AI28" s="74">
        <f t="shared" si="26"/>
        <v>385.04641350190002</v>
      </c>
      <c r="AJ28" s="301">
        <f t="shared" si="9"/>
        <v>0.25738396624472576</v>
      </c>
      <c r="AK28" s="301">
        <f t="shared" si="29"/>
        <v>128.34880450063335</v>
      </c>
    </row>
    <row r="29" spans="1:37">
      <c r="A29" s="4">
        <f>ELEC!C29</f>
        <v>43857</v>
      </c>
      <c r="B29" s="277">
        <f t="shared" si="22"/>
        <v>8505</v>
      </c>
      <c r="C29" s="299">
        <f t="shared" si="11"/>
        <v>0</v>
      </c>
      <c r="D29" s="277">
        <f t="shared" si="22"/>
        <v>123672.3</v>
      </c>
      <c r="E29" s="299">
        <f>SUM(D29-D28)</f>
        <v>0</v>
      </c>
      <c r="F29" s="299">
        <f t="shared" si="0"/>
        <v>0</v>
      </c>
      <c r="G29" s="200"/>
      <c r="H29" s="300">
        <f t="shared" si="13"/>
        <v>8497</v>
      </c>
      <c r="I29" s="299" t="str">
        <f t="shared" si="1"/>
        <v>oil change</v>
      </c>
      <c r="J29" s="277">
        <f t="shared" si="32"/>
        <v>10689</v>
      </c>
      <c r="K29" s="299">
        <f t="shared" si="2"/>
        <v>0</v>
      </c>
      <c r="L29" s="277">
        <f t="shared" si="32"/>
        <v>237066</v>
      </c>
      <c r="M29" s="299">
        <f t="shared" si="3"/>
        <v>0</v>
      </c>
      <c r="N29" s="299">
        <f t="shared" si="14"/>
        <v>0</v>
      </c>
      <c r="O29" s="200"/>
      <c r="P29" s="300">
        <f t="shared" si="15"/>
        <v>10873</v>
      </c>
      <c r="Q29" s="299" t="str">
        <f t="shared" si="30"/>
        <v>ok</v>
      </c>
      <c r="R29" s="277">
        <f t="shared" si="28"/>
        <v>10896</v>
      </c>
      <c r="S29" s="299">
        <f t="shared" si="5"/>
        <v>0</v>
      </c>
      <c r="T29" s="277">
        <f t="shared" si="28"/>
        <v>178074.3</v>
      </c>
      <c r="U29" s="299">
        <f t="shared" si="31"/>
        <v>0</v>
      </c>
      <c r="V29" s="299">
        <f t="shared" si="16"/>
        <v>0</v>
      </c>
      <c r="W29" s="200"/>
      <c r="X29" s="300">
        <f t="shared" si="17"/>
        <v>11169</v>
      </c>
      <c r="Y29" s="299" t="str">
        <f t="shared" si="33"/>
        <v>ok</v>
      </c>
      <c r="Z29" s="299">
        <f t="shared" si="8"/>
        <v>0</v>
      </c>
      <c r="AA29" s="299">
        <f t="shared" si="18"/>
        <v>0</v>
      </c>
      <c r="AB29" s="299">
        <f t="shared" si="19"/>
        <v>0</v>
      </c>
      <c r="AC29" s="299">
        <f t="shared" si="20"/>
        <v>0</v>
      </c>
      <c r="AD29" s="74">
        <f>ELEC!Q29</f>
        <v>0</v>
      </c>
      <c r="AE29" s="74" t="e">
        <f t="shared" si="23"/>
        <v>#DIV/0!</v>
      </c>
      <c r="AF29" s="426" t="e">
        <f t="shared" si="24"/>
        <v>#DIV/0!</v>
      </c>
      <c r="AG29" s="427" t="e">
        <f t="shared" si="25"/>
        <v>#DIV/0!</v>
      </c>
      <c r="AH29" s="427" t="e">
        <f t="shared" si="21"/>
        <v>#DIV/0!</v>
      </c>
      <c r="AI29" s="74">
        <f t="shared" si="26"/>
        <v>0</v>
      </c>
      <c r="AJ29" s="301">
        <f t="shared" si="9"/>
        <v>0.25738396624472576</v>
      </c>
      <c r="AK29" s="301">
        <f t="shared" si="29"/>
        <v>0</v>
      </c>
    </row>
    <row r="30" spans="1:37">
      <c r="A30" s="4">
        <f>ELEC!C30</f>
        <v>43858</v>
      </c>
      <c r="B30" s="277">
        <f t="shared" si="22"/>
        <v>8505</v>
      </c>
      <c r="C30" s="299">
        <f t="shared" si="11"/>
        <v>0</v>
      </c>
      <c r="D30" s="277">
        <f t="shared" si="22"/>
        <v>123672.3</v>
      </c>
      <c r="E30" s="299">
        <f t="shared" si="12"/>
        <v>0</v>
      </c>
      <c r="F30" s="299">
        <f t="shared" si="0"/>
        <v>0</v>
      </c>
      <c r="G30" s="200"/>
      <c r="H30" s="300">
        <f t="shared" si="13"/>
        <v>8497</v>
      </c>
      <c r="I30" s="299" t="str">
        <f t="shared" si="1"/>
        <v>oil change</v>
      </c>
      <c r="J30" s="277">
        <f t="shared" si="32"/>
        <v>10689</v>
      </c>
      <c r="K30" s="299">
        <f t="shared" si="2"/>
        <v>0</v>
      </c>
      <c r="L30" s="277">
        <f t="shared" si="32"/>
        <v>237066</v>
      </c>
      <c r="M30" s="299">
        <f t="shared" si="3"/>
        <v>0</v>
      </c>
      <c r="N30" s="299">
        <f t="shared" si="14"/>
        <v>0</v>
      </c>
      <c r="O30" s="200"/>
      <c r="P30" s="300">
        <f t="shared" si="15"/>
        <v>10873</v>
      </c>
      <c r="Q30" s="299" t="str">
        <f t="shared" si="30"/>
        <v>ok</v>
      </c>
      <c r="R30" s="277">
        <f t="shared" si="28"/>
        <v>10896</v>
      </c>
      <c r="S30" s="299">
        <f t="shared" si="5"/>
        <v>0</v>
      </c>
      <c r="T30" s="277">
        <f t="shared" si="28"/>
        <v>178074.3</v>
      </c>
      <c r="U30" s="299">
        <f t="shared" si="31"/>
        <v>0</v>
      </c>
      <c r="V30" s="299">
        <f t="shared" si="16"/>
        <v>0</v>
      </c>
      <c r="W30" s="297"/>
      <c r="X30" s="300">
        <f t="shared" si="17"/>
        <v>11169</v>
      </c>
      <c r="Y30" s="299" t="str">
        <f t="shared" si="33"/>
        <v>ok</v>
      </c>
      <c r="Z30" s="299">
        <f t="shared" si="8"/>
        <v>0</v>
      </c>
      <c r="AA30" s="299">
        <f t="shared" si="18"/>
        <v>0</v>
      </c>
      <c r="AB30" s="299">
        <f t="shared" si="19"/>
        <v>0</v>
      </c>
      <c r="AC30" s="299">
        <f t="shared" si="20"/>
        <v>0</v>
      </c>
      <c r="AD30" s="74">
        <f>ELEC!Q30</f>
        <v>0</v>
      </c>
      <c r="AE30" s="74" t="e">
        <f t="shared" si="23"/>
        <v>#DIV/0!</v>
      </c>
      <c r="AF30" s="426" t="e">
        <f t="shared" si="24"/>
        <v>#DIV/0!</v>
      </c>
      <c r="AG30" s="427" t="e">
        <f t="shared" si="25"/>
        <v>#DIV/0!</v>
      </c>
      <c r="AH30" s="427" t="e">
        <f t="shared" si="21"/>
        <v>#DIV/0!</v>
      </c>
      <c r="AI30" s="74">
        <f t="shared" si="26"/>
        <v>0</v>
      </c>
      <c r="AJ30" s="301">
        <f t="shared" si="9"/>
        <v>0.25738396624472576</v>
      </c>
      <c r="AK30" s="301">
        <f t="shared" si="29"/>
        <v>0</v>
      </c>
    </row>
    <row r="31" spans="1:37">
      <c r="A31" s="4">
        <f>ELEC!C31</f>
        <v>43859</v>
      </c>
      <c r="B31" s="277">
        <f t="shared" si="22"/>
        <v>8505</v>
      </c>
      <c r="C31" s="299">
        <f t="shared" si="11"/>
        <v>0</v>
      </c>
      <c r="D31" s="277">
        <f t="shared" si="22"/>
        <v>123672.3</v>
      </c>
      <c r="E31" s="299">
        <f t="shared" si="12"/>
        <v>0</v>
      </c>
      <c r="F31" s="299">
        <f t="shared" si="0"/>
        <v>0</v>
      </c>
      <c r="G31" s="200"/>
      <c r="H31" s="300">
        <f t="shared" si="13"/>
        <v>8497</v>
      </c>
      <c r="I31" s="299" t="str">
        <f t="shared" si="1"/>
        <v>oil change</v>
      </c>
      <c r="J31" s="277">
        <f t="shared" si="32"/>
        <v>10689</v>
      </c>
      <c r="K31" s="299">
        <f t="shared" si="2"/>
        <v>0</v>
      </c>
      <c r="L31" s="277">
        <f t="shared" si="32"/>
        <v>237066</v>
      </c>
      <c r="M31" s="299">
        <f t="shared" si="3"/>
        <v>0</v>
      </c>
      <c r="N31" s="299">
        <f t="shared" si="14"/>
        <v>0</v>
      </c>
      <c r="O31" s="200"/>
      <c r="P31" s="300">
        <f t="shared" si="15"/>
        <v>10873</v>
      </c>
      <c r="Q31" s="299" t="str">
        <f t="shared" si="30"/>
        <v>ok</v>
      </c>
      <c r="R31" s="277">
        <f t="shared" si="28"/>
        <v>10896</v>
      </c>
      <c r="S31" s="299">
        <f t="shared" si="5"/>
        <v>0</v>
      </c>
      <c r="T31" s="277">
        <f t="shared" si="28"/>
        <v>178074.3</v>
      </c>
      <c r="U31" s="299">
        <f t="shared" si="31"/>
        <v>0</v>
      </c>
      <c r="V31" s="299">
        <f t="shared" si="16"/>
        <v>0</v>
      </c>
      <c r="W31" s="200"/>
      <c r="X31" s="300">
        <f t="shared" si="17"/>
        <v>11169</v>
      </c>
      <c r="Y31" s="299" t="str">
        <f t="shared" si="33"/>
        <v>ok</v>
      </c>
      <c r="Z31" s="299">
        <f t="shared" si="8"/>
        <v>0</v>
      </c>
      <c r="AA31" s="299">
        <f t="shared" si="18"/>
        <v>0</v>
      </c>
      <c r="AB31" s="299">
        <f t="shared" si="19"/>
        <v>0</v>
      </c>
      <c r="AC31" s="299">
        <f t="shared" si="20"/>
        <v>0</v>
      </c>
      <c r="AD31" s="74">
        <f>ELEC!Q31</f>
        <v>0</v>
      </c>
      <c r="AE31" s="74" t="e">
        <f t="shared" si="23"/>
        <v>#DIV/0!</v>
      </c>
      <c r="AF31" s="426" t="e">
        <f t="shared" si="24"/>
        <v>#DIV/0!</v>
      </c>
      <c r="AG31" s="427" t="e">
        <f t="shared" si="25"/>
        <v>#DIV/0!</v>
      </c>
      <c r="AH31" s="427" t="e">
        <f t="shared" si="21"/>
        <v>#DIV/0!</v>
      </c>
      <c r="AI31" s="74">
        <f t="shared" si="26"/>
        <v>0</v>
      </c>
      <c r="AJ31" s="301">
        <f t="shared" si="9"/>
        <v>0.25738396624472576</v>
      </c>
      <c r="AK31" s="301">
        <f t="shared" si="29"/>
        <v>0</v>
      </c>
    </row>
    <row r="32" spans="1:37">
      <c r="A32" s="4">
        <f>ELEC!C32</f>
        <v>43860</v>
      </c>
      <c r="B32" s="277">
        <f t="shared" si="22"/>
        <v>8505</v>
      </c>
      <c r="C32" s="299">
        <f t="shared" si="11"/>
        <v>0</v>
      </c>
      <c r="D32" s="277">
        <f t="shared" si="22"/>
        <v>123672.3</v>
      </c>
      <c r="E32" s="299">
        <f t="shared" si="12"/>
        <v>0</v>
      </c>
      <c r="F32" s="299">
        <f t="shared" si="0"/>
        <v>0</v>
      </c>
      <c r="G32" s="200"/>
      <c r="H32" s="300">
        <f t="shared" si="13"/>
        <v>8497</v>
      </c>
      <c r="I32" s="299" t="str">
        <f t="shared" si="1"/>
        <v>oil change</v>
      </c>
      <c r="J32" s="277">
        <f t="shared" si="32"/>
        <v>10689</v>
      </c>
      <c r="K32" s="299">
        <f>J32-J31</f>
        <v>0</v>
      </c>
      <c r="L32" s="277">
        <f t="shared" si="32"/>
        <v>237066</v>
      </c>
      <c r="M32" s="299">
        <f t="shared" si="3"/>
        <v>0</v>
      </c>
      <c r="N32" s="299">
        <f t="shared" si="14"/>
        <v>0</v>
      </c>
      <c r="O32" s="200"/>
      <c r="P32" s="300">
        <f t="shared" si="15"/>
        <v>10873</v>
      </c>
      <c r="Q32" s="299" t="str">
        <f t="shared" si="30"/>
        <v>ok</v>
      </c>
      <c r="R32" s="277">
        <f t="shared" si="28"/>
        <v>10896</v>
      </c>
      <c r="S32" s="299">
        <f t="shared" si="5"/>
        <v>0</v>
      </c>
      <c r="T32" s="277">
        <f t="shared" si="28"/>
        <v>178074.3</v>
      </c>
      <c r="U32" s="299">
        <f t="shared" si="31"/>
        <v>0</v>
      </c>
      <c r="V32" s="299">
        <f t="shared" si="16"/>
        <v>0</v>
      </c>
      <c r="W32" s="200"/>
      <c r="X32" s="300">
        <f t="shared" si="17"/>
        <v>11169</v>
      </c>
      <c r="Y32" s="299" t="str">
        <f t="shared" si="33"/>
        <v>ok</v>
      </c>
      <c r="Z32" s="299">
        <f t="shared" si="8"/>
        <v>0</v>
      </c>
      <c r="AA32" s="299">
        <f t="shared" si="18"/>
        <v>0</v>
      </c>
      <c r="AB32" s="299">
        <f t="shared" si="19"/>
        <v>0</v>
      </c>
      <c r="AC32" s="299">
        <f t="shared" si="20"/>
        <v>0</v>
      </c>
      <c r="AD32" s="74">
        <f>ELEC!Q32</f>
        <v>0</v>
      </c>
      <c r="AE32" s="74" t="e">
        <f t="shared" si="23"/>
        <v>#DIV/0!</v>
      </c>
      <c r="AF32" s="426" t="e">
        <f t="shared" si="24"/>
        <v>#DIV/0!</v>
      </c>
      <c r="AG32" s="427" t="e">
        <f t="shared" si="25"/>
        <v>#DIV/0!</v>
      </c>
      <c r="AH32" s="427" t="e">
        <f t="shared" si="21"/>
        <v>#DIV/0!</v>
      </c>
      <c r="AI32" s="74">
        <f t="shared" si="26"/>
        <v>0</v>
      </c>
      <c r="AJ32" s="301">
        <f t="shared" si="9"/>
        <v>0.25738396624472576</v>
      </c>
      <c r="AK32" s="301">
        <f t="shared" si="29"/>
        <v>0</v>
      </c>
    </row>
    <row r="33" spans="1:37">
      <c r="A33" s="4">
        <f>ELEC!C33</f>
        <v>43861</v>
      </c>
      <c r="B33" s="277">
        <f t="shared" si="22"/>
        <v>8505</v>
      </c>
      <c r="C33" s="299">
        <f>B33-B32</f>
        <v>0</v>
      </c>
      <c r="D33" s="277">
        <f t="shared" si="22"/>
        <v>123672.3</v>
      </c>
      <c r="E33" s="299">
        <f>SUM(D33-D32)</f>
        <v>0</v>
      </c>
      <c r="F33" s="299">
        <f>IF(C33&gt;0,E33/C33,0)</f>
        <v>0</v>
      </c>
      <c r="G33" s="356"/>
      <c r="H33" s="300">
        <f t="shared" si="13"/>
        <v>8497</v>
      </c>
      <c r="I33" s="299" t="str">
        <f>IF(B33-H33&lt;=0,"ok","oil change")</f>
        <v>oil change</v>
      </c>
      <c r="J33" s="277">
        <f t="shared" si="32"/>
        <v>10689</v>
      </c>
      <c r="K33" s="299">
        <f>J33-J32</f>
        <v>0</v>
      </c>
      <c r="L33" s="277">
        <f t="shared" si="32"/>
        <v>237066</v>
      </c>
      <c r="M33" s="299">
        <f t="shared" si="3"/>
        <v>0</v>
      </c>
      <c r="N33" s="299">
        <f>IF(K33&gt;0,M33/K33,0)</f>
        <v>0</v>
      </c>
      <c r="O33" s="356"/>
      <c r="P33" s="300">
        <f t="shared" si="15"/>
        <v>10873</v>
      </c>
      <c r="Q33" s="299" t="str">
        <f>IF(J33-P33&lt;=0,"ok","oil change")</f>
        <v>ok</v>
      </c>
      <c r="R33" s="277">
        <f t="shared" si="28"/>
        <v>10896</v>
      </c>
      <c r="S33" s="299">
        <f>R33-R32</f>
        <v>0</v>
      </c>
      <c r="T33" s="277">
        <f t="shared" si="28"/>
        <v>178074.3</v>
      </c>
      <c r="U33" s="299">
        <f>SUM(T33-T32)</f>
        <v>0</v>
      </c>
      <c r="V33" s="299">
        <f>IF(S33&gt;0,U33/S33,0)</f>
        <v>0</v>
      </c>
      <c r="W33" s="356"/>
      <c r="X33" s="300">
        <f t="shared" si="17"/>
        <v>11169</v>
      </c>
      <c r="Y33" s="299" t="str">
        <f>IF(R33-X33&lt;=0,"ok","oil change")</f>
        <v>ok</v>
      </c>
      <c r="Z33" s="299">
        <f>C33+K33+S33</f>
        <v>0</v>
      </c>
      <c r="AA33" s="299">
        <f>U33+M33+E33</f>
        <v>0</v>
      </c>
      <c r="AB33" s="299">
        <f>V33+N33+F33</f>
        <v>0</v>
      </c>
      <c r="AC33" s="299">
        <f>IF(Z33&gt;0,AA33/Z33,0)</f>
        <v>0</v>
      </c>
      <c r="AD33" s="74">
        <f>ELEC!Q33</f>
        <v>0</v>
      </c>
      <c r="AE33" s="74" t="e">
        <f>SUM(AD33/Z33)</f>
        <v>#DIV/0!</v>
      </c>
      <c r="AF33" s="426" t="e">
        <f>SUM(AE33/1600)</f>
        <v>#DIV/0!</v>
      </c>
      <c r="AG33" s="427" t="e">
        <f>SUM(320*AF33)</f>
        <v>#DIV/0!</v>
      </c>
      <c r="AH33" s="427" t="e">
        <f>SUM(AC33-AG33)</f>
        <v>#DIV/0!</v>
      </c>
      <c r="AI33" s="74"/>
      <c r="AJ33" s="301"/>
      <c r="AK33" s="301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132</v>
      </c>
      <c r="V34" s="40"/>
      <c r="X34">
        <v>341</v>
      </c>
      <c r="Z34" s="445">
        <f>SUM(Z3:Z33)</f>
        <v>132</v>
      </c>
    </row>
    <row r="35" spans="1:37">
      <c r="C35" s="40">
        <f>SUM(C3:C33)</f>
        <v>19</v>
      </c>
      <c r="K35" s="40">
        <f>SUM(K3:K33)</f>
        <v>101</v>
      </c>
      <c r="S35" s="40">
        <f>SUM(S3:S33)</f>
        <v>12</v>
      </c>
      <c r="U35" s="40"/>
      <c r="V35" s="40"/>
      <c r="X35" s="40"/>
    </row>
  </sheetData>
  <conditionalFormatting sqref="C3:C33 K3:K33 S3:S33 Z3:Z33">
    <cfRule type="cellIs" dxfId="2" priority="10" stopIfTrue="1" operator="equal">
      <formula>0</formula>
    </cfRule>
  </conditionalFormatting>
  <conditionalFormatting sqref="AA3:AB33">
    <cfRule type="cellIs" dxfId="1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1093</v>
      </c>
      <c r="C2" s="3">
        <f>ELEC!N3</f>
        <v>14239</v>
      </c>
      <c r="D2" s="3">
        <f>C2-E2</f>
        <v>11692.000000001339</v>
      </c>
      <c r="E2" s="3">
        <f>ELEC!Q3</f>
        <v>2546.9999999986612</v>
      </c>
      <c r="F2" s="3">
        <f>GEN!Z2</f>
        <v>7</v>
      </c>
      <c r="G2" s="3">
        <f>WATER!C5+WATER!H5</f>
        <v>345</v>
      </c>
      <c r="H2" s="3">
        <f>WATER!L5</f>
        <v>0</v>
      </c>
      <c r="I2" s="15">
        <f>WATER!BC5+WATER!BD5+WATER!BE6-Sheet1!G2</f>
        <v>-348.9</v>
      </c>
      <c r="J2" s="9" t="str">
        <f>'B5'!A4</f>
        <v>31-12-2019</v>
      </c>
    </row>
    <row r="3" spans="1:10">
      <c r="A3" s="3">
        <f>ELEC!T4+ELEC!X2+ELEC!AB4</f>
        <v>16</v>
      </c>
      <c r="B3" s="3">
        <f>ELEC!AF4</f>
        <v>1282</v>
      </c>
      <c r="C3" s="3">
        <f>ELEC!N4</f>
        <v>15103</v>
      </c>
      <c r="D3" s="3">
        <f t="shared" ref="D3:D30" si="0">C3-E3</f>
        <v>10480.999999998792</v>
      </c>
      <c r="E3" s="3">
        <f>ELEC!Q4</f>
        <v>4622.0000000012078</v>
      </c>
      <c r="F3" s="3">
        <f>GEN!Z3</f>
        <v>3</v>
      </c>
      <c r="G3" s="3">
        <f>WATER!C6+WATER!H6</f>
        <v>19</v>
      </c>
      <c r="H3" s="3">
        <f>WATER!L6</f>
        <v>0</v>
      </c>
      <c r="I3" s="15">
        <f>WATER!BC6+WATER!BD6+WATER!BE7-Sheet1!G3</f>
        <v>53.399999999999991</v>
      </c>
      <c r="J3" s="9">
        <f>'B5'!A5</f>
        <v>43831</v>
      </c>
    </row>
    <row r="4" spans="1:10">
      <c r="A4" s="3">
        <f>ELEC!T5+ELEC!X5+ELEC!AB5</f>
        <v>9</v>
      </c>
      <c r="B4" s="3">
        <f>ELEC!AF5</f>
        <v>1422</v>
      </c>
      <c r="C4" s="3">
        <f>ELEC!N5</f>
        <v>15173</v>
      </c>
      <c r="D4" s="3">
        <f t="shared" si="0"/>
        <v>10542.000000000597</v>
      </c>
      <c r="E4" s="3">
        <f>ELEC!Q5</f>
        <v>4630.9999999994034</v>
      </c>
      <c r="F4" s="3">
        <f>GEN!Z4</f>
        <v>7</v>
      </c>
      <c r="G4" s="3">
        <f>WATER!C7+WATER!H7</f>
        <v>316</v>
      </c>
      <c r="H4" s="3">
        <f>WATER!L7</f>
        <v>7</v>
      </c>
      <c r="I4" s="15">
        <f>WATER!BC7+WATER!BD7+WATER!BE8-Sheet1!G4</f>
        <v>-376.7</v>
      </c>
      <c r="J4" s="9">
        <f>'B5'!A6</f>
        <v>43832</v>
      </c>
    </row>
    <row r="5" spans="1:10">
      <c r="A5" s="3">
        <f>ELEC!T6+ELEC!X6+ELEC!AB6</f>
        <v>5</v>
      </c>
      <c r="B5" s="3">
        <f>ELEC!AF6</f>
        <v>1114</v>
      </c>
      <c r="C5" s="3">
        <f>ELEC!N6</f>
        <v>15817</v>
      </c>
      <c r="D5" s="3">
        <f t="shared" si="0"/>
        <v>11817</v>
      </c>
      <c r="E5" s="3">
        <f>ELEC!Q6</f>
        <v>4000</v>
      </c>
      <c r="F5" s="3">
        <f>GEN!Z5</f>
        <v>6</v>
      </c>
      <c r="G5" s="3">
        <f>WATER!C8+WATER!H8</f>
        <v>0</v>
      </c>
      <c r="H5" s="3">
        <f>WATER!L8</f>
        <v>1</v>
      </c>
      <c r="I5" s="15">
        <f>WATER!BC8+WATER!BD8+WATER!BE9-Sheet1!G5</f>
        <v>4.7000000000000028</v>
      </c>
      <c r="J5" s="9">
        <f>'B5'!A7</f>
        <v>43833</v>
      </c>
    </row>
    <row r="6" spans="1:10">
      <c r="A6" s="3">
        <f>ELEC!T7+ELEC!X7+ELEC!AB7</f>
        <v>7</v>
      </c>
      <c r="B6" s="3">
        <f>ELEC!AF7</f>
        <v>1368</v>
      </c>
      <c r="C6" s="3">
        <f>ELEC!N7</f>
        <v>12909</v>
      </c>
      <c r="D6" s="3">
        <f t="shared" si="0"/>
        <v>11402.999999998778</v>
      </c>
      <c r="E6" s="3">
        <f>ELEC!Q24</f>
        <v>1506.0000000012224</v>
      </c>
      <c r="F6" s="3">
        <f>GEN!Z6</f>
        <v>6</v>
      </c>
      <c r="G6" s="3">
        <f>WATER!C9+WATER!H9</f>
        <v>288</v>
      </c>
      <c r="H6" s="3">
        <f>WATER!L9</f>
        <v>3</v>
      </c>
      <c r="I6" s="15">
        <f>WATER!BC9+WATER!BD9+WATER!BE10-Sheet1!G6</f>
        <v>-371.8</v>
      </c>
      <c r="J6" s="9">
        <f>'B5'!A8</f>
        <v>43834</v>
      </c>
    </row>
    <row r="7" spans="1:10">
      <c r="A7" s="3">
        <f>ELEC!T8+ELEC!X8+ELEC!AB8</f>
        <v>6</v>
      </c>
      <c r="B7" s="3">
        <f>ELEC!AF8</f>
        <v>926</v>
      </c>
      <c r="C7" s="3">
        <f>ELEC!N8</f>
        <v>13138</v>
      </c>
      <c r="D7" s="3">
        <f t="shared" si="0"/>
        <v>7903.9999999996217</v>
      </c>
      <c r="E7" s="3">
        <f>ELEC!Q8</f>
        <v>5234.0000000003783</v>
      </c>
      <c r="F7" s="3">
        <f>GEN!Z7</f>
        <v>3</v>
      </c>
      <c r="G7" s="3">
        <f>WATER!C10+WATER!H10</f>
        <v>0</v>
      </c>
      <c r="H7" s="3">
        <f>WATER!L10</f>
        <v>2</v>
      </c>
      <c r="I7" s="15">
        <f>WATER!BC10+WATER!BD10+WATER!BE11-Sheet1!G7</f>
        <v>2.9999999999999893</v>
      </c>
      <c r="J7" s="9">
        <f>'B5'!A9</f>
        <v>43835</v>
      </c>
    </row>
    <row r="8" spans="1:10">
      <c r="A8" s="3">
        <f>ELEC!T9+ELEC!X9+ELEC!AB9</f>
        <v>5</v>
      </c>
      <c r="B8" s="3">
        <f>ELEC!AF9</f>
        <v>906</v>
      </c>
      <c r="C8" s="3">
        <f>ELEC!N9</f>
        <v>12872</v>
      </c>
      <c r="D8" s="3">
        <f t="shared" si="0"/>
        <v>7992.9999999991851</v>
      </c>
      <c r="E8" s="3">
        <f>ELEC!Q9</f>
        <v>4879.0000000008149</v>
      </c>
      <c r="F8" s="3">
        <f>GEN!Z8</f>
        <v>10</v>
      </c>
      <c r="G8" s="3">
        <f>WATER!C11+WATER!H11</f>
        <v>179</v>
      </c>
      <c r="H8" s="3">
        <f>WATER!L11</f>
        <v>4</v>
      </c>
      <c r="I8" s="15">
        <f>WATER!BC11+WATER!BD11+WATER!BE12-Sheet1!G8</f>
        <v>-161.80000000000001</v>
      </c>
      <c r="J8" s="9">
        <f>'B5'!A10</f>
        <v>43836</v>
      </c>
    </row>
    <row r="9" spans="1:10">
      <c r="A9" s="3">
        <f>ELEC!T10+ELEC!X10+ELEC!AB10</f>
        <v>3</v>
      </c>
      <c r="B9" s="3">
        <f>ELEC!AF10</f>
        <v>412</v>
      </c>
      <c r="C9" s="3">
        <f>ELEC!N10</f>
        <v>12536.399999999907</v>
      </c>
      <c r="D9" s="3">
        <f t="shared" si="0"/>
        <v>5535.3999999997031</v>
      </c>
      <c r="E9" s="3">
        <f>ELEC!Q10</f>
        <v>7001.0000000002037</v>
      </c>
      <c r="F9" s="3">
        <f>GEN!Z9</f>
        <v>9</v>
      </c>
      <c r="G9" s="3">
        <f>WATER!C12+WATER!H12</f>
        <v>79</v>
      </c>
      <c r="H9" s="3">
        <f>WATER!L12</f>
        <v>3</v>
      </c>
      <c r="I9" s="15">
        <f>WATER!BC12+WATER!BD12+WATER!BE13-Sheet1!G9</f>
        <v>-84.799999999999983</v>
      </c>
      <c r="J9" s="9">
        <f>'B5'!A11</f>
        <v>43837</v>
      </c>
    </row>
    <row r="10" spans="1:10">
      <c r="A10" s="3">
        <f>ELEC!T11+ELEC!X11+ELEC!AB11</f>
        <v>4</v>
      </c>
      <c r="B10" s="3">
        <f>ELEC!AF11</f>
        <v>880</v>
      </c>
      <c r="C10" s="3">
        <f>ELEC!N11</f>
        <v>13631.600000000093</v>
      </c>
      <c r="D10" s="3">
        <f t="shared" si="0"/>
        <v>8745.6000000014901</v>
      </c>
      <c r="E10" s="3">
        <f>ELEC!Q11</f>
        <v>4885.999999998603</v>
      </c>
      <c r="F10" s="3">
        <f>GEN!Z10</f>
        <v>16</v>
      </c>
      <c r="G10" s="3">
        <f>WATER!C13+WATER!H13</f>
        <v>182</v>
      </c>
      <c r="H10" s="3">
        <f>WATER!L13</f>
        <v>0</v>
      </c>
      <c r="I10" s="15">
        <f>WATER!BC13+WATER!BD13+WATER!BE14-Sheet1!G10</f>
        <v>-151.39999999999998</v>
      </c>
      <c r="J10" s="9">
        <f>'B5'!A12</f>
        <v>43838</v>
      </c>
    </row>
    <row r="11" spans="1:10">
      <c r="A11" s="3">
        <f>ELEC!T12+ELEC!X12+ELEC!AB12</f>
        <v>5</v>
      </c>
      <c r="B11" s="3">
        <f>ELEC!AF12</f>
        <v>741</v>
      </c>
      <c r="C11" s="3">
        <f>ELEC!N12</f>
        <v>13062.799999999814</v>
      </c>
      <c r="D11" s="3">
        <f t="shared" si="0"/>
        <v>10648.799999999144</v>
      </c>
      <c r="E11" s="3">
        <f>ELEC!Q12</f>
        <v>2414.0000000006694</v>
      </c>
      <c r="F11" s="3">
        <f>GEN!Z11</f>
        <v>7</v>
      </c>
      <c r="G11" s="3">
        <f>WATER!C14+WATER!H14</f>
        <v>80</v>
      </c>
      <c r="H11" s="3">
        <f>WATER!L14</f>
        <v>2</v>
      </c>
      <c r="I11" s="15">
        <f>WATER!BC14+WATER!BD14+WATER!BE15-Sheet1!G11</f>
        <v>59.399999999999977</v>
      </c>
      <c r="J11" s="9">
        <f>'B5'!A13</f>
        <v>43839</v>
      </c>
    </row>
    <row r="12" spans="1:10">
      <c r="A12" s="3">
        <f>ELEC!T13+ELEC!X13+ELEC!AB13</f>
        <v>4</v>
      </c>
      <c r="B12" s="3">
        <f>ELEC!AF13</f>
        <v>822</v>
      </c>
      <c r="C12" s="3">
        <f>ELEC!N13</f>
        <v>14011.200000000186</v>
      </c>
      <c r="D12" s="3">
        <f t="shared" si="0"/>
        <v>12368.200000000157</v>
      </c>
      <c r="E12" s="3">
        <f>ELEC!Q13</f>
        <v>1643.0000000000291</v>
      </c>
      <c r="F12" s="3">
        <f>GEN!Z12</f>
        <v>4</v>
      </c>
      <c r="G12" s="3">
        <f>WATER!C15+WATER!H15</f>
        <v>343</v>
      </c>
      <c r="H12" s="3">
        <f>WATER!L15</f>
        <v>0</v>
      </c>
      <c r="I12" s="15">
        <f>WATER!BC15+WATER!BD15+WATER!BE16-Sheet1!G12</f>
        <v>-327.10000000000002</v>
      </c>
      <c r="J12" s="9">
        <f>'B5'!A14</f>
        <v>43840</v>
      </c>
    </row>
    <row r="13" spans="1:10">
      <c r="A13" s="3">
        <f>ELEC!T14+ELEC!X14+ELEC!AB14</f>
        <v>3</v>
      </c>
      <c r="B13" s="3">
        <f>ELEC!AF14</f>
        <v>464</v>
      </c>
      <c r="C13" s="3">
        <f>ELEC!N14</f>
        <v>14175</v>
      </c>
      <c r="D13" s="3">
        <f t="shared" si="0"/>
        <v>12057.999999999811</v>
      </c>
      <c r="E13" s="3">
        <f>ELEC!Q14</f>
        <v>2117.0000000001892</v>
      </c>
      <c r="F13" s="3">
        <f>GEN!Z13</f>
        <v>4</v>
      </c>
      <c r="G13" s="3">
        <f>WATER!C16+WATER!H16</f>
        <v>0</v>
      </c>
      <c r="H13" s="3">
        <f>WATER!L16</f>
        <v>8</v>
      </c>
      <c r="I13" s="15">
        <f>WATER!BC16+WATER!BD16+WATER!BE17-Sheet1!G13</f>
        <v>96.099999999999966</v>
      </c>
      <c r="J13" s="9">
        <f>'B5'!A15</f>
        <v>43841</v>
      </c>
    </row>
    <row r="14" spans="1:10">
      <c r="A14" s="3">
        <f>ELEC!T15+ELEC!X15+ELEC!AB15</f>
        <v>4</v>
      </c>
      <c r="B14" s="3">
        <f>ELEC!AF15</f>
        <v>731</v>
      </c>
      <c r="C14" s="3">
        <f>ELEC!N15</f>
        <v>12801</v>
      </c>
      <c r="D14" s="3">
        <f t="shared" si="0"/>
        <v>10490.000000000306</v>
      </c>
      <c r="E14" s="3">
        <f>ELEC!Q15</f>
        <v>2310.9999999996944</v>
      </c>
      <c r="F14" s="3">
        <f>GEN!Z14</f>
        <v>3</v>
      </c>
      <c r="G14" s="3">
        <f>WATER!C17+WATER!H17</f>
        <v>737</v>
      </c>
      <c r="H14" s="3">
        <f>WATER!L17</f>
        <v>6</v>
      </c>
      <c r="I14" s="15">
        <f>WATER!BC17+WATER!BD17+WATER!BE18-Sheet1!G14</f>
        <v>-596.29999999999995</v>
      </c>
      <c r="J14" s="9">
        <f>'B5'!A16</f>
        <v>43842</v>
      </c>
    </row>
    <row r="15" spans="1:10">
      <c r="A15" s="3">
        <f>ELEC!T16+ELEC!X16+ELEC!AB16</f>
        <v>2</v>
      </c>
      <c r="B15" s="3">
        <f>ELEC!AF16</f>
        <v>558</v>
      </c>
      <c r="C15" s="3">
        <f>ELEC!N16</f>
        <v>12578</v>
      </c>
      <c r="D15" s="3">
        <f t="shared" si="0"/>
        <v>9773.9999999999127</v>
      </c>
      <c r="E15" s="3">
        <f>ELEC!Q16</f>
        <v>2804.0000000000873</v>
      </c>
      <c r="F15" s="3">
        <f>GEN!Z15</f>
        <v>3</v>
      </c>
      <c r="G15" s="3">
        <f>WATER!C18+WATER!H18</f>
        <v>0</v>
      </c>
      <c r="H15" s="3">
        <f>WATER!L18</f>
        <v>3</v>
      </c>
      <c r="I15" s="15">
        <f>WATER!BC18+WATER!BD18+WATER!BE19-Sheet1!G15</f>
        <v>50.700000000000017</v>
      </c>
      <c r="J15" s="9">
        <f>'B5'!A17</f>
        <v>43843</v>
      </c>
    </row>
    <row r="16" spans="1:10">
      <c r="A16" s="3">
        <f>ELEC!T17+ELEC!X17+ELEC!AB17</f>
        <v>3</v>
      </c>
      <c r="B16" s="3">
        <f>ELEC!AF17</f>
        <v>634</v>
      </c>
      <c r="C16" s="3">
        <f>ELEC!N17</f>
        <v>12879</v>
      </c>
      <c r="D16" s="3">
        <f t="shared" si="0"/>
        <v>10232.99999999936</v>
      </c>
      <c r="E16" s="3">
        <f>ELEC!Q17</f>
        <v>2646.0000000006403</v>
      </c>
      <c r="F16" s="3">
        <f>GEN!Z16</f>
        <v>4</v>
      </c>
      <c r="G16" s="3">
        <f>WATER!C19+WATER!H19</f>
        <v>89</v>
      </c>
      <c r="H16" s="3">
        <f>WATER!L19</f>
        <v>4</v>
      </c>
      <c r="I16" s="15">
        <f>WATER!BC19+WATER!BD19+WATER!BE20-Sheet1!G16</f>
        <v>-160.29999999999995</v>
      </c>
      <c r="J16" s="9">
        <f>'B5'!A18</f>
        <v>43844</v>
      </c>
    </row>
    <row r="17" spans="1:10">
      <c r="A17" s="3">
        <f>ELEC!T18+ELEC!X18+ELEC!AB18</f>
        <v>6</v>
      </c>
      <c r="B17" s="3">
        <f>ELEC!AF18</f>
        <v>982</v>
      </c>
      <c r="C17" s="3">
        <f>ELEC!N18</f>
        <v>11369.399999999907</v>
      </c>
      <c r="D17" s="3">
        <f t="shared" si="0"/>
        <v>6889.4000000003434</v>
      </c>
      <c r="E17" s="3">
        <f>ELEC!Q18</f>
        <v>4479.9999999995634</v>
      </c>
      <c r="F17" s="3">
        <f>GEN!Z17</f>
        <v>5</v>
      </c>
      <c r="G17" s="3">
        <f>WATER!C20+WATER!H20</f>
        <v>0</v>
      </c>
      <c r="H17" s="3">
        <f>WATER!L20</f>
        <v>6</v>
      </c>
      <c r="I17" s="15">
        <f>WATER!BC20+WATER!BD20+WATER!BE21-Sheet1!G17</f>
        <v>122.10000000000001</v>
      </c>
      <c r="J17" s="9">
        <f>'B5'!A19</f>
        <v>43845</v>
      </c>
    </row>
    <row r="18" spans="1:10">
      <c r="A18" s="3">
        <f>ELEC!T19+ELEC!X19+ELEC!AB19</f>
        <v>3</v>
      </c>
      <c r="B18" s="3">
        <f>ELEC!AF19</f>
        <v>740</v>
      </c>
      <c r="C18" s="3">
        <f>ELEC!N19</f>
        <v>14249.600000000093</v>
      </c>
      <c r="D18" s="3">
        <f t="shared" si="0"/>
        <v>12235.600000000879</v>
      </c>
      <c r="E18" s="3">
        <f>ELEC!Q19</f>
        <v>2013.9999999992142</v>
      </c>
      <c r="F18" s="3">
        <f>GEN!Z18</f>
        <v>6</v>
      </c>
      <c r="G18" s="3">
        <f>WATER!C21+WATER!H21</f>
        <v>343</v>
      </c>
      <c r="H18" s="3">
        <f>WATER!L21</f>
        <v>2</v>
      </c>
      <c r="I18" s="15">
        <f>WATER!BC21+WATER!BD21+WATER!BE22-Sheet1!G18</f>
        <v>-319.00000000000006</v>
      </c>
      <c r="J18" s="9">
        <f>'B5'!A20</f>
        <v>43846</v>
      </c>
    </row>
    <row r="19" spans="1:10">
      <c r="A19" s="3">
        <f>ELEC!T20+ELEC!X20+ELEC!AB20</f>
        <v>1</v>
      </c>
      <c r="B19" s="3">
        <f>ELEC!AF20</f>
        <v>317</v>
      </c>
      <c r="C19" s="3">
        <f>ELEC!N20</f>
        <v>11144</v>
      </c>
      <c r="D19" s="3">
        <f t="shared" si="0"/>
        <v>8158.9999999994179</v>
      </c>
      <c r="E19" s="3">
        <f>ELEC!Q20</f>
        <v>2985.0000000005821</v>
      </c>
      <c r="F19" s="3">
        <f>GEN!Z19</f>
        <v>3</v>
      </c>
      <c r="G19" s="3">
        <f>WATER!C22+WATER!H22</f>
        <v>0</v>
      </c>
      <c r="H19" s="3">
        <f>WATER!L22</f>
        <v>0</v>
      </c>
      <c r="I19" s="15">
        <f>WATER!BC22+WATER!BD22+WATER!BE23-Sheet1!G19</f>
        <v>43.399999999999991</v>
      </c>
      <c r="J19" s="9">
        <f>'B5'!A21</f>
        <v>43847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9036</v>
      </c>
      <c r="D20" s="3">
        <f t="shared" si="0"/>
        <v>7395.0000000003783</v>
      </c>
      <c r="E20" s="3">
        <f>ELEC!Q21</f>
        <v>1640.9999999996217</v>
      </c>
      <c r="F20" s="3">
        <f>GEN!Z20</f>
        <v>6</v>
      </c>
      <c r="G20" s="3">
        <f>WATER!C23+WATER!H23</f>
        <v>375</v>
      </c>
      <c r="H20" s="3">
        <f>WATER!L23</f>
        <v>12</v>
      </c>
      <c r="I20" s="15">
        <f>WATER!BC23+WATER!BD23+WATER!BE24-Sheet1!G20</f>
        <v>-307.70000000000005</v>
      </c>
      <c r="J20" s="9">
        <f>'B5'!A22</f>
        <v>43848</v>
      </c>
    </row>
    <row r="21" spans="1:10">
      <c r="A21" s="3">
        <f>ELEC!T22+ELEC!X22+ELEC!AB22</f>
        <v>5</v>
      </c>
      <c r="B21" s="3">
        <f>ELEC!AF22</f>
        <v>462</v>
      </c>
      <c r="C21" s="3">
        <f>ELEC!N22</f>
        <v>11900</v>
      </c>
      <c r="D21" s="3">
        <f t="shared" si="0"/>
        <v>9777.9999999987922</v>
      </c>
      <c r="E21" s="3">
        <f>ELEC!Q22</f>
        <v>2122.0000000012078</v>
      </c>
      <c r="F21" s="3">
        <f>GEN!Z21</f>
        <v>3.1599999999998545</v>
      </c>
      <c r="G21" s="3">
        <f>WATER!C24+WATER!H24</f>
        <v>0</v>
      </c>
      <c r="H21" s="3">
        <f>WATER!L24</f>
        <v>0</v>
      </c>
      <c r="I21" s="15">
        <f>WATER!BC24+WATER!BD24+WATER!BE25-Sheet1!G21</f>
        <v>-7.1999999999999886</v>
      </c>
      <c r="J21" s="9">
        <f>'B5'!A23</f>
        <v>43849</v>
      </c>
    </row>
    <row r="22" spans="1:10">
      <c r="A22" s="3">
        <f>ELEC!T23+ELEC!X23+ELEC!AB23</f>
        <v>3</v>
      </c>
      <c r="B22" s="3">
        <f>ELEC!AF23</f>
        <v>583</v>
      </c>
      <c r="C22" s="3">
        <f>ELEC!N23</f>
        <v>11369.200000000186</v>
      </c>
      <c r="D22" s="3">
        <f t="shared" si="0"/>
        <v>9161.2000000014668</v>
      </c>
      <c r="E22" s="3">
        <f>ELEC!Q23</f>
        <v>2207.9999999987194</v>
      </c>
      <c r="F22" s="3">
        <f>GEN!Z22</f>
        <v>3.1000000000003638</v>
      </c>
      <c r="G22" s="3">
        <f>WATER!C25+WATER!H25</f>
        <v>310</v>
      </c>
      <c r="H22" s="3">
        <f>WATER!L25</f>
        <v>3</v>
      </c>
      <c r="I22" s="15">
        <f>WATER!BC25+WATER!BD25+WATER!BE26-Sheet1!G22</f>
        <v>-351</v>
      </c>
      <c r="J22" s="9">
        <f>'B5'!A24</f>
        <v>43850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10970</v>
      </c>
      <c r="D23" s="3">
        <f t="shared" si="0"/>
        <v>9463.9999999987776</v>
      </c>
      <c r="E23" s="3">
        <f>ELEC!Q24</f>
        <v>1506.0000000012224</v>
      </c>
      <c r="F23" s="3">
        <f>GEN!Z23</f>
        <v>4.0100000000002183</v>
      </c>
      <c r="G23" s="3">
        <f>WATER!C26+WATER!H26</f>
        <v>0</v>
      </c>
      <c r="H23" s="3">
        <f>WATER!L26</f>
        <v>4</v>
      </c>
      <c r="I23" s="15">
        <f>WATER!BC26+WATER!BD26+WATER!BE27-Sheet1!G23</f>
        <v>-124.09999999999998</v>
      </c>
      <c r="J23" s="9">
        <f>'B5'!A25</f>
        <v>43851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10672.799999999814</v>
      </c>
      <c r="D24" s="3">
        <f t="shared" si="0"/>
        <v>9186.8000000008469</v>
      </c>
      <c r="E24" s="3">
        <f>ELEC!Q25</f>
        <v>1485.9999999989668</v>
      </c>
      <c r="F24" s="3">
        <f>GEN!Z24</f>
        <v>2.7299999999995634</v>
      </c>
      <c r="G24" s="3">
        <f>WATER!C27+WATER!H27</f>
        <v>19</v>
      </c>
      <c r="H24" s="3">
        <f>WATER!L27</f>
        <v>5</v>
      </c>
      <c r="I24" s="15">
        <f>WATER!BC27+WATER!BD27+WATER!BE28-Sheet1!G24</f>
        <v>-112.09999999999995</v>
      </c>
      <c r="J24" s="9">
        <f>'B5'!A26</f>
        <v>43852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12121</v>
      </c>
      <c r="D25" s="3">
        <f t="shared" si="0"/>
        <v>10098.999999999156</v>
      </c>
      <c r="E25" s="3">
        <f>ELEC!Q26</f>
        <v>2022.000000000844</v>
      </c>
      <c r="F25" s="3">
        <f>GEN!Z25</f>
        <v>3</v>
      </c>
      <c r="G25" s="3">
        <f>WATER!C28+WATER!H28</f>
        <v>0</v>
      </c>
      <c r="H25" s="3">
        <f>WATER!L28</f>
        <v>1</v>
      </c>
      <c r="I25" s="15">
        <f>WATER!BC28+WATER!BD28+WATER!BE29-Sheet1!G25</f>
        <v>40.899999999999963</v>
      </c>
      <c r="J25" s="9">
        <f>'B5'!A27</f>
        <v>43853</v>
      </c>
    </row>
    <row r="26" spans="1:10">
      <c r="A26" s="3">
        <f>ELEC!T27+ELEC!X27+ELEC!AB27</f>
        <v>1</v>
      </c>
      <c r="B26" s="3">
        <f>ELEC!AF27</f>
        <v>226</v>
      </c>
      <c r="C26" s="3">
        <f>ELEC!N27</f>
        <v>8971</v>
      </c>
      <c r="D26" s="3">
        <f t="shared" si="0"/>
        <v>7434.9999999999418</v>
      </c>
      <c r="E26" s="3">
        <f>ELEC!Q27</f>
        <v>1536.0000000000582</v>
      </c>
      <c r="F26" s="3">
        <f>GEN!Z26</f>
        <v>5</v>
      </c>
      <c r="G26" s="3">
        <f>WATER!C29+WATER!H29</f>
        <v>364</v>
      </c>
      <c r="H26" s="3">
        <f>WATER!L29</f>
        <v>2</v>
      </c>
      <c r="I26" s="15">
        <f>WATER!BC29+WATER!BD29+WATER!BE30-Sheet1!G26</f>
        <v>-309.3</v>
      </c>
      <c r="J26" s="9">
        <f>'B5'!A28</f>
        <v>43854</v>
      </c>
    </row>
    <row r="27" spans="1:10">
      <c r="A27" s="3">
        <f>ELEC!T28+ELEC!X28+ELEC!AB28</f>
        <v>1</v>
      </c>
      <c r="B27" s="3">
        <f>ELEC!AF28</f>
        <v>249</v>
      </c>
      <c r="C27" s="3">
        <f>ELEC!N28</f>
        <v>11669.600000000093</v>
      </c>
      <c r="D27" s="3">
        <f t="shared" si="0"/>
        <v>10173.600000000908</v>
      </c>
      <c r="E27" s="3">
        <f>ELEC!Q28</f>
        <v>1495.9999999991851</v>
      </c>
      <c r="F27" s="3">
        <f>GEN!Z27</f>
        <v>3</v>
      </c>
      <c r="G27" s="3">
        <f>WATER!C30+WATER!H30</f>
        <v>0</v>
      </c>
      <c r="H27" s="3">
        <f>WATER!L30</f>
        <v>1</v>
      </c>
      <c r="I27" s="15">
        <f>WATER!BC30+WATER!BD30+WATER!BE31-Sheet1!G27</f>
        <v>44.000000000000043</v>
      </c>
      <c r="J27" s="9">
        <f>'B5'!A29</f>
        <v>43855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3</v>
      </c>
      <c r="G28" s="3">
        <f>WATER!C31+WATER!H31</f>
        <v>339</v>
      </c>
      <c r="H28" s="3">
        <f>WATER!L31</f>
        <v>23</v>
      </c>
      <c r="I28" s="15">
        <f>WATER!BC31+WATER!BD31+WATER!BE32-Sheet1!G28</f>
        <v>-260.5</v>
      </c>
      <c r="J28" s="9">
        <f>'B5'!A30</f>
        <v>43856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43857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43858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43859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06"/>
      <c r="B1" s="603" t="s">
        <v>119</v>
      </c>
      <c r="C1" s="603" t="s">
        <v>118</v>
      </c>
      <c r="D1" s="608" t="s">
        <v>113</v>
      </c>
      <c r="E1" s="608" t="s">
        <v>114</v>
      </c>
      <c r="F1" s="609" t="s">
        <v>120</v>
      </c>
      <c r="G1" s="610" t="s">
        <v>75</v>
      </c>
      <c r="H1" s="611" t="s">
        <v>115</v>
      </c>
      <c r="I1" s="612" t="s">
        <v>116</v>
      </c>
      <c r="J1" s="611" t="s">
        <v>117</v>
      </c>
      <c r="K1" s="605" t="s">
        <v>121</v>
      </c>
      <c r="L1" s="605" t="s">
        <v>122</v>
      </c>
      <c r="M1" s="605" t="s">
        <v>123</v>
      </c>
      <c r="N1" s="605" t="s">
        <v>124</v>
      </c>
    </row>
    <row r="2" spans="1:14">
      <c r="A2" s="607"/>
      <c r="B2" s="604"/>
      <c r="C2" s="604"/>
      <c r="D2" s="608"/>
      <c r="E2" s="608"/>
      <c r="F2" s="609"/>
      <c r="G2" s="610"/>
      <c r="H2" s="611"/>
      <c r="I2" s="613"/>
      <c r="J2" s="611"/>
      <c r="K2" s="605"/>
      <c r="L2" s="605"/>
      <c r="M2" s="605"/>
      <c r="N2" s="605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43831</v>
      </c>
      <c r="B5" s="77">
        <f>'B5'!V5</f>
        <v>1058</v>
      </c>
      <c r="C5" s="77">
        <f>'B5'!AH5</f>
        <v>400</v>
      </c>
      <c r="D5" s="77">
        <f>GEN!AI3</f>
        <v>655.55696202497188</v>
      </c>
      <c r="E5" s="248">
        <f t="shared" ref="E5:E33" si="0">B5+C5+D5</f>
        <v>2113.5569620249717</v>
      </c>
      <c r="F5" s="76">
        <f>WATER!L5</f>
        <v>0</v>
      </c>
      <c r="G5" s="79">
        <f>WATER!BG5</f>
        <v>127.40000000000003</v>
      </c>
      <c r="H5" s="80">
        <f>ELEC!AF3</f>
        <v>1093</v>
      </c>
      <c r="I5" s="80">
        <f>ELEC!Q3</f>
        <v>2546.9999999986612</v>
      </c>
      <c r="J5" s="80">
        <f>ELEC!R3</f>
        <v>11692.000000001339</v>
      </c>
      <c r="K5" s="81"/>
      <c r="L5" s="3"/>
      <c r="M5" s="3"/>
      <c r="N5" s="3"/>
    </row>
    <row r="6" spans="1:14">
      <c r="A6" s="63">
        <f>'B5'!A6</f>
        <v>43832</v>
      </c>
      <c r="B6" s="77">
        <f>'B5'!V6</f>
        <v>995</v>
      </c>
      <c r="C6" s="77">
        <f>'B5'!AH6</f>
        <v>97.299999999988358</v>
      </c>
      <c r="D6" s="77">
        <f>GEN!AI4</f>
        <v>1189.6286919834333</v>
      </c>
      <c r="E6" s="248">
        <f t="shared" si="0"/>
        <v>2281.9286919834217</v>
      </c>
      <c r="F6" s="76">
        <f>WATER!L6</f>
        <v>0</v>
      </c>
      <c r="G6" s="79">
        <f>WATER!BG6</f>
        <v>-93.500000000000028</v>
      </c>
      <c r="H6" s="80">
        <f>ELEC!AF4</f>
        <v>1282</v>
      </c>
      <c r="I6" s="80">
        <f>ELEC!Q4</f>
        <v>4622.0000000012078</v>
      </c>
      <c r="J6" s="80">
        <f>ELEC!R4</f>
        <v>10480.999999998792</v>
      </c>
      <c r="K6" s="3"/>
      <c r="L6" s="3"/>
      <c r="M6" s="3"/>
      <c r="N6" s="3"/>
    </row>
    <row r="7" spans="1:14">
      <c r="A7" s="63">
        <f>'B5'!A7</f>
        <v>43833</v>
      </c>
      <c r="B7" s="77">
        <f>'B5'!V7</f>
        <v>843</v>
      </c>
      <c r="C7" s="77">
        <f>'B5'!AH7</f>
        <v>482.90000000002328</v>
      </c>
      <c r="D7" s="77">
        <f>GEN!AI5</f>
        <v>1191.9451476791714</v>
      </c>
      <c r="E7" s="248">
        <f t="shared" si="0"/>
        <v>2517.8451476791947</v>
      </c>
      <c r="F7" s="76">
        <f>WATER!L7</f>
        <v>7</v>
      </c>
      <c r="G7" s="79">
        <f>WATER!BG7</f>
        <v>74.100000000000023</v>
      </c>
      <c r="H7" s="80">
        <f>ELEC!AF5</f>
        <v>1422</v>
      </c>
      <c r="I7" s="80">
        <f>ELEC!Q5</f>
        <v>4630.9999999994034</v>
      </c>
      <c r="J7" s="80">
        <f>ELEC!R5</f>
        <v>10542.000000000597</v>
      </c>
      <c r="K7" s="3"/>
      <c r="L7" s="3"/>
      <c r="M7" s="3"/>
      <c r="N7" s="3"/>
    </row>
    <row r="8" spans="1:14">
      <c r="A8" s="63">
        <f>'B5'!A8</f>
        <v>43834</v>
      </c>
      <c r="B8" s="77">
        <f>'B5'!V8</f>
        <v>944</v>
      </c>
      <c r="C8" s="77">
        <f>'B5'!AH8</f>
        <v>0</v>
      </c>
      <c r="D8" s="77">
        <f>GEN!AI6</f>
        <v>1029.535864978903</v>
      </c>
      <c r="E8" s="248">
        <f t="shared" si="0"/>
        <v>1973.535864978903</v>
      </c>
      <c r="F8" s="76">
        <f>WATER!L8</f>
        <v>1</v>
      </c>
      <c r="G8" s="79">
        <f>WATER!BG8</f>
        <v>-83.5</v>
      </c>
      <c r="H8" s="80">
        <f>ELEC!AF6</f>
        <v>1114</v>
      </c>
      <c r="I8" s="80">
        <f>ELEC!Q6</f>
        <v>4000</v>
      </c>
      <c r="J8" s="80">
        <f>ELEC!R6</f>
        <v>11817</v>
      </c>
      <c r="K8" s="3"/>
      <c r="L8" s="3"/>
      <c r="M8" s="3"/>
      <c r="N8" s="3"/>
    </row>
    <row r="9" spans="1:14">
      <c r="A9" s="63">
        <f>'B5'!A9</f>
        <v>43835</v>
      </c>
      <c r="B9" s="77">
        <f>'B5'!V9</f>
        <v>706</v>
      </c>
      <c r="C9" s="77">
        <f>'B5'!AH9</f>
        <v>401.70000000001164</v>
      </c>
      <c r="D9" s="77">
        <f>GEN!AI7</f>
        <v>665.59493670868858</v>
      </c>
      <c r="E9" s="248">
        <f t="shared" si="0"/>
        <v>1773.2949367087003</v>
      </c>
      <c r="F9" s="76">
        <f>WATER!L9</f>
        <v>3</v>
      </c>
      <c r="G9" s="79">
        <f>WATER!BG9</f>
        <v>43.199999999999989</v>
      </c>
      <c r="H9" s="80">
        <f>ELEC!AF7</f>
        <v>1368</v>
      </c>
      <c r="I9" s="80">
        <f>ELEC!Q7</f>
        <v>2585.9999999993306</v>
      </c>
      <c r="J9" s="80">
        <f>ELEC!R7</f>
        <v>11402.999999998778</v>
      </c>
      <c r="K9" s="3"/>
      <c r="L9" s="3"/>
      <c r="M9" s="3"/>
      <c r="N9" s="3"/>
    </row>
    <row r="10" spans="1:14">
      <c r="A10" s="63">
        <f>'B5'!A10</f>
        <v>43836</v>
      </c>
      <c r="B10" s="77">
        <f>'B5'!V10</f>
        <v>607</v>
      </c>
      <c r="C10" s="77">
        <f>'B5'!AH10</f>
        <v>0</v>
      </c>
      <c r="D10" s="77">
        <f>GEN!AI8</f>
        <v>1347.1476793249919</v>
      </c>
      <c r="E10" s="248">
        <f t="shared" si="0"/>
        <v>1954.1476793249919</v>
      </c>
      <c r="F10" s="76">
        <f>WATER!L10</f>
        <v>2</v>
      </c>
      <c r="G10" s="79">
        <f>WATER!BG10</f>
        <v>-62.2</v>
      </c>
      <c r="H10" s="80">
        <f>ELEC!AF8</f>
        <v>926</v>
      </c>
      <c r="I10" s="80">
        <f>ELEC!Q8</f>
        <v>5234.0000000003783</v>
      </c>
      <c r="J10" s="80">
        <f>ELEC!R8</f>
        <v>7903.9999999996217</v>
      </c>
      <c r="K10" s="3"/>
      <c r="L10" s="3"/>
      <c r="M10" s="3"/>
      <c r="N10" s="3"/>
    </row>
    <row r="11" spans="1:14">
      <c r="A11" s="63">
        <f>'B5'!A11</f>
        <v>43837</v>
      </c>
      <c r="B11" s="77">
        <f>'B5'!V11</f>
        <v>638</v>
      </c>
      <c r="C11" s="77">
        <f>'B5'!AH11</f>
        <v>381.29999999998836</v>
      </c>
      <c r="D11" s="77">
        <f>GEN!AI9</f>
        <v>1255.7763713082268</v>
      </c>
      <c r="E11" s="248">
        <f t="shared" si="0"/>
        <v>2275.0763713082151</v>
      </c>
      <c r="F11" s="76">
        <f>WATER!L11</f>
        <v>4</v>
      </c>
      <c r="G11" s="79">
        <f>WATER!BG11</f>
        <v>14.799999999999983</v>
      </c>
      <c r="H11" s="80">
        <f>ELEC!AF9</f>
        <v>906</v>
      </c>
      <c r="I11" s="80">
        <f>ELEC!Q9</f>
        <v>4879.0000000008149</v>
      </c>
      <c r="J11" s="80">
        <f>ELEC!R9</f>
        <v>7992.9999999991851</v>
      </c>
      <c r="K11" s="3"/>
      <c r="L11" s="3"/>
      <c r="M11" s="3"/>
      <c r="N11" s="3"/>
    </row>
    <row r="12" spans="1:14">
      <c r="A12" s="63">
        <f>'B5'!A12</f>
        <v>43838</v>
      </c>
      <c r="B12" s="77">
        <f>'B5'!V12</f>
        <v>816</v>
      </c>
      <c r="C12" s="77">
        <f>'B5'!AH12</f>
        <v>0</v>
      </c>
      <c r="D12" s="77">
        <f>GEN!AI10</f>
        <v>1801.9451476793774</v>
      </c>
      <c r="E12" s="248">
        <f t="shared" si="0"/>
        <v>2617.9451476793774</v>
      </c>
      <c r="F12" s="76">
        <f>WATER!L12</f>
        <v>3</v>
      </c>
      <c r="G12" s="79">
        <f>WATER!BG12</f>
        <v>-0.29999999999999716</v>
      </c>
      <c r="H12" s="80">
        <f>ELEC!AF10</f>
        <v>412</v>
      </c>
      <c r="I12" s="80">
        <f>ELEC!Q10</f>
        <v>7001.0000000002037</v>
      </c>
      <c r="J12" s="80">
        <f>ELEC!R10</f>
        <v>5535.3999999997031</v>
      </c>
      <c r="K12" s="3"/>
      <c r="L12" s="3"/>
      <c r="M12" s="3"/>
      <c r="N12" s="3"/>
    </row>
    <row r="13" spans="1:14">
      <c r="A13" s="63">
        <f>'B5'!A13</f>
        <v>43839</v>
      </c>
      <c r="B13" s="77">
        <f>'B5'!V13</f>
        <v>853</v>
      </c>
      <c r="C13" s="77">
        <f>'B5'!AH13</f>
        <v>0</v>
      </c>
      <c r="D13" s="77">
        <f>GEN!AI11</f>
        <v>1257.5780590713705</v>
      </c>
      <c r="E13" s="248">
        <f t="shared" si="0"/>
        <v>2110.5780590713703</v>
      </c>
      <c r="F13" s="76">
        <f>WATER!L13</f>
        <v>0</v>
      </c>
      <c r="G13" s="79">
        <f>WATER!BG13</f>
        <v>30.500000000000028</v>
      </c>
      <c r="H13" s="80">
        <f>ELEC!AF11</f>
        <v>880</v>
      </c>
      <c r="I13" s="80">
        <f>ELEC!Q11</f>
        <v>4885.999999998603</v>
      </c>
      <c r="J13" s="80">
        <f>ELEC!R11</f>
        <v>8745.6000000014901</v>
      </c>
      <c r="K13" s="3"/>
      <c r="L13" s="3"/>
      <c r="M13" s="3"/>
      <c r="N13" s="3"/>
    </row>
    <row r="14" spans="1:14">
      <c r="A14" s="63">
        <f>'B5'!A14</f>
        <v>43840</v>
      </c>
      <c r="B14" s="77">
        <f>'B5'!V14</f>
        <v>1011</v>
      </c>
      <c r="C14" s="77">
        <f>'B5'!AH14</f>
        <v>450.79999999998836</v>
      </c>
      <c r="D14" s="77">
        <f>GEN!AI12</f>
        <v>621.3248945149403</v>
      </c>
      <c r="E14" s="248">
        <f t="shared" si="0"/>
        <v>2083.1248945149287</v>
      </c>
      <c r="F14" s="76">
        <f>WATER!L14</f>
        <v>2</v>
      </c>
      <c r="G14" s="79">
        <f>WATER!BG14</f>
        <v>-9.8000000000000114</v>
      </c>
      <c r="H14" s="80">
        <f>ELEC!AF12</f>
        <v>741</v>
      </c>
      <c r="I14" s="80">
        <f>ELEC!Q12</f>
        <v>2414.0000000006694</v>
      </c>
      <c r="J14" s="80">
        <f>ELEC!R12</f>
        <v>10648.799999999144</v>
      </c>
      <c r="K14" s="3"/>
      <c r="L14" s="3"/>
      <c r="M14" s="3"/>
      <c r="N14" s="3"/>
    </row>
    <row r="15" spans="1:14">
      <c r="A15" s="63">
        <f>'B5'!A15</f>
        <v>43841</v>
      </c>
      <c r="B15" s="77">
        <f>'B5'!V15</f>
        <v>728</v>
      </c>
      <c r="C15" s="77">
        <f>'B5'!AH15</f>
        <v>0</v>
      </c>
      <c r="D15" s="77">
        <f>GEN!AI13</f>
        <v>422.88185654009192</v>
      </c>
      <c r="E15" s="248">
        <f t="shared" si="0"/>
        <v>1150.881856540092</v>
      </c>
      <c r="F15" s="76">
        <f>WATER!L15</f>
        <v>0</v>
      </c>
      <c r="G15" s="79">
        <f>WATER!BG15</f>
        <v>148.29999999999998</v>
      </c>
      <c r="H15" s="80">
        <f>ELEC!AF13</f>
        <v>822</v>
      </c>
      <c r="I15" s="80">
        <f>ELEC!Q13</f>
        <v>1643.0000000000291</v>
      </c>
      <c r="J15" s="80">
        <f>ELEC!R13</f>
        <v>12368.200000000157</v>
      </c>
      <c r="K15" s="3"/>
      <c r="L15" s="3"/>
      <c r="M15" s="3"/>
      <c r="N15" s="3"/>
    </row>
    <row r="16" spans="1:14">
      <c r="A16" s="63">
        <f>'B5'!A16</f>
        <v>43842</v>
      </c>
      <c r="B16" s="77">
        <f>'B5'!V16</f>
        <v>543</v>
      </c>
      <c r="C16" s="77">
        <f>'B5'!AH16</f>
        <v>0</v>
      </c>
      <c r="D16" s="77">
        <f>GEN!AI14</f>
        <v>544.88185654013307</v>
      </c>
      <c r="E16" s="248">
        <f t="shared" si="0"/>
        <v>1087.881856540133</v>
      </c>
      <c r="F16" s="76">
        <f>WATER!L16</f>
        <v>8</v>
      </c>
      <c r="G16" s="79">
        <f>WATER!BG16</f>
        <v>-65.799999999999983</v>
      </c>
      <c r="H16" s="80">
        <f>ELEC!AF14</f>
        <v>464</v>
      </c>
      <c r="I16" s="80">
        <f>ELEC!Q14</f>
        <v>2117.0000000001892</v>
      </c>
      <c r="J16" s="80">
        <f>ELEC!R14</f>
        <v>12057.999999999811</v>
      </c>
      <c r="K16" s="3"/>
      <c r="L16" s="3"/>
      <c r="M16" s="3"/>
      <c r="N16" s="3"/>
    </row>
    <row r="17" spans="1:14">
      <c r="A17" s="63">
        <f>'B5'!A17</f>
        <v>43843</v>
      </c>
      <c r="B17" s="77">
        <f>'B5'!V17</f>
        <v>749</v>
      </c>
      <c r="C17" s="77">
        <f>'B5'!AH17</f>
        <v>0</v>
      </c>
      <c r="D17" s="77">
        <f>GEN!AI15</f>
        <v>594.81434599148258</v>
      </c>
      <c r="E17" s="248">
        <f t="shared" si="0"/>
        <v>1343.8143459914827</v>
      </c>
      <c r="F17" s="76">
        <f>WATER!L17</f>
        <v>6</v>
      </c>
      <c r="G17" s="79">
        <f>WATER!BG17</f>
        <v>94.399999999999977</v>
      </c>
      <c r="H17" s="80">
        <f>ELEC!AF15</f>
        <v>731</v>
      </c>
      <c r="I17" s="80">
        <f>ELEC!Q15</f>
        <v>2310.9999999996944</v>
      </c>
      <c r="J17" s="80">
        <f>ELEC!R15</f>
        <v>10490.000000000306</v>
      </c>
      <c r="K17" s="3"/>
      <c r="L17" s="3"/>
      <c r="M17" s="3"/>
      <c r="N17" s="3"/>
    </row>
    <row r="18" spans="1:14">
      <c r="A18" s="63">
        <f>'B5'!A18</f>
        <v>43844</v>
      </c>
      <c r="B18" s="77">
        <f>'B5'!V18</f>
        <v>460</v>
      </c>
      <c r="C18" s="77">
        <f>'B5'!AH18</f>
        <v>426.59999999997672</v>
      </c>
      <c r="D18" s="77">
        <f>GEN!AI16</f>
        <v>721.70464135023349</v>
      </c>
      <c r="E18" s="248">
        <f t="shared" si="0"/>
        <v>1608.3046413502102</v>
      </c>
      <c r="F18" s="76">
        <f>WATER!L18</f>
        <v>3</v>
      </c>
      <c r="G18" s="79">
        <f>WATER!BG18</f>
        <v>36.400000000000041</v>
      </c>
      <c r="H18" s="80">
        <f>ELEC!AF16</f>
        <v>558</v>
      </c>
      <c r="I18" s="80">
        <f>ELEC!Q16</f>
        <v>2804.0000000000873</v>
      </c>
      <c r="J18" s="80">
        <f>ELEC!R16</f>
        <v>9773.9999999999127</v>
      </c>
      <c r="K18" s="3"/>
      <c r="L18" s="3"/>
      <c r="M18" s="3"/>
      <c r="N18" s="3"/>
    </row>
    <row r="19" spans="1:14">
      <c r="A19" s="63">
        <f>'B5'!A19</f>
        <v>43845</v>
      </c>
      <c r="B19" s="77">
        <f>'B5'!V19</f>
        <v>588</v>
      </c>
      <c r="C19" s="77">
        <f>'B5'!AH19</f>
        <v>174.60000000003492</v>
      </c>
      <c r="D19" s="77">
        <f>GEN!AI17</f>
        <v>681.03797468370919</v>
      </c>
      <c r="E19" s="248">
        <f t="shared" si="0"/>
        <v>1443.6379746837442</v>
      </c>
      <c r="F19" s="76">
        <f>WATER!L19</f>
        <v>4</v>
      </c>
      <c r="G19" s="79">
        <f>WATER!BG19</f>
        <v>47.59999999999998</v>
      </c>
      <c r="H19" s="80">
        <f>ELEC!AF17</f>
        <v>634</v>
      </c>
      <c r="I19" s="80">
        <f>ELEC!Q17</f>
        <v>2646.0000000006403</v>
      </c>
      <c r="J19" s="80">
        <f>ELEC!R17</f>
        <v>10232.99999999936</v>
      </c>
      <c r="K19" s="3"/>
      <c r="L19" s="3"/>
      <c r="M19" s="3"/>
      <c r="N19" s="3"/>
    </row>
    <row r="20" spans="1:14">
      <c r="A20" s="63">
        <f>'B5'!A20</f>
        <v>43846</v>
      </c>
      <c r="B20" s="77">
        <f>'B5'!V20</f>
        <v>484</v>
      </c>
      <c r="C20" s="77">
        <f>'B5'!AH20</f>
        <v>0</v>
      </c>
      <c r="D20" s="77">
        <f>GEN!AI18</f>
        <v>1153.0801687762591</v>
      </c>
      <c r="E20" s="248">
        <f t="shared" si="0"/>
        <v>1637.0801687762591</v>
      </c>
      <c r="F20" s="76">
        <f>WATER!L20</f>
        <v>6</v>
      </c>
      <c r="G20" s="79">
        <f>WATER!BG20</f>
        <v>-64.899999999999949</v>
      </c>
      <c r="H20" s="80">
        <f>ELEC!AF18</f>
        <v>982</v>
      </c>
      <c r="I20" s="80">
        <f>ELEC!Q18</f>
        <v>4479.9999999995634</v>
      </c>
      <c r="J20" s="80">
        <f>ELEC!R18</f>
        <v>6889.4000000003434</v>
      </c>
      <c r="K20" s="3"/>
      <c r="L20" s="3"/>
      <c r="M20" s="3"/>
      <c r="N20" s="3"/>
    </row>
    <row r="21" spans="1:14">
      <c r="A21" s="63">
        <f>'B5'!A21</f>
        <v>43847</v>
      </c>
      <c r="B21" s="77">
        <f>'B5'!V21</f>
        <v>530</v>
      </c>
      <c r="C21" s="77">
        <f>'B5'!AH21</f>
        <v>497.09999999997672</v>
      </c>
      <c r="D21" s="77">
        <f>GEN!AI19</f>
        <v>518.37130801667547</v>
      </c>
      <c r="E21" s="248">
        <f t="shared" si="0"/>
        <v>1545.4713080166521</v>
      </c>
      <c r="F21" s="76">
        <f>WATER!L21</f>
        <v>2</v>
      </c>
      <c r="G21" s="79">
        <f>WATER!BG21</f>
        <v>123.09999999999997</v>
      </c>
      <c r="H21" s="80">
        <f>ELEC!AF19</f>
        <v>740</v>
      </c>
      <c r="I21" s="80">
        <f>ELEC!Q19</f>
        <v>2013.9999999992142</v>
      </c>
      <c r="J21" s="80">
        <f>ELEC!R19</f>
        <v>12235.600000000879</v>
      </c>
      <c r="K21" s="3"/>
      <c r="L21" s="3"/>
      <c r="M21" s="3"/>
      <c r="N21" s="3"/>
    </row>
    <row r="22" spans="1:14">
      <c r="A22" s="63">
        <f>'B5'!A22</f>
        <v>43848</v>
      </c>
      <c r="B22" s="77">
        <f>'B5'!V22</f>
        <v>566</v>
      </c>
      <c r="C22" s="77">
        <f>'B5'!AH22</f>
        <v>0</v>
      </c>
      <c r="D22" s="77">
        <f>GEN!AI20</f>
        <v>768.29113924065621</v>
      </c>
      <c r="E22" s="248">
        <f t="shared" si="0"/>
        <v>1334.2911392406563</v>
      </c>
      <c r="F22" s="76">
        <f>WATER!L22</f>
        <v>0</v>
      </c>
      <c r="G22" s="79">
        <f>WATER!BG22</f>
        <v>-48.700000000000017</v>
      </c>
      <c r="H22" s="80">
        <f>ELEC!AF20</f>
        <v>317</v>
      </c>
      <c r="I22" s="80">
        <f>ELEC!Q20</f>
        <v>2985.0000000005821</v>
      </c>
      <c r="J22" s="80">
        <f>ELEC!R20</f>
        <v>8158.9999999994179</v>
      </c>
      <c r="K22" s="3"/>
      <c r="L22" s="3"/>
      <c r="M22" s="3"/>
      <c r="N22" s="3"/>
    </row>
    <row r="23" spans="1:14">
      <c r="A23" s="63">
        <f>'B5'!A23</f>
        <v>43849</v>
      </c>
      <c r="B23" s="77">
        <f>'B5'!V23</f>
        <v>468</v>
      </c>
      <c r="C23" s="77">
        <f>'B5'!AH23</f>
        <v>0</v>
      </c>
      <c r="D23" s="77">
        <f>GEN!AI21</f>
        <v>422.36708860749758</v>
      </c>
      <c r="E23" s="248">
        <f t="shared" si="0"/>
        <v>890.36708860749764</v>
      </c>
      <c r="F23" s="76">
        <f>WATER!L23</f>
        <v>12</v>
      </c>
      <c r="G23" s="79">
        <f>WATER!BG23</f>
        <v>100.19999999999999</v>
      </c>
      <c r="H23" s="80">
        <f>ELEC!AF21</f>
        <v>0</v>
      </c>
      <c r="I23" s="80">
        <f>ELEC!Q21</f>
        <v>1640.9999999996217</v>
      </c>
      <c r="J23" s="80">
        <f>ELEC!R21</f>
        <v>7395.0000000003783</v>
      </c>
      <c r="K23" s="3"/>
      <c r="L23" s="3"/>
      <c r="M23" s="3"/>
      <c r="N23" s="3"/>
    </row>
    <row r="24" spans="1:14">
      <c r="A24" s="63">
        <f>'B5'!A24</f>
        <v>43850</v>
      </c>
      <c r="B24" s="77">
        <f>'B5'!V24</f>
        <v>555</v>
      </c>
      <c r="C24" s="77">
        <f>'B5'!AH24</f>
        <v>0</v>
      </c>
      <c r="D24" s="77">
        <f>GEN!AI22</f>
        <v>546.16877637161895</v>
      </c>
      <c r="E24" s="248">
        <f t="shared" si="0"/>
        <v>1101.1687763716191</v>
      </c>
      <c r="F24" s="76">
        <f>WATER!L24</f>
        <v>0</v>
      </c>
      <c r="G24" s="79">
        <f>WATER!BG24</f>
        <v>-61.700000000000017</v>
      </c>
      <c r="H24" s="80">
        <f>ELEC!AF22</f>
        <v>462</v>
      </c>
      <c r="I24" s="80">
        <f>ELEC!Q22</f>
        <v>2122.0000000012078</v>
      </c>
      <c r="J24" s="80">
        <f>ELEC!R22</f>
        <v>9777.9999999987922</v>
      </c>
      <c r="K24" s="3"/>
      <c r="L24" s="3"/>
      <c r="M24" s="3"/>
      <c r="N24" s="3"/>
    </row>
    <row r="25" spans="1:14">
      <c r="A25" s="63">
        <f>'B5'!A25</f>
        <v>43851</v>
      </c>
      <c r="B25" s="77">
        <f>'B5'!V25</f>
        <v>897</v>
      </c>
      <c r="C25" s="77">
        <f>'B5'!AH25</f>
        <v>417.70000000001164</v>
      </c>
      <c r="D25" s="77">
        <f>GEN!AI23</f>
        <v>568.30379746802487</v>
      </c>
      <c r="E25" s="248">
        <f t="shared" si="0"/>
        <v>1883.0037974680365</v>
      </c>
      <c r="F25" s="76">
        <f>WATER!L25</f>
        <v>3</v>
      </c>
      <c r="G25" s="79">
        <f>WATER!BG25</f>
        <v>56.300000000000011</v>
      </c>
      <c r="H25" s="80">
        <f>ELEC!AF23</f>
        <v>583</v>
      </c>
      <c r="I25" s="80">
        <f>ELEC!Q23</f>
        <v>2207.9999999987194</v>
      </c>
      <c r="J25" s="80">
        <f>ELEC!R23</f>
        <v>9161.2000000014668</v>
      </c>
      <c r="K25" s="3"/>
      <c r="L25" s="3"/>
      <c r="M25" s="3"/>
      <c r="N25" s="3"/>
    </row>
    <row r="26" spans="1:14">
      <c r="A26" s="63">
        <f>'B5'!A26</f>
        <v>43852</v>
      </c>
      <c r="B26" s="77">
        <f>'B5'!V26</f>
        <v>579</v>
      </c>
      <c r="C26" s="77">
        <f>'B5'!AH26</f>
        <v>0</v>
      </c>
      <c r="D26" s="77">
        <f>GEN!AI24</f>
        <v>387.6202531648716</v>
      </c>
      <c r="E26" s="248">
        <f t="shared" si="0"/>
        <v>966.62025316487166</v>
      </c>
      <c r="F26" s="76">
        <f>WATER!L26</f>
        <v>4</v>
      </c>
      <c r="G26" s="79">
        <f>WATER!BG26</f>
        <v>-70.300000000000026</v>
      </c>
      <c r="H26" s="80">
        <f>ELEC!AF24</f>
        <v>0</v>
      </c>
      <c r="I26" s="80">
        <f>ELEC!Q24</f>
        <v>1506.0000000012224</v>
      </c>
      <c r="J26" s="80">
        <f>ELEC!R24</f>
        <v>9463.9999999987776</v>
      </c>
      <c r="K26" s="3"/>
      <c r="L26" s="3"/>
      <c r="M26" s="3"/>
      <c r="N26" s="3"/>
    </row>
    <row r="27" spans="1:14">
      <c r="A27" s="63">
        <f>'B5'!A27</f>
        <v>43853</v>
      </c>
      <c r="B27" s="77">
        <f>'B5'!V27</f>
        <v>646</v>
      </c>
      <c r="C27" s="77">
        <f>'B5'!AH27</f>
        <v>0</v>
      </c>
      <c r="D27" s="77">
        <f>GEN!AI25</f>
        <v>382.47257383939655</v>
      </c>
      <c r="E27" s="248">
        <f t="shared" si="0"/>
        <v>1028.4725738393965</v>
      </c>
      <c r="F27" s="76">
        <f>WATER!L27</f>
        <v>5</v>
      </c>
      <c r="G27" s="79">
        <f>WATER!BG27</f>
        <v>-49.299999999999955</v>
      </c>
      <c r="H27" s="80">
        <f>ELEC!AF25</f>
        <v>0</v>
      </c>
      <c r="I27" s="80">
        <f>ELEC!Q25</f>
        <v>1485.9999999989668</v>
      </c>
      <c r="J27" s="80">
        <f>ELEC!R25</f>
        <v>9186.8000000008469</v>
      </c>
      <c r="K27" s="3"/>
      <c r="L27" s="3"/>
      <c r="M27" s="3"/>
      <c r="N27" s="3"/>
    </row>
    <row r="28" spans="1:14">
      <c r="A28" s="63">
        <f>'B5'!A28</f>
        <v>43854</v>
      </c>
      <c r="B28" s="77">
        <f>'B5'!V28</f>
        <v>683</v>
      </c>
      <c r="C28" s="77">
        <f>'B5'!AH28</f>
        <v>413</v>
      </c>
      <c r="D28" s="77">
        <f>GEN!AI26</f>
        <v>520.43037974705271</v>
      </c>
      <c r="E28" s="248">
        <f t="shared" si="0"/>
        <v>1616.4303797470527</v>
      </c>
      <c r="F28" s="76">
        <f>WATER!L28</f>
        <v>1</v>
      </c>
      <c r="G28" s="79">
        <f>WATER!BG28</f>
        <v>-52.8</v>
      </c>
      <c r="H28" s="80">
        <f>ELEC!AF26</f>
        <v>0</v>
      </c>
      <c r="I28" s="80">
        <f>ELEC!Q26</f>
        <v>2022.000000000844</v>
      </c>
      <c r="J28" s="80">
        <f>ELEC!R26</f>
        <v>10098.999999999156</v>
      </c>
      <c r="K28" s="3"/>
      <c r="L28" s="3"/>
      <c r="M28" s="3"/>
      <c r="N28" s="3"/>
    </row>
    <row r="29" spans="1:14">
      <c r="A29" s="63">
        <f>'B5'!A29</f>
        <v>43855</v>
      </c>
      <c r="B29" s="77">
        <f>'B5'!V29</f>
        <v>561</v>
      </c>
      <c r="C29" s="77">
        <f>'B5'!AH29</f>
        <v>0</v>
      </c>
      <c r="D29" s="77">
        <f>GEN!AI27</f>
        <v>395.34177215191374</v>
      </c>
      <c r="E29" s="78">
        <f t="shared" si="0"/>
        <v>956.3417721519138</v>
      </c>
      <c r="F29" s="76">
        <f>WATER!L29</f>
        <v>2</v>
      </c>
      <c r="G29" s="79">
        <f>WATER!BG29</f>
        <v>73</v>
      </c>
      <c r="H29" s="80">
        <f>ELEC!AF27</f>
        <v>226</v>
      </c>
      <c r="I29" s="80">
        <f>ELEC!Q27</f>
        <v>1536.0000000000582</v>
      </c>
      <c r="J29" s="80">
        <f>ELEC!R27</f>
        <v>7434.9999999999418</v>
      </c>
      <c r="K29" s="3"/>
      <c r="L29" s="3"/>
      <c r="M29" s="3"/>
      <c r="N29" s="3"/>
    </row>
    <row r="30" spans="1:14">
      <c r="A30" s="63">
        <f>'B5'!A30</f>
        <v>43856</v>
      </c>
      <c r="B30" s="77">
        <f>'B5'!V30</f>
        <v>881</v>
      </c>
      <c r="C30" s="77">
        <f>'B5'!AH30</f>
        <v>0</v>
      </c>
      <c r="D30" s="77">
        <f>GEN!AI28</f>
        <v>385.04641350190002</v>
      </c>
      <c r="E30" s="78">
        <f t="shared" si="0"/>
        <v>1266.0464135019001</v>
      </c>
      <c r="F30" s="76">
        <f>WATER!L30</f>
        <v>1</v>
      </c>
      <c r="G30" s="79">
        <f>WATER!BG30</f>
        <v>-77.699999999999989</v>
      </c>
      <c r="H30" s="80">
        <f>ELEC!AF28</f>
        <v>249</v>
      </c>
      <c r="I30" s="80">
        <f>ELEC!Q28</f>
        <v>1495.9999999991851</v>
      </c>
      <c r="J30" s="80">
        <f>ELEC!R28</f>
        <v>10173.600000000908</v>
      </c>
      <c r="K30" s="3"/>
      <c r="L30" s="3"/>
      <c r="M30" s="3"/>
      <c r="N30" s="3"/>
    </row>
    <row r="31" spans="1:14">
      <c r="A31" s="63">
        <f>'B5'!A31</f>
        <v>43857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23</v>
      </c>
      <c r="G31" s="79">
        <f>WATER!BG31</f>
        <v>104.60000000000002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43858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43859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43860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14" t="s">
        <v>151</v>
      </c>
      <c r="U3" s="614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13</v>
      </c>
      <c r="E5">
        <f t="shared" ref="E5:E37" si="0">D5*90</f>
        <v>1170</v>
      </c>
      <c r="F5">
        <f>'B5'!AM4</f>
        <v>1</v>
      </c>
      <c r="G5">
        <f t="shared" ref="G5:G37" si="1">F5*107</f>
        <v>107</v>
      </c>
      <c r="H5">
        <f>GEN!Z3</f>
        <v>3</v>
      </c>
    </row>
    <row r="6" spans="3:21">
      <c r="C6" s="100">
        <v>42430</v>
      </c>
      <c r="D6">
        <f>'B5'!AL5</f>
        <v>14</v>
      </c>
      <c r="E6">
        <f t="shared" si="0"/>
        <v>1260</v>
      </c>
      <c r="F6">
        <f>'B5'!AM5</f>
        <v>9</v>
      </c>
      <c r="G6">
        <f t="shared" si="1"/>
        <v>963</v>
      </c>
    </row>
    <row r="7" spans="3:21">
      <c r="C7" s="100">
        <v>42431</v>
      </c>
      <c r="D7">
        <f>'B5'!AL6</f>
        <v>13</v>
      </c>
      <c r="E7">
        <f t="shared" si="0"/>
        <v>1170</v>
      </c>
      <c r="F7">
        <f>'B5'!AM6</f>
        <v>2</v>
      </c>
      <c r="G7">
        <f t="shared" si="1"/>
        <v>214</v>
      </c>
    </row>
    <row r="8" spans="3:21">
      <c r="C8" s="100">
        <v>42432</v>
      </c>
      <c r="D8">
        <f>'B5'!AL7</f>
        <v>11</v>
      </c>
      <c r="E8">
        <f t="shared" si="0"/>
        <v>990</v>
      </c>
      <c r="F8">
        <f>'B5'!AM7</f>
        <v>9</v>
      </c>
      <c r="G8">
        <f t="shared" si="1"/>
        <v>963</v>
      </c>
    </row>
    <row r="9" spans="3:21">
      <c r="C9" s="100">
        <v>42433</v>
      </c>
      <c r="D9">
        <f>'B5'!AL8</f>
        <v>12</v>
      </c>
      <c r="E9">
        <f t="shared" si="0"/>
        <v>1080</v>
      </c>
      <c r="F9">
        <f>'B5'!AM8</f>
        <v>0</v>
      </c>
      <c r="G9">
        <f t="shared" si="1"/>
        <v>0</v>
      </c>
    </row>
    <row r="10" spans="3:21">
      <c r="C10" s="100">
        <v>42434</v>
      </c>
      <c r="D10">
        <f>'B5'!AL9</f>
        <v>10</v>
      </c>
      <c r="E10">
        <f t="shared" si="0"/>
        <v>900</v>
      </c>
      <c r="F10">
        <f>'B5'!AM9</f>
        <v>9</v>
      </c>
      <c r="G10">
        <f t="shared" si="1"/>
        <v>963</v>
      </c>
    </row>
    <row r="11" spans="3:21">
      <c r="C11" s="100">
        <v>42435</v>
      </c>
      <c r="D11">
        <f>'B5'!AL10</f>
        <v>8</v>
      </c>
      <c r="E11">
        <f t="shared" si="0"/>
        <v>720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8</v>
      </c>
      <c r="E12">
        <f t="shared" si="0"/>
        <v>720</v>
      </c>
      <c r="F12">
        <f>'B5'!AM11</f>
        <v>8</v>
      </c>
      <c r="G12">
        <f t="shared" si="1"/>
        <v>856</v>
      </c>
    </row>
    <row r="13" spans="3:21">
      <c r="C13" s="100">
        <v>42437</v>
      </c>
      <c r="D13">
        <f>'B5'!AL12</f>
        <v>11</v>
      </c>
      <c r="E13">
        <f t="shared" si="0"/>
        <v>990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11</v>
      </c>
      <c r="E14">
        <f t="shared" si="0"/>
        <v>990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13</v>
      </c>
      <c r="E15">
        <f t="shared" si="0"/>
        <v>1170</v>
      </c>
      <c r="F15">
        <f>'B5'!AM14</f>
        <v>9</v>
      </c>
      <c r="G15">
        <f t="shared" si="1"/>
        <v>963</v>
      </c>
    </row>
    <row r="16" spans="3:21">
      <c r="C16" s="100">
        <v>42440</v>
      </c>
      <c r="D16">
        <f>'B5'!AL15</f>
        <v>10</v>
      </c>
      <c r="E16">
        <f t="shared" si="0"/>
        <v>900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7</v>
      </c>
      <c r="E17">
        <f t="shared" si="0"/>
        <v>630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9</v>
      </c>
      <c r="E18">
        <f t="shared" si="0"/>
        <v>810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6</v>
      </c>
      <c r="E19">
        <f t="shared" si="0"/>
        <v>540</v>
      </c>
      <c r="F19">
        <f>'B5'!AM18</f>
        <v>10</v>
      </c>
      <c r="G19">
        <f t="shared" si="1"/>
        <v>1070</v>
      </c>
    </row>
    <row r="20" spans="3:7">
      <c r="C20" s="100">
        <v>42444</v>
      </c>
      <c r="D20">
        <f>'B5'!AL19</f>
        <v>4</v>
      </c>
      <c r="E20">
        <f t="shared" si="0"/>
        <v>360</v>
      </c>
      <c r="F20">
        <f>'B5'!AM19</f>
        <v>3</v>
      </c>
      <c r="G20">
        <f t="shared" si="1"/>
        <v>321</v>
      </c>
    </row>
    <row r="21" spans="3:7">
      <c r="C21" s="100">
        <v>42445</v>
      </c>
      <c r="D21">
        <f>'B5'!AL20</f>
        <v>10</v>
      </c>
      <c r="E21">
        <f t="shared" si="0"/>
        <v>900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8</v>
      </c>
      <c r="E22">
        <f t="shared" si="0"/>
        <v>720</v>
      </c>
      <c r="F22">
        <f>'B5'!AM21</f>
        <v>9</v>
      </c>
      <c r="G22">
        <f t="shared" si="1"/>
        <v>963</v>
      </c>
    </row>
    <row r="23" spans="3:7">
      <c r="C23" s="100">
        <v>42447</v>
      </c>
      <c r="D23">
        <f>'B5'!AL22</f>
        <v>6</v>
      </c>
      <c r="E23">
        <f t="shared" si="0"/>
        <v>540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7</v>
      </c>
      <c r="E24">
        <f t="shared" si="0"/>
        <v>630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8</v>
      </c>
      <c r="E25">
        <f t="shared" si="0"/>
        <v>720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10</v>
      </c>
      <c r="E26">
        <f t="shared" si="0"/>
        <v>900</v>
      </c>
      <c r="F26">
        <f>'B5'!AM25</f>
        <v>7</v>
      </c>
      <c r="G26">
        <f t="shared" si="1"/>
        <v>749</v>
      </c>
    </row>
    <row r="27" spans="3:7">
      <c r="C27" s="100">
        <v>42451</v>
      </c>
      <c r="D27">
        <f>'B5'!AL26</f>
        <v>8</v>
      </c>
      <c r="E27">
        <f t="shared" si="0"/>
        <v>720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9</v>
      </c>
      <c r="E28">
        <f t="shared" si="0"/>
        <v>810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8</v>
      </c>
      <c r="E29">
        <f t="shared" si="0"/>
        <v>720</v>
      </c>
      <c r="F29">
        <f>'B5'!AM28</f>
        <v>7</v>
      </c>
      <c r="G29">
        <f t="shared" si="1"/>
        <v>749</v>
      </c>
    </row>
    <row r="30" spans="3:7">
      <c r="C30" s="100">
        <v>42454</v>
      </c>
      <c r="D30">
        <f>'B5'!AL29</f>
        <v>11</v>
      </c>
      <c r="E30">
        <f t="shared" si="0"/>
        <v>990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8</v>
      </c>
      <c r="E31">
        <f t="shared" si="0"/>
        <v>720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4"/>
  <sheetViews>
    <sheetView topLeftCell="A7" zoomScale="80" zoomScaleNormal="80" workbookViewId="0">
      <selection activeCell="K29" sqref="K2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5" customWidth="1"/>
    <col min="20" max="20" width="10.28515625" style="355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5"/>
      <c r="T1" s="352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5"/>
      <c r="T2" s="352"/>
    </row>
    <row r="3" spans="1:30" ht="15.75" thickBot="1">
      <c r="A3" s="164" t="str">
        <f>ELEC!C2</f>
        <v>31-12-2019</v>
      </c>
      <c r="B3" s="271">
        <f>'[1]EDl log'!B34</f>
        <v>49273533</v>
      </c>
      <c r="C3" s="271">
        <f>'[1]EDl log'!C34</f>
        <v>6380</v>
      </c>
      <c r="D3" s="271">
        <f>'[1]EDl log'!D34</f>
        <v>6380</v>
      </c>
      <c r="E3" s="271">
        <f>'[1]EDl log'!E34</f>
        <v>49273533</v>
      </c>
      <c r="F3" s="271">
        <f>'[1]EDl log'!F34</f>
        <v>7917555</v>
      </c>
      <c r="G3" s="271">
        <f>'[1]EDl log'!G34</f>
        <v>1092</v>
      </c>
      <c r="H3" s="271">
        <f>'[1]EDl log'!H34</f>
        <v>24270583</v>
      </c>
      <c r="I3" s="271">
        <f>'[1]EDl log'!I34</f>
        <v>2743</v>
      </c>
      <c r="J3" s="271">
        <f>'[1]EDl log'!J34</f>
        <v>17085395</v>
      </c>
      <c r="K3" s="271">
        <f>'[1]EDl log'!K34</f>
        <v>2545</v>
      </c>
      <c r="L3" s="271">
        <f>'[1]EDl log'!L34</f>
        <v>231.80099502487562</v>
      </c>
      <c r="M3" s="271">
        <f>'[1]EDl log'!M34</f>
        <v>203.7917081260365</v>
      </c>
      <c r="N3" s="271">
        <f>'[1]EDl log'!N34</f>
        <v>135.0580431177446</v>
      </c>
      <c r="O3" s="271">
        <f>'[1]EDl log'!O34</f>
        <v>154.80303857058792</v>
      </c>
      <c r="P3" s="271">
        <f>'[1]EDl log'!P34</f>
        <v>725.45378483924469</v>
      </c>
      <c r="Q3" s="271">
        <f>'[1]EDl log'!Q34</f>
        <v>1531.5745495483911</v>
      </c>
      <c r="R3" s="271">
        <f>'[1]EDl log'!R34</f>
        <v>2257.0283343876358</v>
      </c>
      <c r="S3" s="271">
        <f>'[1]EDl log'!S34</f>
        <v>16085</v>
      </c>
      <c r="T3" s="271">
        <f>'[1]EDl log'!T34</f>
        <v>0.14031882713009858</v>
      </c>
      <c r="Z3" t="s">
        <v>214</v>
      </c>
      <c r="AA3">
        <v>0.1</v>
      </c>
    </row>
    <row r="4" spans="1:30">
      <c r="A4" s="164">
        <f>ELEC!C3</f>
        <v>43831</v>
      </c>
      <c r="B4" s="413">
        <v>49279685</v>
      </c>
      <c r="C4" s="280">
        <f>SUM(B4-B3)</f>
        <v>6152</v>
      </c>
      <c r="D4" s="325">
        <f>SUM(G4+I4+K4)</f>
        <v>6153</v>
      </c>
      <c r="E4" s="325">
        <f>B3+D4</f>
        <v>49279686</v>
      </c>
      <c r="F4" s="568">
        <v>7918667</v>
      </c>
      <c r="G4" s="161">
        <f t="shared" ref="G4:G32" si="0">F4-F3</f>
        <v>1112</v>
      </c>
      <c r="H4" s="568">
        <v>24273384</v>
      </c>
      <c r="I4" s="162">
        <f t="shared" ref="I4:I33" si="1">H4-H3</f>
        <v>2801</v>
      </c>
      <c r="J4" s="568">
        <v>17087635</v>
      </c>
      <c r="K4" s="163">
        <f t="shared" ref="K4:K33" si="2">J4-J3</f>
        <v>2240</v>
      </c>
      <c r="L4" s="312">
        <f>SUM(G4*$Y$28)/1507.5</f>
        <v>236.04643449419569</v>
      </c>
      <c r="M4" s="312">
        <f>SUM(I4*$Y$27)/1507.5</f>
        <v>208.10082918739636</v>
      </c>
      <c r="N4" s="312">
        <f>SUM(K4*$Y$26)/1507.5</f>
        <v>118.87230514096186</v>
      </c>
      <c r="O4" s="312">
        <f>($AC$31/$A$38)/1507.5</f>
        <v>129.83480654307374</v>
      </c>
      <c r="P4" s="313">
        <f>SUM(L4:O4)</f>
        <v>692.85437536562767</v>
      </c>
      <c r="Q4" s="313">
        <f>SUM(-tanks!AX6*tanks!$AU$37)</f>
        <v>514.67399193548033</v>
      </c>
      <c r="R4" s="313">
        <f>SUM(P4:Q4)</f>
        <v>1207.5283673011081</v>
      </c>
      <c r="S4" s="316">
        <f>SUM(ELEC!N3)</f>
        <v>14239</v>
      </c>
      <c r="T4" s="353">
        <f>IF(S4&gt;0,R4/S4,0)</f>
        <v>8.4804295758206902E-2</v>
      </c>
      <c r="U4" s="256"/>
      <c r="V4" s="257" t="str">
        <f>'[3]EDl log'!V21</f>
        <v xml:space="preserve">EDL </v>
      </c>
      <c r="W4" s="168">
        <v>43818</v>
      </c>
      <c r="X4" s="170"/>
      <c r="Y4" s="170"/>
      <c r="Z4" s="170" t="s">
        <v>202</v>
      </c>
      <c r="AA4" s="170"/>
      <c r="AB4" s="625"/>
      <c r="AC4" s="626"/>
    </row>
    <row r="5" spans="1:30">
      <c r="A5" s="164">
        <f>ELEC!C4</f>
        <v>43832</v>
      </c>
      <c r="B5" s="568">
        <v>49285105</v>
      </c>
      <c r="C5" s="271">
        <f t="shared" ref="C5:C33" si="3">SUM(B5-B4)</f>
        <v>5420</v>
      </c>
      <c r="D5" s="325">
        <f t="shared" ref="D5:D33" si="4">SUM(G5+I5+K5)</f>
        <v>5418</v>
      </c>
      <c r="E5" s="325">
        <f>B4+D5</f>
        <v>49285103</v>
      </c>
      <c r="F5" s="568">
        <v>7919417</v>
      </c>
      <c r="G5" s="161">
        <f t="shared" si="0"/>
        <v>750</v>
      </c>
      <c r="H5" s="568">
        <v>24275484</v>
      </c>
      <c r="I5" s="162">
        <f t="shared" si="1"/>
        <v>2100</v>
      </c>
      <c r="J5" s="568">
        <v>17090203</v>
      </c>
      <c r="K5" s="163">
        <f t="shared" si="2"/>
        <v>2568</v>
      </c>
      <c r="L5" s="312">
        <f t="shared" ref="L5:L32" si="5">SUM(G5*$Y$28)/1507.5</f>
        <v>159.20398009950247</v>
      </c>
      <c r="M5" s="312">
        <f t="shared" ref="M5:M33" si="6">SUM(I5*$Y$27)/1507.5</f>
        <v>156.01990049751242</v>
      </c>
      <c r="N5" s="312">
        <f t="shared" ref="N5:N33" si="7">SUM(K5*$Y$26)/1507.5</f>
        <v>136.27860696517413</v>
      </c>
      <c r="O5" s="312">
        <f t="shared" ref="O5:O34" si="8">($AC$31/$A$38)/1507.5</f>
        <v>129.83480654307374</v>
      </c>
      <c r="P5" s="313">
        <f t="shared" ref="P5:P32" si="9">SUM(L5:O5)</f>
        <v>581.3372941052628</v>
      </c>
      <c r="Q5" s="313">
        <f>SUM(-tanks!AX7*tanks!$AU$37)</f>
        <v>707.31151653227084</v>
      </c>
      <c r="R5" s="313">
        <f t="shared" ref="R5:R32" si="10">SUM(P5:Q5)</f>
        <v>1288.6488106375336</v>
      </c>
      <c r="S5" s="316">
        <f>SUM(ELEC!N4)</f>
        <v>15103</v>
      </c>
      <c r="T5" s="353">
        <f>IF(S5&gt;0,R5/S5,0)</f>
        <v>8.5324029043073138E-2</v>
      </c>
      <c r="U5" s="256"/>
      <c r="V5" s="619"/>
      <c r="W5" s="620"/>
      <c r="X5" s="620"/>
      <c r="Y5" s="621"/>
      <c r="Z5" s="26" t="s">
        <v>203</v>
      </c>
      <c r="AA5" s="271">
        <f>'[4]EDl log'!AA5</f>
        <v>5000</v>
      </c>
      <c r="AB5" s="627"/>
      <c r="AC5" s="628"/>
    </row>
    <row r="6" spans="1:30">
      <c r="A6" s="164">
        <f>ELEC!C5</f>
        <v>43833</v>
      </c>
      <c r="B6" s="568">
        <v>49290270</v>
      </c>
      <c r="C6" s="271">
        <f t="shared" si="3"/>
        <v>5165</v>
      </c>
      <c r="D6" s="325">
        <f t="shared" si="4"/>
        <v>5167</v>
      </c>
      <c r="E6" s="325">
        <f t="shared" ref="E6:E33" si="11">B5+D6</f>
        <v>49290272</v>
      </c>
      <c r="F6" s="568">
        <v>7920710</v>
      </c>
      <c r="G6" s="161">
        <f t="shared" si="0"/>
        <v>1293</v>
      </c>
      <c r="H6" s="568">
        <v>24277822</v>
      </c>
      <c r="I6" s="162">
        <f t="shared" si="1"/>
        <v>2338</v>
      </c>
      <c r="J6" s="568">
        <v>17091739</v>
      </c>
      <c r="K6" s="163">
        <f t="shared" si="2"/>
        <v>1536</v>
      </c>
      <c r="L6" s="312">
        <f t="shared" si="5"/>
        <v>274.46766169154228</v>
      </c>
      <c r="M6" s="312">
        <f t="shared" si="6"/>
        <v>173.7021558872305</v>
      </c>
      <c r="N6" s="312">
        <f t="shared" si="7"/>
        <v>81.512437810945272</v>
      </c>
      <c r="O6" s="312">
        <f t="shared" si="8"/>
        <v>129.83480654307374</v>
      </c>
      <c r="P6" s="313">
        <f t="shared" si="9"/>
        <v>659.51706193279188</v>
      </c>
      <c r="Q6" s="313">
        <f>SUM(-tanks!AX8*tanks!$AU$37)</f>
        <v>840.21883588707078</v>
      </c>
      <c r="R6" s="313">
        <f t="shared" si="10"/>
        <v>1499.7358978198627</v>
      </c>
      <c r="S6" s="316">
        <f>SUM(ELEC!N5)</f>
        <v>15173</v>
      </c>
      <c r="T6" s="353">
        <f t="shared" ref="T6:T32" si="12">IF(S6&gt;0,R6/S6,0)</f>
        <v>9.8842410717713214E-2</v>
      </c>
      <c r="V6" s="622"/>
      <c r="W6" s="623"/>
      <c r="X6" s="623"/>
      <c r="Y6" s="624"/>
      <c r="Z6" s="3"/>
      <c r="AA6" s="3"/>
      <c r="AB6" s="627"/>
      <c r="AC6" s="628"/>
    </row>
    <row r="7" spans="1:30" ht="15" customHeight="1">
      <c r="A7" s="164">
        <f>ELEC!C6</f>
        <v>43834</v>
      </c>
      <c r="B7" s="568">
        <v>49296387</v>
      </c>
      <c r="C7" s="271">
        <f t="shared" si="3"/>
        <v>6117</v>
      </c>
      <c r="D7" s="325">
        <f t="shared" si="4"/>
        <v>6116</v>
      </c>
      <c r="E7" s="325">
        <f t="shared" si="11"/>
        <v>49296386</v>
      </c>
      <c r="F7" s="568">
        <v>7921833</v>
      </c>
      <c r="G7" s="161">
        <f t="shared" si="0"/>
        <v>1123</v>
      </c>
      <c r="H7" s="568">
        <v>24280305</v>
      </c>
      <c r="I7" s="162">
        <f t="shared" si="1"/>
        <v>2483</v>
      </c>
      <c r="J7" s="568">
        <v>17094249</v>
      </c>
      <c r="K7" s="163">
        <f t="shared" si="2"/>
        <v>2510</v>
      </c>
      <c r="L7" s="312">
        <f t="shared" si="5"/>
        <v>238.38142620232173</v>
      </c>
      <c r="M7" s="312">
        <f t="shared" si="6"/>
        <v>184.47495854063018</v>
      </c>
      <c r="N7" s="312">
        <f t="shared" si="7"/>
        <v>133.20066334991708</v>
      </c>
      <c r="O7" s="312">
        <f t="shared" si="8"/>
        <v>129.83480654307374</v>
      </c>
      <c r="P7" s="313">
        <f t="shared" si="9"/>
        <v>685.89185463594276</v>
      </c>
      <c r="Q7" s="313">
        <f>SUM(-tanks!AX9*tanks!$AU$37)</f>
        <v>1152.1038024193651</v>
      </c>
      <c r="R7" s="313">
        <f t="shared" si="10"/>
        <v>1837.9956570553079</v>
      </c>
      <c r="S7" s="316">
        <f>SUM(ELEC!N6)</f>
        <v>15817</v>
      </c>
      <c r="T7" s="353">
        <f t="shared" si="12"/>
        <v>0.11620380963869936</v>
      </c>
      <c r="V7" s="615" t="s">
        <v>204</v>
      </c>
      <c r="W7" s="616"/>
      <c r="X7" s="617" t="s">
        <v>205</v>
      </c>
      <c r="Y7" s="618"/>
      <c r="Z7" s="616"/>
      <c r="AA7" s="26"/>
      <c r="AB7" s="629"/>
      <c r="AC7" s="630"/>
    </row>
    <row r="8" spans="1:30" ht="15.75" customHeight="1">
      <c r="A8" s="164">
        <f>ELEC!C7</f>
        <v>43835</v>
      </c>
      <c r="B8" s="568">
        <v>49302018</v>
      </c>
      <c r="C8" s="271">
        <f t="shared" si="3"/>
        <v>5631</v>
      </c>
      <c r="D8" s="325">
        <f t="shared" si="4"/>
        <v>5631</v>
      </c>
      <c r="E8" s="325">
        <f t="shared" si="11"/>
        <v>49302018</v>
      </c>
      <c r="F8" s="568">
        <v>7922931</v>
      </c>
      <c r="G8" s="161">
        <f t="shared" si="0"/>
        <v>1098</v>
      </c>
      <c r="H8" s="568">
        <v>24282877</v>
      </c>
      <c r="I8" s="162">
        <f t="shared" si="1"/>
        <v>2572</v>
      </c>
      <c r="J8" s="568">
        <v>17096210</v>
      </c>
      <c r="K8" s="163">
        <f>J8-J7</f>
        <v>1961</v>
      </c>
      <c r="L8" s="312">
        <f>SUM(G8*$Y$28)/1507.5</f>
        <v>233.07462686567163</v>
      </c>
      <c r="M8" s="312">
        <f>SUM(I8*$Y$27)/1507.5</f>
        <v>191.08723051409618</v>
      </c>
      <c r="N8" s="312">
        <f>SUM(K8*$Y$26)/1507.5</f>
        <v>104.06633499170813</v>
      </c>
      <c r="O8" s="312">
        <f t="shared" si="8"/>
        <v>129.83480654307374</v>
      </c>
      <c r="P8" s="313">
        <f t="shared" si="9"/>
        <v>658.06299891454978</v>
      </c>
      <c r="Q8" s="313">
        <f>SUM(-tanks!AX10*tanks!$AU$37)</f>
        <v>337.24316895160985</v>
      </c>
      <c r="R8" s="313">
        <f t="shared" si="10"/>
        <v>995.30616786615963</v>
      </c>
      <c r="S8" s="316">
        <f>SUM(ELEC!N7)</f>
        <v>12909</v>
      </c>
      <c r="T8" s="353">
        <f>IF(S8&gt;0,R8/S8,0)</f>
        <v>7.710172498769538E-2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43836</v>
      </c>
      <c r="B9" s="568">
        <v>49306117</v>
      </c>
      <c r="C9" s="271">
        <f t="shared" si="3"/>
        <v>4099</v>
      </c>
      <c r="D9" s="325">
        <f t="shared" si="4"/>
        <v>4098</v>
      </c>
      <c r="E9" s="325">
        <f t="shared" si="11"/>
        <v>49306116</v>
      </c>
      <c r="F9" s="568">
        <v>7923287</v>
      </c>
      <c r="G9" s="161">
        <f t="shared" si="0"/>
        <v>356</v>
      </c>
      <c r="H9" s="568">
        <v>24284511</v>
      </c>
      <c r="I9" s="162">
        <f t="shared" si="1"/>
        <v>1634</v>
      </c>
      <c r="J9" s="568">
        <v>17098318</v>
      </c>
      <c r="K9" s="163">
        <f>J9-J8</f>
        <v>2108</v>
      </c>
      <c r="L9" s="312">
        <f>SUM(G9*$Y$28)/1507.5</f>
        <v>75.568822553897178</v>
      </c>
      <c r="M9" s="312">
        <f>SUM(I9*$Y$27)/1507.5</f>
        <v>121.39834162520729</v>
      </c>
      <c r="N9" s="312">
        <f>SUM(K9*$Y$26)/1507.5</f>
        <v>111.86733001658375</v>
      </c>
      <c r="O9" s="312">
        <f t="shared" si="8"/>
        <v>129.83480654307374</v>
      </c>
      <c r="P9" s="313">
        <f t="shared" si="9"/>
        <v>438.66930073876199</v>
      </c>
      <c r="Q9" s="313">
        <f>SUM(-tanks!AX11*tanks!$AU$37)</f>
        <v>1474.6951088709523</v>
      </c>
      <c r="R9" s="313">
        <f>SUM(P9:Q9)</f>
        <v>1913.3644096097141</v>
      </c>
      <c r="S9" s="316">
        <f>SUM(ELEC!N8)</f>
        <v>13138</v>
      </c>
      <c r="T9" s="353">
        <f t="shared" si="12"/>
        <v>0.14563589660600657</v>
      </c>
      <c r="V9" s="271">
        <f>'[1]EDl log'!V26</f>
        <v>17015254</v>
      </c>
      <c r="W9" s="271">
        <f>'[1]EDl log'!W26</f>
        <v>17085395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70141</v>
      </c>
      <c r="AB9" s="271">
        <f>'[1]EDl log'!AB26</f>
        <v>5611280</v>
      </c>
      <c r="AC9" s="271">
        <f>'[1]EDl log'!AC26</f>
        <v>1033333</v>
      </c>
      <c r="AD9" s="554">
        <f>'[1]EDl log'!AD26</f>
        <v>0.34704197198569098</v>
      </c>
    </row>
    <row r="10" spans="1:30">
      <c r="A10" s="164">
        <f>ELEC!C9</f>
        <v>43837</v>
      </c>
      <c r="B10" s="568">
        <v>49310286</v>
      </c>
      <c r="C10" s="271">
        <f t="shared" si="3"/>
        <v>4169</v>
      </c>
      <c r="D10" s="325">
        <f t="shared" si="4"/>
        <v>4170</v>
      </c>
      <c r="E10" s="325">
        <f t="shared" si="11"/>
        <v>49310287</v>
      </c>
      <c r="F10" s="568">
        <v>7923879</v>
      </c>
      <c r="G10" s="161">
        <f t="shared" si="0"/>
        <v>592</v>
      </c>
      <c r="H10" s="568">
        <v>24286427</v>
      </c>
      <c r="I10" s="162">
        <f t="shared" si="1"/>
        <v>1916</v>
      </c>
      <c r="J10" s="568">
        <v>17099980</v>
      </c>
      <c r="K10" s="163">
        <f t="shared" si="2"/>
        <v>1662</v>
      </c>
      <c r="L10" s="312">
        <f t="shared" si="5"/>
        <v>125.66500829187396</v>
      </c>
      <c r="M10" s="312">
        <f t="shared" si="6"/>
        <v>142.34958540630183</v>
      </c>
      <c r="N10" s="312">
        <f t="shared" si="7"/>
        <v>88.199004975124382</v>
      </c>
      <c r="O10" s="312">
        <f t="shared" si="8"/>
        <v>129.83480654307374</v>
      </c>
      <c r="P10" s="313">
        <f t="shared" si="9"/>
        <v>486.04840521637385</v>
      </c>
      <c r="Q10" s="313">
        <f>SUM(-tanks!AX12*tanks!$AU$37)</f>
        <v>620.18122620968927</v>
      </c>
      <c r="R10" s="313">
        <f t="shared" si="10"/>
        <v>1106.2296314260632</v>
      </c>
      <c r="S10" s="316">
        <f>SUM(ELEC!N9)</f>
        <v>12872</v>
      </c>
      <c r="T10" s="353">
        <f t="shared" si="12"/>
        <v>8.5940773106437482E-2</v>
      </c>
      <c r="V10" s="271">
        <f>'[1]EDl log'!V27</f>
        <v>24173587</v>
      </c>
      <c r="W10" s="271">
        <f>'[1]EDl log'!W27</f>
        <v>24270583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96996</v>
      </c>
      <c r="AB10" s="271">
        <f>'[1]EDl log'!AB27</f>
        <v>10863552</v>
      </c>
      <c r="AC10" s="271">
        <f>'[1]EDl log'!AC27</f>
        <v>6200000</v>
      </c>
      <c r="AD10" s="554">
        <f>'[1]EDl log'!AD27</f>
        <v>0.47991450242688422</v>
      </c>
    </row>
    <row r="11" spans="1:30">
      <c r="A11" s="164">
        <f>ELEC!C10</f>
        <v>43838</v>
      </c>
      <c r="B11" s="568">
        <v>49313083</v>
      </c>
      <c r="C11" s="271">
        <f t="shared" si="3"/>
        <v>2797</v>
      </c>
      <c r="D11" s="325">
        <f>SUM(G11+I11+K11)</f>
        <v>2795</v>
      </c>
      <c r="E11" s="325">
        <f t="shared" si="11"/>
        <v>49313081</v>
      </c>
      <c r="F11" s="568">
        <v>7924319</v>
      </c>
      <c r="G11" s="161">
        <f t="shared" si="0"/>
        <v>440</v>
      </c>
      <c r="H11" s="568">
        <v>24287423</v>
      </c>
      <c r="I11" s="162">
        <f t="shared" si="1"/>
        <v>996</v>
      </c>
      <c r="J11" s="568">
        <v>17101339</v>
      </c>
      <c r="K11" s="163">
        <f t="shared" si="2"/>
        <v>1359</v>
      </c>
      <c r="L11" s="312">
        <f t="shared" si="5"/>
        <v>93.399668325041461</v>
      </c>
      <c r="M11" s="312">
        <f t="shared" si="6"/>
        <v>73.998009950248758</v>
      </c>
      <c r="N11" s="312">
        <f t="shared" si="7"/>
        <v>72.119402985074629</v>
      </c>
      <c r="O11" s="312">
        <f t="shared" si="8"/>
        <v>129.83480654307374</v>
      </c>
      <c r="P11" s="313">
        <f t="shared" si="9"/>
        <v>369.35188780343856</v>
      </c>
      <c r="Q11" s="313">
        <f>SUM(-tanks!AX13*tanks!$AU$37)</f>
        <v>1749.4058548387136</v>
      </c>
      <c r="R11" s="313">
        <f t="shared" si="10"/>
        <v>2118.7577426421522</v>
      </c>
      <c r="S11" s="316">
        <f>SUM(ELEC!N10)</f>
        <v>12536.399999999907</v>
      </c>
      <c r="T11" s="353">
        <f t="shared" si="12"/>
        <v>0.16900846675617945</v>
      </c>
      <c r="V11" s="271">
        <f>'[1]EDl log'!V28</f>
        <v>7882582</v>
      </c>
      <c r="W11" s="271">
        <f>'[1]EDl log'!W28</f>
        <v>7917555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34973</v>
      </c>
      <c r="AB11" s="271">
        <f>'[1]EDl log'!AB28</f>
        <v>11191360</v>
      </c>
      <c r="AC11" s="271">
        <f>'[1]EDl log'!AC28</f>
        <v>1000</v>
      </c>
      <c r="AD11" s="554">
        <f>'[1]EDl log'!AD28</f>
        <v>0.17303857781120277</v>
      </c>
    </row>
    <row r="12" spans="1:30">
      <c r="A12" s="164">
        <f>ELEC!C11</f>
        <v>43839</v>
      </c>
      <c r="B12" s="568">
        <v>49317702</v>
      </c>
      <c r="C12" s="271">
        <f t="shared" si="3"/>
        <v>4619</v>
      </c>
      <c r="D12" s="325">
        <f t="shared" si="4"/>
        <v>4622</v>
      </c>
      <c r="E12" s="325">
        <f t="shared" si="11"/>
        <v>49317705</v>
      </c>
      <c r="F12" s="568">
        <v>7925022</v>
      </c>
      <c r="G12" s="161">
        <f t="shared" si="0"/>
        <v>703</v>
      </c>
      <c r="H12" s="568">
        <v>24289139</v>
      </c>
      <c r="I12" s="162">
        <f t="shared" si="1"/>
        <v>1716</v>
      </c>
      <c r="J12" s="568">
        <v>17103542</v>
      </c>
      <c r="K12" s="163">
        <f t="shared" si="2"/>
        <v>2203</v>
      </c>
      <c r="L12" s="312">
        <f t="shared" si="5"/>
        <v>149.22719734660032</v>
      </c>
      <c r="M12" s="312">
        <f t="shared" si="6"/>
        <v>127.49054726368159</v>
      </c>
      <c r="N12" s="312">
        <f t="shared" si="7"/>
        <v>116.90878938640132</v>
      </c>
      <c r="O12" s="312">
        <f t="shared" si="8"/>
        <v>129.83480654307374</v>
      </c>
      <c r="P12" s="313">
        <f t="shared" si="9"/>
        <v>523.46134053975697</v>
      </c>
      <c r="Q12" s="313">
        <f>SUM(-tanks!AX14*tanks!$AU$37)</f>
        <v>1900.7256129032205</v>
      </c>
      <c r="R12" s="313">
        <f t="shared" si="10"/>
        <v>2424.1869534429775</v>
      </c>
      <c r="S12" s="316">
        <f>SUM(ELEC!N11)</f>
        <v>13631.600000000093</v>
      </c>
      <c r="T12" s="353">
        <f t="shared" si="12"/>
        <v>0.1778358339037942</v>
      </c>
      <c r="V12" s="271">
        <f>'[5]EDl log'!V29</f>
        <v>0</v>
      </c>
      <c r="W12" s="271">
        <f>'[5]EDl log'!W29</f>
        <v>0</v>
      </c>
      <c r="X12" s="3"/>
      <c r="Y12" s="271">
        <f>'[6]EDl log'!Y29</f>
        <v>0</v>
      </c>
      <c r="Z12" s="28"/>
      <c r="AA12" s="271">
        <f>'[6]EDl log'!AA29</f>
        <v>198838</v>
      </c>
      <c r="AB12" s="271">
        <f>'[5]EDl log'!AB29</f>
        <v>0</v>
      </c>
      <c r="AC12" s="271">
        <f>'[5]EDl log'!AC29</f>
        <v>0</v>
      </c>
    </row>
    <row r="13" spans="1:30">
      <c r="A13" s="164">
        <f>ELEC!C12</f>
        <v>43840</v>
      </c>
      <c r="B13" s="568">
        <v>49323246</v>
      </c>
      <c r="C13" s="271">
        <f t="shared" si="3"/>
        <v>5544</v>
      </c>
      <c r="D13" s="325">
        <f t="shared" si="4"/>
        <v>5543</v>
      </c>
      <c r="E13" s="325">
        <f t="shared" si="11"/>
        <v>49323245</v>
      </c>
      <c r="F13" s="568">
        <v>7926148</v>
      </c>
      <c r="G13" s="161">
        <f t="shared" si="0"/>
        <v>1126</v>
      </c>
      <c r="H13" s="568">
        <v>24291691</v>
      </c>
      <c r="I13" s="162">
        <f t="shared" si="1"/>
        <v>2552</v>
      </c>
      <c r="J13" s="568">
        <v>17105407</v>
      </c>
      <c r="K13" s="163">
        <f t="shared" si="2"/>
        <v>1865</v>
      </c>
      <c r="L13" s="312">
        <f t="shared" si="5"/>
        <v>239.01824212271973</v>
      </c>
      <c r="M13" s="312">
        <f t="shared" si="6"/>
        <v>189.60132669983417</v>
      </c>
      <c r="N13" s="312">
        <f t="shared" si="7"/>
        <v>98.971807628524047</v>
      </c>
      <c r="O13" s="312">
        <f t="shared" si="8"/>
        <v>129.83480654307374</v>
      </c>
      <c r="P13" s="313">
        <f t="shared" si="9"/>
        <v>657.42618299415176</v>
      </c>
      <c r="Q13" s="313">
        <f>SUM(-tanks!AX15*tanks!$AU$37)</f>
        <v>174.69399032258821</v>
      </c>
      <c r="R13" s="313">
        <f t="shared" si="10"/>
        <v>832.12017331673997</v>
      </c>
      <c r="S13" s="316">
        <f>SUM(ELEC!N12)</f>
        <v>13062.799999999814</v>
      </c>
      <c r="T13" s="353">
        <f t="shared" si="12"/>
        <v>6.3701516774102934E-2</v>
      </c>
      <c r="V13" s="271" t="str">
        <f>'[7]EDl log'!V30</f>
        <v>Occ %</v>
      </c>
      <c r="W13" s="554">
        <f>'[1]EDl log'!W30</f>
        <v>0.21316774193548382</v>
      </c>
      <c r="X13" s="271">
        <f>'[1]EDl log'!X30</f>
        <v>0</v>
      </c>
      <c r="Y13" s="271" t="str">
        <f>'[1]EDl log'!Y30</f>
        <v>Per G</v>
      </c>
      <c r="Z13" s="3"/>
      <c r="AA13" s="3"/>
      <c r="AB13" s="271">
        <f>'[1]EDl log'!AB30</f>
        <v>27666192</v>
      </c>
      <c r="AC13" s="271">
        <f>'[1]EDl log'!AC30</f>
        <v>7234333</v>
      </c>
    </row>
    <row r="14" spans="1:30">
      <c r="A14" s="164">
        <f>ELEC!C13</f>
        <v>43841</v>
      </c>
      <c r="B14" s="568">
        <v>49329597</v>
      </c>
      <c r="C14" s="271">
        <f t="shared" si="3"/>
        <v>6351</v>
      </c>
      <c r="D14" s="325">
        <f t="shared" si="4"/>
        <v>6350</v>
      </c>
      <c r="E14" s="325">
        <f t="shared" si="11"/>
        <v>49329596</v>
      </c>
      <c r="F14" s="568">
        <v>7927408</v>
      </c>
      <c r="G14" s="161">
        <f t="shared" si="0"/>
        <v>1260</v>
      </c>
      <c r="H14" s="568">
        <v>24294898</v>
      </c>
      <c r="I14" s="162">
        <f t="shared" si="1"/>
        <v>3207</v>
      </c>
      <c r="J14" s="568">
        <v>17107290</v>
      </c>
      <c r="K14" s="163">
        <f t="shared" si="2"/>
        <v>1883</v>
      </c>
      <c r="L14" s="312">
        <f t="shared" si="5"/>
        <v>267.46268656716416</v>
      </c>
      <c r="M14" s="312">
        <f t="shared" si="6"/>
        <v>238.26467661691541</v>
      </c>
      <c r="N14" s="312">
        <f t="shared" si="7"/>
        <v>99.927031509121065</v>
      </c>
      <c r="O14" s="312">
        <f t="shared" si="8"/>
        <v>129.83480654307374</v>
      </c>
      <c r="P14" s="313">
        <f t="shared" si="9"/>
        <v>735.48920123627431</v>
      </c>
      <c r="Q14" s="313">
        <f>SUM(-tanks!AX16*tanks!$AU$37)</f>
        <v>644.02436290323317</v>
      </c>
      <c r="R14" s="313">
        <f>SUM(P14:Q14)</f>
        <v>1379.5135641395075</v>
      </c>
      <c r="S14" s="316">
        <f>SUM(ELEC!N13)</f>
        <v>14011.200000000186</v>
      </c>
      <c r="T14" s="353">
        <f t="shared" si="12"/>
        <v>9.8457916819365165E-2</v>
      </c>
      <c r="V14" s="271" t="str">
        <f>'[7]EDl log'!V31</f>
        <v>Gen RH</v>
      </c>
      <c r="W14" s="271">
        <f>'[1]EDl log'!W31</f>
        <v>120.30999999999949</v>
      </c>
      <c r="X14" s="271">
        <f>'[1]EDl log'!X31</f>
        <v>3.8809677419354673</v>
      </c>
      <c r="Y14" s="271">
        <f>'[1]EDl log'!Y31</f>
        <v>1.9404838709677337</v>
      </c>
      <c r="Z14" s="3"/>
      <c r="AA14" s="3"/>
      <c r="AB14" s="271">
        <f>'[1]EDl log'!AB31</f>
        <v>34900525</v>
      </c>
      <c r="AC14" s="271">
        <f>'[1]EDl log'!AC31</f>
        <v>7234333</v>
      </c>
    </row>
    <row r="15" spans="1:30">
      <c r="A15" s="164">
        <f>ELEC!C14</f>
        <v>43842</v>
      </c>
      <c r="B15" s="568">
        <v>49335746</v>
      </c>
      <c r="C15" s="271">
        <f t="shared" si="3"/>
        <v>6149</v>
      </c>
      <c r="D15" s="325">
        <f t="shared" si="4"/>
        <v>6151</v>
      </c>
      <c r="E15" s="325">
        <f t="shared" si="11"/>
        <v>49335748</v>
      </c>
      <c r="F15" s="568">
        <v>7928065</v>
      </c>
      <c r="G15" s="161">
        <f t="shared" si="0"/>
        <v>657</v>
      </c>
      <c r="H15" s="568">
        <v>24297582</v>
      </c>
      <c r="I15" s="162">
        <f t="shared" si="1"/>
        <v>2684</v>
      </c>
      <c r="J15" s="568">
        <v>17110100</v>
      </c>
      <c r="K15" s="163">
        <f t="shared" si="2"/>
        <v>2810</v>
      </c>
      <c r="L15" s="312">
        <f t="shared" si="5"/>
        <v>139.46268656716418</v>
      </c>
      <c r="M15" s="312">
        <f t="shared" si="6"/>
        <v>199.40829187396352</v>
      </c>
      <c r="N15" s="312">
        <f t="shared" si="7"/>
        <v>149.12106135986733</v>
      </c>
      <c r="O15" s="312">
        <f t="shared" si="8"/>
        <v>129.83480654307374</v>
      </c>
      <c r="P15" s="313">
        <f t="shared" si="9"/>
        <v>617.82684634406883</v>
      </c>
      <c r="Q15" s="313">
        <f>SUM(-tanks!AX17*tanks!$AU$37)</f>
        <v>436.49211693548455</v>
      </c>
      <c r="R15" s="313">
        <f t="shared" si="10"/>
        <v>1054.3189632795534</v>
      </c>
      <c r="S15" s="316">
        <f>SUM(ELEC!N14)</f>
        <v>14175</v>
      </c>
      <c r="T15" s="353">
        <f t="shared" si="12"/>
        <v>7.4378762841591062E-2</v>
      </c>
      <c r="V15" s="271" t="str">
        <f>'[7]EDl log'!V32</f>
        <v>H Deg</v>
      </c>
      <c r="W15" s="271">
        <f>'[1]EDl log'!W32</f>
        <v>0</v>
      </c>
      <c r="X15" s="271">
        <f>'[6]EDl log'!X32</f>
        <v>0</v>
      </c>
      <c r="Y15" s="271">
        <f>'[6]EDl log'!Y32</f>
        <v>0</v>
      </c>
      <c r="Z15" s="3"/>
      <c r="AA15" s="3"/>
      <c r="AB15" s="271">
        <f>'[5]EDl log'!AB32</f>
        <v>0</v>
      </c>
      <c r="AC15" s="271">
        <f>'[5]EDl log'!AC32</f>
        <v>0</v>
      </c>
    </row>
    <row r="16" spans="1:30">
      <c r="A16" s="164">
        <f>ELEC!C15</f>
        <v>43843</v>
      </c>
      <c r="B16" s="568">
        <v>49341208</v>
      </c>
      <c r="C16" s="271">
        <f t="shared" si="3"/>
        <v>5462</v>
      </c>
      <c r="D16" s="325">
        <f t="shared" si="4"/>
        <v>5461</v>
      </c>
      <c r="E16" s="325">
        <f t="shared" si="11"/>
        <v>49341207</v>
      </c>
      <c r="F16" s="568">
        <v>7929116</v>
      </c>
      <c r="G16" s="161">
        <f t="shared" si="0"/>
        <v>1051</v>
      </c>
      <c r="H16" s="568">
        <v>24300260</v>
      </c>
      <c r="I16" s="162">
        <f t="shared" si="1"/>
        <v>2678</v>
      </c>
      <c r="J16" s="568">
        <v>17111832</v>
      </c>
      <c r="K16" s="163">
        <f t="shared" si="2"/>
        <v>1732</v>
      </c>
      <c r="L16" s="312">
        <f t="shared" si="5"/>
        <v>223.09784411276948</v>
      </c>
      <c r="M16" s="312">
        <f t="shared" si="6"/>
        <v>198.96252072968491</v>
      </c>
      <c r="N16" s="312">
        <f t="shared" si="7"/>
        <v>91.91376451077943</v>
      </c>
      <c r="O16" s="312">
        <f t="shared" si="8"/>
        <v>129.83480654307374</v>
      </c>
      <c r="P16" s="313">
        <f t="shared" si="9"/>
        <v>643.8089358963075</v>
      </c>
      <c r="Q16" s="313">
        <f>SUM(-tanks!AX18*tanks!$AU$37)</f>
        <v>550.78523790321628</v>
      </c>
      <c r="R16" s="313">
        <f t="shared" si="10"/>
        <v>1194.5941737995238</v>
      </c>
      <c r="S16" s="316">
        <f>SUM(ELEC!N15)</f>
        <v>12801</v>
      </c>
      <c r="T16" s="353">
        <f t="shared" si="12"/>
        <v>9.3320379173464862E-2</v>
      </c>
      <c r="V16" s="271" t="str">
        <f>'[7]EDl log'!V33</f>
        <v>C Deg</v>
      </c>
      <c r="W16" s="271">
        <f>'[1]EDl log'!W33</f>
        <v>286.49999999999983</v>
      </c>
      <c r="X16" s="271">
        <f>'[6]EDl log'!X33</f>
        <v>0</v>
      </c>
      <c r="Y16" s="271">
        <f>'[6]EDl log'!Y33</f>
        <v>0</v>
      </c>
      <c r="Z16" s="3"/>
      <c r="AA16" s="3"/>
      <c r="AB16" s="271">
        <f>'[5]EDl log'!AB33</f>
        <v>0</v>
      </c>
      <c r="AC16" s="271">
        <f>'[5]EDl log'!AC33</f>
        <v>0</v>
      </c>
    </row>
    <row r="17" spans="1:32">
      <c r="A17" s="164">
        <f>ELEC!C16</f>
        <v>43844</v>
      </c>
      <c r="B17" s="568">
        <v>49346170</v>
      </c>
      <c r="C17" s="271">
        <f t="shared" si="3"/>
        <v>4962</v>
      </c>
      <c r="D17" s="325">
        <f t="shared" si="4"/>
        <v>4961</v>
      </c>
      <c r="E17" s="325">
        <f t="shared" si="11"/>
        <v>49346169</v>
      </c>
      <c r="F17" s="568">
        <v>7929846</v>
      </c>
      <c r="G17" s="161">
        <f t="shared" si="0"/>
        <v>730</v>
      </c>
      <c r="H17" s="568">
        <v>24302646</v>
      </c>
      <c r="I17" s="162">
        <f t="shared" si="1"/>
        <v>2386</v>
      </c>
      <c r="J17" s="568">
        <v>17113677</v>
      </c>
      <c r="K17" s="163">
        <f t="shared" si="2"/>
        <v>1845</v>
      </c>
      <c r="L17" s="312">
        <f t="shared" si="5"/>
        <v>154.95854063018243</v>
      </c>
      <c r="M17" s="312">
        <f t="shared" si="6"/>
        <v>177.26832504145938</v>
      </c>
      <c r="N17" s="312">
        <f t="shared" si="7"/>
        <v>97.910447761194035</v>
      </c>
      <c r="O17" s="312">
        <f t="shared" si="8"/>
        <v>129.83480654307374</v>
      </c>
      <c r="P17" s="313">
        <f t="shared" si="9"/>
        <v>559.97211997590966</v>
      </c>
      <c r="Q17" s="313">
        <f>SUM(-tanks!AX19*tanks!$AU$37)</f>
        <v>-1196.7823620967492</v>
      </c>
      <c r="R17" s="313">
        <f t="shared" si="10"/>
        <v>-636.81024212083958</v>
      </c>
      <c r="S17" s="316">
        <f>SUM(ELEC!N16)</f>
        <v>12578</v>
      </c>
      <c r="T17" s="353">
        <f t="shared" si="12"/>
        <v>-5.0628895064464906E-2</v>
      </c>
      <c r="V17" s="259"/>
      <c r="W17" s="271">
        <f>'[6]EDl log'!W34</f>
        <v>0</v>
      </c>
      <c r="X17" s="17"/>
      <c r="Y17" s="458"/>
      <c r="Z17" s="458" t="str">
        <f>'[8]EDl log'!Z34</f>
        <v xml:space="preserve">VAT </v>
      </c>
      <c r="AA17" s="553">
        <f>'[5]EDl log'!$AA$35</f>
        <v>0.11</v>
      </c>
      <c r="AB17" s="271">
        <f>'[5]EDl log'!AB34</f>
        <v>0</v>
      </c>
      <c r="AC17" s="271">
        <f>'[5]EDl log'!AC34</f>
        <v>0</v>
      </c>
    </row>
    <row r="18" spans="1:32" ht="15.75" thickBot="1">
      <c r="A18" s="164">
        <f>ELEC!C17</f>
        <v>43845</v>
      </c>
      <c r="B18" s="568">
        <v>49351598</v>
      </c>
      <c r="C18" s="271">
        <f t="shared" si="3"/>
        <v>5428</v>
      </c>
      <c r="D18" s="325">
        <f t="shared" si="4"/>
        <v>5429</v>
      </c>
      <c r="E18" s="325">
        <f t="shared" si="11"/>
        <v>49351599</v>
      </c>
      <c r="F18" s="568">
        <v>7930554</v>
      </c>
      <c r="G18" s="161">
        <f t="shared" si="0"/>
        <v>708</v>
      </c>
      <c r="H18" s="568">
        <v>24305566</v>
      </c>
      <c r="I18" s="162">
        <f t="shared" si="1"/>
        <v>2920</v>
      </c>
      <c r="J18" s="568">
        <v>17115478</v>
      </c>
      <c r="K18" s="163">
        <f t="shared" si="2"/>
        <v>1801</v>
      </c>
      <c r="L18" s="312">
        <f t="shared" si="5"/>
        <v>150.28855721393035</v>
      </c>
      <c r="M18" s="312">
        <f t="shared" si="6"/>
        <v>216.9419568822554</v>
      </c>
      <c r="N18" s="312">
        <f t="shared" si="7"/>
        <v>95.575456053067995</v>
      </c>
      <c r="O18" s="312">
        <f t="shared" si="8"/>
        <v>129.83480654307374</v>
      </c>
      <c r="P18" s="313">
        <f t="shared" si="9"/>
        <v>592.64077669232756</v>
      </c>
      <c r="Q18" s="313">
        <f>SUM(-tanks!AX20*tanks!$AU$37)</f>
        <v>801.59119838706829</v>
      </c>
      <c r="R18" s="313">
        <f t="shared" si="10"/>
        <v>1394.2319750793959</v>
      </c>
      <c r="S18" s="316">
        <f>SUM(ELEC!N17)</f>
        <v>12879</v>
      </c>
      <c r="T18" s="353">
        <f t="shared" si="12"/>
        <v>0.10825622913886139</v>
      </c>
      <c r="V18" s="233"/>
      <c r="W18" s="234"/>
      <c r="X18" s="234"/>
      <c r="Y18" s="458"/>
      <c r="Z18" s="458"/>
      <c r="AA18" s="45"/>
      <c r="AB18" s="271">
        <f>'[1]EDl log'!AB35</f>
        <v>3839057.75</v>
      </c>
      <c r="AC18" s="271">
        <f>'[5]EDl log'!AC35</f>
        <v>0</v>
      </c>
    </row>
    <row r="19" spans="1:32" ht="15.75" thickBot="1">
      <c r="A19" s="164">
        <f>ELEC!C18</f>
        <v>43846</v>
      </c>
      <c r="B19" s="568">
        <v>49355220</v>
      </c>
      <c r="C19" s="271">
        <f t="shared" si="3"/>
        <v>3622</v>
      </c>
      <c r="D19" s="325">
        <f t="shared" si="4"/>
        <v>3622</v>
      </c>
      <c r="E19" s="325">
        <f t="shared" si="11"/>
        <v>49355220</v>
      </c>
      <c r="F19" s="568">
        <v>7931258</v>
      </c>
      <c r="G19" s="161">
        <f>F19-F18</f>
        <v>704</v>
      </c>
      <c r="H19" s="568">
        <v>24307535</v>
      </c>
      <c r="I19" s="162">
        <f t="shared" si="1"/>
        <v>1969</v>
      </c>
      <c r="J19" s="568">
        <v>17116427</v>
      </c>
      <c r="K19" s="163">
        <f t="shared" si="2"/>
        <v>949</v>
      </c>
      <c r="L19" s="312">
        <f t="shared" si="5"/>
        <v>149.43946932006634</v>
      </c>
      <c r="M19" s="312">
        <f t="shared" si="6"/>
        <v>146.28723051409619</v>
      </c>
      <c r="N19" s="312">
        <f t="shared" si="7"/>
        <v>50.361525704809289</v>
      </c>
      <c r="O19" s="312">
        <f t="shared" si="8"/>
        <v>129.83480654307374</v>
      </c>
      <c r="P19" s="313">
        <f t="shared" si="9"/>
        <v>475.92303208204561</v>
      </c>
      <c r="Q19" s="313">
        <f>SUM(-tanks!AX21*tanks!$AU$37)</f>
        <v>708.32591935484129</v>
      </c>
      <c r="R19" s="313">
        <f t="shared" si="10"/>
        <v>1184.248951436887</v>
      </c>
      <c r="S19" s="316">
        <f>SUM(ELEC!N18)</f>
        <v>11369.399999999907</v>
      </c>
      <c r="T19" s="353">
        <f t="shared" si="12"/>
        <v>0.10416107722807683</v>
      </c>
      <c r="V19" s="233"/>
      <c r="W19" s="234"/>
      <c r="X19" s="234"/>
      <c r="Y19" s="458"/>
      <c r="Z19" s="458"/>
      <c r="AA19" s="234" t="s">
        <v>215</v>
      </c>
      <c r="AB19" s="271">
        <f>'[1]EDl log'!AB36</f>
        <v>38739582.75</v>
      </c>
      <c r="AC19" s="271">
        <f>'[5]EDl log'!AC36</f>
        <v>0</v>
      </c>
    </row>
    <row r="20" spans="1:32" ht="15.75" thickBot="1">
      <c r="A20" s="164">
        <f>ELEC!C19</f>
        <v>43847</v>
      </c>
      <c r="B20" s="568">
        <v>49361506</v>
      </c>
      <c r="C20" s="271">
        <f t="shared" si="3"/>
        <v>6286</v>
      </c>
      <c r="D20" s="325">
        <f t="shared" si="4"/>
        <v>6284</v>
      </c>
      <c r="E20" s="325">
        <f t="shared" si="11"/>
        <v>49361504</v>
      </c>
      <c r="F20" s="568">
        <v>7932318</v>
      </c>
      <c r="G20" s="161">
        <f t="shared" si="0"/>
        <v>1060</v>
      </c>
      <c r="H20" s="568">
        <v>24310339</v>
      </c>
      <c r="I20" s="162">
        <f t="shared" si="1"/>
        <v>2804</v>
      </c>
      <c r="J20" s="568">
        <v>17118847</v>
      </c>
      <c r="K20" s="163">
        <f t="shared" si="2"/>
        <v>2420</v>
      </c>
      <c r="L20" s="312">
        <f t="shared" si="5"/>
        <v>225.00829187396351</v>
      </c>
      <c r="M20" s="312">
        <f t="shared" si="6"/>
        <v>208.32371475953565</v>
      </c>
      <c r="N20" s="312">
        <f t="shared" si="7"/>
        <v>128.424543946932</v>
      </c>
      <c r="O20" s="312">
        <f t="shared" si="8"/>
        <v>129.83480654307374</v>
      </c>
      <c r="P20" s="313">
        <f t="shared" si="9"/>
        <v>691.59135712350485</v>
      </c>
      <c r="Q20" s="313">
        <f>SUM(-tanks!AX22*tanks!$AU$37)</f>
        <v>115.59895443550225</v>
      </c>
      <c r="R20" s="313">
        <f t="shared" si="10"/>
        <v>807.19031155900711</v>
      </c>
      <c r="S20" s="316">
        <f>SUM(ELEC!N19)</f>
        <v>14249.600000000093</v>
      </c>
      <c r="T20" s="353">
        <f t="shared" si="12"/>
        <v>5.6646524222364263E-2</v>
      </c>
      <c r="AB20" s="271"/>
    </row>
    <row r="21" spans="1:32">
      <c r="A21" s="164">
        <f>ELEC!C20</f>
        <v>43848</v>
      </c>
      <c r="B21" s="568">
        <v>49365492</v>
      </c>
      <c r="C21" s="271">
        <f t="shared" si="3"/>
        <v>3986</v>
      </c>
      <c r="D21" s="325">
        <f t="shared" si="4"/>
        <v>3988</v>
      </c>
      <c r="E21" s="325">
        <f t="shared" si="11"/>
        <v>49365494</v>
      </c>
      <c r="F21" s="568">
        <v>7932950</v>
      </c>
      <c r="G21" s="161">
        <f t="shared" si="0"/>
        <v>632</v>
      </c>
      <c r="H21" s="568">
        <v>24311958</v>
      </c>
      <c r="I21" s="162">
        <f t="shared" si="1"/>
        <v>1619</v>
      </c>
      <c r="J21" s="568">
        <v>17120584</v>
      </c>
      <c r="K21" s="163">
        <f t="shared" si="2"/>
        <v>1737</v>
      </c>
      <c r="L21" s="312">
        <f t="shared" si="5"/>
        <v>134.15588723051408</v>
      </c>
      <c r="M21" s="312">
        <f t="shared" si="6"/>
        <v>120.28391376451079</v>
      </c>
      <c r="N21" s="312">
        <f t="shared" si="7"/>
        <v>92.179104477611943</v>
      </c>
      <c r="O21" s="312">
        <f t="shared" si="8"/>
        <v>129.83480654307374</v>
      </c>
      <c r="P21" s="313">
        <f t="shared" si="9"/>
        <v>476.45371201571055</v>
      </c>
      <c r="Q21" s="313">
        <f>SUM(-tanks!AX23*tanks!$AU$37)</f>
        <v>1052.5129838709565</v>
      </c>
      <c r="R21" s="313">
        <f t="shared" si="10"/>
        <v>1528.9666958866671</v>
      </c>
      <c r="S21" s="316">
        <f>SUM(ELEC!N20)</f>
        <v>11144</v>
      </c>
      <c r="T21" s="353">
        <f t="shared" si="12"/>
        <v>0.13720088800131613</v>
      </c>
      <c r="V21" s="167" t="s">
        <v>201</v>
      </c>
      <c r="W21" s="168">
        <v>43831</v>
      </c>
      <c r="X21" s="169"/>
      <c r="Y21" s="169"/>
      <c r="Z21" s="170" t="s">
        <v>202</v>
      </c>
      <c r="AA21" s="169"/>
      <c r="AB21" s="625"/>
      <c r="AC21" s="626"/>
    </row>
    <row r="22" spans="1:32">
      <c r="A22" s="164">
        <f>ELEC!C21</f>
        <v>43849</v>
      </c>
      <c r="B22" s="568">
        <v>49369580</v>
      </c>
      <c r="C22" s="271">
        <f t="shared" si="3"/>
        <v>4088</v>
      </c>
      <c r="D22" s="325">
        <f t="shared" si="4"/>
        <v>4089</v>
      </c>
      <c r="E22" s="325">
        <f t="shared" si="11"/>
        <v>49369581</v>
      </c>
      <c r="F22" s="568">
        <v>7933836</v>
      </c>
      <c r="G22" s="161">
        <f t="shared" si="0"/>
        <v>886</v>
      </c>
      <c r="H22" s="568">
        <v>24314046</v>
      </c>
      <c r="I22" s="162">
        <f t="shared" si="1"/>
        <v>2088</v>
      </c>
      <c r="J22" s="568">
        <v>17121699</v>
      </c>
      <c r="K22" s="163">
        <f t="shared" si="2"/>
        <v>1115</v>
      </c>
      <c r="L22" s="312">
        <f t="shared" si="5"/>
        <v>188.07296849087894</v>
      </c>
      <c r="M22" s="312">
        <f t="shared" si="6"/>
        <v>155.12835820895523</v>
      </c>
      <c r="N22" s="312">
        <f t="shared" si="7"/>
        <v>59.170812603648422</v>
      </c>
      <c r="O22" s="312">
        <f t="shared" si="8"/>
        <v>129.83480654307374</v>
      </c>
      <c r="P22" s="313">
        <f t="shared" si="9"/>
        <v>532.20694584655632</v>
      </c>
      <c r="Q22" s="313">
        <f>SUM(-tanks!AX24*tanks!$AU$37)</f>
        <v>302.32193145162501</v>
      </c>
      <c r="R22" s="313">
        <f t="shared" si="10"/>
        <v>834.52887729818133</v>
      </c>
      <c r="S22" s="316">
        <f>SUM(ELEC!N21)</f>
        <v>9036</v>
      </c>
      <c r="T22" s="353">
        <f t="shared" si="12"/>
        <v>9.2356006783773939E-2</v>
      </c>
      <c r="V22" s="631"/>
      <c r="W22" s="632"/>
      <c r="X22" s="632"/>
      <c r="Y22" s="633"/>
      <c r="Z22" s="26" t="s">
        <v>203</v>
      </c>
      <c r="AA22" s="26">
        <v>5000</v>
      </c>
      <c r="AB22" s="627"/>
      <c r="AC22" s="628"/>
    </row>
    <row r="23" spans="1:32">
      <c r="A23" s="164">
        <f>ELEC!C22</f>
        <v>43850</v>
      </c>
      <c r="B23" s="568">
        <v>49374632</v>
      </c>
      <c r="C23" s="271">
        <f t="shared" si="3"/>
        <v>5052</v>
      </c>
      <c r="D23" s="325">
        <f t="shared" si="4"/>
        <v>5053</v>
      </c>
      <c r="E23" s="325">
        <f t="shared" si="11"/>
        <v>49374633</v>
      </c>
      <c r="F23" s="568">
        <v>7934671</v>
      </c>
      <c r="G23" s="161">
        <f t="shared" si="0"/>
        <v>835</v>
      </c>
      <c r="H23" s="568">
        <v>24316535</v>
      </c>
      <c r="I23" s="162">
        <f t="shared" si="1"/>
        <v>2489</v>
      </c>
      <c r="J23" s="568">
        <v>17123428</v>
      </c>
      <c r="K23" s="163">
        <f t="shared" si="2"/>
        <v>1729</v>
      </c>
      <c r="L23" s="312">
        <f t="shared" si="5"/>
        <v>177.24709784411277</v>
      </c>
      <c r="M23" s="312">
        <f t="shared" si="6"/>
        <v>184.92072968490879</v>
      </c>
      <c r="N23" s="312">
        <f t="shared" si="7"/>
        <v>91.754560530679939</v>
      </c>
      <c r="O23" s="312">
        <f t="shared" si="8"/>
        <v>129.83480654307374</v>
      </c>
      <c r="P23" s="313">
        <f t="shared" si="9"/>
        <v>583.75719460277526</v>
      </c>
      <c r="Q23" s="313">
        <f>SUM(-tanks!AX25*tanks!$AU$37)</f>
        <v>389.00386693548035</v>
      </c>
      <c r="R23" s="313">
        <f t="shared" si="10"/>
        <v>972.7610615382556</v>
      </c>
      <c r="S23" s="316">
        <f>SUM(ELEC!N22)</f>
        <v>11900</v>
      </c>
      <c r="T23" s="353">
        <f t="shared" si="12"/>
        <v>8.1744627020021485E-2</v>
      </c>
      <c r="V23" s="634"/>
      <c r="W23" s="635"/>
      <c r="X23" s="635"/>
      <c r="Y23" s="636"/>
      <c r="Z23" s="637"/>
      <c r="AA23" s="638"/>
      <c r="AB23" s="627"/>
      <c r="AC23" s="628"/>
    </row>
    <row r="24" spans="1:32" ht="15" customHeight="1">
      <c r="A24" s="164">
        <f>ELEC!C23</f>
        <v>43851</v>
      </c>
      <c r="B24" s="568">
        <v>49379398</v>
      </c>
      <c r="C24" s="271">
        <f t="shared" si="3"/>
        <v>4766</v>
      </c>
      <c r="D24" s="325">
        <f t="shared" si="4"/>
        <v>4765</v>
      </c>
      <c r="E24" s="325">
        <f t="shared" si="11"/>
        <v>49379397</v>
      </c>
      <c r="F24" s="568">
        <v>7935594</v>
      </c>
      <c r="G24" s="161">
        <f t="shared" si="0"/>
        <v>923</v>
      </c>
      <c r="H24" s="568">
        <v>24318691</v>
      </c>
      <c r="I24" s="162">
        <f t="shared" si="1"/>
        <v>2156</v>
      </c>
      <c r="J24" s="568">
        <v>17125114</v>
      </c>
      <c r="K24" s="163">
        <f t="shared" si="2"/>
        <v>1686</v>
      </c>
      <c r="L24" s="312">
        <f t="shared" si="5"/>
        <v>195.92703150912106</v>
      </c>
      <c r="M24" s="312">
        <f t="shared" si="6"/>
        <v>160.18043117744611</v>
      </c>
      <c r="N24" s="312">
        <f t="shared" si="7"/>
        <v>89.472636815920396</v>
      </c>
      <c r="O24" s="312">
        <f t="shared" si="8"/>
        <v>129.83480654307374</v>
      </c>
      <c r="P24" s="313">
        <f t="shared" si="9"/>
        <v>575.41490604556134</v>
      </c>
      <c r="Q24" s="313">
        <f>SUM(-tanks!AX26*tanks!$AU$37)</f>
        <v>304.25172540320955</v>
      </c>
      <c r="R24" s="313">
        <f t="shared" si="10"/>
        <v>879.66663144877089</v>
      </c>
      <c r="S24" s="316">
        <f>SUM(ELEC!N23)</f>
        <v>11369.200000000186</v>
      </c>
      <c r="T24" s="353">
        <f t="shared" si="12"/>
        <v>7.7372781853495096E-2</v>
      </c>
      <c r="V24" s="639" t="s">
        <v>204</v>
      </c>
      <c r="W24" s="640"/>
      <c r="X24" s="641" t="s">
        <v>205</v>
      </c>
      <c r="Y24" s="642"/>
      <c r="Z24" s="643"/>
      <c r="AA24" s="171"/>
      <c r="AB24" s="629"/>
      <c r="AC24" s="630"/>
    </row>
    <row r="25" spans="1:32" ht="17.25" customHeight="1">
      <c r="A25" s="164">
        <f>ELEC!C24</f>
        <v>43852</v>
      </c>
      <c r="B25" s="568">
        <v>49384305</v>
      </c>
      <c r="C25" s="271">
        <f t="shared" si="3"/>
        <v>4907</v>
      </c>
      <c r="D25" s="325">
        <f t="shared" si="4"/>
        <v>4907</v>
      </c>
      <c r="E25" s="325">
        <f t="shared" si="11"/>
        <v>49384305</v>
      </c>
      <c r="F25" s="568">
        <v>7936518</v>
      </c>
      <c r="G25" s="161">
        <f t="shared" si="0"/>
        <v>924</v>
      </c>
      <c r="H25" s="568">
        <v>24320784</v>
      </c>
      <c r="I25" s="162">
        <f t="shared" si="1"/>
        <v>2093</v>
      </c>
      <c r="J25" s="568">
        <v>17127004</v>
      </c>
      <c r="K25" s="163">
        <f t="shared" si="2"/>
        <v>1890</v>
      </c>
      <c r="L25" s="312">
        <f t="shared" si="5"/>
        <v>196.13930348258705</v>
      </c>
      <c r="M25" s="312">
        <f t="shared" si="6"/>
        <v>155.49983416252073</v>
      </c>
      <c r="N25" s="312">
        <f t="shared" si="7"/>
        <v>100.29850746268657</v>
      </c>
      <c r="O25" s="312">
        <f t="shared" si="8"/>
        <v>129.83480654307374</v>
      </c>
      <c r="P25" s="313">
        <f t="shared" si="9"/>
        <v>581.77245165086811</v>
      </c>
      <c r="Q25" s="313">
        <f>SUM(-tanks!AX27*tanks!$AU$37)</f>
        <v>-171.15945967741013</v>
      </c>
      <c r="R25" s="313">
        <f t="shared" si="10"/>
        <v>410.61299197345795</v>
      </c>
      <c r="S25" s="316">
        <f>SUM(ELEC!N24)</f>
        <v>10970</v>
      </c>
      <c r="T25" s="353">
        <f t="shared" si="12"/>
        <v>3.7430537098765537E-2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43853</v>
      </c>
      <c r="B26" s="568">
        <v>49389095</v>
      </c>
      <c r="C26" s="271">
        <f t="shared" si="3"/>
        <v>4790</v>
      </c>
      <c r="D26" s="325">
        <f t="shared" si="4"/>
        <v>4789</v>
      </c>
      <c r="E26" s="325">
        <f t="shared" si="11"/>
        <v>49389094</v>
      </c>
      <c r="F26" s="568">
        <v>7937389</v>
      </c>
      <c r="G26" s="161">
        <f t="shared" si="0"/>
        <v>871</v>
      </c>
      <c r="H26" s="568">
        <v>24323289</v>
      </c>
      <c r="I26" s="162">
        <f t="shared" si="1"/>
        <v>2505</v>
      </c>
      <c r="J26" s="568">
        <v>17128417</v>
      </c>
      <c r="K26" s="163">
        <f t="shared" si="2"/>
        <v>1413</v>
      </c>
      <c r="L26" s="312">
        <f t="shared" si="5"/>
        <v>184.88888888888889</v>
      </c>
      <c r="M26" s="312">
        <f t="shared" si="6"/>
        <v>186.10945273631842</v>
      </c>
      <c r="N26" s="312">
        <f t="shared" si="7"/>
        <v>74.985074626865668</v>
      </c>
      <c r="O26" s="312">
        <f t="shared" si="8"/>
        <v>129.83480654307374</v>
      </c>
      <c r="P26" s="313">
        <f t="shared" si="9"/>
        <v>575.81822279514677</v>
      </c>
      <c r="Q26" s="313">
        <f>SUM(-tanks!AX28*tanks!$AU$37)</f>
        <v>295.76474193548034</v>
      </c>
      <c r="R26" s="313">
        <f t="shared" si="10"/>
        <v>871.58296473062705</v>
      </c>
      <c r="S26" s="316">
        <f>SUM(ELEC!N25)</f>
        <v>10672.799999999814</v>
      </c>
      <c r="T26" s="353">
        <f t="shared" si="12"/>
        <v>8.1663946174447402E-2</v>
      </c>
      <c r="V26" s="260">
        <f>W9</f>
        <v>17085395</v>
      </c>
      <c r="W26" s="171">
        <f>J34</f>
        <v>17133556</v>
      </c>
      <c r="X26" s="173" t="s">
        <v>199</v>
      </c>
      <c r="Y26" s="173">
        <v>80</v>
      </c>
      <c r="Z26" s="173">
        <v>1</v>
      </c>
      <c r="AA26" s="200">
        <f>(W26-V26)*Z26</f>
        <v>48161</v>
      </c>
      <c r="AB26" s="200">
        <f>AA26*Y26</f>
        <v>3852880</v>
      </c>
      <c r="AC26" s="255">
        <f>AC9</f>
        <v>1033333</v>
      </c>
      <c r="AD26" s="216">
        <f>SUM(K37)</f>
        <v>0.37070020551266558</v>
      </c>
    </row>
    <row r="27" spans="1:32">
      <c r="A27" s="164">
        <f>ELEC!C26</f>
        <v>43854</v>
      </c>
      <c r="B27" s="568">
        <v>49393543</v>
      </c>
      <c r="C27" s="271">
        <f t="shared" si="3"/>
        <v>4448</v>
      </c>
      <c r="D27" s="325">
        <f t="shared" si="4"/>
        <v>4448</v>
      </c>
      <c r="E27" s="325">
        <f t="shared" si="11"/>
        <v>49393543</v>
      </c>
      <c r="F27" s="568">
        <v>7937991</v>
      </c>
      <c r="G27" s="161">
        <f t="shared" si="0"/>
        <v>602</v>
      </c>
      <c r="H27" s="568">
        <v>24325491</v>
      </c>
      <c r="I27" s="162">
        <f t="shared" si="1"/>
        <v>2202</v>
      </c>
      <c r="J27" s="568">
        <v>17130061</v>
      </c>
      <c r="K27" s="163">
        <f t="shared" si="2"/>
        <v>1644</v>
      </c>
      <c r="L27" s="312">
        <f t="shared" si="5"/>
        <v>127.787728026534</v>
      </c>
      <c r="M27" s="312">
        <f t="shared" si="6"/>
        <v>163.59800995024875</v>
      </c>
      <c r="N27" s="312">
        <f t="shared" si="7"/>
        <v>87.243781094527364</v>
      </c>
      <c r="O27" s="312">
        <f t="shared" si="8"/>
        <v>129.83480654307374</v>
      </c>
      <c r="P27" s="313">
        <f t="shared" si="9"/>
        <v>508.46432561438388</v>
      </c>
      <c r="Q27" s="313">
        <f>SUM(-tanks!AX29*tanks!$AU$37)</f>
        <v>116.23599193548034</v>
      </c>
      <c r="R27" s="313">
        <f t="shared" si="10"/>
        <v>624.70031754986417</v>
      </c>
      <c r="S27" s="316">
        <f>SUM(ELEC!N26)</f>
        <v>12121</v>
      </c>
      <c r="T27" s="353">
        <f t="shared" si="12"/>
        <v>5.153867812473098E-2</v>
      </c>
      <c r="V27" s="260">
        <f>W10</f>
        <v>24270583</v>
      </c>
      <c r="W27" s="171">
        <f>H34</f>
        <v>24329913</v>
      </c>
      <c r="X27" s="173" t="s">
        <v>213</v>
      </c>
      <c r="Y27" s="173">
        <v>112</v>
      </c>
      <c r="Z27" s="173">
        <v>1</v>
      </c>
      <c r="AA27" s="200">
        <f>(W27-V27)*Z27</f>
        <v>59330</v>
      </c>
      <c r="AB27" s="200">
        <f>SUM(AA27*Y27)</f>
        <v>6644960</v>
      </c>
      <c r="AC27" s="255">
        <f>AC10</f>
        <v>6200000</v>
      </c>
      <c r="AD27" s="216">
        <f>SUM(I37)</f>
        <v>0.45666915539682423</v>
      </c>
    </row>
    <row r="28" spans="1:32">
      <c r="A28" s="164">
        <f>ELEC!C27</f>
        <v>43855</v>
      </c>
      <c r="B28" s="568">
        <v>49398189</v>
      </c>
      <c r="C28" s="271">
        <f t="shared" si="3"/>
        <v>4646</v>
      </c>
      <c r="D28" s="325">
        <f t="shared" si="4"/>
        <v>4647</v>
      </c>
      <c r="E28" s="325">
        <f t="shared" si="11"/>
        <v>49398190</v>
      </c>
      <c r="F28" s="568">
        <v>7938986</v>
      </c>
      <c r="G28" s="161">
        <f t="shared" si="0"/>
        <v>995</v>
      </c>
      <c r="H28" s="568">
        <v>24327353</v>
      </c>
      <c r="I28" s="162">
        <f t="shared" si="1"/>
        <v>1862</v>
      </c>
      <c r="J28" s="568">
        <v>17131851</v>
      </c>
      <c r="K28" s="163">
        <f t="shared" si="2"/>
        <v>1790</v>
      </c>
      <c r="L28" s="312">
        <f t="shared" si="5"/>
        <v>211.21061359867329</v>
      </c>
      <c r="M28" s="312">
        <f t="shared" si="6"/>
        <v>138.33764510779437</v>
      </c>
      <c r="N28" s="312">
        <f t="shared" si="7"/>
        <v>94.991708126036485</v>
      </c>
      <c r="O28" s="312">
        <f t="shared" si="8"/>
        <v>129.83480654307374</v>
      </c>
      <c r="P28" s="313">
        <f t="shared" si="9"/>
        <v>574.37477337557789</v>
      </c>
      <c r="Q28" s="313">
        <f>SUM(-tanks!AX30*tanks!$AU$37)</f>
        <v>918.34279838710108</v>
      </c>
      <c r="R28" s="313">
        <f t="shared" si="10"/>
        <v>1492.717571762679</v>
      </c>
      <c r="S28" s="316">
        <f>SUM(ELEC!N27)</f>
        <v>8971</v>
      </c>
      <c r="T28" s="353">
        <f t="shared" si="12"/>
        <v>0.16639366533972566</v>
      </c>
      <c r="V28" s="260">
        <f>W11</f>
        <v>7917555</v>
      </c>
      <c r="W28" s="171">
        <f>F34</f>
        <v>7939981</v>
      </c>
      <c r="X28" s="173" t="s">
        <v>197</v>
      </c>
      <c r="Y28" s="173">
        <v>320</v>
      </c>
      <c r="Z28" s="173">
        <v>1</v>
      </c>
      <c r="AA28" s="200">
        <f>(W28-V28)*Z28</f>
        <v>22426</v>
      </c>
      <c r="AB28" s="200">
        <f>SUM(AA28*Y28)</f>
        <v>7176320</v>
      </c>
      <c r="AC28" s="255">
        <f>AC11</f>
        <v>1000</v>
      </c>
      <c r="AD28" s="216">
        <f>SUM(G37)</f>
        <v>0.17261524488335039</v>
      </c>
      <c r="AE28" s="40">
        <f>SUM(AB28*5%)</f>
        <v>358816</v>
      </c>
      <c r="AF28" s="83">
        <f>SUM(AE28/7)*31</f>
        <v>1589042.2857142857</v>
      </c>
    </row>
    <row r="29" spans="1:32">
      <c r="A29" s="164">
        <f>ELEC!C28</f>
        <v>43856</v>
      </c>
      <c r="B29" s="568">
        <v>49403452</v>
      </c>
      <c r="C29" s="271">
        <f t="shared" si="3"/>
        <v>5263</v>
      </c>
      <c r="D29" s="325">
        <f t="shared" si="4"/>
        <v>5260</v>
      </c>
      <c r="E29" s="325">
        <f t="shared" si="11"/>
        <v>49403449</v>
      </c>
      <c r="F29" s="568">
        <v>7939981</v>
      </c>
      <c r="G29" s="161">
        <f t="shared" si="0"/>
        <v>995</v>
      </c>
      <c r="H29" s="568">
        <v>24329913</v>
      </c>
      <c r="I29" s="162">
        <f t="shared" si="1"/>
        <v>2560</v>
      </c>
      <c r="J29" s="568">
        <v>17133556</v>
      </c>
      <c r="K29" s="163">
        <f t="shared" si="2"/>
        <v>1705</v>
      </c>
      <c r="L29" s="312">
        <f t="shared" si="5"/>
        <v>211.21061359867329</v>
      </c>
      <c r="M29" s="312">
        <f t="shared" si="6"/>
        <v>190.19568822553896</v>
      </c>
      <c r="N29" s="312">
        <f t="shared" si="7"/>
        <v>90.48092868988391</v>
      </c>
      <c r="O29" s="312">
        <f t="shared" si="8"/>
        <v>129.83480654307374</v>
      </c>
      <c r="P29" s="313">
        <f t="shared" si="9"/>
        <v>621.72203705716993</v>
      </c>
      <c r="Q29" s="313">
        <f>SUM(-tanks!AX31*tanks!$AU$37)</f>
        <v>200.20911693548032</v>
      </c>
      <c r="R29" s="313">
        <f t="shared" si="10"/>
        <v>821.93115399265025</v>
      </c>
      <c r="S29" s="316">
        <f>SUM(ELEC!N28)</f>
        <v>11669.600000000093</v>
      </c>
      <c r="T29" s="353">
        <f t="shared" si="12"/>
        <v>7.0433532768273438E-2</v>
      </c>
      <c r="V29" s="217"/>
      <c r="W29" s="218"/>
      <c r="X29" s="218"/>
      <c r="Y29" s="219"/>
      <c r="Z29" s="3"/>
      <c r="AA29" s="297">
        <f>SUM(AA26:AA28)</f>
        <v>129917</v>
      </c>
      <c r="AB29" s="200"/>
      <c r="AC29" s="255"/>
    </row>
    <row r="30" spans="1:32" ht="14.25" customHeight="1">
      <c r="A30" s="164">
        <f>ELEC!C29</f>
        <v>43857</v>
      </c>
      <c r="B30" s="568">
        <f t="shared" ref="B29:B34" si="13">B29</f>
        <v>49403452</v>
      </c>
      <c r="C30" s="271">
        <f t="shared" si="3"/>
        <v>0</v>
      </c>
      <c r="D30" s="325">
        <f t="shared" si="4"/>
        <v>0</v>
      </c>
      <c r="E30" s="325">
        <f t="shared" si="11"/>
        <v>49403452</v>
      </c>
      <c r="F30" s="568">
        <f t="shared" ref="F29:J34" si="14">F29</f>
        <v>7939981</v>
      </c>
      <c r="G30" s="161">
        <f t="shared" si="0"/>
        <v>0</v>
      </c>
      <c r="H30" s="568">
        <f t="shared" si="14"/>
        <v>24329913</v>
      </c>
      <c r="I30" s="162">
        <f t="shared" si="1"/>
        <v>0</v>
      </c>
      <c r="J30" s="568">
        <f t="shared" si="14"/>
        <v>17133556</v>
      </c>
      <c r="K30" s="163">
        <f t="shared" si="2"/>
        <v>0</v>
      </c>
      <c r="L30" s="312">
        <f t="shared" si="5"/>
        <v>0</v>
      </c>
      <c r="M30" s="312">
        <f t="shared" si="6"/>
        <v>0</v>
      </c>
      <c r="N30" s="312">
        <f t="shared" si="7"/>
        <v>0</v>
      </c>
      <c r="O30" s="312">
        <f t="shared" si="8"/>
        <v>129.83480654307374</v>
      </c>
      <c r="P30" s="313">
        <f t="shared" si="9"/>
        <v>129.83480654307374</v>
      </c>
      <c r="Q30" s="313">
        <f>SUM(-tanks!AX32*tanks!$AU$37)</f>
        <v>0</v>
      </c>
      <c r="R30" s="313">
        <f t="shared" si="10"/>
        <v>129.83480654307374</v>
      </c>
      <c r="S30" s="316">
        <f>SUM(ELEC!N29)</f>
        <v>0</v>
      </c>
      <c r="T30" s="353">
        <f t="shared" si="12"/>
        <v>0</v>
      </c>
      <c r="V30" s="220" t="s">
        <v>317</v>
      </c>
      <c r="W30" s="478">
        <f>'General information '!F37</f>
        <v>0.18439615384615388</v>
      </c>
      <c r="X30" s="221"/>
      <c r="Y30" s="222" t="s">
        <v>333</v>
      </c>
      <c r="Z30" s="3"/>
      <c r="AA30" s="297"/>
      <c r="AB30" s="200">
        <f>SUM(AB26:AB29)</f>
        <v>17674160</v>
      </c>
      <c r="AC30" s="255">
        <f>SUM(AC26:AC29)/A38*A36</f>
        <v>6067505.0967741935</v>
      </c>
    </row>
    <row r="31" spans="1:32">
      <c r="A31" s="164">
        <f>ELEC!C30</f>
        <v>43858</v>
      </c>
      <c r="B31" s="568">
        <f t="shared" si="13"/>
        <v>49403452</v>
      </c>
      <c r="C31" s="271">
        <f t="shared" si="3"/>
        <v>0</v>
      </c>
      <c r="D31" s="325">
        <f t="shared" si="4"/>
        <v>0</v>
      </c>
      <c r="E31" s="325">
        <f t="shared" si="11"/>
        <v>49403452</v>
      </c>
      <c r="F31" s="568">
        <f t="shared" si="14"/>
        <v>7939981</v>
      </c>
      <c r="G31" s="161">
        <f t="shared" si="0"/>
        <v>0</v>
      </c>
      <c r="H31" s="568">
        <f t="shared" si="14"/>
        <v>24329913</v>
      </c>
      <c r="I31" s="162">
        <f t="shared" si="1"/>
        <v>0</v>
      </c>
      <c r="J31" s="568">
        <f t="shared" si="14"/>
        <v>17133556</v>
      </c>
      <c r="K31" s="163">
        <f t="shared" si="2"/>
        <v>0</v>
      </c>
      <c r="L31" s="312">
        <f t="shared" si="5"/>
        <v>0</v>
      </c>
      <c r="M31" s="312">
        <f t="shared" si="6"/>
        <v>0</v>
      </c>
      <c r="N31" s="312">
        <f t="shared" si="7"/>
        <v>0</v>
      </c>
      <c r="O31" s="312">
        <f t="shared" si="8"/>
        <v>129.83480654307374</v>
      </c>
      <c r="P31" s="313">
        <f t="shared" si="9"/>
        <v>129.83480654307374</v>
      </c>
      <c r="Q31" s="313">
        <f>SUM(-tanks!AX33*tanks!$AU$37)</f>
        <v>0</v>
      </c>
      <c r="R31" s="313">
        <f t="shared" si="10"/>
        <v>129.83480654307374</v>
      </c>
      <c r="S31" s="316">
        <f>SUM(ELEC!N30)</f>
        <v>0</v>
      </c>
      <c r="T31" s="353">
        <f t="shared" si="12"/>
        <v>0</v>
      </c>
      <c r="V31" s="220" t="s">
        <v>318</v>
      </c>
      <c r="W31" s="221">
        <f>SUM(GEN!U34)</f>
        <v>132</v>
      </c>
      <c r="X31" s="226">
        <f>SUM(W31/A36)</f>
        <v>5.0769230769230766</v>
      </c>
      <c r="Y31" s="267">
        <f>SUM(X31/2)</f>
        <v>2.5384615384615383</v>
      </c>
      <c r="Z31" s="3"/>
      <c r="AA31" s="3"/>
      <c r="AB31" s="200">
        <f>SUM(AB30+AC31)</f>
        <v>23741665.096774194</v>
      </c>
      <c r="AC31" s="255">
        <f>SUM(AC30)</f>
        <v>6067505.0967741935</v>
      </c>
    </row>
    <row r="32" spans="1:32">
      <c r="A32" s="164">
        <f>ELEC!C31</f>
        <v>43859</v>
      </c>
      <c r="B32" s="568">
        <f t="shared" si="13"/>
        <v>49403452</v>
      </c>
      <c r="C32" s="271">
        <f t="shared" si="3"/>
        <v>0</v>
      </c>
      <c r="D32" s="325">
        <f t="shared" si="4"/>
        <v>0</v>
      </c>
      <c r="E32" s="325">
        <f t="shared" si="11"/>
        <v>49403452</v>
      </c>
      <c r="F32" s="568">
        <f t="shared" si="14"/>
        <v>7939981</v>
      </c>
      <c r="G32" s="161">
        <f t="shared" si="0"/>
        <v>0</v>
      </c>
      <c r="H32" s="568">
        <f t="shared" si="14"/>
        <v>24329913</v>
      </c>
      <c r="I32" s="162">
        <f t="shared" si="1"/>
        <v>0</v>
      </c>
      <c r="J32" s="568">
        <f t="shared" si="14"/>
        <v>17133556</v>
      </c>
      <c r="K32" s="163">
        <f t="shared" si="2"/>
        <v>0</v>
      </c>
      <c r="L32" s="312">
        <f t="shared" si="5"/>
        <v>0</v>
      </c>
      <c r="M32" s="312">
        <f t="shared" si="6"/>
        <v>0</v>
      </c>
      <c r="N32" s="312">
        <f t="shared" si="7"/>
        <v>0</v>
      </c>
      <c r="O32" s="312">
        <f t="shared" si="8"/>
        <v>129.83480654307374</v>
      </c>
      <c r="P32" s="313">
        <f t="shared" si="9"/>
        <v>129.83480654307374</v>
      </c>
      <c r="Q32" s="313">
        <f>SUM(-tanks!AX34*tanks!$AU$37)</f>
        <v>0</v>
      </c>
      <c r="R32" s="313">
        <f t="shared" si="10"/>
        <v>129.83480654307374</v>
      </c>
      <c r="S32" s="316">
        <f>SUM(ELEC!N31)</f>
        <v>0</v>
      </c>
      <c r="T32" s="353">
        <f t="shared" si="12"/>
        <v>0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43860</v>
      </c>
      <c r="B33" s="568">
        <f t="shared" si="13"/>
        <v>49403452</v>
      </c>
      <c r="C33" s="271">
        <f t="shared" si="3"/>
        <v>0</v>
      </c>
      <c r="D33" s="325">
        <f t="shared" si="4"/>
        <v>0</v>
      </c>
      <c r="E33" s="325">
        <f t="shared" si="11"/>
        <v>49403452</v>
      </c>
      <c r="F33" s="568">
        <f t="shared" si="14"/>
        <v>7939981</v>
      </c>
      <c r="G33" s="161">
        <f>F33-F32</f>
        <v>0</v>
      </c>
      <c r="H33" s="568">
        <f t="shared" si="14"/>
        <v>24329913</v>
      </c>
      <c r="I33" s="162">
        <f t="shared" si="1"/>
        <v>0</v>
      </c>
      <c r="J33" s="568">
        <f t="shared" si="14"/>
        <v>17133556</v>
      </c>
      <c r="K33" s="163">
        <f t="shared" si="2"/>
        <v>0</v>
      </c>
      <c r="L33" s="312">
        <f>SUM(G33*$Y$28)/1507.5</f>
        <v>0</v>
      </c>
      <c r="M33" s="312">
        <f t="shared" si="6"/>
        <v>0</v>
      </c>
      <c r="N33" s="312">
        <f t="shared" si="7"/>
        <v>0</v>
      </c>
      <c r="O33" s="312">
        <f t="shared" si="8"/>
        <v>129.83480654307374</v>
      </c>
      <c r="P33" s="313">
        <f>SUM(L33:O33)</f>
        <v>129.83480654307374</v>
      </c>
      <c r="Q33" s="313">
        <f>SUM(-tanks!AX35*tanks!$AU$37)</f>
        <v>0</v>
      </c>
      <c r="R33" s="313">
        <f>SUM(P33:Q33)</f>
        <v>129.83480654307374</v>
      </c>
      <c r="S33" s="316">
        <f>SUM(ELEC!N32)</f>
        <v>0</v>
      </c>
      <c r="T33" s="353">
        <f>IF(S33&gt;0,R33/S33,0)</f>
        <v>0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>
        <f>ELEC!C33</f>
        <v>43861</v>
      </c>
      <c r="B34" s="568">
        <f t="shared" si="13"/>
        <v>49403452</v>
      </c>
      <c r="C34" s="271">
        <f>SUM(B34-B33)</f>
        <v>0</v>
      </c>
      <c r="D34" s="325">
        <f>SUM(G34+I34+K34)</f>
        <v>0</v>
      </c>
      <c r="E34" s="325">
        <f>B33+D34</f>
        <v>49403452</v>
      </c>
      <c r="F34" s="568">
        <f t="shared" si="14"/>
        <v>7939981</v>
      </c>
      <c r="G34" s="161">
        <f>F34-F33</f>
        <v>0</v>
      </c>
      <c r="H34" s="568">
        <f t="shared" si="14"/>
        <v>24329913</v>
      </c>
      <c r="I34" s="162">
        <f>H34-H33</f>
        <v>0</v>
      </c>
      <c r="J34" s="568">
        <f t="shared" si="14"/>
        <v>17133556</v>
      </c>
      <c r="K34" s="163">
        <f>J34-J33</f>
        <v>0</v>
      </c>
      <c r="L34" s="312">
        <f>SUM(G34*$Y$28)/1507.5</f>
        <v>0</v>
      </c>
      <c r="M34" s="312">
        <f>SUM(I34*$Y$27)/1507.5</f>
        <v>0</v>
      </c>
      <c r="N34" s="312">
        <f>SUM(K34*$Y$26)/1507.5</f>
        <v>0</v>
      </c>
      <c r="O34" s="312">
        <f t="shared" si="8"/>
        <v>129.83480654307374</v>
      </c>
      <c r="P34" s="313">
        <f>SUM(L34:O34)</f>
        <v>129.83480654307374</v>
      </c>
      <c r="Q34" s="313">
        <f>SUM(-tanks!AX36*tanks!$AU$37)</f>
        <v>0</v>
      </c>
      <c r="R34" s="313">
        <f>SUM(P34:Q34)</f>
        <v>129.83480654307374</v>
      </c>
      <c r="S34" s="316">
        <f>SUM(ELEC!N33)</f>
        <v>0</v>
      </c>
      <c r="T34" s="353">
        <f>IF(S34&gt;0,R34/S34,0)</f>
        <v>0</v>
      </c>
      <c r="V34" s="220"/>
      <c r="W34" s="221"/>
      <c r="X34" s="221"/>
      <c r="Y34" s="221"/>
      <c r="Z34" s="3"/>
      <c r="AA34" s="3"/>
      <c r="AB34" s="3"/>
      <c r="AC34" s="247"/>
    </row>
    <row r="35" spans="1:29">
      <c r="A35" s="164"/>
      <c r="B35" s="306"/>
      <c r="C35" s="307"/>
      <c r="D35" s="307"/>
      <c r="E35" s="307"/>
      <c r="F35" s="306"/>
      <c r="G35" s="308"/>
      <c r="H35" s="306"/>
      <c r="I35" s="309"/>
      <c r="J35" s="306"/>
      <c r="K35" s="177">
        <f>SUM(K4:K34)/A36</f>
        <v>1852.3461538461538</v>
      </c>
      <c r="L35" s="314">
        <f t="shared" ref="L35:S35" si="15">SUM(L4:L34)</f>
        <v>4760.411276948591</v>
      </c>
      <c r="M35" s="314">
        <f t="shared" si="15"/>
        <v>4407.9336650082932</v>
      </c>
      <c r="N35" s="314">
        <f t="shared" si="15"/>
        <v>2555.8076285240472</v>
      </c>
      <c r="O35" s="314">
        <f t="shared" si="15"/>
        <v>4024.8790028352846</v>
      </c>
      <c r="P35" s="317">
        <f t="shared" si="15"/>
        <v>15749.031573316221</v>
      </c>
      <c r="Q35" s="317">
        <f t="shared" si="15"/>
        <v>14938.772233870957</v>
      </c>
      <c r="R35" s="317">
        <f t="shared" si="15"/>
        <v>30687.803807187167</v>
      </c>
      <c r="S35" s="317">
        <f t="shared" si="15"/>
        <v>328398.60000000009</v>
      </c>
      <c r="T35" s="354"/>
      <c r="V35" s="259"/>
      <c r="W35" s="17"/>
      <c r="X35" s="17"/>
      <c r="Y35" s="17"/>
      <c r="Z35" s="3" t="s">
        <v>214</v>
      </c>
      <c r="AA35" s="288">
        <v>0.11</v>
      </c>
      <c r="AB35" s="303">
        <f>SUM(AB31*AA35)</f>
        <v>2611583.1606451613</v>
      </c>
      <c r="AC35" s="290"/>
    </row>
    <row r="36" spans="1:29" ht="15.75" thickBot="1">
      <c r="A36" s="284">
        <f>A38-COUNTIF(C4:C34,0)</f>
        <v>26</v>
      </c>
      <c r="C36" s="177">
        <f>SUM(C4:C34)/A36</f>
        <v>4996.8846153846152</v>
      </c>
      <c r="D36" s="177"/>
      <c r="E36" s="177"/>
      <c r="G36" s="177">
        <f>SUM(G4:G34)/A36</f>
        <v>862.53846153846155</v>
      </c>
      <c r="I36" s="177">
        <f>SUM(I4:I34)/A36</f>
        <v>2281.9230769230771</v>
      </c>
      <c r="K36" s="177"/>
      <c r="L36" s="177">
        <f>SUM(L35*1507.5)</f>
        <v>7176320.0000000009</v>
      </c>
      <c r="M36" s="177">
        <f>SUM(M35*1507.5)</f>
        <v>6644960.0000000019</v>
      </c>
      <c r="N36" s="177">
        <f>SUM(N35*1507.5)</f>
        <v>3852880.0000000014</v>
      </c>
      <c r="O36" s="177">
        <f>SUM(O35*1507.5)</f>
        <v>6067505.0967741916</v>
      </c>
      <c r="P36" s="177"/>
      <c r="Q36" s="177"/>
      <c r="R36" s="177"/>
      <c r="S36" s="317"/>
      <c r="V36" s="233"/>
      <c r="W36" s="234"/>
      <c r="X36" s="234"/>
      <c r="Y36" s="234"/>
      <c r="Z36" s="3"/>
      <c r="AA36" s="45"/>
      <c r="AB36" s="303">
        <f>SUM(AB31+AB35)</f>
        <v>26353248.257419355</v>
      </c>
      <c r="AC36" s="290"/>
    </row>
    <row r="37" spans="1:29" ht="15.75" thickBot="1">
      <c r="A37" s="214"/>
      <c r="C37" s="216">
        <f>SUM(G37:K37)</f>
        <v>0.99998460579284021</v>
      </c>
      <c r="G37" s="229">
        <f>IF(C36&gt;0,G36/C36,0)</f>
        <v>0.17261524488335039</v>
      </c>
      <c r="H37" s="216"/>
      <c r="I37" s="229">
        <f>SUM(I36/C36)</f>
        <v>0.45666915539682423</v>
      </c>
      <c r="J37" s="216"/>
      <c r="K37" s="229">
        <f>SUM(K35/C36)</f>
        <v>0.37070020551266558</v>
      </c>
      <c r="L37" s="229"/>
      <c r="M37" s="229"/>
      <c r="N37" s="229"/>
      <c r="O37" s="229"/>
      <c r="P37" s="229"/>
      <c r="Q37" s="229"/>
      <c r="R37" s="229"/>
      <c r="S37" s="318"/>
      <c r="V37" s="233"/>
      <c r="W37" s="234"/>
      <c r="X37" s="234"/>
      <c r="Y37" s="234"/>
      <c r="Z37" s="234"/>
      <c r="AA37" s="234" t="s">
        <v>215</v>
      </c>
      <c r="AB37" s="303">
        <f>SUM(AB31/1507.5)</f>
        <v>15749.031573316215</v>
      </c>
      <c r="AC37" s="290"/>
    </row>
    <row r="38" spans="1:29" ht="15.75" thickBot="1">
      <c r="A38">
        <v>31</v>
      </c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V38" s="283"/>
      <c r="W38" s="223"/>
      <c r="X38" s="223"/>
      <c r="Y38" s="224"/>
      <c r="Z38" s="175"/>
      <c r="AA38" s="175"/>
      <c r="AB38" s="263"/>
      <c r="AC38" s="176"/>
    </row>
    <row r="39" spans="1:29">
      <c r="V39" s="221"/>
      <c r="W39" s="83">
        <f>AC30/1500</f>
        <v>4045.0033978494621</v>
      </c>
      <c r="Z39" s="40"/>
      <c r="AA39" s="304" t="s">
        <v>215</v>
      </c>
      <c r="AB39" s="305">
        <f>SUM(AB37)</f>
        <v>15749.031573316215</v>
      </c>
    </row>
    <row r="40" spans="1:29">
      <c r="V40" s="221"/>
      <c r="W40" s="83">
        <f>AB30/1500</f>
        <v>11782.773333333333</v>
      </c>
      <c r="Z40" s="310">
        <f>SUM(AB39)</f>
        <v>15749.031573316215</v>
      </c>
      <c r="AA40" s="305"/>
      <c r="AB40" s="305"/>
    </row>
    <row r="41" spans="1:29">
      <c r="V41" s="17"/>
      <c r="W41" s="83">
        <f>SUM(W39:W40)</f>
        <v>15827.776731182796</v>
      </c>
      <c r="Y41" s="83"/>
      <c r="Z41" s="310">
        <f>SUM(-tanks!AX37)*tanks!AU37</f>
        <v>14938.772233870961</v>
      </c>
      <c r="AA41" s="102">
        <f>SUM(AB31/A36)</f>
        <v>913140.96526054596</v>
      </c>
      <c r="AB41" s="369">
        <f>SUM(AA41*A38)</f>
        <v>28307369.923076924</v>
      </c>
    </row>
    <row r="42" spans="1:29" ht="18.75">
      <c r="W42" s="83">
        <f>AB30/1500</f>
        <v>11782.773333333333</v>
      </c>
      <c r="Z42" s="286">
        <f>SUM(Z40:Z41)</f>
        <v>30687.803807187178</v>
      </c>
      <c r="AA42" s="305">
        <f>SUM(AA41/1507.5)</f>
        <v>605.73198358908519</v>
      </c>
      <c r="AB42" s="368">
        <f>SUM(AB41/1507.5)</f>
        <v>18777.691491261641</v>
      </c>
    </row>
    <row r="43" spans="1:29">
      <c r="W43" s="83">
        <f>SUM(W41:W42)</f>
        <v>27610.55006451613</v>
      </c>
      <c r="Z43" s="311" t="e">
        <f>SUM(ELEC!#REF!)</f>
        <v>#REF!</v>
      </c>
    </row>
    <row r="44" spans="1:29">
      <c r="Z44" s="305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topLeftCell="A19" zoomScale="80" zoomScaleNormal="80" workbookViewId="0">
      <selection activeCell="Z19" sqref="Z19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44" t="s">
        <v>161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</row>
    <row r="2" spans="1:28" ht="19.5">
      <c r="A2" s="645"/>
      <c r="B2" s="645"/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5"/>
    </row>
    <row r="3" spans="1:28" ht="19.5">
      <c r="A3" s="645" t="s">
        <v>162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  <c r="R3" s="645"/>
      <c r="S3" s="645"/>
      <c r="T3" s="645"/>
      <c r="U3" s="645"/>
      <c r="V3" s="645"/>
      <c r="W3" s="645"/>
      <c r="X3" s="645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45" t="s">
        <v>413</v>
      </c>
      <c r="B5" s="645"/>
      <c r="C5" s="645"/>
      <c r="D5" s="645"/>
      <c r="E5" s="645"/>
      <c r="F5" s="645"/>
      <c r="G5" s="645"/>
      <c r="H5" s="645"/>
      <c r="I5" s="645"/>
      <c r="J5" s="645"/>
      <c r="K5" s="645"/>
      <c r="L5" s="645"/>
      <c r="M5" s="645"/>
      <c r="N5" s="645"/>
      <c r="O5" s="645"/>
      <c r="P5" s="645"/>
      <c r="Q5" s="645"/>
      <c r="R5" s="645"/>
      <c r="S5" s="645"/>
      <c r="T5" s="645"/>
      <c r="U5" s="645"/>
      <c r="V5" s="645"/>
      <c r="W5" s="645"/>
      <c r="X5" s="645"/>
    </row>
    <row r="6" spans="1:28" ht="15.75" thickBot="1">
      <c r="A6" s="646"/>
      <c r="B6" s="646"/>
      <c r="C6" s="646"/>
      <c r="D6" s="646"/>
      <c r="E6" s="646"/>
      <c r="F6" s="646"/>
      <c r="G6" s="646"/>
      <c r="H6" s="646"/>
      <c r="I6" s="646"/>
      <c r="J6" s="646"/>
      <c r="K6" s="646"/>
      <c r="L6" s="646"/>
      <c r="M6" s="646"/>
      <c r="N6" s="646"/>
      <c r="O6" s="646"/>
      <c r="P6" s="646"/>
      <c r="Q6" s="646"/>
      <c r="R6" s="646"/>
      <c r="S6" s="646"/>
      <c r="T6" s="646"/>
      <c r="U6" s="646"/>
      <c r="V6" s="646"/>
      <c r="W6" s="646"/>
      <c r="X6" s="646"/>
    </row>
    <row r="7" spans="1:28" ht="15.75" thickBot="1">
      <c r="A7" s="648" t="s">
        <v>163</v>
      </c>
      <c r="B7" s="649"/>
      <c r="C7" s="650" t="s">
        <v>164</v>
      </c>
      <c r="D7" s="651"/>
      <c r="E7" s="651"/>
      <c r="F7" s="651"/>
      <c r="G7" s="651"/>
      <c r="H7" s="651"/>
      <c r="I7" s="651"/>
      <c r="J7" s="651"/>
      <c r="K7" s="652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'General information '!B6</f>
        <v>16</v>
      </c>
      <c r="C10" s="279">
        <f>'General information '!C6</f>
        <v>11</v>
      </c>
      <c r="D10" s="120">
        <f t="shared" ref="D10:D40" si="0">(B10+C10)/2-18.3</f>
        <v>-4.8000000000000007</v>
      </c>
      <c r="E10" s="279"/>
      <c r="F10" s="279"/>
      <c r="G10" s="279"/>
      <c r="H10" s="120">
        <f t="shared" ref="H10:H40" si="1">(F10+G10)/2-18.3</f>
        <v>-18.3</v>
      </c>
      <c r="I10" s="279"/>
      <c r="J10" s="279"/>
      <c r="L10" s="120">
        <f t="shared" ref="L10:L40" si="2">(J10+K10)/2-18.3</f>
        <v>-18.3</v>
      </c>
      <c r="M10" s="279"/>
      <c r="N10" s="279"/>
      <c r="O10" s="279"/>
      <c r="P10" s="120">
        <f t="shared" ref="P10:P40" si="3">(N10+O10)/2-18.3</f>
        <v>-18.3</v>
      </c>
      <c r="Q10" s="279"/>
      <c r="R10" s="279"/>
      <c r="S10" s="279"/>
      <c r="T10" s="279"/>
      <c r="U10" s="279"/>
      <c r="V10" s="279"/>
      <c r="W10" s="279"/>
      <c r="X10" s="279"/>
      <c r="Z10" t="s">
        <v>165</v>
      </c>
      <c r="AA10" s="279">
        <f>'[6]Degree Days 2018'!AA10</f>
        <v>-116.79999999999994</v>
      </c>
      <c r="AB10" s="279">
        <f>'[6]Degree Days 2018'!AB10</f>
        <v>0</v>
      </c>
    </row>
    <row r="11" spans="1:28">
      <c r="A11" s="118">
        <v>2</v>
      </c>
      <c r="B11" s="279">
        <f>'General information '!B7</f>
        <v>17</v>
      </c>
      <c r="C11" s="279">
        <f>'General information '!C7</f>
        <v>12</v>
      </c>
      <c r="D11" s="120">
        <f t="shared" si="0"/>
        <v>-3.8000000000000007</v>
      </c>
      <c r="E11" s="279"/>
      <c r="F11" s="279"/>
      <c r="G11" s="279"/>
      <c r="H11" s="120">
        <f t="shared" si="1"/>
        <v>-18.3</v>
      </c>
      <c r="I11" s="279"/>
      <c r="J11" s="279"/>
      <c r="L11" s="120">
        <f t="shared" si="2"/>
        <v>-18.3</v>
      </c>
      <c r="M11" s="279"/>
      <c r="N11" s="279"/>
      <c r="O11" s="279"/>
      <c r="P11" s="120">
        <f t="shared" si="3"/>
        <v>-18.3</v>
      </c>
      <c r="Q11" s="279"/>
      <c r="R11" s="279"/>
      <c r="S11" s="279"/>
      <c r="T11" s="279"/>
      <c r="U11" s="279"/>
      <c r="V11" s="279"/>
      <c r="W11" s="279"/>
      <c r="X11" s="279"/>
      <c r="Z11" t="s">
        <v>169</v>
      </c>
      <c r="AA11" s="279">
        <f>'[6]Degree Days 2018'!AA11</f>
        <v>-100.69999999999997</v>
      </c>
      <c r="AB11" s="279">
        <f>'[6]Degree Days 2018'!AB11</f>
        <v>2.2999999999999972</v>
      </c>
    </row>
    <row r="12" spans="1:28">
      <c r="A12" s="118">
        <v>3</v>
      </c>
      <c r="B12" s="279">
        <f>'General information '!B8</f>
        <v>16</v>
      </c>
      <c r="C12" s="279">
        <f>'General information '!C8</f>
        <v>12</v>
      </c>
      <c r="D12" s="120">
        <f t="shared" si="0"/>
        <v>-4.3000000000000007</v>
      </c>
      <c r="E12" s="279"/>
      <c r="F12" s="279"/>
      <c r="G12" s="279"/>
      <c r="H12" s="120">
        <f t="shared" si="1"/>
        <v>-18.3</v>
      </c>
      <c r="I12" s="279"/>
      <c r="J12" s="279"/>
      <c r="L12" s="120">
        <f t="shared" si="2"/>
        <v>-18.3</v>
      </c>
      <c r="M12" s="279"/>
      <c r="N12" s="279"/>
      <c r="O12" s="279"/>
      <c r="P12" s="120">
        <f t="shared" si="3"/>
        <v>-18.3</v>
      </c>
      <c r="Q12" s="279"/>
      <c r="R12" s="279"/>
      <c r="S12" s="279"/>
      <c r="T12" s="279"/>
      <c r="U12" s="279"/>
      <c r="V12" s="279"/>
      <c r="W12" s="279"/>
      <c r="X12" s="279"/>
      <c r="Z12" t="s">
        <v>170</v>
      </c>
      <c r="AA12" s="279">
        <f>'[6]Degree Days 2018'!AA12</f>
        <v>-87.799999999999955</v>
      </c>
      <c r="AB12" s="279">
        <f>'[6]Degree Days 2018'!AB12</f>
        <v>0</v>
      </c>
    </row>
    <row r="13" spans="1:28">
      <c r="A13" s="118">
        <v>4</v>
      </c>
      <c r="B13" s="279">
        <f>'General information '!B9</f>
        <v>15</v>
      </c>
      <c r="C13" s="279">
        <f>'General information '!C9</f>
        <v>11</v>
      </c>
      <c r="D13" s="120">
        <f t="shared" si="0"/>
        <v>-5.3000000000000007</v>
      </c>
      <c r="E13" s="279"/>
      <c r="F13" s="279"/>
      <c r="G13" s="279"/>
      <c r="H13" s="120">
        <f t="shared" si="1"/>
        <v>-18.3</v>
      </c>
      <c r="I13" s="279"/>
      <c r="J13" s="279"/>
      <c r="L13" s="120">
        <f t="shared" si="2"/>
        <v>-18.3</v>
      </c>
      <c r="M13" s="279"/>
      <c r="N13" s="279"/>
      <c r="O13" s="279"/>
      <c r="P13" s="120">
        <f t="shared" si="3"/>
        <v>-18.3</v>
      </c>
      <c r="Q13" s="279"/>
      <c r="R13" s="279"/>
      <c r="S13" s="279"/>
      <c r="T13" s="279"/>
      <c r="U13" s="279"/>
      <c r="V13" s="279"/>
      <c r="W13" s="279"/>
      <c r="X13" s="279"/>
      <c r="Z13" t="s">
        <v>171</v>
      </c>
      <c r="AA13" s="279">
        <f>'[6]Degree Days 2018'!AA13</f>
        <v>-38.700000000000003</v>
      </c>
      <c r="AB13" s="279">
        <f>'[6]Degree Days 2018'!AB13</f>
        <v>33.199999999999989</v>
      </c>
    </row>
    <row r="14" spans="1:28">
      <c r="A14" s="118">
        <v>5</v>
      </c>
      <c r="B14" s="279">
        <f>'General information '!B10</f>
        <v>15</v>
      </c>
      <c r="C14" s="279">
        <f>'General information '!C10</f>
        <v>11</v>
      </c>
      <c r="D14" s="120">
        <f t="shared" si="0"/>
        <v>-5.3000000000000007</v>
      </c>
      <c r="E14" s="279"/>
      <c r="F14" s="279"/>
      <c r="G14" s="279"/>
      <c r="H14" s="120">
        <f t="shared" si="1"/>
        <v>-18.3</v>
      </c>
      <c r="I14" s="279"/>
      <c r="J14" s="279"/>
      <c r="L14" s="120">
        <f t="shared" si="2"/>
        <v>-18.3</v>
      </c>
      <c r="M14" s="279"/>
      <c r="N14" s="279"/>
      <c r="O14" s="279"/>
      <c r="P14" s="120">
        <f t="shared" si="3"/>
        <v>-18.3</v>
      </c>
      <c r="Q14" s="279"/>
      <c r="R14" s="279"/>
      <c r="S14" s="279"/>
      <c r="T14" s="279"/>
      <c r="U14" s="279"/>
      <c r="V14" s="279"/>
      <c r="W14" s="279"/>
      <c r="X14" s="279"/>
      <c r="Z14" t="s">
        <v>172</v>
      </c>
      <c r="AA14" s="279">
        <f>'[6]Degree Days 2018'!AA14</f>
        <v>-18.3</v>
      </c>
      <c r="AB14" s="279">
        <f>'[6]Degree Days 2018'!AB14</f>
        <v>151</v>
      </c>
    </row>
    <row r="15" spans="1:28">
      <c r="A15" s="118">
        <v>6</v>
      </c>
      <c r="B15" s="279">
        <f>'General information '!B11</f>
        <v>16</v>
      </c>
      <c r="C15" s="279">
        <f>'General information '!C11</f>
        <v>12</v>
      </c>
      <c r="D15" s="120">
        <f t="shared" si="0"/>
        <v>-4.3000000000000007</v>
      </c>
      <c r="E15" s="279"/>
      <c r="F15" s="279"/>
      <c r="G15" s="279"/>
      <c r="H15" s="120">
        <f t="shared" si="1"/>
        <v>-18.3</v>
      </c>
      <c r="I15" s="279"/>
      <c r="J15" s="279"/>
      <c r="L15" s="120">
        <f t="shared" si="2"/>
        <v>-18.3</v>
      </c>
      <c r="M15" s="279"/>
      <c r="N15" s="279"/>
      <c r="O15" s="279"/>
      <c r="P15" s="120">
        <f t="shared" si="3"/>
        <v>-18.3</v>
      </c>
      <c r="Q15" s="279"/>
      <c r="R15" s="279"/>
      <c r="S15" s="279"/>
      <c r="T15" s="279"/>
      <c r="U15" s="279"/>
      <c r="V15" s="279"/>
      <c r="W15" s="279"/>
      <c r="X15" s="279"/>
      <c r="Z15" t="s">
        <v>173</v>
      </c>
      <c r="AA15" s="279">
        <f>'[6]Degree Days 2018'!AA15</f>
        <v>-0.30000000000000071</v>
      </c>
      <c r="AB15" s="279">
        <f>'[6]Degree Days 2018'!AB15</f>
        <v>108.30000000000005</v>
      </c>
    </row>
    <row r="16" spans="1:28">
      <c r="A16" s="118">
        <v>7</v>
      </c>
      <c r="B16" s="279">
        <f>'General information '!B12</f>
        <v>16</v>
      </c>
      <c r="C16" s="279">
        <f>'General information '!C12</f>
        <v>12</v>
      </c>
      <c r="D16" s="120">
        <f t="shared" si="0"/>
        <v>-4.3000000000000007</v>
      </c>
      <c r="E16" s="279"/>
      <c r="F16" s="279"/>
      <c r="G16" s="279"/>
      <c r="H16" s="120">
        <f t="shared" si="1"/>
        <v>-18.3</v>
      </c>
      <c r="I16" s="279"/>
      <c r="J16" s="279"/>
      <c r="L16" s="120">
        <f t="shared" si="2"/>
        <v>-18.3</v>
      </c>
      <c r="M16" s="279"/>
      <c r="N16" s="279"/>
      <c r="O16" s="279"/>
      <c r="P16" s="120">
        <f t="shared" si="3"/>
        <v>-18.3</v>
      </c>
      <c r="Q16" s="279"/>
      <c r="R16" s="279"/>
      <c r="S16" s="279"/>
      <c r="T16" s="279"/>
      <c r="U16" s="279"/>
      <c r="V16" s="279"/>
      <c r="W16" s="279"/>
      <c r="X16" s="279"/>
      <c r="Z16" t="s">
        <v>176</v>
      </c>
      <c r="AA16" s="279">
        <f>'[6]Degree Days 2018'!AA16</f>
        <v>31</v>
      </c>
      <c r="AB16" s="279">
        <f>'[6]Degree Days 2018'!AB16</f>
        <v>26</v>
      </c>
    </row>
    <row r="17" spans="1:28">
      <c r="A17" s="118">
        <v>8</v>
      </c>
      <c r="B17" s="279">
        <f>'General information '!B13</f>
        <v>14</v>
      </c>
      <c r="C17" s="279">
        <f>'General information '!C13</f>
        <v>11</v>
      </c>
      <c r="D17" s="120">
        <f t="shared" si="0"/>
        <v>-5.8000000000000007</v>
      </c>
      <c r="E17" s="279"/>
      <c r="F17" s="279"/>
      <c r="G17" s="279"/>
      <c r="H17" s="120">
        <f t="shared" si="1"/>
        <v>-18.3</v>
      </c>
      <c r="I17" s="279"/>
      <c r="J17" s="279"/>
      <c r="L17" s="120">
        <f t="shared" si="2"/>
        <v>-18.3</v>
      </c>
      <c r="M17" s="279"/>
      <c r="N17" s="279"/>
      <c r="O17" s="279"/>
      <c r="P17" s="120">
        <f t="shared" si="3"/>
        <v>-18.3</v>
      </c>
      <c r="Q17" s="279"/>
      <c r="R17" s="279"/>
      <c r="S17" s="279"/>
      <c r="T17" s="279"/>
      <c r="U17" s="279"/>
      <c r="V17" s="279"/>
      <c r="W17" s="279"/>
      <c r="X17" s="279"/>
      <c r="Z17" t="s">
        <v>177</v>
      </c>
      <c r="AA17" s="279">
        <f>'[6]Degree Days 2018'!AA17</f>
        <v>31</v>
      </c>
      <c r="AB17" s="279">
        <f>'[6]Degree Days 2018'!AB17</f>
        <v>27</v>
      </c>
    </row>
    <row r="18" spans="1:28">
      <c r="A18" s="118">
        <v>9</v>
      </c>
      <c r="B18" s="279">
        <f>'General information '!B14</f>
        <v>14</v>
      </c>
      <c r="C18" s="279">
        <f>'General information '!C14</f>
        <v>11</v>
      </c>
      <c r="D18" s="120">
        <f t="shared" si="0"/>
        <v>-5.8000000000000007</v>
      </c>
      <c r="E18" s="279"/>
      <c r="F18" s="279"/>
      <c r="G18" s="279"/>
      <c r="H18" s="120">
        <f t="shared" si="1"/>
        <v>-18.3</v>
      </c>
      <c r="I18" s="279"/>
      <c r="J18" s="279"/>
      <c r="L18" s="120">
        <f t="shared" si="2"/>
        <v>-18.3</v>
      </c>
      <c r="M18" s="279"/>
      <c r="N18" s="279"/>
      <c r="O18" s="279"/>
      <c r="P18" s="120">
        <f t="shared" si="3"/>
        <v>-18.3</v>
      </c>
      <c r="Q18" s="279"/>
      <c r="R18" s="279"/>
      <c r="S18" s="279"/>
      <c r="T18" s="279"/>
      <c r="U18" s="279"/>
      <c r="V18" s="279"/>
      <c r="W18" s="279"/>
      <c r="X18" s="279"/>
      <c r="Z18" t="s">
        <v>178</v>
      </c>
      <c r="AA18" s="279">
        <f>'[6]Degree Days 2018'!AA18</f>
        <v>31</v>
      </c>
      <c r="AB18" s="279">
        <f>'[6]Degree Days 2018'!AB18</f>
        <v>26</v>
      </c>
    </row>
    <row r="19" spans="1:28">
      <c r="A19" s="118">
        <v>10</v>
      </c>
      <c r="B19" s="279">
        <f>'General information '!B15</f>
        <v>17</v>
      </c>
      <c r="C19" s="279">
        <f>'General information '!C15</f>
        <v>12</v>
      </c>
      <c r="D19" s="120">
        <f t="shared" si="0"/>
        <v>-3.8000000000000007</v>
      </c>
      <c r="E19" s="279"/>
      <c r="F19" s="279"/>
      <c r="G19" s="279"/>
      <c r="H19" s="120">
        <f t="shared" si="1"/>
        <v>-18.3</v>
      </c>
      <c r="I19" s="279"/>
      <c r="J19" s="279"/>
      <c r="L19" s="120">
        <f t="shared" si="2"/>
        <v>-18.3</v>
      </c>
      <c r="M19" s="279"/>
      <c r="N19" s="279"/>
      <c r="O19" s="279"/>
      <c r="P19" s="120">
        <f t="shared" si="3"/>
        <v>-18.3</v>
      </c>
      <c r="Q19" s="279"/>
      <c r="R19" s="279"/>
      <c r="S19" s="279"/>
      <c r="T19" s="279"/>
      <c r="U19" s="279"/>
      <c r="V19" s="279"/>
      <c r="W19" s="279"/>
      <c r="X19" s="279"/>
      <c r="Z19" t="s">
        <v>179</v>
      </c>
      <c r="AA19" s="279">
        <f>'[6]Degree Days 2018'!AA19</f>
        <v>32</v>
      </c>
      <c r="AB19" s="279">
        <f>'[6]Degree Days 2018'!AB19</f>
        <v>26</v>
      </c>
    </row>
    <row r="20" spans="1:28">
      <c r="A20" s="118">
        <v>11</v>
      </c>
      <c r="B20" s="279">
        <f>'General information '!B16</f>
        <v>17</v>
      </c>
      <c r="C20" s="279">
        <f>'General information '!C16</f>
        <v>13</v>
      </c>
      <c r="D20" s="120">
        <f t="shared" si="0"/>
        <v>-3.3000000000000007</v>
      </c>
      <c r="E20" s="279"/>
      <c r="F20" s="279"/>
      <c r="G20" s="279"/>
      <c r="H20" s="120">
        <f t="shared" si="1"/>
        <v>-18.3</v>
      </c>
      <c r="I20" s="279"/>
      <c r="J20" s="279"/>
      <c r="L20" s="120">
        <f t="shared" si="2"/>
        <v>-18.3</v>
      </c>
      <c r="M20" s="279"/>
      <c r="N20" s="279"/>
      <c r="O20" s="279"/>
      <c r="P20" s="120">
        <f t="shared" si="3"/>
        <v>-18.3</v>
      </c>
      <c r="Q20" s="279"/>
      <c r="R20" s="279"/>
      <c r="S20" s="279"/>
      <c r="T20" s="279"/>
      <c r="U20" s="279"/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'General information '!B17</f>
        <v>16</v>
      </c>
      <c r="C21" s="279">
        <f>'General information '!C17</f>
        <v>12</v>
      </c>
      <c r="D21" s="120">
        <f t="shared" si="0"/>
        <v>-4.3000000000000007</v>
      </c>
      <c r="E21" s="279"/>
      <c r="F21" s="279"/>
      <c r="G21" s="279"/>
      <c r="H21" s="120">
        <f t="shared" si="1"/>
        <v>-18.3</v>
      </c>
      <c r="I21" s="279"/>
      <c r="J21" s="279"/>
      <c r="L21" s="120">
        <f t="shared" si="2"/>
        <v>-18.3</v>
      </c>
      <c r="M21" s="279"/>
      <c r="N21" s="279"/>
      <c r="O21" s="279"/>
      <c r="P21" s="120">
        <f t="shared" si="3"/>
        <v>-18.3</v>
      </c>
      <c r="Q21" s="279"/>
      <c r="R21" s="279"/>
      <c r="S21" s="279"/>
      <c r="T21" s="279"/>
      <c r="U21" s="279"/>
      <c r="V21" s="279"/>
      <c r="W21" s="279"/>
      <c r="X21" s="279"/>
      <c r="Z21" t="s">
        <v>181</v>
      </c>
      <c r="AA21" s="135">
        <f t="shared" ref="AA21" si="4">SUM(B54)</f>
        <v>0</v>
      </c>
      <c r="AB21" s="135">
        <f t="shared" ref="AB21" si="5">SUM(C54)</f>
        <v>0</v>
      </c>
    </row>
    <row r="22" spans="1:28">
      <c r="A22" s="118">
        <v>13</v>
      </c>
      <c r="B22" s="279">
        <f>'General information '!B18</f>
        <v>17</v>
      </c>
      <c r="C22" s="279">
        <f>'General information '!C18</f>
        <v>13</v>
      </c>
      <c r="D22" s="120">
        <f t="shared" si="0"/>
        <v>-3.3000000000000007</v>
      </c>
      <c r="E22" s="279"/>
      <c r="F22" s="279"/>
      <c r="G22" s="279"/>
      <c r="H22" s="120">
        <f t="shared" si="1"/>
        <v>-18.3</v>
      </c>
      <c r="I22" s="279"/>
      <c r="J22" s="279"/>
      <c r="L22" s="120">
        <f t="shared" si="2"/>
        <v>-18.3</v>
      </c>
      <c r="M22" s="279"/>
      <c r="N22" s="279"/>
      <c r="O22" s="279"/>
      <c r="P22" s="120">
        <f t="shared" si="3"/>
        <v>-18.3</v>
      </c>
      <c r="Q22" s="279"/>
      <c r="R22" s="279"/>
      <c r="S22" s="279"/>
      <c r="T22" s="279"/>
      <c r="U22" s="279"/>
      <c r="V22" s="279"/>
      <c r="W22" s="279"/>
      <c r="X22" s="279"/>
    </row>
    <row r="23" spans="1:28">
      <c r="A23" s="118">
        <v>14</v>
      </c>
      <c r="B23" s="279">
        <f>'General information '!B19</f>
        <v>16</v>
      </c>
      <c r="C23" s="279">
        <f>'General information '!C19</f>
        <v>12</v>
      </c>
      <c r="D23" s="120">
        <f t="shared" si="0"/>
        <v>-4.3000000000000007</v>
      </c>
      <c r="E23" s="279"/>
      <c r="F23" s="279"/>
      <c r="G23" s="279"/>
      <c r="H23" s="120">
        <f t="shared" si="1"/>
        <v>-18.3</v>
      </c>
      <c r="I23" s="279"/>
      <c r="J23" s="279"/>
      <c r="L23" s="120">
        <f t="shared" si="2"/>
        <v>-18.3</v>
      </c>
      <c r="M23" s="279"/>
      <c r="N23" s="279"/>
      <c r="O23" s="279"/>
      <c r="P23" s="120">
        <f t="shared" si="3"/>
        <v>-18.3</v>
      </c>
      <c r="Q23" s="279"/>
      <c r="R23" s="279"/>
      <c r="S23" s="279"/>
      <c r="T23" s="279"/>
      <c r="U23" s="279"/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'General information '!B20</f>
        <v>17</v>
      </c>
      <c r="C24" s="279">
        <f>'General information '!C20</f>
        <v>13</v>
      </c>
      <c r="D24" s="120">
        <f t="shared" si="0"/>
        <v>-3.3000000000000007</v>
      </c>
      <c r="E24" s="279"/>
      <c r="F24" s="279"/>
      <c r="G24" s="279"/>
      <c r="H24" s="120">
        <f t="shared" si="1"/>
        <v>-18.3</v>
      </c>
      <c r="I24" s="279"/>
      <c r="J24" s="279"/>
      <c r="L24" s="120">
        <f t="shared" si="2"/>
        <v>-18.3</v>
      </c>
      <c r="M24" s="279"/>
      <c r="N24" s="279"/>
      <c r="O24" s="279"/>
      <c r="P24" s="120">
        <f t="shared" si="3"/>
        <v>-18.3</v>
      </c>
      <c r="Q24" s="279"/>
      <c r="R24" s="279"/>
      <c r="S24" s="279"/>
      <c r="T24" s="279"/>
      <c r="U24" s="279"/>
      <c r="V24" s="279"/>
      <c r="W24" s="279"/>
      <c r="X24" s="279"/>
    </row>
    <row r="25" spans="1:28">
      <c r="A25" s="118">
        <v>16</v>
      </c>
      <c r="B25" s="279">
        <f>'General information '!B21</f>
        <v>19</v>
      </c>
      <c r="C25" s="279">
        <f>'General information '!C21</f>
        <v>13</v>
      </c>
      <c r="D25" s="120">
        <f t="shared" si="0"/>
        <v>-2.3000000000000007</v>
      </c>
      <c r="E25" s="279"/>
      <c r="F25" s="279"/>
      <c r="G25" s="279"/>
      <c r="H25" s="120">
        <f t="shared" si="1"/>
        <v>-18.3</v>
      </c>
      <c r="I25" s="279"/>
      <c r="J25" s="279"/>
      <c r="L25" s="120">
        <f t="shared" si="2"/>
        <v>-18.3</v>
      </c>
      <c r="M25" s="279"/>
      <c r="N25" s="279"/>
      <c r="O25" s="279"/>
      <c r="P25" s="120">
        <f t="shared" si="3"/>
        <v>-18.3</v>
      </c>
      <c r="Q25" s="279"/>
      <c r="R25" s="279"/>
      <c r="S25" s="279"/>
      <c r="T25" s="279"/>
      <c r="U25" s="279"/>
      <c r="V25" s="279"/>
      <c r="W25" s="279"/>
      <c r="X25" s="279"/>
    </row>
    <row r="26" spans="1:28">
      <c r="A26" s="118">
        <v>17</v>
      </c>
      <c r="B26" s="279">
        <f>'General information '!B22</f>
        <v>20</v>
      </c>
      <c r="C26" s="279">
        <f>'General information '!C22</f>
        <v>13</v>
      </c>
      <c r="D26" s="120">
        <f t="shared" si="0"/>
        <v>-1.8000000000000007</v>
      </c>
      <c r="E26" s="279"/>
      <c r="F26" s="279"/>
      <c r="G26" s="279"/>
      <c r="H26" s="120">
        <f t="shared" si="1"/>
        <v>-18.3</v>
      </c>
      <c r="I26" s="279"/>
      <c r="J26" s="279"/>
      <c r="L26" s="120">
        <f t="shared" si="2"/>
        <v>-18.3</v>
      </c>
      <c r="M26" s="279"/>
      <c r="N26" s="279"/>
      <c r="O26" s="279"/>
      <c r="P26" s="120">
        <f t="shared" si="3"/>
        <v>-18.3</v>
      </c>
      <c r="Q26" s="279"/>
      <c r="R26" s="279"/>
      <c r="S26" s="279"/>
      <c r="T26" s="279"/>
      <c r="U26" s="279"/>
      <c r="V26" s="279"/>
      <c r="W26" s="279"/>
      <c r="X26" s="279"/>
    </row>
    <row r="27" spans="1:28">
      <c r="A27" s="118">
        <v>18</v>
      </c>
      <c r="B27" s="279">
        <f>'General information '!B23</f>
        <v>14</v>
      </c>
      <c r="C27" s="279">
        <f>'General information '!C23</f>
        <v>13</v>
      </c>
      <c r="D27" s="120">
        <f t="shared" si="0"/>
        <v>-4.8000000000000007</v>
      </c>
      <c r="E27" s="279"/>
      <c r="F27" s="279"/>
      <c r="G27" s="279"/>
      <c r="H27" s="120">
        <f t="shared" si="1"/>
        <v>-18.3</v>
      </c>
      <c r="I27" s="279"/>
      <c r="J27" s="279"/>
      <c r="L27" s="120">
        <f t="shared" si="2"/>
        <v>-18.3</v>
      </c>
      <c r="M27" s="279"/>
      <c r="N27" s="279"/>
      <c r="O27" s="279"/>
      <c r="P27" s="120">
        <f t="shared" si="3"/>
        <v>-18.3</v>
      </c>
      <c r="Q27" s="279"/>
      <c r="R27" s="279"/>
      <c r="S27" s="279"/>
      <c r="T27" s="279"/>
      <c r="U27" s="279"/>
      <c r="V27" s="279"/>
      <c r="W27" s="279"/>
      <c r="X27" s="279"/>
    </row>
    <row r="28" spans="1:28">
      <c r="A28" s="118">
        <v>19</v>
      </c>
      <c r="B28" s="279">
        <f>'General information '!B24</f>
        <v>15</v>
      </c>
      <c r="C28" s="279">
        <f>'General information '!C24</f>
        <v>13</v>
      </c>
      <c r="D28" s="120">
        <f t="shared" si="0"/>
        <v>-4.3000000000000007</v>
      </c>
      <c r="E28" s="279"/>
      <c r="F28" s="279"/>
      <c r="G28" s="279"/>
      <c r="H28" s="120">
        <f t="shared" si="1"/>
        <v>-18.3</v>
      </c>
      <c r="I28" s="279"/>
      <c r="J28" s="279"/>
      <c r="L28" s="120">
        <f t="shared" si="2"/>
        <v>-18.3</v>
      </c>
      <c r="M28" s="279"/>
      <c r="N28" s="279"/>
      <c r="O28" s="279"/>
      <c r="P28" s="120">
        <f t="shared" si="3"/>
        <v>-18.3</v>
      </c>
      <c r="Q28" s="279"/>
      <c r="R28" s="279"/>
      <c r="S28" s="279"/>
      <c r="T28" s="279"/>
      <c r="U28" s="279"/>
      <c r="V28" s="279"/>
      <c r="W28" s="279"/>
      <c r="X28" s="279"/>
    </row>
    <row r="29" spans="1:28">
      <c r="A29" s="118">
        <v>20</v>
      </c>
      <c r="B29" s="279">
        <f>'General information '!B25</f>
        <v>15</v>
      </c>
      <c r="C29" s="279">
        <f>'General information '!C25</f>
        <v>10</v>
      </c>
      <c r="D29" s="120">
        <f t="shared" si="0"/>
        <v>-5.8000000000000007</v>
      </c>
      <c r="E29" s="279"/>
      <c r="F29" s="279"/>
      <c r="G29" s="279"/>
      <c r="H29" s="120">
        <f t="shared" si="1"/>
        <v>-18.3</v>
      </c>
      <c r="I29" s="279"/>
      <c r="J29" s="279"/>
      <c r="L29" s="120">
        <f t="shared" si="2"/>
        <v>-18.3</v>
      </c>
      <c r="M29" s="279"/>
      <c r="N29" s="279"/>
      <c r="O29" s="279"/>
      <c r="P29" s="120">
        <f t="shared" si="3"/>
        <v>-18.3</v>
      </c>
      <c r="Q29" s="279"/>
      <c r="R29" s="279"/>
      <c r="S29" s="279"/>
      <c r="T29" s="279"/>
      <c r="U29" s="279"/>
      <c r="V29" s="279"/>
      <c r="W29" s="279"/>
      <c r="X29" s="279"/>
    </row>
    <row r="30" spans="1:28">
      <c r="A30" s="118">
        <v>21</v>
      </c>
      <c r="B30" s="279">
        <f>'General information '!B26</f>
        <v>13</v>
      </c>
      <c r="C30" s="279">
        <f>'General information '!C26</f>
        <v>9</v>
      </c>
      <c r="D30" s="120">
        <f t="shared" si="0"/>
        <v>-7.3000000000000007</v>
      </c>
      <c r="E30" s="279"/>
      <c r="F30" s="279"/>
      <c r="G30" s="279"/>
      <c r="H30" s="120">
        <f t="shared" si="1"/>
        <v>-18.3</v>
      </c>
      <c r="I30" s="279"/>
      <c r="J30" s="279"/>
      <c r="L30" s="120">
        <f t="shared" si="2"/>
        <v>-18.3</v>
      </c>
      <c r="M30" s="279"/>
      <c r="N30" s="279"/>
      <c r="O30" s="279"/>
      <c r="P30" s="120">
        <f t="shared" si="3"/>
        <v>-18.3</v>
      </c>
      <c r="Q30" s="279"/>
      <c r="R30" s="279"/>
      <c r="S30" s="279"/>
      <c r="T30" s="279"/>
      <c r="U30" s="279"/>
      <c r="V30" s="279"/>
      <c r="W30" s="279"/>
      <c r="X30" s="279"/>
    </row>
    <row r="31" spans="1:28">
      <c r="A31" s="118">
        <v>22</v>
      </c>
      <c r="B31" s="279">
        <f>'General information '!B27</f>
        <v>14</v>
      </c>
      <c r="C31" s="279">
        <f>'General information '!C27</f>
        <v>10</v>
      </c>
      <c r="D31" s="120">
        <f t="shared" si="0"/>
        <v>-6.3000000000000007</v>
      </c>
      <c r="E31" s="279"/>
      <c r="F31" s="279"/>
      <c r="G31" s="279"/>
      <c r="H31" s="120">
        <f t="shared" si="1"/>
        <v>-18.3</v>
      </c>
      <c r="I31" s="279"/>
      <c r="J31" s="279"/>
      <c r="L31" s="120">
        <f t="shared" si="2"/>
        <v>-18.3</v>
      </c>
      <c r="M31" s="279"/>
      <c r="N31" s="279"/>
      <c r="O31" s="279"/>
      <c r="P31" s="120">
        <f t="shared" si="3"/>
        <v>-18.3</v>
      </c>
      <c r="Q31" s="279"/>
      <c r="R31" s="279"/>
      <c r="S31" s="279"/>
      <c r="T31" s="279"/>
      <c r="U31" s="279"/>
      <c r="V31" s="279"/>
      <c r="W31" s="279"/>
      <c r="X31" s="279"/>
    </row>
    <row r="32" spans="1:28">
      <c r="A32" s="118">
        <v>23</v>
      </c>
      <c r="B32" s="279">
        <f>'General information '!B28</f>
        <v>13</v>
      </c>
      <c r="C32" s="279">
        <f>'General information '!C28</f>
        <v>7</v>
      </c>
      <c r="D32" s="120">
        <f t="shared" si="0"/>
        <v>-8.3000000000000007</v>
      </c>
      <c r="E32" s="279"/>
      <c r="F32" s="279"/>
      <c r="G32" s="279"/>
      <c r="H32" s="120">
        <f t="shared" si="1"/>
        <v>-18.3</v>
      </c>
      <c r="I32" s="279"/>
      <c r="J32" s="279"/>
      <c r="L32" s="120">
        <f t="shared" si="2"/>
        <v>-18.3</v>
      </c>
      <c r="M32" s="279"/>
      <c r="N32" s="279"/>
      <c r="O32" s="279"/>
      <c r="P32" s="120">
        <f t="shared" si="3"/>
        <v>-18.3</v>
      </c>
      <c r="Q32" s="279"/>
      <c r="R32" s="279"/>
      <c r="S32" s="279"/>
      <c r="T32" s="279"/>
      <c r="U32" s="279"/>
      <c r="V32" s="279"/>
      <c r="W32" s="279"/>
      <c r="X32" s="279"/>
    </row>
    <row r="33" spans="1:24">
      <c r="A33" s="118">
        <v>24</v>
      </c>
      <c r="B33" s="279">
        <f>'General information '!B29</f>
        <v>14</v>
      </c>
      <c r="C33" s="279">
        <f>'General information '!C29</f>
        <v>8</v>
      </c>
      <c r="D33" s="120">
        <f t="shared" si="0"/>
        <v>-7.3000000000000007</v>
      </c>
      <c r="E33" s="279"/>
      <c r="F33" s="279"/>
      <c r="G33" s="279"/>
      <c r="H33" s="120">
        <f t="shared" si="1"/>
        <v>-18.3</v>
      </c>
      <c r="I33" s="279"/>
      <c r="J33" s="279"/>
      <c r="L33" s="120">
        <f t="shared" si="2"/>
        <v>-18.3</v>
      </c>
      <c r="M33" s="279"/>
      <c r="N33" s="279"/>
      <c r="O33" s="279"/>
      <c r="P33" s="120">
        <f t="shared" si="3"/>
        <v>-18.3</v>
      </c>
      <c r="Q33" s="279"/>
      <c r="R33" s="279"/>
      <c r="S33" s="279"/>
      <c r="T33" s="279"/>
      <c r="U33" s="279"/>
      <c r="V33" s="279"/>
      <c r="W33" s="279"/>
      <c r="X33" s="279"/>
    </row>
    <row r="34" spans="1:24">
      <c r="A34" s="118">
        <v>25</v>
      </c>
      <c r="B34" s="279">
        <f>'General information '!B30</f>
        <v>16</v>
      </c>
      <c r="C34" s="279">
        <f>'General information '!C30</f>
        <v>10</v>
      </c>
      <c r="D34" s="120">
        <f t="shared" si="0"/>
        <v>-5.3000000000000007</v>
      </c>
      <c r="E34" s="279"/>
      <c r="F34" s="279"/>
      <c r="G34" s="279"/>
      <c r="H34" s="120">
        <f t="shared" si="1"/>
        <v>-18.3</v>
      </c>
      <c r="I34" s="279"/>
      <c r="J34" s="279"/>
      <c r="L34" s="120">
        <f t="shared" si="2"/>
        <v>-18.3</v>
      </c>
      <c r="M34" s="279"/>
      <c r="N34" s="279"/>
      <c r="O34" s="279"/>
      <c r="P34" s="120">
        <f t="shared" si="3"/>
        <v>-18.3</v>
      </c>
      <c r="Q34" s="279"/>
      <c r="R34" s="279"/>
      <c r="S34" s="279"/>
      <c r="T34" s="279"/>
      <c r="U34" s="279"/>
      <c r="V34" s="279"/>
      <c r="W34" s="279"/>
      <c r="X34" s="279"/>
    </row>
    <row r="35" spans="1:24">
      <c r="A35" s="118">
        <v>26</v>
      </c>
      <c r="B35" s="279">
        <f>'General information '!B31</f>
        <v>15</v>
      </c>
      <c r="C35" s="279">
        <f>'General information '!C31</f>
        <v>9</v>
      </c>
      <c r="D35" s="120">
        <f t="shared" si="0"/>
        <v>-6.3000000000000007</v>
      </c>
      <c r="E35" s="279"/>
      <c r="F35" s="279"/>
      <c r="G35" s="279"/>
      <c r="H35" s="120">
        <f t="shared" si="1"/>
        <v>-18.3</v>
      </c>
      <c r="I35" s="279"/>
      <c r="J35" s="279"/>
      <c r="L35" s="120">
        <f t="shared" si="2"/>
        <v>-18.3</v>
      </c>
      <c r="M35" s="279"/>
      <c r="N35" s="279"/>
      <c r="O35" s="279"/>
      <c r="P35" s="120">
        <f t="shared" si="3"/>
        <v>-18.3</v>
      </c>
      <c r="Q35" s="279"/>
      <c r="R35" s="279"/>
      <c r="S35" s="279"/>
      <c r="T35" s="279"/>
      <c r="U35" s="279"/>
      <c r="V35" s="279"/>
      <c r="W35" s="279"/>
      <c r="X35" s="279"/>
    </row>
    <row r="36" spans="1:24">
      <c r="A36" s="118">
        <v>27</v>
      </c>
      <c r="B36" s="279">
        <f>'General information '!B32</f>
        <v>0</v>
      </c>
      <c r="C36" s="279">
        <f>'General information '!C32</f>
        <v>0</v>
      </c>
      <c r="D36" s="120">
        <f t="shared" si="0"/>
        <v>-18.3</v>
      </c>
      <c r="E36" s="279"/>
      <c r="F36" s="279"/>
      <c r="G36" s="279"/>
      <c r="H36" s="120">
        <f t="shared" si="1"/>
        <v>-18.3</v>
      </c>
      <c r="I36" s="279"/>
      <c r="J36" s="279"/>
      <c r="L36" s="120">
        <f t="shared" si="2"/>
        <v>-18.3</v>
      </c>
      <c r="M36" s="279"/>
      <c r="N36" s="279"/>
      <c r="O36" s="279"/>
      <c r="P36" s="120">
        <f t="shared" si="3"/>
        <v>-18.3</v>
      </c>
      <c r="Q36" s="279"/>
      <c r="R36" s="279"/>
      <c r="S36" s="279"/>
      <c r="T36" s="279"/>
      <c r="U36" s="279"/>
      <c r="V36" s="279"/>
      <c r="W36" s="279"/>
      <c r="X36" s="279"/>
    </row>
    <row r="37" spans="1:24">
      <c r="A37" s="118">
        <v>28</v>
      </c>
      <c r="B37" s="279">
        <f>'General information '!B33</f>
        <v>0</v>
      </c>
      <c r="C37" s="279">
        <f>'General information '!C33</f>
        <v>0</v>
      </c>
      <c r="D37" s="120">
        <f t="shared" si="0"/>
        <v>-18.3</v>
      </c>
      <c r="E37" s="279"/>
      <c r="F37" s="279"/>
      <c r="G37" s="279"/>
      <c r="H37" s="120">
        <f t="shared" si="1"/>
        <v>-18.3</v>
      </c>
      <c r="I37" s="279"/>
      <c r="J37" s="279"/>
      <c r="L37" s="120">
        <f t="shared" si="2"/>
        <v>-18.3</v>
      </c>
      <c r="M37" s="279"/>
      <c r="N37" s="279"/>
      <c r="O37" s="279"/>
      <c r="P37" s="120">
        <f t="shared" si="3"/>
        <v>-18.3</v>
      </c>
      <c r="Q37" s="279"/>
      <c r="R37" s="279"/>
      <c r="S37" s="279"/>
      <c r="T37" s="279"/>
      <c r="U37" s="279"/>
      <c r="V37" s="279"/>
      <c r="W37" s="279"/>
      <c r="X37" s="279"/>
    </row>
    <row r="38" spans="1:24">
      <c r="A38" s="118">
        <v>29</v>
      </c>
      <c r="B38" s="279">
        <f>'General information '!B34</f>
        <v>0</v>
      </c>
      <c r="C38" s="279">
        <f>'General information '!C34</f>
        <v>0</v>
      </c>
      <c r="D38" s="120">
        <f t="shared" si="0"/>
        <v>-18.3</v>
      </c>
      <c r="E38" s="279"/>
      <c r="F38" s="279"/>
      <c r="G38" s="279"/>
      <c r="H38" s="120">
        <f t="shared" si="1"/>
        <v>-18.3</v>
      </c>
      <c r="I38" s="279"/>
      <c r="J38" s="279"/>
      <c r="L38" s="120">
        <f t="shared" si="2"/>
        <v>-18.3</v>
      </c>
      <c r="M38" s="279"/>
      <c r="N38" s="279"/>
      <c r="O38" s="279"/>
      <c r="P38" s="120">
        <f t="shared" si="3"/>
        <v>-18.3</v>
      </c>
      <c r="Q38" s="279"/>
      <c r="R38" s="279"/>
      <c r="S38" s="279"/>
      <c r="T38" s="279"/>
      <c r="U38" s="279"/>
      <c r="V38" s="279"/>
      <c r="W38" s="279"/>
      <c r="X38" s="279"/>
    </row>
    <row r="39" spans="1:24">
      <c r="A39" s="118">
        <v>30</v>
      </c>
      <c r="B39" s="279">
        <f>'General information '!B35</f>
        <v>0</v>
      </c>
      <c r="C39" s="279">
        <f>'General information '!C35</f>
        <v>0</v>
      </c>
      <c r="D39" s="120">
        <f t="shared" si="0"/>
        <v>-18.3</v>
      </c>
      <c r="E39" s="279"/>
      <c r="F39" s="279"/>
      <c r="G39" s="279"/>
      <c r="H39" s="120">
        <f t="shared" si="1"/>
        <v>-18.3</v>
      </c>
      <c r="I39" s="279"/>
      <c r="J39" s="279"/>
      <c r="L39" s="120">
        <f t="shared" si="2"/>
        <v>-18.3</v>
      </c>
      <c r="M39" s="279"/>
      <c r="N39" s="279"/>
      <c r="O39" s="279"/>
      <c r="P39" s="120">
        <f t="shared" si="3"/>
        <v>-18.3</v>
      </c>
      <c r="Q39" s="279"/>
      <c r="R39" s="279"/>
      <c r="S39" s="279"/>
      <c r="T39" s="279"/>
      <c r="U39" s="279"/>
      <c r="V39" s="279"/>
      <c r="W39" s="279"/>
      <c r="X39" s="279"/>
    </row>
    <row r="40" spans="1:24">
      <c r="A40" s="121">
        <v>31</v>
      </c>
      <c r="B40" s="279">
        <f>'General information '!B36</f>
        <v>0</v>
      </c>
      <c r="C40" s="279">
        <f>'General information '!C36</f>
        <v>0</v>
      </c>
      <c r="D40" s="120">
        <f t="shared" si="0"/>
        <v>-18.3</v>
      </c>
      <c r="E40" s="279"/>
      <c r="F40" s="279"/>
      <c r="G40" s="279"/>
      <c r="H40" s="120">
        <f t="shared" si="1"/>
        <v>-18.3</v>
      </c>
      <c r="I40" s="279"/>
      <c r="J40" s="279"/>
      <c r="L40" s="120">
        <f t="shared" si="2"/>
        <v>-18.3</v>
      </c>
      <c r="M40" s="279"/>
      <c r="N40" s="279"/>
      <c r="O40" s="279"/>
      <c r="P40" s="120">
        <f t="shared" si="3"/>
        <v>-18.3</v>
      </c>
      <c r="Q40" s="279"/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-217.3</v>
      </c>
      <c r="C43" s="120">
        <f>SUMIF(D10:D40,"&gt;0")</f>
        <v>0</v>
      </c>
      <c r="D43" s="131"/>
      <c r="E43" s="130"/>
      <c r="F43" s="120">
        <f>SUMIF(H10:H40,"&lt;0")</f>
        <v>-567.30000000000007</v>
      </c>
      <c r="G43" s="120">
        <f>SUMIF(H10:H40,"&gt;0")</f>
        <v>0</v>
      </c>
      <c r="H43" s="131"/>
      <c r="I43" s="130"/>
      <c r="J43" s="120">
        <f>SUMIF(L10:L40,"&lt;0")</f>
        <v>-567.30000000000007</v>
      </c>
      <c r="K43" s="120">
        <f>SUMIF(L10:L40,"&gt;0")</f>
        <v>0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6">(B48+C48)/2-18.3</f>
        <v>-18.3</v>
      </c>
      <c r="E48" s="118">
        <v>1</v>
      </c>
      <c r="F48" s="279"/>
      <c r="G48" s="279"/>
      <c r="H48" s="120">
        <f t="shared" ref="H48:H78" si="7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8">(V48+W48)/2-18.3</f>
        <v>-18.3</v>
      </c>
    </row>
    <row r="49" spans="1:24">
      <c r="A49" s="118">
        <v>2</v>
      </c>
      <c r="B49" s="279"/>
      <c r="C49" s="279"/>
      <c r="D49" s="120">
        <f t="shared" si="6"/>
        <v>-18.3</v>
      </c>
      <c r="E49" s="118">
        <v>2</v>
      </c>
      <c r="F49" s="279"/>
      <c r="G49" s="279"/>
      <c r="H49" s="120">
        <f t="shared" si="7"/>
        <v>-18.3</v>
      </c>
      <c r="I49" s="118">
        <v>2</v>
      </c>
      <c r="J49" s="279"/>
      <c r="K49" s="279"/>
      <c r="L49" s="120">
        <f t="shared" ref="L49:L77" si="9">(J49+K49)/2-18.3</f>
        <v>-18.3</v>
      </c>
      <c r="M49" s="118">
        <v>2</v>
      </c>
      <c r="N49" s="279"/>
      <c r="O49" s="279"/>
      <c r="P49" s="120">
        <f t="shared" ref="P49:P78" si="10">(N49+O49)/2-18.3</f>
        <v>-18.3</v>
      </c>
      <c r="Q49" s="118">
        <v>2</v>
      </c>
      <c r="R49" s="279"/>
      <c r="S49" s="279"/>
      <c r="T49" s="120">
        <f t="shared" ref="T49:T77" si="11">(R49+S49)/2-18.3</f>
        <v>-18.3</v>
      </c>
      <c r="U49" s="118">
        <v>2</v>
      </c>
      <c r="V49" s="279"/>
      <c r="W49" s="279"/>
      <c r="X49" s="120">
        <f t="shared" si="8"/>
        <v>-18.3</v>
      </c>
    </row>
    <row r="50" spans="1:24">
      <c r="A50" s="118">
        <v>3</v>
      </c>
      <c r="B50" s="279"/>
      <c r="C50" s="279"/>
      <c r="D50" s="120">
        <f t="shared" si="6"/>
        <v>-18.3</v>
      </c>
      <c r="E50" s="118">
        <v>3</v>
      </c>
      <c r="F50" s="279"/>
      <c r="G50" s="279"/>
      <c r="H50" s="120">
        <f t="shared" si="7"/>
        <v>-18.3</v>
      </c>
      <c r="I50" s="118">
        <v>3</v>
      </c>
      <c r="J50" s="279"/>
      <c r="K50" s="279"/>
      <c r="L50" s="120">
        <f t="shared" si="9"/>
        <v>-18.3</v>
      </c>
      <c r="M50" s="118">
        <v>3</v>
      </c>
      <c r="N50" s="279"/>
      <c r="O50" s="279"/>
      <c r="P50" s="120">
        <f t="shared" si="10"/>
        <v>-18.3</v>
      </c>
      <c r="Q50" s="118">
        <v>3</v>
      </c>
      <c r="R50" s="279"/>
      <c r="S50" s="279"/>
      <c r="T50" s="120">
        <f t="shared" si="11"/>
        <v>-18.3</v>
      </c>
      <c r="U50" s="118">
        <v>3</v>
      </c>
      <c r="V50" s="279"/>
      <c r="W50" s="279"/>
      <c r="X50" s="120">
        <f t="shared" si="8"/>
        <v>-18.3</v>
      </c>
    </row>
    <row r="51" spans="1:24">
      <c r="A51" s="118">
        <v>4</v>
      </c>
      <c r="B51" s="279"/>
      <c r="C51" s="279"/>
      <c r="D51" s="120">
        <f t="shared" si="6"/>
        <v>-18.3</v>
      </c>
      <c r="E51" s="118">
        <v>4</v>
      </c>
      <c r="F51" s="279"/>
      <c r="G51" s="279"/>
      <c r="H51" s="120">
        <f t="shared" si="7"/>
        <v>-18.3</v>
      </c>
      <c r="I51" s="118">
        <v>4</v>
      </c>
      <c r="J51" s="279"/>
      <c r="K51" s="279"/>
      <c r="L51" s="120">
        <f t="shared" si="9"/>
        <v>-18.3</v>
      </c>
      <c r="M51" s="118">
        <v>4</v>
      </c>
      <c r="N51" s="279"/>
      <c r="O51" s="279"/>
      <c r="P51" s="120">
        <f t="shared" si="10"/>
        <v>-18.3</v>
      </c>
      <c r="Q51" s="118">
        <v>4</v>
      </c>
      <c r="R51" s="279"/>
      <c r="S51" s="279"/>
      <c r="T51" s="120">
        <f t="shared" si="11"/>
        <v>-18.3</v>
      </c>
      <c r="U51" s="118">
        <v>4</v>
      </c>
      <c r="V51" s="279"/>
      <c r="W51" s="279"/>
      <c r="X51" s="120">
        <f t="shared" si="8"/>
        <v>-18.3</v>
      </c>
    </row>
    <row r="52" spans="1:24">
      <c r="A52" s="118">
        <v>5</v>
      </c>
      <c r="B52" s="279"/>
      <c r="C52" s="279"/>
      <c r="D52" s="120">
        <f t="shared" si="6"/>
        <v>-18.3</v>
      </c>
      <c r="E52" s="118">
        <v>5</v>
      </c>
      <c r="F52" s="279"/>
      <c r="G52" s="279"/>
      <c r="H52" s="120">
        <f t="shared" si="7"/>
        <v>-18.3</v>
      </c>
      <c r="I52" s="118">
        <v>5</v>
      </c>
      <c r="J52" s="279"/>
      <c r="K52" s="279"/>
      <c r="L52" s="120">
        <f t="shared" si="9"/>
        <v>-18.3</v>
      </c>
      <c r="M52" s="118">
        <v>5</v>
      </c>
      <c r="N52" s="279"/>
      <c r="O52" s="279"/>
      <c r="P52" s="120">
        <f t="shared" si="10"/>
        <v>-18.3</v>
      </c>
      <c r="Q52" s="118">
        <v>5</v>
      </c>
      <c r="R52" s="279"/>
      <c r="S52" s="279"/>
      <c r="T52" s="120">
        <f t="shared" si="11"/>
        <v>-18.3</v>
      </c>
      <c r="U52" s="118">
        <v>5</v>
      </c>
      <c r="V52" s="279"/>
      <c r="W52" s="279"/>
      <c r="X52" s="120">
        <f t="shared" si="8"/>
        <v>-18.3</v>
      </c>
    </row>
    <row r="53" spans="1:24">
      <c r="A53" s="118">
        <v>6</v>
      </c>
      <c r="B53" s="279"/>
      <c r="C53" s="279"/>
      <c r="D53" s="120">
        <f t="shared" si="6"/>
        <v>-18.3</v>
      </c>
      <c r="E53" s="118">
        <v>6</v>
      </c>
      <c r="F53" s="279"/>
      <c r="G53" s="279"/>
      <c r="H53" s="120">
        <f t="shared" si="7"/>
        <v>-18.3</v>
      </c>
      <c r="I53" s="118">
        <v>6</v>
      </c>
      <c r="J53" s="279"/>
      <c r="K53" s="279"/>
      <c r="L53" s="120">
        <f t="shared" si="9"/>
        <v>-18.3</v>
      </c>
      <c r="M53" s="118">
        <v>6</v>
      </c>
      <c r="N53" s="279"/>
      <c r="O53" s="279"/>
      <c r="P53" s="120">
        <f t="shared" si="10"/>
        <v>-18.3</v>
      </c>
      <c r="Q53" s="118">
        <v>6</v>
      </c>
      <c r="R53" s="279"/>
      <c r="S53" s="279"/>
      <c r="T53" s="120">
        <f t="shared" si="11"/>
        <v>-18.3</v>
      </c>
      <c r="U53" s="118">
        <v>6</v>
      </c>
      <c r="V53" s="279"/>
      <c r="W53" s="279"/>
      <c r="X53" s="120">
        <f t="shared" si="8"/>
        <v>-18.3</v>
      </c>
    </row>
    <row r="54" spans="1:24">
      <c r="A54" s="118">
        <v>7</v>
      </c>
      <c r="B54" s="279"/>
      <c r="C54" s="279"/>
      <c r="D54" s="120">
        <f t="shared" si="6"/>
        <v>-18.3</v>
      </c>
      <c r="E54" s="118">
        <v>7</v>
      </c>
      <c r="F54" s="279"/>
      <c r="G54" s="279"/>
      <c r="H54" s="120">
        <f t="shared" si="7"/>
        <v>-18.3</v>
      </c>
      <c r="I54" s="118">
        <v>7</v>
      </c>
      <c r="J54" s="279"/>
      <c r="K54" s="279"/>
      <c r="L54" s="120">
        <f t="shared" si="9"/>
        <v>-18.3</v>
      </c>
      <c r="M54" s="118">
        <v>7</v>
      </c>
      <c r="N54" s="279"/>
      <c r="O54" s="279"/>
      <c r="P54" s="120">
        <f t="shared" si="10"/>
        <v>-18.3</v>
      </c>
      <c r="Q54" s="118">
        <v>7</v>
      </c>
      <c r="R54" s="279"/>
      <c r="S54" s="279"/>
      <c r="T54" s="120">
        <f t="shared" si="11"/>
        <v>-18.3</v>
      </c>
      <c r="U54" s="118">
        <v>7</v>
      </c>
      <c r="V54" s="279"/>
      <c r="W54" s="279"/>
      <c r="X54" s="120">
        <f t="shared" si="8"/>
        <v>-18.3</v>
      </c>
    </row>
    <row r="55" spans="1:24">
      <c r="A55" s="118">
        <v>8</v>
      </c>
      <c r="B55" s="279"/>
      <c r="C55" s="279"/>
      <c r="D55" s="120">
        <f t="shared" si="6"/>
        <v>-18.3</v>
      </c>
      <c r="E55" s="118">
        <v>8</v>
      </c>
      <c r="F55" s="279"/>
      <c r="G55" s="279"/>
      <c r="H55" s="120">
        <f t="shared" si="7"/>
        <v>-18.3</v>
      </c>
      <c r="I55" s="118">
        <v>8</v>
      </c>
      <c r="J55" s="279"/>
      <c r="K55" s="279"/>
      <c r="L55" s="120">
        <f t="shared" si="9"/>
        <v>-18.3</v>
      </c>
      <c r="M55" s="118">
        <v>8</v>
      </c>
      <c r="N55" s="279"/>
      <c r="O55" s="279"/>
      <c r="P55" s="120">
        <f t="shared" si="10"/>
        <v>-18.3</v>
      </c>
      <c r="Q55" s="118">
        <v>8</v>
      </c>
      <c r="R55" s="279"/>
      <c r="S55" s="279"/>
      <c r="T55" s="120">
        <f t="shared" si="11"/>
        <v>-18.3</v>
      </c>
      <c r="U55" s="118">
        <v>8</v>
      </c>
      <c r="V55" s="279"/>
      <c r="W55" s="279"/>
      <c r="X55" s="120">
        <f t="shared" si="8"/>
        <v>-18.3</v>
      </c>
    </row>
    <row r="56" spans="1:24">
      <c r="A56" s="118">
        <v>9</v>
      </c>
      <c r="B56" s="279"/>
      <c r="C56" s="279"/>
      <c r="D56" s="120">
        <f t="shared" si="6"/>
        <v>-18.3</v>
      </c>
      <c r="E56" s="118">
        <v>9</v>
      </c>
      <c r="F56" s="279"/>
      <c r="G56" s="279"/>
      <c r="H56" s="120">
        <f t="shared" si="7"/>
        <v>-18.3</v>
      </c>
      <c r="I56" s="118">
        <v>9</v>
      </c>
      <c r="J56" s="279"/>
      <c r="K56" s="279"/>
      <c r="L56" s="120">
        <f t="shared" si="9"/>
        <v>-18.3</v>
      </c>
      <c r="M56" s="118">
        <v>9</v>
      </c>
      <c r="N56" s="279"/>
      <c r="O56" s="279"/>
      <c r="P56" s="120">
        <f t="shared" si="10"/>
        <v>-18.3</v>
      </c>
      <c r="Q56" s="118">
        <v>9</v>
      </c>
      <c r="R56" s="279"/>
      <c r="S56" s="279"/>
      <c r="T56" s="120">
        <f t="shared" si="11"/>
        <v>-18.3</v>
      </c>
      <c r="U56" s="118">
        <v>9</v>
      </c>
      <c r="V56" s="279"/>
      <c r="W56" s="279"/>
      <c r="X56" s="120">
        <f t="shared" si="8"/>
        <v>-18.3</v>
      </c>
    </row>
    <row r="57" spans="1:24">
      <c r="A57" s="118">
        <v>10</v>
      </c>
      <c r="B57" s="279"/>
      <c r="C57" s="279"/>
      <c r="D57" s="120">
        <f t="shared" ref="D57:D78" si="12">(B57+C57)/2-18.3</f>
        <v>-18.3</v>
      </c>
      <c r="E57" s="118">
        <v>10</v>
      </c>
      <c r="F57" s="279"/>
      <c r="G57" s="279"/>
      <c r="H57" s="120">
        <f t="shared" si="7"/>
        <v>-18.3</v>
      </c>
      <c r="I57" s="118">
        <v>10</v>
      </c>
      <c r="J57" s="279"/>
      <c r="K57" s="279"/>
      <c r="L57" s="120">
        <f t="shared" si="9"/>
        <v>-18.3</v>
      </c>
      <c r="M57" s="118">
        <v>10</v>
      </c>
      <c r="N57" s="279"/>
      <c r="O57" s="279"/>
      <c r="P57" s="120">
        <f t="shared" si="10"/>
        <v>-18.3</v>
      </c>
      <c r="Q57" s="118">
        <v>10</v>
      </c>
      <c r="R57" s="279"/>
      <c r="S57" s="279"/>
      <c r="T57" s="120">
        <f t="shared" si="11"/>
        <v>-18.3</v>
      </c>
      <c r="U57" s="118">
        <v>10</v>
      </c>
      <c r="V57" s="279"/>
      <c r="W57" s="279"/>
      <c r="X57" s="120">
        <f t="shared" si="8"/>
        <v>-18.3</v>
      </c>
    </row>
    <row r="58" spans="1:24">
      <c r="A58" s="118">
        <v>11</v>
      </c>
      <c r="B58" s="279"/>
      <c r="C58" s="279"/>
      <c r="D58" s="120">
        <f t="shared" si="12"/>
        <v>-18.3</v>
      </c>
      <c r="E58" s="118">
        <v>11</v>
      </c>
      <c r="F58" s="279"/>
      <c r="G58" s="279"/>
      <c r="H58" s="120">
        <f t="shared" si="7"/>
        <v>-18.3</v>
      </c>
      <c r="I58" s="118">
        <v>11</v>
      </c>
      <c r="J58" s="279"/>
      <c r="K58" s="279"/>
      <c r="L58" s="120">
        <f t="shared" si="9"/>
        <v>-18.3</v>
      </c>
      <c r="M58" s="118">
        <v>11</v>
      </c>
      <c r="N58" s="279"/>
      <c r="O58" s="279"/>
      <c r="P58" s="120">
        <f t="shared" si="10"/>
        <v>-18.3</v>
      </c>
      <c r="Q58" s="118">
        <v>11</v>
      </c>
      <c r="R58" s="279"/>
      <c r="S58" s="279"/>
      <c r="T58" s="120">
        <f t="shared" si="11"/>
        <v>-18.3</v>
      </c>
      <c r="U58" s="118">
        <v>11</v>
      </c>
      <c r="V58" s="279"/>
      <c r="W58" s="279"/>
      <c r="X58" s="120">
        <f t="shared" si="8"/>
        <v>-18.3</v>
      </c>
    </row>
    <row r="59" spans="1:24">
      <c r="A59" s="118">
        <v>12</v>
      </c>
      <c r="B59" s="279"/>
      <c r="C59" s="279"/>
      <c r="D59" s="120">
        <f t="shared" si="12"/>
        <v>-18.3</v>
      </c>
      <c r="E59" s="118">
        <v>12</v>
      </c>
      <c r="F59" s="279"/>
      <c r="G59" s="279"/>
      <c r="H59" s="120">
        <f t="shared" si="7"/>
        <v>-18.3</v>
      </c>
      <c r="I59" s="118">
        <v>12</v>
      </c>
      <c r="J59" s="279"/>
      <c r="K59" s="279"/>
      <c r="L59" s="120">
        <f t="shared" si="9"/>
        <v>-18.3</v>
      </c>
      <c r="M59" s="118">
        <v>12</v>
      </c>
      <c r="N59" s="279"/>
      <c r="O59" s="279"/>
      <c r="P59" s="120">
        <f t="shared" si="10"/>
        <v>-18.3</v>
      </c>
      <c r="Q59" s="118">
        <v>12</v>
      </c>
      <c r="R59" s="279"/>
      <c r="S59" s="279"/>
      <c r="T59" s="120">
        <f t="shared" si="11"/>
        <v>-18.3</v>
      </c>
      <c r="U59" s="118">
        <v>12</v>
      </c>
      <c r="V59" s="279"/>
      <c r="W59" s="279"/>
      <c r="X59" s="120">
        <f t="shared" si="8"/>
        <v>-18.3</v>
      </c>
    </row>
    <row r="60" spans="1:24">
      <c r="A60" s="118">
        <v>13</v>
      </c>
      <c r="B60" s="279"/>
      <c r="C60" s="279"/>
      <c r="D60" s="120">
        <f t="shared" si="12"/>
        <v>-18.3</v>
      </c>
      <c r="E60" s="118">
        <v>13</v>
      </c>
      <c r="F60" s="279"/>
      <c r="G60" s="279"/>
      <c r="H60" s="120">
        <f t="shared" si="7"/>
        <v>-18.3</v>
      </c>
      <c r="I60" s="118">
        <v>13</v>
      </c>
      <c r="J60" s="279"/>
      <c r="K60" s="279"/>
      <c r="L60" s="120">
        <f t="shared" si="9"/>
        <v>-18.3</v>
      </c>
      <c r="M60" s="118">
        <v>13</v>
      </c>
      <c r="N60" s="279"/>
      <c r="O60" s="279"/>
      <c r="P60" s="120">
        <f t="shared" si="10"/>
        <v>-18.3</v>
      </c>
      <c r="Q60" s="118">
        <v>13</v>
      </c>
      <c r="R60" s="279"/>
      <c r="S60" s="279"/>
      <c r="T60" s="120">
        <f t="shared" si="11"/>
        <v>-18.3</v>
      </c>
      <c r="U60" s="118">
        <v>13</v>
      </c>
      <c r="V60" s="279"/>
      <c r="W60" s="279"/>
      <c r="X60" s="120">
        <f t="shared" si="8"/>
        <v>-18.3</v>
      </c>
    </row>
    <row r="61" spans="1:24">
      <c r="A61" s="118">
        <v>14</v>
      </c>
      <c r="B61" s="279"/>
      <c r="C61" s="279"/>
      <c r="D61" s="120">
        <f t="shared" si="12"/>
        <v>-18.3</v>
      </c>
      <c r="E61" s="118">
        <v>14</v>
      </c>
      <c r="F61" s="279"/>
      <c r="G61" s="279"/>
      <c r="H61" s="120">
        <f t="shared" si="7"/>
        <v>-18.3</v>
      </c>
      <c r="I61" s="118">
        <v>14</v>
      </c>
      <c r="J61" s="279"/>
      <c r="K61" s="279"/>
      <c r="L61" s="120">
        <f t="shared" si="9"/>
        <v>-18.3</v>
      </c>
      <c r="M61" s="118">
        <v>14</v>
      </c>
      <c r="N61" s="279"/>
      <c r="O61" s="279"/>
      <c r="P61" s="120">
        <f t="shared" si="10"/>
        <v>-18.3</v>
      </c>
      <c r="Q61" s="118">
        <v>14</v>
      </c>
      <c r="R61" s="279"/>
      <c r="S61" s="279"/>
      <c r="T61" s="120">
        <f t="shared" si="11"/>
        <v>-18.3</v>
      </c>
      <c r="U61" s="118">
        <v>14</v>
      </c>
      <c r="V61" s="279"/>
      <c r="W61" s="279"/>
      <c r="X61" s="120">
        <f t="shared" si="8"/>
        <v>-18.3</v>
      </c>
    </row>
    <row r="62" spans="1:24">
      <c r="A62" s="118">
        <v>15</v>
      </c>
      <c r="B62" s="279"/>
      <c r="C62" s="279"/>
      <c r="D62" s="120">
        <f t="shared" si="12"/>
        <v>-18.3</v>
      </c>
      <c r="E62" s="118">
        <v>15</v>
      </c>
      <c r="F62" s="279"/>
      <c r="G62" s="279"/>
      <c r="H62" s="120">
        <f t="shared" si="7"/>
        <v>-18.3</v>
      </c>
      <c r="I62" s="118">
        <v>15</v>
      </c>
      <c r="J62" s="279"/>
      <c r="K62" s="279"/>
      <c r="L62" s="120">
        <f t="shared" si="9"/>
        <v>-18.3</v>
      </c>
      <c r="M62" s="118">
        <v>15</v>
      </c>
      <c r="N62" s="279"/>
      <c r="O62" s="279"/>
      <c r="P62" s="120">
        <f t="shared" si="10"/>
        <v>-18.3</v>
      </c>
      <c r="Q62" s="118">
        <v>15</v>
      </c>
      <c r="R62" s="279"/>
      <c r="S62" s="279"/>
      <c r="T62" s="120">
        <f t="shared" si="11"/>
        <v>-18.3</v>
      </c>
      <c r="U62" s="118">
        <v>15</v>
      </c>
      <c r="V62" s="279"/>
      <c r="W62" s="279"/>
      <c r="X62" s="120">
        <f t="shared" si="8"/>
        <v>-18.3</v>
      </c>
    </row>
    <row r="63" spans="1:24">
      <c r="A63" s="118">
        <v>16</v>
      </c>
      <c r="B63" s="279"/>
      <c r="C63" s="279"/>
      <c r="D63" s="120">
        <f t="shared" si="12"/>
        <v>-18.3</v>
      </c>
      <c r="E63" s="118">
        <v>16</v>
      </c>
      <c r="F63" s="279"/>
      <c r="G63" s="279"/>
      <c r="H63" s="120">
        <f t="shared" si="7"/>
        <v>-18.3</v>
      </c>
      <c r="I63" s="118">
        <v>16</v>
      </c>
      <c r="J63" s="279"/>
      <c r="K63" s="279"/>
      <c r="L63" s="120">
        <f t="shared" si="9"/>
        <v>-18.3</v>
      </c>
      <c r="M63" s="118">
        <v>16</v>
      </c>
      <c r="N63" s="279"/>
      <c r="O63" s="279"/>
      <c r="P63" s="120">
        <f t="shared" si="10"/>
        <v>-18.3</v>
      </c>
      <c r="Q63" s="118">
        <v>16</v>
      </c>
      <c r="R63" s="279"/>
      <c r="S63" s="279"/>
      <c r="T63" s="120">
        <f t="shared" si="11"/>
        <v>-18.3</v>
      </c>
      <c r="U63" s="118">
        <v>16</v>
      </c>
      <c r="V63" s="279"/>
      <c r="W63" s="279"/>
      <c r="X63" s="120">
        <f t="shared" si="8"/>
        <v>-18.3</v>
      </c>
    </row>
    <row r="64" spans="1:24">
      <c r="A64" s="118">
        <v>17</v>
      </c>
      <c r="B64" s="279"/>
      <c r="C64" s="279"/>
      <c r="D64" s="120">
        <f t="shared" si="12"/>
        <v>-18.3</v>
      </c>
      <c r="E64" s="118">
        <v>17</v>
      </c>
      <c r="F64" s="279"/>
      <c r="G64" s="279"/>
      <c r="H64" s="120">
        <f t="shared" si="7"/>
        <v>-18.3</v>
      </c>
      <c r="I64" s="118">
        <v>17</v>
      </c>
      <c r="J64" s="279"/>
      <c r="K64" s="279"/>
      <c r="L64" s="120">
        <f t="shared" si="9"/>
        <v>-18.3</v>
      </c>
      <c r="M64" s="118">
        <v>17</v>
      </c>
      <c r="N64" s="279"/>
      <c r="O64" s="279"/>
      <c r="P64" s="120">
        <f t="shared" si="10"/>
        <v>-18.3</v>
      </c>
      <c r="Q64" s="118">
        <v>17</v>
      </c>
      <c r="R64" s="279"/>
      <c r="S64" s="279"/>
      <c r="T64" s="120">
        <f t="shared" si="11"/>
        <v>-18.3</v>
      </c>
      <c r="U64" s="118">
        <v>17</v>
      </c>
      <c r="V64" s="279"/>
      <c r="W64" s="279"/>
      <c r="X64" s="120">
        <f t="shared" si="8"/>
        <v>-18.3</v>
      </c>
    </row>
    <row r="65" spans="1:24">
      <c r="A65" s="118">
        <v>18</v>
      </c>
      <c r="B65" s="279"/>
      <c r="C65" s="279"/>
      <c r="D65" s="120">
        <f t="shared" si="12"/>
        <v>-18.3</v>
      </c>
      <c r="E65" s="118">
        <v>18</v>
      </c>
      <c r="F65" s="279"/>
      <c r="G65" s="279"/>
      <c r="H65" s="120">
        <f t="shared" si="7"/>
        <v>-18.3</v>
      </c>
      <c r="I65" s="118">
        <v>18</v>
      </c>
      <c r="J65" s="279"/>
      <c r="K65" s="279"/>
      <c r="L65" s="120">
        <f t="shared" si="9"/>
        <v>-18.3</v>
      </c>
      <c r="M65" s="118">
        <v>18</v>
      </c>
      <c r="N65" s="279"/>
      <c r="O65" s="279"/>
      <c r="P65" s="120">
        <f t="shared" si="10"/>
        <v>-18.3</v>
      </c>
      <c r="Q65" s="118">
        <v>18</v>
      </c>
      <c r="R65" s="279"/>
      <c r="S65" s="279"/>
      <c r="T65" s="120">
        <f t="shared" si="11"/>
        <v>-18.3</v>
      </c>
      <c r="U65" s="118">
        <v>18</v>
      </c>
      <c r="V65" s="279"/>
      <c r="W65" s="279"/>
      <c r="X65" s="120">
        <f t="shared" si="8"/>
        <v>-18.3</v>
      </c>
    </row>
    <row r="66" spans="1:24">
      <c r="A66" s="118">
        <v>19</v>
      </c>
      <c r="B66" s="279"/>
      <c r="C66" s="279"/>
      <c r="D66" s="120">
        <f t="shared" si="12"/>
        <v>-18.3</v>
      </c>
      <c r="E66" s="118">
        <v>19</v>
      </c>
      <c r="F66" s="279"/>
      <c r="G66" s="279"/>
      <c r="H66" s="120">
        <f t="shared" si="7"/>
        <v>-18.3</v>
      </c>
      <c r="I66" s="118">
        <v>19</v>
      </c>
      <c r="J66" s="279"/>
      <c r="K66" s="279"/>
      <c r="L66" s="120">
        <f t="shared" si="9"/>
        <v>-18.3</v>
      </c>
      <c r="M66" s="118">
        <v>19</v>
      </c>
      <c r="N66" s="279"/>
      <c r="O66" s="279"/>
      <c r="P66" s="120">
        <f t="shared" si="10"/>
        <v>-18.3</v>
      </c>
      <c r="Q66" s="118">
        <v>19</v>
      </c>
      <c r="R66" s="279"/>
      <c r="S66" s="279"/>
      <c r="T66" s="120">
        <f t="shared" si="11"/>
        <v>-18.3</v>
      </c>
      <c r="U66" s="118">
        <v>19</v>
      </c>
      <c r="V66" s="279"/>
      <c r="W66" s="279"/>
      <c r="X66" s="120">
        <f t="shared" si="8"/>
        <v>-18.3</v>
      </c>
    </row>
    <row r="67" spans="1:24">
      <c r="A67" s="118">
        <v>20</v>
      </c>
      <c r="B67" s="279"/>
      <c r="C67" s="279"/>
      <c r="D67" s="120">
        <f t="shared" si="12"/>
        <v>-18.3</v>
      </c>
      <c r="E67" s="118">
        <v>20</v>
      </c>
      <c r="F67" s="279"/>
      <c r="G67" s="279"/>
      <c r="H67" s="120">
        <f t="shared" si="7"/>
        <v>-18.3</v>
      </c>
      <c r="I67" s="118">
        <v>20</v>
      </c>
      <c r="J67" s="279"/>
      <c r="K67" s="279"/>
      <c r="L67" s="120">
        <f t="shared" si="9"/>
        <v>-18.3</v>
      </c>
      <c r="M67" s="118">
        <v>20</v>
      </c>
      <c r="N67" s="279"/>
      <c r="O67" s="279"/>
      <c r="P67" s="120">
        <f t="shared" si="10"/>
        <v>-18.3</v>
      </c>
      <c r="Q67" s="118">
        <v>20</v>
      </c>
      <c r="R67" s="279"/>
      <c r="S67" s="279"/>
      <c r="T67" s="120">
        <f t="shared" si="11"/>
        <v>-18.3</v>
      </c>
      <c r="U67" s="118">
        <v>20</v>
      </c>
      <c r="V67" s="279"/>
      <c r="W67" s="279"/>
      <c r="X67" s="120">
        <f t="shared" si="8"/>
        <v>-18.3</v>
      </c>
    </row>
    <row r="68" spans="1:24">
      <c r="A68" s="118">
        <v>21</v>
      </c>
      <c r="B68" s="279"/>
      <c r="C68" s="279"/>
      <c r="D68" s="120">
        <f t="shared" si="12"/>
        <v>-18.3</v>
      </c>
      <c r="E68" s="118">
        <v>21</v>
      </c>
      <c r="F68" s="279"/>
      <c r="G68" s="279"/>
      <c r="H68" s="120">
        <f t="shared" si="7"/>
        <v>-18.3</v>
      </c>
      <c r="I68" s="118">
        <v>21</v>
      </c>
      <c r="J68" s="279"/>
      <c r="K68" s="279"/>
      <c r="L68" s="120">
        <f t="shared" si="9"/>
        <v>-18.3</v>
      </c>
      <c r="M68" s="118">
        <v>21</v>
      </c>
      <c r="N68" s="279"/>
      <c r="O68" s="279"/>
      <c r="P68" s="120">
        <f t="shared" si="10"/>
        <v>-18.3</v>
      </c>
      <c r="Q68" s="118">
        <v>21</v>
      </c>
      <c r="R68" s="279"/>
      <c r="S68" s="279"/>
      <c r="T68" s="120">
        <f t="shared" si="11"/>
        <v>-18.3</v>
      </c>
      <c r="U68" s="118">
        <v>21</v>
      </c>
      <c r="V68" s="279"/>
      <c r="W68" s="279"/>
      <c r="X68" s="120">
        <f t="shared" si="8"/>
        <v>-18.3</v>
      </c>
    </row>
    <row r="69" spans="1:24">
      <c r="A69" s="118">
        <v>22</v>
      </c>
      <c r="B69" s="279"/>
      <c r="C69" s="279"/>
      <c r="D69" s="120">
        <f t="shared" si="12"/>
        <v>-18.3</v>
      </c>
      <c r="E69" s="118">
        <v>22</v>
      </c>
      <c r="F69" s="279"/>
      <c r="G69" s="279"/>
      <c r="H69" s="120">
        <f t="shared" si="7"/>
        <v>-18.3</v>
      </c>
      <c r="I69" s="118">
        <v>22</v>
      </c>
      <c r="J69" s="279"/>
      <c r="K69" s="279"/>
      <c r="L69" s="120">
        <f t="shared" si="9"/>
        <v>-18.3</v>
      </c>
      <c r="M69" s="118">
        <v>22</v>
      </c>
      <c r="N69" s="279"/>
      <c r="O69" s="279"/>
      <c r="P69" s="120">
        <f t="shared" si="10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8"/>
        <v>-18.3</v>
      </c>
    </row>
    <row r="70" spans="1:24">
      <c r="A70" s="118">
        <v>23</v>
      </c>
      <c r="B70" s="279"/>
      <c r="C70" s="279"/>
      <c r="D70" s="120">
        <f t="shared" si="12"/>
        <v>-18.3</v>
      </c>
      <c r="E70" s="118">
        <v>23</v>
      </c>
      <c r="F70" s="279"/>
      <c r="G70" s="279"/>
      <c r="H70" s="120">
        <f t="shared" si="7"/>
        <v>-18.3</v>
      </c>
      <c r="I70" s="118">
        <v>23</v>
      </c>
      <c r="J70" s="279"/>
      <c r="K70" s="279"/>
      <c r="L70" s="120">
        <f t="shared" si="9"/>
        <v>-18.3</v>
      </c>
      <c r="M70" s="118">
        <v>23</v>
      </c>
      <c r="N70" s="279"/>
      <c r="O70" s="279"/>
      <c r="P70" s="120">
        <f t="shared" si="10"/>
        <v>-18.3</v>
      </c>
      <c r="Q70" s="118">
        <v>23</v>
      </c>
      <c r="R70" s="279"/>
      <c r="S70" s="279"/>
      <c r="T70" s="120">
        <f t="shared" si="11"/>
        <v>-18.3</v>
      </c>
      <c r="U70" s="118">
        <v>23</v>
      </c>
      <c r="V70" s="279"/>
      <c r="W70" s="279"/>
      <c r="X70" s="120">
        <f t="shared" si="8"/>
        <v>-18.3</v>
      </c>
    </row>
    <row r="71" spans="1:24">
      <c r="A71" s="118">
        <v>24</v>
      </c>
      <c r="B71" s="279"/>
      <c r="C71" s="279"/>
      <c r="D71" s="120">
        <f t="shared" si="12"/>
        <v>-18.3</v>
      </c>
      <c r="E71" s="118">
        <v>24</v>
      </c>
      <c r="F71" s="279"/>
      <c r="G71" s="279"/>
      <c r="H71" s="120">
        <f t="shared" si="7"/>
        <v>-18.3</v>
      </c>
      <c r="I71" s="118">
        <v>24</v>
      </c>
      <c r="J71" s="279"/>
      <c r="K71" s="279"/>
      <c r="L71" s="120">
        <f t="shared" si="9"/>
        <v>-18.3</v>
      </c>
      <c r="M71" s="118">
        <v>24</v>
      </c>
      <c r="N71" s="279"/>
      <c r="O71" s="279"/>
      <c r="P71" s="120">
        <f t="shared" si="10"/>
        <v>-18.3</v>
      </c>
      <c r="Q71" s="118">
        <v>24</v>
      </c>
      <c r="R71" s="279"/>
      <c r="S71" s="279"/>
      <c r="T71" s="120">
        <f t="shared" si="11"/>
        <v>-18.3</v>
      </c>
      <c r="U71" s="118">
        <v>24</v>
      </c>
      <c r="V71" s="279"/>
      <c r="W71" s="279"/>
      <c r="X71" s="120">
        <f t="shared" si="8"/>
        <v>-18.3</v>
      </c>
    </row>
    <row r="72" spans="1:24">
      <c r="A72" s="118">
        <v>25</v>
      </c>
      <c r="B72" s="279"/>
      <c r="C72" s="279"/>
      <c r="D72" s="120">
        <f t="shared" si="12"/>
        <v>-18.3</v>
      </c>
      <c r="E72" s="118">
        <v>25</v>
      </c>
      <c r="F72" s="279"/>
      <c r="G72" s="279"/>
      <c r="H72" s="120">
        <f t="shared" si="7"/>
        <v>-18.3</v>
      </c>
      <c r="I72" s="118">
        <v>25</v>
      </c>
      <c r="J72" s="279"/>
      <c r="K72" s="279"/>
      <c r="L72" s="120">
        <f t="shared" si="9"/>
        <v>-18.3</v>
      </c>
      <c r="M72" s="118">
        <v>25</v>
      </c>
      <c r="N72" s="279"/>
      <c r="O72" s="279"/>
      <c r="P72" s="120">
        <f t="shared" si="10"/>
        <v>-18.3</v>
      </c>
      <c r="Q72" s="118">
        <v>25</v>
      </c>
      <c r="R72" s="279"/>
      <c r="S72" s="279"/>
      <c r="T72" s="120">
        <f t="shared" si="11"/>
        <v>-18.3</v>
      </c>
      <c r="U72" s="118">
        <v>25</v>
      </c>
      <c r="V72" s="279"/>
      <c r="W72" s="279"/>
      <c r="X72" s="120">
        <f t="shared" si="8"/>
        <v>-18.3</v>
      </c>
    </row>
    <row r="73" spans="1:24">
      <c r="A73" s="118">
        <v>26</v>
      </c>
      <c r="B73" s="279"/>
      <c r="C73" s="279"/>
      <c r="D73" s="120">
        <f t="shared" si="12"/>
        <v>-18.3</v>
      </c>
      <c r="E73" s="118">
        <v>26</v>
      </c>
      <c r="F73" s="279"/>
      <c r="G73" s="279"/>
      <c r="H73" s="120">
        <f t="shared" si="7"/>
        <v>-18.3</v>
      </c>
      <c r="I73" s="118">
        <v>26</v>
      </c>
      <c r="J73" s="279"/>
      <c r="K73" s="279"/>
      <c r="L73" s="120">
        <f t="shared" si="9"/>
        <v>-18.3</v>
      </c>
      <c r="M73" s="118">
        <v>26</v>
      </c>
      <c r="N73" s="279"/>
      <c r="O73" s="279"/>
      <c r="P73" s="120">
        <f t="shared" si="10"/>
        <v>-18.3</v>
      </c>
      <c r="Q73" s="118">
        <v>26</v>
      </c>
      <c r="R73" s="279"/>
      <c r="S73" s="279"/>
      <c r="T73" s="120">
        <f t="shared" si="11"/>
        <v>-18.3</v>
      </c>
      <c r="U73" s="118">
        <v>26</v>
      </c>
      <c r="V73" s="279"/>
      <c r="W73" s="279"/>
      <c r="X73" s="120">
        <f t="shared" si="8"/>
        <v>-18.3</v>
      </c>
    </row>
    <row r="74" spans="1:24">
      <c r="A74" s="118">
        <v>27</v>
      </c>
      <c r="B74" s="279"/>
      <c r="C74" s="279"/>
      <c r="D74" s="120">
        <f t="shared" si="12"/>
        <v>-18.3</v>
      </c>
      <c r="E74" s="118">
        <v>27</v>
      </c>
      <c r="F74" s="279"/>
      <c r="G74" s="279"/>
      <c r="H74" s="120">
        <f t="shared" si="7"/>
        <v>-18.3</v>
      </c>
      <c r="I74" s="118">
        <v>27</v>
      </c>
      <c r="J74" s="279"/>
      <c r="K74" s="279"/>
      <c r="L74" s="120">
        <f t="shared" si="9"/>
        <v>-18.3</v>
      </c>
      <c r="M74" s="118">
        <v>27</v>
      </c>
      <c r="N74" s="279"/>
      <c r="O74" s="279"/>
      <c r="P74" s="120">
        <f t="shared" si="10"/>
        <v>-18.3</v>
      </c>
      <c r="Q74" s="118">
        <v>27</v>
      </c>
      <c r="R74" s="279"/>
      <c r="S74" s="279"/>
      <c r="T74" s="120">
        <f t="shared" si="11"/>
        <v>-18.3</v>
      </c>
      <c r="U74" s="118">
        <v>27</v>
      </c>
      <c r="V74" s="279"/>
      <c r="W74" s="279"/>
      <c r="X74" s="120">
        <f t="shared" si="8"/>
        <v>-18.3</v>
      </c>
    </row>
    <row r="75" spans="1:24">
      <c r="A75" s="118">
        <v>28</v>
      </c>
      <c r="B75" s="279"/>
      <c r="C75" s="279"/>
      <c r="D75" s="120">
        <f t="shared" si="12"/>
        <v>-18.3</v>
      </c>
      <c r="E75" s="118">
        <v>28</v>
      </c>
      <c r="F75" s="279"/>
      <c r="G75" s="279"/>
      <c r="H75" s="120">
        <f t="shared" si="7"/>
        <v>-18.3</v>
      </c>
      <c r="I75" s="118">
        <v>28</v>
      </c>
      <c r="J75" s="279"/>
      <c r="K75" s="279"/>
      <c r="L75" s="120">
        <f t="shared" si="9"/>
        <v>-18.3</v>
      </c>
      <c r="M75" s="118">
        <v>28</v>
      </c>
      <c r="N75" s="279"/>
      <c r="O75" s="279"/>
      <c r="P75" s="120">
        <f t="shared" si="10"/>
        <v>-18.3</v>
      </c>
      <c r="Q75" s="118">
        <v>28</v>
      </c>
      <c r="R75" s="279"/>
      <c r="S75" s="279"/>
      <c r="T75" s="120">
        <f t="shared" si="11"/>
        <v>-18.3</v>
      </c>
      <c r="U75" s="118">
        <v>28</v>
      </c>
      <c r="V75" s="279"/>
      <c r="W75" s="279"/>
      <c r="X75" s="120">
        <f t="shared" si="8"/>
        <v>-18.3</v>
      </c>
    </row>
    <row r="76" spans="1:24">
      <c r="A76" s="118">
        <v>29</v>
      </c>
      <c r="B76" s="279"/>
      <c r="C76" s="279"/>
      <c r="D76" s="120">
        <f t="shared" si="12"/>
        <v>-18.3</v>
      </c>
      <c r="E76" s="118">
        <v>29</v>
      </c>
      <c r="F76" s="279"/>
      <c r="G76" s="279"/>
      <c r="H76" s="120">
        <f t="shared" si="7"/>
        <v>-18.3</v>
      </c>
      <c r="I76" s="118">
        <v>29</v>
      </c>
      <c r="J76" s="279"/>
      <c r="K76" s="279"/>
      <c r="L76" s="120">
        <f t="shared" si="9"/>
        <v>-18.3</v>
      </c>
      <c r="M76" s="118">
        <v>29</v>
      </c>
      <c r="N76" s="279"/>
      <c r="O76" s="279"/>
      <c r="P76" s="120">
        <f t="shared" si="10"/>
        <v>-18.3</v>
      </c>
      <c r="Q76" s="118">
        <v>29</v>
      </c>
      <c r="R76" s="279"/>
      <c r="S76" s="279"/>
      <c r="T76" s="120">
        <f t="shared" si="11"/>
        <v>-18.3</v>
      </c>
      <c r="U76" s="118">
        <v>29</v>
      </c>
      <c r="V76" s="279"/>
      <c r="W76" s="279"/>
      <c r="X76" s="120">
        <f t="shared" si="8"/>
        <v>-18.3</v>
      </c>
    </row>
    <row r="77" spans="1:24">
      <c r="A77" s="118">
        <v>30</v>
      </c>
      <c r="B77" s="279"/>
      <c r="C77" s="279"/>
      <c r="D77" s="120">
        <f t="shared" si="12"/>
        <v>-18.3</v>
      </c>
      <c r="E77" s="118">
        <v>30</v>
      </c>
      <c r="F77" s="279"/>
      <c r="G77" s="279"/>
      <c r="H77" s="120">
        <f t="shared" si="7"/>
        <v>-18.3</v>
      </c>
      <c r="I77" s="118">
        <v>30</v>
      </c>
      <c r="J77" s="279"/>
      <c r="K77" s="279"/>
      <c r="L77" s="120">
        <f t="shared" si="9"/>
        <v>-18.3</v>
      </c>
      <c r="M77" s="118">
        <v>30</v>
      </c>
      <c r="N77" s="279"/>
      <c r="O77" s="279"/>
      <c r="P77" s="120">
        <f t="shared" si="10"/>
        <v>-18.3</v>
      </c>
      <c r="Q77" s="118">
        <v>30</v>
      </c>
      <c r="R77" s="279"/>
      <c r="S77" s="279"/>
      <c r="T77" s="120">
        <f t="shared" si="11"/>
        <v>-18.3</v>
      </c>
      <c r="U77" s="118">
        <v>30</v>
      </c>
      <c r="V77" s="279"/>
      <c r="W77" s="279"/>
      <c r="X77" s="120">
        <f t="shared" si="8"/>
        <v>-18.3</v>
      </c>
    </row>
    <row r="78" spans="1:24">
      <c r="A78" s="121">
        <v>31</v>
      </c>
      <c r="B78" s="279"/>
      <c r="C78" s="279"/>
      <c r="D78" s="120">
        <f t="shared" si="12"/>
        <v>-18.3</v>
      </c>
      <c r="E78" s="121">
        <v>31</v>
      </c>
      <c r="F78" s="279"/>
      <c r="G78" s="279"/>
      <c r="H78" s="120">
        <f t="shared" si="7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0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53" t="s">
        <v>174</v>
      </c>
      <c r="O84" s="653" t="s">
        <v>175</v>
      </c>
      <c r="P84" s="135"/>
      <c r="T84" s="135"/>
      <c r="X84" s="135"/>
    </row>
    <row r="85" spans="1:24" ht="20.25" thickBot="1">
      <c r="D85" s="135"/>
      <c r="I85" s="655" t="s">
        <v>182</v>
      </c>
      <c r="J85" s="656"/>
      <c r="K85" s="656"/>
      <c r="L85" s="656"/>
      <c r="N85" s="654"/>
      <c r="O85" s="654"/>
      <c r="P85" s="135"/>
      <c r="R85" s="17"/>
      <c r="S85" s="17"/>
      <c r="T85" s="141"/>
      <c r="U85" s="142"/>
      <c r="X85" s="135"/>
    </row>
    <row r="86" spans="1:24" ht="18.75" thickBot="1">
      <c r="D86" s="135"/>
      <c r="I86" s="657" t="s">
        <v>183</v>
      </c>
      <c r="J86" s="657"/>
      <c r="K86" s="657"/>
      <c r="L86" s="657"/>
      <c r="N86" s="143">
        <f>B43+F43+J43+N43+R43+V43+B81+F81+J81+N81+R81+V81</f>
        <v>-5268.1</v>
      </c>
      <c r="O86" s="143">
        <f>C43+G43+K43+O43+S43+W43+C81+G81+K81+O81+S81+W81</f>
        <v>0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7"/>
      <c r="P88" s="647"/>
      <c r="Q88" s="647"/>
      <c r="R88" s="647"/>
      <c r="S88" s="647"/>
      <c r="T88" s="647"/>
      <c r="U88" s="647"/>
      <c r="V88" s="647"/>
      <c r="W88" s="647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C1" activePane="topRight" state="frozen"/>
      <selection pane="topRight" activeCell="G10" sqref="G1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58" t="s">
        <v>216</v>
      </c>
      <c r="B2" s="658"/>
      <c r="C2" s="658"/>
      <c r="D2" s="658"/>
      <c r="E2" s="658"/>
      <c r="F2" s="658"/>
      <c r="G2" s="658"/>
      <c r="H2" s="658"/>
      <c r="I2" s="658"/>
    </row>
    <row r="3" spans="1:11">
      <c r="A3" s="197">
        <v>43831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log'!A36</f>
        <v>26</v>
      </c>
      <c r="G4" s="199">
        <v>31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7"/>
    </row>
    <row r="6" spans="1:11">
      <c r="A6" s="188" t="s">
        <v>217</v>
      </c>
      <c r="B6" s="371">
        <f>WATER!C37</f>
        <v>239</v>
      </c>
      <c r="C6" s="346">
        <f>WATER!E4</f>
        <v>1.66</v>
      </c>
      <c r="D6" s="188">
        <f>SUM(C6*B6)*D4</f>
        <v>598085.55000000005</v>
      </c>
      <c r="E6" s="470">
        <f>SUM(D6/D4)/F4</f>
        <v>15.25923076923077</v>
      </c>
      <c r="F6" s="189">
        <f>SUM(E6*F4)</f>
        <v>396.74</v>
      </c>
      <c r="G6" s="190">
        <f>SUM(B6*C6)</f>
        <v>396.74</v>
      </c>
      <c r="H6" s="189">
        <v>0</v>
      </c>
      <c r="I6" s="362">
        <v>0</v>
      </c>
      <c r="J6" s="286"/>
    </row>
    <row r="7" spans="1:11">
      <c r="A7" s="188" t="s">
        <v>218</v>
      </c>
      <c r="B7" s="371">
        <f>WATER!H37</f>
        <v>3823</v>
      </c>
      <c r="C7" s="188">
        <v>7500</v>
      </c>
      <c r="D7" s="191">
        <f>SUM(C7)*D4</f>
        <v>11306250</v>
      </c>
      <c r="E7" s="189">
        <f>SUM(I7/G4)</f>
        <v>174.19354838709677</v>
      </c>
      <c r="F7" s="189">
        <f>SUM(E7*F4)</f>
        <v>4529.0322580645161</v>
      </c>
      <c r="G7" s="559">
        <v>7800</v>
      </c>
      <c r="H7" s="362">
        <v>5800</v>
      </c>
      <c r="I7" s="189">
        <v>5400</v>
      </c>
      <c r="J7" s="286"/>
      <c r="K7" s="286"/>
    </row>
    <row r="8" spans="1:11">
      <c r="A8" s="194" t="s">
        <v>219</v>
      </c>
      <c r="B8" s="372">
        <f>tanks!AT37</f>
        <v>56094</v>
      </c>
      <c r="C8" s="539">
        <f>SUM(tanks!AU37)</f>
        <v>0.579125</v>
      </c>
      <c r="D8" s="195">
        <f>SUM(B8*C8)*D4</f>
        <v>48971797.408124998</v>
      </c>
      <c r="E8" s="196">
        <f>SUM(D8/D4/F4)</f>
        <v>1249.4399134615383</v>
      </c>
      <c r="F8" s="196">
        <f>SUM(E8*F4)</f>
        <v>32485.437749999994</v>
      </c>
      <c r="G8" s="559">
        <f>E8*$G$4</f>
        <v>38732.637317307686</v>
      </c>
      <c r="H8" s="362">
        <v>38000</v>
      </c>
      <c r="I8" s="196">
        <v>38000</v>
      </c>
      <c r="J8" s="286"/>
      <c r="K8" s="286"/>
    </row>
    <row r="9" spans="1:11">
      <c r="A9" s="2" t="s">
        <v>220</v>
      </c>
      <c r="B9" s="373">
        <f>'B5'!AV36</f>
        <v>6350</v>
      </c>
      <c r="C9" s="370">
        <v>0.7</v>
      </c>
      <c r="D9" s="192">
        <f>SUM(B9*C9)*D4</f>
        <v>6700837.5</v>
      </c>
      <c r="E9" s="193">
        <f>SUM(C9*B9)/F4</f>
        <v>170.96153846153845</v>
      </c>
      <c r="F9" s="193">
        <f>SUM(E9*F4)</f>
        <v>4445</v>
      </c>
      <c r="G9" s="559">
        <f>E9*$G$4</f>
        <v>5299.8076923076924</v>
      </c>
      <c r="H9" s="362">
        <v>3885.3910000000001</v>
      </c>
      <c r="I9" s="193">
        <v>3900</v>
      </c>
      <c r="J9" s="286"/>
      <c r="K9" s="286"/>
    </row>
    <row r="10" spans="1:11">
      <c r="A10" s="185" t="s">
        <v>221</v>
      </c>
      <c r="B10" s="374"/>
      <c r="C10" s="185"/>
      <c r="D10" s="187">
        <f>SUM('EDl log'!AB31)</f>
        <v>23741665.096774194</v>
      </c>
      <c r="E10" s="186">
        <f>SUM(D10/D4/F4)</f>
        <v>605.73198358908519</v>
      </c>
      <c r="F10" s="186">
        <f>SUM(E10*F4)</f>
        <v>15749.031573316215</v>
      </c>
      <c r="G10" s="559">
        <f>E10*$G$4</f>
        <v>18777.691491261641</v>
      </c>
      <c r="H10" s="362">
        <v>24900</v>
      </c>
      <c r="I10" s="289">
        <v>24900</v>
      </c>
      <c r="J10" s="286"/>
      <c r="K10" s="286"/>
    </row>
    <row r="11" spans="1:11">
      <c r="I11" s="286">
        <f>SUM(I6:I10)</f>
        <v>72200</v>
      </c>
      <c r="J11" s="286"/>
      <c r="K11" s="286"/>
    </row>
    <row r="12" spans="1:11" ht="42.75" customHeight="1">
      <c r="E12" s="456">
        <f>SUM(E6:E11)</f>
        <v>2215.5862146684894</v>
      </c>
      <c r="F12" s="184">
        <f>SUM(F6:F10)</f>
        <v>57605.241581380724</v>
      </c>
      <c r="G12" s="183">
        <f>SUM(G6:G10)</f>
        <v>71006.876500877028</v>
      </c>
      <c r="H12" s="183">
        <f>SUM(H6:H10)</f>
        <v>72585.391000000003</v>
      </c>
      <c r="I12" s="225">
        <f>SUM(I6:I10)</f>
        <v>72200</v>
      </c>
      <c r="J12" s="286"/>
    </row>
    <row r="13" spans="1:11" ht="30">
      <c r="A13" s="3"/>
      <c r="B13" s="179" t="s">
        <v>227</v>
      </c>
      <c r="C13" s="444" t="s">
        <v>387</v>
      </c>
      <c r="D13" s="444" t="s">
        <v>391</v>
      </c>
      <c r="E13" s="444" t="s">
        <v>388</v>
      </c>
      <c r="F13" s="17"/>
      <c r="G13" s="446"/>
      <c r="H13" s="17"/>
      <c r="I13" s="17"/>
      <c r="J13" s="17"/>
    </row>
    <row r="14" spans="1:11">
      <c r="A14" s="3" t="s">
        <v>303</v>
      </c>
      <c r="B14" s="463">
        <f>'Degree Days 2018'!AB14</f>
        <v>151</v>
      </c>
      <c r="C14" s="171">
        <f>'[9]Utility Cost '!D13</f>
        <v>27.099999999999991</v>
      </c>
      <c r="D14" s="171">
        <f>SUM(C14)</f>
        <v>27.099999999999991</v>
      </c>
      <c r="E14" s="171">
        <f>B14-C14</f>
        <v>123.9</v>
      </c>
      <c r="F14" s="17"/>
      <c r="G14" s="446"/>
      <c r="H14" s="447">
        <f>SUM(G12-H12)</f>
        <v>-1578.5144991229754</v>
      </c>
      <c r="I14" s="447">
        <f>SUM(G12-I12)</f>
        <v>-1193.1234991229721</v>
      </c>
    </row>
    <row r="15" spans="1:11">
      <c r="A15" s="3" t="s">
        <v>304</v>
      </c>
      <c r="B15" s="179">
        <f>'Degree Days 2018'!AA14</f>
        <v>-18.3</v>
      </c>
      <c r="C15" s="171">
        <f>'[9]Utility Cost '!D14</f>
        <v>-38.399999999999991</v>
      </c>
      <c r="D15" s="171">
        <f>SUM(C15)</f>
        <v>-38.399999999999991</v>
      </c>
      <c r="E15" s="171">
        <f>B15-C15</f>
        <v>20.099999999999991</v>
      </c>
      <c r="F15" s="17"/>
      <c r="G15" s="446"/>
      <c r="H15" s="17"/>
      <c r="I15" s="17"/>
      <c r="J15" s="17"/>
    </row>
    <row r="16" spans="1:11">
      <c r="A16" s="3" t="s">
        <v>305</v>
      </c>
      <c r="B16" s="464">
        <f>'General information '!D38</f>
        <v>13.461538461538462</v>
      </c>
      <c r="C16" s="171">
        <f>'[9]Utility Cost '!D15</f>
        <v>17.93548387096774</v>
      </c>
      <c r="D16" s="460">
        <f>SUM(C16)</f>
        <v>17.93548387096774</v>
      </c>
      <c r="E16" s="462">
        <f>B16-C16</f>
        <v>-4.4739454094292785</v>
      </c>
      <c r="F16" s="448"/>
      <c r="G16" s="446"/>
      <c r="H16" s="17"/>
      <c r="I16" s="17"/>
      <c r="J16" s="17"/>
    </row>
    <row r="17" spans="1:10">
      <c r="A17" s="285" t="s">
        <v>317</v>
      </c>
      <c r="B17" s="465">
        <f>'General information '!F37</f>
        <v>0.18439615384615388</v>
      </c>
      <c r="C17" s="558">
        <f>'[9]Utility Cost '!D16</f>
        <v>0.49185161290322582</v>
      </c>
      <c r="D17" s="514">
        <v>0.71509999999999996</v>
      </c>
      <c r="E17" s="461">
        <f>B17-D17</f>
        <v>-0.53070384615384603</v>
      </c>
      <c r="F17"/>
      <c r="G17" s="17"/>
      <c r="H17" s="17"/>
      <c r="I17" s="17"/>
      <c r="J17" s="17"/>
    </row>
    <row r="18" spans="1:10">
      <c r="A18" s="455" t="s">
        <v>389</v>
      </c>
      <c r="B18" s="467">
        <f>GEN!Z34</f>
        <v>132</v>
      </c>
      <c r="C18" s="171">
        <f>'[9]Utility Cost '!D17</f>
        <v>199</v>
      </c>
      <c r="D18" s="459">
        <v>230</v>
      </c>
      <c r="E18" s="459">
        <f>B18-C18</f>
        <v>-67</v>
      </c>
      <c r="F18"/>
    </row>
    <row r="19" spans="1:10">
      <c r="A19" s="455"/>
      <c r="B19" s="466">
        <f>SUM(B18/F4)</f>
        <v>5.0769230769230766</v>
      </c>
      <c r="C19" s="459"/>
      <c r="D19" s="459"/>
      <c r="E19" s="459"/>
      <c r="F1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8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8" activePane="bottomLeft" state="frozen"/>
      <selection pane="bottomLeft" activeCell="M31" sqref="M31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31" customWidth="1"/>
    <col min="12" max="12" width="26.42578125" bestFit="1" customWidth="1"/>
    <col min="14" max="14" width="14.28515625" customWidth="1"/>
  </cols>
  <sheetData>
    <row r="1" spans="1:18" ht="39.75" customHeight="1" thickBot="1">
      <c r="A1" s="659" t="s">
        <v>51</v>
      </c>
      <c r="B1" s="671" t="s">
        <v>321</v>
      </c>
      <c r="C1" s="672"/>
      <c r="D1" s="674"/>
      <c r="E1" s="671" t="s">
        <v>322</v>
      </c>
      <c r="F1" s="672"/>
      <c r="G1" s="673"/>
      <c r="H1" s="668" t="s">
        <v>327</v>
      </c>
      <c r="I1" s="665" t="s">
        <v>328</v>
      </c>
      <c r="J1" s="662" t="s">
        <v>43</v>
      </c>
    </row>
    <row r="2" spans="1:18" ht="38.25" thickBot="1">
      <c r="A2" s="660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69"/>
      <c r="I2" s="666"/>
      <c r="J2" s="663"/>
    </row>
    <row r="3" spans="1:18" ht="24" customHeight="1" thickBot="1">
      <c r="A3" s="661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70"/>
      <c r="I3" s="667"/>
      <c r="J3" s="664"/>
    </row>
    <row r="4" spans="1:18" ht="19.5" thickBot="1">
      <c r="A4" s="249"/>
      <c r="B4" s="556"/>
      <c r="C4" s="556"/>
      <c r="D4" s="556"/>
      <c r="E4" s="556"/>
      <c r="F4" s="556"/>
      <c r="G4" s="556"/>
      <c r="H4" s="250">
        <v>0</v>
      </c>
      <c r="I4" s="250"/>
      <c r="J4" s="526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55" t="str">
        <f>ELEC!C2</f>
        <v>31-12-2019</v>
      </c>
      <c r="B5" s="557">
        <f>'[1]Swimming Pool quality check '!B36</f>
        <v>1</v>
      </c>
      <c r="C5" s="557">
        <f>'[1]Swimming Pool quality check '!C36</f>
        <v>7.8</v>
      </c>
      <c r="D5" s="557">
        <f>'[1]Swimming Pool quality check '!D36</f>
        <v>19</v>
      </c>
      <c r="E5" s="557">
        <f>'[1]Swimming Pool quality check '!E36</f>
        <v>1.3</v>
      </c>
      <c r="F5" s="557">
        <f>'[1]Swimming Pool quality check '!F36</f>
        <v>8.1999999999999993</v>
      </c>
      <c r="G5" s="557">
        <f>'[1]Swimming Pool quality check '!G36</f>
        <v>18</v>
      </c>
      <c r="H5" s="557">
        <f>'[1]Swimming Pool quality check '!H36</f>
        <v>5773</v>
      </c>
      <c r="I5" s="557">
        <f>'[1]Swimming Pool quality check '!I36</f>
        <v>0</v>
      </c>
      <c r="J5" s="572">
        <f>'[1]Swimming Pool quality check '!J36</f>
        <v>0.33333333333333398</v>
      </c>
      <c r="K5" s="430">
        <v>0</v>
      </c>
      <c r="L5" s="570">
        <f>'[1]Swimming Pool quality check '!L36</f>
        <v>43830</v>
      </c>
      <c r="M5" s="557">
        <f>'[1]Swimming Pool quality check '!M36</f>
        <v>5773</v>
      </c>
      <c r="N5" s="557">
        <f>'[1]Swimming Pool quality check '!N36</f>
        <v>0</v>
      </c>
      <c r="O5" s="557">
        <f>'[1]Swimming Pool quality check '!O36</f>
        <v>5773</v>
      </c>
    </row>
    <row r="6" spans="1:18" ht="15.75" customHeight="1" thickBot="1">
      <c r="A6" s="245">
        <f>ELEC!C3</f>
        <v>43831</v>
      </c>
      <c r="B6" s="557">
        <v>1.3</v>
      </c>
      <c r="C6" s="557">
        <v>7.8</v>
      </c>
      <c r="D6" s="557">
        <v>19</v>
      </c>
      <c r="E6" s="557">
        <v>1</v>
      </c>
      <c r="F6" s="557">
        <v>8.3000000000000007</v>
      </c>
      <c r="G6" s="557">
        <v>18</v>
      </c>
      <c r="H6" s="430">
        <f>O6</f>
        <v>5783</v>
      </c>
      <c r="I6" s="247">
        <f>M6-M5</f>
        <v>10</v>
      </c>
      <c r="J6" s="527">
        <v>0.29166666666666669</v>
      </c>
      <c r="L6" s="100">
        <f t="shared" ref="L6:L35" si="0">A6</f>
        <v>43831</v>
      </c>
      <c r="M6" s="3">
        <v>5783</v>
      </c>
      <c r="N6" s="3">
        <v>0</v>
      </c>
      <c r="O6" s="3">
        <f>SUM(M6:N6)</f>
        <v>5783</v>
      </c>
    </row>
    <row r="7" spans="1:18" ht="15.75" thickBot="1">
      <c r="A7" s="245">
        <f>ELEC!C4</f>
        <v>43832</v>
      </c>
      <c r="B7" s="557">
        <v>1.5</v>
      </c>
      <c r="C7" s="557">
        <v>7.8</v>
      </c>
      <c r="D7" s="557">
        <v>19</v>
      </c>
      <c r="E7" s="557">
        <v>1.5</v>
      </c>
      <c r="F7" s="557">
        <v>8.1</v>
      </c>
      <c r="G7" s="557">
        <v>19</v>
      </c>
      <c r="H7" s="430">
        <f t="shared" ref="H7:H36" si="1">O7</f>
        <v>5790</v>
      </c>
      <c r="I7" s="247">
        <f>M7-M6</f>
        <v>7</v>
      </c>
      <c r="J7" s="528">
        <v>0.29166666666666669</v>
      </c>
      <c r="L7" s="100">
        <f t="shared" si="0"/>
        <v>43832</v>
      </c>
      <c r="M7" s="3">
        <v>5790</v>
      </c>
      <c r="N7" s="3">
        <v>0</v>
      </c>
      <c r="O7" s="3">
        <f>SUM(M7:N7)</f>
        <v>5790</v>
      </c>
    </row>
    <row r="8" spans="1:18" ht="15.75" thickBot="1">
      <c r="A8" s="245">
        <f>ELEC!C5</f>
        <v>43833</v>
      </c>
      <c r="B8" s="557">
        <v>1.5</v>
      </c>
      <c r="C8" s="557">
        <v>7.8</v>
      </c>
      <c r="D8" s="557">
        <v>19</v>
      </c>
      <c r="E8" s="557">
        <v>1.5</v>
      </c>
      <c r="F8" s="557">
        <v>8</v>
      </c>
      <c r="G8" s="557">
        <v>19</v>
      </c>
      <c r="H8" s="430">
        <f t="shared" si="1"/>
        <v>5791</v>
      </c>
      <c r="I8" s="247">
        <f>M8-M7</f>
        <v>1</v>
      </c>
      <c r="J8" s="528">
        <v>0.29166666666666669</v>
      </c>
      <c r="L8" s="100">
        <f t="shared" si="0"/>
        <v>43833</v>
      </c>
      <c r="M8" s="3">
        <v>5791</v>
      </c>
      <c r="N8" s="3">
        <v>0</v>
      </c>
      <c r="O8" s="3">
        <f>SUM(M8:N8)</f>
        <v>5791</v>
      </c>
    </row>
    <row r="9" spans="1:18" ht="15.75" thickBot="1">
      <c r="A9" s="245">
        <f>ELEC!C6</f>
        <v>43834</v>
      </c>
      <c r="B9" s="557">
        <v>1.5</v>
      </c>
      <c r="C9" s="557">
        <v>7.8</v>
      </c>
      <c r="D9" s="557">
        <v>19</v>
      </c>
      <c r="E9" s="557">
        <v>1.5</v>
      </c>
      <c r="F9" s="557">
        <v>8</v>
      </c>
      <c r="G9" s="557">
        <v>19</v>
      </c>
      <c r="H9" s="430">
        <f t="shared" si="1"/>
        <v>5794</v>
      </c>
      <c r="I9" s="247">
        <f>M9-M8</f>
        <v>3</v>
      </c>
      <c r="J9" s="528">
        <v>0.29166666666666669</v>
      </c>
      <c r="L9" s="100">
        <f t="shared" si="0"/>
        <v>43834</v>
      </c>
      <c r="M9" s="3">
        <v>5794</v>
      </c>
      <c r="N9" s="3">
        <v>0</v>
      </c>
      <c r="O9" s="3">
        <f t="shared" ref="O9:O36" si="2">SUM(M9:N9)</f>
        <v>5794</v>
      </c>
    </row>
    <row r="10" spans="1:18" ht="15.75" thickBot="1">
      <c r="A10" s="245">
        <f>ELEC!C7</f>
        <v>43835</v>
      </c>
      <c r="B10" s="557">
        <v>1.5</v>
      </c>
      <c r="C10" s="557">
        <v>7.8</v>
      </c>
      <c r="D10" s="557">
        <v>19</v>
      </c>
      <c r="E10" s="557">
        <v>1.5</v>
      </c>
      <c r="F10" s="557">
        <v>8</v>
      </c>
      <c r="G10" s="557">
        <v>19</v>
      </c>
      <c r="H10" s="430">
        <f t="shared" si="1"/>
        <v>5796</v>
      </c>
      <c r="I10" s="247">
        <f t="shared" ref="I10:I36" si="3">H10-H9</f>
        <v>2</v>
      </c>
      <c r="J10" s="528">
        <v>0.29166666666666669</v>
      </c>
      <c r="L10" s="100">
        <f t="shared" si="0"/>
        <v>43835</v>
      </c>
      <c r="M10" s="3">
        <v>5796</v>
      </c>
      <c r="N10" s="3">
        <v>0</v>
      </c>
      <c r="O10" s="3">
        <f t="shared" si="2"/>
        <v>5796</v>
      </c>
    </row>
    <row r="11" spans="1:18" ht="15.75" thickBot="1">
      <c r="A11" s="245">
        <f>ELEC!C8</f>
        <v>43836</v>
      </c>
      <c r="B11" s="557">
        <v>2.5</v>
      </c>
      <c r="C11" s="557">
        <v>7.8</v>
      </c>
      <c r="D11" s="557">
        <v>19</v>
      </c>
      <c r="E11" s="557">
        <v>1.5</v>
      </c>
      <c r="F11" s="557">
        <v>8</v>
      </c>
      <c r="G11" s="557">
        <v>19</v>
      </c>
      <c r="H11" s="430">
        <f t="shared" si="1"/>
        <v>5800</v>
      </c>
      <c r="I11" s="247">
        <f t="shared" si="3"/>
        <v>4</v>
      </c>
      <c r="J11" s="528">
        <v>0.29166666666666669</v>
      </c>
      <c r="L11" s="100">
        <f t="shared" si="0"/>
        <v>43836</v>
      </c>
      <c r="M11" s="3">
        <v>5800</v>
      </c>
      <c r="N11" s="3">
        <v>0</v>
      </c>
      <c r="O11" s="3">
        <f t="shared" si="2"/>
        <v>5800</v>
      </c>
    </row>
    <row r="12" spans="1:18" ht="16.5" thickBot="1">
      <c r="A12" s="245">
        <f>ELEC!C9</f>
        <v>43837</v>
      </c>
      <c r="B12" s="557">
        <v>2.5</v>
      </c>
      <c r="C12" s="557">
        <v>7.8</v>
      </c>
      <c r="D12" s="557">
        <v>19</v>
      </c>
      <c r="E12" s="557">
        <v>2</v>
      </c>
      <c r="F12" s="557">
        <v>8</v>
      </c>
      <c r="G12" s="557">
        <v>19</v>
      </c>
      <c r="H12" s="430">
        <f t="shared" si="1"/>
        <v>5803</v>
      </c>
      <c r="I12" s="247">
        <f t="shared" si="3"/>
        <v>3</v>
      </c>
      <c r="J12" s="528">
        <v>0.29166666666666669</v>
      </c>
      <c r="L12" s="100">
        <f t="shared" si="0"/>
        <v>43837</v>
      </c>
      <c r="M12" s="3">
        <v>5803</v>
      </c>
      <c r="N12" s="3">
        <v>0</v>
      </c>
      <c r="O12" s="3">
        <f t="shared" si="2"/>
        <v>5803</v>
      </c>
      <c r="P12" s="472"/>
      <c r="Q12" s="379"/>
      <c r="R12" s="379"/>
    </row>
    <row r="13" spans="1:18" ht="15.75" thickBot="1">
      <c r="A13" s="245">
        <f>ELEC!C10</f>
        <v>43838</v>
      </c>
      <c r="B13" s="557">
        <v>2</v>
      </c>
      <c r="C13" s="557">
        <v>6.8</v>
      </c>
      <c r="D13" s="557">
        <v>19</v>
      </c>
      <c r="E13" s="557">
        <v>1.5</v>
      </c>
      <c r="F13" s="557">
        <v>7.4</v>
      </c>
      <c r="G13" s="557">
        <v>19</v>
      </c>
      <c r="H13" s="430">
        <f t="shared" si="1"/>
        <v>5803</v>
      </c>
      <c r="I13" s="247">
        <f>M13-M12</f>
        <v>0</v>
      </c>
      <c r="J13" s="528">
        <v>0.29166666666666669</v>
      </c>
      <c r="L13" s="100">
        <f t="shared" si="0"/>
        <v>43838</v>
      </c>
      <c r="M13" s="3">
        <v>5803</v>
      </c>
      <c r="N13" s="3">
        <v>0</v>
      </c>
      <c r="O13" s="3">
        <f t="shared" si="2"/>
        <v>5803</v>
      </c>
    </row>
    <row r="14" spans="1:18" ht="15.75" thickBot="1">
      <c r="A14" s="245">
        <f>ELEC!C11</f>
        <v>43839</v>
      </c>
      <c r="B14" s="557">
        <v>2</v>
      </c>
      <c r="C14" s="557">
        <v>8</v>
      </c>
      <c r="D14" s="557">
        <v>19</v>
      </c>
      <c r="E14" s="557">
        <v>2.5</v>
      </c>
      <c r="F14" s="557">
        <v>8</v>
      </c>
      <c r="G14" s="557">
        <v>19</v>
      </c>
      <c r="H14" s="430">
        <f t="shared" si="1"/>
        <v>5805</v>
      </c>
      <c r="I14" s="247">
        <f>M14-M13</f>
        <v>2</v>
      </c>
      <c r="J14" s="528">
        <v>0.29166666666666669</v>
      </c>
      <c r="L14" s="100">
        <f t="shared" si="0"/>
        <v>43839</v>
      </c>
      <c r="M14" s="3">
        <v>5805</v>
      </c>
      <c r="N14" s="3">
        <v>0</v>
      </c>
      <c r="O14" s="3">
        <f t="shared" si="2"/>
        <v>5805</v>
      </c>
    </row>
    <row r="15" spans="1:18" ht="15.75" thickBot="1">
      <c r="A15" s="245">
        <f>ELEC!C12</f>
        <v>43840</v>
      </c>
      <c r="B15" s="557">
        <v>2.5</v>
      </c>
      <c r="C15" s="557">
        <v>8</v>
      </c>
      <c r="D15" s="557">
        <v>19</v>
      </c>
      <c r="E15" s="557">
        <v>2</v>
      </c>
      <c r="F15" s="557">
        <v>7.8</v>
      </c>
      <c r="G15" s="557">
        <v>19</v>
      </c>
      <c r="H15" s="430">
        <f t="shared" si="1"/>
        <v>5805</v>
      </c>
      <c r="I15" s="247">
        <f>M15-M14</f>
        <v>0</v>
      </c>
      <c r="J15" s="528">
        <v>0.29166666666666669</v>
      </c>
      <c r="L15" s="100">
        <f t="shared" si="0"/>
        <v>43840</v>
      </c>
      <c r="M15" s="3">
        <f t="shared" ref="M15:M36" si="4">M14</f>
        <v>5805</v>
      </c>
      <c r="N15" s="3">
        <v>0</v>
      </c>
      <c r="O15" s="3">
        <f t="shared" si="2"/>
        <v>5805</v>
      </c>
    </row>
    <row r="16" spans="1:18" ht="15.75" thickBot="1">
      <c r="A16" s="245">
        <f>ELEC!C13</f>
        <v>43841</v>
      </c>
      <c r="B16" s="557">
        <v>2</v>
      </c>
      <c r="C16" s="557">
        <v>6.8</v>
      </c>
      <c r="D16" s="557">
        <v>19</v>
      </c>
      <c r="E16" s="557">
        <v>2</v>
      </c>
      <c r="F16" s="557">
        <v>7.8</v>
      </c>
      <c r="G16" s="557">
        <v>19</v>
      </c>
      <c r="H16" s="430">
        <f t="shared" si="1"/>
        <v>5813</v>
      </c>
      <c r="I16" s="247">
        <f>M16-M15</f>
        <v>8</v>
      </c>
      <c r="J16" s="528">
        <v>0.29166666666666669</v>
      </c>
      <c r="L16" s="100">
        <f t="shared" si="0"/>
        <v>43841</v>
      </c>
      <c r="M16" s="3">
        <v>5813</v>
      </c>
      <c r="N16" s="3">
        <v>0</v>
      </c>
      <c r="O16" s="3">
        <f t="shared" si="2"/>
        <v>5813</v>
      </c>
    </row>
    <row r="17" spans="1:17" ht="15.75" thickBot="1">
      <c r="A17" s="245">
        <f>ELEC!C14</f>
        <v>43842</v>
      </c>
      <c r="B17" s="557">
        <v>2</v>
      </c>
      <c r="C17" s="557">
        <v>6.4</v>
      </c>
      <c r="D17" s="557">
        <v>14</v>
      </c>
      <c r="E17" s="557">
        <v>2</v>
      </c>
      <c r="F17" s="557">
        <v>7.8</v>
      </c>
      <c r="G17" s="557">
        <v>18</v>
      </c>
      <c r="H17" s="430">
        <f t="shared" si="1"/>
        <v>5819</v>
      </c>
      <c r="I17" s="247">
        <f t="shared" si="3"/>
        <v>6</v>
      </c>
      <c r="J17" s="528">
        <v>0.29166666666666669</v>
      </c>
      <c r="L17" s="100">
        <f t="shared" si="0"/>
        <v>43842</v>
      </c>
      <c r="M17" s="3">
        <v>5819</v>
      </c>
      <c r="N17" s="3">
        <v>0</v>
      </c>
      <c r="O17" s="3">
        <f t="shared" si="2"/>
        <v>5819</v>
      </c>
    </row>
    <row r="18" spans="1:17" ht="15.75" thickBot="1">
      <c r="A18" s="245">
        <f>ELEC!C15</f>
        <v>43843</v>
      </c>
      <c r="B18" s="557">
        <v>1.5</v>
      </c>
      <c r="C18" s="557">
        <v>6.8</v>
      </c>
      <c r="D18" s="557">
        <v>14</v>
      </c>
      <c r="E18" s="557">
        <v>1.5</v>
      </c>
      <c r="F18" s="557">
        <v>7.8</v>
      </c>
      <c r="G18" s="557">
        <v>18</v>
      </c>
      <c r="H18" s="430">
        <f t="shared" si="1"/>
        <v>5822</v>
      </c>
      <c r="I18" s="247">
        <f t="shared" si="3"/>
        <v>3</v>
      </c>
      <c r="J18" s="528">
        <v>0.29166666666666669</v>
      </c>
      <c r="L18" s="100">
        <f t="shared" si="0"/>
        <v>43843</v>
      </c>
      <c r="M18" s="3">
        <v>5822</v>
      </c>
      <c r="N18" s="3">
        <v>0</v>
      </c>
      <c r="O18" s="3">
        <f t="shared" si="2"/>
        <v>5822</v>
      </c>
    </row>
    <row r="19" spans="1:17" ht="15.75" thickBot="1">
      <c r="A19" s="245">
        <f>ELEC!C16</f>
        <v>43844</v>
      </c>
      <c r="B19" s="557">
        <v>2</v>
      </c>
      <c r="C19" s="557">
        <v>6.4</v>
      </c>
      <c r="D19" s="557">
        <v>14</v>
      </c>
      <c r="E19" s="557">
        <v>1.5</v>
      </c>
      <c r="F19" s="557">
        <v>7.8</v>
      </c>
      <c r="G19" s="571">
        <v>18</v>
      </c>
      <c r="H19" s="430">
        <f t="shared" si="1"/>
        <v>5826</v>
      </c>
      <c r="I19" s="247">
        <f t="shared" si="3"/>
        <v>4</v>
      </c>
      <c r="J19" s="528">
        <v>0.29166666666666669</v>
      </c>
      <c r="L19" s="100">
        <f t="shared" si="0"/>
        <v>43844</v>
      </c>
      <c r="M19" s="3">
        <v>5826</v>
      </c>
      <c r="N19" s="3">
        <v>0</v>
      </c>
      <c r="O19" s="3">
        <f t="shared" si="2"/>
        <v>5826</v>
      </c>
    </row>
    <row r="20" spans="1:17" ht="15.75" thickBot="1">
      <c r="A20" s="245">
        <f>ELEC!C17</f>
        <v>43845</v>
      </c>
      <c r="B20" s="557">
        <v>1.8</v>
      </c>
      <c r="C20" s="557">
        <v>8</v>
      </c>
      <c r="D20" s="557">
        <v>18</v>
      </c>
      <c r="E20" s="557">
        <v>2</v>
      </c>
      <c r="F20" s="557">
        <v>8</v>
      </c>
      <c r="G20" s="557">
        <v>17</v>
      </c>
      <c r="H20" s="430">
        <f t="shared" si="1"/>
        <v>5832</v>
      </c>
      <c r="I20" s="247">
        <f t="shared" si="3"/>
        <v>6</v>
      </c>
      <c r="J20" s="528">
        <v>0.29166666666666669</v>
      </c>
      <c r="L20" s="100">
        <f t="shared" si="0"/>
        <v>43845</v>
      </c>
      <c r="M20" s="3">
        <v>5832</v>
      </c>
      <c r="N20" s="3">
        <v>0</v>
      </c>
      <c r="O20" s="3">
        <f t="shared" si="2"/>
        <v>5832</v>
      </c>
    </row>
    <row r="21" spans="1:17" ht="15.75" thickBot="1">
      <c r="A21" s="245">
        <f>ELEC!C18</f>
        <v>43846</v>
      </c>
      <c r="B21" s="557">
        <v>2</v>
      </c>
      <c r="C21" s="557">
        <v>8</v>
      </c>
      <c r="D21" s="557">
        <v>19</v>
      </c>
      <c r="E21" s="557">
        <v>2.5</v>
      </c>
      <c r="F21" s="557">
        <v>8</v>
      </c>
      <c r="G21" s="557">
        <v>18</v>
      </c>
      <c r="H21" s="430">
        <f t="shared" si="1"/>
        <v>5834</v>
      </c>
      <c r="I21" s="247">
        <f t="shared" si="3"/>
        <v>2</v>
      </c>
      <c r="J21" s="528">
        <v>0.29166666666666669</v>
      </c>
      <c r="L21" s="100">
        <f t="shared" si="0"/>
        <v>43846</v>
      </c>
      <c r="M21" s="3">
        <v>5834</v>
      </c>
      <c r="N21" s="3">
        <v>0</v>
      </c>
      <c r="O21" s="3">
        <f t="shared" si="2"/>
        <v>5834</v>
      </c>
    </row>
    <row r="22" spans="1:17" ht="15.75" thickBot="1">
      <c r="A22" s="245">
        <f>ELEC!C19</f>
        <v>43847</v>
      </c>
      <c r="B22" s="557">
        <v>1.5</v>
      </c>
      <c r="C22" s="557">
        <v>8</v>
      </c>
      <c r="D22" s="557">
        <v>19</v>
      </c>
      <c r="E22" s="557">
        <v>1.5</v>
      </c>
      <c r="F22" s="557">
        <v>8</v>
      </c>
      <c r="G22" s="557">
        <v>17</v>
      </c>
      <c r="H22" s="430">
        <f t="shared" si="1"/>
        <v>5834</v>
      </c>
      <c r="I22" s="247">
        <f t="shared" si="3"/>
        <v>0</v>
      </c>
      <c r="J22" s="528">
        <v>0.29166666666666669</v>
      </c>
      <c r="L22" s="100">
        <f t="shared" si="0"/>
        <v>43847</v>
      </c>
      <c r="M22" s="3">
        <f t="shared" si="4"/>
        <v>5834</v>
      </c>
      <c r="N22" s="3">
        <v>0</v>
      </c>
      <c r="O22" s="3">
        <f t="shared" si="2"/>
        <v>5834</v>
      </c>
    </row>
    <row r="23" spans="1:17" ht="15.75" thickBot="1">
      <c r="A23" s="245">
        <f>ELEC!C20</f>
        <v>43848</v>
      </c>
      <c r="B23" s="557">
        <v>1.5</v>
      </c>
      <c r="C23" s="557">
        <v>8</v>
      </c>
      <c r="D23" s="557">
        <v>19</v>
      </c>
      <c r="E23" s="557">
        <v>2.5</v>
      </c>
      <c r="F23" s="557">
        <v>7.8</v>
      </c>
      <c r="G23" s="557">
        <v>17</v>
      </c>
      <c r="H23" s="430">
        <v>5846</v>
      </c>
      <c r="I23" s="247">
        <f t="shared" si="3"/>
        <v>12</v>
      </c>
      <c r="J23" s="528">
        <v>0.29166666666666669</v>
      </c>
      <c r="L23" s="100">
        <f t="shared" si="0"/>
        <v>43848</v>
      </c>
      <c r="M23" s="3">
        <v>5846</v>
      </c>
      <c r="N23" s="3">
        <v>0</v>
      </c>
      <c r="O23" s="3">
        <f t="shared" si="2"/>
        <v>5846</v>
      </c>
    </row>
    <row r="24" spans="1:17" ht="15.75" thickBot="1">
      <c r="A24" s="245">
        <f>ELEC!C21</f>
        <v>43849</v>
      </c>
      <c r="B24" s="557">
        <v>1.5</v>
      </c>
      <c r="C24" s="557">
        <v>8</v>
      </c>
      <c r="D24" s="557">
        <v>19</v>
      </c>
      <c r="E24" s="557">
        <v>2.5</v>
      </c>
      <c r="F24" s="557">
        <v>7.8</v>
      </c>
      <c r="G24" s="557">
        <v>17</v>
      </c>
      <c r="H24" s="430">
        <v>5846</v>
      </c>
      <c r="I24" s="247">
        <f t="shared" si="3"/>
        <v>0</v>
      </c>
      <c r="J24" s="528">
        <v>0.29166666666666702</v>
      </c>
      <c r="L24" s="100">
        <f t="shared" si="0"/>
        <v>43849</v>
      </c>
      <c r="M24" s="3">
        <v>5846</v>
      </c>
      <c r="N24" s="3">
        <v>0</v>
      </c>
      <c r="O24" s="3">
        <f t="shared" si="2"/>
        <v>5846</v>
      </c>
    </row>
    <row r="25" spans="1:17" ht="15.75" thickBot="1">
      <c r="A25" s="245">
        <f>ELEC!C22</f>
        <v>43850</v>
      </c>
      <c r="B25" s="557">
        <v>2</v>
      </c>
      <c r="C25" s="557">
        <v>8</v>
      </c>
      <c r="D25" s="557">
        <v>18</v>
      </c>
      <c r="E25" s="557">
        <v>2.5</v>
      </c>
      <c r="F25" s="557">
        <v>7.8</v>
      </c>
      <c r="G25" s="557">
        <v>17</v>
      </c>
      <c r="H25" s="430">
        <f t="shared" si="1"/>
        <v>5849</v>
      </c>
      <c r="I25" s="247">
        <f t="shared" si="3"/>
        <v>3</v>
      </c>
      <c r="J25" s="528">
        <v>0.29166666666666702</v>
      </c>
      <c r="L25" s="100">
        <f t="shared" si="0"/>
        <v>43850</v>
      </c>
      <c r="M25" s="3">
        <v>5849</v>
      </c>
      <c r="N25" s="3">
        <v>0</v>
      </c>
      <c r="O25" s="3">
        <f t="shared" si="2"/>
        <v>5849</v>
      </c>
    </row>
    <row r="26" spans="1:17" ht="15.75" thickBot="1">
      <c r="A26" s="245">
        <f>ELEC!C23</f>
        <v>43851</v>
      </c>
      <c r="B26" s="557">
        <v>2</v>
      </c>
      <c r="C26" s="557">
        <v>8</v>
      </c>
      <c r="D26" s="557">
        <v>18</v>
      </c>
      <c r="E26" s="557">
        <v>2</v>
      </c>
      <c r="F26" s="557">
        <v>7.8</v>
      </c>
      <c r="G26" s="557">
        <v>17</v>
      </c>
      <c r="H26" s="430">
        <f t="shared" si="1"/>
        <v>5853</v>
      </c>
      <c r="I26" s="247">
        <f t="shared" si="3"/>
        <v>4</v>
      </c>
      <c r="J26" s="528">
        <v>0.29166666666666702</v>
      </c>
      <c r="L26" s="100">
        <f t="shared" si="0"/>
        <v>43851</v>
      </c>
      <c r="M26" s="3">
        <v>5853</v>
      </c>
      <c r="N26" s="3">
        <v>0</v>
      </c>
      <c r="O26" s="3">
        <f t="shared" si="2"/>
        <v>5853</v>
      </c>
    </row>
    <row r="27" spans="1:17" ht="15.75" thickBot="1">
      <c r="A27" s="245">
        <f>ELEC!C24</f>
        <v>43852</v>
      </c>
      <c r="B27" s="557">
        <v>2</v>
      </c>
      <c r="C27" s="557">
        <v>8</v>
      </c>
      <c r="D27" s="557">
        <v>18</v>
      </c>
      <c r="E27" s="557">
        <v>2</v>
      </c>
      <c r="F27" s="557">
        <v>7.8</v>
      </c>
      <c r="G27" s="557">
        <v>17</v>
      </c>
      <c r="H27" s="430">
        <v>5858</v>
      </c>
      <c r="I27" s="247">
        <f t="shared" si="3"/>
        <v>5</v>
      </c>
      <c r="J27" s="528">
        <v>0.29166666666666702</v>
      </c>
      <c r="L27" s="100">
        <f t="shared" si="0"/>
        <v>43852</v>
      </c>
      <c r="M27" s="3">
        <v>5858</v>
      </c>
      <c r="N27" s="3">
        <v>0</v>
      </c>
      <c r="O27" s="3">
        <f t="shared" si="2"/>
        <v>5858</v>
      </c>
    </row>
    <row r="28" spans="1:17" ht="15.75" thickBot="1">
      <c r="A28" s="245">
        <f>ELEC!C25</f>
        <v>43853</v>
      </c>
      <c r="B28" s="557">
        <v>2</v>
      </c>
      <c r="C28" s="557">
        <v>8</v>
      </c>
      <c r="D28" s="557">
        <v>18.2</v>
      </c>
      <c r="E28" s="557">
        <v>2</v>
      </c>
      <c r="F28" s="557">
        <v>7.8</v>
      </c>
      <c r="G28" s="557">
        <v>17</v>
      </c>
      <c r="H28" s="430">
        <f t="shared" si="1"/>
        <v>5859</v>
      </c>
      <c r="I28" s="247">
        <f t="shared" si="3"/>
        <v>1</v>
      </c>
      <c r="J28" s="529">
        <v>0.29166666666666702</v>
      </c>
      <c r="L28" s="100">
        <f t="shared" si="0"/>
        <v>43853</v>
      </c>
      <c r="M28" s="3">
        <v>5859</v>
      </c>
      <c r="N28" s="3">
        <v>0</v>
      </c>
      <c r="O28" s="3">
        <f t="shared" si="2"/>
        <v>5859</v>
      </c>
    </row>
    <row r="29" spans="1:17" ht="15.75" thickBot="1">
      <c r="A29" s="245">
        <f>ELEC!C26</f>
        <v>43854</v>
      </c>
      <c r="B29" s="557">
        <v>1.5</v>
      </c>
      <c r="C29" s="557">
        <v>8</v>
      </c>
      <c r="D29" s="557">
        <v>18</v>
      </c>
      <c r="E29" s="557">
        <v>1.8</v>
      </c>
      <c r="F29" s="557">
        <v>7.8</v>
      </c>
      <c r="G29" s="557">
        <v>17</v>
      </c>
      <c r="H29" s="430">
        <f t="shared" si="1"/>
        <v>5861</v>
      </c>
      <c r="I29" s="247">
        <f t="shared" si="3"/>
        <v>2</v>
      </c>
      <c r="J29" s="528">
        <v>0.29166666666666702</v>
      </c>
      <c r="L29" s="100">
        <f t="shared" si="0"/>
        <v>43854</v>
      </c>
      <c r="M29" s="3">
        <v>5861</v>
      </c>
      <c r="N29" s="3">
        <v>0</v>
      </c>
      <c r="O29" s="3">
        <f t="shared" si="2"/>
        <v>5861</v>
      </c>
    </row>
    <row r="30" spans="1:17" ht="15.75" thickBot="1">
      <c r="A30" s="245">
        <f>ELEC!C27</f>
        <v>43855</v>
      </c>
      <c r="B30" s="557">
        <v>1.4</v>
      </c>
      <c r="C30" s="557">
        <v>7.8</v>
      </c>
      <c r="D30" s="557">
        <v>18</v>
      </c>
      <c r="E30" s="557">
        <v>1.8</v>
      </c>
      <c r="F30" s="557">
        <v>8</v>
      </c>
      <c r="G30" s="557">
        <v>8</v>
      </c>
      <c r="H30" s="430">
        <f t="shared" si="1"/>
        <v>5862</v>
      </c>
      <c r="I30" s="247">
        <f t="shared" si="3"/>
        <v>1</v>
      </c>
      <c r="J30" s="528">
        <v>0.29166666666666702</v>
      </c>
      <c r="L30" s="100">
        <f t="shared" si="0"/>
        <v>43855</v>
      </c>
      <c r="M30" s="3">
        <v>5862</v>
      </c>
      <c r="N30" s="3">
        <v>0</v>
      </c>
      <c r="O30" s="3">
        <f>SUM(M30:N30)</f>
        <v>5862</v>
      </c>
    </row>
    <row r="31" spans="1:17" ht="15.75" thickBot="1">
      <c r="A31" s="245">
        <f>ELEC!C28</f>
        <v>43856</v>
      </c>
      <c r="B31" s="557">
        <v>2.5</v>
      </c>
      <c r="C31" s="557">
        <v>7.8</v>
      </c>
      <c r="D31" s="557">
        <v>18</v>
      </c>
      <c r="E31" s="557">
        <v>2</v>
      </c>
      <c r="F31" s="557">
        <v>8</v>
      </c>
      <c r="G31" s="557">
        <v>17</v>
      </c>
      <c r="H31" s="430">
        <f t="shared" si="1"/>
        <v>5885</v>
      </c>
      <c r="I31" s="247">
        <f t="shared" si="3"/>
        <v>23</v>
      </c>
      <c r="J31" s="528">
        <v>0.29166666666666702</v>
      </c>
      <c r="L31" s="100">
        <f t="shared" si="0"/>
        <v>43856</v>
      </c>
      <c r="M31" s="3">
        <v>5885</v>
      </c>
      <c r="N31" s="3">
        <v>0</v>
      </c>
      <c r="O31" s="3">
        <f t="shared" si="2"/>
        <v>5885</v>
      </c>
    </row>
    <row r="32" spans="1:17" ht="15.75" thickBot="1">
      <c r="A32" s="245">
        <f>ELEC!C29</f>
        <v>43857</v>
      </c>
      <c r="B32" s="557"/>
      <c r="C32" s="557"/>
      <c r="D32" s="557"/>
      <c r="E32" s="557"/>
      <c r="F32" s="557"/>
      <c r="G32" s="557"/>
      <c r="H32" s="430">
        <f t="shared" si="1"/>
        <v>5885</v>
      </c>
      <c r="I32" s="247">
        <f t="shared" si="3"/>
        <v>0</v>
      </c>
      <c r="J32" s="528">
        <v>0.29166666666666702</v>
      </c>
      <c r="L32" s="100">
        <f t="shared" si="0"/>
        <v>43857</v>
      </c>
      <c r="M32" s="3">
        <f t="shared" si="4"/>
        <v>5885</v>
      </c>
      <c r="N32" s="3">
        <v>0</v>
      </c>
      <c r="O32" s="3">
        <f t="shared" si="2"/>
        <v>5885</v>
      </c>
    </row>
    <row r="33" spans="1:15" ht="15.75" thickBot="1">
      <c r="A33" s="245">
        <f>ELEC!C30</f>
        <v>43858</v>
      </c>
      <c r="B33" s="557"/>
      <c r="C33" s="557"/>
      <c r="D33" s="557"/>
      <c r="E33" s="557"/>
      <c r="F33" s="557"/>
      <c r="G33" s="557"/>
      <c r="H33" s="430">
        <f t="shared" si="1"/>
        <v>5885</v>
      </c>
      <c r="I33" s="247">
        <f t="shared" si="3"/>
        <v>0</v>
      </c>
      <c r="J33" s="528">
        <v>0.29166666666666702</v>
      </c>
      <c r="L33" s="100">
        <f t="shared" si="0"/>
        <v>43858</v>
      </c>
      <c r="M33" s="3">
        <f t="shared" si="4"/>
        <v>5885</v>
      </c>
      <c r="N33" s="3">
        <v>0</v>
      </c>
      <c r="O33" s="3">
        <f t="shared" si="2"/>
        <v>5885</v>
      </c>
    </row>
    <row r="34" spans="1:15" ht="15.75" thickBot="1">
      <c r="A34" s="245">
        <f>ELEC!C31</f>
        <v>43859</v>
      </c>
      <c r="B34" s="557"/>
      <c r="C34" s="557"/>
      <c r="D34" s="557"/>
      <c r="E34" s="557"/>
      <c r="F34" s="557"/>
      <c r="G34" s="557"/>
      <c r="H34" s="430">
        <f t="shared" si="1"/>
        <v>5885</v>
      </c>
      <c r="I34" s="247">
        <f t="shared" si="3"/>
        <v>0</v>
      </c>
      <c r="J34" s="528">
        <v>0.29166666666666702</v>
      </c>
      <c r="L34" s="100">
        <f t="shared" si="0"/>
        <v>43859</v>
      </c>
      <c r="M34" s="3">
        <f t="shared" si="4"/>
        <v>5885</v>
      </c>
      <c r="N34" s="3">
        <v>0</v>
      </c>
      <c r="O34" s="3">
        <f t="shared" si="2"/>
        <v>5885</v>
      </c>
    </row>
    <row r="35" spans="1:15" ht="15.75" thickBot="1">
      <c r="A35" s="431">
        <f>ELEC!C32</f>
        <v>43860</v>
      </c>
      <c r="B35" s="557"/>
      <c r="C35" s="557"/>
      <c r="D35" s="557"/>
      <c r="E35" s="557"/>
      <c r="F35" s="557"/>
      <c r="G35" s="557"/>
      <c r="H35" s="430">
        <f t="shared" si="1"/>
        <v>5885</v>
      </c>
      <c r="I35" s="247">
        <f t="shared" si="3"/>
        <v>0</v>
      </c>
      <c r="J35" s="530">
        <v>0.29166666666666702</v>
      </c>
      <c r="L35" s="100">
        <f t="shared" si="0"/>
        <v>43860</v>
      </c>
      <c r="M35" s="3">
        <f t="shared" si="4"/>
        <v>5885</v>
      </c>
      <c r="N35" s="3">
        <v>0</v>
      </c>
      <c r="O35" s="3">
        <f t="shared" si="2"/>
        <v>5885</v>
      </c>
    </row>
    <row r="36" spans="1:15" ht="15.75" thickBot="1">
      <c r="A36" s="431">
        <f>ELEC!C33</f>
        <v>43861</v>
      </c>
      <c r="B36" s="557"/>
      <c r="C36" s="557"/>
      <c r="D36" s="557"/>
      <c r="E36" s="557"/>
      <c r="F36" s="557"/>
      <c r="G36" s="557"/>
      <c r="H36" s="430">
        <f t="shared" si="1"/>
        <v>5885</v>
      </c>
      <c r="I36" s="247">
        <f t="shared" si="3"/>
        <v>0</v>
      </c>
      <c r="J36" s="530">
        <v>0.33333333333333398</v>
      </c>
      <c r="L36" s="100">
        <f>A36</f>
        <v>43861</v>
      </c>
      <c r="M36" s="3">
        <f t="shared" si="4"/>
        <v>5885</v>
      </c>
      <c r="N36" s="3">
        <v>0</v>
      </c>
      <c r="O36" s="3">
        <f t="shared" si="2"/>
        <v>5885</v>
      </c>
    </row>
    <row r="37" spans="1:15" ht="15.75" thickBot="1">
      <c r="A37" s="416"/>
      <c r="B37" s="532"/>
      <c r="C37" s="533"/>
      <c r="D37" s="533"/>
      <c r="E37" s="533"/>
      <c r="F37" s="533"/>
      <c r="G37" s="533"/>
      <c r="H37" s="534"/>
      <c r="I37" s="535"/>
      <c r="J37" s="536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30" sqref="J30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K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2018</vt:lpstr>
      <vt:lpstr>Utility Cost </vt:lpstr>
      <vt:lpstr>MDB</vt:lpstr>
      <vt:lpstr>Swimming Pool quality check </vt:lpstr>
      <vt:lpstr>Sheet2</vt:lpstr>
      <vt:lpstr>Sheet6</vt:lpstr>
      <vt:lpstr>Sheet7</vt:lpstr>
      <vt:lpstr>Sheet3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2019-11-26T05:48:35Z</cp:lastPrinted>
  <dcterms:created xsi:type="dcterms:W3CDTF">2015-01-02T09:20:21Z</dcterms:created>
  <dcterms:modified xsi:type="dcterms:W3CDTF">2020-01-27T05:07:22Z</dcterms:modified>
</cp:coreProperties>
</file>