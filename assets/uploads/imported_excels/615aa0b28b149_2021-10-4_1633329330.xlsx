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36" documentId="13_ncr:1_{76C55D63-F869-4AF5-AAA3-3D809A91432B}" xr6:coauthVersionLast="47" xr6:coauthVersionMax="47" xr10:uidLastSave="{6417EFBC-21FA-4E9B-B99B-EEA1F4870760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27" l="1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<sst xmlns="http://schemas.openxmlformats.org/spreadsheetml/2006/main" count="72" uniqueCount="33">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</sst>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0</v>
      </c>
      <c r="F4" s="14">
        <v>0.08</v>
      </c>
      <c r="G4" s="11">
        <f>IF('Water, Gas, Diesel'!K9&lt;0,0,'Water, Gas, Diesel'!K9)</f>
        <v>13630</v>
      </c>
      <c r="H4" s="98">
        <v>0.58489999999999998</v>
      </c>
      <c r="I4" s="11">
        <f>IF('Water, Gas, Diesel'!C9&lt;0,0,'Water, Gas, Diesel'!C9)</f>
        <v>0</v>
      </c>
      <c r="J4" s="98">
        <v>0.1694</v>
      </c>
      <c r="K4" s="11">
        <f>IF('Water, Gas, Diesel'!F9&lt;0,0,'Water, Gas, Diesel'!F9)</f>
        <v>0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0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0</v>
      </c>
      <c r="J5" s="98">
        <v>0.1694</v>
      </c>
      <c r="K5" s="11">
        <f>IF('Water, Gas, Diesel'!F10&lt;0,0,'Water, Gas, Diesel'!F10)</f>
        <v>0</v>
      </c>
      <c r="L5" s="98">
        <v>1.6949000000000001</v>
      </c>
      <c r="M5" s="11">
        <f>Electricity!H11</f>
        <v>0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0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0</v>
      </c>
      <c r="J6" s="98">
        <v>0.1694</v>
      </c>
      <c r="K6" s="11">
        <f>IF('Water, Gas, Diesel'!F11&lt;0,0,'Water, Gas, Diesel'!F11)</f>
        <v>0</v>
      </c>
      <c r="L6" s="98">
        <v>1.6949000000000001</v>
      </c>
      <c r="M6" s="11">
        <f>Electricity!H12</f>
        <v>0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0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0</v>
      </c>
      <c r="J7" s="98">
        <v>0.1694</v>
      </c>
      <c r="K7" s="11">
        <f>IF('Water, Gas, Diesel'!F12&lt;0,0,'Water, Gas, Diesel'!F12)</f>
        <v>0</v>
      </c>
      <c r="L7" s="98">
        <v>1.6949000000000001</v>
      </c>
      <c r="M7" s="11">
        <f>Electricity!H13</f>
        <v>0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0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0</v>
      </c>
      <c r="J8" s="98">
        <v>0.1694</v>
      </c>
      <c r="K8" s="11">
        <f>IF('Water, Gas, Diesel'!F13&lt;0,0,'Water, Gas, Diesel'!F13)</f>
        <v>0</v>
      </c>
      <c r="L8" s="98">
        <v>1.6949000000000001</v>
      </c>
      <c r="M8" s="11">
        <f>Electricity!H14</f>
        <v>0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0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0</v>
      </c>
      <c r="J9" s="98">
        <v>0.1694</v>
      </c>
      <c r="K9" s="11">
        <f>IF('Water, Gas, Diesel'!F14&lt;0,0,'Water, Gas, Diesel'!F14)</f>
        <v>0</v>
      </c>
      <c r="L9" s="98">
        <v>1.6949000000000001</v>
      </c>
      <c r="M9" s="11">
        <f>Electricity!H15</f>
        <v>0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0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0</v>
      </c>
      <c r="J10" s="98">
        <v>0.1694</v>
      </c>
      <c r="K10" s="11">
        <f>IF('Water, Gas, Diesel'!F15&lt;0,0,'Water, Gas, Diesel'!F15)</f>
        <v>0</v>
      </c>
      <c r="L10" s="98">
        <v>1.6949000000000001</v>
      </c>
      <c r="M10" s="11">
        <f>Electricity!H16</f>
        <v>0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0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0</v>
      </c>
      <c r="J11" s="98">
        <v>0.1694</v>
      </c>
      <c r="K11" s="11">
        <f>IF('Water, Gas, Diesel'!F16&lt;0,0,'Water, Gas, Diesel'!F16)</f>
        <v>0</v>
      </c>
      <c r="L11" s="98">
        <v>1.6949000000000001</v>
      </c>
      <c r="M11" s="11">
        <f>Electricity!H17</f>
        <v>0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0</v>
      </c>
      <c r="J12" s="98">
        <v>0.1694</v>
      </c>
      <c r="K12" s="11">
        <f>IF('Water, Gas, Diesel'!F17&lt;0,0,'Water, Gas, Diesel'!F17)</f>
        <v>0</v>
      </c>
      <c r="L12" s="98">
        <v>1.6949000000000001</v>
      </c>
      <c r="M12" s="11">
        <f>Electricity!H18</f>
        <v>0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8" activePane="bottomLeft" state="frozen"/>
      <selection pane="bottomLeft" activeCell="K9" sqref="K9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-36132375</v>
      </c>
      <c r="D10" s="88">
        <v>14655.079</v>
      </c>
      <c r="E10" s="84">
        <f t="shared" si="1"/>
        <v>-36637697.5</v>
      </c>
      <c r="F10" s="53">
        <f t="shared" si="2"/>
        <v>-72770072.5</v>
      </c>
      <c r="G10" s="87">
        <f t="shared" ref="G10:G38" si="3">F10*0.08</f>
        <v>-5821605.7999999998</v>
      </c>
      <c r="H10" s="87">
        <v>41</v>
      </c>
    </row>
    <row r="11" spans="1:8" ht="30.95" customHeight="1">
      <c r="A11" s="47">
        <v>4</v>
      </c>
      <c r="B11" s="89"/>
      <c r="C11" s="41">
        <f t="shared" si="0"/>
        <v>0</v>
      </c>
      <c r="D11" s="90"/>
      <c r="E11" s="41">
        <f t="shared" si="1"/>
        <v>0</v>
      </c>
      <c r="F11" s="49">
        <f t="shared" si="2"/>
        <v>0</v>
      </c>
      <c r="G11" s="87">
        <f t="shared" si="3"/>
        <v>0</v>
      </c>
      <c r="H11" s="87"/>
    </row>
    <row r="12" spans="1:8" ht="30.95" customHeight="1">
      <c r="A12" s="42">
        <v>5</v>
      </c>
      <c r="B12" s="91"/>
      <c r="C12" s="84">
        <f t="shared" si="0"/>
        <v>0</v>
      </c>
      <c r="D12" s="88"/>
      <c r="E12" s="84">
        <f t="shared" si="1"/>
        <v>0</v>
      </c>
      <c r="F12" s="53">
        <f t="shared" si="2"/>
        <v>0</v>
      </c>
      <c r="G12" s="87">
        <f t="shared" si="3"/>
        <v>0</v>
      </c>
      <c r="H12" s="87"/>
    </row>
    <row r="13" spans="1:8" ht="30.95" customHeight="1">
      <c r="A13" s="47">
        <v>6</v>
      </c>
      <c r="B13" s="89"/>
      <c r="C13" s="41">
        <f t="shared" si="0"/>
        <v>0</v>
      </c>
      <c r="D13" s="90"/>
      <c r="E13" s="41">
        <f t="shared" si="1"/>
        <v>0</v>
      </c>
      <c r="F13" s="49">
        <f t="shared" si="2"/>
        <v>0</v>
      </c>
      <c r="G13" s="87">
        <f t="shared" si="3"/>
        <v>0</v>
      </c>
      <c r="H13" s="87"/>
    </row>
    <row r="14" spans="1:8" ht="30.95" customHeight="1">
      <c r="A14" s="42">
        <v>7</v>
      </c>
      <c r="B14" s="91"/>
      <c r="C14" s="84">
        <f t="shared" si="0"/>
        <v>0</v>
      </c>
      <c r="D14" s="92"/>
      <c r="E14" s="84">
        <f t="shared" si="1"/>
        <v>0</v>
      </c>
      <c r="F14" s="53">
        <f t="shared" si="2"/>
        <v>0</v>
      </c>
      <c r="G14" s="87">
        <f t="shared" si="3"/>
        <v>0</v>
      </c>
      <c r="H14" s="87"/>
    </row>
    <row r="15" spans="1:8" ht="30.95" customHeight="1">
      <c r="A15" s="47">
        <v>8</v>
      </c>
      <c r="B15" s="89"/>
      <c r="C15" s="41">
        <f t="shared" si="0"/>
        <v>0</v>
      </c>
      <c r="D15" s="93"/>
      <c r="E15" s="41">
        <f t="shared" si="1"/>
        <v>0</v>
      </c>
      <c r="F15" s="49">
        <f t="shared" si="2"/>
        <v>0</v>
      </c>
      <c r="G15" s="87">
        <f t="shared" si="3"/>
        <v>0</v>
      </c>
      <c r="H15" s="87"/>
    </row>
    <row r="16" spans="1:8" ht="30.95" customHeight="1">
      <c r="A16" s="42">
        <v>9</v>
      </c>
      <c r="B16" s="94"/>
      <c r="C16" s="84">
        <f t="shared" si="0"/>
        <v>0</v>
      </c>
      <c r="D16" s="95"/>
      <c r="E16" s="84">
        <f t="shared" si="1"/>
        <v>0</v>
      </c>
      <c r="F16" s="53">
        <f t="shared" si="2"/>
        <v>0</v>
      </c>
      <c r="G16" s="87">
        <f t="shared" si="3"/>
        <v>0</v>
      </c>
      <c r="H16" s="87"/>
    </row>
    <row r="17" spans="1:8" ht="30.95" customHeight="1">
      <c r="A17" s="47">
        <v>10</v>
      </c>
      <c r="B17" s="91"/>
      <c r="C17" s="41">
        <f t="shared" si="0"/>
        <v>0</v>
      </c>
      <c r="D17" s="92"/>
      <c r="E17" s="41">
        <f t="shared" si="1"/>
        <v>0</v>
      </c>
      <c r="F17" s="49">
        <f t="shared" si="2"/>
        <v>0</v>
      </c>
      <c r="G17" s="87">
        <f t="shared" si="3"/>
        <v>0</v>
      </c>
      <c r="H17" s="87"/>
    </row>
    <row r="18" spans="1:8" ht="30.95" customHeight="1">
      <c r="A18" s="42">
        <v>11</v>
      </c>
      <c r="B18" s="89"/>
      <c r="C18" s="84">
        <f t="shared" si="0"/>
        <v>0</v>
      </c>
      <c r="D18" s="93"/>
      <c r="E18" s="84">
        <f t="shared" si="1"/>
        <v>0</v>
      </c>
      <c r="F18" s="53">
        <f t="shared" si="2"/>
        <v>0</v>
      </c>
      <c r="G18" s="87">
        <f t="shared" si="3"/>
        <v>0</v>
      </c>
      <c r="H18" s="87"/>
    </row>
    <row r="19" spans="1:8" ht="30.95" customHeight="1">
      <c r="A19" s="47">
        <v>12</v>
      </c>
      <c r="B19" s="91"/>
      <c r="C19" s="41">
        <f t="shared" si="0"/>
        <v>0</v>
      </c>
      <c r="D19" s="92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7" activePane="bottomLeft" state="frozen"/>
      <selection pane="bottomLeft" activeCell="J9" sqref="J9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-6136140</v>
      </c>
      <c r="D9" s="48">
        <f t="shared" ref="D9:D37" si="7">C9*0.16949153</f>
        <v>-1040023.7568942</v>
      </c>
      <c r="E9" s="49">
        <v>488347</v>
      </c>
      <c r="F9" s="56">
        <f t="shared" si="1"/>
        <v>-488347</v>
      </c>
      <c r="G9" s="45">
        <f t="shared" si="5"/>
        <v>-413854.54862000002</v>
      </c>
      <c r="H9" s="45">
        <f t="shared" si="6"/>
        <v>-413854.54862000002</v>
      </c>
      <c r="I9" s="51">
        <f t="shared" si="2"/>
        <v>-827709.09724000003</v>
      </c>
      <c r="J9" s="52">
        <f>7060+6570</f>
        <v>13630</v>
      </c>
      <c r="K9" s="40">
        <f t="shared" si="3"/>
        <v>13630</v>
      </c>
      <c r="L9" s="41">
        <f>K9*0.59</f>
        <v>8041.7</v>
      </c>
    </row>
    <row r="10" spans="1:12" ht="32.450000000000003" customHeight="1">
      <c r="A10" s="47">
        <v>4</v>
      </c>
      <c r="B10" s="47"/>
      <c r="C10" s="57">
        <f t="shared" si="0"/>
        <v>0</v>
      </c>
      <c r="D10" s="48">
        <f t="shared" si="7"/>
        <v>0</v>
      </c>
      <c r="E10" s="49"/>
      <c r="F10" s="58">
        <f t="shared" si="1"/>
        <v>0</v>
      </c>
      <c r="G10" s="50">
        <f t="shared" si="5"/>
        <v>0</v>
      </c>
      <c r="H10" s="50">
        <f t="shared" si="6"/>
        <v>0</v>
      </c>
      <c r="I10" s="51">
        <f t="shared" si="2"/>
        <v>0</v>
      </c>
      <c r="J10" s="52"/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/>
      <c r="C11" s="55">
        <f t="shared" si="0"/>
        <v>0</v>
      </c>
      <c r="D11" s="48">
        <f t="shared" si="7"/>
        <v>0</v>
      </c>
      <c r="E11" s="49"/>
      <c r="F11" s="56">
        <f t="shared" si="1"/>
        <v>0</v>
      </c>
      <c r="G11" s="45">
        <f t="shared" si="5"/>
        <v>0</v>
      </c>
      <c r="H11" s="45">
        <f t="shared" si="6"/>
        <v>0</v>
      </c>
      <c r="I11" s="51">
        <f t="shared" si="2"/>
        <v>0</v>
      </c>
      <c r="J11" s="52"/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/>
      <c r="C12" s="57">
        <f t="shared" si="0"/>
        <v>0</v>
      </c>
      <c r="D12" s="48">
        <f t="shared" si="7"/>
        <v>0</v>
      </c>
      <c r="E12" s="49"/>
      <c r="F12" s="58">
        <f t="shared" si="1"/>
        <v>0</v>
      </c>
      <c r="G12" s="50">
        <f t="shared" si="5"/>
        <v>0</v>
      </c>
      <c r="H12" s="50">
        <f t="shared" si="6"/>
        <v>0</v>
      </c>
      <c r="I12" s="51">
        <f t="shared" si="2"/>
        <v>0</v>
      </c>
      <c r="J12" s="52"/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/>
      <c r="C13" s="55">
        <f t="shared" si="0"/>
        <v>0</v>
      </c>
      <c r="D13" s="48">
        <f t="shared" si="7"/>
        <v>0</v>
      </c>
      <c r="E13" s="49"/>
      <c r="F13" s="56">
        <f t="shared" si="1"/>
        <v>0</v>
      </c>
      <c r="G13" s="45">
        <f t="shared" si="5"/>
        <v>0</v>
      </c>
      <c r="H13" s="45">
        <f t="shared" si="6"/>
        <v>0</v>
      </c>
      <c r="I13" s="51">
        <f t="shared" si="2"/>
        <v>0</v>
      </c>
      <c r="J13" s="52"/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/>
      <c r="C14" s="57">
        <f t="shared" si="0"/>
        <v>0</v>
      </c>
      <c r="D14" s="48">
        <f t="shared" si="7"/>
        <v>0</v>
      </c>
      <c r="E14" s="49"/>
      <c r="F14" s="58">
        <f t="shared" si="1"/>
        <v>0</v>
      </c>
      <c r="G14" s="50">
        <f t="shared" si="5"/>
        <v>0</v>
      </c>
      <c r="H14" s="50">
        <f t="shared" si="6"/>
        <v>0</v>
      </c>
      <c r="I14" s="51">
        <f t="shared" si="2"/>
        <v>0</v>
      </c>
      <c r="J14" s="52"/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/>
      <c r="C15" s="55">
        <f t="shared" si="0"/>
        <v>0</v>
      </c>
      <c r="D15" s="48">
        <f t="shared" si="7"/>
        <v>0</v>
      </c>
      <c r="E15" s="49"/>
      <c r="F15" s="56">
        <f t="shared" si="1"/>
        <v>0</v>
      </c>
      <c r="G15" s="50">
        <f t="shared" si="5"/>
        <v>0</v>
      </c>
      <c r="H15" s="45">
        <f t="shared" si="6"/>
        <v>0</v>
      </c>
      <c r="I15" s="51">
        <f t="shared" si="2"/>
        <v>0</v>
      </c>
      <c r="J15" s="52"/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/>
      <c r="C16" s="57">
        <f t="shared" si="0"/>
        <v>0</v>
      </c>
      <c r="D16" s="48">
        <f t="shared" si="7"/>
        <v>0</v>
      </c>
      <c r="E16" s="49"/>
      <c r="F16" s="58">
        <f t="shared" si="1"/>
        <v>0</v>
      </c>
      <c r="G16" s="50">
        <f t="shared" si="5"/>
        <v>0</v>
      </c>
      <c r="H16" s="50">
        <f t="shared" si="6"/>
        <v>0</v>
      </c>
      <c r="I16" s="51">
        <f t="shared" si="2"/>
        <v>0</v>
      </c>
      <c r="J16" s="52"/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/>
      <c r="C17" s="55">
        <f>B18-B17</f>
        <v>0</v>
      </c>
      <c r="D17" s="48">
        <f t="shared" si="7"/>
        <v>0</v>
      </c>
      <c r="E17" s="49"/>
      <c r="F17" s="56">
        <f>E18-E17</f>
        <v>0</v>
      </c>
      <c r="G17" s="45">
        <f t="shared" si="5"/>
        <v>0</v>
      </c>
      <c r="H17" s="45">
        <f t="shared" si="6"/>
        <v>0</v>
      </c>
      <c r="I17" s="51">
        <f t="shared" si="2"/>
        <v>0</v>
      </c>
      <c r="J17" s="52"/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2021-10-04T06:33:33Z</dcterms:modified>
  <cp:category/>
  <cp:contentStatus/>
</cp:coreProperties>
</file>