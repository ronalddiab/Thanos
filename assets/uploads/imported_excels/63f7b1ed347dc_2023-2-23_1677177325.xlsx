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<sst xmlns="http://schemas.openxmlformats.org/spreadsheetml/2006/main" count="315" uniqueCount="148">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</sst>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9.1574999999999989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10599.999999999894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78</v>
      </c>
      <c r="J11" s="11">
        <f t="shared" si="2"/>
        <v>10.487297712684205</v>
      </c>
      <c r="K11" s="13">
        <f>'FS Desroches Daily'!CN13</f>
        <v>25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10500.000000000213</v>
      </c>
      <c r="F12" s="11">
        <f t="shared" si="0"/>
        <v>0.58765030286592534</v>
      </c>
      <c r="G12" s="12">
        <f>(Submetering!AX12+Submetering!AY12+Submetering!AZ12+Submetering!BA12+Submetering!BB12)</f>
        <v>12.820499999999999</v>
      </c>
      <c r="H12" s="11">
        <f t="shared" si="1"/>
        <v>0.99</v>
      </c>
      <c r="I12" s="12">
        <f>'FS Desroches Daily'!CM14</f>
        <v>86</v>
      </c>
      <c r="J12" s="11">
        <f t="shared" si="2"/>
        <v>10.487297712684205</v>
      </c>
      <c r="K12" s="13">
        <f>'FS Desroches Daily'!CN14</f>
        <v>28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9599.9999999997872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86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10100.000000000029</v>
      </c>
      <c r="F14" s="11">
        <f t="shared" si="0"/>
        <v>0.58765030286592534</v>
      </c>
      <c r="G14" s="12">
        <f>(Submetering!AX14+Submetering!AY14+Submetering!AZ14+Submetering!BA14+Submetering!BB14)</f>
        <v>12.820499999999999</v>
      </c>
      <c r="H14" s="11">
        <f t="shared" si="1"/>
        <v>0.99</v>
      </c>
      <c r="I14" s="12">
        <f>'FS Desroches Daily'!CM16</f>
        <v>94.299999999999272</v>
      </c>
      <c r="J14" s="11">
        <f t="shared" si="2"/>
        <v>10.487297712684205</v>
      </c>
      <c r="K14" s="13">
        <f>'FS Desroches Daily'!CN16</f>
        <v>28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10200.000000000609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117.70000000000073</v>
      </c>
      <c r="J15" s="11">
        <f t="shared" si="2"/>
        <v>10.487297712684205</v>
      </c>
      <c r="K15" s="13">
        <f>'FS Desroches Daily'!CN17</f>
        <v>32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10800.000000000544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12299.999999999343</v>
      </c>
      <c r="F17" s="11">
        <f t="shared" si="0"/>
        <v>0.58765030286592534</v>
      </c>
      <c r="G17" s="12">
        <f>(Submetering!AX17+Submetering!AY17+Submetering!AZ17+Submetering!BA17+Submetering!BB17)</f>
        <v>14.651999999999997</v>
      </c>
      <c r="H17" s="11">
        <f t="shared" si="1"/>
        <v>0.99</v>
      </c>
      <c r="I17" s="12">
        <f>'FS Desroches Daily'!CM19</f>
        <v>146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11399.999999999965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137</v>
      </c>
      <c r="J18" s="11">
        <f t="shared" si="2"/>
        <v>10.487297712684205</v>
      </c>
      <c r="K18" s="13">
        <f>'FS Desroches Daily'!CN20</f>
        <v>39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11099.999999999332</v>
      </c>
      <c r="F19" s="11">
        <f t="shared" si="0"/>
        <v>0.58765030286592534</v>
      </c>
      <c r="G19" s="12">
        <f>(Submetering!AX19+Submetering!AY19+Submetering!AZ19+Submetering!BA19+Submetering!BB19)</f>
        <v>14.651999999999999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30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10400.000000000218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110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10199.999999999722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23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10700.000000000191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108.40000000000146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10100.000000000473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111.79999999999927</v>
      </c>
      <c r="J23" s="11">
        <f t="shared" si="2"/>
        <v>10.487297712684205</v>
      </c>
      <c r="K23" s="13">
        <f>'FS Desroches Daily'!CN25</f>
        <v>25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 t="e">
        <f>Submetering!E24+Submetering!F24+Submetering!G24+Submetering!H24+Submetering!J24-Submetering!AV24</f>
        <v>#VALUE!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 t="e">
        <f>'FS Desroches Daily'!CM26</f>
        <v>#VALUE!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1900.0000000000127</v>
      </c>
      <c r="F11" s="32">
        <f>'FS Desroches Daily'!F13</f>
        <v>3099.9999999998809</v>
      </c>
      <c r="G11" s="31">
        <f>'FS Desroches Daily'!H13</f>
        <v>3200.0000000005357</v>
      </c>
      <c r="H11" s="32">
        <f>'FS Desroches Daily'!J13</f>
        <v>1700.0000000000348</v>
      </c>
      <c r="I11" s="31">
        <f>'FS Desroches Daily'!L13</f>
        <v>2099.9999999999909</v>
      </c>
      <c r="J11" s="32">
        <f>'FS Desroches Daily'!N13</f>
        <v>1499.9999999996128</v>
      </c>
      <c r="K11" s="13">
        <f>'FS Desroches Daily'!P13</f>
        <v>18</v>
      </c>
      <c r="L11" s="31">
        <f>'FS Desroches Daily'!R13</f>
        <v>11</v>
      </c>
      <c r="M11" s="31">
        <f>'FS Desroches Daily'!T13</f>
        <v>899.99999999986358</v>
      </c>
      <c r="N11" s="31">
        <f>'FS Desroches Daily'!V13</f>
        <v>371.09999999997672</v>
      </c>
      <c r="O11" s="31">
        <f>'FS Desroches Daily'!X13</f>
        <v>319.99999999993634</v>
      </c>
      <c r="P11" s="31">
        <f>'FS Desroches Daily'!Z13</f>
        <v>2399.9999999997358</v>
      </c>
      <c r="Q11" s="31">
        <f>'FS Desroches Daily'!AB13</f>
        <v>389.99999999998636</v>
      </c>
      <c r="R11" s="31">
        <f>'FS Desroches Daily'!AD13</f>
        <v>399.99999999997726</v>
      </c>
      <c r="S11" s="31">
        <f>'FS Desroches Daily'!AF13</f>
        <v>580.00000000004093</v>
      </c>
      <c r="T11" s="31">
        <f>'FS Desroches Daily'!AH13</f>
        <v>40</v>
      </c>
      <c r="U11" s="35">
        <f>'FS Desroches Daily'!AJ13</f>
        <v>399.99999999995595</v>
      </c>
      <c r="V11" s="35">
        <f>'FS Desroches Daily'!AL13</f>
        <v>129.99999999999545</v>
      </c>
      <c r="W11" s="35">
        <f>'FS Desroches Daily'!AN13</f>
        <v>230.00000000001819</v>
      </c>
      <c r="X11" s="35">
        <f>'FS Desroches Daily'!AP13</f>
        <v>90.000000000031832</v>
      </c>
      <c r="Y11" s="35">
        <f>'FS Desroches Daily'!AR13</f>
        <v>110.00000000001364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70.000000000050022</v>
      </c>
      <c r="AC11" s="35">
        <f>'FS Desroches Daily'!AZ13</f>
        <v>110.00000000001364</v>
      </c>
      <c r="AD11" s="35">
        <f>'FS Desroches Daily'!BB13</f>
        <v>110.00000000001364</v>
      </c>
      <c r="AE11" s="35">
        <f>'FS Desroches Daily'!BD13</f>
        <v>180.00000000000682</v>
      </c>
      <c r="AF11" s="31">
        <f>'FS Desroches Daily'!BF13</f>
        <v>56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50.000000000011369</v>
      </c>
      <c r="AJ11" s="32">
        <f>'FS Desroches Daily'!BN13</f>
        <v>39.999999999992042</v>
      </c>
      <c r="AK11" s="32">
        <f>'FS Desroches Daily'!BP13</f>
        <v>39.99999999996362</v>
      </c>
      <c r="AL11" s="32">
        <f>'FS Desroches Daily'!BR13</f>
        <v>42</v>
      </c>
      <c r="AM11" s="32">
        <f>'FS Desroches Daily'!BT13</f>
        <v>69.999999999993179</v>
      </c>
      <c r="AN11" s="32">
        <f>'FS Desroches Daily'!BV13</f>
        <v>34</v>
      </c>
      <c r="AO11" s="32">
        <f>'FS Desroches Daily'!BX13</f>
        <v>60.000000000002274</v>
      </c>
      <c r="AP11" s="32">
        <f>'FS Desroches Daily'!BZ13</f>
        <v>54</v>
      </c>
      <c r="AQ11" s="31">
        <f>'FS Desroches Daily'!CB13</f>
        <v>52.900000000001455</v>
      </c>
      <c r="AR11" s="31">
        <f>'FS Desroches Daily'!CD13</f>
        <v>8.5999999999985448</v>
      </c>
      <c r="AS11" s="31">
        <f>'FS Desroches Daily'!CF13</f>
        <v>1.7000000000007276</v>
      </c>
      <c r="AT11" s="31">
        <f>'FS Desroches Daily'!CH13</f>
        <v>21.799999999988358</v>
      </c>
      <c r="AU11" s="31">
        <f>'FS Desroches Daily'!CJ13</f>
        <v>352</v>
      </c>
      <c r="AV11" s="31">
        <f>'FS Desroches Daily'!CL13</f>
        <v>800.0000000001819</v>
      </c>
      <c r="AW11" s="31">
        <f>'FS Desroches Daily'!CM13</f>
        <v>78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25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1999.9999999997797</v>
      </c>
      <c r="F12" s="32">
        <f>'FS Desroches Daily'!F14</f>
        <v>3200.0000000005357</v>
      </c>
      <c r="G12" s="31">
        <f>'FS Desroches Daily'!H14</f>
        <v>3499.9999999998367</v>
      </c>
      <c r="H12" s="32">
        <f>'FS Desroches Daily'!J14</f>
        <v>1599.9999999998238</v>
      </c>
      <c r="I12" s="31">
        <f>'FS Desroches Daily'!L14</f>
        <v>1999.9999999997797</v>
      </c>
      <c r="J12" s="32">
        <f>'FS Desroches Daily'!N14</f>
        <v>1100.000000000101</v>
      </c>
      <c r="K12" s="13">
        <f>'FS Desroches Daily'!P14</f>
        <v>22</v>
      </c>
      <c r="L12" s="31">
        <f>'FS Desroches Daily'!R14</f>
        <v>3</v>
      </c>
      <c r="M12" s="31">
        <f>'FS Desroches Daily'!T14</f>
        <v>1200.0000000000455</v>
      </c>
      <c r="N12" s="31">
        <f>'FS Desroches Daily'!V14</f>
        <v>470.5</v>
      </c>
      <c r="O12" s="31">
        <f>'FS Desroches Daily'!X14</f>
        <v>300.00000000006821</v>
      </c>
      <c r="P12" s="31">
        <f>'FS Desroches Daily'!Z14</f>
        <v>2900.0000000003465</v>
      </c>
      <c r="Q12" s="31">
        <f>'FS Desroches Daily'!AB14</f>
        <v>219.9999999999136</v>
      </c>
      <c r="R12" s="31">
        <f>'FS Desroches Daily'!AD14</f>
        <v>400.00000000009095</v>
      </c>
      <c r="S12" s="31">
        <f>'FS Desroches Daily'!AF14</f>
        <v>350.00000000002274</v>
      </c>
      <c r="T12" s="31">
        <f>'FS Desroches Daily'!AH14</f>
        <v>35</v>
      </c>
      <c r="U12" s="35">
        <f>'FS Desroches Daily'!AJ14</f>
        <v>499.99999999994492</v>
      </c>
      <c r="V12" s="35">
        <f>'FS Desroches Daily'!AL14</f>
        <v>289.99999999996362</v>
      </c>
      <c r="W12" s="35">
        <f>'FS Desroches Daily'!AN14</f>
        <v>229.99999999996135</v>
      </c>
      <c r="X12" s="35">
        <f>'FS Desroches Daily'!AP14</f>
        <v>69.999999999993179</v>
      </c>
      <c r="Y12" s="35">
        <f>'FS Desroches Daily'!AR14</f>
        <v>129.99999999999545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49.999999999954525</v>
      </c>
      <c r="AC12" s="35">
        <f>'FS Desroches Daily'!AZ14</f>
        <v>110.00000000001364</v>
      </c>
      <c r="AD12" s="35">
        <f>'FS Desroches Daily'!BB14</f>
        <v>99.999999999965894</v>
      </c>
      <c r="AE12" s="35">
        <f>'FS Desroches Daily'!BD14</f>
        <v>120.00000000000455</v>
      </c>
      <c r="AF12" s="31">
        <f>'FS Desroches Daily'!BF14</f>
        <v>47</v>
      </c>
      <c r="AG12" s="32">
        <f>'FS Desroches Daily'!BH14</f>
        <v>29.999999999972715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49.999999999982947</v>
      </c>
      <c r="AK12" s="32">
        <f>'FS Desroches Daily'!BP14</f>
        <v>40.000000000020464</v>
      </c>
      <c r="AL12" s="32">
        <f>'FS Desroches Daily'!BR14</f>
        <v>37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39.999999999992042</v>
      </c>
      <c r="AP12" s="32">
        <f>'FS Desroches Daily'!BZ14</f>
        <v>52</v>
      </c>
      <c r="AQ12" s="31">
        <f>'FS Desroches Daily'!CB14</f>
        <v>78.900000000001455</v>
      </c>
      <c r="AR12" s="31">
        <f>'FS Desroches Daily'!CD14</f>
        <v>11</v>
      </c>
      <c r="AS12" s="31">
        <f>'FS Desroches Daily'!CF14</f>
        <v>2.8999999999996362</v>
      </c>
      <c r="AT12" s="31">
        <f>'FS Desroches Daily'!CH14</f>
        <v>42.600000000005821</v>
      </c>
      <c r="AU12" s="31">
        <f>'FS Desroches Daily'!CJ14</f>
        <v>298</v>
      </c>
      <c r="AV12" s="31">
        <f>'FS Desroches Daily'!CL14</f>
        <v>899.99999999986358</v>
      </c>
      <c r="AW12" s="31">
        <f>'FS Desroches Daily'!CM14</f>
        <v>86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28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1800.0000000002458</v>
      </c>
      <c r="F13" s="32">
        <f>'FS Desroches Daily'!F15</f>
        <v>2799.9999999996917</v>
      </c>
      <c r="G13" s="31">
        <f>'FS Desroches Daily'!H15</f>
        <v>3199.9999999996476</v>
      </c>
      <c r="H13" s="32">
        <f>'FS Desroches Daily'!J15</f>
        <v>1500.0000000000568</v>
      </c>
      <c r="I13" s="31">
        <f>'FS Desroches Daily'!L15</f>
        <v>1800.0000000002458</v>
      </c>
      <c r="J13" s="32">
        <f>'FS Desroches Daily'!N15</f>
        <v>1100.000000000101</v>
      </c>
      <c r="K13" s="13">
        <f>'FS Desroches Daily'!P15</f>
        <v>19</v>
      </c>
      <c r="L13" s="31">
        <f>'FS Desroches Daily'!R15</f>
        <v>3</v>
      </c>
      <c r="M13" s="31">
        <f>'FS Desroches Daily'!T15</f>
        <v>1200.0000000000455</v>
      </c>
      <c r="N13" s="31">
        <f>'FS Desroches Daily'!V15</f>
        <v>386.5</v>
      </c>
      <c r="O13" s="31">
        <f>'FS Desroches Daily'!X15</f>
        <v>299.99999999995453</v>
      </c>
      <c r="P13" s="31">
        <f>'FS Desroches Daily'!Z15</f>
        <v>2499.9999999995025</v>
      </c>
      <c r="Q13" s="31">
        <f>'FS Desroches Daily'!AB15</f>
        <v>250</v>
      </c>
      <c r="R13" s="31">
        <f>'FS Desroches Daily'!AD15</f>
        <v>370.00000000000455</v>
      </c>
      <c r="S13" s="31">
        <f>'FS Desroches Daily'!AF15</f>
        <v>329.99999999992724</v>
      </c>
      <c r="T13" s="31">
        <f>'FS Desroches Daily'!AH15</f>
        <v>33</v>
      </c>
      <c r="U13" s="35">
        <f>'FS Desroches Daily'!AJ15</f>
        <v>399.99999999995595</v>
      </c>
      <c r="V13" s="35">
        <f>'FS Desroches Daily'!AL15</f>
        <v>199.99999999998863</v>
      </c>
      <c r="W13" s="35">
        <f>'FS Desroches Daily'!AN15</f>
        <v>189.99999999999773</v>
      </c>
      <c r="X13" s="35">
        <f>'FS Desroches Daily'!AP15</f>
        <v>60.000000000002274</v>
      </c>
      <c r="Y13" s="35">
        <f>'FS Desroches Daily'!AR15</f>
        <v>199.99999999998863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79.999999999984084</v>
      </c>
      <c r="AD13" s="35">
        <f>'FS Desroches Daily'!BB15</f>
        <v>40.000000000020464</v>
      </c>
      <c r="AE13" s="35">
        <f>'FS Desroches Daily'!BD15</f>
        <v>109.9999999999568</v>
      </c>
      <c r="AF13" s="31">
        <f>'FS Desroches Daily'!BF15</f>
        <v>58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39.99999999996362</v>
      </c>
      <c r="AJ13" s="32">
        <f>'FS Desroches Daily'!BN15</f>
        <v>30.000000000001137</v>
      </c>
      <c r="AK13" s="32">
        <f>'FS Desroches Daily'!BP15</f>
        <v>29.999999999972715</v>
      </c>
      <c r="AL13" s="32">
        <f>'FS Desroches Daily'!BR15</f>
        <v>33</v>
      </c>
      <c r="AM13" s="32">
        <f>'FS Desroches Daily'!BT15</f>
        <v>50.000000000011369</v>
      </c>
      <c r="AN13" s="32">
        <f>'FS Desroches Daily'!BV15</f>
        <v>31</v>
      </c>
      <c r="AO13" s="32">
        <f>'FS Desroches Daily'!BX15</f>
        <v>50.000000000011369</v>
      </c>
      <c r="AP13" s="32">
        <f>'FS Desroches Daily'!BZ15</f>
        <v>53</v>
      </c>
      <c r="AQ13" s="31">
        <f>'FS Desroches Daily'!CB15</f>
        <v>54.19999999999709</v>
      </c>
      <c r="AR13" s="31">
        <f>'FS Desroches Daily'!CD15</f>
        <v>12.200000000000728</v>
      </c>
      <c r="AS13" s="31">
        <f>'FS Desroches Daily'!CF15</f>
        <v>4</v>
      </c>
      <c r="AT13" s="31">
        <f>'FS Desroches Daily'!CH15</f>
        <v>55.5</v>
      </c>
      <c r="AU13" s="31">
        <f>'FS Desroches Daily'!CJ15</f>
        <v>301</v>
      </c>
      <c r="AV13" s="31">
        <f>'FS Desroches Daily'!CL15</f>
        <v>799.99999999995453</v>
      </c>
      <c r="AW13" s="31">
        <f>'FS Desroches Daily'!CM15</f>
        <v>86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1799.9999999998017</v>
      </c>
      <c r="F14" s="32">
        <f>'FS Desroches Daily'!F16</f>
        <v>3000.0000000001137</v>
      </c>
      <c r="G14" s="31">
        <f>'FS Desroches Daily'!H16</f>
        <v>3400.0000000000696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1300.0000000000789</v>
      </c>
      <c r="K14" s="13">
        <f>'FS Desroches Daily'!P16</f>
        <v>17</v>
      </c>
      <c r="L14" s="31">
        <f>'FS Desroches Daily'!R16</f>
        <v>3</v>
      </c>
      <c r="M14" s="31">
        <f>'FS Desroches Daily'!T16</f>
        <v>1099.9999999999091</v>
      </c>
      <c r="N14" s="31">
        <f>'FS Desroches Daily'!V16</f>
        <v>414.80000000004657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300.00000000006821</v>
      </c>
      <c r="R14" s="31">
        <f>'FS Desroches Daily'!AD16</f>
        <v>339.99999999991815</v>
      </c>
      <c r="S14" s="31">
        <f>'FS Desroches Daily'!AF16</f>
        <v>430.00000000006366</v>
      </c>
      <c r="T14" s="31">
        <f>'FS Desroches Daily'!AH16</f>
        <v>36</v>
      </c>
      <c r="U14" s="35">
        <f>'FS Desroches Daily'!AJ16</f>
        <v>400.00000000017798</v>
      </c>
      <c r="V14" s="35">
        <f>'FS Desroches Daily'!AL16</f>
        <v>210.00000000003638</v>
      </c>
      <c r="W14" s="35">
        <f>'FS Desroches Daily'!AN16</f>
        <v>200.00000000004547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49.999999999954525</v>
      </c>
      <c r="AA14" s="35">
        <f>'FS Desroches Daily'!AT16</f>
        <v>49.999999999954525</v>
      </c>
      <c r="AB14" s="35">
        <f>'FS Desroches Daily'!AV16</f>
        <v>50.000000000011369</v>
      </c>
      <c r="AC14" s="35">
        <f>'FS Desroches Daily'!AZ16</f>
        <v>79.999999999984084</v>
      </c>
      <c r="AD14" s="35">
        <f>'FS Desroches Daily'!BB16</f>
        <v>69.999999999993179</v>
      </c>
      <c r="AE14" s="35">
        <f>'FS Desroches Daily'!BD16</f>
        <v>129.99999999999545</v>
      </c>
      <c r="AF14" s="31">
        <f>'FS Desroches Daily'!BF16</f>
        <v>61</v>
      </c>
      <c r="AG14" s="32">
        <f>'FS Desroches Daily'!BH16</f>
        <v>29.999999999972715</v>
      </c>
      <c r="AH14" s="32">
        <f>'FS Desroches Daily'!BJ16</f>
        <v>40.000000000020464</v>
      </c>
      <c r="AI14" s="32">
        <f>'FS Desroches Daily'!BL16</f>
        <v>40.000000000020464</v>
      </c>
      <c r="AJ14" s="32">
        <f>'FS Desroches Daily'!BN16</f>
        <v>40.000000000020464</v>
      </c>
      <c r="AK14" s="32">
        <f>'FS Desroches Daily'!BP16</f>
        <v>30.000000000029559</v>
      </c>
      <c r="AL14" s="32">
        <f>'FS Desroches Daily'!BR16</f>
        <v>32</v>
      </c>
      <c r="AM14" s="32">
        <f>'FS Desroches Daily'!BT16</f>
        <v>60.000000000002274</v>
      </c>
      <c r="AN14" s="32">
        <f>'FS Desroches Daily'!BV16</f>
        <v>32</v>
      </c>
      <c r="AO14" s="32">
        <f>'FS Desroches Daily'!BX16</f>
        <v>49.999999999982947</v>
      </c>
      <c r="AP14" s="32">
        <f>'FS Desroches Daily'!BZ16</f>
        <v>49</v>
      </c>
      <c r="AQ14" s="31">
        <f>'FS Desroches Daily'!CB16</f>
        <v>52.700000000004366</v>
      </c>
      <c r="AR14" s="31">
        <f>'FS Desroches Daily'!CD16</f>
        <v>12.100000000002183</v>
      </c>
      <c r="AS14" s="31">
        <f>'FS Desroches Daily'!CF16</f>
        <v>2.7000000000007276</v>
      </c>
      <c r="AT14" s="31">
        <f>'FS Desroches Daily'!CH16</f>
        <v>43.899999999994179</v>
      </c>
      <c r="AU14" s="31">
        <f>'FS Desroches Daily'!CJ16</f>
        <v>314</v>
      </c>
      <c r="AV14" s="31">
        <f>'FS Desroches Daily'!CL16</f>
        <v>900.00000000009095</v>
      </c>
      <c r="AW14" s="31">
        <f>'FS Desroches Daily'!CM16</f>
        <v>94.299999999999272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28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1800.0000000002458</v>
      </c>
      <c r="F15" s="32">
        <f>'FS Desroches Daily'!F17</f>
        <v>3199.9999999996476</v>
      </c>
      <c r="G15" s="31">
        <f>'FS Desroches Daily'!H17</f>
        <v>3200.0000000005357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1300.0000000000789</v>
      </c>
      <c r="K15" s="13">
        <f>'FS Desroches Daily'!P17</f>
        <v>13</v>
      </c>
      <c r="L15" s="31">
        <f>'FS Desroches Daily'!R17</f>
        <v>3</v>
      </c>
      <c r="M15" s="31">
        <f>'FS Desroches Daily'!T17</f>
        <v>1000</v>
      </c>
      <c r="N15" s="31">
        <f>'FS Desroches Daily'!V17</f>
        <v>378.59999999997672</v>
      </c>
      <c r="O15" s="31">
        <f>'FS Desroches Daily'!X17</f>
        <v>350.00000000002274</v>
      </c>
      <c r="P15" s="31">
        <f>'FS Desroches Daily'!Z17</f>
        <v>2800.0000000005798</v>
      </c>
      <c r="Q15" s="31">
        <f>'FS Desroches Daily'!AB17</f>
        <v>470.00000000002728</v>
      </c>
      <c r="R15" s="31">
        <f>'FS Desroches Daily'!AD17</f>
        <v>360.00000000001364</v>
      </c>
      <c r="S15" s="31">
        <f>'FS Desroches Daily'!AF17</f>
        <v>509.99999999999091</v>
      </c>
      <c r="T15" s="31">
        <f>'FS Desroches Daily'!AH17</f>
        <v>42</v>
      </c>
      <c r="U15" s="35">
        <f>'FS Desroches Daily'!AJ17</f>
        <v>499.99999999994492</v>
      </c>
      <c r="V15" s="35">
        <f>'FS Desroches Daily'!AL17</f>
        <v>230.00000000001819</v>
      </c>
      <c r="W15" s="35">
        <f>'FS Desroches Daily'!AN17</f>
        <v>179.99999999994998</v>
      </c>
      <c r="X15" s="35">
        <f>'FS Desroches Daily'!AP17</f>
        <v>60.000000000002274</v>
      </c>
      <c r="Y15" s="35">
        <f>'FS Desroches Daily'!AR17</f>
        <v>220.00000000002728</v>
      </c>
      <c r="Z15" s="35">
        <f>'FS Desroches Daily'!AT17</f>
        <v>60.000000000002274</v>
      </c>
      <c r="AA15" s="35">
        <f>'FS Desroches Daily'!AT17</f>
        <v>60.000000000002274</v>
      </c>
      <c r="AB15" s="35">
        <f>'FS Desroches Daily'!AV17</f>
        <v>39.99999999996362</v>
      </c>
      <c r="AC15" s="35">
        <f>'FS Desroches Daily'!AZ17</f>
        <v>100.00000000002274</v>
      </c>
      <c r="AD15" s="35">
        <f>'FS Desroches Daily'!BB17</f>
        <v>120.00000000000455</v>
      </c>
      <c r="AE15" s="35">
        <f>'FS Desroches Daily'!BD17</f>
        <v>130.0000000000523</v>
      </c>
      <c r="AF15" s="31">
        <f>'FS Desroches Daily'!BF17</f>
        <v>32</v>
      </c>
      <c r="AG15" s="32">
        <f>'FS Desroches Daily'!BH17</f>
        <v>30.000000000029559</v>
      </c>
      <c r="AH15" s="32">
        <f>'FS Desroches Daily'!BJ17</f>
        <v>29.999999999972715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39.99999999996362</v>
      </c>
      <c r="AL15" s="32">
        <f>'FS Desroches Daily'!BR17</f>
        <v>38</v>
      </c>
      <c r="AM15" s="32">
        <f>'FS Desroches Daily'!BT17</f>
        <v>49.999999999982947</v>
      </c>
      <c r="AN15" s="32">
        <f>'FS Desroches Daily'!BV17</f>
        <v>34</v>
      </c>
      <c r="AO15" s="32">
        <f>'FS Desroches Daily'!BX17</f>
        <v>40.000000000020464</v>
      </c>
      <c r="AP15" s="32">
        <f>'FS Desroches Daily'!BZ17</f>
        <v>49</v>
      </c>
      <c r="AQ15" s="31">
        <f>'FS Desroches Daily'!CB17</f>
        <v>55.099999999998545</v>
      </c>
      <c r="AR15" s="31">
        <f>'FS Desroches Daily'!CD17</f>
        <v>21.099999999998545</v>
      </c>
      <c r="AS15" s="31">
        <f>'FS Desroches Daily'!CF17</f>
        <v>2.6000000000003638</v>
      </c>
      <c r="AT15" s="31">
        <f>'FS Desroches Daily'!CH17</f>
        <v>38.700000000011642</v>
      </c>
      <c r="AU15" s="31">
        <f>'FS Desroches Daily'!CJ17</f>
        <v>315</v>
      </c>
      <c r="AV15" s="31">
        <f>'FS Desroches Daily'!CL17</f>
        <v>799.99999999995453</v>
      </c>
      <c r="AW15" s="31">
        <f>'FS Desroches Daily'!CM17</f>
        <v>117.70000000000073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1900.0000000000127</v>
      </c>
      <c r="F16" s="32">
        <f>'FS Desroches Daily'!F18</f>
        <v>3200.0000000005357</v>
      </c>
      <c r="G16" s="31">
        <f>'FS Desroches Daily'!H18</f>
        <v>3800.0000000000255</v>
      </c>
      <c r="H16" s="32">
        <f>'FS Desroches Daily'!J18</f>
        <v>1500.0000000000568</v>
      </c>
      <c r="I16" s="31">
        <f>'FS Desroches Daily'!L18</f>
        <v>2199.9999999997576</v>
      </c>
      <c r="J16" s="32">
        <f>'FS Desroches Daily'!N18</f>
        <v>1199.9999999998679</v>
      </c>
      <c r="K16" s="13">
        <f>'FS Desroches Daily'!P18</f>
        <v>16</v>
      </c>
      <c r="L16" s="31">
        <f>'FS Desroches Daily'!R18</f>
        <v>3</v>
      </c>
      <c r="M16" s="31">
        <f>'FS Desroches Daily'!T18</f>
        <v>1400.0000000000909</v>
      </c>
      <c r="N16" s="31">
        <f>'FS Desroches Daily'!V18</f>
        <v>458.09999999997672</v>
      </c>
      <c r="O16" s="31">
        <f>'FS Desroches Daily'!X18</f>
        <v>300.00000000006821</v>
      </c>
      <c r="P16" s="31">
        <f>'FS Desroches Daily'!Z18</f>
        <v>2999.9999999992256</v>
      </c>
      <c r="Q16" s="31">
        <f>'FS Desroches Daily'!AB18</f>
        <v>359.99999999989996</v>
      </c>
      <c r="R16" s="31">
        <f>'FS Desroches Daily'!AD18</f>
        <v>340.00000000003183</v>
      </c>
      <c r="S16" s="31">
        <f>'FS Desroches Daily'!AF18</f>
        <v>419.99999999995907</v>
      </c>
      <c r="T16" s="31">
        <f>'FS Desroches Daily'!AH18</f>
        <v>38</v>
      </c>
      <c r="U16" s="35">
        <f>'FS Desroches Daily'!AJ18</f>
        <v>399.99999999995595</v>
      </c>
      <c r="V16" s="35">
        <f>'FS Desroches Daily'!AL18</f>
        <v>199.99999999998863</v>
      </c>
      <c r="W16" s="35">
        <f>'FS Desroches Daily'!AN18</f>
        <v>220.00000000002728</v>
      </c>
      <c r="X16" s="35">
        <f>'FS Desroches Daily'!AP18</f>
        <v>79.999999999984084</v>
      </c>
      <c r="Y16" s="35">
        <f>'FS Desroches Daily'!AR18</f>
        <v>209.99999999997954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60.000000000002274</v>
      </c>
      <c r="AC16" s="35">
        <f>'FS Desroches Daily'!AZ18</f>
        <v>79.999999999984084</v>
      </c>
      <c r="AD16" s="35">
        <f>'FS Desroches Daily'!BB18</f>
        <v>50.000000000011369</v>
      </c>
      <c r="AE16" s="35">
        <f>'FS Desroches Daily'!BD18</f>
        <v>109.9999999999568</v>
      </c>
      <c r="AF16" s="31">
        <f>'FS Desroches Daily'!BF18</f>
        <v>46</v>
      </c>
      <c r="AG16" s="32">
        <f>'FS Desroches Daily'!BH18</f>
        <v>39.99999999996362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60.000000000002274</v>
      </c>
      <c r="AN16" s="32">
        <f>'FS Desroches Daily'!BV18</f>
        <v>34</v>
      </c>
      <c r="AO16" s="32">
        <f>'FS Desroches Daily'!BX18</f>
        <v>39.999999999992042</v>
      </c>
      <c r="AP16" s="32">
        <f>'FS Desroches Daily'!BZ18</f>
        <v>52</v>
      </c>
      <c r="AQ16" s="31">
        <f>'FS Desroches Daily'!CB18</f>
        <v>55.400000000001455</v>
      </c>
      <c r="AR16" s="31">
        <f>'FS Desroches Daily'!CD18</f>
        <v>15.5</v>
      </c>
      <c r="AS16" s="31">
        <f>'FS Desroches Daily'!CF18</f>
        <v>3.8999999999996362</v>
      </c>
      <c r="AT16" s="31">
        <f>'FS Desroches Daily'!CH18</f>
        <v>47.599999999991269</v>
      </c>
      <c r="AU16" s="31">
        <f>'FS Desroches Daily'!CJ18</f>
        <v>318</v>
      </c>
      <c r="AV16" s="31">
        <f>'FS Desroches Daily'!CL18</f>
        <v>799.99999999995453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2399.9999999997358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1900.0000000000127</v>
      </c>
      <c r="I17" s="31">
        <f>'FS Desroches Daily'!L19</f>
        <v>2099.9999999999909</v>
      </c>
      <c r="J17" s="32">
        <f>'FS Desroches Daily'!N19</f>
        <v>1599.9999999998238</v>
      </c>
      <c r="K17" s="13">
        <f>'FS Desroches Daily'!P19</f>
        <v>34</v>
      </c>
      <c r="L17" s="31">
        <f>'FS Desroches Daily'!R19</f>
        <v>6</v>
      </c>
      <c r="M17" s="31">
        <f>'FS Desroches Daily'!T19</f>
        <v>1200.0000000000455</v>
      </c>
      <c r="N17" s="31">
        <f>'FS Desroches Daily'!V19</f>
        <v>516.20000000006985</v>
      </c>
      <c r="O17" s="31">
        <f>'FS Desroches Daily'!X19</f>
        <v>449.99999999993179</v>
      </c>
      <c r="P17" s="31">
        <f>'FS Desroches Daily'!Z19</f>
        <v>2900.0000000003465</v>
      </c>
      <c r="Q17" s="31">
        <f>'FS Desroches Daily'!AB19</f>
        <v>220.00000000002728</v>
      </c>
      <c r="R17" s="31">
        <f>'FS Desroches Daily'!AD19</f>
        <v>470.00000000002728</v>
      </c>
      <c r="S17" s="31">
        <f>'FS Desroches Daily'!AF19</f>
        <v>830.00000000004093</v>
      </c>
      <c r="T17" s="31">
        <f>'FS Desroches Daily'!AH19</f>
        <v>42</v>
      </c>
      <c r="U17" s="35">
        <f>'FS Desroches Daily'!AJ19</f>
        <v>599.99999999993395</v>
      </c>
      <c r="V17" s="35">
        <f>'FS Desroches Daily'!AL19</f>
        <v>279.99999999997272</v>
      </c>
      <c r="W17" s="35">
        <f>'FS Desroches Daily'!AN19</f>
        <v>269.99999999998181</v>
      </c>
      <c r="X17" s="35">
        <f>'FS Desroches Daily'!AP19</f>
        <v>129.99999999999545</v>
      </c>
      <c r="Y17" s="35">
        <f>'FS Desroches Daily'!AR19</f>
        <v>139.99999999998636</v>
      </c>
      <c r="Z17" s="35">
        <f>'FS Desroches Daily'!AU20</f>
        <v>387.95</v>
      </c>
      <c r="AA17" s="35">
        <f>'FS Desroches Daily'!AU20</f>
        <v>387.95</v>
      </c>
      <c r="AB17" s="35">
        <f>'FS Desroches Daily'!AV19</f>
        <v>60.000000000002274</v>
      </c>
      <c r="AC17" s="35">
        <f>'FS Desroches Daily'!AZ19</f>
        <v>129.99999999999545</v>
      </c>
      <c r="AD17" s="35">
        <f>'FS Desroches Daily'!BB19</f>
        <v>49.999999999954525</v>
      </c>
      <c r="AE17" s="35">
        <f>'FS Desroches Daily'!BD19</f>
        <v>129.99999999999545</v>
      </c>
      <c r="AF17" s="31">
        <f>'FS Desroches Daily'!BF19</f>
        <v>34</v>
      </c>
      <c r="AG17" s="32">
        <f>'FS Desroches Daily'!BH19</f>
        <v>40.000000000020464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46</v>
      </c>
      <c r="AM17" s="32">
        <f>'FS Desroches Daily'!BT19</f>
        <v>69.999999999993179</v>
      </c>
      <c r="AN17" s="32">
        <f>'FS Desroches Daily'!BV19</f>
        <v>41</v>
      </c>
      <c r="AO17" s="32">
        <f>'FS Desroches Daily'!BX19</f>
        <v>60.000000000002274</v>
      </c>
      <c r="AP17" s="32">
        <f>'FS Desroches Daily'!BZ19</f>
        <v>55</v>
      </c>
      <c r="AQ17" s="31">
        <f>'FS Desroches Daily'!CB19</f>
        <v>68.599999999998545</v>
      </c>
      <c r="AR17" s="31">
        <f>'FS Desroches Daily'!CD19</f>
        <v>16</v>
      </c>
      <c r="AS17" s="31">
        <f>'FS Desroches Daily'!CF19</f>
        <v>2</v>
      </c>
      <c r="AT17" s="31">
        <f>'FS Desroches Daily'!CH19</f>
        <v>43</v>
      </c>
      <c r="AU17" s="31">
        <f>'FS Desroches Daily'!CJ19</f>
        <v>316</v>
      </c>
      <c r="AV17" s="31">
        <f>'FS Desroches Daily'!CL19</f>
        <v>900.00000000009095</v>
      </c>
      <c r="AW17" s="31">
        <f>'FS Desroches Daily'!CM19</f>
        <v>146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2000.0000000002237</v>
      </c>
      <c r="F18" s="32">
        <f>'FS Desroches Daily'!F20</f>
        <v>3300.0000000003029</v>
      </c>
      <c r="G18" s="31">
        <f>'FS Desroches Daily'!H20</f>
        <v>4099.9999999993261</v>
      </c>
      <c r="H18" s="32">
        <f>'FS Desroches Daily'!J20</f>
        <v>1500.0000000000568</v>
      </c>
      <c r="I18" s="31">
        <f>'FS Desroches Daily'!L20</f>
        <v>2000.0000000002237</v>
      </c>
      <c r="J18" s="32">
        <f>'FS Desroches Daily'!N20</f>
        <v>1500.0000000000568</v>
      </c>
      <c r="K18" s="13">
        <f>'FS Desroches Daily'!P20</f>
        <v>24</v>
      </c>
      <c r="L18" s="31">
        <f>'FS Desroches Daily'!R20</f>
        <v>3</v>
      </c>
      <c r="M18" s="31">
        <f>'FS Desroches Daily'!T20</f>
        <v>1399.9999999998636</v>
      </c>
      <c r="N18" s="31">
        <f>'FS Desroches Daily'!V20</f>
        <v>522.89999999990687</v>
      </c>
      <c r="O18" s="31">
        <f>'FS Desroches Daily'!X20</f>
        <v>389.99999999998636</v>
      </c>
      <c r="P18" s="31">
        <f>'FS Desroches Daily'!Z20</f>
        <v>2699.9999999999245</v>
      </c>
      <c r="Q18" s="31">
        <f>'FS Desroches Daily'!AB20</f>
        <v>350.00000000002274</v>
      </c>
      <c r="R18" s="31">
        <f>'FS Desroches Daily'!AD20</f>
        <v>389.99999999998636</v>
      </c>
      <c r="S18" s="31">
        <f>'FS Desroches Daily'!AF20</f>
        <v>659.99999999996817</v>
      </c>
      <c r="T18" s="31">
        <f>'FS Desroches Daily'!AH20</f>
        <v>47</v>
      </c>
      <c r="U18" s="35">
        <f>'FS Desroches Daily'!AJ20</f>
        <v>600.00000000015598</v>
      </c>
      <c r="V18" s="35">
        <f>'FS Desroches Daily'!AL20</f>
        <v>230.00000000001819</v>
      </c>
      <c r="W18" s="35">
        <f>'FS Desroches Daily'!AN20</f>
        <v>140.0000000000432</v>
      </c>
      <c r="X18" s="35">
        <f>'FS Desroches Daily'!AP20</f>
        <v>100.00000000002274</v>
      </c>
      <c r="Y18" s="35">
        <f>'FS Desroches Daily'!AR20</f>
        <v>100.00000000002274</v>
      </c>
      <c r="Z18" s="35">
        <f>'FS Desroches Daily'!AT20</f>
        <v>139.99999999998636</v>
      </c>
      <c r="AA18" s="35">
        <f>'FS Desroches Daily'!AT20</f>
        <v>139.99999999998636</v>
      </c>
      <c r="AB18" s="35">
        <f>'FS Desroches Daily'!AV20</f>
        <v>60.000000000002274</v>
      </c>
      <c r="AC18" s="35">
        <f>'FS Desroches Daily'!AZ20</f>
        <v>160.00000000002501</v>
      </c>
      <c r="AD18" s="35">
        <f>'FS Desroches Daily'!BB20</f>
        <v>60.000000000002274</v>
      </c>
      <c r="AE18" s="35">
        <f>'FS Desroches Daily'!BD20</f>
        <v>120.00000000000455</v>
      </c>
      <c r="AF18" s="31">
        <f>'FS Desroches Daily'!BF20</f>
        <v>4</v>
      </c>
      <c r="AG18" s="32">
        <f>'FS Desroches Daily'!BH20</f>
        <v>30.000000000029559</v>
      </c>
      <c r="AH18" s="32">
        <f>'FS Desroches Daily'!BJ20</f>
        <v>29.999999999972715</v>
      </c>
      <c r="AI18" s="32">
        <f>'FS Desroches Daily'!BL20</f>
        <v>49.999999999954525</v>
      </c>
      <c r="AJ18" s="32">
        <f>'FS Desroches Daily'!BN20</f>
        <v>80.000000000012506</v>
      </c>
      <c r="AK18" s="32">
        <f>'FS Desroches Daily'!BP20</f>
        <v>39.99999999996362</v>
      </c>
      <c r="AL18" s="32">
        <f>'FS Desroches Daily'!BR20</f>
        <v>42</v>
      </c>
      <c r="AM18" s="32">
        <f>'FS Desroches Daily'!BT20</f>
        <v>50.000000000011369</v>
      </c>
      <c r="AN18" s="32">
        <f>'FS Desroches Daily'!BV20</f>
        <v>33</v>
      </c>
      <c r="AO18" s="32">
        <f>'FS Desroches Daily'!BX20</f>
        <v>50.000000000011369</v>
      </c>
      <c r="AP18" s="32">
        <f>'FS Desroches Daily'!BZ20</f>
        <v>49</v>
      </c>
      <c r="AQ18" s="31">
        <f>'FS Desroches Daily'!CB20</f>
        <v>60.5</v>
      </c>
      <c r="AR18" s="31">
        <f>'FS Desroches Daily'!CD20</f>
        <v>11.299999999999272</v>
      </c>
      <c r="AS18" s="31">
        <f>'FS Desroches Daily'!CF20</f>
        <v>6.6999999999989086</v>
      </c>
      <c r="AT18" s="31">
        <f>'FS Desroches Daily'!CH20</f>
        <v>23.80000000000291</v>
      </c>
      <c r="AU18" s="31">
        <f>'FS Desroches Daily'!CJ20</f>
        <v>305</v>
      </c>
      <c r="AV18" s="31">
        <f>'FS Desroches Daily'!CL20</f>
        <v>1000</v>
      </c>
      <c r="AW18" s="31">
        <f>'FS Desroches Daily'!CM20</f>
        <v>137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39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2199.9999999997576</v>
      </c>
      <c r="F19" s="32">
        <f>'FS Desroches Daily'!F21</f>
        <v>2899.9999999994584</v>
      </c>
      <c r="G19" s="31">
        <f>'FS Desroches Daily'!H21</f>
        <v>3800.0000000000255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1500.0000000000568</v>
      </c>
      <c r="K19" s="13">
        <f>'FS Desroches Daily'!P21</f>
        <v>27</v>
      </c>
      <c r="L19" s="31">
        <f>'FS Desroches Daily'!R21</f>
        <v>4</v>
      </c>
      <c r="M19" s="31">
        <f>'FS Desroches Daily'!T21</f>
        <v>1299.9999999999545</v>
      </c>
      <c r="N19" s="31">
        <f>'FS Desroches Daily'!V21</f>
        <v>477</v>
      </c>
      <c r="O19" s="31">
        <f>'FS Desroches Daily'!X21</f>
        <v>440.00000000005457</v>
      </c>
      <c r="P19" s="31">
        <f>'FS Desroches Daily'!Z21</f>
        <v>3099.9999999998809</v>
      </c>
      <c r="Q19" s="31">
        <f>'FS Desroches Daily'!AB21</f>
        <v>389.99999999998636</v>
      </c>
      <c r="R19" s="31">
        <f>'FS Desroches Daily'!AD21</f>
        <v>460.00000000003638</v>
      </c>
      <c r="S19" s="31">
        <f>'FS Desroches Daily'!AF21</f>
        <v>590.00000000003183</v>
      </c>
      <c r="T19" s="31">
        <f>'FS Desroches Daily'!AH21</f>
        <v>55</v>
      </c>
      <c r="U19" s="35">
        <f>'FS Desroches Daily'!AJ21</f>
        <v>799.99999999991189</v>
      </c>
      <c r="V19" s="35">
        <f>'FS Desroches Daily'!AL21</f>
        <v>300.00000000001137</v>
      </c>
      <c r="W19" s="35">
        <f>'FS Desroches Daily'!AN21</f>
        <v>219.99999999997044</v>
      </c>
      <c r="X19" s="35">
        <f>'FS Desroches Daily'!AP21</f>
        <v>120.00000000000455</v>
      </c>
      <c r="Y19" s="35">
        <f>'FS Desroches Daily'!AR21</f>
        <v>89.999999999974989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40.000000000020464</v>
      </c>
      <c r="AC19" s="35">
        <f>'FS Desroches Daily'!AZ21</f>
        <v>139.99999999998636</v>
      </c>
      <c r="AD19" s="35">
        <f>'FS Desroches Daily'!BB21</f>
        <v>100.00000000002274</v>
      </c>
      <c r="AE19" s="35">
        <f>'FS Desroches Daily'!BD21</f>
        <v>160.00000000002501</v>
      </c>
      <c r="AF19" s="31">
        <f>'FS Desroches Daily'!BF21</f>
        <v>28</v>
      </c>
      <c r="AG19" s="32">
        <f>'FS Desroches Daily'!BH21</f>
        <v>49.999999999954525</v>
      </c>
      <c r="AH19" s="32">
        <f>'FS Desroches Daily'!BJ21</f>
        <v>40.000000000020464</v>
      </c>
      <c r="AI19" s="32">
        <f>'FS Desroches Daily'!BL21</f>
        <v>50.000000000011369</v>
      </c>
      <c r="AJ19" s="32">
        <f>'FS Desroches Daily'!BN21</f>
        <v>9.9999999999909051</v>
      </c>
      <c r="AK19" s="32">
        <f>'FS Desroches Daily'!BP21</f>
        <v>40.000000000020464</v>
      </c>
      <c r="AL19" s="32">
        <f>'FS Desroches Daily'!BR21</f>
        <v>40</v>
      </c>
      <c r="AM19" s="32">
        <f>'FS Desroches Daily'!BT21</f>
        <v>50.000000000011369</v>
      </c>
      <c r="AN19" s="32">
        <f>'FS Desroches Daily'!BV21</f>
        <v>37</v>
      </c>
      <c r="AO19" s="32">
        <f>'FS Desroches Daily'!BX21</f>
        <v>49.999999999982947</v>
      </c>
      <c r="AP19" s="32">
        <f>'FS Desroches Daily'!BZ21</f>
        <v>53</v>
      </c>
      <c r="AQ19" s="31">
        <f>'FS Desroches Daily'!CB21</f>
        <v>71.599999999998545</v>
      </c>
      <c r="AR19" s="31">
        <f>'FS Desroches Daily'!CD21</f>
        <v>11.299999999999272</v>
      </c>
      <c r="AS19" s="31">
        <f>'FS Desroches Daily'!CF21</f>
        <v>3</v>
      </c>
      <c r="AT19" s="31">
        <f>'FS Desroches Daily'!CH21</f>
        <v>58.899999999994179</v>
      </c>
      <c r="AU19" s="31">
        <f>'FS Desroches Daily'!CJ21</f>
        <v>309</v>
      </c>
      <c r="AV19" s="31">
        <f>'FS Desroches Daily'!CL21</f>
        <v>1000</v>
      </c>
      <c r="AW19" s="31">
        <f>'FS Desroches Daily'!CM21</f>
        <v>118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10.988999999999999</v>
      </c>
      <c r="BC19" s="13">
        <f>'FS Desroches Daily'!CN21</f>
        <v>30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1900.0000000000127</v>
      </c>
      <c r="F20" s="32">
        <f>'FS Desroches Daily'!F22</f>
        <v>3200.0000000005357</v>
      </c>
      <c r="G20" s="31">
        <f>'FS Desroches Daily'!H22</f>
        <v>3700.0000000002588</v>
      </c>
      <c r="H20" s="32">
        <f>'FS Desroches Daily'!J22</f>
        <v>1499.9999999996128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22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388.20000000006985</v>
      </c>
      <c r="O20" s="31">
        <f>'FS Desroches Daily'!X22</f>
        <v>279.99999999997272</v>
      </c>
      <c r="P20" s="31">
        <f>'FS Desroches Daily'!Z22</f>
        <v>2600.0000000001578</v>
      </c>
      <c r="Q20" s="31">
        <f>'FS Desroches Daily'!AB22</f>
        <v>200.00000000004547</v>
      </c>
      <c r="R20" s="31">
        <f>'FS Desroches Daily'!AD22</f>
        <v>279.99999999997272</v>
      </c>
      <c r="S20" s="31">
        <f>'FS Desroches Daily'!AF22</f>
        <v>319.99999999993634</v>
      </c>
      <c r="T20" s="31">
        <f>'FS Desroches Daily'!AH22</f>
        <v>36</v>
      </c>
      <c r="U20" s="35">
        <f>'FS Desroches Daily'!AJ22</f>
        <v>599.99999999993395</v>
      </c>
      <c r="V20" s="35">
        <f>'FS Desroches Daily'!AL22</f>
        <v>169.99999999995907</v>
      </c>
      <c r="W20" s="35">
        <f>'FS Desroches Daily'!AN22</f>
        <v>149.99999999997726</v>
      </c>
      <c r="X20" s="35">
        <f>'FS Desroches Daily'!AP22</f>
        <v>89.999999999974989</v>
      </c>
      <c r="Y20" s="35">
        <f>'FS Desroches Daily'!AR22</f>
        <v>40.000000000020464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29.999999999972715</v>
      </c>
      <c r="AC20" s="35">
        <f>'FS Desroches Daily'!AZ22</f>
        <v>50.000000000011369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38</v>
      </c>
      <c r="AG20" s="32">
        <f>'FS Desroches Daily'!BH22</f>
        <v>30.000000000029559</v>
      </c>
      <c r="AH20" s="32">
        <f>'FS Desroches Daily'!BJ22</f>
        <v>39.99999999996362</v>
      </c>
      <c r="AI20" s="32">
        <f>'FS Desroches Daily'!BL22</f>
        <v>50.000000000011369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29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76.400000000001455</v>
      </c>
      <c r="AR20" s="31">
        <f>'FS Desroches Daily'!CD22</f>
        <v>9.7000000000007276</v>
      </c>
      <c r="AS20" s="31">
        <f>'FS Desroches Daily'!CF22</f>
        <v>0.90000000000145519</v>
      </c>
      <c r="AT20" s="31">
        <f>'FS Desroches Daily'!CH22</f>
        <v>44.900000000008731</v>
      </c>
      <c r="AU20" s="31">
        <f>'FS Desroches Daily'!CJ22</f>
        <v>310</v>
      </c>
      <c r="AV20" s="31">
        <f>'FS Desroches Daily'!CL22</f>
        <v>900.00000000009095</v>
      </c>
      <c r="AW20" s="31">
        <f>'FS Desroches Daily'!CM22</f>
        <v>110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1900.0000000000127</v>
      </c>
      <c r="F21" s="32">
        <f>'FS Desroches Daily'!F23</f>
        <v>2899.9999999994584</v>
      </c>
      <c r="G21" s="31">
        <f>'FS Desroches Daily'!H23</f>
        <v>3499.9999999998367</v>
      </c>
      <c r="H21" s="32">
        <f>'FS Desroches Daily'!J23</f>
        <v>1500.0000000000568</v>
      </c>
      <c r="I21" s="31">
        <f>'FS Desroches Daily'!L23</f>
        <v>1999.9999999997797</v>
      </c>
      <c r="J21" s="32">
        <f>'FS Desroches Daily'!N23</f>
        <v>1200.000000000312</v>
      </c>
      <c r="K21" s="13">
        <f>'FS Desroches Daily'!P23</f>
        <v>17</v>
      </c>
      <c r="L21" s="31">
        <f>'FS Desroches Daily'!R23</f>
        <v>3</v>
      </c>
      <c r="M21" s="31">
        <f>'FS Desroches Daily'!T23</f>
        <v>1200.0000000000455</v>
      </c>
      <c r="N21" s="31">
        <f>'FS Desroches Daily'!V23</f>
        <v>440</v>
      </c>
      <c r="O21" s="31">
        <f>'FS Desroches Daily'!X23</f>
        <v>310.00000000005912</v>
      </c>
      <c r="P21" s="31">
        <f>'FS Desroches Daily'!Z23</f>
        <v>2500.0000000003906</v>
      </c>
      <c r="Q21" s="31">
        <f>'FS Desroches Daily'!AB23</f>
        <v>360.00000000001364</v>
      </c>
      <c r="R21" s="31">
        <f>'FS Desroches Daily'!AD23</f>
        <v>299.99999999995453</v>
      </c>
      <c r="S21" s="31">
        <f>'FS Desroches Daily'!AF23</f>
        <v>389.99999999998636</v>
      </c>
      <c r="T21" s="31">
        <f>'FS Desroches Daily'!AH23</f>
        <v>32</v>
      </c>
      <c r="U21" s="35">
        <f>'FS Desroches Daily'!AJ23</f>
        <v>600.00000000015598</v>
      </c>
      <c r="V21" s="35">
        <f>'FS Desroches Daily'!AL23</f>
        <v>210.00000000003638</v>
      </c>
      <c r="W21" s="35">
        <f>'FS Desroches Daily'!AN23</f>
        <v>170.00000000001592</v>
      </c>
      <c r="X21" s="35">
        <f>'FS Desroches Daily'!AP23</f>
        <v>79.999999999984084</v>
      </c>
      <c r="Y21" s="35">
        <f>'FS Desroches Daily'!AR23</f>
        <v>69.999999999993179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40.000000000020464</v>
      </c>
      <c r="AC21" s="35">
        <f>'FS Desroches Daily'!AZ23</f>
        <v>99.999999999965894</v>
      </c>
      <c r="AD21" s="35">
        <f>'FS Desroches Daily'!BB23</f>
        <v>100.00000000002274</v>
      </c>
      <c r="AE21" s="35">
        <f>'FS Desroches Daily'!BD23</f>
        <v>69.999999999993179</v>
      </c>
      <c r="AF21" s="31">
        <f>'FS Desroches Daily'!BF23</f>
        <v>39</v>
      </c>
      <c r="AG21" s="32">
        <f>'FS Desroches Daily'!BH23</f>
        <v>29.999999999972715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30.000000000001137</v>
      </c>
      <c r="AK21" s="32">
        <f>'FS Desroches Daily'!BP23</f>
        <v>29.999999999972715</v>
      </c>
      <c r="AL21" s="32">
        <f>'FS Desroches Daily'!BR23</f>
        <v>34</v>
      </c>
      <c r="AM21" s="32">
        <f>'FS Desroches Daily'!BT23</f>
        <v>50.000000000011369</v>
      </c>
      <c r="AN21" s="32">
        <f>'FS Desroches Daily'!BV23</f>
        <v>28</v>
      </c>
      <c r="AO21" s="32">
        <f>'FS Desroches Daily'!BX23</f>
        <v>39.999999999992042</v>
      </c>
      <c r="AP21" s="32">
        <f>'FS Desroches Daily'!BZ23</f>
        <v>53</v>
      </c>
      <c r="AQ21" s="31">
        <f>'FS Desroches Daily'!CB23</f>
        <v>67.69999999999709</v>
      </c>
      <c r="AR21" s="31">
        <f>'FS Desroches Daily'!CD23</f>
        <v>12.200000000000728</v>
      </c>
      <c r="AS21" s="31">
        <f>'FS Desroches Daily'!CF23</f>
        <v>4.5999999999985448</v>
      </c>
      <c r="AT21" s="31">
        <f>'FS Desroches Daily'!CH23</f>
        <v>47.899999999994179</v>
      </c>
      <c r="AU21" s="31">
        <f>'FS Desroches Daily'!CJ23</f>
        <v>307</v>
      </c>
      <c r="AV21" s="31">
        <f>'FS Desroches Daily'!CL23</f>
        <v>799.99999999995453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23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1900.0000000000127</v>
      </c>
      <c r="F22" s="32">
        <f>'FS Desroches Daily'!F24</f>
        <v>2900.0000000003465</v>
      </c>
      <c r="G22" s="31">
        <f>'FS Desroches Daily'!H24</f>
        <v>3899.9999999997926</v>
      </c>
      <c r="H22" s="32">
        <f>'FS Desroches Daily'!J24</f>
        <v>1900.0000000000127</v>
      </c>
      <c r="I22" s="31">
        <f>'FS Desroches Daily'!L24</f>
        <v>2000.0000000002237</v>
      </c>
      <c r="J22" s="32">
        <f>'FS Desroches Daily'!N24</f>
        <v>999.99999999988984</v>
      </c>
      <c r="K22" s="13">
        <f>'FS Desroches Daily'!P24</f>
        <v>17</v>
      </c>
      <c r="L22" s="31">
        <f>'FS Desroches Daily'!R24</f>
        <v>4</v>
      </c>
      <c r="M22" s="31">
        <f>'FS Desroches Daily'!T24</f>
        <v>1400.0000000000909</v>
      </c>
      <c r="N22" s="31">
        <f>'FS Desroches Daily'!V24</f>
        <v>592</v>
      </c>
      <c r="O22" s="31">
        <f>'FS Desroches Daily'!X24</f>
        <v>329.99999999992724</v>
      </c>
      <c r="P22" s="31">
        <f>'FS Desroches Daily'!Z24</f>
        <v>2499.9999999995025</v>
      </c>
      <c r="Q22" s="31">
        <f>'FS Desroches Daily'!AB24</f>
        <v>209.99999999992269</v>
      </c>
      <c r="R22" s="31">
        <f>'FS Desroches Daily'!AD24</f>
        <v>379.99999999999545</v>
      </c>
      <c r="S22" s="31">
        <f>'FS Desroches Daily'!AF24</f>
        <v>340.00000000003183</v>
      </c>
      <c r="T22" s="31">
        <f>'FS Desroches Daily'!AH24</f>
        <v>40</v>
      </c>
      <c r="U22" s="35">
        <f>'FS Desroches Daily'!AJ24</f>
        <v>599.99999999993395</v>
      </c>
      <c r="V22" s="35">
        <f>'FS Desroches Daily'!AL24</f>
        <v>240.00000000000909</v>
      </c>
      <c r="W22" s="35">
        <f>'FS Desroches Daily'!AN24</f>
        <v>170.00000000001592</v>
      </c>
      <c r="X22" s="35">
        <f>'FS Desroches Daily'!AP24</f>
        <v>110.00000000001364</v>
      </c>
      <c r="Y22" s="35">
        <f>'FS Desroches Daily'!AR24</f>
        <v>129.99999999999545</v>
      </c>
      <c r="Z22" s="35">
        <f>'FS Desroches Daily'!AT24</f>
        <v>90.000000000031832</v>
      </c>
      <c r="AA22" s="35">
        <f>'FS Desroches Daily'!AT24</f>
        <v>90.000000000031832</v>
      </c>
      <c r="AB22" s="35">
        <f>'FS Desroches Daily'!AV24</f>
        <v>60.000000000002274</v>
      </c>
      <c r="AC22" s="35">
        <f>'FS Desroches Daily'!AZ24</f>
        <v>100.00000000002274</v>
      </c>
      <c r="AD22" s="35">
        <f>'FS Desroches Daily'!BB24</f>
        <v>89.999999999974989</v>
      </c>
      <c r="AE22" s="35">
        <f>'FS Desroches Daily'!BD24</f>
        <v>60.000000000002274</v>
      </c>
      <c r="AF22" s="31">
        <f>'FS Desroches Daily'!BF24</f>
        <v>41</v>
      </c>
      <c r="AG22" s="32">
        <f>'FS Desroches Daily'!BH24</f>
        <v>40.000000000020464</v>
      </c>
      <c r="AH22" s="32">
        <f>'FS Desroches Daily'!BJ24</f>
        <v>40.000000000020464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40</v>
      </c>
      <c r="AM22" s="32">
        <f>'FS Desroches Daily'!BT24</f>
        <v>49.999999999982947</v>
      </c>
      <c r="AN22" s="32">
        <f>'FS Desroches Daily'!BV24</f>
        <v>34</v>
      </c>
      <c r="AO22" s="32">
        <f>'FS Desroches Daily'!BX24</f>
        <v>50.000000000011369</v>
      </c>
      <c r="AP22" s="32">
        <f>'FS Desroches Daily'!BZ24</f>
        <v>52</v>
      </c>
      <c r="AQ22" s="31">
        <f>'FS Desroches Daily'!CB24</f>
        <v>60.30000000000291</v>
      </c>
      <c r="AR22" s="31">
        <f>'FS Desroches Daily'!CD24</f>
        <v>23</v>
      </c>
      <c r="AS22" s="31">
        <f>'FS Desroches Daily'!CF24</f>
        <v>1.6000000000003638</v>
      </c>
      <c r="AT22" s="31">
        <f>'FS Desroches Daily'!CH24</f>
        <v>44.5</v>
      </c>
      <c r="AU22" s="31">
        <f>'FS Desroches Daily'!CJ24</f>
        <v>320</v>
      </c>
      <c r="AV22" s="31">
        <f>'FS Desroches Daily'!CL24</f>
        <v>899.99999999986358</v>
      </c>
      <c r="AW22" s="31">
        <f>'FS Desroches Daily'!CM24</f>
        <v>108.40000000000146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1800.0000000002458</v>
      </c>
      <c r="F23" s="32">
        <f>'FS Desroches Daily'!F25</f>
        <v>3000.0000000001137</v>
      </c>
      <c r="G23" s="31">
        <f>'FS Desroches Daily'!H25</f>
        <v>3700.0000000002588</v>
      </c>
      <c r="H23" s="32">
        <f>'FS Desroches Daily'!J25</f>
        <v>1300.0000000000789</v>
      </c>
      <c r="I23" s="31">
        <f>'FS Desroches Daily'!L25</f>
        <v>2099.9999999999909</v>
      </c>
      <c r="J23" s="32">
        <f>'FS Desroches Daily'!N25</f>
        <v>1199.9999999998679</v>
      </c>
      <c r="K23" s="13">
        <f>'FS Desroches Daily'!P25</f>
        <v>16</v>
      </c>
      <c r="L23" s="31">
        <f>'FS Desroches Daily'!R25</f>
        <v>3</v>
      </c>
      <c r="M23" s="31">
        <f>'FS Desroches Daily'!T25</f>
        <v>1099.9999999999091</v>
      </c>
      <c r="N23" s="31">
        <f>'FS Desroches Daily'!V25</f>
        <v>379.5</v>
      </c>
      <c r="O23" s="31">
        <f>'FS Desroches Daily'!X25</f>
        <v>360.00000000001364</v>
      </c>
      <c r="P23" s="31">
        <f>'FS Desroches Daily'!Z25</f>
        <v>2699.9999999999245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379.99999999999545</v>
      </c>
      <c r="T23" s="31">
        <f>'FS Desroches Daily'!AH25</f>
        <v>44</v>
      </c>
      <c r="U23" s="35">
        <f>'FS Desroches Daily'!AJ25</f>
        <v>599.99999999993395</v>
      </c>
      <c r="V23" s="35">
        <f>'FS Desroches Daily'!AL25</f>
        <v>189.99999999999773</v>
      </c>
      <c r="W23" s="35">
        <f>'FS Desroches Daily'!AN25</f>
        <v>219.99999999997044</v>
      </c>
      <c r="X23" s="35">
        <f>'FS Desroches Daily'!AP25</f>
        <v>110.00000000001364</v>
      </c>
      <c r="Y23" s="35">
        <f>'FS Desroches Daily'!AR25</f>
        <v>150.00000000003411</v>
      </c>
      <c r="Z23" s="35">
        <f>'FS Desroches Daily'!AT25</f>
        <v>79.999999999984084</v>
      </c>
      <c r="AA23" s="35">
        <f>'FS Desroches Daily'!AT25</f>
        <v>79.999999999984084</v>
      </c>
      <c r="AB23" s="35">
        <f>'FS Desroches Daily'!AV25</f>
        <v>50.000000000011369</v>
      </c>
      <c r="AC23" s="35">
        <f>'FS Desroches Daily'!AZ25</f>
        <v>50.000000000011369</v>
      </c>
      <c r="AD23" s="35">
        <f>'FS Desroches Daily'!BB25</f>
        <v>60.000000000002274</v>
      </c>
      <c r="AE23" s="35">
        <f>'FS Desroches Daily'!BD25</f>
        <v>20.000000000038654</v>
      </c>
      <c r="AF23" s="31">
        <f>'FS Desroches Daily'!BF25</f>
        <v>38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49.999999999954525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39</v>
      </c>
      <c r="AM23" s="32">
        <f>'FS Desroches Daily'!BT25</f>
        <v>60.000000000002274</v>
      </c>
      <c r="AN23" s="32">
        <f>'FS Desroches Daily'!BV25</f>
        <v>29</v>
      </c>
      <c r="AO23" s="32">
        <f>'FS Desroches Daily'!BX25</f>
        <v>39.999999999992042</v>
      </c>
      <c r="AP23" s="32">
        <f>'FS Desroches Daily'!BZ25</f>
        <v>51</v>
      </c>
      <c r="AQ23" s="31">
        <f>'FS Desroches Daily'!CB25</f>
        <v>71</v>
      </c>
      <c r="AR23" s="31">
        <f>'FS Desroches Daily'!CD25</f>
        <v>8</v>
      </c>
      <c r="AS23" s="31">
        <f>'FS Desroches Daily'!CF25</f>
        <v>3.6000000000003638</v>
      </c>
      <c r="AT23" s="31">
        <f>'FS Desroches Daily'!CH25</f>
        <v>37.900000000008731</v>
      </c>
      <c r="AU23" s="31">
        <f>'FS Desroches Daily'!CJ25</f>
        <v>312</v>
      </c>
      <c r="AV23" s="31">
        <f>'FS Desroches Daily'!CL25</f>
        <v>900.00000000009095</v>
      </c>
      <c r="AW23" s="31">
        <f>'FS Desroches Daily'!CM25</f>
        <v>111.79999999999927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25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e">
        <f>'FS Desroches Daily'!T26</f>
        <v>#VALUE!</v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39600.00000000008</v>
      </c>
      <c r="F33" s="17">
        <f t="shared" ref="F33:BC33" si="0">SUM(F2:F32)</f>
        <v>66300.000000000044</v>
      </c>
      <c r="G33" s="17">
        <f t="shared" si="0"/>
        <v>77099.999999999753</v>
      </c>
      <c r="H33" s="17">
        <f t="shared" si="0"/>
        <v>35299.999999999905</v>
      </c>
      <c r="I33" s="17">
        <f t="shared" si="0"/>
        <v>44900.000000000175</v>
      </c>
      <c r="J33" s="17">
        <f t="shared" si="0"/>
        <v>27600.000000000076</v>
      </c>
      <c r="K33" s="17">
        <f t="shared" si="0"/>
        <v>531</v>
      </c>
      <c r="L33" s="17">
        <f t="shared" si="0"/>
        <v>90</v>
      </c>
      <c r="M33" s="17" t="e">
        <f t="shared" si="0"/>
        <v>#VALUE!</v>
      </c>
      <c r="N33" s="17">
        <f t="shared" si="0"/>
        <v>9517.4000000000233</v>
      </c>
      <c r="O33" s="17">
        <f t="shared" si="0"/>
        <v>7069.9999999999363</v>
      </c>
      <c r="P33" s="17">
        <f t="shared" si="0"/>
        <v>59199.999999999716</v>
      </c>
      <c r="Q33" s="17">
        <f t="shared" si="0"/>
        <v>6980.0000000000182</v>
      </c>
      <c r="R33" s="17">
        <f t="shared" si="0"/>
        <v>8440.0000000000546</v>
      </c>
      <c r="S33" s="17">
        <f t="shared" si="0"/>
        <v>9970.0000000000291</v>
      </c>
      <c r="T33" s="17">
        <f t="shared" si="0"/>
        <v>835</v>
      </c>
      <c r="U33" s="35">
        <f t="shared" si="0"/>
        <v>11600.000000000058</v>
      </c>
      <c r="V33" s="35">
        <f t="shared" si="0"/>
        <v>3830.0000000000409</v>
      </c>
      <c r="W33" s="35">
        <f t="shared" si="0"/>
        <v>4629.9999999999964</v>
      </c>
      <c r="X33" s="35">
        <f t="shared" si="0"/>
        <v>1800.0000000000114</v>
      </c>
      <c r="Y33" s="35">
        <f t="shared" si="0"/>
        <v>2350.0000000000227</v>
      </c>
      <c r="Z33" s="35">
        <f t="shared" si="0"/>
        <v>2077.949999999998</v>
      </c>
      <c r="AA33" s="35">
        <f t="shared" si="0"/>
        <v>2077.949999999998</v>
      </c>
      <c r="AB33" s="35">
        <f t="shared" si="0"/>
        <v>1060.0000000000023</v>
      </c>
      <c r="AC33" s="35">
        <f t="shared" si="0"/>
        <v>1879.9999999999955</v>
      </c>
      <c r="AD33" s="35">
        <f t="shared" si="0"/>
        <v>1670.0000000000159</v>
      </c>
      <c r="AE33" s="35">
        <f t="shared" si="0"/>
        <v>2070.00000000005</v>
      </c>
      <c r="AF33" s="17">
        <f t="shared" si="0"/>
        <v>962</v>
      </c>
      <c r="AG33" s="32">
        <f t="shared" si="0"/>
        <v>930.00000000000682</v>
      </c>
      <c r="AH33" s="32">
        <f t="shared" si="0"/>
        <v>829.99999999998408</v>
      </c>
      <c r="AI33" s="32">
        <f t="shared" si="0"/>
        <v>1069.9999999999932</v>
      </c>
      <c r="AJ33" s="32">
        <f t="shared" si="0"/>
        <v>950.00000000001705</v>
      </c>
      <c r="AK33" s="32">
        <f t="shared" si="0"/>
        <v>810.00000000000227</v>
      </c>
      <c r="AL33" s="32">
        <f t="shared" si="0"/>
        <v>885</v>
      </c>
      <c r="AM33" s="32">
        <f t="shared" si="0"/>
        <v>1209.9999999999795</v>
      </c>
      <c r="AN33" s="32">
        <f t="shared" si="0"/>
        <v>751</v>
      </c>
      <c r="AO33" s="32">
        <f t="shared" si="0"/>
        <v>1110.0000000000136</v>
      </c>
      <c r="AP33" s="32">
        <f t="shared" si="0"/>
        <v>1127</v>
      </c>
      <c r="AQ33" s="17">
        <f t="shared" si="0"/>
        <v>1429.5</v>
      </c>
      <c r="AR33" s="17">
        <f t="shared" si="0"/>
        <v>297</v>
      </c>
      <c r="AS33" s="17">
        <f t="shared" si="0"/>
        <v>66.100000000000364</v>
      </c>
      <c r="AT33" s="17">
        <f t="shared" si="0"/>
        <v>889.10000000000582</v>
      </c>
      <c r="AU33" s="17">
        <f t="shared" si="0"/>
        <v>6989</v>
      </c>
      <c r="AV33" s="17">
        <f t="shared" si="0"/>
        <v>19099.999999999909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113.553</v>
      </c>
      <c r="BC33" s="17">
        <f t="shared" si="0"/>
        <v>527</v>
      </c>
    </row>
    <row r="35" spans="5:55" x14ac:dyDescent="0.25">
      <c r="E35" s="38">
        <f>E33/E37</f>
        <v>0.16706182131135133</v>
      </c>
      <c r="G35" s="29" t="e">
        <f>G33-M36</f>
        <v>#VALUE!</v>
      </c>
      <c r="AE35" s="35">
        <f>SUM(U33:AE33)</f>
        <v>35045.900000000191</v>
      </c>
      <c r="AG35" s="32">
        <f>SUM(AG33:AP33)</f>
        <v>9672.9999999999964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237037.99999999988</v>
      </c>
      <c r="G37" s="37" t="e">
        <f>M36/E37</f>
        <v>#VALUE!</v>
      </c>
      <c r="M37" s="35">
        <f>AE35</f>
        <v>35045.900000000191</v>
      </c>
    </row>
    <row r="38" spans="5:55" x14ac:dyDescent="0.25">
      <c r="L38" s="27">
        <f>M38/E37</f>
        <v>4.0807802968300444E-2</v>
      </c>
      <c r="M38" s="29">
        <f>AG35</f>
        <v>9672.9999999999964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B1" zoomScale="82" zoomScaleNormal="82" workbookViewId="0">
      <pane ySplit="1" topLeftCell="A14" activePane="bottomLeft" state="frozen"/>
      <selection pane="bottomLeft" activeCell="BF25" sqref="BF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>
        <v>3.8921000000000001</v>
      </c>
      <c r="D13" s="64">
        <f t="shared" si="1"/>
        <v>1900.0000000000127</v>
      </c>
      <c r="E13" s="58">
        <v>5.1635999999999997</v>
      </c>
      <c r="F13" s="64">
        <f t="shared" si="2"/>
        <v>3099.9999999998809</v>
      </c>
      <c r="G13" s="58">
        <v>5.1950000000000003</v>
      </c>
      <c r="H13" s="64">
        <f t="shared" si="3"/>
        <v>3200.0000000005357</v>
      </c>
      <c r="I13" s="58">
        <v>2.5642</v>
      </c>
      <c r="J13" s="64">
        <f t="shared" si="4"/>
        <v>1700.0000000000348</v>
      </c>
      <c r="K13" s="58">
        <v>3.9314</v>
      </c>
      <c r="L13" s="64">
        <f t="shared" si="5"/>
        <v>2099.9999999999909</v>
      </c>
      <c r="M13" s="58">
        <v>2.3786999999999998</v>
      </c>
      <c r="N13" s="64">
        <f t="shared" si="6"/>
        <v>1499.9999999996128</v>
      </c>
      <c r="O13" s="58">
        <v>28950</v>
      </c>
      <c r="P13" s="67">
        <f t="shared" si="7"/>
        <v>18</v>
      </c>
      <c r="Q13" s="58">
        <v>3626</v>
      </c>
      <c r="R13" s="67">
        <f t="shared" si="8"/>
        <v>11</v>
      </c>
      <c r="S13" s="58">
        <v>1685.8</v>
      </c>
      <c r="T13" s="67">
        <f t="shared" si="50"/>
        <v>899.99999999986358</v>
      </c>
      <c r="U13" s="58">
        <v>665349.1</v>
      </c>
      <c r="V13" s="67">
        <f t="shared" si="9"/>
        <v>371.09999999997672</v>
      </c>
      <c r="W13" s="58">
        <v>598.66</v>
      </c>
      <c r="X13" s="65">
        <f t="shared" si="10"/>
        <v>319.99999999993634</v>
      </c>
      <c r="Y13" s="58">
        <v>4.556</v>
      </c>
      <c r="Z13" s="65">
        <f t="shared" si="11"/>
        <v>2399.9999999997358</v>
      </c>
      <c r="AA13" s="58">
        <v>605.83000000000004</v>
      </c>
      <c r="AB13" s="65">
        <f t="shared" si="12"/>
        <v>389.99999999998636</v>
      </c>
      <c r="AC13" s="58">
        <v>611.55999999999995</v>
      </c>
      <c r="AD13" s="65">
        <f t="shared" si="13"/>
        <v>399.99999999997726</v>
      </c>
      <c r="AE13" s="58">
        <v>975.73</v>
      </c>
      <c r="AF13" s="65">
        <f t="shared" si="14"/>
        <v>580.00000000004093</v>
      </c>
      <c r="AG13" s="58">
        <v>27308</v>
      </c>
      <c r="AH13" s="67">
        <f t="shared" si="15"/>
        <v>40</v>
      </c>
      <c r="AI13" s="58">
        <v>1.0401</v>
      </c>
      <c r="AJ13" s="65">
        <f t="shared" si="16"/>
        <v>399.99999999995595</v>
      </c>
      <c r="AK13" s="58">
        <v>343.29</v>
      </c>
      <c r="AL13" s="65">
        <f t="shared" si="17"/>
        <v>129.99999999999545</v>
      </c>
      <c r="AM13" s="58">
        <v>314.98</v>
      </c>
      <c r="AN13" s="65">
        <f t="shared" si="18"/>
        <v>230.00000000001819</v>
      </c>
      <c r="AO13" s="58">
        <v>304.91000000000003</v>
      </c>
      <c r="AP13" s="65">
        <f t="shared" si="19"/>
        <v>90.000000000031832</v>
      </c>
      <c r="AQ13" s="58">
        <v>357.51</v>
      </c>
      <c r="AR13" s="65">
        <f t="shared" si="20"/>
        <v>110.00000000001364</v>
      </c>
      <c r="AS13" s="58">
        <v>483.86</v>
      </c>
      <c r="AT13" s="65">
        <f t="shared" si="21"/>
        <v>100.00000000002274</v>
      </c>
      <c r="AU13" s="58">
        <v>387.6</v>
      </c>
      <c r="AV13" s="65">
        <f t="shared" si="22"/>
        <v>70.000000000050022</v>
      </c>
      <c r="AW13" s="58">
        <v>415.04</v>
      </c>
      <c r="AX13" s="65">
        <f t="shared" si="23"/>
        <v>110.00000000001364</v>
      </c>
      <c r="AY13" s="58">
        <v>450</v>
      </c>
      <c r="AZ13" s="65">
        <f t="shared" si="24"/>
        <v>110.00000000001364</v>
      </c>
      <c r="BA13" s="58">
        <v>467.72</v>
      </c>
      <c r="BB13" s="65">
        <f t="shared" si="25"/>
        <v>110.00000000001364</v>
      </c>
      <c r="BC13" s="58">
        <v>300.23</v>
      </c>
      <c r="BD13" s="65">
        <f t="shared" si="26"/>
        <v>180.00000000000682</v>
      </c>
      <c r="BE13" s="59">
        <v>61925</v>
      </c>
      <c r="BF13" s="67">
        <f t="shared" si="27"/>
        <v>56</v>
      </c>
      <c r="BG13" s="60">
        <v>258.48</v>
      </c>
      <c r="BH13" s="65">
        <f t="shared" si="28"/>
        <v>40.000000000020464</v>
      </c>
      <c r="BI13" s="60">
        <v>312.5</v>
      </c>
      <c r="BJ13" s="65">
        <f t="shared" si="29"/>
        <v>40.000000000020464</v>
      </c>
      <c r="BK13" s="60">
        <v>265.07</v>
      </c>
      <c r="BL13" s="65">
        <f t="shared" si="30"/>
        <v>50.000000000011369</v>
      </c>
      <c r="BM13" s="60">
        <v>248.4</v>
      </c>
      <c r="BN13" s="65">
        <f t="shared" si="31"/>
        <v>39.999999999992042</v>
      </c>
      <c r="BO13" s="60">
        <v>316.7</v>
      </c>
      <c r="BP13" s="65">
        <f t="shared" si="32"/>
        <v>39.99999999996362</v>
      </c>
      <c r="BQ13" s="60">
        <v>66755</v>
      </c>
      <c r="BR13" s="65">
        <f t="shared" si="33"/>
        <v>42</v>
      </c>
      <c r="BS13" s="60">
        <v>226.66</v>
      </c>
      <c r="BT13" s="65">
        <f t="shared" si="34"/>
        <v>69.999999999993179</v>
      </c>
      <c r="BU13" s="60">
        <v>64070</v>
      </c>
      <c r="BV13" s="65">
        <f t="shared" si="35"/>
        <v>34</v>
      </c>
      <c r="BW13" s="60">
        <v>254.78</v>
      </c>
      <c r="BX13" s="65">
        <f t="shared" si="36"/>
        <v>60.000000000002274</v>
      </c>
      <c r="BY13" s="60">
        <v>86044</v>
      </c>
      <c r="BZ13" s="67">
        <f t="shared" si="37"/>
        <v>54</v>
      </c>
      <c r="CA13" s="60">
        <v>63699.1</v>
      </c>
      <c r="CB13" s="67">
        <f t="shared" si="38"/>
        <v>52.900000000001455</v>
      </c>
      <c r="CC13" s="60">
        <v>18940.599999999999</v>
      </c>
      <c r="CD13" s="67">
        <f t="shared" si="39"/>
        <v>8.5999999999985448</v>
      </c>
      <c r="CE13" s="60">
        <v>9097</v>
      </c>
      <c r="CF13" s="67">
        <f t="shared" si="40"/>
        <v>1.7000000000007276</v>
      </c>
      <c r="CG13" s="60">
        <v>87147.9</v>
      </c>
      <c r="CH13" s="67">
        <f t="shared" si="41"/>
        <v>21.799999999988358</v>
      </c>
      <c r="CI13" s="60">
        <v>1127262</v>
      </c>
      <c r="CJ13" s="67">
        <f t="shared" si="42"/>
        <v>352</v>
      </c>
      <c r="CK13" s="60">
        <v>1236.9000000000001</v>
      </c>
      <c r="CL13" s="64">
        <f t="shared" si="43"/>
        <v>800.0000000001819</v>
      </c>
      <c r="CM13" s="65">
        <f t="shared" si="44"/>
        <v>78</v>
      </c>
      <c r="CN13" s="62">
        <v>25</v>
      </c>
      <c r="CO13" s="62">
        <v>44</v>
      </c>
      <c r="CP13" s="68">
        <v>54340</v>
      </c>
      <c r="CQ13" s="67">
        <f t="shared" si="45"/>
        <v>67</v>
      </c>
      <c r="CR13" s="68">
        <v>28114</v>
      </c>
      <c r="CS13" s="67">
        <f t="shared" si="46"/>
        <v>11</v>
      </c>
      <c r="CT13" s="75">
        <v>13345</v>
      </c>
      <c r="CU13" s="67">
        <f t="shared" si="47"/>
        <v>13</v>
      </c>
      <c r="CV13" s="68">
        <v>32261</v>
      </c>
      <c r="CW13" s="67">
        <f t="shared" si="48"/>
        <v>21</v>
      </c>
      <c r="CX13" s="58">
        <v>6019.9</v>
      </c>
      <c r="CY13" s="67">
        <f t="shared" si="49"/>
        <v>10.799999999999272</v>
      </c>
    </row>
    <row r="14" spans="1:103" ht="25.5" customHeight="1" thickBot="1" x14ac:dyDescent="0.45">
      <c r="A14" s="63">
        <v>44968</v>
      </c>
      <c r="B14" s="44"/>
      <c r="C14" s="58">
        <v>3.8940999999999999</v>
      </c>
      <c r="D14" s="64">
        <f t="shared" si="1"/>
        <v>1999.9999999997797</v>
      </c>
      <c r="E14" s="58">
        <v>5.1668000000000003</v>
      </c>
      <c r="F14" s="64">
        <f t="shared" si="2"/>
        <v>3200.0000000005357</v>
      </c>
      <c r="G14" s="58">
        <v>5.1985000000000001</v>
      </c>
      <c r="H14" s="64">
        <f t="shared" si="3"/>
        <v>3499.9999999998367</v>
      </c>
      <c r="I14" s="58">
        <v>2.5657999999999999</v>
      </c>
      <c r="J14" s="64">
        <f t="shared" si="4"/>
        <v>1599.9999999998238</v>
      </c>
      <c r="K14" s="58">
        <v>3.9333999999999998</v>
      </c>
      <c r="L14" s="64">
        <f t="shared" si="5"/>
        <v>1999.9999999997797</v>
      </c>
      <c r="M14" s="58">
        <v>2.3797999999999999</v>
      </c>
      <c r="N14" s="64">
        <f t="shared" si="6"/>
        <v>1100.000000000101</v>
      </c>
      <c r="O14" s="58">
        <v>28972</v>
      </c>
      <c r="P14" s="67">
        <f t="shared" si="7"/>
        <v>22</v>
      </c>
      <c r="Q14" s="58">
        <v>3629</v>
      </c>
      <c r="R14" s="67">
        <f t="shared" si="8"/>
        <v>3</v>
      </c>
      <c r="S14" s="58">
        <v>1687</v>
      </c>
      <c r="T14" s="67">
        <f t="shared" si="50"/>
        <v>1200.0000000000455</v>
      </c>
      <c r="U14" s="58">
        <v>665819.6</v>
      </c>
      <c r="V14" s="67">
        <f t="shared" si="9"/>
        <v>470.5</v>
      </c>
      <c r="W14" s="58">
        <v>598.96</v>
      </c>
      <c r="X14" s="65">
        <f t="shared" si="10"/>
        <v>300.00000000006821</v>
      </c>
      <c r="Y14" s="58">
        <v>4.5589000000000004</v>
      </c>
      <c r="Z14" s="65">
        <f t="shared" si="11"/>
        <v>2900.0000000003465</v>
      </c>
      <c r="AA14" s="58">
        <v>606.04999999999995</v>
      </c>
      <c r="AB14" s="65">
        <f t="shared" si="12"/>
        <v>219.9999999999136</v>
      </c>
      <c r="AC14" s="58">
        <v>611.96</v>
      </c>
      <c r="AD14" s="65">
        <f t="shared" si="13"/>
        <v>400.00000000009095</v>
      </c>
      <c r="AE14" s="58">
        <v>976.08</v>
      </c>
      <c r="AF14" s="65">
        <f t="shared" si="14"/>
        <v>350.00000000002274</v>
      </c>
      <c r="AG14" s="58">
        <v>27343</v>
      </c>
      <c r="AH14" s="67">
        <f t="shared" si="15"/>
        <v>35</v>
      </c>
      <c r="AI14" s="58">
        <v>1.0406</v>
      </c>
      <c r="AJ14" s="65">
        <f t="shared" si="16"/>
        <v>499.99999999994492</v>
      </c>
      <c r="AK14" s="58">
        <v>343.58</v>
      </c>
      <c r="AL14" s="65">
        <f t="shared" si="17"/>
        <v>289.99999999996362</v>
      </c>
      <c r="AM14" s="58">
        <v>315.20999999999998</v>
      </c>
      <c r="AN14" s="65">
        <f t="shared" si="18"/>
        <v>229.99999999996135</v>
      </c>
      <c r="AO14" s="58">
        <v>304.98</v>
      </c>
      <c r="AP14" s="65">
        <f t="shared" si="19"/>
        <v>69.999999999993179</v>
      </c>
      <c r="AQ14" s="58">
        <v>357.64</v>
      </c>
      <c r="AR14" s="65">
        <f t="shared" si="20"/>
        <v>129.99999999999545</v>
      </c>
      <c r="AS14" s="58">
        <v>483.93</v>
      </c>
      <c r="AT14" s="65">
        <f t="shared" si="21"/>
        <v>69.999999999993179</v>
      </c>
      <c r="AU14" s="58">
        <v>387.65</v>
      </c>
      <c r="AV14" s="65">
        <f t="shared" si="22"/>
        <v>49.999999999954525</v>
      </c>
      <c r="AW14" s="58">
        <v>415.14</v>
      </c>
      <c r="AX14" s="65">
        <f t="shared" si="23"/>
        <v>99.999999999965894</v>
      </c>
      <c r="AY14" s="58">
        <v>450.11</v>
      </c>
      <c r="AZ14" s="65">
        <f t="shared" si="24"/>
        <v>110.00000000001364</v>
      </c>
      <c r="BA14" s="58">
        <v>467.82</v>
      </c>
      <c r="BB14" s="65">
        <f t="shared" si="25"/>
        <v>99.999999999965894</v>
      </c>
      <c r="BC14" s="58">
        <v>300.35000000000002</v>
      </c>
      <c r="BD14" s="65">
        <f t="shared" si="26"/>
        <v>120.00000000000455</v>
      </c>
      <c r="BE14" s="59">
        <v>61972</v>
      </c>
      <c r="BF14" s="67">
        <f t="shared" si="27"/>
        <v>47</v>
      </c>
      <c r="BG14" s="60">
        <v>258.51</v>
      </c>
      <c r="BH14" s="65">
        <f t="shared" si="28"/>
        <v>29.999999999972715</v>
      </c>
      <c r="BI14" s="60">
        <v>312.54000000000002</v>
      </c>
      <c r="BJ14" s="65">
        <f t="shared" si="29"/>
        <v>40.000000000020464</v>
      </c>
      <c r="BK14" s="60">
        <v>265.11</v>
      </c>
      <c r="BL14" s="65">
        <f t="shared" si="30"/>
        <v>40.000000000020464</v>
      </c>
      <c r="BM14" s="60">
        <v>248.45</v>
      </c>
      <c r="BN14" s="65">
        <f t="shared" si="31"/>
        <v>49.999999999982947</v>
      </c>
      <c r="BO14" s="60">
        <v>316.74</v>
      </c>
      <c r="BP14" s="65">
        <f t="shared" si="32"/>
        <v>40.000000000020464</v>
      </c>
      <c r="BQ14" s="60">
        <v>66792</v>
      </c>
      <c r="BR14" s="65">
        <f t="shared" si="33"/>
        <v>37</v>
      </c>
      <c r="BS14" s="60">
        <v>226.72</v>
      </c>
      <c r="BT14" s="65">
        <f t="shared" si="34"/>
        <v>60.000000000002274</v>
      </c>
      <c r="BU14" s="60">
        <v>64110</v>
      </c>
      <c r="BV14" s="65">
        <f t="shared" si="35"/>
        <v>40</v>
      </c>
      <c r="BW14" s="60">
        <v>254.82</v>
      </c>
      <c r="BX14" s="65">
        <f t="shared" si="36"/>
        <v>39.999999999992042</v>
      </c>
      <c r="BY14" s="60">
        <v>86096</v>
      </c>
      <c r="BZ14" s="67">
        <f t="shared" si="37"/>
        <v>52</v>
      </c>
      <c r="CA14" s="60">
        <v>63778</v>
      </c>
      <c r="CB14" s="67">
        <f t="shared" si="38"/>
        <v>78.900000000001455</v>
      </c>
      <c r="CC14" s="60">
        <v>18951.599999999999</v>
      </c>
      <c r="CD14" s="67">
        <f t="shared" si="39"/>
        <v>11</v>
      </c>
      <c r="CE14" s="60">
        <v>9099.9</v>
      </c>
      <c r="CF14" s="67">
        <f t="shared" si="40"/>
        <v>2.8999999999996362</v>
      </c>
      <c r="CG14" s="60">
        <v>87190.5</v>
      </c>
      <c r="CH14" s="67">
        <f t="shared" si="41"/>
        <v>42.600000000005821</v>
      </c>
      <c r="CI14" s="60">
        <v>1127560</v>
      </c>
      <c r="CJ14" s="67">
        <f t="shared" si="42"/>
        <v>298</v>
      </c>
      <c r="CK14" s="60">
        <v>1237.8</v>
      </c>
      <c r="CL14" s="64">
        <f t="shared" si="43"/>
        <v>899.99999999986358</v>
      </c>
      <c r="CM14" s="65">
        <f t="shared" si="44"/>
        <v>86</v>
      </c>
      <c r="CN14" s="62">
        <v>28</v>
      </c>
      <c r="CO14" s="62">
        <v>44</v>
      </c>
      <c r="CP14" s="68">
        <v>54415</v>
      </c>
      <c r="CQ14" s="67">
        <f t="shared" si="45"/>
        <v>75</v>
      </c>
      <c r="CR14" s="68">
        <v>28125</v>
      </c>
      <c r="CS14" s="67">
        <f t="shared" si="46"/>
        <v>11</v>
      </c>
      <c r="CT14" s="75">
        <v>13360</v>
      </c>
      <c r="CU14" s="67">
        <f t="shared" si="47"/>
        <v>15</v>
      </c>
      <c r="CV14" s="68">
        <v>32283</v>
      </c>
      <c r="CW14" s="67">
        <f t="shared" si="48"/>
        <v>22</v>
      </c>
      <c r="CX14" s="58">
        <v>6030.4</v>
      </c>
      <c r="CY14" s="67">
        <f t="shared" si="49"/>
        <v>10.5</v>
      </c>
    </row>
    <row r="15" spans="1:103" ht="25.5" customHeight="1" thickBot="1" x14ac:dyDescent="0.45">
      <c r="A15" s="63">
        <v>44969</v>
      </c>
      <c r="B15" s="44"/>
      <c r="C15" s="58">
        <v>3.8959000000000001</v>
      </c>
      <c r="D15" s="64">
        <f t="shared" si="1"/>
        <v>1800.0000000002458</v>
      </c>
      <c r="E15" s="58">
        <v>5.1696</v>
      </c>
      <c r="F15" s="64">
        <f t="shared" si="2"/>
        <v>2799.9999999996917</v>
      </c>
      <c r="G15" s="58">
        <v>5.2016999999999998</v>
      </c>
      <c r="H15" s="64">
        <f t="shared" si="3"/>
        <v>3199.9999999996476</v>
      </c>
      <c r="I15" s="58">
        <v>2.5672999999999999</v>
      </c>
      <c r="J15" s="64">
        <f t="shared" si="4"/>
        <v>1500.0000000000568</v>
      </c>
      <c r="K15" s="58">
        <v>3.9352</v>
      </c>
      <c r="L15" s="64">
        <f t="shared" si="5"/>
        <v>1800.0000000002458</v>
      </c>
      <c r="M15" s="58">
        <v>2.3809</v>
      </c>
      <c r="N15" s="64">
        <f t="shared" si="6"/>
        <v>1100.000000000101</v>
      </c>
      <c r="O15" s="58">
        <v>28991</v>
      </c>
      <c r="P15" s="67">
        <f t="shared" si="7"/>
        <v>19</v>
      </c>
      <c r="Q15" s="58">
        <v>3632</v>
      </c>
      <c r="R15" s="67">
        <f>IF((Q15-Q14&lt;0), "",Q15-Q14)</f>
        <v>3</v>
      </c>
      <c r="S15" s="58">
        <v>1688.2</v>
      </c>
      <c r="T15" s="67">
        <f t="shared" si="50"/>
        <v>1200.0000000000455</v>
      </c>
      <c r="U15" s="58">
        <v>666206.1</v>
      </c>
      <c r="V15" s="67">
        <f t="shared" si="9"/>
        <v>386.5</v>
      </c>
      <c r="W15" s="58">
        <v>599.26</v>
      </c>
      <c r="X15" s="65">
        <f t="shared" si="10"/>
        <v>299.99999999995453</v>
      </c>
      <c r="Y15" s="58">
        <v>4.5613999999999999</v>
      </c>
      <c r="Z15" s="65">
        <f t="shared" si="11"/>
        <v>2499.9999999995025</v>
      </c>
      <c r="AA15" s="58">
        <v>606.29999999999995</v>
      </c>
      <c r="AB15" s="65">
        <f t="shared" si="12"/>
        <v>250</v>
      </c>
      <c r="AC15" s="58">
        <v>612.33000000000004</v>
      </c>
      <c r="AD15" s="65">
        <f t="shared" si="13"/>
        <v>370.00000000000455</v>
      </c>
      <c r="AE15" s="58">
        <v>976.41</v>
      </c>
      <c r="AF15" s="65">
        <f t="shared" si="14"/>
        <v>329.99999999992724</v>
      </c>
      <c r="AG15" s="58">
        <v>27376</v>
      </c>
      <c r="AH15" s="67">
        <f t="shared" si="15"/>
        <v>33</v>
      </c>
      <c r="AI15" s="58">
        <v>1.0409999999999999</v>
      </c>
      <c r="AJ15" s="65">
        <f t="shared" si="16"/>
        <v>399.99999999995595</v>
      </c>
      <c r="AK15" s="58">
        <v>343.78</v>
      </c>
      <c r="AL15" s="65">
        <f t="shared" si="17"/>
        <v>199.99999999998863</v>
      </c>
      <c r="AM15" s="58">
        <v>315.39999999999998</v>
      </c>
      <c r="AN15" s="65">
        <f t="shared" si="18"/>
        <v>189.99999999999773</v>
      </c>
      <c r="AO15" s="58">
        <v>305.04000000000002</v>
      </c>
      <c r="AP15" s="65">
        <f t="shared" si="19"/>
        <v>60.000000000002274</v>
      </c>
      <c r="AQ15" s="58">
        <v>357.84</v>
      </c>
      <c r="AR15" s="65">
        <f t="shared" si="20"/>
        <v>199.99999999998863</v>
      </c>
      <c r="AS15" s="58">
        <v>483.97</v>
      </c>
      <c r="AT15" s="65">
        <f t="shared" si="21"/>
        <v>40.000000000020464</v>
      </c>
      <c r="AU15" s="58">
        <v>387.68</v>
      </c>
      <c r="AV15" s="65">
        <f t="shared" si="22"/>
        <v>30.000000000029559</v>
      </c>
      <c r="AW15" s="58">
        <v>415.21</v>
      </c>
      <c r="AX15" s="65">
        <f t="shared" si="23"/>
        <v>69.999999999993179</v>
      </c>
      <c r="AY15" s="58">
        <v>450.19</v>
      </c>
      <c r="AZ15" s="65">
        <f t="shared" si="24"/>
        <v>79.999999999984084</v>
      </c>
      <c r="BA15" s="58">
        <v>467.86</v>
      </c>
      <c r="BB15" s="65">
        <f t="shared" si="25"/>
        <v>40.000000000020464</v>
      </c>
      <c r="BC15" s="58">
        <v>300.45999999999998</v>
      </c>
      <c r="BD15" s="65">
        <f t="shared" si="26"/>
        <v>109.9999999999568</v>
      </c>
      <c r="BE15" s="59">
        <v>62030</v>
      </c>
      <c r="BF15" s="67">
        <f t="shared" si="27"/>
        <v>58</v>
      </c>
      <c r="BG15" s="60">
        <v>258.55</v>
      </c>
      <c r="BH15" s="65">
        <f t="shared" si="28"/>
        <v>40.000000000020464</v>
      </c>
      <c r="BI15" s="60">
        <v>312.57</v>
      </c>
      <c r="BJ15" s="65">
        <f t="shared" si="29"/>
        <v>29.999999999972715</v>
      </c>
      <c r="BK15" s="60">
        <v>265.14999999999998</v>
      </c>
      <c r="BL15" s="65">
        <f t="shared" si="30"/>
        <v>39.99999999996362</v>
      </c>
      <c r="BM15" s="60">
        <v>248.48</v>
      </c>
      <c r="BN15" s="65">
        <f t="shared" si="31"/>
        <v>30.000000000001137</v>
      </c>
      <c r="BO15" s="60">
        <v>316.77</v>
      </c>
      <c r="BP15" s="65">
        <f t="shared" si="32"/>
        <v>29.999999999972715</v>
      </c>
      <c r="BQ15" s="60">
        <v>66825</v>
      </c>
      <c r="BR15" s="65">
        <f t="shared" si="33"/>
        <v>33</v>
      </c>
      <c r="BS15" s="60">
        <v>226.77</v>
      </c>
      <c r="BT15" s="65">
        <f t="shared" si="34"/>
        <v>50.000000000011369</v>
      </c>
      <c r="BU15" s="60">
        <v>64141</v>
      </c>
      <c r="BV15" s="65">
        <f t="shared" si="35"/>
        <v>31</v>
      </c>
      <c r="BW15" s="60">
        <v>254.87</v>
      </c>
      <c r="BX15" s="65">
        <f t="shared" si="36"/>
        <v>50.000000000011369</v>
      </c>
      <c r="BY15" s="60">
        <v>86149</v>
      </c>
      <c r="BZ15" s="67">
        <f t="shared" si="37"/>
        <v>53</v>
      </c>
      <c r="CA15" s="60">
        <v>63832.2</v>
      </c>
      <c r="CB15" s="67">
        <f t="shared" si="38"/>
        <v>54.19999999999709</v>
      </c>
      <c r="CC15" s="60">
        <v>18963.8</v>
      </c>
      <c r="CD15" s="67">
        <f t="shared" si="39"/>
        <v>12.200000000000728</v>
      </c>
      <c r="CE15" s="60">
        <v>9103.9</v>
      </c>
      <c r="CF15" s="67">
        <f t="shared" si="40"/>
        <v>4</v>
      </c>
      <c r="CG15" s="60">
        <v>87246</v>
      </c>
      <c r="CH15" s="67">
        <f t="shared" si="41"/>
        <v>55.5</v>
      </c>
      <c r="CI15" s="60">
        <v>1127861</v>
      </c>
      <c r="CJ15" s="67">
        <f t="shared" si="42"/>
        <v>301</v>
      </c>
      <c r="CK15" s="60">
        <v>1238.5999999999999</v>
      </c>
      <c r="CL15" s="64">
        <f t="shared" si="43"/>
        <v>799.99999999995453</v>
      </c>
      <c r="CM15" s="65">
        <f t="shared" si="44"/>
        <v>86</v>
      </c>
      <c r="CN15" s="62">
        <v>28</v>
      </c>
      <c r="CO15" s="62">
        <v>44</v>
      </c>
      <c r="CP15" s="68">
        <v>54483</v>
      </c>
      <c r="CQ15" s="67">
        <f t="shared" si="45"/>
        <v>68</v>
      </c>
      <c r="CR15" s="68">
        <v>28143</v>
      </c>
      <c r="CS15" s="67">
        <f t="shared" si="46"/>
        <v>18</v>
      </c>
      <c r="CT15" s="75">
        <v>13373</v>
      </c>
      <c r="CU15" s="67">
        <f t="shared" si="47"/>
        <v>13</v>
      </c>
      <c r="CV15" s="68">
        <v>32307</v>
      </c>
      <c r="CW15" s="67">
        <f t="shared" si="48"/>
        <v>24</v>
      </c>
      <c r="CX15" s="58">
        <v>6035</v>
      </c>
      <c r="CY15" s="67">
        <f t="shared" si="49"/>
        <v>4.6000000000003638</v>
      </c>
    </row>
    <row r="16" spans="1:103" ht="25.5" customHeight="1" thickBot="1" x14ac:dyDescent="0.45">
      <c r="A16" s="63">
        <v>44970</v>
      </c>
      <c r="B16" s="44"/>
      <c r="C16" s="58">
        <v>3.8976999999999999</v>
      </c>
      <c r="D16" s="64">
        <f t="shared" si="1"/>
        <v>1799.9999999998017</v>
      </c>
      <c r="E16" s="58">
        <v>5.1726000000000001</v>
      </c>
      <c r="F16" s="64">
        <f t="shared" si="2"/>
        <v>3000.0000000001137</v>
      </c>
      <c r="G16" s="58">
        <v>5.2050999999999998</v>
      </c>
      <c r="H16" s="64">
        <f t="shared" si="3"/>
        <v>3400.0000000000696</v>
      </c>
      <c r="I16" s="58">
        <v>2.5688</v>
      </c>
      <c r="J16" s="64">
        <f>IF((I16-I15&lt;0), "0",(I16-I15)*1000000)</f>
        <v>1500.0000000000568</v>
      </c>
      <c r="K16" s="58">
        <v>3.9371</v>
      </c>
      <c r="L16" s="64">
        <f t="shared" si="5"/>
        <v>1900.0000000000127</v>
      </c>
      <c r="M16" s="58">
        <v>2.3822000000000001</v>
      </c>
      <c r="N16" s="64">
        <f t="shared" si="6"/>
        <v>1300.0000000000789</v>
      </c>
      <c r="O16" s="58">
        <v>29008</v>
      </c>
      <c r="P16" s="67">
        <f t="shared" si="7"/>
        <v>17</v>
      </c>
      <c r="Q16" s="58">
        <v>3635</v>
      </c>
      <c r="R16" s="67">
        <f t="shared" si="8"/>
        <v>3</v>
      </c>
      <c r="S16" s="58">
        <v>1689.3</v>
      </c>
      <c r="T16" s="67">
        <f t="shared" si="50"/>
        <v>1099.9999999999091</v>
      </c>
      <c r="U16" s="58">
        <v>666620.9</v>
      </c>
      <c r="V16" s="67">
        <f t="shared" si="9"/>
        <v>414.80000000004657</v>
      </c>
      <c r="W16" s="58">
        <v>599.54999999999995</v>
      </c>
      <c r="X16" s="65">
        <f t="shared" si="10"/>
        <v>289.99999999996362</v>
      </c>
      <c r="Y16" s="58">
        <v>4.5640999999999998</v>
      </c>
      <c r="Z16" s="65">
        <f t="shared" si="11"/>
        <v>2699.9999999999245</v>
      </c>
      <c r="AA16" s="58">
        <v>606.6</v>
      </c>
      <c r="AB16" s="65">
        <f t="shared" si="12"/>
        <v>300.00000000006821</v>
      </c>
      <c r="AC16" s="58">
        <v>612.66999999999996</v>
      </c>
      <c r="AD16" s="65">
        <f t="shared" si="13"/>
        <v>339.99999999991815</v>
      </c>
      <c r="AE16" s="58">
        <v>976.84</v>
      </c>
      <c r="AF16" s="65">
        <f t="shared" si="14"/>
        <v>430.00000000006366</v>
      </c>
      <c r="AG16" s="58">
        <v>27412</v>
      </c>
      <c r="AH16" s="67">
        <f t="shared" si="15"/>
        <v>36</v>
      </c>
      <c r="AI16" s="58">
        <v>1.0414000000000001</v>
      </c>
      <c r="AJ16" s="65">
        <f t="shared" si="16"/>
        <v>400.00000000017798</v>
      </c>
      <c r="AK16" s="58">
        <v>343.99</v>
      </c>
      <c r="AL16" s="65">
        <f t="shared" si="17"/>
        <v>210.00000000003638</v>
      </c>
      <c r="AM16" s="58">
        <v>315.60000000000002</v>
      </c>
      <c r="AN16" s="65">
        <f t="shared" si="18"/>
        <v>200.00000000004547</v>
      </c>
      <c r="AO16" s="58">
        <v>305.12</v>
      </c>
      <c r="AP16" s="65">
        <f t="shared" si="19"/>
        <v>79.999999999984084</v>
      </c>
      <c r="AQ16" s="58">
        <v>358.01</v>
      </c>
      <c r="AR16" s="65">
        <f t="shared" si="20"/>
        <v>170.00000000001592</v>
      </c>
      <c r="AS16" s="58">
        <v>484.02</v>
      </c>
      <c r="AT16" s="65">
        <f t="shared" si="21"/>
        <v>49.999999999954525</v>
      </c>
      <c r="AU16" s="58">
        <v>387.73</v>
      </c>
      <c r="AV16" s="65">
        <f t="shared" si="22"/>
        <v>50.000000000011369</v>
      </c>
      <c r="AW16" s="58">
        <v>415.28</v>
      </c>
      <c r="AX16" s="65">
        <f t="shared" si="23"/>
        <v>69.999999999993179</v>
      </c>
      <c r="AY16" s="58">
        <v>450.27</v>
      </c>
      <c r="AZ16" s="65">
        <f t="shared" si="24"/>
        <v>79.999999999984084</v>
      </c>
      <c r="BA16" s="58">
        <v>467.93</v>
      </c>
      <c r="BB16" s="65">
        <f t="shared" si="25"/>
        <v>69.999999999993179</v>
      </c>
      <c r="BC16" s="58">
        <v>300.58999999999997</v>
      </c>
      <c r="BD16" s="65">
        <f t="shared" si="26"/>
        <v>129.99999999999545</v>
      </c>
      <c r="BE16" s="59">
        <v>62091</v>
      </c>
      <c r="BF16" s="67">
        <f t="shared" si="27"/>
        <v>61</v>
      </c>
      <c r="BG16" s="60">
        <v>258.58</v>
      </c>
      <c r="BH16" s="65">
        <f t="shared" si="28"/>
        <v>29.999999999972715</v>
      </c>
      <c r="BI16" s="60">
        <v>312.61</v>
      </c>
      <c r="BJ16" s="65">
        <f t="shared" si="29"/>
        <v>40.000000000020464</v>
      </c>
      <c r="BK16" s="60">
        <v>265.19</v>
      </c>
      <c r="BL16" s="65">
        <f t="shared" si="30"/>
        <v>40.000000000020464</v>
      </c>
      <c r="BM16" s="60">
        <v>248.52</v>
      </c>
      <c r="BN16" s="65">
        <f t="shared" si="31"/>
        <v>40.000000000020464</v>
      </c>
      <c r="BO16" s="60">
        <v>316.8</v>
      </c>
      <c r="BP16" s="65">
        <f t="shared" si="32"/>
        <v>30.000000000029559</v>
      </c>
      <c r="BQ16" s="60">
        <v>66857</v>
      </c>
      <c r="BR16" s="65">
        <f t="shared" si="33"/>
        <v>32</v>
      </c>
      <c r="BS16" s="60">
        <v>226.83</v>
      </c>
      <c r="BT16" s="65">
        <f t="shared" si="34"/>
        <v>60.000000000002274</v>
      </c>
      <c r="BU16" s="60">
        <v>64173</v>
      </c>
      <c r="BV16" s="65">
        <f t="shared" si="35"/>
        <v>32</v>
      </c>
      <c r="BW16" s="60">
        <v>254.92</v>
      </c>
      <c r="BX16" s="65">
        <f t="shared" si="36"/>
        <v>49.999999999982947</v>
      </c>
      <c r="BY16" s="60">
        <v>86198</v>
      </c>
      <c r="BZ16" s="67">
        <f t="shared" si="37"/>
        <v>49</v>
      </c>
      <c r="CA16" s="60">
        <v>63884.9</v>
      </c>
      <c r="CB16" s="67">
        <f t="shared" si="38"/>
        <v>52.700000000004366</v>
      </c>
      <c r="CC16" s="60">
        <v>18975.900000000001</v>
      </c>
      <c r="CD16" s="67">
        <f t="shared" si="39"/>
        <v>12.100000000002183</v>
      </c>
      <c r="CE16" s="60">
        <v>9106.6</v>
      </c>
      <c r="CF16" s="67">
        <f t="shared" si="40"/>
        <v>2.7000000000007276</v>
      </c>
      <c r="CG16" s="60">
        <v>87289.9</v>
      </c>
      <c r="CH16" s="67">
        <f t="shared" si="41"/>
        <v>43.899999999994179</v>
      </c>
      <c r="CI16" s="60">
        <v>1128175</v>
      </c>
      <c r="CJ16" s="67">
        <f t="shared" si="42"/>
        <v>314</v>
      </c>
      <c r="CK16" s="60">
        <v>1239.5</v>
      </c>
      <c r="CL16" s="64">
        <f t="shared" si="43"/>
        <v>900.00000000009095</v>
      </c>
      <c r="CM16" s="65">
        <f t="shared" si="44"/>
        <v>94.299999999999272</v>
      </c>
      <c r="CN16" s="62">
        <v>28</v>
      </c>
      <c r="CO16" s="62">
        <v>55</v>
      </c>
      <c r="CP16" s="68">
        <v>54562</v>
      </c>
      <c r="CQ16" s="67">
        <f t="shared" si="45"/>
        <v>79</v>
      </c>
      <c r="CR16" s="68">
        <v>28158.3</v>
      </c>
      <c r="CS16" s="67">
        <f t="shared" si="46"/>
        <v>15.299999999999272</v>
      </c>
      <c r="CT16" s="75">
        <v>13389</v>
      </c>
      <c r="CU16" s="67">
        <f t="shared" si="47"/>
        <v>16</v>
      </c>
      <c r="CV16" s="68">
        <v>32329</v>
      </c>
      <c r="CW16" s="67">
        <f t="shared" si="48"/>
        <v>22</v>
      </c>
      <c r="CX16" s="58">
        <v>6041.1</v>
      </c>
      <c r="CY16" s="67">
        <f t="shared" si="49"/>
        <v>6.1000000000003638</v>
      </c>
    </row>
    <row r="17" spans="1:103" ht="25.5" customHeight="1" thickBot="1" x14ac:dyDescent="0.45">
      <c r="A17" s="63">
        <v>44971</v>
      </c>
      <c r="B17" s="44"/>
      <c r="C17" s="58">
        <v>3.8995000000000002</v>
      </c>
      <c r="D17" s="64">
        <f t="shared" si="1"/>
        <v>1800.0000000002458</v>
      </c>
      <c r="E17" s="58">
        <v>5.1757999999999997</v>
      </c>
      <c r="F17" s="64">
        <f t="shared" si="2"/>
        <v>3199.9999999996476</v>
      </c>
      <c r="G17" s="58">
        <v>5.2083000000000004</v>
      </c>
      <c r="H17" s="64">
        <f t="shared" si="3"/>
        <v>3200.0000000005357</v>
      </c>
      <c r="I17" s="58">
        <v>2.5703</v>
      </c>
      <c r="J17" s="64">
        <f t="shared" si="4"/>
        <v>1500.0000000000568</v>
      </c>
      <c r="K17" s="58">
        <v>3.9390000000000001</v>
      </c>
      <c r="L17" s="64">
        <f t="shared" si="5"/>
        <v>1900.0000000000127</v>
      </c>
      <c r="M17" s="58">
        <v>2.3835000000000002</v>
      </c>
      <c r="N17" s="64">
        <f t="shared" si="6"/>
        <v>1300.0000000000789</v>
      </c>
      <c r="O17" s="58">
        <v>29021</v>
      </c>
      <c r="P17" s="67">
        <f t="shared" si="7"/>
        <v>13</v>
      </c>
      <c r="Q17" s="58">
        <v>3638</v>
      </c>
      <c r="R17" s="67">
        <f t="shared" si="8"/>
        <v>3</v>
      </c>
      <c r="S17" s="58">
        <v>1690.3</v>
      </c>
      <c r="T17" s="67">
        <f t="shared" si="50"/>
        <v>1000</v>
      </c>
      <c r="U17" s="58">
        <v>666999.5</v>
      </c>
      <c r="V17" s="67">
        <f t="shared" si="9"/>
        <v>378.59999999997672</v>
      </c>
      <c r="W17" s="58">
        <v>599.9</v>
      </c>
      <c r="X17" s="65">
        <f t="shared" si="10"/>
        <v>350.00000000002274</v>
      </c>
      <c r="Y17" s="58">
        <v>4.5669000000000004</v>
      </c>
      <c r="Z17" s="65">
        <f t="shared" si="11"/>
        <v>2800.0000000005798</v>
      </c>
      <c r="AA17" s="58">
        <v>607.07000000000005</v>
      </c>
      <c r="AB17" s="65">
        <f t="shared" si="12"/>
        <v>470.00000000002728</v>
      </c>
      <c r="AC17" s="58">
        <v>613.03</v>
      </c>
      <c r="AD17" s="65">
        <f t="shared" si="13"/>
        <v>360.00000000001364</v>
      </c>
      <c r="AE17" s="58">
        <v>977.35</v>
      </c>
      <c r="AF17" s="65">
        <f t="shared" si="14"/>
        <v>509.99999999999091</v>
      </c>
      <c r="AG17" s="58">
        <v>27454</v>
      </c>
      <c r="AH17" s="67">
        <f t="shared" si="15"/>
        <v>42</v>
      </c>
      <c r="AI17" s="58">
        <v>1.0419</v>
      </c>
      <c r="AJ17" s="65">
        <f t="shared" si="16"/>
        <v>499.99999999994492</v>
      </c>
      <c r="AK17" s="58">
        <v>344.22</v>
      </c>
      <c r="AL17" s="65">
        <f t="shared" si="17"/>
        <v>230.00000000001819</v>
      </c>
      <c r="AM17" s="58">
        <v>315.77999999999997</v>
      </c>
      <c r="AN17" s="65">
        <f t="shared" si="18"/>
        <v>179.99999999994998</v>
      </c>
      <c r="AO17" s="58">
        <v>305.18</v>
      </c>
      <c r="AP17" s="65">
        <f t="shared" si="19"/>
        <v>60.000000000002274</v>
      </c>
      <c r="AQ17" s="58">
        <v>358.23</v>
      </c>
      <c r="AR17" s="65">
        <f t="shared" si="20"/>
        <v>220.00000000002728</v>
      </c>
      <c r="AS17" s="58">
        <v>484.08</v>
      </c>
      <c r="AT17" s="65">
        <f t="shared" si="21"/>
        <v>60.000000000002274</v>
      </c>
      <c r="AU17" s="58">
        <v>387.77</v>
      </c>
      <c r="AV17" s="65">
        <f t="shared" si="22"/>
        <v>39.99999999996362</v>
      </c>
      <c r="AW17" s="58">
        <v>415.37</v>
      </c>
      <c r="AX17" s="65">
        <f t="shared" si="23"/>
        <v>90.000000000031832</v>
      </c>
      <c r="AY17" s="58">
        <v>450.37</v>
      </c>
      <c r="AZ17" s="65">
        <f t="shared" si="24"/>
        <v>100.00000000002274</v>
      </c>
      <c r="BA17" s="58">
        <v>468.05</v>
      </c>
      <c r="BB17" s="65">
        <f t="shared" si="25"/>
        <v>120.00000000000455</v>
      </c>
      <c r="BC17" s="58">
        <v>300.72000000000003</v>
      </c>
      <c r="BD17" s="65">
        <f t="shared" si="26"/>
        <v>130.0000000000523</v>
      </c>
      <c r="BE17" s="59">
        <v>62123</v>
      </c>
      <c r="BF17" s="67">
        <f t="shared" si="27"/>
        <v>32</v>
      </c>
      <c r="BG17" s="60">
        <v>258.61</v>
      </c>
      <c r="BH17" s="65">
        <f t="shared" si="28"/>
        <v>30.000000000029559</v>
      </c>
      <c r="BI17" s="60">
        <v>312.64</v>
      </c>
      <c r="BJ17" s="65">
        <f t="shared" si="29"/>
        <v>29.999999999972715</v>
      </c>
      <c r="BK17" s="60">
        <v>265.23</v>
      </c>
      <c r="BL17" s="65">
        <f t="shared" si="30"/>
        <v>40.000000000020464</v>
      </c>
      <c r="BM17" s="60">
        <v>248.56</v>
      </c>
      <c r="BN17" s="65">
        <f t="shared" si="31"/>
        <v>39.999999999992042</v>
      </c>
      <c r="BO17" s="60">
        <v>316.83999999999997</v>
      </c>
      <c r="BP17" s="65">
        <f t="shared" si="32"/>
        <v>39.99999999996362</v>
      </c>
      <c r="BQ17" s="60">
        <v>66895</v>
      </c>
      <c r="BR17" s="65">
        <f t="shared" si="33"/>
        <v>38</v>
      </c>
      <c r="BS17" s="60">
        <v>226.88</v>
      </c>
      <c r="BT17" s="65">
        <f t="shared" si="34"/>
        <v>49.999999999982947</v>
      </c>
      <c r="BU17" s="60">
        <v>64207</v>
      </c>
      <c r="BV17" s="65">
        <f t="shared" si="35"/>
        <v>34</v>
      </c>
      <c r="BW17" s="60">
        <v>254.96</v>
      </c>
      <c r="BX17" s="65">
        <f t="shared" si="36"/>
        <v>40.000000000020464</v>
      </c>
      <c r="BY17" s="60">
        <v>86247</v>
      </c>
      <c r="BZ17" s="67">
        <f t="shared" si="37"/>
        <v>49</v>
      </c>
      <c r="CA17" s="60">
        <v>63940</v>
      </c>
      <c r="CB17" s="67">
        <f t="shared" si="38"/>
        <v>55.099999999998545</v>
      </c>
      <c r="CC17" s="60">
        <v>18997</v>
      </c>
      <c r="CD17" s="67">
        <f t="shared" si="39"/>
        <v>21.099999999998545</v>
      </c>
      <c r="CE17" s="60">
        <v>9109.2000000000007</v>
      </c>
      <c r="CF17" s="67">
        <f t="shared" si="40"/>
        <v>2.6000000000003638</v>
      </c>
      <c r="CG17" s="60">
        <v>87328.6</v>
      </c>
      <c r="CH17" s="67">
        <f t="shared" si="41"/>
        <v>38.700000000011642</v>
      </c>
      <c r="CI17" s="60">
        <v>1128490</v>
      </c>
      <c r="CJ17" s="67">
        <f t="shared" si="42"/>
        <v>315</v>
      </c>
      <c r="CK17" s="60">
        <v>1240.3</v>
      </c>
      <c r="CL17" s="64">
        <f t="shared" si="43"/>
        <v>799.99999999995453</v>
      </c>
      <c r="CM17" s="65">
        <f t="shared" si="44"/>
        <v>117.70000000000073</v>
      </c>
      <c r="CN17" s="62">
        <v>32</v>
      </c>
      <c r="CO17" s="62">
        <v>66</v>
      </c>
      <c r="CP17" s="68">
        <v>54642</v>
      </c>
      <c r="CQ17" s="67">
        <f t="shared" si="45"/>
        <v>80</v>
      </c>
      <c r="CR17" s="68">
        <v>28196</v>
      </c>
      <c r="CS17" s="67">
        <f t="shared" si="46"/>
        <v>37.700000000000728</v>
      </c>
      <c r="CT17" s="75">
        <v>13405</v>
      </c>
      <c r="CU17" s="67">
        <f t="shared" si="47"/>
        <v>16</v>
      </c>
      <c r="CV17" s="68">
        <v>32357</v>
      </c>
      <c r="CW17" s="67">
        <f t="shared" si="48"/>
        <v>28</v>
      </c>
      <c r="CX17" s="58">
        <v>6046.6</v>
      </c>
      <c r="CY17" s="67">
        <f t="shared" si="49"/>
        <v>5.5</v>
      </c>
    </row>
    <row r="18" spans="1:103" ht="25.5" customHeight="1" thickBot="1" x14ac:dyDescent="0.45">
      <c r="A18" s="63">
        <v>44972</v>
      </c>
      <c r="B18" s="44"/>
      <c r="C18" s="58">
        <v>3.9014000000000002</v>
      </c>
      <c r="D18" s="64">
        <f t="shared" si="1"/>
        <v>1900.0000000000127</v>
      </c>
      <c r="E18" s="58">
        <v>5.1790000000000003</v>
      </c>
      <c r="F18" s="64">
        <f t="shared" si="2"/>
        <v>3200.0000000005357</v>
      </c>
      <c r="G18" s="58">
        <v>5.2121000000000004</v>
      </c>
      <c r="H18" s="64">
        <f t="shared" si="3"/>
        <v>3800.0000000000255</v>
      </c>
      <c r="I18" s="58">
        <v>2.5718000000000001</v>
      </c>
      <c r="J18" s="64">
        <f t="shared" si="4"/>
        <v>1500.0000000000568</v>
      </c>
      <c r="K18" s="58">
        <v>3.9411999999999998</v>
      </c>
      <c r="L18" s="64">
        <f t="shared" si="5"/>
        <v>2199.9999999997576</v>
      </c>
      <c r="M18" s="58">
        <v>2.3847</v>
      </c>
      <c r="N18" s="64">
        <f t="shared" si="6"/>
        <v>1199.9999999998679</v>
      </c>
      <c r="O18" s="58">
        <v>29037</v>
      </c>
      <c r="P18" s="67">
        <f t="shared" si="7"/>
        <v>16</v>
      </c>
      <c r="Q18" s="58">
        <v>3641</v>
      </c>
      <c r="R18" s="67">
        <f t="shared" si="8"/>
        <v>3</v>
      </c>
      <c r="S18" s="58">
        <v>1691.7</v>
      </c>
      <c r="T18" s="67">
        <f t="shared" si="50"/>
        <v>1400.0000000000909</v>
      </c>
      <c r="U18" s="58">
        <v>667457.6</v>
      </c>
      <c r="V18" s="67">
        <f t="shared" si="9"/>
        <v>458.09999999997672</v>
      </c>
      <c r="W18" s="58">
        <v>600.20000000000005</v>
      </c>
      <c r="X18" s="65">
        <f t="shared" si="10"/>
        <v>300.00000000006821</v>
      </c>
      <c r="Y18" s="58">
        <v>4.5698999999999996</v>
      </c>
      <c r="Z18" s="65">
        <f t="shared" si="11"/>
        <v>2999.9999999992256</v>
      </c>
      <c r="AA18" s="58">
        <v>607.42999999999995</v>
      </c>
      <c r="AB18" s="65">
        <f t="shared" si="12"/>
        <v>359.99999999989996</v>
      </c>
      <c r="AC18" s="58">
        <v>613.37</v>
      </c>
      <c r="AD18" s="65">
        <f t="shared" si="13"/>
        <v>340.00000000003183</v>
      </c>
      <c r="AE18" s="58">
        <v>977.77</v>
      </c>
      <c r="AF18" s="65">
        <f t="shared" si="14"/>
        <v>419.99999999995907</v>
      </c>
      <c r="AG18" s="58">
        <v>27492</v>
      </c>
      <c r="AH18" s="67">
        <f t="shared" si="15"/>
        <v>38</v>
      </c>
      <c r="AI18" s="58">
        <v>1.0423</v>
      </c>
      <c r="AJ18" s="65">
        <f t="shared" si="16"/>
        <v>399.99999999995595</v>
      </c>
      <c r="AK18" s="58">
        <v>344.42</v>
      </c>
      <c r="AL18" s="65">
        <f t="shared" si="17"/>
        <v>199.99999999998863</v>
      </c>
      <c r="AM18" s="58">
        <v>316</v>
      </c>
      <c r="AN18" s="65">
        <f t="shared" si="18"/>
        <v>220.00000000002728</v>
      </c>
      <c r="AO18" s="58">
        <v>305.26</v>
      </c>
      <c r="AP18" s="65">
        <f t="shared" si="19"/>
        <v>79.999999999984084</v>
      </c>
      <c r="AQ18" s="58">
        <v>358.44</v>
      </c>
      <c r="AR18" s="65">
        <f t="shared" si="20"/>
        <v>209.99999999997954</v>
      </c>
      <c r="AS18" s="58">
        <v>484.21</v>
      </c>
      <c r="AT18" s="65">
        <f t="shared" si="21"/>
        <v>129.99999999999545</v>
      </c>
      <c r="AU18" s="58">
        <v>387.83</v>
      </c>
      <c r="AV18" s="65">
        <f t="shared" si="22"/>
        <v>60.000000000002274</v>
      </c>
      <c r="AW18" s="58">
        <v>415.44</v>
      </c>
      <c r="AX18" s="65">
        <f t="shared" si="23"/>
        <v>69.999999999993179</v>
      </c>
      <c r="AY18" s="58">
        <v>450.45</v>
      </c>
      <c r="AZ18" s="65">
        <f t="shared" si="24"/>
        <v>79.999999999984084</v>
      </c>
      <c r="BA18" s="58">
        <v>468.1</v>
      </c>
      <c r="BB18" s="65">
        <f t="shared" si="25"/>
        <v>50.000000000011369</v>
      </c>
      <c r="BC18" s="58">
        <v>300.83</v>
      </c>
      <c r="BD18" s="65">
        <f t="shared" si="26"/>
        <v>109.9999999999568</v>
      </c>
      <c r="BE18" s="59">
        <v>62169</v>
      </c>
      <c r="BF18" s="67">
        <f t="shared" si="27"/>
        <v>46</v>
      </c>
      <c r="BG18" s="60">
        <v>258.64999999999998</v>
      </c>
      <c r="BH18" s="65">
        <f t="shared" si="28"/>
        <v>39.99999999996362</v>
      </c>
      <c r="BI18" s="60">
        <v>312.67</v>
      </c>
      <c r="BJ18" s="65">
        <f t="shared" si="29"/>
        <v>30.000000000029559</v>
      </c>
      <c r="BK18" s="60">
        <v>265.29000000000002</v>
      </c>
      <c r="BL18" s="65">
        <f t="shared" si="30"/>
        <v>60.000000000002274</v>
      </c>
      <c r="BM18" s="60">
        <v>248.6</v>
      </c>
      <c r="BN18" s="65">
        <f t="shared" si="31"/>
        <v>39.999999999992042</v>
      </c>
      <c r="BO18" s="60">
        <v>316.88</v>
      </c>
      <c r="BP18" s="65">
        <f t="shared" si="32"/>
        <v>40.000000000020464</v>
      </c>
      <c r="BQ18" s="60">
        <v>66935</v>
      </c>
      <c r="BR18" s="65">
        <f t="shared" si="33"/>
        <v>40</v>
      </c>
      <c r="BS18" s="60">
        <v>226.94</v>
      </c>
      <c r="BT18" s="65">
        <f t="shared" si="34"/>
        <v>60.000000000002274</v>
      </c>
      <c r="BU18" s="60">
        <v>64241</v>
      </c>
      <c r="BV18" s="65">
        <f t="shared" si="35"/>
        <v>34</v>
      </c>
      <c r="BW18" s="60">
        <v>255</v>
      </c>
      <c r="BX18" s="65">
        <f t="shared" si="36"/>
        <v>39.999999999992042</v>
      </c>
      <c r="BY18" s="60">
        <v>86299</v>
      </c>
      <c r="BZ18" s="67">
        <f t="shared" si="37"/>
        <v>52</v>
      </c>
      <c r="CA18" s="60">
        <v>63995.4</v>
      </c>
      <c r="CB18" s="67">
        <f t="shared" si="38"/>
        <v>55.400000000001455</v>
      </c>
      <c r="CC18" s="60">
        <v>19012.5</v>
      </c>
      <c r="CD18" s="67">
        <f t="shared" si="39"/>
        <v>15.5</v>
      </c>
      <c r="CE18" s="60">
        <v>9113.1</v>
      </c>
      <c r="CF18" s="67">
        <f t="shared" si="40"/>
        <v>3.8999999999996362</v>
      </c>
      <c r="CG18" s="60">
        <v>87376.2</v>
      </c>
      <c r="CH18" s="67">
        <f t="shared" si="41"/>
        <v>47.599999999991269</v>
      </c>
      <c r="CI18" s="60">
        <v>1128808</v>
      </c>
      <c r="CJ18" s="67">
        <f t="shared" si="42"/>
        <v>318</v>
      </c>
      <c r="CK18" s="60">
        <v>1241.0999999999999</v>
      </c>
      <c r="CL18" s="64">
        <f t="shared" si="43"/>
        <v>799.99999999995453</v>
      </c>
      <c r="CM18" s="65">
        <f t="shared" si="44"/>
        <v>130</v>
      </c>
      <c r="CN18" s="62">
        <v>32</v>
      </c>
      <c r="CO18" s="62">
        <v>66</v>
      </c>
      <c r="CP18" s="68">
        <v>54718</v>
      </c>
      <c r="CQ18" s="67">
        <f t="shared" si="45"/>
        <v>76</v>
      </c>
      <c r="CR18" s="68">
        <v>28250</v>
      </c>
      <c r="CS18" s="67">
        <f t="shared" si="46"/>
        <v>54</v>
      </c>
      <c r="CT18" s="75">
        <v>13423</v>
      </c>
      <c r="CU18" s="67">
        <f t="shared" si="47"/>
        <v>18</v>
      </c>
      <c r="CV18" s="68">
        <v>32377</v>
      </c>
      <c r="CW18" s="67">
        <f t="shared" si="48"/>
        <v>20</v>
      </c>
      <c r="CX18" s="58">
        <v>6054.9</v>
      </c>
      <c r="CY18" s="67">
        <f t="shared" si="49"/>
        <v>8.2999999999992724</v>
      </c>
    </row>
    <row r="19" spans="1:103" ht="25.5" customHeight="1" thickBot="1" x14ac:dyDescent="0.45">
      <c r="A19" s="63">
        <v>44973</v>
      </c>
      <c r="B19" s="44"/>
      <c r="C19" s="58">
        <v>3.9037999999999999</v>
      </c>
      <c r="D19" s="64">
        <f t="shared" si="1"/>
        <v>2399.9999999997358</v>
      </c>
      <c r="E19" s="58">
        <v>5.1825000000000001</v>
      </c>
      <c r="F19" s="64">
        <f t="shared" si="2"/>
        <v>3499.9999999998367</v>
      </c>
      <c r="G19" s="58">
        <v>5.2159000000000004</v>
      </c>
      <c r="H19" s="64">
        <f t="shared" si="3"/>
        <v>3800.0000000000255</v>
      </c>
      <c r="I19" s="58">
        <v>2.5737000000000001</v>
      </c>
      <c r="J19" s="64">
        <f t="shared" si="4"/>
        <v>1900.0000000000127</v>
      </c>
      <c r="K19" s="58">
        <v>3.9432999999999998</v>
      </c>
      <c r="L19" s="64">
        <f t="shared" si="5"/>
        <v>2099.9999999999909</v>
      </c>
      <c r="M19" s="58">
        <v>2.3862999999999999</v>
      </c>
      <c r="N19" s="64">
        <f t="shared" si="6"/>
        <v>1599.9999999998238</v>
      </c>
      <c r="O19" s="58">
        <v>29071</v>
      </c>
      <c r="P19" s="67">
        <f t="shared" si="7"/>
        <v>34</v>
      </c>
      <c r="Q19" s="58">
        <v>3647</v>
      </c>
      <c r="R19" s="67">
        <f t="shared" si="8"/>
        <v>6</v>
      </c>
      <c r="S19" s="58">
        <v>1692.9</v>
      </c>
      <c r="T19" s="67">
        <f t="shared" si="50"/>
        <v>1200.0000000000455</v>
      </c>
      <c r="U19" s="58">
        <v>667973.80000000005</v>
      </c>
      <c r="V19" s="67">
        <f t="shared" si="9"/>
        <v>516.20000000006985</v>
      </c>
      <c r="W19" s="58">
        <v>600.65</v>
      </c>
      <c r="X19" s="65">
        <f t="shared" si="10"/>
        <v>449.99999999993179</v>
      </c>
      <c r="Y19" s="58">
        <v>4.5728</v>
      </c>
      <c r="Z19" s="65">
        <f t="shared" si="11"/>
        <v>2900.0000000003465</v>
      </c>
      <c r="AA19" s="58">
        <v>607.65</v>
      </c>
      <c r="AB19" s="65">
        <f t="shared" si="12"/>
        <v>220.00000000002728</v>
      </c>
      <c r="AC19" s="58">
        <v>613.84</v>
      </c>
      <c r="AD19" s="65">
        <f t="shared" si="13"/>
        <v>470.00000000002728</v>
      </c>
      <c r="AE19" s="58">
        <v>978.6</v>
      </c>
      <c r="AF19" s="65">
        <f t="shared" si="14"/>
        <v>830.00000000004093</v>
      </c>
      <c r="AG19" s="58">
        <v>27534</v>
      </c>
      <c r="AH19" s="67">
        <f t="shared" si="15"/>
        <v>42</v>
      </c>
      <c r="AI19" s="58">
        <v>1.0428999999999999</v>
      </c>
      <c r="AJ19" s="65">
        <f t="shared" si="16"/>
        <v>599.99999999993395</v>
      </c>
      <c r="AK19" s="58">
        <v>344.7</v>
      </c>
      <c r="AL19" s="65">
        <f t="shared" si="17"/>
        <v>279.99999999997272</v>
      </c>
      <c r="AM19" s="58">
        <v>316.27</v>
      </c>
      <c r="AN19" s="65">
        <f t="shared" si="18"/>
        <v>269.99999999998181</v>
      </c>
      <c r="AO19" s="58">
        <v>305.39</v>
      </c>
      <c r="AP19" s="65">
        <f t="shared" si="19"/>
        <v>129.99999999999545</v>
      </c>
      <c r="AQ19" s="58">
        <v>358.58</v>
      </c>
      <c r="AR19" s="65">
        <f t="shared" si="20"/>
        <v>139.99999999998636</v>
      </c>
      <c r="AS19" s="58">
        <v>484.37</v>
      </c>
      <c r="AT19" s="65">
        <f t="shared" si="21"/>
        <v>160.00000000002501</v>
      </c>
      <c r="AU19" s="58">
        <v>387.89</v>
      </c>
      <c r="AV19" s="65">
        <f t="shared" si="22"/>
        <v>60.000000000002274</v>
      </c>
      <c r="AW19" s="58">
        <v>415.57</v>
      </c>
      <c r="AX19" s="65">
        <f t="shared" si="23"/>
        <v>129.99999999999545</v>
      </c>
      <c r="AY19" s="58">
        <v>450.58</v>
      </c>
      <c r="AZ19" s="65">
        <f t="shared" si="24"/>
        <v>129.99999999999545</v>
      </c>
      <c r="BA19" s="58">
        <v>468.15</v>
      </c>
      <c r="BB19" s="65">
        <f t="shared" si="25"/>
        <v>49.999999999954525</v>
      </c>
      <c r="BC19" s="58">
        <v>300.95999999999998</v>
      </c>
      <c r="BD19" s="65">
        <f t="shared" si="26"/>
        <v>129.99999999999545</v>
      </c>
      <c r="BE19" s="59">
        <v>62203</v>
      </c>
      <c r="BF19" s="67">
        <f t="shared" si="27"/>
        <v>34</v>
      </c>
      <c r="BG19" s="60">
        <v>258.69</v>
      </c>
      <c r="BH19" s="65">
        <f t="shared" si="28"/>
        <v>40.000000000020464</v>
      </c>
      <c r="BI19" s="60">
        <v>312.72000000000003</v>
      </c>
      <c r="BJ19" s="65">
        <f t="shared" si="29"/>
        <v>50.000000000011369</v>
      </c>
      <c r="BK19" s="60">
        <v>265.35000000000002</v>
      </c>
      <c r="BL19" s="65">
        <f t="shared" si="30"/>
        <v>60.000000000002274</v>
      </c>
      <c r="BM19" s="60">
        <v>248.64</v>
      </c>
      <c r="BN19" s="65">
        <f t="shared" si="31"/>
        <v>39.999999999992042</v>
      </c>
      <c r="BO19" s="60">
        <v>316.92</v>
      </c>
      <c r="BP19" s="65">
        <f t="shared" si="32"/>
        <v>40.000000000020464</v>
      </c>
      <c r="BQ19" s="60">
        <v>66981</v>
      </c>
      <c r="BR19" s="65">
        <f t="shared" si="33"/>
        <v>46</v>
      </c>
      <c r="BS19" s="60">
        <v>227.01</v>
      </c>
      <c r="BT19" s="65">
        <f t="shared" si="34"/>
        <v>69.999999999993179</v>
      </c>
      <c r="BU19" s="60">
        <v>64282</v>
      </c>
      <c r="BV19" s="65">
        <f t="shared" si="35"/>
        <v>41</v>
      </c>
      <c r="BW19" s="60">
        <v>255.06</v>
      </c>
      <c r="BX19" s="65">
        <f t="shared" si="36"/>
        <v>60.000000000002274</v>
      </c>
      <c r="BY19" s="60">
        <v>86354</v>
      </c>
      <c r="BZ19" s="67">
        <f t="shared" si="37"/>
        <v>55</v>
      </c>
      <c r="CA19" s="60">
        <v>64064</v>
      </c>
      <c r="CB19" s="67">
        <f t="shared" si="38"/>
        <v>68.599999999998545</v>
      </c>
      <c r="CC19" s="60">
        <v>19028.5</v>
      </c>
      <c r="CD19" s="67">
        <f t="shared" si="39"/>
        <v>16</v>
      </c>
      <c r="CE19" s="60">
        <v>9115.1</v>
      </c>
      <c r="CF19" s="67">
        <f t="shared" si="40"/>
        <v>2</v>
      </c>
      <c r="CG19" s="60">
        <v>87419.199999999997</v>
      </c>
      <c r="CH19" s="67">
        <f t="shared" si="41"/>
        <v>43</v>
      </c>
      <c r="CI19" s="60">
        <v>1129124</v>
      </c>
      <c r="CJ19" s="67">
        <f t="shared" si="42"/>
        <v>316</v>
      </c>
      <c r="CK19" s="60">
        <v>1242</v>
      </c>
      <c r="CL19" s="64">
        <f t="shared" si="43"/>
        <v>900.00000000009095</v>
      </c>
      <c r="CM19" s="65">
        <f t="shared" si="44"/>
        <v>146</v>
      </c>
      <c r="CN19" s="62">
        <v>39</v>
      </c>
      <c r="CO19" s="62">
        <v>73</v>
      </c>
      <c r="CP19" s="68">
        <v>54796</v>
      </c>
      <c r="CQ19" s="67">
        <f t="shared" si="45"/>
        <v>78</v>
      </c>
      <c r="CR19" s="68">
        <v>28318</v>
      </c>
      <c r="CS19" s="67">
        <f t="shared" si="46"/>
        <v>68</v>
      </c>
      <c r="CT19" s="75">
        <v>13439</v>
      </c>
      <c r="CU19" s="67">
        <f t="shared" si="47"/>
        <v>16</v>
      </c>
      <c r="CV19" s="68">
        <v>32399</v>
      </c>
      <c r="CW19" s="67">
        <f t="shared" si="48"/>
        <v>22</v>
      </c>
      <c r="CX19" s="58">
        <v>6067.3</v>
      </c>
      <c r="CY19" s="67">
        <f t="shared" si="49"/>
        <v>12.400000000000546</v>
      </c>
    </row>
    <row r="20" spans="1:103" ht="25.5" customHeight="1" thickBot="1" x14ac:dyDescent="0.45">
      <c r="A20" s="63">
        <v>44974</v>
      </c>
      <c r="B20" s="44"/>
      <c r="C20" s="58">
        <v>3.9058000000000002</v>
      </c>
      <c r="D20" s="64">
        <f t="shared" si="1"/>
        <v>2000.0000000002237</v>
      </c>
      <c r="E20" s="58">
        <v>5.1858000000000004</v>
      </c>
      <c r="F20" s="64">
        <f t="shared" si="2"/>
        <v>3300.0000000003029</v>
      </c>
      <c r="G20" s="58">
        <v>5.22</v>
      </c>
      <c r="H20" s="64">
        <f t="shared" si="3"/>
        <v>4099.9999999993261</v>
      </c>
      <c r="I20" s="58">
        <v>2.5752000000000002</v>
      </c>
      <c r="J20" s="64">
        <f t="shared" si="4"/>
        <v>1500.0000000000568</v>
      </c>
      <c r="K20" s="58">
        <v>3.9453</v>
      </c>
      <c r="L20" s="64">
        <f t="shared" si="5"/>
        <v>2000.0000000002237</v>
      </c>
      <c r="M20" s="58">
        <v>2.3877999999999999</v>
      </c>
      <c r="N20" s="64">
        <f t="shared" si="6"/>
        <v>1500.0000000000568</v>
      </c>
      <c r="O20" s="58">
        <v>29095</v>
      </c>
      <c r="P20" s="67">
        <f t="shared" si="7"/>
        <v>24</v>
      </c>
      <c r="Q20" s="58">
        <v>3650</v>
      </c>
      <c r="R20" s="67">
        <f t="shared" si="8"/>
        <v>3</v>
      </c>
      <c r="S20" s="58">
        <v>1694.3</v>
      </c>
      <c r="T20" s="67">
        <f t="shared" si="50"/>
        <v>1399.9999999998636</v>
      </c>
      <c r="U20" s="58">
        <v>668496.69999999995</v>
      </c>
      <c r="V20" s="67">
        <f t="shared" si="9"/>
        <v>522.89999999990687</v>
      </c>
      <c r="W20" s="58">
        <v>601.04</v>
      </c>
      <c r="X20" s="65">
        <f t="shared" si="10"/>
        <v>389.99999999998636</v>
      </c>
      <c r="Y20" s="58">
        <v>4.5754999999999999</v>
      </c>
      <c r="Z20" s="65">
        <f t="shared" si="11"/>
        <v>2699.9999999999245</v>
      </c>
      <c r="AA20" s="58">
        <v>608</v>
      </c>
      <c r="AB20" s="65">
        <f t="shared" si="12"/>
        <v>350.00000000002274</v>
      </c>
      <c r="AC20" s="58">
        <v>614.23</v>
      </c>
      <c r="AD20" s="65">
        <f t="shared" si="13"/>
        <v>389.99999999998636</v>
      </c>
      <c r="AE20" s="58">
        <v>979.26</v>
      </c>
      <c r="AF20" s="65">
        <f t="shared" si="14"/>
        <v>659.99999999996817</v>
      </c>
      <c r="AG20" s="58">
        <v>27581</v>
      </c>
      <c r="AH20" s="67">
        <f t="shared" si="15"/>
        <v>47</v>
      </c>
      <c r="AI20" s="58">
        <v>1.0435000000000001</v>
      </c>
      <c r="AJ20" s="65">
        <f t="shared" si="16"/>
        <v>600.00000000015598</v>
      </c>
      <c r="AK20" s="58">
        <v>344.93</v>
      </c>
      <c r="AL20" s="65">
        <f t="shared" si="17"/>
        <v>230.00000000001819</v>
      </c>
      <c r="AM20" s="58">
        <v>316.41000000000003</v>
      </c>
      <c r="AN20" s="65">
        <f t="shared" si="18"/>
        <v>140.0000000000432</v>
      </c>
      <c r="AO20" s="58">
        <v>305.49</v>
      </c>
      <c r="AP20" s="65">
        <f t="shared" si="19"/>
        <v>100.00000000002274</v>
      </c>
      <c r="AQ20" s="58">
        <v>358.68</v>
      </c>
      <c r="AR20" s="65">
        <f t="shared" si="20"/>
        <v>100.00000000002274</v>
      </c>
      <c r="AS20" s="58">
        <v>484.51</v>
      </c>
      <c r="AT20" s="65">
        <f t="shared" si="21"/>
        <v>139.99999999998636</v>
      </c>
      <c r="AU20" s="58">
        <v>387.95</v>
      </c>
      <c r="AV20" s="65">
        <f t="shared" si="22"/>
        <v>60.000000000002274</v>
      </c>
      <c r="AW20" s="58">
        <v>415.66</v>
      </c>
      <c r="AX20" s="65">
        <f t="shared" si="23"/>
        <v>90.000000000031832</v>
      </c>
      <c r="AY20" s="58">
        <v>450.74</v>
      </c>
      <c r="AZ20" s="65">
        <f t="shared" si="24"/>
        <v>160.00000000002501</v>
      </c>
      <c r="BA20" s="58">
        <v>468.21</v>
      </c>
      <c r="BB20" s="65">
        <f t="shared" si="25"/>
        <v>60.000000000002274</v>
      </c>
      <c r="BC20" s="58">
        <v>301.08</v>
      </c>
      <c r="BD20" s="65">
        <f t="shared" si="26"/>
        <v>120.00000000000455</v>
      </c>
      <c r="BE20" s="59">
        <v>62207</v>
      </c>
      <c r="BF20" s="67">
        <f t="shared" si="27"/>
        <v>4</v>
      </c>
      <c r="BG20" s="60">
        <v>258.72000000000003</v>
      </c>
      <c r="BH20" s="65">
        <f t="shared" si="28"/>
        <v>30.000000000029559</v>
      </c>
      <c r="BI20" s="60">
        <v>312.75</v>
      </c>
      <c r="BJ20" s="65">
        <f t="shared" si="29"/>
        <v>29.999999999972715</v>
      </c>
      <c r="BK20" s="60">
        <v>265.39999999999998</v>
      </c>
      <c r="BL20" s="65">
        <f t="shared" si="30"/>
        <v>49.999999999954525</v>
      </c>
      <c r="BM20" s="60">
        <v>248.72</v>
      </c>
      <c r="BN20" s="65">
        <f t="shared" si="31"/>
        <v>80.000000000012506</v>
      </c>
      <c r="BO20" s="60">
        <v>316.95999999999998</v>
      </c>
      <c r="BP20" s="65">
        <f t="shared" si="32"/>
        <v>39.99999999996362</v>
      </c>
      <c r="BQ20" s="60">
        <v>67023</v>
      </c>
      <c r="BR20" s="65">
        <f t="shared" si="33"/>
        <v>42</v>
      </c>
      <c r="BS20" s="60">
        <v>227.06</v>
      </c>
      <c r="BT20" s="65">
        <f t="shared" si="34"/>
        <v>50.000000000011369</v>
      </c>
      <c r="BU20" s="60">
        <v>64315</v>
      </c>
      <c r="BV20" s="65">
        <f t="shared" si="35"/>
        <v>33</v>
      </c>
      <c r="BW20" s="60">
        <v>255.11</v>
      </c>
      <c r="BX20" s="65">
        <f t="shared" si="36"/>
        <v>50.000000000011369</v>
      </c>
      <c r="BY20" s="60">
        <v>86403</v>
      </c>
      <c r="BZ20" s="67">
        <f t="shared" si="37"/>
        <v>49</v>
      </c>
      <c r="CA20" s="60">
        <v>64124.5</v>
      </c>
      <c r="CB20" s="67">
        <f t="shared" si="38"/>
        <v>60.5</v>
      </c>
      <c r="CC20" s="60">
        <v>19039.8</v>
      </c>
      <c r="CD20" s="67">
        <f t="shared" si="39"/>
        <v>11.299999999999272</v>
      </c>
      <c r="CE20" s="60">
        <v>9121.7999999999993</v>
      </c>
      <c r="CF20" s="67">
        <f t="shared" si="40"/>
        <v>6.6999999999989086</v>
      </c>
      <c r="CG20" s="60">
        <v>87443</v>
      </c>
      <c r="CH20" s="67">
        <f t="shared" si="41"/>
        <v>23.80000000000291</v>
      </c>
      <c r="CI20" s="60">
        <v>1129429</v>
      </c>
      <c r="CJ20" s="67">
        <f t="shared" si="42"/>
        <v>305</v>
      </c>
      <c r="CK20" s="60">
        <v>1243</v>
      </c>
      <c r="CL20" s="64">
        <f t="shared" si="43"/>
        <v>1000</v>
      </c>
      <c r="CM20" s="65">
        <f t="shared" si="44"/>
        <v>137</v>
      </c>
      <c r="CN20" s="62">
        <v>39</v>
      </c>
      <c r="CO20" s="62">
        <v>73</v>
      </c>
      <c r="CP20" s="68">
        <v>54879</v>
      </c>
      <c r="CQ20" s="67">
        <f t="shared" si="45"/>
        <v>83</v>
      </c>
      <c r="CR20" s="68">
        <v>28372</v>
      </c>
      <c r="CS20" s="67">
        <f t="shared" si="46"/>
        <v>54</v>
      </c>
      <c r="CT20" s="75">
        <v>13456</v>
      </c>
      <c r="CU20" s="67">
        <f t="shared" si="47"/>
        <v>17</v>
      </c>
      <c r="CV20" s="68">
        <v>32420</v>
      </c>
      <c r="CW20" s="67">
        <f t="shared" si="48"/>
        <v>21</v>
      </c>
      <c r="CX20" s="58">
        <v>6078.1</v>
      </c>
      <c r="CY20" s="67">
        <f t="shared" si="49"/>
        <v>10.800000000000182</v>
      </c>
    </row>
    <row r="21" spans="1:103" ht="25.5" customHeight="1" thickBot="1" x14ac:dyDescent="0.45">
      <c r="A21" s="63">
        <v>44975</v>
      </c>
      <c r="B21" s="44"/>
      <c r="C21" s="58">
        <v>3.9079999999999999</v>
      </c>
      <c r="D21" s="64">
        <f t="shared" si="1"/>
        <v>2199.9999999997576</v>
      </c>
      <c r="E21" s="58">
        <v>5.1886999999999999</v>
      </c>
      <c r="F21" s="64">
        <f t="shared" si="2"/>
        <v>2899.9999999994584</v>
      </c>
      <c r="G21" s="58">
        <v>5.2237999999999998</v>
      </c>
      <c r="H21" s="64">
        <f t="shared" si="3"/>
        <v>3800.0000000000255</v>
      </c>
      <c r="I21" s="58">
        <v>2.5769000000000002</v>
      </c>
      <c r="J21" s="64">
        <f t="shared" si="4"/>
        <v>1700.0000000000348</v>
      </c>
      <c r="K21" s="58">
        <v>3.9476</v>
      </c>
      <c r="L21" s="64">
        <f t="shared" si="5"/>
        <v>2299.9999999999686</v>
      </c>
      <c r="M21" s="58">
        <v>2.3893</v>
      </c>
      <c r="N21" s="64">
        <f t="shared" si="6"/>
        <v>1500.0000000000568</v>
      </c>
      <c r="O21" s="58">
        <v>29122</v>
      </c>
      <c r="P21" s="67">
        <f t="shared" si="7"/>
        <v>27</v>
      </c>
      <c r="Q21" s="58">
        <v>3654</v>
      </c>
      <c r="R21" s="67">
        <f t="shared" si="8"/>
        <v>4</v>
      </c>
      <c r="S21" s="58">
        <v>1695.6</v>
      </c>
      <c r="T21" s="67">
        <f t="shared" si="50"/>
        <v>1299.9999999999545</v>
      </c>
      <c r="U21" s="58">
        <v>668973.69999999995</v>
      </c>
      <c r="V21" s="67">
        <f t="shared" si="9"/>
        <v>477</v>
      </c>
      <c r="W21" s="58">
        <v>601.48</v>
      </c>
      <c r="X21" s="65">
        <f t="shared" si="10"/>
        <v>440.00000000005457</v>
      </c>
      <c r="Y21" s="58">
        <v>4.5785999999999998</v>
      </c>
      <c r="Z21" s="65">
        <f t="shared" si="11"/>
        <v>3099.9999999998809</v>
      </c>
      <c r="AA21" s="58">
        <v>608.39</v>
      </c>
      <c r="AB21" s="65">
        <f t="shared" si="12"/>
        <v>389.99999999998636</v>
      </c>
      <c r="AC21" s="58">
        <v>614.69000000000005</v>
      </c>
      <c r="AD21" s="65">
        <f t="shared" si="13"/>
        <v>460.00000000003638</v>
      </c>
      <c r="AE21" s="58">
        <v>979.85</v>
      </c>
      <c r="AF21" s="65">
        <f t="shared" si="14"/>
        <v>590.00000000003183</v>
      </c>
      <c r="AG21" s="58">
        <v>27636</v>
      </c>
      <c r="AH21" s="67">
        <f t="shared" si="15"/>
        <v>55</v>
      </c>
      <c r="AI21" s="58">
        <v>1.0443</v>
      </c>
      <c r="AJ21" s="65">
        <f t="shared" si="16"/>
        <v>799.99999999991189</v>
      </c>
      <c r="AK21" s="58">
        <v>345.23</v>
      </c>
      <c r="AL21" s="65">
        <f t="shared" si="17"/>
        <v>300.00000000001137</v>
      </c>
      <c r="AM21" s="58">
        <v>316.63</v>
      </c>
      <c r="AN21" s="65">
        <f t="shared" si="18"/>
        <v>219.99999999997044</v>
      </c>
      <c r="AO21" s="58">
        <v>305.61</v>
      </c>
      <c r="AP21" s="65">
        <f t="shared" si="19"/>
        <v>120.00000000000455</v>
      </c>
      <c r="AQ21" s="58">
        <v>358.77</v>
      </c>
      <c r="AR21" s="65">
        <f t="shared" si="20"/>
        <v>89.999999999974989</v>
      </c>
      <c r="AS21" s="58">
        <v>484.67</v>
      </c>
      <c r="AT21" s="65">
        <f t="shared" si="21"/>
        <v>160.00000000002501</v>
      </c>
      <c r="AU21" s="58">
        <v>387.99</v>
      </c>
      <c r="AV21" s="65">
        <f t="shared" si="22"/>
        <v>40.000000000020464</v>
      </c>
      <c r="AW21" s="58">
        <v>415.73</v>
      </c>
      <c r="AX21" s="65">
        <f t="shared" si="23"/>
        <v>69.999999999993179</v>
      </c>
      <c r="AY21" s="58">
        <v>450.88</v>
      </c>
      <c r="AZ21" s="65">
        <f t="shared" si="24"/>
        <v>139.99999999998636</v>
      </c>
      <c r="BA21" s="58">
        <v>468.31</v>
      </c>
      <c r="BB21" s="65">
        <f t="shared" si="25"/>
        <v>100.00000000002274</v>
      </c>
      <c r="BC21" s="58">
        <v>301.24</v>
      </c>
      <c r="BD21" s="65">
        <f t="shared" si="26"/>
        <v>160.00000000002501</v>
      </c>
      <c r="BE21" s="59">
        <v>62235</v>
      </c>
      <c r="BF21" s="67">
        <f t="shared" si="27"/>
        <v>28</v>
      </c>
      <c r="BG21" s="60">
        <v>258.77</v>
      </c>
      <c r="BH21" s="65">
        <f t="shared" si="28"/>
        <v>49.999999999954525</v>
      </c>
      <c r="BI21" s="60">
        <v>312.79000000000002</v>
      </c>
      <c r="BJ21" s="65">
        <f t="shared" si="29"/>
        <v>40.000000000020464</v>
      </c>
      <c r="BK21" s="60">
        <v>265.45</v>
      </c>
      <c r="BL21" s="65">
        <f t="shared" si="30"/>
        <v>50.000000000011369</v>
      </c>
      <c r="BM21" s="60">
        <v>248.73</v>
      </c>
      <c r="BN21" s="65">
        <f t="shared" si="31"/>
        <v>9.9999999999909051</v>
      </c>
      <c r="BO21" s="60">
        <v>317</v>
      </c>
      <c r="BP21" s="65">
        <f t="shared" si="32"/>
        <v>40.000000000020464</v>
      </c>
      <c r="BQ21" s="60">
        <v>67063</v>
      </c>
      <c r="BR21" s="65">
        <f t="shared" si="33"/>
        <v>40</v>
      </c>
      <c r="BS21" s="60">
        <v>227.11</v>
      </c>
      <c r="BT21" s="65">
        <f t="shared" si="34"/>
        <v>50.000000000011369</v>
      </c>
      <c r="BU21" s="60">
        <v>64352</v>
      </c>
      <c r="BV21" s="65">
        <f t="shared" si="35"/>
        <v>37</v>
      </c>
      <c r="BW21" s="60">
        <v>255.16</v>
      </c>
      <c r="BX21" s="65">
        <f t="shared" si="36"/>
        <v>49.999999999982947</v>
      </c>
      <c r="BY21" s="60">
        <v>86456</v>
      </c>
      <c r="BZ21" s="67">
        <f t="shared" si="37"/>
        <v>53</v>
      </c>
      <c r="CA21" s="60">
        <v>64196.1</v>
      </c>
      <c r="CB21" s="67">
        <f t="shared" si="38"/>
        <v>71.599999999998545</v>
      </c>
      <c r="CC21" s="60">
        <v>19051.099999999999</v>
      </c>
      <c r="CD21" s="67">
        <f t="shared" si="39"/>
        <v>11.299999999999272</v>
      </c>
      <c r="CE21" s="60">
        <v>9124.7999999999993</v>
      </c>
      <c r="CF21" s="67">
        <f t="shared" si="40"/>
        <v>3</v>
      </c>
      <c r="CG21" s="60">
        <v>87501.9</v>
      </c>
      <c r="CH21" s="67">
        <f t="shared" si="41"/>
        <v>58.899999999994179</v>
      </c>
      <c r="CI21" s="60">
        <v>1129738</v>
      </c>
      <c r="CJ21" s="67">
        <f t="shared" si="42"/>
        <v>309</v>
      </c>
      <c r="CK21" s="60">
        <v>1244</v>
      </c>
      <c r="CL21" s="64">
        <f t="shared" si="43"/>
        <v>1000</v>
      </c>
      <c r="CM21" s="65">
        <f t="shared" si="44"/>
        <v>118</v>
      </c>
      <c r="CN21" s="62">
        <v>30</v>
      </c>
      <c r="CO21" s="62">
        <v>67</v>
      </c>
      <c r="CP21" s="68">
        <v>54957</v>
      </c>
      <c r="CQ21" s="67">
        <f t="shared" si="45"/>
        <v>78</v>
      </c>
      <c r="CR21" s="68">
        <v>28412</v>
      </c>
      <c r="CS21" s="67">
        <f t="shared" si="46"/>
        <v>40</v>
      </c>
      <c r="CT21" s="75">
        <v>13472</v>
      </c>
      <c r="CU21" s="67">
        <f t="shared" si="47"/>
        <v>16</v>
      </c>
      <c r="CV21" s="68">
        <v>32447</v>
      </c>
      <c r="CW21" s="67">
        <f t="shared" si="48"/>
        <v>27</v>
      </c>
      <c r="CX21" s="58">
        <v>6090.2</v>
      </c>
      <c r="CY21" s="67">
        <f t="shared" si="49"/>
        <v>12.099999999999454</v>
      </c>
    </row>
    <row r="22" spans="1:103" ht="25.5" customHeight="1" thickBot="1" x14ac:dyDescent="0.45">
      <c r="A22" s="63">
        <v>44976</v>
      </c>
      <c r="B22" s="44"/>
      <c r="C22" s="58">
        <v>3.9098999999999999</v>
      </c>
      <c r="D22" s="64">
        <f t="shared" si="1"/>
        <v>1900.0000000000127</v>
      </c>
      <c r="E22" s="58">
        <v>5.1919000000000004</v>
      </c>
      <c r="F22" s="64">
        <f t="shared" si="2"/>
        <v>3200.0000000005357</v>
      </c>
      <c r="G22" s="58">
        <v>5.2275</v>
      </c>
      <c r="H22" s="64">
        <f t="shared" si="3"/>
        <v>3700.0000000002588</v>
      </c>
      <c r="I22" s="58">
        <v>2.5783999999999998</v>
      </c>
      <c r="J22" s="64">
        <f t="shared" si="4"/>
        <v>1499.9999999996128</v>
      </c>
      <c r="K22" s="58">
        <v>3.9495</v>
      </c>
      <c r="L22" s="64">
        <f t="shared" si="5"/>
        <v>1900.0000000000127</v>
      </c>
      <c r="M22" s="58">
        <v>2.3902999999999999</v>
      </c>
      <c r="N22" s="64">
        <f t="shared" si="6"/>
        <v>999.99999999988984</v>
      </c>
      <c r="O22" s="58">
        <v>29144</v>
      </c>
      <c r="P22" s="67">
        <f t="shared" si="7"/>
        <v>22</v>
      </c>
      <c r="Q22" s="58">
        <v>3658</v>
      </c>
      <c r="R22" s="67">
        <f t="shared" si="8"/>
        <v>4</v>
      </c>
      <c r="S22" s="58">
        <v>1696.8</v>
      </c>
      <c r="T22" s="67">
        <f t="shared" si="50"/>
        <v>1200.0000000000455</v>
      </c>
      <c r="U22" s="58">
        <v>669361.9</v>
      </c>
      <c r="V22" s="67">
        <f t="shared" si="9"/>
        <v>388.20000000006985</v>
      </c>
      <c r="W22" s="58">
        <v>601.76</v>
      </c>
      <c r="X22" s="65">
        <f t="shared" si="10"/>
        <v>279.99999999997272</v>
      </c>
      <c r="Y22" s="58">
        <v>4.5811999999999999</v>
      </c>
      <c r="Z22" s="65">
        <f t="shared" si="11"/>
        <v>2600.0000000001578</v>
      </c>
      <c r="AA22" s="58">
        <v>608.59</v>
      </c>
      <c r="AB22" s="65">
        <f t="shared" si="12"/>
        <v>200.00000000004547</v>
      </c>
      <c r="AC22" s="58">
        <v>614.97</v>
      </c>
      <c r="AD22" s="65">
        <f t="shared" si="13"/>
        <v>279.99999999997272</v>
      </c>
      <c r="AE22" s="58">
        <v>980.17</v>
      </c>
      <c r="AF22" s="65">
        <f t="shared" si="14"/>
        <v>319.99999999993634</v>
      </c>
      <c r="AG22" s="58">
        <v>27672</v>
      </c>
      <c r="AH22" s="67">
        <f t="shared" si="15"/>
        <v>36</v>
      </c>
      <c r="AI22" s="58">
        <v>1.0448999999999999</v>
      </c>
      <c r="AJ22" s="65">
        <f t="shared" si="16"/>
        <v>599.99999999993395</v>
      </c>
      <c r="AK22" s="58">
        <v>345.4</v>
      </c>
      <c r="AL22" s="65">
        <f t="shared" si="17"/>
        <v>169.99999999995907</v>
      </c>
      <c r="AM22" s="58">
        <v>316.77999999999997</v>
      </c>
      <c r="AN22" s="65">
        <f t="shared" si="18"/>
        <v>149.99999999997726</v>
      </c>
      <c r="AO22" s="58">
        <v>305.7</v>
      </c>
      <c r="AP22" s="65">
        <f t="shared" si="19"/>
        <v>89.999999999974989</v>
      </c>
      <c r="AQ22" s="58">
        <v>358.81</v>
      </c>
      <c r="AR22" s="65">
        <f t="shared" si="20"/>
        <v>40.000000000020464</v>
      </c>
      <c r="AS22" s="58">
        <v>484.74</v>
      </c>
      <c r="AT22" s="65">
        <f t="shared" si="21"/>
        <v>69.999999999993179</v>
      </c>
      <c r="AU22" s="58">
        <v>388.02</v>
      </c>
      <c r="AV22" s="65">
        <f t="shared" si="22"/>
        <v>29.999999999972715</v>
      </c>
      <c r="AW22" s="58">
        <v>415.79</v>
      </c>
      <c r="AX22" s="65">
        <f t="shared" si="23"/>
        <v>60.000000000002274</v>
      </c>
      <c r="AY22" s="58">
        <v>450.93</v>
      </c>
      <c r="AZ22" s="65">
        <f t="shared" si="24"/>
        <v>50.000000000011369</v>
      </c>
      <c r="BA22" s="58">
        <v>468.38</v>
      </c>
      <c r="BB22" s="65">
        <f t="shared" si="25"/>
        <v>69.999999999993179</v>
      </c>
      <c r="BC22" s="58">
        <v>301.32</v>
      </c>
      <c r="BD22" s="65">
        <f t="shared" si="26"/>
        <v>79.999999999984084</v>
      </c>
      <c r="BE22" s="59">
        <v>62273</v>
      </c>
      <c r="BF22" s="67">
        <f t="shared" si="27"/>
        <v>38</v>
      </c>
      <c r="BG22" s="60">
        <v>258.8</v>
      </c>
      <c r="BH22" s="65">
        <f t="shared" si="28"/>
        <v>30.000000000029559</v>
      </c>
      <c r="BI22" s="60">
        <v>312.83</v>
      </c>
      <c r="BJ22" s="65">
        <f t="shared" si="29"/>
        <v>39.99999999996362</v>
      </c>
      <c r="BK22" s="60">
        <v>265.5</v>
      </c>
      <c r="BL22" s="65">
        <f t="shared" si="30"/>
        <v>50.000000000011369</v>
      </c>
      <c r="BM22" s="60">
        <v>248.78</v>
      </c>
      <c r="BN22" s="65">
        <f t="shared" si="31"/>
        <v>50.000000000011369</v>
      </c>
      <c r="BO22" s="60">
        <v>317.04000000000002</v>
      </c>
      <c r="BP22" s="65">
        <f t="shared" si="32"/>
        <v>40.000000000020464</v>
      </c>
      <c r="BQ22" s="60">
        <v>67101</v>
      </c>
      <c r="BR22" s="65">
        <f t="shared" si="33"/>
        <v>38</v>
      </c>
      <c r="BS22" s="60">
        <v>227.16</v>
      </c>
      <c r="BT22" s="65">
        <f t="shared" si="34"/>
        <v>49.999999999982947</v>
      </c>
      <c r="BU22" s="60">
        <v>64381</v>
      </c>
      <c r="BV22" s="65">
        <f t="shared" si="35"/>
        <v>29</v>
      </c>
      <c r="BW22" s="60">
        <v>255.21</v>
      </c>
      <c r="BX22" s="65">
        <f t="shared" si="36"/>
        <v>50.000000000011369</v>
      </c>
      <c r="BY22" s="60">
        <v>86511</v>
      </c>
      <c r="BZ22" s="67">
        <f t="shared" si="37"/>
        <v>55</v>
      </c>
      <c r="CA22" s="60">
        <v>64272.5</v>
      </c>
      <c r="CB22" s="67">
        <f t="shared" si="38"/>
        <v>76.400000000001455</v>
      </c>
      <c r="CC22" s="60">
        <v>19060.8</v>
      </c>
      <c r="CD22" s="67">
        <f t="shared" si="39"/>
        <v>9.7000000000007276</v>
      </c>
      <c r="CE22" s="60">
        <v>9125.7000000000007</v>
      </c>
      <c r="CF22" s="67">
        <f t="shared" si="40"/>
        <v>0.90000000000145519</v>
      </c>
      <c r="CG22" s="60">
        <v>87546.8</v>
      </c>
      <c r="CH22" s="67">
        <f t="shared" si="41"/>
        <v>44.900000000008731</v>
      </c>
      <c r="CI22" s="60">
        <v>1130048</v>
      </c>
      <c r="CJ22" s="67">
        <f t="shared" si="42"/>
        <v>310</v>
      </c>
      <c r="CK22" s="60">
        <v>1244.9000000000001</v>
      </c>
      <c r="CL22" s="64">
        <f t="shared" si="43"/>
        <v>900.00000000009095</v>
      </c>
      <c r="CM22" s="65">
        <f t="shared" si="44"/>
        <v>110</v>
      </c>
      <c r="CN22" s="62">
        <v>24</v>
      </c>
      <c r="CO22" s="62">
        <v>61</v>
      </c>
      <c r="CP22" s="68">
        <v>55027</v>
      </c>
      <c r="CQ22" s="67">
        <f t="shared" si="45"/>
        <v>70</v>
      </c>
      <c r="CR22" s="68">
        <v>28452</v>
      </c>
      <c r="CS22" s="67">
        <f t="shared" si="46"/>
        <v>40</v>
      </c>
      <c r="CT22" s="75">
        <v>13488</v>
      </c>
      <c r="CU22" s="67">
        <f t="shared" si="47"/>
        <v>16</v>
      </c>
      <c r="CV22" s="68">
        <v>32465</v>
      </c>
      <c r="CW22" s="67">
        <f t="shared" si="48"/>
        <v>18</v>
      </c>
      <c r="CX22" s="58">
        <v>6097.3</v>
      </c>
      <c r="CY22" s="67">
        <f t="shared" si="49"/>
        <v>7.1000000000003638</v>
      </c>
    </row>
    <row r="23" spans="1:103" ht="25.5" customHeight="1" thickBot="1" x14ac:dyDescent="0.45">
      <c r="A23" s="63">
        <v>44977</v>
      </c>
      <c r="B23" s="44"/>
      <c r="C23" s="58">
        <v>3.9117999999999999</v>
      </c>
      <c r="D23" s="64">
        <f t="shared" si="1"/>
        <v>1900.0000000000127</v>
      </c>
      <c r="E23" s="58">
        <v>5.1947999999999999</v>
      </c>
      <c r="F23" s="64">
        <f t="shared" si="2"/>
        <v>2899.9999999994584</v>
      </c>
      <c r="G23" s="58">
        <v>5.2309999999999999</v>
      </c>
      <c r="H23" s="64">
        <f t="shared" si="3"/>
        <v>3499.9999999998367</v>
      </c>
      <c r="I23" s="58">
        <v>2.5798999999999999</v>
      </c>
      <c r="J23" s="64">
        <f t="shared" si="4"/>
        <v>1500.0000000000568</v>
      </c>
      <c r="K23" s="58">
        <v>3.9514999999999998</v>
      </c>
      <c r="L23" s="64">
        <f t="shared" si="5"/>
        <v>1999.9999999997797</v>
      </c>
      <c r="M23" s="58">
        <v>2.3915000000000002</v>
      </c>
      <c r="N23" s="64">
        <f t="shared" si="6"/>
        <v>1200.000000000312</v>
      </c>
      <c r="O23" s="58">
        <v>29161</v>
      </c>
      <c r="P23" s="67">
        <f t="shared" si="7"/>
        <v>17</v>
      </c>
      <c r="Q23" s="58">
        <v>3661</v>
      </c>
      <c r="R23" s="67">
        <f t="shared" si="8"/>
        <v>3</v>
      </c>
      <c r="S23" s="58">
        <v>1698</v>
      </c>
      <c r="T23" s="67">
        <f t="shared" si="50"/>
        <v>1200.0000000000455</v>
      </c>
      <c r="U23" s="58">
        <v>669801.9</v>
      </c>
      <c r="V23" s="67">
        <f t="shared" si="9"/>
        <v>440</v>
      </c>
      <c r="W23" s="58">
        <v>602.07000000000005</v>
      </c>
      <c r="X23" s="65">
        <f t="shared" si="10"/>
        <v>310.00000000005912</v>
      </c>
      <c r="Y23" s="58">
        <v>4.5837000000000003</v>
      </c>
      <c r="Z23" s="65">
        <f t="shared" si="11"/>
        <v>2500.0000000003906</v>
      </c>
      <c r="AA23" s="58">
        <v>608.95000000000005</v>
      </c>
      <c r="AB23" s="65">
        <f t="shared" si="12"/>
        <v>360.00000000001364</v>
      </c>
      <c r="AC23" s="58">
        <v>615.27</v>
      </c>
      <c r="AD23" s="65">
        <f t="shared" si="13"/>
        <v>299.99999999995453</v>
      </c>
      <c r="AE23" s="58">
        <v>980.56</v>
      </c>
      <c r="AF23" s="65">
        <f t="shared" si="14"/>
        <v>389.99999999998636</v>
      </c>
      <c r="AG23" s="58">
        <v>27704</v>
      </c>
      <c r="AH23" s="67">
        <f t="shared" si="15"/>
        <v>32</v>
      </c>
      <c r="AI23" s="58">
        <v>1.0455000000000001</v>
      </c>
      <c r="AJ23" s="65">
        <f t="shared" si="16"/>
        <v>600.00000000015598</v>
      </c>
      <c r="AK23" s="58">
        <v>345.61</v>
      </c>
      <c r="AL23" s="65">
        <f t="shared" si="17"/>
        <v>210.00000000003638</v>
      </c>
      <c r="AM23" s="58">
        <v>316.95</v>
      </c>
      <c r="AN23" s="65">
        <f t="shared" si="18"/>
        <v>170.00000000001592</v>
      </c>
      <c r="AO23" s="58">
        <v>305.77999999999997</v>
      </c>
      <c r="AP23" s="65">
        <f t="shared" si="19"/>
        <v>79.999999999984084</v>
      </c>
      <c r="AQ23" s="58">
        <v>358.88</v>
      </c>
      <c r="AR23" s="65">
        <f t="shared" si="20"/>
        <v>69.999999999993179</v>
      </c>
      <c r="AS23" s="58">
        <v>484.83</v>
      </c>
      <c r="AT23" s="65">
        <f t="shared" si="21"/>
        <v>89.999999999974989</v>
      </c>
      <c r="AU23" s="58">
        <v>388.06</v>
      </c>
      <c r="AV23" s="65">
        <f t="shared" si="22"/>
        <v>40.000000000020464</v>
      </c>
      <c r="AW23" s="58">
        <v>415.87</v>
      </c>
      <c r="AX23" s="65">
        <f t="shared" si="23"/>
        <v>79.999999999984084</v>
      </c>
      <c r="AY23" s="58">
        <v>451.03</v>
      </c>
      <c r="AZ23" s="65">
        <f t="shared" si="24"/>
        <v>99.999999999965894</v>
      </c>
      <c r="BA23" s="58">
        <v>468.48</v>
      </c>
      <c r="BB23" s="65">
        <f t="shared" si="25"/>
        <v>100.00000000002274</v>
      </c>
      <c r="BC23" s="58">
        <v>301.39</v>
      </c>
      <c r="BD23" s="65">
        <f t="shared" si="26"/>
        <v>69.999999999993179</v>
      </c>
      <c r="BE23" s="59">
        <v>62312</v>
      </c>
      <c r="BF23" s="67">
        <f t="shared" si="27"/>
        <v>39</v>
      </c>
      <c r="BG23" s="60">
        <v>258.83</v>
      </c>
      <c r="BH23" s="65">
        <f t="shared" si="28"/>
        <v>29.999999999972715</v>
      </c>
      <c r="BI23" s="60">
        <v>312.87</v>
      </c>
      <c r="BJ23" s="65">
        <f t="shared" si="29"/>
        <v>40.000000000020464</v>
      </c>
      <c r="BK23" s="60">
        <v>265.55</v>
      </c>
      <c r="BL23" s="65">
        <f t="shared" si="30"/>
        <v>50.000000000011369</v>
      </c>
      <c r="BM23" s="60">
        <v>248.81</v>
      </c>
      <c r="BN23" s="65">
        <f t="shared" si="31"/>
        <v>30.000000000001137</v>
      </c>
      <c r="BO23" s="60">
        <v>317.07</v>
      </c>
      <c r="BP23" s="65">
        <f t="shared" si="32"/>
        <v>29.999999999972715</v>
      </c>
      <c r="BQ23" s="60">
        <v>67135</v>
      </c>
      <c r="BR23" s="65">
        <f t="shared" si="33"/>
        <v>34</v>
      </c>
      <c r="BS23" s="60">
        <v>227.21</v>
      </c>
      <c r="BT23" s="65">
        <f t="shared" si="34"/>
        <v>50.000000000011369</v>
      </c>
      <c r="BU23" s="60">
        <v>64409</v>
      </c>
      <c r="BV23" s="65">
        <f t="shared" si="35"/>
        <v>28</v>
      </c>
      <c r="BW23" s="60">
        <v>255.25</v>
      </c>
      <c r="BX23" s="65">
        <f t="shared" si="36"/>
        <v>39.999999999992042</v>
      </c>
      <c r="BY23" s="60">
        <v>86564</v>
      </c>
      <c r="BZ23" s="67">
        <f t="shared" si="37"/>
        <v>53</v>
      </c>
      <c r="CA23" s="60">
        <v>64340.2</v>
      </c>
      <c r="CB23" s="67">
        <f t="shared" si="38"/>
        <v>67.69999999999709</v>
      </c>
      <c r="CC23" s="60">
        <v>19073</v>
      </c>
      <c r="CD23" s="67">
        <f t="shared" si="39"/>
        <v>12.200000000000728</v>
      </c>
      <c r="CE23" s="60">
        <v>9130.2999999999993</v>
      </c>
      <c r="CF23" s="67">
        <f t="shared" si="40"/>
        <v>4.5999999999985448</v>
      </c>
      <c r="CG23" s="60">
        <v>87594.7</v>
      </c>
      <c r="CH23" s="67">
        <f t="shared" si="41"/>
        <v>47.899999999994179</v>
      </c>
      <c r="CI23" s="60">
        <v>1130355</v>
      </c>
      <c r="CJ23" s="67">
        <f t="shared" si="42"/>
        <v>307</v>
      </c>
      <c r="CK23" s="60">
        <v>1245.7</v>
      </c>
      <c r="CL23" s="64">
        <f t="shared" si="43"/>
        <v>799.99999999995453</v>
      </c>
      <c r="CM23" s="65">
        <f>CQ23+CS23</f>
        <v>114</v>
      </c>
      <c r="CN23" s="62">
        <v>23</v>
      </c>
      <c r="CO23" s="62">
        <v>56</v>
      </c>
      <c r="CP23" s="68">
        <v>55101</v>
      </c>
      <c r="CQ23" s="67">
        <f t="shared" si="45"/>
        <v>74</v>
      </c>
      <c r="CR23" s="68">
        <v>28492</v>
      </c>
      <c r="CS23" s="67">
        <f t="shared" si="46"/>
        <v>40</v>
      </c>
      <c r="CT23" s="75">
        <v>13506</v>
      </c>
      <c r="CU23" s="67">
        <f t="shared" si="47"/>
        <v>18</v>
      </c>
      <c r="CV23" s="68">
        <v>32489</v>
      </c>
      <c r="CW23" s="67">
        <f t="shared" si="48"/>
        <v>24</v>
      </c>
      <c r="CX23" s="58">
        <v>6106.4</v>
      </c>
      <c r="CY23" s="67">
        <f t="shared" si="49"/>
        <v>9.0999999999994543</v>
      </c>
    </row>
    <row r="24" spans="1:103" ht="25.5" customHeight="1" thickBot="1" x14ac:dyDescent="0.45">
      <c r="A24" s="63">
        <v>44978</v>
      </c>
      <c r="B24" s="44"/>
      <c r="C24" s="58">
        <v>3.9137</v>
      </c>
      <c r="D24" s="64">
        <f t="shared" si="1"/>
        <v>1900.0000000000127</v>
      </c>
      <c r="E24" s="58">
        <v>5.1977000000000002</v>
      </c>
      <c r="F24" s="64">
        <f t="shared" si="2"/>
        <v>2900.0000000003465</v>
      </c>
      <c r="G24" s="58">
        <v>5.2348999999999997</v>
      </c>
      <c r="H24" s="64">
        <f t="shared" si="3"/>
        <v>3899.9999999997926</v>
      </c>
      <c r="I24" s="58">
        <v>2.5817999999999999</v>
      </c>
      <c r="J24" s="64">
        <f t="shared" si="4"/>
        <v>1900.0000000000127</v>
      </c>
      <c r="K24" s="58">
        <v>3.9535</v>
      </c>
      <c r="L24" s="64">
        <f t="shared" si="5"/>
        <v>2000.0000000002237</v>
      </c>
      <c r="M24" s="58">
        <v>2.3925000000000001</v>
      </c>
      <c r="N24" s="64">
        <f t="shared" si="6"/>
        <v>999.99999999988984</v>
      </c>
      <c r="O24" s="58">
        <v>29178</v>
      </c>
      <c r="P24" s="67">
        <f t="shared" si="7"/>
        <v>17</v>
      </c>
      <c r="Q24" s="58">
        <v>3665</v>
      </c>
      <c r="R24" s="67">
        <f t="shared" si="8"/>
        <v>4</v>
      </c>
      <c r="S24" s="58">
        <v>1699.4</v>
      </c>
      <c r="T24" s="67">
        <f t="shared" si="50"/>
        <v>1400.0000000000909</v>
      </c>
      <c r="U24" s="58">
        <v>670393.9</v>
      </c>
      <c r="V24" s="67">
        <f t="shared" si="9"/>
        <v>592</v>
      </c>
      <c r="W24" s="58">
        <v>602.4</v>
      </c>
      <c r="X24" s="65">
        <f t="shared" si="10"/>
        <v>329.99999999992724</v>
      </c>
      <c r="Y24" s="58">
        <v>4.5861999999999998</v>
      </c>
      <c r="Z24" s="65">
        <f t="shared" si="11"/>
        <v>2499.9999999995025</v>
      </c>
      <c r="AA24" s="58">
        <v>609.16</v>
      </c>
      <c r="AB24" s="65">
        <f t="shared" si="12"/>
        <v>209.99999999992269</v>
      </c>
      <c r="AC24" s="58">
        <v>615.65</v>
      </c>
      <c r="AD24" s="65">
        <f t="shared" si="13"/>
        <v>379.99999999999545</v>
      </c>
      <c r="AE24" s="58">
        <v>980.9</v>
      </c>
      <c r="AF24" s="65">
        <f t="shared" si="14"/>
        <v>340.00000000003183</v>
      </c>
      <c r="AG24" s="58">
        <v>27744</v>
      </c>
      <c r="AH24" s="67">
        <f t="shared" si="15"/>
        <v>40</v>
      </c>
      <c r="AI24" s="58">
        <v>1.0461</v>
      </c>
      <c r="AJ24" s="65">
        <f t="shared" si="16"/>
        <v>599.99999999993395</v>
      </c>
      <c r="AK24" s="58">
        <v>345.85</v>
      </c>
      <c r="AL24" s="65">
        <f t="shared" si="17"/>
        <v>240.00000000000909</v>
      </c>
      <c r="AM24" s="58">
        <v>317.12</v>
      </c>
      <c r="AN24" s="65">
        <f t="shared" si="18"/>
        <v>170.00000000001592</v>
      </c>
      <c r="AO24" s="58">
        <v>305.89</v>
      </c>
      <c r="AP24" s="65">
        <f t="shared" si="19"/>
        <v>110.00000000001364</v>
      </c>
      <c r="AQ24" s="58">
        <v>359.01</v>
      </c>
      <c r="AR24" s="65">
        <f t="shared" si="20"/>
        <v>129.99999999999545</v>
      </c>
      <c r="AS24" s="58">
        <v>484.92</v>
      </c>
      <c r="AT24" s="65">
        <f t="shared" si="21"/>
        <v>90.000000000031832</v>
      </c>
      <c r="AU24" s="58">
        <v>388.12</v>
      </c>
      <c r="AV24" s="65">
        <f t="shared" si="22"/>
        <v>60.000000000002274</v>
      </c>
      <c r="AW24" s="58">
        <v>415.93</v>
      </c>
      <c r="AX24" s="65">
        <f t="shared" si="23"/>
        <v>60.000000000002274</v>
      </c>
      <c r="AY24" s="58">
        <v>451.13</v>
      </c>
      <c r="AZ24" s="65">
        <f t="shared" si="24"/>
        <v>100.00000000002274</v>
      </c>
      <c r="BA24" s="58">
        <v>468.57</v>
      </c>
      <c r="BB24" s="65">
        <f t="shared" si="25"/>
        <v>89.999999999974989</v>
      </c>
      <c r="BC24" s="58">
        <v>301.45</v>
      </c>
      <c r="BD24" s="65">
        <f t="shared" si="26"/>
        <v>60.000000000002274</v>
      </c>
      <c r="BE24" s="59">
        <v>62353</v>
      </c>
      <c r="BF24" s="67">
        <f t="shared" si="27"/>
        <v>41</v>
      </c>
      <c r="BG24" s="60">
        <v>258.87</v>
      </c>
      <c r="BH24" s="65">
        <f t="shared" si="28"/>
        <v>40.000000000020464</v>
      </c>
      <c r="BI24" s="60">
        <v>312.91000000000003</v>
      </c>
      <c r="BJ24" s="65">
        <f t="shared" si="29"/>
        <v>40.000000000020464</v>
      </c>
      <c r="BK24" s="60">
        <v>265.60000000000002</v>
      </c>
      <c r="BL24" s="65">
        <f t="shared" si="30"/>
        <v>50.000000000011369</v>
      </c>
      <c r="BM24" s="60">
        <v>248.86</v>
      </c>
      <c r="BN24" s="65">
        <f t="shared" si="31"/>
        <v>50.000000000011369</v>
      </c>
      <c r="BO24" s="60">
        <v>317.11</v>
      </c>
      <c r="BP24" s="65">
        <f t="shared" si="32"/>
        <v>40.000000000020464</v>
      </c>
      <c r="BQ24" s="60">
        <v>67175</v>
      </c>
      <c r="BR24" s="65">
        <f t="shared" si="33"/>
        <v>40</v>
      </c>
      <c r="BS24" s="60">
        <v>227.26</v>
      </c>
      <c r="BT24" s="65">
        <f t="shared" si="34"/>
        <v>49.999999999982947</v>
      </c>
      <c r="BU24" s="60">
        <v>64443</v>
      </c>
      <c r="BV24" s="65">
        <f t="shared" si="35"/>
        <v>34</v>
      </c>
      <c r="BW24" s="60">
        <v>255.3</v>
      </c>
      <c r="BX24" s="65">
        <f t="shared" si="36"/>
        <v>50.000000000011369</v>
      </c>
      <c r="BY24" s="60">
        <v>86616</v>
      </c>
      <c r="BZ24" s="67">
        <f t="shared" si="37"/>
        <v>52</v>
      </c>
      <c r="CA24" s="60">
        <v>64400.5</v>
      </c>
      <c r="CB24" s="67">
        <f t="shared" si="38"/>
        <v>60.30000000000291</v>
      </c>
      <c r="CC24" s="60">
        <v>19096</v>
      </c>
      <c r="CD24" s="67">
        <f t="shared" si="39"/>
        <v>23</v>
      </c>
      <c r="CE24" s="60">
        <v>9131.9</v>
      </c>
      <c r="CF24" s="67">
        <f t="shared" si="40"/>
        <v>1.6000000000003638</v>
      </c>
      <c r="CG24" s="60">
        <v>87639.2</v>
      </c>
      <c r="CH24" s="67">
        <f t="shared" si="41"/>
        <v>44.5</v>
      </c>
      <c r="CI24" s="60">
        <v>1130675</v>
      </c>
      <c r="CJ24" s="67">
        <f t="shared" si="42"/>
        <v>320</v>
      </c>
      <c r="CK24" s="60">
        <v>1246.5999999999999</v>
      </c>
      <c r="CL24" s="64">
        <f t="shared" si="43"/>
        <v>899.99999999986358</v>
      </c>
      <c r="CM24" s="65">
        <f t="shared" si="44"/>
        <v>108.40000000000146</v>
      </c>
      <c r="CN24" s="62">
        <v>27</v>
      </c>
      <c r="CO24" s="62">
        <v>63</v>
      </c>
      <c r="CP24" s="68">
        <v>55176</v>
      </c>
      <c r="CQ24" s="67">
        <f t="shared" si="45"/>
        <v>75</v>
      </c>
      <c r="CR24" s="68">
        <v>28525.4</v>
      </c>
      <c r="CS24" s="67">
        <f t="shared" si="46"/>
        <v>33.400000000001455</v>
      </c>
      <c r="CT24" s="75">
        <v>13526</v>
      </c>
      <c r="CU24" s="67">
        <f t="shared" si="47"/>
        <v>20</v>
      </c>
      <c r="CV24" s="68">
        <v>32513</v>
      </c>
      <c r="CW24" s="67">
        <f t="shared" si="48"/>
        <v>24</v>
      </c>
      <c r="CX24" s="58">
        <v>6117.7</v>
      </c>
      <c r="CY24" s="67">
        <f t="shared" si="49"/>
        <v>11.300000000000182</v>
      </c>
    </row>
    <row r="25" spans="1:103" ht="25.5" customHeight="1" thickBot="1" x14ac:dyDescent="0.45">
      <c r="A25" s="63">
        <v>44979</v>
      </c>
      <c r="B25" s="44"/>
      <c r="C25" s="58">
        <v>3.9155000000000002</v>
      </c>
      <c r="D25" s="64">
        <f t="shared" si="1"/>
        <v>1800.0000000002458</v>
      </c>
      <c r="E25" s="58">
        <v>5.2007000000000003</v>
      </c>
      <c r="F25" s="64">
        <f t="shared" si="2"/>
        <v>3000.0000000001137</v>
      </c>
      <c r="G25" s="58">
        <v>5.2385999999999999</v>
      </c>
      <c r="H25" s="64">
        <f t="shared" si="3"/>
        <v>3700.0000000002588</v>
      </c>
      <c r="I25" s="58">
        <v>2.5831</v>
      </c>
      <c r="J25" s="64">
        <f t="shared" si="4"/>
        <v>1300.0000000000789</v>
      </c>
      <c r="K25" s="58">
        <v>3.9556</v>
      </c>
      <c r="L25" s="64">
        <f t="shared" si="5"/>
        <v>2099.9999999999909</v>
      </c>
      <c r="M25" s="58">
        <v>2.3936999999999999</v>
      </c>
      <c r="N25" s="64">
        <f t="shared" si="6"/>
        <v>1199.9999999998679</v>
      </c>
      <c r="O25" s="58">
        <v>29194</v>
      </c>
      <c r="P25" s="67">
        <f t="shared" si="7"/>
        <v>16</v>
      </c>
      <c r="Q25" s="58">
        <v>3668</v>
      </c>
      <c r="R25" s="67">
        <f t="shared" si="8"/>
        <v>3</v>
      </c>
      <c r="S25" s="58">
        <v>1700.5</v>
      </c>
      <c r="T25" s="67">
        <f t="shared" si="50"/>
        <v>1099.9999999999091</v>
      </c>
      <c r="U25" s="58">
        <v>670773.4</v>
      </c>
      <c r="V25" s="67">
        <f t="shared" si="9"/>
        <v>379.5</v>
      </c>
      <c r="W25" s="58">
        <v>602.76</v>
      </c>
      <c r="X25" s="65">
        <f t="shared" si="10"/>
        <v>360.00000000001364</v>
      </c>
      <c r="Y25" s="58">
        <v>4.5888999999999998</v>
      </c>
      <c r="Z25" s="65">
        <f t="shared" si="11"/>
        <v>2699.9999999999245</v>
      </c>
      <c r="AA25" s="58">
        <v>609.53</v>
      </c>
      <c r="AB25" s="65">
        <f t="shared" si="12"/>
        <v>370.00000000000455</v>
      </c>
      <c r="AC25" s="58">
        <v>615.98</v>
      </c>
      <c r="AD25" s="65">
        <f t="shared" si="13"/>
        <v>330.00000000004093</v>
      </c>
      <c r="AE25" s="58">
        <v>981.28</v>
      </c>
      <c r="AF25" s="65">
        <f t="shared" si="14"/>
        <v>379.99999999999545</v>
      </c>
      <c r="AG25" s="58">
        <v>27788</v>
      </c>
      <c r="AH25" s="67">
        <f t="shared" si="15"/>
        <v>44</v>
      </c>
      <c r="AI25" s="58">
        <v>1.0467</v>
      </c>
      <c r="AJ25" s="65">
        <f t="shared" si="16"/>
        <v>599.99999999993395</v>
      </c>
      <c r="AK25" s="58">
        <v>346.04</v>
      </c>
      <c r="AL25" s="65">
        <f t="shared" si="17"/>
        <v>189.99999999999773</v>
      </c>
      <c r="AM25" s="58">
        <v>317.33999999999997</v>
      </c>
      <c r="AN25" s="65">
        <f t="shared" si="18"/>
        <v>219.99999999997044</v>
      </c>
      <c r="AO25" s="58">
        <v>306</v>
      </c>
      <c r="AP25" s="65">
        <f t="shared" si="19"/>
        <v>110.00000000001364</v>
      </c>
      <c r="AQ25" s="58">
        <v>359.16</v>
      </c>
      <c r="AR25" s="65">
        <f t="shared" si="20"/>
        <v>150.00000000003411</v>
      </c>
      <c r="AS25" s="58">
        <v>485</v>
      </c>
      <c r="AT25" s="65">
        <f t="shared" si="21"/>
        <v>79.999999999984084</v>
      </c>
      <c r="AU25" s="58">
        <v>388.17</v>
      </c>
      <c r="AV25" s="65">
        <f t="shared" si="22"/>
        <v>50.000000000011369</v>
      </c>
      <c r="AW25" s="58">
        <v>415.99</v>
      </c>
      <c r="AX25" s="65">
        <f t="shared" si="23"/>
        <v>60.000000000002274</v>
      </c>
      <c r="AY25" s="58">
        <v>451.18</v>
      </c>
      <c r="AZ25" s="65">
        <f t="shared" si="24"/>
        <v>50.000000000011369</v>
      </c>
      <c r="BA25" s="58">
        <v>468.63</v>
      </c>
      <c r="BB25" s="65">
        <f t="shared" si="25"/>
        <v>60.000000000002274</v>
      </c>
      <c r="BC25" s="58">
        <v>301.47000000000003</v>
      </c>
      <c r="BD25" s="65">
        <f t="shared" si="26"/>
        <v>20.000000000038654</v>
      </c>
      <c r="BE25" s="59">
        <v>62391</v>
      </c>
      <c r="BF25" s="67">
        <f t="shared" si="27"/>
        <v>38</v>
      </c>
      <c r="BG25" s="60">
        <v>258.91000000000003</v>
      </c>
      <c r="BH25" s="65">
        <f t="shared" si="28"/>
        <v>40.000000000020464</v>
      </c>
      <c r="BI25" s="60">
        <v>312.94</v>
      </c>
      <c r="BJ25" s="65">
        <f t="shared" si="29"/>
        <v>29.999999999972715</v>
      </c>
      <c r="BK25" s="60">
        <v>265.64999999999998</v>
      </c>
      <c r="BL25" s="65">
        <f t="shared" si="30"/>
        <v>49.999999999954525</v>
      </c>
      <c r="BM25" s="60">
        <v>248.9</v>
      </c>
      <c r="BN25" s="65">
        <f t="shared" si="31"/>
        <v>39.999999999992042</v>
      </c>
      <c r="BO25" s="60">
        <v>317.14</v>
      </c>
      <c r="BP25" s="65">
        <f t="shared" si="32"/>
        <v>29.999999999972715</v>
      </c>
      <c r="BQ25" s="60">
        <v>67214</v>
      </c>
      <c r="BR25" s="65">
        <f t="shared" si="33"/>
        <v>39</v>
      </c>
      <c r="BS25" s="60">
        <v>227.32</v>
      </c>
      <c r="BT25" s="65">
        <f t="shared" si="34"/>
        <v>60.000000000002274</v>
      </c>
      <c r="BU25" s="60">
        <v>64472</v>
      </c>
      <c r="BV25" s="65">
        <f t="shared" si="35"/>
        <v>29</v>
      </c>
      <c r="BW25" s="60">
        <v>255.34</v>
      </c>
      <c r="BX25" s="65">
        <f t="shared" si="36"/>
        <v>39.999999999992042</v>
      </c>
      <c r="BY25" s="60">
        <v>86667</v>
      </c>
      <c r="BZ25" s="67">
        <f t="shared" si="37"/>
        <v>51</v>
      </c>
      <c r="CA25" s="60">
        <v>64471.5</v>
      </c>
      <c r="CB25" s="67">
        <f t="shared" si="38"/>
        <v>71</v>
      </c>
      <c r="CC25" s="60">
        <v>19104</v>
      </c>
      <c r="CD25" s="67">
        <f t="shared" si="39"/>
        <v>8</v>
      </c>
      <c r="CE25" s="60">
        <v>9135.5</v>
      </c>
      <c r="CF25" s="67">
        <f t="shared" si="40"/>
        <v>3.6000000000003638</v>
      </c>
      <c r="CG25" s="60">
        <v>87677.1</v>
      </c>
      <c r="CH25" s="67">
        <f t="shared" si="41"/>
        <v>37.900000000008731</v>
      </c>
      <c r="CI25" s="60">
        <v>1130987</v>
      </c>
      <c r="CJ25" s="67">
        <f t="shared" si="42"/>
        <v>312</v>
      </c>
      <c r="CK25" s="60">
        <v>1247.5</v>
      </c>
      <c r="CL25" s="64">
        <f t="shared" si="43"/>
        <v>900.00000000009095</v>
      </c>
      <c r="CM25" s="65">
        <f t="shared" si="44"/>
        <v>111.79999999999927</v>
      </c>
      <c r="CN25" s="62">
        <v>25</v>
      </c>
      <c r="CO25" s="62">
        <v>63</v>
      </c>
      <c r="CP25" s="68">
        <v>55254</v>
      </c>
      <c r="CQ25" s="67">
        <f t="shared" si="45"/>
        <v>78</v>
      </c>
      <c r="CR25" s="68">
        <v>28559.200000000001</v>
      </c>
      <c r="CS25" s="67">
        <f t="shared" si="46"/>
        <v>33.799999999999272</v>
      </c>
      <c r="CT25" s="75">
        <v>13543</v>
      </c>
      <c r="CU25" s="67">
        <f t="shared" si="47"/>
        <v>17</v>
      </c>
      <c r="CV25" s="68">
        <v>32538</v>
      </c>
      <c r="CW25" s="67">
        <f t="shared" si="48"/>
        <v>25</v>
      </c>
      <c r="CX25" s="58">
        <v>6126.9</v>
      </c>
      <c r="CY25" s="67">
        <f t="shared" si="49"/>
        <v>9.1999999999998181</v>
      </c>
    </row>
    <row r="26" spans="1:103" ht="25.5" customHeight="1" thickBot="1" x14ac:dyDescent="0.45">
      <c r="A26" s="63">
        <v>44980</v>
      </c>
      <c r="B26" s="44"/>
      <c r="C26" s="58"/>
      <c r="D26" s="64" t="str">
        <f t="shared" si="1"/>
        <v>0</v>
      </c>
      <c r="E26" s="58"/>
      <c r="F26" s="64" t="str">
        <f t="shared" si="2"/>
        <v>0</v>
      </c>
      <c r="G26" s="58"/>
      <c r="H26" s="64" t="str">
        <f t="shared" si="3"/>
        <v>0</v>
      </c>
      <c r="I26" s="58"/>
      <c r="J26" s="64" t="str">
        <f t="shared" si="4"/>
        <v>0</v>
      </c>
      <c r="K26" s="58"/>
      <c r="L26" s="64" t="str">
        <f t="shared" si="5"/>
        <v>0</v>
      </c>
      <c r="M26" s="58"/>
      <c r="N26" s="64" t="str">
        <f t="shared" si="6"/>
        <v/>
      </c>
      <c r="O26" s="58"/>
      <c r="P26" s="67" t="str">
        <f t="shared" si="7"/>
        <v/>
      </c>
      <c r="Q26" s="58"/>
      <c r="R26" s="67" t="str">
        <f t="shared" si="8"/>
        <v/>
      </c>
      <c r="S26" s="58"/>
      <c r="T26" s="67" t="e">
        <f t="shared" si="50"/>
        <v>#VALUE!</v>
      </c>
      <c r="U26" s="58"/>
      <c r="V26" s="67" t="str">
        <f t="shared" si="9"/>
        <v/>
      </c>
      <c r="W26" s="58"/>
      <c r="X26" s="65" t="str">
        <f t="shared" si="10"/>
        <v/>
      </c>
      <c r="Y26" s="58"/>
      <c r="Z26" s="65" t="str">
        <f t="shared" si="11"/>
        <v/>
      </c>
      <c r="AA26" s="58"/>
      <c r="AB26" s="65" t="str">
        <f t="shared" si="12"/>
        <v/>
      </c>
      <c r="AC26" s="58"/>
      <c r="AD26" s="65" t="str">
        <f t="shared" si="13"/>
        <v/>
      </c>
      <c r="AE26" s="58"/>
      <c r="AF26" s="65" t="str">
        <f t="shared" si="14"/>
        <v/>
      </c>
      <c r="AG26" s="58"/>
      <c r="AH26" s="67" t="str">
        <f t="shared" si="15"/>
        <v/>
      </c>
      <c r="AI26" s="58"/>
      <c r="AJ26" s="65" t="str">
        <f t="shared" si="16"/>
        <v/>
      </c>
      <c r="AK26" s="58"/>
      <c r="AL26" s="65" t="str">
        <f t="shared" si="17"/>
        <v/>
      </c>
      <c r="AM26" s="58"/>
      <c r="AN26" s="65" t="str">
        <f t="shared" si="18"/>
        <v/>
      </c>
      <c r="AO26" s="58"/>
      <c r="AP26" s="65" t="str">
        <f t="shared" si="19"/>
        <v/>
      </c>
      <c r="AQ26" s="58"/>
      <c r="AR26" s="65" t="str">
        <f t="shared" si="20"/>
        <v/>
      </c>
      <c r="AS26" s="58"/>
      <c r="AT26" s="65" t="str">
        <f t="shared" si="21"/>
        <v/>
      </c>
      <c r="AU26" s="58"/>
      <c r="AV26" s="65" t="str">
        <f t="shared" si="22"/>
        <v/>
      </c>
      <c r="AW26" s="58"/>
      <c r="AX26" s="65" t="str">
        <f t="shared" si="23"/>
        <v/>
      </c>
      <c r="AY26" s="58"/>
      <c r="AZ26" s="65" t="str">
        <f t="shared" si="24"/>
        <v/>
      </c>
      <c r="BA26" s="58"/>
      <c r="BB26" s="65" t="str">
        <f t="shared" si="25"/>
        <v/>
      </c>
      <c r="BC26" s="58"/>
      <c r="BD26" s="65" t="str">
        <f t="shared" si="26"/>
        <v/>
      </c>
      <c r="BE26" s="59"/>
      <c r="BF26" s="67" t="str">
        <f t="shared" si="27"/>
        <v/>
      </c>
      <c r="BG26" s="60"/>
      <c r="BH26" s="65" t="str">
        <f t="shared" si="28"/>
        <v/>
      </c>
      <c r="BI26" s="60"/>
      <c r="BJ26" s="65" t="str">
        <f t="shared" si="29"/>
        <v/>
      </c>
      <c r="BK26" s="60"/>
      <c r="BL26" s="65" t="str">
        <f t="shared" si="30"/>
        <v/>
      </c>
      <c r="BM26" s="60"/>
      <c r="BN26" s="65" t="str">
        <f t="shared" si="31"/>
        <v/>
      </c>
      <c r="BO26" s="60"/>
      <c r="BP26" s="65" t="str">
        <f t="shared" si="32"/>
        <v/>
      </c>
      <c r="BQ26" s="60"/>
      <c r="BR26" s="65" t="str">
        <f t="shared" si="33"/>
        <v/>
      </c>
      <c r="BS26" s="60"/>
      <c r="BT26" s="65" t="str">
        <f t="shared" si="34"/>
        <v/>
      </c>
      <c r="BU26" s="60"/>
      <c r="BV26" s="65" t="str">
        <f t="shared" si="35"/>
        <v/>
      </c>
      <c r="BW26" s="60"/>
      <c r="BX26" s="65" t="str">
        <f t="shared" si="36"/>
        <v/>
      </c>
      <c r="BY26" s="60"/>
      <c r="BZ26" s="67" t="str">
        <f t="shared" si="37"/>
        <v/>
      </c>
      <c r="CA26" s="60"/>
      <c r="CB26" s="67" t="str">
        <f t="shared" si="38"/>
        <v/>
      </c>
      <c r="CC26" s="60"/>
      <c r="CD26" s="67" t="str">
        <f t="shared" si="39"/>
        <v/>
      </c>
      <c r="CE26" s="60"/>
      <c r="CF26" s="67" t="str">
        <f t="shared" si="40"/>
        <v/>
      </c>
      <c r="CG26" s="60"/>
      <c r="CH26" s="67" t="str">
        <f t="shared" si="41"/>
        <v/>
      </c>
      <c r="CI26" s="60"/>
      <c r="CJ26" s="67" t="str">
        <f t="shared" si="42"/>
        <v/>
      </c>
      <c r="CK26" s="60"/>
      <c r="CL26" s="64" t="str">
        <f t="shared" si="43"/>
        <v/>
      </c>
      <c r="CM26" s="65" t="e">
        <f t="shared" si="44"/>
        <v>#VALUE!</v>
      </c>
      <c r="CN26" s="62"/>
      <c r="CO26" s="62"/>
      <c r="CP26" s="68"/>
      <c r="CQ26" s="67" t="str">
        <f t="shared" si="45"/>
        <v/>
      </c>
      <c r="CR26" s="68"/>
      <c r="CS26" s="67" t="str">
        <f t="shared" si="46"/>
        <v/>
      </c>
      <c r="CT26" s="75"/>
      <c r="CU26" s="67" t="str">
        <f t="shared" si="47"/>
        <v/>
      </c>
      <c r="CV26" s="68"/>
      <c r="CW26" s="67" t="str">
        <f t="shared" si="48"/>
        <v/>
      </c>
      <c r="CX26" s="58"/>
      <c r="CY26" s="67" t="str">
        <f t="shared" si="49"/>
        <v/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C29" sqref="C29:Q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>
        <v>28</v>
      </c>
      <c r="C17" s="40">
        <v>25</v>
      </c>
      <c r="D17" s="40">
        <v>44</v>
      </c>
      <c r="E17" s="41">
        <v>85</v>
      </c>
      <c r="F17" s="41">
        <v>6834</v>
      </c>
      <c r="G17" s="41">
        <v>85</v>
      </c>
      <c r="H17" s="41">
        <v>1373</v>
      </c>
      <c r="I17" s="41">
        <v>30</v>
      </c>
      <c r="J17" s="41">
        <v>2212</v>
      </c>
      <c r="K17" s="42">
        <v>85</v>
      </c>
      <c r="L17" s="42">
        <v>65</v>
      </c>
      <c r="M17" s="42">
        <v>1914</v>
      </c>
      <c r="N17" s="39">
        <v>85</v>
      </c>
      <c r="O17" s="39">
        <v>85</v>
      </c>
      <c r="P17" s="39">
        <v>15</v>
      </c>
      <c r="Q17" s="39">
        <v>5833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44968</v>
      </c>
      <c r="B18" s="40">
        <v>28</v>
      </c>
      <c r="C18" s="40">
        <v>28</v>
      </c>
      <c r="D18" s="40">
        <v>44</v>
      </c>
      <c r="E18" s="41">
        <v>85</v>
      </c>
      <c r="F18" s="41">
        <v>6834</v>
      </c>
      <c r="G18" s="41">
        <v>85</v>
      </c>
      <c r="H18" s="41">
        <v>1376</v>
      </c>
      <c r="I18" s="41">
        <v>20</v>
      </c>
      <c r="J18" s="41">
        <v>2212</v>
      </c>
      <c r="K18" s="42">
        <v>85</v>
      </c>
      <c r="L18" s="42">
        <v>65</v>
      </c>
      <c r="M18" s="42">
        <v>1914</v>
      </c>
      <c r="N18" s="39">
        <v>85</v>
      </c>
      <c r="O18" s="39">
        <v>85</v>
      </c>
      <c r="P18" s="39">
        <v>10</v>
      </c>
      <c r="Q18" s="39">
        <v>5837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44969</v>
      </c>
      <c r="B19" s="40">
        <v>28</v>
      </c>
      <c r="C19" s="40">
        <v>28</v>
      </c>
      <c r="D19" s="40">
        <v>44</v>
      </c>
      <c r="E19" s="41">
        <v>85</v>
      </c>
      <c r="F19" s="41">
        <v>6834</v>
      </c>
      <c r="G19" s="41">
        <v>85</v>
      </c>
      <c r="H19" s="41">
        <v>1379</v>
      </c>
      <c r="I19" s="41">
        <v>10</v>
      </c>
      <c r="J19" s="41">
        <v>2212</v>
      </c>
      <c r="K19" s="42">
        <v>85</v>
      </c>
      <c r="L19" s="42">
        <v>65</v>
      </c>
      <c r="M19" s="42">
        <v>1914</v>
      </c>
      <c r="N19" s="39">
        <v>85</v>
      </c>
      <c r="O19" s="39">
        <v>85</v>
      </c>
      <c r="P19" s="39">
        <v>10</v>
      </c>
      <c r="Q19" s="39">
        <v>5839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44970</v>
      </c>
      <c r="B20" s="40">
        <v>28</v>
      </c>
      <c r="C20" s="40">
        <v>28</v>
      </c>
      <c r="D20" s="40">
        <v>55</v>
      </c>
      <c r="E20" s="41">
        <v>85</v>
      </c>
      <c r="F20" s="41">
        <v>6834</v>
      </c>
      <c r="G20" s="41">
        <v>85</v>
      </c>
      <c r="H20" s="41">
        <v>1381</v>
      </c>
      <c r="I20" s="41">
        <v>5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8</v>
      </c>
      <c r="Q20" s="39">
        <v>5841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44971</v>
      </c>
      <c r="B21" s="40"/>
      <c r="C21" s="40">
        <v>32</v>
      </c>
      <c r="D21" s="40">
        <v>66</v>
      </c>
      <c r="E21" s="41">
        <v>85</v>
      </c>
      <c r="F21" s="41">
        <v>6834</v>
      </c>
      <c r="G21" s="41">
        <v>85</v>
      </c>
      <c r="H21" s="41">
        <v>1384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5</v>
      </c>
      <c r="Q21" s="39">
        <v>5845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44972</v>
      </c>
      <c r="B22" s="40"/>
      <c r="C22" s="40">
        <v>32</v>
      </c>
      <c r="D22" s="40">
        <v>66</v>
      </c>
      <c r="E22" s="41">
        <v>85</v>
      </c>
      <c r="F22" s="41">
        <v>6834</v>
      </c>
      <c r="G22" s="41">
        <v>80</v>
      </c>
      <c r="H22" s="41">
        <v>1387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0</v>
      </c>
      <c r="Q22" s="39">
        <v>5847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44973</v>
      </c>
      <c r="B23" s="40"/>
      <c r="C23" s="40">
        <v>39</v>
      </c>
      <c r="D23" s="40">
        <v>73</v>
      </c>
      <c r="E23" s="41">
        <v>85</v>
      </c>
      <c r="F23" s="41">
        <v>6834</v>
      </c>
      <c r="G23" s="41">
        <v>65</v>
      </c>
      <c r="H23" s="41">
        <v>1390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81</v>
      </c>
      <c r="P23" s="39">
        <v>0</v>
      </c>
      <c r="Q23" s="39">
        <v>5850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44974</v>
      </c>
      <c r="B24" s="40"/>
      <c r="C24" s="40">
        <v>39</v>
      </c>
      <c r="D24" s="40">
        <v>73</v>
      </c>
      <c r="E24" s="41">
        <v>85</v>
      </c>
      <c r="F24" s="41">
        <v>6834</v>
      </c>
      <c r="G24" s="41">
        <v>50</v>
      </c>
      <c r="H24" s="41">
        <v>1393</v>
      </c>
      <c r="I24" s="41">
        <v>0</v>
      </c>
      <c r="J24" s="41">
        <v>2212</v>
      </c>
      <c r="K24" s="42">
        <v>85</v>
      </c>
      <c r="L24" s="42">
        <v>50</v>
      </c>
      <c r="M24" s="42">
        <v>1914</v>
      </c>
      <c r="N24" s="39">
        <v>85</v>
      </c>
      <c r="O24" s="39">
        <v>75</v>
      </c>
      <c r="P24" s="39">
        <v>0</v>
      </c>
      <c r="Q24" s="39">
        <v>5855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44975</v>
      </c>
      <c r="B25" s="40"/>
      <c r="C25" s="40">
        <v>30</v>
      </c>
      <c r="D25" s="40">
        <v>67</v>
      </c>
      <c r="E25" s="41">
        <v>85</v>
      </c>
      <c r="F25" s="41">
        <v>6834</v>
      </c>
      <c r="G25" s="41">
        <v>30</v>
      </c>
      <c r="H25" s="41">
        <v>1397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75</v>
      </c>
      <c r="P25" s="39">
        <v>0</v>
      </c>
      <c r="Q25" s="39">
        <v>5855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44976</v>
      </c>
      <c r="B26" s="40"/>
      <c r="C26" s="40">
        <v>24</v>
      </c>
      <c r="D26" s="40">
        <v>61</v>
      </c>
      <c r="E26" s="41">
        <v>85</v>
      </c>
      <c r="F26" s="41">
        <v>6834</v>
      </c>
      <c r="G26" s="41">
        <v>20</v>
      </c>
      <c r="H26" s="41">
        <v>1399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70</v>
      </c>
      <c r="P26" s="39">
        <v>0</v>
      </c>
      <c r="Q26" s="39">
        <v>5861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44977</v>
      </c>
      <c r="B27" s="40"/>
      <c r="C27" s="40">
        <v>23</v>
      </c>
      <c r="D27" s="40">
        <v>56</v>
      </c>
      <c r="E27" s="41">
        <v>85</v>
      </c>
      <c r="F27" s="41">
        <v>6834</v>
      </c>
      <c r="G27" s="41">
        <v>10</v>
      </c>
      <c r="H27" s="41">
        <v>1402</v>
      </c>
      <c r="I27" s="41">
        <v>0</v>
      </c>
      <c r="J27" s="41">
        <v>2212</v>
      </c>
      <c r="K27" s="42">
        <v>85</v>
      </c>
      <c r="L27" s="42">
        <v>48</v>
      </c>
      <c r="M27" s="42">
        <v>1914</v>
      </c>
      <c r="N27" s="39">
        <v>85</v>
      </c>
      <c r="O27" s="39">
        <v>68</v>
      </c>
      <c r="P27" s="39">
        <v>0</v>
      </c>
      <c r="Q27" s="39">
        <v>5863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44978</v>
      </c>
      <c r="B28" s="40"/>
      <c r="C28" s="40">
        <v>27</v>
      </c>
      <c r="D28" s="40">
        <v>63</v>
      </c>
      <c r="E28" s="41">
        <v>85</v>
      </c>
      <c r="F28" s="41">
        <v>6834</v>
      </c>
      <c r="G28" s="41">
        <v>5</v>
      </c>
      <c r="H28" s="41">
        <v>1404</v>
      </c>
      <c r="I28" s="41">
        <v>0</v>
      </c>
      <c r="J28" s="41">
        <v>2212</v>
      </c>
      <c r="K28" s="42">
        <v>85</v>
      </c>
      <c r="L28" s="42">
        <v>45</v>
      </c>
      <c r="M28" s="42">
        <v>1914</v>
      </c>
      <c r="N28" s="39">
        <v>85</v>
      </c>
      <c r="O28" s="39">
        <v>65</v>
      </c>
      <c r="P28" s="39">
        <v>0</v>
      </c>
      <c r="Q28" s="39">
        <v>5866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44979</v>
      </c>
      <c r="B29" s="40"/>
      <c r="C29" s="40">
        <v>25</v>
      </c>
      <c r="D29" s="40">
        <v>63</v>
      </c>
      <c r="E29" s="41">
        <v>85</v>
      </c>
      <c r="F29" s="41">
        <v>6834</v>
      </c>
      <c r="G29" s="41">
        <v>0</v>
      </c>
      <c r="H29" s="41">
        <v>1407</v>
      </c>
      <c r="I29" s="41">
        <v>0</v>
      </c>
      <c r="J29" s="41">
        <v>2212</v>
      </c>
      <c r="K29" s="42">
        <v>85</v>
      </c>
      <c r="L29" s="42">
        <v>45</v>
      </c>
      <c r="M29" s="42">
        <v>1914</v>
      </c>
      <c r="N29" s="39">
        <v>85</v>
      </c>
      <c r="O29" s="39">
        <v>60</v>
      </c>
      <c r="P29" s="39">
        <v>0</v>
      </c>
      <c r="Q29" s="39">
        <v>5869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-233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2023-02-23T18:34:15Z</dcterms:modified>
</cp:coreProperties>
</file>