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Users\daumoo.vicky\Desktop\"/>
    </mc:Choice>
  </mc:AlternateContent>
  <xr:revisionPtr revIDLastSave="0" documentId="8_{679544DC-AE79-47D5-8D5C-CF796534B51C}" xr6:coauthVersionLast="47" xr6:coauthVersionMax="47" xr10:uidLastSave="{00000000-0000-0000-0000-000000000000}"/>
  <bookViews>
    <workbookView xWindow="-120" yWindow="-120" windowWidth="19320" windowHeight="7170" firstSheet="2" activeTab="3" xr2:uid="{00000000-000D-0000-FFFF-FFFF00000000}"/>
  </bookViews>
  <sheets>
    <sheet name="Report current month" sheetId="4" r:id="rId1"/>
    <sheet name="Daily report" sheetId="1" r:id="rId2"/>
    <sheet name="Impact  " sheetId="9" r:id="rId3"/>
    <sheet name="Current month" sheetId="2" r:id="rId4"/>
    <sheet name="Genset Report" sheetId="5" r:id="rId5"/>
    <sheet name="Monthly Report " sheetId="3" r:id="rId6"/>
    <sheet name="Water consumption" sheetId="7" r:id="rId7"/>
    <sheet name="Res" sheetId="8" r:id="rId8"/>
    <sheet name="Gas report" sheetId="6" r:id="rId9"/>
  </sheets>
  <definedNames>
    <definedName name="_xlnm.Print_Area" localSheetId="1">'Daily report'!$A$1:$AB$60</definedName>
    <definedName name="_xlnm.Print_Area" localSheetId="5">'Monthly Report '!$A$1:$H$55</definedName>
  </definedNames>
  <calcPr calcId="191028"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AB6" i="2" l="1"/>
  <c r="AC6" i="2"/>
  <c r="T6" i="2"/>
  <c r="AB5" i="2"/>
  <c r="AF4" i="2"/>
  <c r="AB4" i="2"/>
  <c r="Z34" i="2"/>
  <c r="DC33" i="2"/>
  <c r="DC32" i="2"/>
  <c r="C33" i="2"/>
  <c r="AH23" i="2"/>
  <c r="AH24" i="2"/>
  <c r="AF23" i="2"/>
  <c r="AC23" i="2"/>
  <c r="Z23" i="2"/>
  <c r="X23" i="2"/>
  <c r="X24" i="2"/>
  <c r="V23" i="2"/>
  <c r="T23" i="2"/>
  <c r="T24" i="2"/>
  <c r="R23" i="2"/>
  <c r="J23" i="2"/>
  <c r="L23" i="2"/>
  <c r="N23" i="2"/>
  <c r="P23" i="2"/>
  <c r="E23" i="2"/>
  <c r="C23" i="2"/>
  <c r="C24" i="2"/>
  <c r="AF24" i="2"/>
  <c r="AC24" i="2"/>
  <c r="Z24" i="2"/>
  <c r="V24" i="2"/>
  <c r="R24" i="2"/>
  <c r="P24" i="2"/>
  <c r="N24" i="2"/>
  <c r="L24" i="2"/>
  <c r="J24" i="2"/>
  <c r="E24" i="2"/>
  <c r="CK19" i="2"/>
  <c r="CL19" i="2"/>
  <c r="CK20" i="2"/>
  <c r="CL20" i="2" s="1"/>
  <c r="DR19" i="2"/>
  <c r="S722" i="9"/>
  <c r="P15" i="2"/>
  <c r="N15" i="2"/>
  <c r="L15" i="2"/>
  <c r="J15" i="2"/>
  <c r="P13" i="2"/>
  <c r="N13" i="2"/>
  <c r="L13" i="2"/>
  <c r="J13" i="2"/>
  <c r="P11" i="2"/>
  <c r="N11" i="2"/>
  <c r="L11" i="2"/>
  <c r="J11" i="2"/>
  <c r="N10" i="2"/>
  <c r="J10" i="2"/>
  <c r="BN9" i="2"/>
  <c r="B7" i="3"/>
  <c r="B52" i="3"/>
  <c r="AJ14" i="2"/>
  <c r="AT26" i="2"/>
  <c r="AT25" i="2"/>
  <c r="R7" i="2"/>
  <c r="R6" i="2"/>
  <c r="AR18" i="2"/>
  <c r="AR16" i="2"/>
  <c r="BZ4" i="2"/>
  <c r="V33" i="2"/>
  <c r="P31" i="2"/>
  <c r="N31" i="2"/>
  <c r="L31" i="2"/>
  <c r="J31" i="2"/>
  <c r="P30" i="2"/>
  <c r="N30" i="2"/>
  <c r="L30" i="2"/>
  <c r="J30" i="2"/>
  <c r="P26" i="2"/>
  <c r="N26" i="2"/>
  <c r="L26" i="2"/>
  <c r="J26" i="2"/>
  <c r="P25" i="2"/>
  <c r="N25" i="2"/>
  <c r="L25" i="2"/>
  <c r="J25" i="2"/>
  <c r="X15" i="2"/>
  <c r="E15" i="2"/>
  <c r="E16" i="2"/>
  <c r="C15" i="2"/>
  <c r="C14" i="2"/>
  <c r="B719" i="9"/>
  <c r="Q715" i="9"/>
  <c r="BD14" i="2"/>
  <c r="BB14" i="2"/>
  <c r="AZ14" i="2"/>
  <c r="AZ15" i="2"/>
  <c r="AX14" i="2"/>
  <c r="AV14" i="2"/>
  <c r="AV15" i="2"/>
  <c r="P12" i="2"/>
  <c r="N12" i="2"/>
  <c r="L12" i="2"/>
  <c r="J12" i="2"/>
  <c r="P10" i="2"/>
  <c r="L10" i="2"/>
  <c r="P9" i="2"/>
  <c r="N9" i="2"/>
  <c r="L9" i="2"/>
  <c r="J9" i="2"/>
  <c r="P8" i="2"/>
  <c r="N8" i="2"/>
  <c r="L8" i="2"/>
  <c r="J8" i="2"/>
  <c r="X8" i="2"/>
  <c r="X9" i="2"/>
  <c r="V8" i="2"/>
  <c r="V9" i="2"/>
  <c r="R25" i="2"/>
  <c r="R26" i="2"/>
  <c r="R27" i="2"/>
  <c r="R28" i="2"/>
  <c r="R29" i="2"/>
  <c r="R30" i="2"/>
  <c r="R31" i="2"/>
  <c r="R32" i="2"/>
  <c r="R33" i="2"/>
  <c r="R34" i="2"/>
  <c r="R22" i="2"/>
  <c r="V30" i="2"/>
  <c r="V29" i="2"/>
  <c r="G30" i="4"/>
  <c r="T25" i="2"/>
  <c r="T26" i="2"/>
  <c r="T27" i="2"/>
  <c r="T28" i="2"/>
  <c r="T29" i="2"/>
  <c r="T30" i="2"/>
  <c r="T31" i="2"/>
  <c r="T20" i="2"/>
  <c r="T21" i="2"/>
  <c r="T22" i="2"/>
  <c r="P22" i="2"/>
  <c r="P17" i="2"/>
  <c r="T16" i="2"/>
  <c r="T17" i="2"/>
  <c r="T18" i="2"/>
  <c r="T12" i="2"/>
  <c r="T13" i="2"/>
  <c r="E34" i="2"/>
  <c r="J34" i="2"/>
  <c r="L34" i="2"/>
  <c r="N34" i="2"/>
  <c r="P34" i="2"/>
  <c r="T34" i="2"/>
  <c r="V34" i="2"/>
  <c r="X34" i="2"/>
  <c r="AC34" i="2"/>
  <c r="AF34" i="2"/>
  <c r="AH34" i="2"/>
  <c r="AJ34" i="2"/>
  <c r="AL34" i="2"/>
  <c r="AN34" i="2"/>
  <c r="AP34" i="2"/>
  <c r="AR34" i="2"/>
  <c r="AT34" i="2"/>
  <c r="AV34" i="2"/>
  <c r="AX34" i="2"/>
  <c r="AZ34" i="2"/>
  <c r="BB34" i="2"/>
  <c r="BD34" i="2"/>
  <c r="BF34" i="2"/>
  <c r="BH34" i="2"/>
  <c r="BJ34" i="2"/>
  <c r="BL34" i="2"/>
  <c r="BN34" i="2"/>
  <c r="BP34" i="2"/>
  <c r="BR34" i="2"/>
  <c r="BS34" i="2"/>
  <c r="BV34" i="2"/>
  <c r="BX34" i="2"/>
  <c r="BZ34" i="2"/>
  <c r="CB34" i="2"/>
  <c r="CG34" i="2"/>
  <c r="CK34" i="2"/>
  <c r="CL34" i="2"/>
  <c r="CN34" i="2"/>
  <c r="CP34" i="2"/>
  <c r="CR34" i="2"/>
  <c r="CW34" i="2"/>
  <c r="CX34" i="2" s="1"/>
  <c r="CZ34" i="2"/>
  <c r="DA34" i="2" s="1"/>
  <c r="DC34" i="2"/>
  <c r="DD34" i="2"/>
  <c r="DF34" i="2"/>
  <c r="DG34" i="2"/>
  <c r="DI34" i="2"/>
  <c r="DJ34" i="2" s="1"/>
  <c r="DL34" i="2"/>
  <c r="DM34" i="2"/>
  <c r="DO34" i="2"/>
  <c r="DP34" i="2" s="1"/>
  <c r="DR34" i="2"/>
  <c r="DS34" i="2" s="1"/>
  <c r="DU34" i="2"/>
  <c r="DV34" i="2" s="1"/>
  <c r="DX34" i="2"/>
  <c r="DY34" i="2"/>
  <c r="EA34" i="2"/>
  <c r="EB34" i="2" s="1"/>
  <c r="ED34" i="2"/>
  <c r="EE34" i="2" s="1"/>
  <c r="EG34" i="2"/>
  <c r="EI34" i="2"/>
  <c r="EK34" i="2"/>
  <c r="EM34" i="2"/>
  <c r="C34" i="2"/>
  <c r="P33" i="2"/>
  <c r="N33" i="2"/>
  <c r="L33" i="2"/>
  <c r="J33" i="2"/>
  <c r="P32" i="2"/>
  <c r="N32" i="2"/>
  <c r="L32" i="2"/>
  <c r="J32" i="2"/>
  <c r="V735" i="9"/>
  <c r="P28" i="2"/>
  <c r="N28" i="2"/>
  <c r="L28" i="2"/>
  <c r="J28" i="2"/>
  <c r="P21" i="2"/>
  <c r="N21" i="2"/>
  <c r="L21" i="2"/>
  <c r="J21" i="2"/>
  <c r="P20" i="2"/>
  <c r="N20" i="2"/>
  <c r="L20" i="2"/>
  <c r="J20" i="2"/>
  <c r="Z19" i="2"/>
  <c r="Z20" i="2"/>
  <c r="Z21" i="2"/>
  <c r="P19" i="2"/>
  <c r="N19" i="2"/>
  <c r="L19" i="2"/>
  <c r="J19" i="2"/>
  <c r="AL17" i="2"/>
  <c r="AL18" i="2"/>
  <c r="V18" i="2"/>
  <c r="N17" i="2"/>
  <c r="L17" i="2"/>
  <c r="J17" i="2"/>
  <c r="AT14" i="2"/>
  <c r="P16" i="2"/>
  <c r="N16" i="2"/>
  <c r="L16" i="2"/>
  <c r="J16" i="2"/>
  <c r="AR13" i="2"/>
  <c r="AR14" i="2"/>
  <c r="AR15" i="2"/>
  <c r="DR14" i="2"/>
  <c r="DS14" i="2"/>
  <c r="DR13" i="2"/>
  <c r="DU14" i="2"/>
  <c r="DV14" i="2"/>
  <c r="DX14" i="2"/>
  <c r="DY14" i="2" s="1"/>
  <c r="EA14" i="2"/>
  <c r="EB14" i="2" s="1"/>
  <c r="ED14" i="2"/>
  <c r="EE14" i="2" s="1"/>
  <c r="DO14" i="2"/>
  <c r="DP14" i="2"/>
  <c r="DO15" i="2"/>
  <c r="DP15" i="2" s="1"/>
  <c r="DL14" i="2"/>
  <c r="DM14" i="2" s="1"/>
  <c r="DL15" i="2"/>
  <c r="DM15" i="2" s="1"/>
  <c r="DI14" i="2"/>
  <c r="DJ14" i="2" s="1"/>
  <c r="DF14" i="2"/>
  <c r="DG14" i="2"/>
  <c r="DC14" i="2"/>
  <c r="DD14" i="2"/>
  <c r="DC15" i="2"/>
  <c r="DD15" i="2" s="1"/>
  <c r="CZ14" i="2"/>
  <c r="DA14" i="2" s="1"/>
  <c r="CZ15" i="2"/>
  <c r="DA15" i="2"/>
  <c r="CW14" i="2"/>
  <c r="CX14" i="2"/>
  <c r="CW15" i="2"/>
  <c r="CX15" i="2" s="1"/>
  <c r="CR14" i="2"/>
  <c r="CN14" i="2"/>
  <c r="CN15" i="2"/>
  <c r="CN16" i="2"/>
  <c r="CP14" i="2"/>
  <c r="CP15" i="2"/>
  <c r="CP16" i="2"/>
  <c r="CR15" i="2"/>
  <c r="CR16" i="2"/>
  <c r="CR17" i="2"/>
  <c r="CK14" i="2"/>
  <c r="CL14" i="2" s="1"/>
  <c r="CK15" i="2"/>
  <c r="CL15" i="2" s="1"/>
  <c r="CK16" i="2"/>
  <c r="CL16" i="2"/>
  <c r="CK17" i="2"/>
  <c r="CL17" i="2"/>
  <c r="CK18" i="2"/>
  <c r="CL18" i="2" s="1"/>
  <c r="CK21" i="2"/>
  <c r="CL21" i="2"/>
  <c r="CG14" i="2"/>
  <c r="CG15" i="2"/>
  <c r="CG16" i="2"/>
  <c r="CG17" i="2"/>
  <c r="CB14" i="2"/>
  <c r="CB15" i="2"/>
  <c r="BZ14" i="2"/>
  <c r="CC14" i="2" s="1"/>
  <c r="BZ15" i="2"/>
  <c r="BZ16" i="2"/>
  <c r="BX14" i="2"/>
  <c r="BX15" i="2"/>
  <c r="BX16" i="2"/>
  <c r="BX17" i="2"/>
  <c r="BX18" i="2"/>
  <c r="BX19" i="2"/>
  <c r="BV14" i="2"/>
  <c r="CD14" i="2" s="1"/>
  <c r="D718" i="9" s="1"/>
  <c r="BV15" i="2"/>
  <c r="CD15" i="2" s="1"/>
  <c r="D719" i="9" s="1"/>
  <c r="BR14" i="2"/>
  <c r="BR15" i="2"/>
  <c r="BR16" i="2"/>
  <c r="BR17" i="2"/>
  <c r="BR18" i="2"/>
  <c r="BJ14" i="2"/>
  <c r="BJ15" i="2"/>
  <c r="BJ16" i="2"/>
  <c r="BJ17" i="2"/>
  <c r="BJ18" i="2"/>
  <c r="BL14" i="2"/>
  <c r="BL15" i="2"/>
  <c r="BL16" i="2"/>
  <c r="BL17" i="2"/>
  <c r="BL18" i="2"/>
  <c r="BN14" i="2"/>
  <c r="BN15" i="2"/>
  <c r="BN16" i="2"/>
  <c r="BN17" i="2"/>
  <c r="BP14" i="2"/>
  <c r="BP15" i="2"/>
  <c r="BP16" i="2"/>
  <c r="BP17" i="2"/>
  <c r="BH14" i="2"/>
  <c r="BH15" i="2"/>
  <c r="BH16" i="2"/>
  <c r="BH17" i="2"/>
  <c r="BH18" i="2"/>
  <c r="BH19" i="2"/>
  <c r="BH20" i="2"/>
  <c r="BH21" i="2"/>
  <c r="BH22" i="2"/>
  <c r="BH23" i="2"/>
  <c r="BH24" i="2"/>
  <c r="BH25" i="2"/>
  <c r="BH26" i="2"/>
  <c r="BH27" i="2"/>
  <c r="BH28" i="2"/>
  <c r="BH29" i="2"/>
  <c r="BH30" i="2"/>
  <c r="BH31" i="2"/>
  <c r="BF14" i="2"/>
  <c r="CE14" i="2" s="1"/>
  <c r="BF15" i="2"/>
  <c r="BF16" i="2"/>
  <c r="BF17" i="2"/>
  <c r="BF18" i="2"/>
  <c r="BF19" i="2"/>
  <c r="BF20" i="2"/>
  <c r="BF21" i="2"/>
  <c r="BF22" i="2"/>
  <c r="BF23" i="2"/>
  <c r="BF24" i="2"/>
  <c r="BF25" i="2"/>
  <c r="BF26" i="2"/>
  <c r="BF27" i="2"/>
  <c r="BF28" i="2"/>
  <c r="BF29" i="2"/>
  <c r="BF30" i="2"/>
  <c r="BF31" i="2"/>
  <c r="AL14" i="2"/>
  <c r="AN14" i="2"/>
  <c r="AP14" i="2"/>
  <c r="AL15" i="2"/>
  <c r="AN15" i="2"/>
  <c r="AP15" i="2"/>
  <c r="AH14" i="2"/>
  <c r="AH15" i="2"/>
  <c r="AH16" i="2"/>
  <c r="AH17" i="2"/>
  <c r="AH18" i="2"/>
  <c r="AF14" i="2"/>
  <c r="AF15" i="2"/>
  <c r="AF16" i="2"/>
  <c r="AC15" i="2"/>
  <c r="AC14" i="2"/>
  <c r="Z14" i="2"/>
  <c r="Z15" i="2"/>
  <c r="E719" i="9" s="1"/>
  <c r="AJ15" i="2"/>
  <c r="AT15" i="2"/>
  <c r="AX15" i="2"/>
  <c r="Z16" i="2"/>
  <c r="E720" i="9" s="1"/>
  <c r="AC16" i="2"/>
  <c r="AJ16" i="2"/>
  <c r="AL16" i="2"/>
  <c r="AN16" i="2"/>
  <c r="AP16" i="2"/>
  <c r="AT16" i="2"/>
  <c r="AV16" i="2"/>
  <c r="AX16" i="2"/>
  <c r="X14" i="2"/>
  <c r="X16" i="2"/>
  <c r="X17" i="2"/>
  <c r="X18" i="2"/>
  <c r="X19" i="2"/>
  <c r="X20" i="2"/>
  <c r="X21" i="2"/>
  <c r="V14" i="2"/>
  <c r="V15" i="2"/>
  <c r="V16" i="2"/>
  <c r="V17" i="2"/>
  <c r="R13" i="2"/>
  <c r="R14" i="2"/>
  <c r="R15" i="2"/>
  <c r="R16" i="2"/>
  <c r="R17" i="2"/>
  <c r="T14" i="2"/>
  <c r="T15" i="2"/>
  <c r="P14" i="2"/>
  <c r="N14" i="2"/>
  <c r="L14" i="2"/>
  <c r="J14" i="2"/>
  <c r="E14" i="2"/>
  <c r="F14" i="2" s="1"/>
  <c r="AC13" i="2"/>
  <c r="P7" i="2"/>
  <c r="N7" i="2"/>
  <c r="L7" i="2"/>
  <c r="J7" i="2"/>
  <c r="P6" i="2"/>
  <c r="N6" i="2"/>
  <c r="L6" i="2"/>
  <c r="J6" i="2"/>
  <c r="P5" i="2"/>
  <c r="N5" i="2"/>
  <c r="L5" i="2"/>
  <c r="J5" i="2"/>
  <c r="C4" i="2"/>
  <c r="E4" i="2"/>
  <c r="R4" i="2"/>
  <c r="T4" i="2"/>
  <c r="V4" i="2"/>
  <c r="X4" i="2"/>
  <c r="Z4" i="2"/>
  <c r="AC4" i="2"/>
  <c r="AH4" i="2"/>
  <c r="AJ4" i="2"/>
  <c r="AL4" i="2"/>
  <c r="AN4" i="2"/>
  <c r="AP4" i="2"/>
  <c r="AR4" i="2"/>
  <c r="AT4" i="2"/>
  <c r="AV4" i="2"/>
  <c r="AX4" i="2"/>
  <c r="AZ4" i="2"/>
  <c r="BB4" i="2"/>
  <c r="BD4" i="2"/>
  <c r="BF4" i="2"/>
  <c r="BH4" i="2"/>
  <c r="BJ4" i="2"/>
  <c r="BL4" i="2"/>
  <c r="BN4" i="2"/>
  <c r="BP4" i="2"/>
  <c r="BR4" i="2"/>
  <c r="BV4" i="2"/>
  <c r="BX4" i="2"/>
  <c r="CC4" i="2"/>
  <c r="CB4" i="2"/>
  <c r="CG4" i="2"/>
  <c r="CI4" i="2" s="1"/>
  <c r="CK4" i="2"/>
  <c r="CL4" i="2" s="1"/>
  <c r="CP4" i="2"/>
  <c r="CR4" i="2"/>
  <c r="CW4" i="2"/>
  <c r="CX4" i="2" s="1"/>
  <c r="CZ4" i="2"/>
  <c r="DA4" i="2" s="1"/>
  <c r="DC4" i="2"/>
  <c r="DD4" i="2" s="1"/>
  <c r="DF4" i="2"/>
  <c r="DG4" i="2" s="1"/>
  <c r="DI4" i="2"/>
  <c r="DJ4" i="2" s="1"/>
  <c r="DL4" i="2"/>
  <c r="DM4" i="2" s="1"/>
  <c r="DO4" i="2"/>
  <c r="DP4" i="2" s="1"/>
  <c r="DR4" i="2"/>
  <c r="DS4" i="2" s="1"/>
  <c r="DU4" i="2"/>
  <c r="DV4" i="2" s="1"/>
  <c r="DX4" i="2"/>
  <c r="DY4" i="2" s="1"/>
  <c r="EA4" i="2"/>
  <c r="EB4" i="2" s="1"/>
  <c r="ED4" i="2"/>
  <c r="EE4" i="2" s="1"/>
  <c r="EG4" i="2"/>
  <c r="EI4" i="2"/>
  <c r="EK4" i="2"/>
  <c r="EM4" i="2"/>
  <c r="C5" i="2"/>
  <c r="E5" i="2"/>
  <c r="R5" i="2"/>
  <c r="T5" i="2"/>
  <c r="V5" i="2"/>
  <c r="X5" i="2"/>
  <c r="Z5" i="2"/>
  <c r="AC5" i="2"/>
  <c r="AF5" i="2"/>
  <c r="AH5" i="2"/>
  <c r="AJ5" i="2"/>
  <c r="AL5" i="2"/>
  <c r="AN5" i="2"/>
  <c r="AP5" i="2"/>
  <c r="AR5" i="2"/>
  <c r="AT5" i="2"/>
  <c r="AV5" i="2"/>
  <c r="AX5" i="2"/>
  <c r="AZ5" i="2"/>
  <c r="BB5" i="2"/>
  <c r="BD5" i="2"/>
  <c r="BF5" i="2"/>
  <c r="BH5" i="2"/>
  <c r="BJ5" i="2"/>
  <c r="BL5" i="2"/>
  <c r="BN5" i="2"/>
  <c r="BP5" i="2"/>
  <c r="BR5" i="2"/>
  <c r="BV5" i="2"/>
  <c r="BX5" i="2"/>
  <c r="BZ5" i="2"/>
  <c r="CC5" i="2" s="1"/>
  <c r="CB5" i="2"/>
  <c r="CG5" i="2"/>
  <c r="CI5" i="2"/>
  <c r="CK5" i="2"/>
  <c r="CL5" i="2" s="1"/>
  <c r="CN5" i="2"/>
  <c r="CP5" i="2"/>
  <c r="CR5" i="2"/>
  <c r="CW5" i="2"/>
  <c r="CX5" i="2" s="1"/>
  <c r="CZ5" i="2"/>
  <c r="DA5" i="2" s="1"/>
  <c r="DC5" i="2"/>
  <c r="DD5" i="2" s="1"/>
  <c r="DF5" i="2"/>
  <c r="DG5" i="2" s="1"/>
  <c r="DI5" i="2"/>
  <c r="DJ5" i="2" s="1"/>
  <c r="DL5" i="2"/>
  <c r="DM5" i="2" s="1"/>
  <c r="DO5" i="2"/>
  <c r="DP5" i="2" s="1"/>
  <c r="DR5" i="2"/>
  <c r="DS5" i="2" s="1"/>
  <c r="DU5" i="2"/>
  <c r="DV5" i="2" s="1"/>
  <c r="DX5" i="2"/>
  <c r="DY5" i="2" s="1"/>
  <c r="EA5" i="2"/>
  <c r="EB5" i="2" s="1"/>
  <c r="ED5" i="2"/>
  <c r="EE5" i="2" s="1"/>
  <c r="EG5" i="2"/>
  <c r="EI5" i="2"/>
  <c r="EK5" i="2"/>
  <c r="EM5" i="2"/>
  <c r="C6" i="2"/>
  <c r="E6" i="2"/>
  <c r="V6" i="2"/>
  <c r="X6" i="2"/>
  <c r="Z6" i="2"/>
  <c r="AF6" i="2"/>
  <c r="AH6" i="2"/>
  <c r="AJ6" i="2"/>
  <c r="AL6" i="2"/>
  <c r="AN6" i="2"/>
  <c r="AP6" i="2"/>
  <c r="AR6" i="2"/>
  <c r="AT6" i="2"/>
  <c r="AV6" i="2"/>
  <c r="AX6" i="2"/>
  <c r="AZ6" i="2"/>
  <c r="BB6" i="2"/>
  <c r="BD6" i="2"/>
  <c r="BF6" i="2"/>
  <c r="BH6" i="2"/>
  <c r="BJ6" i="2"/>
  <c r="BL6" i="2"/>
  <c r="BN6" i="2"/>
  <c r="BP6" i="2"/>
  <c r="BR6" i="2"/>
  <c r="BV6" i="2"/>
  <c r="BX6" i="2"/>
  <c r="BZ6" i="2"/>
  <c r="CB6" i="2"/>
  <c r="CG6" i="2"/>
  <c r="CK6" i="2"/>
  <c r="CL6" i="2" s="1"/>
  <c r="CN6" i="2"/>
  <c r="CP6" i="2"/>
  <c r="CR6" i="2"/>
  <c r="CW6" i="2"/>
  <c r="CX6" i="2" s="1"/>
  <c r="CZ6" i="2"/>
  <c r="DA6" i="2" s="1"/>
  <c r="DC6" i="2"/>
  <c r="DD6" i="2"/>
  <c r="DF6" i="2"/>
  <c r="DG6" i="2" s="1"/>
  <c r="DI6" i="2"/>
  <c r="DJ6" i="2" s="1"/>
  <c r="DL6" i="2"/>
  <c r="DM6" i="2" s="1"/>
  <c r="DO6" i="2"/>
  <c r="DP6" i="2"/>
  <c r="DR6" i="2"/>
  <c r="DS6" i="2"/>
  <c r="DU6" i="2"/>
  <c r="DV6" i="2" s="1"/>
  <c r="DX6" i="2"/>
  <c r="DY6" i="2" s="1"/>
  <c r="EA6" i="2"/>
  <c r="EB6" i="2" s="1"/>
  <c r="ED6" i="2"/>
  <c r="EE6" i="2" s="1"/>
  <c r="EG6" i="2"/>
  <c r="EI6" i="2"/>
  <c r="EK6" i="2"/>
  <c r="EM6" i="2"/>
  <c r="C7" i="2"/>
  <c r="E7" i="2"/>
  <c r="T7" i="2"/>
  <c r="V7" i="2"/>
  <c r="X7" i="2"/>
  <c r="Z7" i="2"/>
  <c r="AC7" i="2"/>
  <c r="AF7" i="2"/>
  <c r="AH7" i="2"/>
  <c r="AJ7" i="2"/>
  <c r="AL7" i="2"/>
  <c r="AN7" i="2"/>
  <c r="AP7" i="2"/>
  <c r="AR7" i="2"/>
  <c r="AT7" i="2"/>
  <c r="AV7" i="2"/>
  <c r="AX7" i="2"/>
  <c r="AZ7" i="2"/>
  <c r="BB7" i="2"/>
  <c r="BD7" i="2"/>
  <c r="BF7" i="2"/>
  <c r="BH7" i="2"/>
  <c r="BJ7" i="2"/>
  <c r="BL7" i="2"/>
  <c r="BN7" i="2"/>
  <c r="BP7" i="2"/>
  <c r="BR7" i="2"/>
  <c r="BV7" i="2"/>
  <c r="BX7" i="2"/>
  <c r="BZ7" i="2"/>
  <c r="CC7" i="2" s="1"/>
  <c r="CB7" i="2"/>
  <c r="CG7" i="2"/>
  <c r="CK7" i="2"/>
  <c r="CL7" i="2" s="1"/>
  <c r="CN7" i="2"/>
  <c r="CP7" i="2"/>
  <c r="CR7" i="2"/>
  <c r="CW7" i="2"/>
  <c r="CX7" i="2" s="1"/>
  <c r="CZ7" i="2"/>
  <c r="DA7" i="2" s="1"/>
  <c r="DC7" i="2"/>
  <c r="DD7" i="2" s="1"/>
  <c r="DF7" i="2"/>
  <c r="DG7" i="2"/>
  <c r="DI7" i="2"/>
  <c r="DJ7" i="2" s="1"/>
  <c r="DL7" i="2"/>
  <c r="DM7" i="2" s="1"/>
  <c r="DO7" i="2"/>
  <c r="DP7" i="2" s="1"/>
  <c r="DR7" i="2"/>
  <c r="DS7" i="2" s="1"/>
  <c r="DU7" i="2"/>
  <c r="DV7" i="2" s="1"/>
  <c r="DX7" i="2"/>
  <c r="DY7" i="2" s="1"/>
  <c r="EA7" i="2"/>
  <c r="EB7" i="2" s="1"/>
  <c r="ED7" i="2"/>
  <c r="EE7" i="2" s="1"/>
  <c r="EG7" i="2"/>
  <c r="EI7" i="2"/>
  <c r="EK7" i="2"/>
  <c r="EM7" i="2"/>
  <c r="C8" i="2"/>
  <c r="E8" i="2"/>
  <c r="R8" i="2"/>
  <c r="T8" i="2"/>
  <c r="Z8" i="2"/>
  <c r="AC8" i="2"/>
  <c r="AF8" i="2"/>
  <c r="AH8" i="2"/>
  <c r="AJ8" i="2"/>
  <c r="AL8" i="2"/>
  <c r="AN8" i="2"/>
  <c r="AP8" i="2"/>
  <c r="AR8" i="2"/>
  <c r="AT8" i="2"/>
  <c r="AV8" i="2"/>
  <c r="AX8" i="2"/>
  <c r="AZ8" i="2"/>
  <c r="BB8" i="2"/>
  <c r="BD8" i="2"/>
  <c r="BF8" i="2"/>
  <c r="BH8" i="2"/>
  <c r="BJ8" i="2"/>
  <c r="BL8" i="2"/>
  <c r="BN8" i="2"/>
  <c r="BP8" i="2"/>
  <c r="BR8" i="2"/>
  <c r="BV8" i="2"/>
  <c r="BX8" i="2"/>
  <c r="BZ8" i="2"/>
  <c r="CC8" i="2" s="1"/>
  <c r="CB8" i="2"/>
  <c r="CG8" i="2"/>
  <c r="CK8" i="2"/>
  <c r="CL8" i="2" s="1"/>
  <c r="CN8" i="2"/>
  <c r="CP8" i="2"/>
  <c r="CR8" i="2"/>
  <c r="CW8" i="2"/>
  <c r="CX8" i="2"/>
  <c r="CZ8" i="2"/>
  <c r="DA8" i="2" s="1"/>
  <c r="DC8" i="2"/>
  <c r="DD8" i="2" s="1"/>
  <c r="DF8" i="2"/>
  <c r="DG8" i="2" s="1"/>
  <c r="DI8" i="2"/>
  <c r="DJ8" i="2" s="1"/>
  <c r="DL8" i="2"/>
  <c r="DM8" i="2" s="1"/>
  <c r="DO8" i="2"/>
  <c r="DP8" i="2" s="1"/>
  <c r="DR8" i="2"/>
  <c r="DS8" i="2" s="1"/>
  <c r="DU8" i="2"/>
  <c r="DV8" i="2" s="1"/>
  <c r="DX8" i="2"/>
  <c r="DY8" i="2" s="1"/>
  <c r="EA8" i="2"/>
  <c r="EB8" i="2" s="1"/>
  <c r="ED8" i="2"/>
  <c r="EE8" i="2" s="1"/>
  <c r="EG8" i="2"/>
  <c r="EI8" i="2"/>
  <c r="EK8" i="2"/>
  <c r="EM8" i="2"/>
  <c r="C9" i="2"/>
  <c r="E9" i="2"/>
  <c r="R9" i="2"/>
  <c r="T9" i="2"/>
  <c r="Z9" i="2"/>
  <c r="AC9" i="2"/>
  <c r="AF9" i="2"/>
  <c r="AH9" i="2"/>
  <c r="AJ9" i="2"/>
  <c r="AL9" i="2"/>
  <c r="AN9" i="2"/>
  <c r="AP9" i="2"/>
  <c r="AR9" i="2"/>
  <c r="AT9" i="2"/>
  <c r="AV9" i="2"/>
  <c r="AX9" i="2"/>
  <c r="AZ9" i="2"/>
  <c r="BB9" i="2"/>
  <c r="BD9" i="2"/>
  <c r="BF9" i="2"/>
  <c r="BH9" i="2"/>
  <c r="BJ9" i="2"/>
  <c r="BL9" i="2"/>
  <c r="BP9" i="2"/>
  <c r="BR9" i="2"/>
  <c r="BV9" i="2"/>
  <c r="BX9" i="2"/>
  <c r="BZ9" i="2"/>
  <c r="CC9" i="2" s="1"/>
  <c r="CB9" i="2"/>
  <c r="CG9" i="2"/>
  <c r="CK9" i="2"/>
  <c r="CL9" i="2" s="1"/>
  <c r="CN9" i="2"/>
  <c r="CP9" i="2"/>
  <c r="CR9" i="2"/>
  <c r="CW9" i="2"/>
  <c r="CX9" i="2" s="1"/>
  <c r="CZ9" i="2"/>
  <c r="DA9" i="2" s="1"/>
  <c r="DC9" i="2"/>
  <c r="DD9" i="2" s="1"/>
  <c r="DF9" i="2"/>
  <c r="DG9" i="2" s="1"/>
  <c r="DI9" i="2"/>
  <c r="DJ9" i="2" s="1"/>
  <c r="DL9" i="2"/>
  <c r="DM9" i="2" s="1"/>
  <c r="DO9" i="2"/>
  <c r="DP9" i="2" s="1"/>
  <c r="DR9" i="2"/>
  <c r="DS9" i="2" s="1"/>
  <c r="DU9" i="2"/>
  <c r="DV9" i="2" s="1"/>
  <c r="DX9" i="2"/>
  <c r="DY9" i="2" s="1"/>
  <c r="EA9" i="2"/>
  <c r="EB9" i="2" s="1"/>
  <c r="ED9" i="2"/>
  <c r="EE9" i="2" s="1"/>
  <c r="EG9" i="2"/>
  <c r="EI9" i="2"/>
  <c r="EK9" i="2"/>
  <c r="EM9" i="2"/>
  <c r="C10" i="2"/>
  <c r="E10" i="2"/>
  <c r="F10" i="2" s="1"/>
  <c r="R10" i="2"/>
  <c r="T10" i="2"/>
  <c r="V10" i="2"/>
  <c r="X10" i="2"/>
  <c r="Z10" i="2"/>
  <c r="AC10" i="2"/>
  <c r="AF10" i="2"/>
  <c r="AH10" i="2"/>
  <c r="AJ10" i="2"/>
  <c r="AL10" i="2"/>
  <c r="AN10" i="2"/>
  <c r="AP10" i="2"/>
  <c r="AR10" i="2"/>
  <c r="AT10" i="2"/>
  <c r="AV10" i="2"/>
  <c r="AX10" i="2"/>
  <c r="AZ10" i="2"/>
  <c r="BB10" i="2"/>
  <c r="BD10" i="2"/>
  <c r="BF10" i="2"/>
  <c r="BH10" i="2"/>
  <c r="BJ10" i="2"/>
  <c r="BL10" i="2"/>
  <c r="BN10" i="2"/>
  <c r="BP10" i="2"/>
  <c r="BR10" i="2"/>
  <c r="BV10" i="2"/>
  <c r="BX10" i="2"/>
  <c r="BZ10" i="2"/>
  <c r="CC10" i="2" s="1"/>
  <c r="CB10" i="2"/>
  <c r="CG10" i="2"/>
  <c r="CI10" i="2" s="1"/>
  <c r="CK10" i="2"/>
  <c r="CL10" i="2"/>
  <c r="CN10" i="2"/>
  <c r="CP10" i="2"/>
  <c r="CR10" i="2"/>
  <c r="CW10" i="2"/>
  <c r="CX10" i="2" s="1"/>
  <c r="CZ10" i="2"/>
  <c r="DA10" i="2" s="1"/>
  <c r="DC10" i="2"/>
  <c r="DD10" i="2" s="1"/>
  <c r="DF10" i="2"/>
  <c r="DG10" i="2" s="1"/>
  <c r="DI10" i="2"/>
  <c r="DJ10" i="2" s="1"/>
  <c r="DL10" i="2"/>
  <c r="DM10" i="2" s="1"/>
  <c r="DO10" i="2"/>
  <c r="DP10" i="2" s="1"/>
  <c r="DR10" i="2"/>
  <c r="DS10" i="2" s="1"/>
  <c r="DU10" i="2"/>
  <c r="DV10" i="2" s="1"/>
  <c r="DX10" i="2"/>
  <c r="DY10" i="2" s="1"/>
  <c r="EA10" i="2"/>
  <c r="EB10" i="2" s="1"/>
  <c r="ED10" i="2"/>
  <c r="EE10" i="2" s="1"/>
  <c r="EG10" i="2"/>
  <c r="EI10" i="2"/>
  <c r="EK10" i="2"/>
  <c r="EM10" i="2"/>
  <c r="C11" i="2"/>
  <c r="E11" i="2"/>
  <c r="R11" i="2"/>
  <c r="T11" i="2"/>
  <c r="V11" i="2"/>
  <c r="X11" i="2"/>
  <c r="Z11" i="2"/>
  <c r="AC11" i="2"/>
  <c r="AF11" i="2"/>
  <c r="AH11" i="2"/>
  <c r="AJ11" i="2"/>
  <c r="AL11" i="2"/>
  <c r="AN11" i="2"/>
  <c r="AP11" i="2"/>
  <c r="AR11" i="2"/>
  <c r="AT11" i="2"/>
  <c r="AV11" i="2"/>
  <c r="AX11" i="2"/>
  <c r="AZ11" i="2"/>
  <c r="BB11" i="2"/>
  <c r="BD11" i="2"/>
  <c r="BF11" i="2"/>
  <c r="BH11" i="2"/>
  <c r="BJ11" i="2"/>
  <c r="BL11" i="2"/>
  <c r="BN11" i="2"/>
  <c r="BP11" i="2"/>
  <c r="BR11" i="2"/>
  <c r="BV11" i="2"/>
  <c r="BX11" i="2"/>
  <c r="BZ11" i="2"/>
  <c r="CC11" i="2" s="1"/>
  <c r="CB11" i="2"/>
  <c r="CG11" i="2"/>
  <c r="CK11" i="2"/>
  <c r="CL11" i="2" s="1"/>
  <c r="CN11" i="2"/>
  <c r="CP11" i="2"/>
  <c r="CR11" i="2"/>
  <c r="CW11" i="2"/>
  <c r="CX11" i="2" s="1"/>
  <c r="CZ11" i="2"/>
  <c r="DA11" i="2" s="1"/>
  <c r="DC11" i="2"/>
  <c r="DD11" i="2" s="1"/>
  <c r="DF11" i="2"/>
  <c r="DG11" i="2" s="1"/>
  <c r="DI11" i="2"/>
  <c r="DJ11" i="2" s="1"/>
  <c r="DL11" i="2"/>
  <c r="DM11" i="2" s="1"/>
  <c r="DO11" i="2"/>
  <c r="DP11" i="2" s="1"/>
  <c r="DR11" i="2"/>
  <c r="DS11" i="2" s="1"/>
  <c r="DU11" i="2"/>
  <c r="DV11" i="2" s="1"/>
  <c r="DX11" i="2"/>
  <c r="DY11" i="2" s="1"/>
  <c r="EA11" i="2"/>
  <c r="EB11" i="2" s="1"/>
  <c r="ED11" i="2"/>
  <c r="EE11" i="2" s="1"/>
  <c r="EG11" i="2"/>
  <c r="EI11" i="2"/>
  <c r="EK11" i="2"/>
  <c r="EM11" i="2"/>
  <c r="C12" i="2"/>
  <c r="E12" i="2"/>
  <c r="R12" i="2"/>
  <c r="V12" i="2"/>
  <c r="X12" i="2"/>
  <c r="Z12" i="2"/>
  <c r="AC12" i="2"/>
  <c r="AF12" i="2"/>
  <c r="AH12" i="2"/>
  <c r="AJ12" i="2"/>
  <c r="AL12" i="2"/>
  <c r="AN12" i="2"/>
  <c r="AP12" i="2"/>
  <c r="AR12" i="2"/>
  <c r="AT12" i="2"/>
  <c r="AV12" i="2"/>
  <c r="AX12" i="2"/>
  <c r="AZ12" i="2"/>
  <c r="BB12" i="2"/>
  <c r="BD12" i="2"/>
  <c r="BF12" i="2"/>
  <c r="BH12" i="2"/>
  <c r="BJ12" i="2"/>
  <c r="BL12" i="2"/>
  <c r="BN12" i="2"/>
  <c r="BP12" i="2"/>
  <c r="BR12" i="2"/>
  <c r="BV12" i="2"/>
  <c r="BX12" i="2"/>
  <c r="BZ12" i="2"/>
  <c r="CC12" i="2" s="1"/>
  <c r="CB12" i="2"/>
  <c r="CG12" i="2"/>
  <c r="CK12" i="2"/>
  <c r="CL12" i="2" s="1"/>
  <c r="CN12" i="2"/>
  <c r="CP12" i="2"/>
  <c r="CR12" i="2"/>
  <c r="CW12" i="2"/>
  <c r="CX12" i="2" s="1"/>
  <c r="CZ12" i="2"/>
  <c r="DA12" i="2" s="1"/>
  <c r="DC12" i="2"/>
  <c r="DD12" i="2" s="1"/>
  <c r="DF12" i="2"/>
  <c r="DG12" i="2" s="1"/>
  <c r="DI12" i="2"/>
  <c r="DJ12" i="2" s="1"/>
  <c r="DL12" i="2"/>
  <c r="DM12" i="2" s="1"/>
  <c r="DO12" i="2"/>
  <c r="DP12" i="2" s="1"/>
  <c r="DR12" i="2"/>
  <c r="DS12" i="2"/>
  <c r="DU12" i="2"/>
  <c r="DV12" i="2" s="1"/>
  <c r="DX12" i="2"/>
  <c r="DY12" i="2" s="1"/>
  <c r="EA12" i="2"/>
  <c r="EB12" i="2" s="1"/>
  <c r="ED12" i="2"/>
  <c r="EE12" i="2" s="1"/>
  <c r="EG12" i="2"/>
  <c r="EI12" i="2"/>
  <c r="EK12" i="2"/>
  <c r="EM12" i="2"/>
  <c r="C13" i="2"/>
  <c r="E13" i="2"/>
  <c r="V13" i="2"/>
  <c r="X13" i="2"/>
  <c r="Z13" i="2"/>
  <c r="AF13" i="2"/>
  <c r="AH13" i="2"/>
  <c r="AJ13" i="2"/>
  <c r="AL13" i="2"/>
  <c r="AN13" i="2"/>
  <c r="AP13" i="2"/>
  <c r="AT13" i="2"/>
  <c r="AV13" i="2"/>
  <c r="AX13" i="2"/>
  <c r="AZ13" i="2"/>
  <c r="BB13" i="2"/>
  <c r="BD13" i="2"/>
  <c r="BF13" i="2"/>
  <c r="BH13" i="2"/>
  <c r="BJ13" i="2"/>
  <c r="BL13" i="2"/>
  <c r="BN13" i="2"/>
  <c r="BP13" i="2"/>
  <c r="BR13" i="2"/>
  <c r="BV13" i="2"/>
  <c r="BX13" i="2"/>
  <c r="BZ13" i="2"/>
  <c r="CB13" i="2"/>
  <c r="CG13" i="2"/>
  <c r="CK13" i="2"/>
  <c r="CL13" i="2" s="1"/>
  <c r="CN13" i="2"/>
  <c r="CP13" i="2"/>
  <c r="CR13" i="2"/>
  <c r="CW13" i="2"/>
  <c r="CX13" i="2" s="1"/>
  <c r="CZ13" i="2"/>
  <c r="DA13" i="2" s="1"/>
  <c r="DC13" i="2"/>
  <c r="DD13" i="2" s="1"/>
  <c r="DF13" i="2"/>
  <c r="DG13" i="2" s="1"/>
  <c r="DI13" i="2"/>
  <c r="DJ13" i="2" s="1"/>
  <c r="DL13" i="2"/>
  <c r="DM13" i="2" s="1"/>
  <c r="DO13" i="2"/>
  <c r="DP13" i="2" s="1"/>
  <c r="DS13" i="2"/>
  <c r="DU13" i="2"/>
  <c r="DV13" i="2" s="1"/>
  <c r="DX13" i="2"/>
  <c r="DY13" i="2" s="1"/>
  <c r="EA13" i="2"/>
  <c r="EB13" i="2" s="1"/>
  <c r="ED13" i="2"/>
  <c r="EE13" i="2" s="1"/>
  <c r="EG13" i="2"/>
  <c r="EI13" i="2"/>
  <c r="EK13" i="2"/>
  <c r="EM13" i="2"/>
  <c r="BB15" i="2"/>
  <c r="BD15" i="2"/>
  <c r="DF15" i="2"/>
  <c r="DG15" i="2" s="1"/>
  <c r="DI15" i="2"/>
  <c r="DJ15" i="2" s="1"/>
  <c r="DR15" i="2"/>
  <c r="DS15" i="2" s="1"/>
  <c r="DU15" i="2"/>
  <c r="DV15" i="2" s="1"/>
  <c r="DX15" i="2"/>
  <c r="DY15" i="2" s="1"/>
  <c r="EA15" i="2"/>
  <c r="EB15" i="2" s="1"/>
  <c r="ED15" i="2"/>
  <c r="EE15" i="2" s="1"/>
  <c r="EG15" i="2"/>
  <c r="EI15" i="2"/>
  <c r="EK15" i="2"/>
  <c r="EM15" i="2"/>
  <c r="C16" i="2"/>
  <c r="B720" i="9"/>
  <c r="AZ16" i="2"/>
  <c r="BB16" i="2"/>
  <c r="BS16" i="2" s="1"/>
  <c r="BD16" i="2"/>
  <c r="BV16" i="2"/>
  <c r="CB16" i="2"/>
  <c r="CW16" i="2"/>
  <c r="CX16" i="2" s="1"/>
  <c r="CZ16" i="2"/>
  <c r="DA16" i="2" s="1"/>
  <c r="DC16" i="2"/>
  <c r="DD16" i="2" s="1"/>
  <c r="DF16" i="2"/>
  <c r="DG16" i="2"/>
  <c r="DI16" i="2"/>
  <c r="DJ16" i="2" s="1"/>
  <c r="DL16" i="2"/>
  <c r="DM16" i="2" s="1"/>
  <c r="DO16" i="2"/>
  <c r="DP16" i="2" s="1"/>
  <c r="DR16" i="2"/>
  <c r="DS16" i="2" s="1"/>
  <c r="DU16" i="2"/>
  <c r="DV16" i="2" s="1"/>
  <c r="DX16" i="2"/>
  <c r="DY16" i="2" s="1"/>
  <c r="EA16" i="2"/>
  <c r="EB16" i="2" s="1"/>
  <c r="ED16" i="2"/>
  <c r="EE16" i="2"/>
  <c r="EG16" i="2"/>
  <c r="EI16" i="2"/>
  <c r="EK16" i="2"/>
  <c r="EM16" i="2"/>
  <c r="C17" i="2"/>
  <c r="E17" i="2"/>
  <c r="F17" i="2" s="1"/>
  <c r="Z17" i="2"/>
  <c r="E721" i="9" s="1"/>
  <c r="AC17" i="2"/>
  <c r="AF17" i="2"/>
  <c r="AJ17" i="2"/>
  <c r="AN17" i="2"/>
  <c r="AP17" i="2"/>
  <c r="AR17" i="2"/>
  <c r="AT17" i="2"/>
  <c r="AV17" i="2"/>
  <c r="AX17" i="2"/>
  <c r="AZ17" i="2"/>
  <c r="BB17" i="2"/>
  <c r="BD17" i="2"/>
  <c r="BV17" i="2"/>
  <c r="BZ17" i="2"/>
  <c r="CC17" i="2" s="1"/>
  <c r="CB17" i="2"/>
  <c r="CN17" i="2"/>
  <c r="CP17" i="2"/>
  <c r="CW17" i="2"/>
  <c r="CX17" i="2" s="1"/>
  <c r="CZ17" i="2"/>
  <c r="DA17" i="2" s="1"/>
  <c r="DC17" i="2"/>
  <c r="DD17" i="2" s="1"/>
  <c r="DF17" i="2"/>
  <c r="DG17" i="2" s="1"/>
  <c r="DI17" i="2"/>
  <c r="DJ17" i="2" s="1"/>
  <c r="DL17" i="2"/>
  <c r="DM17" i="2" s="1"/>
  <c r="DO17" i="2"/>
  <c r="DP17" i="2" s="1"/>
  <c r="DR17" i="2"/>
  <c r="DS17" i="2" s="1"/>
  <c r="DU17" i="2"/>
  <c r="DV17" i="2" s="1"/>
  <c r="DX17" i="2"/>
  <c r="DY17" i="2" s="1"/>
  <c r="EA17" i="2"/>
  <c r="EB17" i="2" s="1"/>
  <c r="ED17" i="2"/>
  <c r="EE17" i="2" s="1"/>
  <c r="EG17" i="2"/>
  <c r="EI17" i="2"/>
  <c r="EK17" i="2"/>
  <c r="EM17" i="2"/>
  <c r="C18" i="2"/>
  <c r="E18" i="2"/>
  <c r="J18" i="2"/>
  <c r="L18" i="2"/>
  <c r="N18" i="2"/>
  <c r="P18" i="2"/>
  <c r="R18" i="2"/>
  <c r="Z18" i="2"/>
  <c r="AC18" i="2"/>
  <c r="AF18" i="2"/>
  <c r="AJ18" i="2"/>
  <c r="AN18" i="2"/>
  <c r="AP18" i="2"/>
  <c r="AT18" i="2"/>
  <c r="AV18" i="2"/>
  <c r="AX18" i="2"/>
  <c r="AZ18" i="2"/>
  <c r="BB18" i="2"/>
  <c r="BS18" i="2" s="1"/>
  <c r="BD18" i="2"/>
  <c r="BN18" i="2"/>
  <c r="BP18" i="2"/>
  <c r="BV18" i="2"/>
  <c r="BZ18" i="2"/>
  <c r="CB18" i="2"/>
  <c r="CG18" i="2"/>
  <c r="CN18" i="2"/>
  <c r="CP18" i="2"/>
  <c r="CR18" i="2"/>
  <c r="CW18" i="2"/>
  <c r="CX18" i="2" s="1"/>
  <c r="CZ18" i="2"/>
  <c r="DA18" i="2" s="1"/>
  <c r="DC18" i="2"/>
  <c r="DD18" i="2" s="1"/>
  <c r="DF18" i="2"/>
  <c r="DG18" i="2" s="1"/>
  <c r="DI18" i="2"/>
  <c r="DJ18" i="2" s="1"/>
  <c r="DL18" i="2"/>
  <c r="DM18" i="2" s="1"/>
  <c r="DO18" i="2"/>
  <c r="DP18" i="2" s="1"/>
  <c r="DR18" i="2"/>
  <c r="DS18" i="2" s="1"/>
  <c r="DU18" i="2"/>
  <c r="DV18" i="2" s="1"/>
  <c r="DX18" i="2"/>
  <c r="DY18" i="2" s="1"/>
  <c r="EA18" i="2"/>
  <c r="EB18" i="2" s="1"/>
  <c r="ED18" i="2"/>
  <c r="EE18" i="2" s="1"/>
  <c r="EG18" i="2"/>
  <c r="EI18" i="2"/>
  <c r="EK18" i="2"/>
  <c r="EM18" i="2"/>
  <c r="C19" i="2"/>
  <c r="E19" i="2"/>
  <c r="R19" i="2"/>
  <c r="T19" i="2"/>
  <c r="V19" i="2"/>
  <c r="AC19" i="2"/>
  <c r="AF19" i="2"/>
  <c r="AH19" i="2"/>
  <c r="AJ19" i="2"/>
  <c r="AL19" i="2"/>
  <c r="AN19" i="2"/>
  <c r="AP19" i="2"/>
  <c r="AR19" i="2"/>
  <c r="AT19" i="2"/>
  <c r="AV19" i="2"/>
  <c r="AX19" i="2"/>
  <c r="AZ19" i="2"/>
  <c r="BB19" i="2"/>
  <c r="BD19" i="2"/>
  <c r="BJ19" i="2"/>
  <c r="BL19" i="2"/>
  <c r="BN19" i="2"/>
  <c r="BP19" i="2"/>
  <c r="BR19" i="2"/>
  <c r="BV19" i="2"/>
  <c r="BZ19" i="2"/>
  <c r="CB19" i="2"/>
  <c r="CG19" i="2"/>
  <c r="CN19" i="2"/>
  <c r="CP19" i="2"/>
  <c r="CR19" i="2"/>
  <c r="CW19" i="2"/>
  <c r="CX19" i="2" s="1"/>
  <c r="CZ19" i="2"/>
  <c r="DA19" i="2" s="1"/>
  <c r="DC19" i="2"/>
  <c r="DD19" i="2" s="1"/>
  <c r="DF19" i="2"/>
  <c r="DG19" i="2" s="1"/>
  <c r="DI19" i="2"/>
  <c r="DJ19" i="2" s="1"/>
  <c r="DL19" i="2"/>
  <c r="DM19" i="2" s="1"/>
  <c r="DO19" i="2"/>
  <c r="DP19" i="2" s="1"/>
  <c r="DS19" i="2"/>
  <c r="DU19" i="2"/>
  <c r="DV19" i="2" s="1"/>
  <c r="DX19" i="2"/>
  <c r="DY19" i="2" s="1"/>
  <c r="EA19" i="2"/>
  <c r="EB19" i="2" s="1"/>
  <c r="ED19" i="2"/>
  <c r="EE19" i="2" s="1"/>
  <c r="EG19" i="2"/>
  <c r="EI19" i="2"/>
  <c r="EK19" i="2"/>
  <c r="EM19" i="2"/>
  <c r="C20" i="2"/>
  <c r="E20" i="2"/>
  <c r="R20" i="2"/>
  <c r="V20" i="2"/>
  <c r="AC20" i="2"/>
  <c r="AF20" i="2"/>
  <c r="AH20" i="2"/>
  <c r="AJ20" i="2"/>
  <c r="AL20" i="2"/>
  <c r="AN20" i="2"/>
  <c r="AP20" i="2"/>
  <c r="AR20" i="2"/>
  <c r="AT20" i="2"/>
  <c r="AV20" i="2"/>
  <c r="AX20" i="2"/>
  <c r="AZ20" i="2"/>
  <c r="BB20" i="2"/>
  <c r="BD20" i="2"/>
  <c r="BJ20" i="2"/>
  <c r="BL20" i="2"/>
  <c r="BN20" i="2"/>
  <c r="BP20" i="2"/>
  <c r="BR20" i="2"/>
  <c r="BV20" i="2"/>
  <c r="BX20" i="2"/>
  <c r="BZ20" i="2"/>
  <c r="CC20" i="2" s="1"/>
  <c r="CB20" i="2"/>
  <c r="CG20" i="2"/>
  <c r="CN20" i="2"/>
  <c r="CP20" i="2"/>
  <c r="CR20" i="2"/>
  <c r="CW20" i="2"/>
  <c r="CX20" i="2"/>
  <c r="CZ20" i="2"/>
  <c r="DA20" i="2" s="1"/>
  <c r="DC20" i="2"/>
  <c r="DD20" i="2" s="1"/>
  <c r="DF20" i="2"/>
  <c r="DG20" i="2" s="1"/>
  <c r="DI20" i="2"/>
  <c r="DJ20" i="2" s="1"/>
  <c r="DL20" i="2"/>
  <c r="DM20" i="2" s="1"/>
  <c r="DO20" i="2"/>
  <c r="DP20" i="2" s="1"/>
  <c r="DR20" i="2"/>
  <c r="DS20" i="2" s="1"/>
  <c r="DU20" i="2"/>
  <c r="DV20" i="2" s="1"/>
  <c r="DX20" i="2"/>
  <c r="DY20" i="2" s="1"/>
  <c r="EA20" i="2"/>
  <c r="EB20" i="2" s="1"/>
  <c r="ED20" i="2"/>
  <c r="EE20" i="2" s="1"/>
  <c r="EG20" i="2"/>
  <c r="EI20" i="2"/>
  <c r="EK20" i="2"/>
  <c r="EM20" i="2"/>
  <c r="C21" i="2"/>
  <c r="E21" i="2"/>
  <c r="R21" i="2"/>
  <c r="V21" i="2"/>
  <c r="AC21" i="2"/>
  <c r="AF21" i="2"/>
  <c r="AH21" i="2"/>
  <c r="AJ21" i="2"/>
  <c r="AL21" i="2"/>
  <c r="AN21" i="2"/>
  <c r="AP21" i="2"/>
  <c r="AR21" i="2"/>
  <c r="AT21" i="2"/>
  <c r="AV21" i="2"/>
  <c r="AX21" i="2"/>
  <c r="AZ21" i="2"/>
  <c r="BB21" i="2"/>
  <c r="BS21" i="2" s="1"/>
  <c r="BD21" i="2"/>
  <c r="BJ21" i="2"/>
  <c r="BL21" i="2"/>
  <c r="BN21" i="2"/>
  <c r="BP21" i="2"/>
  <c r="BR21" i="2"/>
  <c r="BV21" i="2"/>
  <c r="BX21" i="2"/>
  <c r="BZ21" i="2"/>
  <c r="CC21" i="2" s="1"/>
  <c r="CB21" i="2"/>
  <c r="CG21" i="2"/>
  <c r="CN21" i="2"/>
  <c r="CP21" i="2"/>
  <c r="CR21" i="2"/>
  <c r="CW21" i="2"/>
  <c r="CX21" i="2" s="1"/>
  <c r="CZ21" i="2"/>
  <c r="DA21" i="2" s="1"/>
  <c r="DC21" i="2"/>
  <c r="DD21" i="2" s="1"/>
  <c r="DF21" i="2"/>
  <c r="DG21" i="2" s="1"/>
  <c r="DI21" i="2"/>
  <c r="DJ21" i="2" s="1"/>
  <c r="DL21" i="2"/>
  <c r="DM21" i="2" s="1"/>
  <c r="DO21" i="2"/>
  <c r="DP21" i="2" s="1"/>
  <c r="DR21" i="2"/>
  <c r="DS21" i="2" s="1"/>
  <c r="DU21" i="2"/>
  <c r="DV21" i="2" s="1"/>
  <c r="DX21" i="2"/>
  <c r="DY21" i="2" s="1"/>
  <c r="EA21" i="2"/>
  <c r="EB21" i="2" s="1"/>
  <c r="ED21" i="2"/>
  <c r="EE21" i="2" s="1"/>
  <c r="EG21" i="2"/>
  <c r="EI21" i="2"/>
  <c r="EK21" i="2"/>
  <c r="EM21" i="2"/>
  <c r="C22" i="2"/>
  <c r="E22" i="2"/>
  <c r="J22" i="2"/>
  <c r="L22" i="2"/>
  <c r="N22" i="2"/>
  <c r="V22" i="2"/>
  <c r="X22" i="2"/>
  <c r="Z22" i="2"/>
  <c r="AC22" i="2"/>
  <c r="AF22" i="2"/>
  <c r="AH22" i="2"/>
  <c r="AJ22" i="2"/>
  <c r="AL22" i="2"/>
  <c r="AN22" i="2"/>
  <c r="AP22" i="2"/>
  <c r="AR22" i="2"/>
  <c r="AT22" i="2"/>
  <c r="AV22" i="2"/>
  <c r="AX22" i="2"/>
  <c r="AZ22" i="2"/>
  <c r="BB22" i="2"/>
  <c r="BD22" i="2"/>
  <c r="BJ22" i="2"/>
  <c r="BL22" i="2"/>
  <c r="BN22" i="2"/>
  <c r="BP22" i="2"/>
  <c r="BR22" i="2"/>
  <c r="BV22" i="2"/>
  <c r="BX22" i="2"/>
  <c r="BZ22" i="2"/>
  <c r="CB22" i="2"/>
  <c r="CG22" i="2"/>
  <c r="CI22" i="2"/>
  <c r="CK22" i="2"/>
  <c r="CL22" i="2" s="1"/>
  <c r="CN22" i="2"/>
  <c r="CP22" i="2"/>
  <c r="CR22" i="2"/>
  <c r="CW22" i="2"/>
  <c r="CX22" i="2" s="1"/>
  <c r="CZ22" i="2"/>
  <c r="DA22" i="2" s="1"/>
  <c r="DC22" i="2"/>
  <c r="DD22" i="2" s="1"/>
  <c r="DF22" i="2"/>
  <c r="DG22" i="2" s="1"/>
  <c r="DI22" i="2"/>
  <c r="DJ22" i="2" s="1"/>
  <c r="DL22" i="2"/>
  <c r="DM22" i="2" s="1"/>
  <c r="DO22" i="2"/>
  <c r="DP22" i="2" s="1"/>
  <c r="DR22" i="2"/>
  <c r="DS22" i="2" s="1"/>
  <c r="DU22" i="2"/>
  <c r="DV22" i="2" s="1"/>
  <c r="DX22" i="2"/>
  <c r="DY22" i="2" s="1"/>
  <c r="EA22" i="2"/>
  <c r="EB22" i="2" s="1"/>
  <c r="ED22" i="2"/>
  <c r="EE22" i="2" s="1"/>
  <c r="EG22" i="2"/>
  <c r="EI22" i="2"/>
  <c r="EK22" i="2"/>
  <c r="EM22" i="2"/>
  <c r="AJ23" i="2"/>
  <c r="AL23" i="2"/>
  <c r="AN23" i="2"/>
  <c r="AP23" i="2"/>
  <c r="AR23" i="2"/>
  <c r="AT23" i="2"/>
  <c r="AV23" i="2"/>
  <c r="AX23" i="2"/>
  <c r="AZ23" i="2"/>
  <c r="BB23" i="2"/>
  <c r="BD23" i="2"/>
  <c r="BJ23" i="2"/>
  <c r="BL23" i="2"/>
  <c r="BN23" i="2"/>
  <c r="BP23" i="2"/>
  <c r="BR23" i="2"/>
  <c r="BV23" i="2"/>
  <c r="BX23" i="2"/>
  <c r="BZ23" i="2"/>
  <c r="CC23" i="2" s="1"/>
  <c r="CB23" i="2"/>
  <c r="CG23" i="2"/>
  <c r="CK23" i="2"/>
  <c r="CL23" i="2" s="1"/>
  <c r="CN23" i="2"/>
  <c r="CP23" i="2"/>
  <c r="CR23" i="2"/>
  <c r="CW23" i="2"/>
  <c r="CX23" i="2" s="1"/>
  <c r="CZ23" i="2"/>
  <c r="DA23" i="2" s="1"/>
  <c r="DC23" i="2"/>
  <c r="DD23" i="2" s="1"/>
  <c r="DF23" i="2"/>
  <c r="DG23" i="2" s="1"/>
  <c r="DI23" i="2"/>
  <c r="DJ23" i="2" s="1"/>
  <c r="DL23" i="2"/>
  <c r="DM23" i="2" s="1"/>
  <c r="DO23" i="2"/>
  <c r="DP23" i="2" s="1"/>
  <c r="DR23" i="2"/>
  <c r="DS23" i="2"/>
  <c r="DU23" i="2"/>
  <c r="DV23" i="2" s="1"/>
  <c r="DX23" i="2"/>
  <c r="DY23" i="2" s="1"/>
  <c r="EA23" i="2"/>
  <c r="EB23" i="2" s="1"/>
  <c r="ED23" i="2"/>
  <c r="EE23" i="2"/>
  <c r="EG23" i="2"/>
  <c r="EI23" i="2"/>
  <c r="EK23" i="2"/>
  <c r="EM23" i="2"/>
  <c r="AJ24" i="2"/>
  <c r="AL24" i="2"/>
  <c r="AN24" i="2"/>
  <c r="AP24" i="2"/>
  <c r="AR24" i="2"/>
  <c r="AT24" i="2"/>
  <c r="AV24" i="2"/>
  <c r="AX24" i="2"/>
  <c r="AZ24" i="2"/>
  <c r="BB24" i="2"/>
  <c r="BD24" i="2"/>
  <c r="BJ24" i="2"/>
  <c r="BL24" i="2"/>
  <c r="BN24" i="2"/>
  <c r="BP24" i="2"/>
  <c r="BR24" i="2"/>
  <c r="BV24" i="2"/>
  <c r="BX24" i="2"/>
  <c r="BZ24" i="2"/>
  <c r="CC24" i="2" s="1"/>
  <c r="CB24" i="2"/>
  <c r="CG24" i="2"/>
  <c r="CK24" i="2"/>
  <c r="CL24" i="2" s="1"/>
  <c r="CN24" i="2"/>
  <c r="CP24" i="2"/>
  <c r="CR24" i="2"/>
  <c r="CW24" i="2"/>
  <c r="CX24" i="2" s="1"/>
  <c r="CZ24" i="2"/>
  <c r="DA24" i="2" s="1"/>
  <c r="DC24" i="2"/>
  <c r="DD24" i="2" s="1"/>
  <c r="DF24" i="2"/>
  <c r="DG24" i="2"/>
  <c r="DI24" i="2"/>
  <c r="DJ24" i="2"/>
  <c r="DL24" i="2"/>
  <c r="DM24" i="2" s="1"/>
  <c r="DO24" i="2"/>
  <c r="DP24" i="2" s="1"/>
  <c r="DR24" i="2"/>
  <c r="DS24" i="2" s="1"/>
  <c r="DU24" i="2"/>
  <c r="DV24" i="2"/>
  <c r="DX24" i="2"/>
  <c r="DY24" i="2" s="1"/>
  <c r="EA24" i="2"/>
  <c r="EB24" i="2" s="1"/>
  <c r="ED24" i="2"/>
  <c r="EE24" i="2" s="1"/>
  <c r="EG24" i="2"/>
  <c r="EI24" i="2"/>
  <c r="EK24" i="2"/>
  <c r="EM24" i="2"/>
  <c r="C25" i="2"/>
  <c r="E25" i="2"/>
  <c r="V25" i="2"/>
  <c r="X25" i="2"/>
  <c r="Z25" i="2"/>
  <c r="AC25" i="2"/>
  <c r="AF25" i="2"/>
  <c r="AH25" i="2"/>
  <c r="AJ25" i="2"/>
  <c r="AL25" i="2"/>
  <c r="AN25" i="2"/>
  <c r="AP25" i="2"/>
  <c r="AR25" i="2"/>
  <c r="AV25" i="2"/>
  <c r="AX25" i="2"/>
  <c r="AZ25" i="2"/>
  <c r="BB25" i="2"/>
  <c r="BS25" i="2" s="1"/>
  <c r="BD25" i="2"/>
  <c r="BJ25" i="2"/>
  <c r="BL25" i="2"/>
  <c r="BN25" i="2"/>
  <c r="BP25" i="2"/>
  <c r="BR25" i="2"/>
  <c r="BV25" i="2"/>
  <c r="BX25" i="2"/>
  <c r="BZ25" i="2"/>
  <c r="CB25" i="2"/>
  <c r="CG25" i="2"/>
  <c r="CK25" i="2"/>
  <c r="CL25" i="2" s="1"/>
  <c r="CN25" i="2"/>
  <c r="CP25" i="2"/>
  <c r="CR25" i="2"/>
  <c r="CW25" i="2"/>
  <c r="CX25" i="2" s="1"/>
  <c r="CZ25" i="2"/>
  <c r="DA25" i="2" s="1"/>
  <c r="DC25" i="2"/>
  <c r="DD25" i="2" s="1"/>
  <c r="DF25" i="2"/>
  <c r="DG25" i="2" s="1"/>
  <c r="DI25" i="2"/>
  <c r="DJ25" i="2" s="1"/>
  <c r="DL25" i="2"/>
  <c r="DM25" i="2" s="1"/>
  <c r="DO25" i="2"/>
  <c r="DP25" i="2" s="1"/>
  <c r="DR25" i="2"/>
  <c r="DS25" i="2" s="1"/>
  <c r="DU25" i="2"/>
  <c r="DV25" i="2" s="1"/>
  <c r="DX25" i="2"/>
  <c r="DY25" i="2" s="1"/>
  <c r="EA25" i="2"/>
  <c r="EB25" i="2" s="1"/>
  <c r="ED25" i="2"/>
  <c r="EE25" i="2" s="1"/>
  <c r="EG25" i="2"/>
  <c r="EI25" i="2"/>
  <c r="EK25" i="2"/>
  <c r="EM25" i="2"/>
  <c r="C26" i="2"/>
  <c r="E26" i="2"/>
  <c r="F26" i="2" s="1"/>
  <c r="V26" i="2"/>
  <c r="X26" i="2"/>
  <c r="Z26" i="2"/>
  <c r="AC26" i="2"/>
  <c r="AF26" i="2"/>
  <c r="AH26" i="2"/>
  <c r="AJ26" i="2"/>
  <c r="AL26" i="2"/>
  <c r="AN26" i="2"/>
  <c r="AP26" i="2"/>
  <c r="AR26" i="2"/>
  <c r="AV26" i="2"/>
  <c r="AX26" i="2"/>
  <c r="AZ26" i="2"/>
  <c r="BB26" i="2"/>
  <c r="BD26" i="2"/>
  <c r="BJ26" i="2"/>
  <c r="BL26" i="2"/>
  <c r="BN26" i="2"/>
  <c r="BP26" i="2"/>
  <c r="BR26" i="2"/>
  <c r="BV26" i="2"/>
  <c r="BX26" i="2"/>
  <c r="BZ26" i="2"/>
  <c r="CC26" i="2" s="1"/>
  <c r="CB26" i="2"/>
  <c r="CG26" i="2"/>
  <c r="CK26" i="2"/>
  <c r="CL26" i="2" s="1"/>
  <c r="CN26" i="2"/>
  <c r="CP26" i="2"/>
  <c r="CR26" i="2"/>
  <c r="CW26" i="2"/>
  <c r="CX26" i="2" s="1"/>
  <c r="CZ26" i="2"/>
  <c r="DA26" i="2" s="1"/>
  <c r="DC26" i="2"/>
  <c r="DD26" i="2" s="1"/>
  <c r="DF26" i="2"/>
  <c r="DG26" i="2" s="1"/>
  <c r="DI26" i="2"/>
  <c r="DJ26" i="2" s="1"/>
  <c r="DL26" i="2"/>
  <c r="DM26" i="2" s="1"/>
  <c r="DO26" i="2"/>
  <c r="DP26" i="2" s="1"/>
  <c r="DR26" i="2"/>
  <c r="DS26" i="2" s="1"/>
  <c r="DU26" i="2"/>
  <c r="DV26" i="2" s="1"/>
  <c r="DX26" i="2"/>
  <c r="DY26" i="2" s="1"/>
  <c r="EA26" i="2"/>
  <c r="EB26" i="2" s="1"/>
  <c r="ED26" i="2"/>
  <c r="EE26" i="2" s="1"/>
  <c r="EG26" i="2"/>
  <c r="EI26" i="2"/>
  <c r="EK26" i="2"/>
  <c r="EM26" i="2"/>
  <c r="C27" i="2"/>
  <c r="E27" i="2"/>
  <c r="J27" i="2"/>
  <c r="L27" i="2"/>
  <c r="N27" i="2"/>
  <c r="P27" i="2"/>
  <c r="V27" i="2"/>
  <c r="X27" i="2"/>
  <c r="Z27" i="2"/>
  <c r="AC27" i="2"/>
  <c r="AF27" i="2"/>
  <c r="AH27" i="2"/>
  <c r="AJ27" i="2"/>
  <c r="AL27" i="2"/>
  <c r="AN27" i="2"/>
  <c r="AP27" i="2"/>
  <c r="AR27" i="2"/>
  <c r="AT27" i="2"/>
  <c r="AV27" i="2"/>
  <c r="AX27" i="2"/>
  <c r="AZ27" i="2"/>
  <c r="BB27" i="2"/>
  <c r="BS27" i="2" s="1"/>
  <c r="BD27" i="2"/>
  <c r="BJ27" i="2"/>
  <c r="BL27" i="2"/>
  <c r="BN27" i="2"/>
  <c r="BP27" i="2"/>
  <c r="BR27" i="2"/>
  <c r="BV27" i="2"/>
  <c r="BX27" i="2"/>
  <c r="BZ27" i="2"/>
  <c r="CC27" i="2" s="1"/>
  <c r="CB27" i="2"/>
  <c r="CG27" i="2"/>
  <c r="CK27" i="2"/>
  <c r="CL27" i="2" s="1"/>
  <c r="CN27" i="2"/>
  <c r="CP27" i="2"/>
  <c r="CR27" i="2"/>
  <c r="CW27" i="2"/>
  <c r="CX27" i="2" s="1"/>
  <c r="CZ27" i="2"/>
  <c r="DA27" i="2" s="1"/>
  <c r="DC27" i="2"/>
  <c r="DD27" i="2" s="1"/>
  <c r="DF27" i="2"/>
  <c r="DG27" i="2" s="1"/>
  <c r="DI27" i="2"/>
  <c r="DJ27" i="2" s="1"/>
  <c r="DL27" i="2"/>
  <c r="DM27" i="2" s="1"/>
  <c r="DO27" i="2"/>
  <c r="DP27" i="2" s="1"/>
  <c r="DR27" i="2"/>
  <c r="DS27" i="2" s="1"/>
  <c r="DU27" i="2"/>
  <c r="DV27" i="2" s="1"/>
  <c r="DX27" i="2"/>
  <c r="DY27" i="2" s="1"/>
  <c r="EA27" i="2"/>
  <c r="EB27" i="2" s="1"/>
  <c r="ED27" i="2"/>
  <c r="EE27" i="2" s="1"/>
  <c r="EG27" i="2"/>
  <c r="EI27" i="2"/>
  <c r="EK27" i="2"/>
  <c r="EM27" i="2"/>
  <c r="C28" i="2"/>
  <c r="E28" i="2"/>
  <c r="V28" i="2"/>
  <c r="X28" i="2"/>
  <c r="Z28" i="2"/>
  <c r="AC28" i="2"/>
  <c r="AF28" i="2"/>
  <c r="AH28" i="2"/>
  <c r="AJ28" i="2"/>
  <c r="AL28" i="2"/>
  <c r="AN28" i="2"/>
  <c r="AP28" i="2"/>
  <c r="AR28" i="2"/>
  <c r="AT28" i="2"/>
  <c r="AV28" i="2"/>
  <c r="AX28" i="2"/>
  <c r="AZ28" i="2"/>
  <c r="BB28" i="2"/>
  <c r="BD28" i="2"/>
  <c r="BS28" i="2"/>
  <c r="BJ28" i="2"/>
  <c r="BL28" i="2"/>
  <c r="BN28" i="2"/>
  <c r="BP28" i="2"/>
  <c r="BR28" i="2"/>
  <c r="BV28" i="2"/>
  <c r="BX28" i="2"/>
  <c r="BZ28" i="2"/>
  <c r="CB28" i="2"/>
  <c r="CG28" i="2"/>
  <c r="CK28" i="2"/>
  <c r="CL28" i="2" s="1"/>
  <c r="CN28" i="2"/>
  <c r="CP28" i="2"/>
  <c r="CR28" i="2"/>
  <c r="CW28" i="2"/>
  <c r="CX28" i="2" s="1"/>
  <c r="CZ28" i="2"/>
  <c r="DA28" i="2" s="1"/>
  <c r="DC28" i="2"/>
  <c r="DD28" i="2" s="1"/>
  <c r="DF28" i="2"/>
  <c r="DG28" i="2" s="1"/>
  <c r="DI28" i="2"/>
  <c r="DJ28" i="2" s="1"/>
  <c r="DL28" i="2"/>
  <c r="DM28" i="2" s="1"/>
  <c r="DO28" i="2"/>
  <c r="DP28" i="2" s="1"/>
  <c r="DR28" i="2"/>
  <c r="DS28" i="2" s="1"/>
  <c r="DU28" i="2"/>
  <c r="DV28" i="2" s="1"/>
  <c r="DX28" i="2"/>
  <c r="DY28" i="2" s="1"/>
  <c r="EA28" i="2"/>
  <c r="EB28" i="2" s="1"/>
  <c r="ED28" i="2"/>
  <c r="EE28" i="2" s="1"/>
  <c r="EG28" i="2"/>
  <c r="EI28" i="2"/>
  <c r="EK28" i="2"/>
  <c r="EM28" i="2"/>
  <c r="C29" i="2"/>
  <c r="E29" i="2"/>
  <c r="J29" i="2"/>
  <c r="L29" i="2"/>
  <c r="N29" i="2"/>
  <c r="P29" i="2"/>
  <c r="X29" i="2"/>
  <c r="Z29" i="2"/>
  <c r="AC29" i="2"/>
  <c r="AF29" i="2"/>
  <c r="AH29" i="2"/>
  <c r="AJ29" i="2"/>
  <c r="AL29" i="2"/>
  <c r="AN29" i="2"/>
  <c r="AP29" i="2"/>
  <c r="AR29" i="2"/>
  <c r="AT29" i="2"/>
  <c r="AV29" i="2"/>
  <c r="AX29" i="2"/>
  <c r="AZ29" i="2"/>
  <c r="BB29" i="2"/>
  <c r="BD29" i="2"/>
  <c r="BJ29" i="2"/>
  <c r="BL29" i="2"/>
  <c r="BN29" i="2"/>
  <c r="BP29" i="2"/>
  <c r="BR29" i="2"/>
  <c r="BV29" i="2"/>
  <c r="BX29" i="2"/>
  <c r="BZ29" i="2"/>
  <c r="CB29" i="2"/>
  <c r="CG29" i="2"/>
  <c r="CK29" i="2"/>
  <c r="CL29" i="2"/>
  <c r="CN29" i="2"/>
  <c r="CP29" i="2"/>
  <c r="CR29" i="2"/>
  <c r="CW29" i="2"/>
  <c r="CX29" i="2" s="1"/>
  <c r="CZ29" i="2"/>
  <c r="DA29" i="2" s="1"/>
  <c r="DC29" i="2"/>
  <c r="DD29" i="2" s="1"/>
  <c r="DF29" i="2"/>
  <c r="DG29" i="2" s="1"/>
  <c r="DI29" i="2"/>
  <c r="DJ29" i="2" s="1"/>
  <c r="DL29" i="2"/>
  <c r="DM29" i="2" s="1"/>
  <c r="DO29" i="2"/>
  <c r="DP29" i="2" s="1"/>
  <c r="DR29" i="2"/>
  <c r="DS29" i="2" s="1"/>
  <c r="DU29" i="2"/>
  <c r="DV29" i="2" s="1"/>
  <c r="DX29" i="2"/>
  <c r="DY29" i="2" s="1"/>
  <c r="EA29" i="2"/>
  <c r="EB29" i="2" s="1"/>
  <c r="ED29" i="2"/>
  <c r="EE29" i="2" s="1"/>
  <c r="EG29" i="2"/>
  <c r="EI29" i="2"/>
  <c r="EK29" i="2"/>
  <c r="EM29" i="2"/>
  <c r="C30" i="2"/>
  <c r="E30" i="2"/>
  <c r="X30" i="2"/>
  <c r="Z30" i="2"/>
  <c r="AC30" i="2"/>
  <c r="AF30" i="2"/>
  <c r="AH30" i="2"/>
  <c r="AJ30" i="2"/>
  <c r="AL30" i="2"/>
  <c r="AN30" i="2"/>
  <c r="AP30" i="2"/>
  <c r="AR30" i="2"/>
  <c r="AT30" i="2"/>
  <c r="AV30" i="2"/>
  <c r="AX30" i="2"/>
  <c r="AZ30" i="2"/>
  <c r="BB30" i="2"/>
  <c r="BS30" i="2" s="1"/>
  <c r="BD30" i="2"/>
  <c r="BJ30" i="2"/>
  <c r="BL30" i="2"/>
  <c r="BN30" i="2"/>
  <c r="BP30" i="2"/>
  <c r="BR30" i="2"/>
  <c r="BV30" i="2"/>
  <c r="BX30" i="2"/>
  <c r="BZ30" i="2"/>
  <c r="CB30" i="2"/>
  <c r="CG30" i="2"/>
  <c r="CI30" i="2" s="1"/>
  <c r="CK30" i="2"/>
  <c r="CL30" i="2" s="1"/>
  <c r="CN30" i="2"/>
  <c r="CP30" i="2"/>
  <c r="CR30" i="2"/>
  <c r="CW30" i="2"/>
  <c r="CX30" i="2" s="1"/>
  <c r="CZ30" i="2"/>
  <c r="DA30" i="2" s="1"/>
  <c r="DC30" i="2"/>
  <c r="DD30" i="2" s="1"/>
  <c r="DF30" i="2"/>
  <c r="DG30" i="2" s="1"/>
  <c r="DI30" i="2"/>
  <c r="DJ30" i="2" s="1"/>
  <c r="DL30" i="2"/>
  <c r="DM30" i="2" s="1"/>
  <c r="DO30" i="2"/>
  <c r="DP30" i="2" s="1"/>
  <c r="DR30" i="2"/>
  <c r="DS30" i="2" s="1"/>
  <c r="DU30" i="2"/>
  <c r="DV30" i="2" s="1"/>
  <c r="DX30" i="2"/>
  <c r="DY30" i="2" s="1"/>
  <c r="EA30" i="2"/>
  <c r="EB30" i="2" s="1"/>
  <c r="ED30" i="2"/>
  <c r="EE30" i="2" s="1"/>
  <c r="EG30" i="2"/>
  <c r="EI30" i="2"/>
  <c r="EK30" i="2"/>
  <c r="EM30" i="2"/>
  <c r="C31" i="2"/>
  <c r="E31" i="2"/>
  <c r="V31" i="2"/>
  <c r="X31" i="2"/>
  <c r="Z31" i="2"/>
  <c r="AC31" i="2"/>
  <c r="AF31" i="2"/>
  <c r="AH31" i="2"/>
  <c r="AJ31" i="2"/>
  <c r="AL31" i="2"/>
  <c r="AN31" i="2"/>
  <c r="AP31" i="2"/>
  <c r="AR31" i="2"/>
  <c r="AT31" i="2"/>
  <c r="AV31" i="2"/>
  <c r="AX31" i="2"/>
  <c r="AZ31" i="2"/>
  <c r="BB31" i="2"/>
  <c r="BS31" i="2" s="1"/>
  <c r="BD31" i="2"/>
  <c r="BJ31" i="2"/>
  <c r="BL31" i="2"/>
  <c r="BN31" i="2"/>
  <c r="BP31" i="2"/>
  <c r="BR31" i="2"/>
  <c r="BV31" i="2"/>
  <c r="BX31" i="2"/>
  <c r="BZ31" i="2"/>
  <c r="CB31" i="2"/>
  <c r="CG31" i="2"/>
  <c r="CK31" i="2"/>
  <c r="CL31" i="2" s="1"/>
  <c r="CN31" i="2"/>
  <c r="CP31" i="2"/>
  <c r="CR31" i="2"/>
  <c r="CW31" i="2"/>
  <c r="CX31" i="2" s="1"/>
  <c r="CZ31" i="2"/>
  <c r="DA31" i="2" s="1"/>
  <c r="DC31" i="2"/>
  <c r="DD31" i="2" s="1"/>
  <c r="DF31" i="2"/>
  <c r="DG31" i="2" s="1"/>
  <c r="DI31" i="2"/>
  <c r="DJ31" i="2" s="1"/>
  <c r="DL31" i="2"/>
  <c r="DM31" i="2" s="1"/>
  <c r="DO31" i="2"/>
  <c r="DP31" i="2" s="1"/>
  <c r="DR31" i="2"/>
  <c r="DS31" i="2" s="1"/>
  <c r="DU31" i="2"/>
  <c r="DV31" i="2" s="1"/>
  <c r="DX31" i="2"/>
  <c r="DY31" i="2" s="1"/>
  <c r="EA31" i="2"/>
  <c r="EB31" i="2" s="1"/>
  <c r="ED31" i="2"/>
  <c r="EE31" i="2" s="1"/>
  <c r="EG31" i="2"/>
  <c r="EI31" i="2"/>
  <c r="EK31" i="2"/>
  <c r="EM31" i="2"/>
  <c r="C32" i="2"/>
  <c r="E32" i="2"/>
  <c r="T32" i="2"/>
  <c r="V32" i="2"/>
  <c r="X32" i="2"/>
  <c r="Z32" i="2"/>
  <c r="AC32" i="2"/>
  <c r="AF32" i="2"/>
  <c r="AH32" i="2"/>
  <c r="AJ32" i="2"/>
  <c r="AL32" i="2"/>
  <c r="AN32" i="2"/>
  <c r="AP32" i="2"/>
  <c r="AR32" i="2"/>
  <c r="AT32" i="2"/>
  <c r="AV32" i="2"/>
  <c r="AX32" i="2"/>
  <c r="AZ32" i="2"/>
  <c r="BB32" i="2"/>
  <c r="BD32" i="2"/>
  <c r="BF32" i="2"/>
  <c r="BH32" i="2"/>
  <c r="BJ32" i="2"/>
  <c r="BL32" i="2"/>
  <c r="BN32" i="2"/>
  <c r="BP32" i="2"/>
  <c r="BR32" i="2"/>
  <c r="BV32" i="2"/>
  <c r="BX32" i="2"/>
  <c r="BZ32" i="2"/>
  <c r="CB32" i="2"/>
  <c r="CG32" i="2"/>
  <c r="CK32" i="2"/>
  <c r="CL32" i="2" s="1"/>
  <c r="CN32" i="2"/>
  <c r="CP32" i="2"/>
  <c r="CR32" i="2"/>
  <c r="CW32" i="2"/>
  <c r="CX32" i="2" s="1"/>
  <c r="CZ32" i="2"/>
  <c r="DA32" i="2" s="1"/>
  <c r="DD32" i="2"/>
  <c r="DF32" i="2"/>
  <c r="DG32" i="2" s="1"/>
  <c r="DI32" i="2"/>
  <c r="DJ32" i="2" s="1"/>
  <c r="DL32" i="2"/>
  <c r="DM32" i="2" s="1"/>
  <c r="DO32" i="2"/>
  <c r="DP32" i="2" s="1"/>
  <c r="DR32" i="2"/>
  <c r="DS32" i="2" s="1"/>
  <c r="DU32" i="2"/>
  <c r="DV32" i="2" s="1"/>
  <c r="DX32" i="2"/>
  <c r="DY32" i="2" s="1"/>
  <c r="EA32" i="2"/>
  <c r="EB32" i="2" s="1"/>
  <c r="ED32" i="2"/>
  <c r="EE32" i="2" s="1"/>
  <c r="EG32" i="2"/>
  <c r="EI32" i="2"/>
  <c r="EK32" i="2"/>
  <c r="EM32" i="2"/>
  <c r="E33" i="2"/>
  <c r="T33" i="2"/>
  <c r="X33" i="2"/>
  <c r="Z33" i="2"/>
  <c r="AC33" i="2"/>
  <c r="AF33" i="2"/>
  <c r="AH33" i="2"/>
  <c r="AJ33" i="2"/>
  <c r="AL33" i="2"/>
  <c r="AN33" i="2"/>
  <c r="AP33" i="2"/>
  <c r="AR33" i="2"/>
  <c r="AT33" i="2"/>
  <c r="AV33" i="2"/>
  <c r="AX33" i="2"/>
  <c r="AZ33" i="2"/>
  <c r="BB33" i="2"/>
  <c r="BD33" i="2"/>
  <c r="BF33" i="2"/>
  <c r="BH33" i="2"/>
  <c r="BJ33" i="2"/>
  <c r="BL33" i="2"/>
  <c r="BN33" i="2"/>
  <c r="BP33" i="2"/>
  <c r="BR33" i="2"/>
  <c r="BV33" i="2"/>
  <c r="BX33" i="2"/>
  <c r="BZ33" i="2"/>
  <c r="CC33" i="2" s="1"/>
  <c r="CB33" i="2"/>
  <c r="CG33" i="2"/>
  <c r="CK33" i="2"/>
  <c r="CL33" i="2" s="1"/>
  <c r="CN33" i="2"/>
  <c r="CP33" i="2"/>
  <c r="CR33" i="2"/>
  <c r="CW33" i="2"/>
  <c r="CX33" i="2" s="1"/>
  <c r="CZ33" i="2"/>
  <c r="DA33" i="2" s="1"/>
  <c r="DD33" i="2"/>
  <c r="DF33" i="2"/>
  <c r="DG33" i="2" s="1"/>
  <c r="DI33" i="2"/>
  <c r="DJ33" i="2" s="1"/>
  <c r="DL33" i="2"/>
  <c r="DM33" i="2" s="1"/>
  <c r="DO33" i="2"/>
  <c r="DP33" i="2" s="1"/>
  <c r="DR33" i="2"/>
  <c r="DS33" i="2" s="1"/>
  <c r="DU33" i="2"/>
  <c r="DV33" i="2" s="1"/>
  <c r="DX33" i="2"/>
  <c r="DY33" i="2" s="1"/>
  <c r="EA33" i="2"/>
  <c r="EB33" i="2" s="1"/>
  <c r="ED33" i="2"/>
  <c r="EE33" i="2" s="1"/>
  <c r="EG33" i="2"/>
  <c r="EI33" i="2"/>
  <c r="EK33" i="2"/>
  <c r="EM33" i="2"/>
  <c r="AD35" i="2"/>
  <c r="CU35" i="2"/>
  <c r="EI35" i="2"/>
  <c r="EM35" i="2"/>
  <c r="EN35" i="2"/>
  <c r="EO35" i="2"/>
  <c r="CC15" i="2" l="1"/>
  <c r="F23" i="2"/>
  <c r="F24" i="2"/>
  <c r="CC6" i="2"/>
  <c r="F15" i="2"/>
  <c r="BS33" i="2"/>
  <c r="CI23" i="2"/>
  <c r="CB35" i="2"/>
  <c r="CD5" i="2"/>
  <c r="CS34" i="2"/>
  <c r="CD34" i="2"/>
  <c r="CS28" i="2"/>
  <c r="CI24" i="2"/>
  <c r="CI31" i="2"/>
  <c r="CI27" i="2"/>
  <c r="CI14" i="2"/>
  <c r="CD16" i="2"/>
  <c r="BS15" i="2"/>
  <c r="BS32" i="2"/>
  <c r="BT32" i="2" s="1"/>
  <c r="BS5" i="2"/>
  <c r="BT5" i="2" s="1"/>
  <c r="CE27" i="2"/>
  <c r="BS17" i="2"/>
  <c r="BS8" i="2"/>
  <c r="BT34" i="2"/>
  <c r="CE34" i="2"/>
  <c r="CC25" i="2"/>
  <c r="CC13" i="2"/>
  <c r="CC34" i="2"/>
  <c r="CC28" i="2"/>
  <c r="CC19" i="2"/>
  <c r="CC22" i="2"/>
  <c r="CC18" i="2"/>
  <c r="F34" i="2"/>
  <c r="F18" i="2"/>
  <c r="F16" i="2"/>
  <c r="F13" i="2"/>
  <c r="F7" i="2"/>
  <c r="CI33" i="2"/>
  <c r="CC32" i="2"/>
  <c r="CC31" i="2"/>
  <c r="CD21" i="2"/>
  <c r="CD20" i="2"/>
  <c r="CD19" i="2"/>
  <c r="CI19" i="2"/>
  <c r="CD18" i="2"/>
  <c r="CD17" i="2"/>
  <c r="CC16" i="2"/>
  <c r="CI15" i="2"/>
  <c r="CI21" i="2"/>
  <c r="CI20" i="2"/>
  <c r="BS14" i="2"/>
  <c r="BT14" i="2" s="1"/>
  <c r="CS14" i="2"/>
  <c r="CI18" i="2"/>
  <c r="CI17" i="2"/>
  <c r="BT18" i="2"/>
  <c r="CI16" i="2"/>
  <c r="BT17" i="2"/>
  <c r="BT16" i="2"/>
  <c r="CE15" i="2"/>
  <c r="BT15" i="2"/>
  <c r="CS33" i="2"/>
  <c r="CT34" i="2" s="1"/>
  <c r="CS32" i="2"/>
  <c r="CD32" i="2"/>
  <c r="CS31" i="2"/>
  <c r="CT32" i="2" s="1"/>
  <c r="CD31" i="2"/>
  <c r="CS30" i="2"/>
  <c r="BZ35" i="2"/>
  <c r="CS29" i="2"/>
  <c r="CT30" i="2" s="1"/>
  <c r="CD29" i="2"/>
  <c r="BS29" i="2"/>
  <c r="BT29" i="2" s="1"/>
  <c r="CI29" i="2"/>
  <c r="CD28" i="2"/>
  <c r="CE28" i="2"/>
  <c r="CS27" i="2"/>
  <c r="CD27" i="2"/>
  <c r="CD26" i="2"/>
  <c r="CD25" i="2"/>
  <c r="CS24" i="2"/>
  <c r="EG35" i="2"/>
  <c r="CD23" i="2"/>
  <c r="CD22" i="2"/>
  <c r="EK35" i="2"/>
  <c r="CS19" i="2"/>
  <c r="CS18" i="2"/>
  <c r="BL35" i="2"/>
  <c r="AV35" i="2"/>
  <c r="CS15" i="2"/>
  <c r="CT15" i="2" s="1"/>
  <c r="CD13" i="2"/>
  <c r="D717" i="9" s="1"/>
  <c r="CD12" i="2"/>
  <c r="CD10" i="2"/>
  <c r="F9" i="2"/>
  <c r="CI9" i="2"/>
  <c r="CS7" i="2"/>
  <c r="F6" i="2"/>
  <c r="CS5" i="2"/>
  <c r="BN35" i="2"/>
  <c r="F5" i="2"/>
  <c r="BB35" i="2"/>
  <c r="J35" i="2"/>
  <c r="CS20" i="2"/>
  <c r="CS12" i="2"/>
  <c r="CS4" i="2"/>
  <c r="CT4" i="2" s="1"/>
  <c r="CS21" i="2"/>
  <c r="CS23" i="2"/>
  <c r="CT24" i="2" s="1"/>
  <c r="C728" i="9" s="1"/>
  <c r="CS22" i="2"/>
  <c r="CS17" i="2"/>
  <c r="CS13" i="2"/>
  <c r="CT14" i="2" s="1"/>
  <c r="CS9" i="2"/>
  <c r="CT29" i="2"/>
  <c r="CS11" i="2"/>
  <c r="CS8" i="2"/>
  <c r="CS25" i="2"/>
  <c r="CS16" i="2"/>
  <c r="CS10" i="2"/>
  <c r="CS6" i="2"/>
  <c r="AX35" i="2"/>
  <c r="BT33" i="2"/>
  <c r="CE31" i="2"/>
  <c r="CD30" i="2"/>
  <c r="BJ35" i="2"/>
  <c r="BT21" i="2"/>
  <c r="BS19" i="2"/>
  <c r="BT19" i="2" s="1"/>
  <c r="R35" i="2"/>
  <c r="BS12" i="2"/>
  <c r="BT12" i="2" s="1"/>
  <c r="Z35" i="2"/>
  <c r="CD8" i="2"/>
  <c r="V35" i="2"/>
  <c r="AH35" i="2"/>
  <c r="CD33" i="2"/>
  <c r="CI32" i="2"/>
  <c r="BT28" i="2"/>
  <c r="BS24" i="2"/>
  <c r="BT24" i="2" s="1"/>
  <c r="BS23" i="2"/>
  <c r="BT23" i="2" s="1"/>
  <c r="BX35" i="2"/>
  <c r="CI6" i="2"/>
  <c r="BR35" i="2"/>
  <c r="BT31" i="2"/>
  <c r="CE29" i="2"/>
  <c r="BT27" i="2"/>
  <c r="CE11" i="2"/>
  <c r="CE7" i="2"/>
  <c r="CD6" i="2"/>
  <c r="CE32" i="2"/>
  <c r="BF35" i="2"/>
  <c r="BS13" i="2"/>
  <c r="BT13" i="2" s="1"/>
  <c r="BD35" i="2"/>
  <c r="BP35" i="2"/>
  <c r="BS11" i="2"/>
  <c r="BT11" i="2" s="1"/>
  <c r="BS9" i="2"/>
  <c r="BT9" i="2" s="1"/>
  <c r="BS7" i="2"/>
  <c r="BT7" i="2" s="1"/>
  <c r="CE30" i="2"/>
  <c r="CI28" i="2"/>
  <c r="CE8" i="2"/>
  <c r="BT30" i="2"/>
  <c r="CE33" i="2"/>
  <c r="CI25" i="2"/>
  <c r="AF35" i="2"/>
  <c r="CE19" i="2"/>
  <c r="CE12" i="2"/>
  <c r="CD11" i="2"/>
  <c r="CD9" i="2"/>
  <c r="CD7" i="2"/>
  <c r="CD4" i="2"/>
  <c r="AT35" i="2"/>
  <c r="CC29" i="2"/>
  <c r="CE17" i="2"/>
  <c r="X35" i="2"/>
  <c r="BT25" i="2"/>
  <c r="BT8" i="2"/>
  <c r="AL35" i="2"/>
  <c r="CC30" i="2"/>
  <c r="AJ35" i="2"/>
  <c r="AZ35" i="2"/>
  <c r="DD35" i="2"/>
  <c r="BS4" i="2"/>
  <c r="BT4" i="2" s="1"/>
  <c r="T35" i="2"/>
  <c r="P35" i="2"/>
  <c r="N35" i="2"/>
  <c r="L35" i="2"/>
  <c r="F30" i="2"/>
  <c r="F31" i="2"/>
  <c r="F32" i="2"/>
  <c r="F28" i="2"/>
  <c r="F27" i="2"/>
  <c r="F33" i="2"/>
  <c r="F29" i="2"/>
  <c r="C35" i="2"/>
  <c r="F25" i="2"/>
  <c r="F12" i="2"/>
  <c r="F8" i="2"/>
  <c r="F20" i="2"/>
  <c r="F19" i="2"/>
  <c r="F11" i="2"/>
  <c r="F4" i="2"/>
  <c r="DA35" i="2"/>
  <c r="DS35" i="2"/>
  <c r="EE35" i="2"/>
  <c r="CX35" i="2"/>
  <c r="DM35" i="2"/>
  <c r="DJ35" i="2"/>
  <c r="DV35" i="2"/>
  <c r="DG35" i="2"/>
  <c r="DY35" i="2"/>
  <c r="DP35" i="2"/>
  <c r="CL35" i="2"/>
  <c r="EB35" i="2"/>
  <c r="DU35" i="2"/>
  <c r="DI35" i="2"/>
  <c r="CW35" i="2"/>
  <c r="CK35" i="2"/>
  <c r="E35" i="2"/>
  <c r="B739" i="9" s="1"/>
  <c r="CT25" i="2"/>
  <c r="CE22" i="2"/>
  <c r="CE18" i="2"/>
  <c r="BV35" i="2"/>
  <c r="BH35" i="2"/>
  <c r="AR35" i="2"/>
  <c r="CI26" i="2"/>
  <c r="CE25" i="2"/>
  <c r="CD24" i="2"/>
  <c r="F21" i="2"/>
  <c r="P725" i="9" s="1"/>
  <c r="CE4" i="2"/>
  <c r="ED35" i="2"/>
  <c r="DR35" i="2"/>
  <c r="DF35" i="2"/>
  <c r="CG35" i="2"/>
  <c r="BS22" i="2"/>
  <c r="BT22" i="2" s="1"/>
  <c r="CE20" i="2"/>
  <c r="CI11" i="2"/>
  <c r="CI12" i="2"/>
  <c r="CE9" i="2"/>
  <c r="BS6" i="2"/>
  <c r="CE6" i="2"/>
  <c r="CE5" i="2"/>
  <c r="CE23" i="2"/>
  <c r="EA35" i="2"/>
  <c r="DO35" i="2"/>
  <c r="DC35" i="2"/>
  <c r="CR35" i="2"/>
  <c r="CE26" i="2"/>
  <c r="F22" i="2"/>
  <c r="BS20" i="2"/>
  <c r="BT20" i="2" s="1"/>
  <c r="CI13" i="2"/>
  <c r="BS10" i="2"/>
  <c r="BT10" i="2" s="1"/>
  <c r="CE10" i="2"/>
  <c r="CI7" i="2"/>
  <c r="CI8" i="2"/>
  <c r="CP35" i="2"/>
  <c r="CE21" i="2"/>
  <c r="CT6" i="2"/>
  <c r="DX35" i="2"/>
  <c r="DL35" i="2"/>
  <c r="CZ35" i="2"/>
  <c r="CN35" i="2"/>
  <c r="CS26" i="2"/>
  <c r="BS26" i="2"/>
  <c r="BT26" i="2" s="1"/>
  <c r="CE24" i="2"/>
  <c r="CE16" i="2"/>
  <c r="CE13" i="2"/>
  <c r="CT10" i="2" l="1"/>
  <c r="CT11" i="2"/>
  <c r="C715" i="9" s="1"/>
  <c r="CT31" i="2"/>
  <c r="C735" i="9" s="1"/>
  <c r="CT19" i="2"/>
  <c r="CT16" i="2"/>
  <c r="CT28" i="2"/>
  <c r="CT7" i="2"/>
  <c r="CT33" i="2"/>
  <c r="CT5" i="2"/>
  <c r="CT9" i="2"/>
  <c r="CT12" i="2"/>
  <c r="CD35" i="2"/>
  <c r="CT17" i="2"/>
  <c r="C721" i="9" s="1"/>
  <c r="CT21" i="2"/>
  <c r="CT8" i="2"/>
  <c r="CT20" i="2"/>
  <c r="CT18" i="2"/>
  <c r="C714" i="9"/>
  <c r="CT22" i="2"/>
  <c r="C726" i="9" s="1"/>
  <c r="CS35" i="2"/>
  <c r="CT13" i="2"/>
  <c r="CT23" i="2"/>
  <c r="CC35" i="2"/>
  <c r="BT6" i="2"/>
  <c r="BT35" i="2" s="1"/>
  <c r="BS35" i="2"/>
  <c r="CI35" i="2"/>
  <c r="B32" i="3" s="1"/>
  <c r="CT27" i="2"/>
  <c r="CT26" i="2"/>
  <c r="CE35" i="2"/>
  <c r="G31" i="3"/>
  <c r="G30" i="3"/>
  <c r="G29" i="3"/>
  <c r="H26" i="3"/>
  <c r="H25" i="3"/>
  <c r="H24" i="3"/>
  <c r="F23" i="3"/>
  <c r="F21" i="3"/>
  <c r="CT35" i="2" l="1"/>
  <c r="G5" i="3"/>
  <c r="G6" i="3" s="1"/>
  <c r="G7" i="3" s="1"/>
  <c r="G8" i="3" s="1"/>
  <c r="G9" i="3" s="1"/>
  <c r="G10" i="3" s="1"/>
  <c r="G11" i="3" s="1"/>
  <c r="G12" i="3" s="1"/>
  <c r="G13" i="3" s="1"/>
  <c r="G14" i="3" s="1"/>
  <c r="G15" i="3" s="1"/>
  <c r="G16" i="3" s="1"/>
  <c r="G17" i="3" s="1"/>
  <c r="G18" i="3" l="1"/>
  <c r="G22" i="3"/>
  <c r="F22" i="3" s="1"/>
  <c r="A721" i="9" l="1"/>
  <c r="A722" i="9"/>
  <c r="A723" i="9"/>
  <c r="A724" i="9"/>
  <c r="A725" i="9"/>
  <c r="A726" i="9"/>
  <c r="A727" i="9"/>
  <c r="I739" i="9"/>
  <c r="A738" i="9"/>
  <c r="I738" i="9" l="1"/>
  <c r="G738" i="9"/>
  <c r="H738" i="9"/>
  <c r="B738" i="9"/>
  <c r="K738" i="9" s="1"/>
  <c r="E738" i="9"/>
  <c r="D738" i="9" l="1"/>
  <c r="F738" i="9"/>
  <c r="P723" i="9"/>
  <c r="I730" i="9"/>
  <c r="I731" i="9"/>
  <c r="I732" i="9"/>
  <c r="I733" i="9"/>
  <c r="A743" i="9"/>
  <c r="T737" i="9" l="1"/>
  <c r="B732" i="9"/>
  <c r="K732" i="9" s="1"/>
  <c r="E731" i="9"/>
  <c r="T726" i="9"/>
  <c r="T725" i="9"/>
  <c r="H725" i="9"/>
  <c r="B717" i="9"/>
  <c r="T738" i="9"/>
  <c r="Q738" i="9"/>
  <c r="R738" i="9"/>
  <c r="S738" i="9"/>
  <c r="M738" i="9" s="1"/>
  <c r="U738" i="9"/>
  <c r="V738" i="9"/>
  <c r="B721" i="9"/>
  <c r="B714" i="9"/>
  <c r="B715" i="9"/>
  <c r="B722" i="9" l="1"/>
  <c r="I729" i="9"/>
  <c r="T736" i="9"/>
  <c r="B734" i="9"/>
  <c r="T734" i="9"/>
  <c r="T728" i="9"/>
  <c r="H724" i="9"/>
  <c r="H726" i="9"/>
  <c r="H727" i="9"/>
  <c r="H728" i="9"/>
  <c r="H729" i="9"/>
  <c r="T727" i="9"/>
  <c r="A720" i="9"/>
  <c r="O632" i="9"/>
  <c r="M632" i="9"/>
  <c r="L632" i="9"/>
  <c r="K632" i="9"/>
  <c r="D632" i="9"/>
  <c r="C632" i="9"/>
  <c r="B632" i="9"/>
  <c r="F736" i="9" l="1"/>
  <c r="C738" i="9" l="1"/>
  <c r="F737" i="9"/>
  <c r="L738" i="9" l="1"/>
  <c r="O738" i="9" s="1"/>
  <c r="T732" i="9"/>
  <c r="T731" i="9"/>
  <c r="T730" i="9"/>
  <c r="T729" i="9"/>
  <c r="I727" i="9"/>
  <c r="I728" i="9"/>
  <c r="T711" i="9"/>
  <c r="T712" i="9"/>
  <c r="T713" i="9"/>
  <c r="T714" i="9"/>
  <c r="T715" i="9"/>
  <c r="T716" i="9"/>
  <c r="T717" i="9"/>
  <c r="T718" i="9"/>
  <c r="T719" i="9"/>
  <c r="T720" i="9"/>
  <c r="T721" i="9"/>
  <c r="T722" i="9"/>
  <c r="T723" i="9"/>
  <c r="T724" i="9"/>
  <c r="T709" i="9"/>
  <c r="T710" i="9"/>
  <c r="E714" i="9"/>
  <c r="I724" i="9"/>
  <c r="I725" i="9"/>
  <c r="I726" i="9"/>
  <c r="T708" i="9"/>
  <c r="U708" i="9"/>
  <c r="U709" i="9"/>
  <c r="V709" i="9"/>
  <c r="U710" i="9"/>
  <c r="V710" i="9"/>
  <c r="U711" i="9"/>
  <c r="V711" i="9"/>
  <c r="U712" i="9"/>
  <c r="V712" i="9"/>
  <c r="U713" i="9"/>
  <c r="V713" i="9"/>
  <c r="U714" i="9"/>
  <c r="V714" i="9"/>
  <c r="U715" i="9"/>
  <c r="V715" i="9"/>
  <c r="U716" i="9"/>
  <c r="V716" i="9"/>
  <c r="U717" i="9"/>
  <c r="V717" i="9"/>
  <c r="U718" i="9"/>
  <c r="V718" i="9"/>
  <c r="U719" i="9"/>
  <c r="V719" i="9"/>
  <c r="U720" i="9"/>
  <c r="V720" i="9"/>
  <c r="U721" i="9"/>
  <c r="V721" i="9"/>
  <c r="U722" i="9"/>
  <c r="V722" i="9"/>
  <c r="U723" i="9"/>
  <c r="V723" i="9"/>
  <c r="U724" i="9"/>
  <c r="V724" i="9"/>
  <c r="U725" i="9"/>
  <c r="V725" i="9"/>
  <c r="U726" i="9"/>
  <c r="V726" i="9"/>
  <c r="U727" i="9"/>
  <c r="V727" i="9"/>
  <c r="U728" i="9"/>
  <c r="V728" i="9"/>
  <c r="U729" i="9"/>
  <c r="V729" i="9"/>
  <c r="U730" i="9"/>
  <c r="V730" i="9"/>
  <c r="U731" i="9"/>
  <c r="V731" i="9"/>
  <c r="U732" i="9"/>
  <c r="V732" i="9"/>
  <c r="T733" i="9"/>
  <c r="U733" i="9"/>
  <c r="V733" i="9"/>
  <c r="U734" i="9"/>
  <c r="V734" i="9"/>
  <c r="T735" i="9"/>
  <c r="U735" i="9"/>
  <c r="U736" i="9"/>
  <c r="V736" i="9"/>
  <c r="U737" i="9"/>
  <c r="V737" i="9"/>
  <c r="V708" i="9"/>
  <c r="E724" i="9"/>
  <c r="E725" i="9"/>
  <c r="E726" i="9"/>
  <c r="E727" i="9"/>
  <c r="E728" i="9"/>
  <c r="E729" i="9"/>
  <c r="E730" i="9"/>
  <c r="E732" i="9"/>
  <c r="E733" i="9"/>
  <c r="B730" i="9"/>
  <c r="K730" i="9" s="1"/>
  <c r="A719" i="9"/>
  <c r="A728" i="9"/>
  <c r="A729" i="9"/>
  <c r="H736" i="9"/>
  <c r="G736" i="9"/>
  <c r="H737" i="9"/>
  <c r="G737" i="9"/>
  <c r="G731" i="9"/>
  <c r="G732" i="9"/>
  <c r="G733" i="9"/>
  <c r="G734" i="9"/>
  <c r="G735" i="9"/>
  <c r="G730" i="9"/>
  <c r="G729" i="9"/>
  <c r="Q726" i="9"/>
  <c r="Q727" i="9"/>
  <c r="Q728" i="9"/>
  <c r="S728" i="9"/>
  <c r="R728" i="9"/>
  <c r="G728" i="9"/>
  <c r="S727" i="9"/>
  <c r="R727" i="9"/>
  <c r="G727" i="9"/>
  <c r="S726" i="9"/>
  <c r="R726" i="9"/>
  <c r="F724" i="9"/>
  <c r="G711" i="9"/>
  <c r="G712" i="9"/>
  <c r="G713" i="9"/>
  <c r="G714" i="9"/>
  <c r="G715" i="9"/>
  <c r="G716" i="9"/>
  <c r="G717" i="9"/>
  <c r="G718" i="9"/>
  <c r="G719" i="9"/>
  <c r="G720" i="9"/>
  <c r="G721" i="9"/>
  <c r="G722" i="9"/>
  <c r="G723" i="9"/>
  <c r="G724" i="9"/>
  <c r="G725" i="9"/>
  <c r="G726" i="9"/>
  <c r="H714" i="9"/>
  <c r="H715" i="9"/>
  <c r="H716" i="9"/>
  <c r="H717" i="9"/>
  <c r="H718" i="9"/>
  <c r="H719" i="9"/>
  <c r="H720" i="9"/>
  <c r="H721" i="9"/>
  <c r="H722" i="9"/>
  <c r="H723" i="9"/>
  <c r="H730" i="9"/>
  <c r="H731" i="9"/>
  <c r="H732" i="9"/>
  <c r="H733" i="9"/>
  <c r="H734" i="9"/>
  <c r="H735" i="9"/>
  <c r="B716" i="9"/>
  <c r="B718" i="9"/>
  <c r="B723" i="9"/>
  <c r="B724" i="9"/>
  <c r="K724" i="9" s="1"/>
  <c r="B725" i="9"/>
  <c r="K725" i="9" s="1"/>
  <c r="B726" i="9"/>
  <c r="K726" i="9" s="1"/>
  <c r="B727" i="9"/>
  <c r="K727" i="9" s="1"/>
  <c r="B728" i="9"/>
  <c r="K728" i="9" s="1"/>
  <c r="B729" i="9"/>
  <c r="K729" i="9" s="1"/>
  <c r="B731" i="9"/>
  <c r="K731" i="9" s="1"/>
  <c r="B733" i="9"/>
  <c r="K733" i="9" s="1"/>
  <c r="B737" i="9"/>
  <c r="H713" i="9"/>
  <c r="H712" i="9"/>
  <c r="B712" i="9"/>
  <c r="B713" i="9"/>
  <c r="G708" i="9"/>
  <c r="G709" i="9"/>
  <c r="G710" i="9"/>
  <c r="H710" i="9"/>
  <c r="H711" i="9"/>
  <c r="B710" i="9"/>
  <c r="B711" i="9"/>
  <c r="B4" i="3" l="1"/>
  <c r="F714" i="9"/>
  <c r="F719" i="9"/>
  <c r="F730" i="9"/>
  <c r="F723" i="9"/>
  <c r="F716" i="9"/>
  <c r="F720" i="9"/>
  <c r="D732" i="9"/>
  <c r="F732" i="9"/>
  <c r="D728" i="9"/>
  <c r="M728" i="9" s="1"/>
  <c r="F728" i="9"/>
  <c r="D727" i="9"/>
  <c r="M727" i="9" s="1"/>
  <c r="F727" i="9"/>
  <c r="D724" i="9"/>
  <c r="B709" i="9"/>
  <c r="E708" i="9"/>
  <c r="H709" i="9"/>
  <c r="Z709" i="9"/>
  <c r="H708" i="9"/>
  <c r="Z708" i="9"/>
  <c r="C733" i="9"/>
  <c r="L733" i="9" s="1"/>
  <c r="F717" i="9"/>
  <c r="F722" i="9"/>
  <c r="F710" i="9"/>
  <c r="F713" i="9"/>
  <c r="F715" i="9"/>
  <c r="F734" i="9"/>
  <c r="F735" i="9"/>
  <c r="H739" i="9"/>
  <c r="P738" i="9"/>
  <c r="F718" i="9"/>
  <c r="F712" i="9"/>
  <c r="A708" i="9"/>
  <c r="I708" i="9"/>
  <c r="Q708" i="9"/>
  <c r="R708" i="9"/>
  <c r="S708" i="9"/>
  <c r="A709" i="9"/>
  <c r="I709" i="9"/>
  <c r="Q709" i="9"/>
  <c r="R709" i="9"/>
  <c r="S709" i="9"/>
  <c r="A710" i="9"/>
  <c r="I710" i="9"/>
  <c r="Q710" i="9"/>
  <c r="R710" i="9"/>
  <c r="S710" i="9"/>
  <c r="A711" i="9"/>
  <c r="I711" i="9"/>
  <c r="Q711" i="9"/>
  <c r="R711" i="9"/>
  <c r="S711" i="9"/>
  <c r="A712" i="9"/>
  <c r="I712" i="9"/>
  <c r="Q712" i="9"/>
  <c r="R712" i="9"/>
  <c r="S712" i="9"/>
  <c r="A713" i="9"/>
  <c r="I713" i="9"/>
  <c r="Q713" i="9"/>
  <c r="R713" i="9"/>
  <c r="S713" i="9"/>
  <c r="A714" i="9"/>
  <c r="I714" i="9"/>
  <c r="Q714" i="9"/>
  <c r="R714" i="9"/>
  <c r="S714" i="9"/>
  <c r="A715" i="9"/>
  <c r="I715" i="9"/>
  <c r="R715" i="9"/>
  <c r="S715" i="9"/>
  <c r="A716" i="9"/>
  <c r="I716" i="9"/>
  <c r="Q716" i="9"/>
  <c r="R716" i="9"/>
  <c r="S716" i="9"/>
  <c r="A717" i="9"/>
  <c r="I717" i="9"/>
  <c r="Q717" i="9"/>
  <c r="R717" i="9"/>
  <c r="S717" i="9"/>
  <c r="A718" i="9"/>
  <c r="I718" i="9"/>
  <c r="Q718" i="9"/>
  <c r="R718" i="9"/>
  <c r="S718" i="9"/>
  <c r="I719" i="9"/>
  <c r="Q719" i="9"/>
  <c r="R719" i="9"/>
  <c r="S719" i="9"/>
  <c r="I720" i="9"/>
  <c r="Q720" i="9"/>
  <c r="R720" i="9"/>
  <c r="I721" i="9"/>
  <c r="Q721" i="9"/>
  <c r="R721" i="9"/>
  <c r="S721" i="9"/>
  <c r="I722" i="9"/>
  <c r="Q722" i="9"/>
  <c r="R722" i="9"/>
  <c r="I723" i="9"/>
  <c r="Q723" i="9"/>
  <c r="R723" i="9"/>
  <c r="S723" i="9"/>
  <c r="Q724" i="9"/>
  <c r="R724" i="9"/>
  <c r="S724" i="9"/>
  <c r="Q725" i="9"/>
  <c r="R725" i="9"/>
  <c r="S725" i="9"/>
  <c r="Q729" i="9"/>
  <c r="R729" i="9"/>
  <c r="S729" i="9"/>
  <c r="A730" i="9"/>
  <c r="Y730" i="9" s="1"/>
  <c r="Q730" i="9"/>
  <c r="R730" i="9"/>
  <c r="S730" i="9"/>
  <c r="A731" i="9"/>
  <c r="Q731" i="9"/>
  <c r="R731" i="9"/>
  <c r="S731" i="9"/>
  <c r="A732" i="9"/>
  <c r="Q732" i="9"/>
  <c r="R732" i="9"/>
  <c r="S732" i="9"/>
  <c r="A733" i="9"/>
  <c r="Q733" i="9"/>
  <c r="R733" i="9"/>
  <c r="S733" i="9"/>
  <c r="A734" i="9"/>
  <c r="I734" i="9"/>
  <c r="Q734" i="9"/>
  <c r="R734" i="9"/>
  <c r="S734" i="9"/>
  <c r="A735" i="9"/>
  <c r="I735" i="9"/>
  <c r="Q735" i="9"/>
  <c r="R735" i="9"/>
  <c r="S735" i="9"/>
  <c r="A736" i="9"/>
  <c r="I736" i="9"/>
  <c r="Q736" i="9"/>
  <c r="R736" i="9"/>
  <c r="S736" i="9"/>
  <c r="A737" i="9"/>
  <c r="I737" i="9"/>
  <c r="Q737" i="9"/>
  <c r="R737" i="9"/>
  <c r="S737" i="9"/>
  <c r="C725" i="9" l="1"/>
  <c r="L725" i="9" s="1"/>
  <c r="C724" i="9"/>
  <c r="L724" i="9" s="1"/>
  <c r="C730" i="9"/>
  <c r="L730" i="9" s="1"/>
  <c r="D730" i="9"/>
  <c r="M730" i="9" s="1"/>
  <c r="F709" i="9"/>
  <c r="D709" i="9"/>
  <c r="F708" i="9"/>
  <c r="D708" i="9"/>
  <c r="B708" i="9"/>
  <c r="K739" i="9"/>
  <c r="C727" i="9"/>
  <c r="L727" i="9" s="1"/>
  <c r="O727" i="9" s="1"/>
  <c r="B10" i="3"/>
  <c r="G739" i="9"/>
  <c r="F711" i="9"/>
  <c r="D711" i="9"/>
  <c r="F721" i="9"/>
  <c r="D721" i="9"/>
  <c r="C729" i="9"/>
  <c r="L729" i="9" s="1"/>
  <c r="L726" i="9"/>
  <c r="L728" i="9"/>
  <c r="O728" i="9" s="1"/>
  <c r="M724" i="9"/>
  <c r="M732" i="9"/>
  <c r="C731" i="9"/>
  <c r="L731" i="9" s="1"/>
  <c r="C732" i="9"/>
  <c r="L732" i="9" s="1"/>
  <c r="D733" i="9"/>
  <c r="M733" i="9" s="1"/>
  <c r="O733" i="9" s="1"/>
  <c r="F733" i="9"/>
  <c r="D731" i="9"/>
  <c r="M731" i="9" s="1"/>
  <c r="F731" i="9"/>
  <c r="D725" i="9"/>
  <c r="M725" i="9" s="1"/>
  <c r="F725" i="9"/>
  <c r="D726" i="9"/>
  <c r="M726" i="9" s="1"/>
  <c r="F726" i="9"/>
  <c r="D729" i="9"/>
  <c r="M729" i="9" s="1"/>
  <c r="O729" i="9" s="1"/>
  <c r="F729" i="9"/>
  <c r="AB709" i="9"/>
  <c r="AE385" i="9"/>
  <c r="AF385" i="9"/>
  <c r="AC385" i="9"/>
  <c r="D385" i="9"/>
  <c r="C385" i="9"/>
  <c r="O724" i="9" l="1"/>
  <c r="O730" i="9"/>
  <c r="O725" i="9"/>
  <c r="O726" i="9"/>
  <c r="O731" i="9"/>
  <c r="O732" i="9"/>
  <c r="L385" i="9"/>
  <c r="AD385" i="9"/>
  <c r="K385" i="9"/>
  <c r="AB385" i="9"/>
  <c r="Z385" i="9"/>
  <c r="M385" i="9"/>
  <c r="B385" i="9"/>
  <c r="AA385" i="9" l="1"/>
  <c r="O385" i="9"/>
  <c r="K708" i="9" l="1"/>
  <c r="M708" i="9" l="1"/>
  <c r="P708" i="9"/>
  <c r="C708" i="9" l="1"/>
  <c r="L708" i="9" s="1"/>
  <c r="O708" i="9" s="1"/>
  <c r="M349" i="9" l="1"/>
  <c r="L349" i="9"/>
  <c r="D349" i="9"/>
  <c r="AE349" i="9"/>
  <c r="AF348" i="9"/>
  <c r="AD348" i="9"/>
  <c r="AA348" i="9"/>
  <c r="Y348" i="9"/>
  <c r="AF347" i="9"/>
  <c r="AD347" i="9"/>
  <c r="AA347" i="9"/>
  <c r="Y347" i="9"/>
  <c r="AF346" i="9"/>
  <c r="AD346" i="9"/>
  <c r="AB346" i="9"/>
  <c r="Y346" i="9"/>
  <c r="AF345" i="9"/>
  <c r="AD345" i="9"/>
  <c r="AB345" i="9"/>
  <c r="Y345" i="9"/>
  <c r="AF344" i="9"/>
  <c r="AD344" i="9"/>
  <c r="AB344" i="9"/>
  <c r="Y344" i="9"/>
  <c r="AF343" i="9"/>
  <c r="AD343" i="9"/>
  <c r="AB343" i="9"/>
  <c r="Y343" i="9"/>
  <c r="AF342" i="9"/>
  <c r="AD342" i="9"/>
  <c r="AB342" i="9"/>
  <c r="Y342" i="9"/>
  <c r="AF341" i="9"/>
  <c r="AD341" i="9"/>
  <c r="AB341" i="9"/>
  <c r="Y341" i="9"/>
  <c r="AF340" i="9"/>
  <c r="AD340" i="9"/>
  <c r="Y340" i="9"/>
  <c r="AF339" i="9"/>
  <c r="AD339" i="9"/>
  <c r="AA339" i="9"/>
  <c r="Y339" i="9"/>
  <c r="AF338" i="9"/>
  <c r="AD338" i="9"/>
  <c r="AB338" i="9"/>
  <c r="Y338" i="9"/>
  <c r="AF337" i="9"/>
  <c r="AD337" i="9"/>
  <c r="AA337" i="9"/>
  <c r="Y337" i="9"/>
  <c r="AF336" i="9"/>
  <c r="AD336" i="9"/>
  <c r="AB336" i="9"/>
  <c r="Y336" i="9"/>
  <c r="AF335" i="9"/>
  <c r="AD335" i="9"/>
  <c r="AB335" i="9"/>
  <c r="Y335" i="9"/>
  <c r="AF334" i="9"/>
  <c r="AD334" i="9"/>
  <c r="AB334" i="9"/>
  <c r="Y334" i="9"/>
  <c r="AF333" i="9"/>
  <c r="AD333" i="9"/>
  <c r="AB333" i="9"/>
  <c r="Y333" i="9"/>
  <c r="AF332" i="9"/>
  <c r="AD332" i="9"/>
  <c r="Y332" i="9"/>
  <c r="AF331" i="9"/>
  <c r="AD331" i="9"/>
  <c r="AB331" i="9"/>
  <c r="Y331" i="9"/>
  <c r="AF330" i="9"/>
  <c r="AD330" i="9"/>
  <c r="AB330" i="9"/>
  <c r="Y330" i="9"/>
  <c r="AF329" i="9"/>
  <c r="AD329" i="9"/>
  <c r="AB329" i="9"/>
  <c r="Y329" i="9"/>
  <c r="AF328" i="9"/>
  <c r="AD328" i="9"/>
  <c r="AB328" i="9"/>
  <c r="Y328" i="9"/>
  <c r="AF327" i="9"/>
  <c r="AD327" i="9"/>
  <c r="AB327" i="9"/>
  <c r="Y327" i="9"/>
  <c r="AF326" i="9"/>
  <c r="AD326" i="9"/>
  <c r="AB326" i="9"/>
  <c r="Y326" i="9"/>
  <c r="AF325" i="9"/>
  <c r="AD325" i="9"/>
  <c r="AB325" i="9"/>
  <c r="Y325" i="9"/>
  <c r="AF324" i="9"/>
  <c r="AD324" i="9"/>
  <c r="Y324" i="9"/>
  <c r="AF323" i="9"/>
  <c r="AD323" i="9"/>
  <c r="AA323" i="9"/>
  <c r="Y323" i="9"/>
  <c r="AF322" i="9"/>
  <c r="AD322" i="9"/>
  <c r="AB322" i="9"/>
  <c r="Y322" i="9"/>
  <c r="AF321" i="9"/>
  <c r="AD321" i="9"/>
  <c r="AB321" i="9"/>
  <c r="Y321" i="9"/>
  <c r="AF320" i="9"/>
  <c r="AD320" i="9"/>
  <c r="AB320" i="9"/>
  <c r="Y320" i="9"/>
  <c r="AF319" i="9"/>
  <c r="AB319" i="9"/>
  <c r="Y319" i="9"/>
  <c r="AF318" i="9"/>
  <c r="AD318" i="9"/>
  <c r="AA318" i="9"/>
  <c r="Y318" i="9"/>
  <c r="AA325" i="9" l="1"/>
  <c r="AB348" i="9"/>
  <c r="AA335" i="9"/>
  <c r="AA327" i="9"/>
  <c r="AA333" i="9"/>
  <c r="AA319" i="9"/>
  <c r="AB337" i="9"/>
  <c r="AA343" i="9"/>
  <c r="AA342" i="9"/>
  <c r="AA334" i="9"/>
  <c r="K349" i="9"/>
  <c r="O349" i="9"/>
  <c r="B349" i="9"/>
  <c r="C349" i="9"/>
  <c r="AA328" i="9"/>
  <c r="AA326" i="9"/>
  <c r="AB340" i="9"/>
  <c r="AA340" i="9"/>
  <c r="Z349" i="9"/>
  <c r="AB324" i="9"/>
  <c r="AA324" i="9"/>
  <c r="AB318" i="9"/>
  <c r="AA345" i="9"/>
  <c r="AF349" i="9"/>
  <c r="AD319" i="9"/>
  <c r="AD349" i="9" s="1"/>
  <c r="AC349" i="9"/>
  <c r="AA341" i="9"/>
  <c r="AA332" i="9"/>
  <c r="AB332" i="9"/>
  <c r="AA321" i="9"/>
  <c r="AA329" i="9"/>
  <c r="AA344" i="9"/>
  <c r="AA320" i="9"/>
  <c r="AA336" i="9"/>
  <c r="AA331" i="9"/>
  <c r="AA322" i="9"/>
  <c r="AB323" i="9"/>
  <c r="AA330" i="9"/>
  <c r="AA338" i="9"/>
  <c r="AB339" i="9"/>
  <c r="AA346" i="9"/>
  <c r="AB347" i="9"/>
  <c r="AB349" i="9" l="1"/>
  <c r="AA349" i="9"/>
  <c r="K721" i="9" l="1"/>
  <c r="L313" i="9" l="1"/>
  <c r="K313" i="9"/>
  <c r="L312" i="9"/>
  <c r="K312" i="9"/>
  <c r="L311" i="9"/>
  <c r="K311" i="9"/>
  <c r="L310" i="9"/>
  <c r="K310" i="9"/>
  <c r="L309" i="9"/>
  <c r="K309" i="9"/>
  <c r="L308" i="9"/>
  <c r="K308" i="9"/>
  <c r="L307" i="9"/>
  <c r="K307" i="9"/>
  <c r="L306" i="9"/>
  <c r="K306" i="9"/>
  <c r="L305" i="9"/>
  <c r="K305" i="9"/>
  <c r="L304" i="9"/>
  <c r="K304" i="9"/>
  <c r="L303" i="9"/>
  <c r="K303" i="9"/>
  <c r="L302" i="9"/>
  <c r="K302" i="9"/>
  <c r="L301" i="9"/>
  <c r="K301" i="9"/>
  <c r="L300" i="9"/>
  <c r="K300" i="9"/>
  <c r="L299" i="9"/>
  <c r="L298" i="9"/>
  <c r="K298" i="9"/>
  <c r="L297" i="9"/>
  <c r="K297" i="9"/>
  <c r="L296" i="9"/>
  <c r="K296" i="9"/>
  <c r="L295" i="9"/>
  <c r="K295" i="9"/>
  <c r="L294" i="9"/>
  <c r="K294" i="9"/>
  <c r="L293" i="9"/>
  <c r="K293" i="9"/>
  <c r="L292" i="9"/>
  <c r="K292" i="9"/>
  <c r="L291" i="9"/>
  <c r="L290" i="9"/>
  <c r="K290" i="9"/>
  <c r="L289" i="9"/>
  <c r="K289" i="9"/>
  <c r="L288" i="9"/>
  <c r="K288" i="9"/>
  <c r="L287" i="9"/>
  <c r="K287" i="9"/>
  <c r="L286" i="9"/>
  <c r="K286" i="9"/>
  <c r="L285" i="9"/>
  <c r="K285" i="9"/>
  <c r="L284" i="9"/>
  <c r="K284" i="9"/>
  <c r="L283" i="9"/>
  <c r="K283" i="9"/>
  <c r="Y313" i="9"/>
  <c r="Y312" i="9"/>
  <c r="Y311" i="9"/>
  <c r="Y310" i="9"/>
  <c r="Y309" i="9"/>
  <c r="Y308" i="9"/>
  <c r="Y307" i="9"/>
  <c r="Y306" i="9"/>
  <c r="Y305" i="9"/>
  <c r="Y304" i="9"/>
  <c r="Y303" i="9"/>
  <c r="Y302" i="9"/>
  <c r="Y301" i="9"/>
  <c r="Y300" i="9"/>
  <c r="Y299" i="9"/>
  <c r="Y298" i="9"/>
  <c r="Y297" i="9"/>
  <c r="Y296" i="9"/>
  <c r="Y295" i="9"/>
  <c r="Y294" i="9"/>
  <c r="Y293" i="9"/>
  <c r="Y292" i="9"/>
  <c r="Y291" i="9"/>
  <c r="Y290" i="9"/>
  <c r="Y289" i="9"/>
  <c r="Y288" i="9"/>
  <c r="Y287" i="9"/>
  <c r="Y286" i="9"/>
  <c r="Y285" i="9"/>
  <c r="Y284" i="9"/>
  <c r="Y283" i="9"/>
  <c r="AE314" i="9"/>
  <c r="AF313" i="9"/>
  <c r="AD313" i="9"/>
  <c r="AB313" i="9"/>
  <c r="AF312" i="9"/>
  <c r="AD312" i="9"/>
  <c r="AB312" i="9"/>
  <c r="AF311" i="9"/>
  <c r="AD311" i="9"/>
  <c r="AB311" i="9"/>
  <c r="AF310" i="9"/>
  <c r="AD310" i="9"/>
  <c r="AB310" i="9"/>
  <c r="AF309" i="9"/>
  <c r="AD309" i="9"/>
  <c r="AB309" i="9"/>
  <c r="AF308" i="9"/>
  <c r="AD308" i="9"/>
  <c r="AF307" i="9"/>
  <c r="AD307" i="9"/>
  <c r="AB307" i="9"/>
  <c r="AF306" i="9"/>
  <c r="AD306" i="9"/>
  <c r="AB306" i="9"/>
  <c r="AF305" i="9"/>
  <c r="AD305" i="9"/>
  <c r="AB305" i="9"/>
  <c r="AF304" i="9"/>
  <c r="AD304" i="9"/>
  <c r="AB304" i="9"/>
  <c r="AF303" i="9"/>
  <c r="AD303" i="9"/>
  <c r="AF302" i="9"/>
  <c r="AD302" i="9"/>
  <c r="AB302" i="9"/>
  <c r="AF301" i="9"/>
  <c r="AD301" i="9"/>
  <c r="AB301" i="9"/>
  <c r="AF300" i="9"/>
  <c r="AD300" i="9"/>
  <c r="AB300" i="9"/>
  <c r="AF299" i="9"/>
  <c r="AD299" i="9"/>
  <c r="AB299" i="9"/>
  <c r="AF298" i="9"/>
  <c r="AD298" i="9"/>
  <c r="AB298" i="9"/>
  <c r="AF297" i="9"/>
  <c r="AD297" i="9"/>
  <c r="AB297" i="9"/>
  <c r="AF296" i="9"/>
  <c r="AD296" i="9"/>
  <c r="AB296" i="9"/>
  <c r="AF295" i="9"/>
  <c r="AD295" i="9"/>
  <c r="AB295" i="9"/>
  <c r="AF294" i="9"/>
  <c r="AD294" i="9"/>
  <c r="AB294" i="9"/>
  <c r="AF293" i="9"/>
  <c r="AD293" i="9"/>
  <c r="AB293" i="9"/>
  <c r="AF292" i="9"/>
  <c r="AD292" i="9"/>
  <c r="AB292" i="9"/>
  <c r="AF291" i="9"/>
  <c r="AD291" i="9"/>
  <c r="AB291" i="9"/>
  <c r="AF290" i="9"/>
  <c r="AD290" i="9"/>
  <c r="AB290" i="9"/>
  <c r="AF289" i="9"/>
  <c r="AD289" i="9"/>
  <c r="AB289" i="9"/>
  <c r="AF288" i="9"/>
  <c r="AD288" i="9"/>
  <c r="AB288" i="9"/>
  <c r="AF287" i="9"/>
  <c r="AD287" i="9"/>
  <c r="AF286" i="9"/>
  <c r="AD286" i="9"/>
  <c r="AB286" i="9"/>
  <c r="AF285" i="9"/>
  <c r="AD285" i="9"/>
  <c r="AB285" i="9"/>
  <c r="AF284" i="9"/>
  <c r="AD284" i="9"/>
  <c r="AB284" i="9"/>
  <c r="AF283" i="9"/>
  <c r="AD283" i="9"/>
  <c r="AB283" i="9"/>
  <c r="AA287" i="9" l="1"/>
  <c r="M286" i="9"/>
  <c r="O286" i="9" s="1"/>
  <c r="M290" i="9"/>
  <c r="O290" i="9" s="1"/>
  <c r="AA303" i="9"/>
  <c r="M298" i="9"/>
  <c r="O298" i="9" s="1"/>
  <c r="M299" i="9"/>
  <c r="M303" i="9"/>
  <c r="O303" i="9" s="1"/>
  <c r="M287" i="9"/>
  <c r="O287" i="9" s="1"/>
  <c r="M308" i="9"/>
  <c r="O308" i="9" s="1"/>
  <c r="M311" i="9"/>
  <c r="O311" i="9" s="1"/>
  <c r="M291" i="9"/>
  <c r="AF314" i="9"/>
  <c r="M307" i="9"/>
  <c r="O307" i="9" s="1"/>
  <c r="M306" i="9"/>
  <c r="O306" i="9" s="1"/>
  <c r="M310" i="9"/>
  <c r="M295" i="9"/>
  <c r="M283" i="9"/>
  <c r="O283" i="9" s="1"/>
  <c r="M297" i="9"/>
  <c r="O297" i="9" s="1"/>
  <c r="M305" i="9"/>
  <c r="O305" i="9" s="1"/>
  <c r="M313" i="9"/>
  <c r="O313" i="9" s="1"/>
  <c r="AA308" i="9"/>
  <c r="M294" i="9"/>
  <c r="O294" i="9" s="1"/>
  <c r="M300" i="9"/>
  <c r="O300" i="9" s="1"/>
  <c r="AB287" i="9"/>
  <c r="M289" i="9"/>
  <c r="AB303" i="9"/>
  <c r="M284" i="9"/>
  <c r="O284" i="9" s="1"/>
  <c r="AA295" i="9"/>
  <c r="AA311" i="9"/>
  <c r="M292" i="9"/>
  <c r="M302" i="9"/>
  <c r="O302" i="9" s="1"/>
  <c r="AA291" i="9"/>
  <c r="AA299" i="9"/>
  <c r="C314" i="9"/>
  <c r="D314" i="9"/>
  <c r="AB308" i="9"/>
  <c r="M288" i="9"/>
  <c r="M296" i="9"/>
  <c r="O296" i="9" s="1"/>
  <c r="M304" i="9"/>
  <c r="M312" i="9"/>
  <c r="M285" i="9"/>
  <c r="M293" i="9"/>
  <c r="O293" i="9" s="1"/>
  <c r="M301" i="9"/>
  <c r="M309" i="9"/>
  <c r="Z314" i="9"/>
  <c r="AA286" i="9"/>
  <c r="AA312" i="9"/>
  <c r="AA307" i="9"/>
  <c r="K291" i="9"/>
  <c r="K299" i="9"/>
  <c r="L314" i="9"/>
  <c r="B314" i="9"/>
  <c r="AA283" i="9"/>
  <c r="AA310" i="9"/>
  <c r="AA294" i="9"/>
  <c r="AA284" i="9"/>
  <c r="AA302" i="9"/>
  <c r="AA304" i="9"/>
  <c r="AA300" i="9"/>
  <c r="AA292" i="9"/>
  <c r="AA296" i="9"/>
  <c r="AD314" i="9"/>
  <c r="AC314" i="9"/>
  <c r="AA285" i="9"/>
  <c r="AA293" i="9"/>
  <c r="AA309" i="9"/>
  <c r="AA301" i="9"/>
  <c r="AA290" i="9"/>
  <c r="AA298" i="9"/>
  <c r="AA306" i="9"/>
  <c r="AA289" i="9"/>
  <c r="AA297" i="9"/>
  <c r="AA305" i="9"/>
  <c r="AA313" i="9"/>
  <c r="AA288" i="9"/>
  <c r="AB314" i="9" l="1"/>
  <c r="O312" i="9"/>
  <c r="O310" i="9"/>
  <c r="O295" i="9"/>
  <c r="O288" i="9"/>
  <c r="O291" i="9"/>
  <c r="O289" i="9"/>
  <c r="O292" i="9"/>
  <c r="M314" i="9"/>
  <c r="O285" i="9"/>
  <c r="O309" i="9"/>
  <c r="O304" i="9"/>
  <c r="O301" i="9"/>
  <c r="O299" i="9"/>
  <c r="K314" i="9"/>
  <c r="AA314" i="9"/>
  <c r="O314" i="9" l="1"/>
  <c r="K709" i="9" l="1"/>
  <c r="AA709" i="9"/>
  <c r="E737" i="9" l="1"/>
  <c r="E736" i="9"/>
  <c r="E735" i="9"/>
  <c r="E734" i="9"/>
  <c r="E723" i="9"/>
  <c r="E722" i="9"/>
  <c r="E718" i="9"/>
  <c r="E717" i="9"/>
  <c r="E716" i="9"/>
  <c r="E715" i="9"/>
  <c r="E713" i="9"/>
  <c r="E712" i="9"/>
  <c r="E711" i="9"/>
  <c r="E710" i="9"/>
  <c r="E709" i="9"/>
  <c r="Y271" i="9" l="1"/>
  <c r="Y263" i="9"/>
  <c r="Y277" i="9"/>
  <c r="Y276" i="9"/>
  <c r="Y275" i="9"/>
  <c r="Y274" i="9"/>
  <c r="Y273" i="9"/>
  <c r="Y272" i="9"/>
  <c r="Y270" i="9"/>
  <c r="Y269" i="9"/>
  <c r="Y268" i="9"/>
  <c r="Y267" i="9"/>
  <c r="Y266" i="9"/>
  <c r="Y265" i="9"/>
  <c r="Y264" i="9"/>
  <c r="Y262" i="9"/>
  <c r="Y261" i="9"/>
  <c r="Y260" i="9"/>
  <c r="Y259" i="9"/>
  <c r="Y258" i="9"/>
  <c r="Y257" i="9"/>
  <c r="Y256" i="9"/>
  <c r="Y255" i="9"/>
  <c r="Y254" i="9"/>
  <c r="Y253" i="9"/>
  <c r="Y252" i="9"/>
  <c r="Y251" i="9"/>
  <c r="Y250" i="9"/>
  <c r="Y249" i="9"/>
  <c r="Y248" i="9"/>
  <c r="Y247" i="9"/>
  <c r="Z738" i="9" l="1"/>
  <c r="AC738" i="9"/>
  <c r="AD738" i="9" s="1"/>
  <c r="AF738" i="9"/>
  <c r="Y738" i="9"/>
  <c r="AA738" i="9" l="1"/>
  <c r="AB738" i="9"/>
  <c r="AB242" i="9"/>
  <c r="AF242" i="9"/>
  <c r="L242" i="9"/>
  <c r="AE242" i="9"/>
  <c r="AD242" i="9"/>
  <c r="AC242" i="9"/>
  <c r="M242" i="9" l="1"/>
  <c r="D242" i="9"/>
  <c r="Z242" i="9"/>
  <c r="AA242" i="9"/>
  <c r="O242" i="9"/>
  <c r="K242" i="9"/>
  <c r="C242" i="9"/>
  <c r="B242" i="9"/>
  <c r="CK47" i="2" l="1"/>
  <c r="CK52" i="2" l="1"/>
  <c r="CK53" i="2"/>
  <c r="CK54" i="2"/>
  <c r="CK55" i="2"/>
  <c r="CK48" i="2"/>
  <c r="CK49" i="2"/>
  <c r="CK50" i="2"/>
  <c r="CK51" i="2"/>
  <c r="CK46" i="2"/>
  <c r="B1" i="3" l="1"/>
  <c r="AE206" i="9" l="1"/>
  <c r="AF206" i="9"/>
  <c r="AD206" i="9"/>
  <c r="AC206" i="9"/>
  <c r="AA206" i="9"/>
  <c r="M206" i="9"/>
  <c r="L206" i="9"/>
  <c r="O206" i="9"/>
  <c r="D206" i="9"/>
  <c r="C206" i="9"/>
  <c r="B206" i="9"/>
  <c r="AB206" i="9" l="1"/>
  <c r="K206" i="9"/>
  <c r="Z206" i="9"/>
  <c r="AF165" i="9" l="1"/>
  <c r="AD165" i="9"/>
  <c r="Z170" i="9"/>
  <c r="AB170" i="9" s="1"/>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AC165" i="9"/>
  <c r="AE165" i="9"/>
  <c r="R170" i="9"/>
  <c r="C165" i="9"/>
  <c r="B170" i="9"/>
  <c r="K170" i="9" s="1"/>
  <c r="D165" i="9"/>
  <c r="B165" i="9"/>
  <c r="C170" i="9"/>
  <c r="L170" i="9" s="1"/>
  <c r="N170" i="9"/>
  <c r="Q170" i="9"/>
  <c r="AE170" i="9"/>
  <c r="AF170" i="9" s="1"/>
  <c r="Z165" i="9" l="1"/>
  <c r="AA165" i="9"/>
  <c r="AB165" i="9"/>
  <c r="D170" i="9"/>
  <c r="M170" i="9" s="1"/>
  <c r="O170" i="9" s="1"/>
  <c r="L165" i="9"/>
  <c r="AC170" i="9"/>
  <c r="AD170" i="9" s="1"/>
  <c r="O165" i="9" l="1"/>
  <c r="K165" i="9"/>
  <c r="M165" i="9"/>
  <c r="D5" i="7" l="1"/>
  <c r="D6" i="7"/>
  <c r="D7" i="7"/>
  <c r="D8" i="7"/>
  <c r="D9" i="7"/>
  <c r="D10" i="7"/>
  <c r="D11" i="7"/>
  <c r="D12" i="7"/>
  <c r="D13" i="7"/>
  <c r="D14" i="7"/>
  <c r="D15" i="7"/>
  <c r="D16" i="7"/>
  <c r="D17" i="7"/>
  <c r="D18" i="7"/>
  <c r="D20" i="7"/>
  <c r="D21" i="7"/>
  <c r="D22" i="7"/>
  <c r="D23" i="7"/>
  <c r="D24" i="7"/>
  <c r="D25" i="7"/>
  <c r="D26" i="7"/>
  <c r="D27" i="7"/>
  <c r="D28" i="7"/>
  <c r="D29" i="7"/>
  <c r="D30" i="7"/>
  <c r="D31" i="7"/>
  <c r="D32" i="7"/>
  <c r="D33" i="7"/>
  <c r="D35" i="7"/>
  <c r="D4" i="7"/>
  <c r="J4" i="8" l="1"/>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3" i="8"/>
  <c r="J48" i="8" l="1"/>
  <c r="AA114" i="9" l="1"/>
  <c r="AB114" i="9"/>
  <c r="AE739" i="9"/>
  <c r="AF737" i="9"/>
  <c r="Y737" i="9"/>
  <c r="AF736" i="9"/>
  <c r="Y736" i="9"/>
  <c r="AF735" i="9"/>
  <c r="Y735" i="9"/>
  <c r="AF734" i="9"/>
  <c r="Y734" i="9"/>
  <c r="AF733" i="9"/>
  <c r="Y733" i="9"/>
  <c r="AF732" i="9"/>
  <c r="Y732" i="9"/>
  <c r="AF731" i="9"/>
  <c r="Y731" i="9"/>
  <c r="AF730" i="9"/>
  <c r="AF729" i="9"/>
  <c r="Y729" i="9"/>
  <c r="AF728" i="9"/>
  <c r="Y728" i="9"/>
  <c r="AF727" i="9"/>
  <c r="Y727" i="9"/>
  <c r="AF726" i="9"/>
  <c r="Y726" i="9"/>
  <c r="AF725" i="9"/>
  <c r="Y725" i="9"/>
  <c r="AF724" i="9"/>
  <c r="Y724" i="9"/>
  <c r="AF723" i="9"/>
  <c r="Y723" i="9"/>
  <c r="AF722" i="9"/>
  <c r="Y722" i="9"/>
  <c r="AF721" i="9"/>
  <c r="Y721" i="9"/>
  <c r="AF720" i="9"/>
  <c r="Y720" i="9"/>
  <c r="AF719" i="9"/>
  <c r="Y719" i="9"/>
  <c r="AF718" i="9"/>
  <c r="Y718" i="9"/>
  <c r="AF717" i="9"/>
  <c r="Y717" i="9"/>
  <c r="AF716" i="9"/>
  <c r="Y716" i="9"/>
  <c r="AF715" i="9"/>
  <c r="Y715" i="9"/>
  <c r="AF714" i="9"/>
  <c r="Y714" i="9"/>
  <c r="AF713" i="9"/>
  <c r="Y713" i="9"/>
  <c r="AF712" i="9"/>
  <c r="Y712" i="9"/>
  <c r="AF711" i="9"/>
  <c r="Y711" i="9"/>
  <c r="AF710" i="9"/>
  <c r="Y710" i="9"/>
  <c r="AF709" i="9"/>
  <c r="Y709" i="9"/>
  <c r="AF708" i="9"/>
  <c r="Y708" i="9"/>
  <c r="AE120" i="9"/>
  <c r="AF120" i="9" s="1"/>
  <c r="AC120" i="9"/>
  <c r="AD120" i="9" s="1"/>
  <c r="Z120" i="9"/>
  <c r="AB120" i="9" s="1"/>
  <c r="R120" i="9"/>
  <c r="Q120" i="9"/>
  <c r="N120" i="9"/>
  <c r="D120" i="9"/>
  <c r="M120" i="9" s="1"/>
  <c r="C120" i="9"/>
  <c r="L120" i="9" s="1"/>
  <c r="B120" i="9"/>
  <c r="K120" i="9" s="1"/>
  <c r="AE115" i="9"/>
  <c r="AC115" i="9"/>
  <c r="Z115" i="9"/>
  <c r="D115" i="9"/>
  <c r="C115" i="9"/>
  <c r="B115" i="9"/>
  <c r="M114" i="9"/>
  <c r="D127" i="9" s="1"/>
  <c r="L114" i="9"/>
  <c r="L128" i="9" s="1"/>
  <c r="K114" i="9"/>
  <c r="B126" i="9" s="1"/>
  <c r="AF113" i="9"/>
  <c r="AD113" i="9"/>
  <c r="AB113" i="9"/>
  <c r="AA113" i="9"/>
  <c r="M113" i="9"/>
  <c r="L113" i="9"/>
  <c r="K113" i="9"/>
  <c r="AF112" i="9"/>
  <c r="AD112" i="9"/>
  <c r="AB112" i="9"/>
  <c r="AA112" i="9"/>
  <c r="M112" i="9"/>
  <c r="L112" i="9"/>
  <c r="K112" i="9"/>
  <c r="AF111" i="9"/>
  <c r="AD111" i="9"/>
  <c r="AB111" i="9"/>
  <c r="AA111" i="9"/>
  <c r="M111" i="9"/>
  <c r="L111" i="9"/>
  <c r="K111" i="9"/>
  <c r="AF110" i="9"/>
  <c r="AD110" i="9"/>
  <c r="AB110" i="9"/>
  <c r="AA110" i="9"/>
  <c r="M110" i="9"/>
  <c r="L110" i="9"/>
  <c r="K110" i="9"/>
  <c r="AF109" i="9"/>
  <c r="AD109" i="9"/>
  <c r="AB109" i="9"/>
  <c r="AA109" i="9"/>
  <c r="M109" i="9"/>
  <c r="L109" i="9"/>
  <c r="K109" i="9"/>
  <c r="AF108" i="9"/>
  <c r="AD108" i="9"/>
  <c r="AB108" i="9"/>
  <c r="AA108" i="9"/>
  <c r="M108" i="9"/>
  <c r="L108" i="9"/>
  <c r="K108" i="9"/>
  <c r="AF107" i="9"/>
  <c r="AD107" i="9"/>
  <c r="AB107" i="9"/>
  <c r="AA107" i="9"/>
  <c r="M107" i="9"/>
  <c r="L107" i="9"/>
  <c r="K107" i="9"/>
  <c r="AF106" i="9"/>
  <c r="AD106" i="9"/>
  <c r="AB106" i="9"/>
  <c r="AA106" i="9"/>
  <c r="M106" i="9"/>
  <c r="L106" i="9"/>
  <c r="K106" i="9"/>
  <c r="AF105" i="9"/>
  <c r="AD105" i="9"/>
  <c r="AB105" i="9"/>
  <c r="AA105" i="9"/>
  <c r="M105" i="9"/>
  <c r="L105" i="9"/>
  <c r="K105" i="9"/>
  <c r="AF104" i="9"/>
  <c r="AD104" i="9"/>
  <c r="AB104" i="9"/>
  <c r="AA104" i="9"/>
  <c r="M104" i="9"/>
  <c r="L104" i="9"/>
  <c r="K104" i="9"/>
  <c r="AF103" i="9"/>
  <c r="AD103" i="9"/>
  <c r="AB103" i="9"/>
  <c r="AA103" i="9"/>
  <c r="M103" i="9"/>
  <c r="L103" i="9"/>
  <c r="K103" i="9"/>
  <c r="AF102" i="9"/>
  <c r="AD102" i="9"/>
  <c r="AB102" i="9"/>
  <c r="AA102" i="9"/>
  <c r="M102" i="9"/>
  <c r="L102" i="9"/>
  <c r="K102" i="9"/>
  <c r="AF101" i="9"/>
  <c r="AD101" i="9"/>
  <c r="AB101" i="9"/>
  <c r="AA101" i="9"/>
  <c r="M101" i="9"/>
  <c r="L101" i="9"/>
  <c r="K101" i="9"/>
  <c r="AF100" i="9"/>
  <c r="AD100" i="9"/>
  <c r="AB100" i="9"/>
  <c r="AA100" i="9"/>
  <c r="M100" i="9"/>
  <c r="L100" i="9"/>
  <c r="K100" i="9"/>
  <c r="AF99" i="9"/>
  <c r="AD99" i="9"/>
  <c r="AB99" i="9"/>
  <c r="AA99" i="9"/>
  <c r="M99" i="9"/>
  <c r="L99" i="9"/>
  <c r="K99" i="9"/>
  <c r="AF98" i="9"/>
  <c r="AD98" i="9"/>
  <c r="AB98" i="9"/>
  <c r="AA98" i="9"/>
  <c r="M98" i="9"/>
  <c r="L98" i="9"/>
  <c r="K98" i="9"/>
  <c r="AF97" i="9"/>
  <c r="AD97" i="9"/>
  <c r="AB97" i="9"/>
  <c r="AA97" i="9"/>
  <c r="M97" i="9"/>
  <c r="L97" i="9"/>
  <c r="K97" i="9"/>
  <c r="AF96" i="9"/>
  <c r="AD96" i="9"/>
  <c r="AB96" i="9"/>
  <c r="AA96" i="9"/>
  <c r="M96" i="9"/>
  <c r="L96" i="9"/>
  <c r="K96" i="9"/>
  <c r="AF95" i="9"/>
  <c r="AD95" i="9"/>
  <c r="AB95" i="9"/>
  <c r="AA95" i="9"/>
  <c r="M95" i="9"/>
  <c r="L95" i="9"/>
  <c r="K95" i="9"/>
  <c r="AF94" i="9"/>
  <c r="AD94" i="9"/>
  <c r="AB94" i="9"/>
  <c r="AA94" i="9"/>
  <c r="M94" i="9"/>
  <c r="L94" i="9"/>
  <c r="K94" i="9"/>
  <c r="AF93" i="9"/>
  <c r="AD93" i="9"/>
  <c r="AB93" i="9"/>
  <c r="AA93" i="9"/>
  <c r="M93" i="9"/>
  <c r="L93" i="9"/>
  <c r="K93" i="9"/>
  <c r="AF92" i="9"/>
  <c r="AD92" i="9"/>
  <c r="AB92" i="9"/>
  <c r="AA92" i="9"/>
  <c r="M92" i="9"/>
  <c r="L92" i="9"/>
  <c r="K92" i="9"/>
  <c r="AF91" i="9"/>
  <c r="AD91" i="9"/>
  <c r="AB91" i="9"/>
  <c r="AA91" i="9"/>
  <c r="M91" i="9"/>
  <c r="L91" i="9"/>
  <c r="K91" i="9"/>
  <c r="AF90" i="9"/>
  <c r="AD90" i="9"/>
  <c r="AB90" i="9"/>
  <c r="AA90" i="9"/>
  <c r="M90" i="9"/>
  <c r="L90" i="9"/>
  <c r="K90" i="9"/>
  <c r="AF89" i="9"/>
  <c r="AD89" i="9"/>
  <c r="AB89" i="9"/>
  <c r="AA89" i="9"/>
  <c r="M89" i="9"/>
  <c r="L89" i="9"/>
  <c r="K89" i="9"/>
  <c r="AF88" i="9"/>
  <c r="AD88" i="9"/>
  <c r="AB88" i="9"/>
  <c r="AA88" i="9"/>
  <c r="M88" i="9"/>
  <c r="L88" i="9"/>
  <c r="K88" i="9"/>
  <c r="AF87" i="9"/>
  <c r="AD87" i="9"/>
  <c r="AB87" i="9"/>
  <c r="AA87" i="9"/>
  <c r="M87" i="9"/>
  <c r="L87" i="9"/>
  <c r="K87" i="9"/>
  <c r="AF86" i="9"/>
  <c r="AD86" i="9"/>
  <c r="AB86" i="9"/>
  <c r="AA86" i="9"/>
  <c r="M86" i="9"/>
  <c r="L86" i="9"/>
  <c r="K86" i="9"/>
  <c r="AF85" i="9"/>
  <c r="AD85" i="9"/>
  <c r="AB85" i="9"/>
  <c r="AA85" i="9"/>
  <c r="M85" i="9"/>
  <c r="L85" i="9"/>
  <c r="K85" i="9"/>
  <c r="AF84" i="9"/>
  <c r="AD84" i="9"/>
  <c r="AB84" i="9"/>
  <c r="AA84" i="9"/>
  <c r="M84" i="9"/>
  <c r="L84" i="9"/>
  <c r="K84" i="9"/>
  <c r="R79" i="9"/>
  <c r="Q79" i="9"/>
  <c r="N79" i="9"/>
  <c r="AE74" i="9"/>
  <c r="AE79" i="9" s="1"/>
  <c r="AC74" i="9"/>
  <c r="AC79" i="9" s="1"/>
  <c r="Z74" i="9"/>
  <c r="Z79" i="9" s="1"/>
  <c r="D74" i="9"/>
  <c r="D79" i="9" s="1"/>
  <c r="C74" i="9"/>
  <c r="C79" i="9" s="1"/>
  <c r="B74" i="9"/>
  <c r="B79" i="9" s="1"/>
  <c r="AF73" i="9"/>
  <c r="AD73" i="9"/>
  <c r="AB73" i="9"/>
  <c r="AA73" i="9"/>
  <c r="M73" i="9"/>
  <c r="L73" i="9"/>
  <c r="K73" i="9"/>
  <c r="AF72" i="9"/>
  <c r="AD72" i="9"/>
  <c r="AB72" i="9"/>
  <c r="AA72" i="9"/>
  <c r="M72" i="9"/>
  <c r="L72" i="9"/>
  <c r="K72" i="9"/>
  <c r="AF71" i="9"/>
  <c r="AD71" i="9"/>
  <c r="AB71" i="9"/>
  <c r="AA71" i="9"/>
  <c r="M71" i="9"/>
  <c r="L71" i="9"/>
  <c r="K71" i="9"/>
  <c r="AF70" i="9"/>
  <c r="AD70" i="9"/>
  <c r="AB70" i="9"/>
  <c r="AA70" i="9"/>
  <c r="M70" i="9"/>
  <c r="L70" i="9"/>
  <c r="K70" i="9"/>
  <c r="AF69" i="9"/>
  <c r="AD69" i="9"/>
  <c r="AB69" i="9"/>
  <c r="AA69" i="9"/>
  <c r="M69" i="9"/>
  <c r="L69" i="9"/>
  <c r="K69" i="9"/>
  <c r="AF68" i="9"/>
  <c r="AD68" i="9"/>
  <c r="AB68" i="9"/>
  <c r="AA68" i="9"/>
  <c r="M68" i="9"/>
  <c r="L68" i="9"/>
  <c r="K68" i="9"/>
  <c r="AF67" i="9"/>
  <c r="AD67" i="9"/>
  <c r="AB67" i="9"/>
  <c r="AA67" i="9"/>
  <c r="M67" i="9"/>
  <c r="L67" i="9"/>
  <c r="K67" i="9"/>
  <c r="AF66" i="9"/>
  <c r="AD66" i="9"/>
  <c r="AB66" i="9"/>
  <c r="AA66" i="9"/>
  <c r="M66" i="9"/>
  <c r="L66" i="9"/>
  <c r="K66" i="9"/>
  <c r="AF65" i="9"/>
  <c r="AD65" i="9"/>
  <c r="AB65" i="9"/>
  <c r="AA65" i="9"/>
  <c r="M65" i="9"/>
  <c r="L65" i="9"/>
  <c r="K65" i="9"/>
  <c r="AF64" i="9"/>
  <c r="AD64" i="9"/>
  <c r="AB64" i="9"/>
  <c r="AA64" i="9"/>
  <c r="M64" i="9"/>
  <c r="L64" i="9"/>
  <c r="K64" i="9"/>
  <c r="AF63" i="9"/>
  <c r="AD63" i="9"/>
  <c r="AB63" i="9"/>
  <c r="AA63" i="9"/>
  <c r="M63" i="9"/>
  <c r="L63" i="9"/>
  <c r="K63" i="9"/>
  <c r="AF62" i="9"/>
  <c r="AD62" i="9"/>
  <c r="AB62" i="9"/>
  <c r="AA62" i="9"/>
  <c r="M62" i="9"/>
  <c r="L62" i="9"/>
  <c r="K62" i="9"/>
  <c r="AF61" i="9"/>
  <c r="AD61" i="9"/>
  <c r="AB61" i="9"/>
  <c r="AA61" i="9"/>
  <c r="M61" i="9"/>
  <c r="L61" i="9"/>
  <c r="K61" i="9"/>
  <c r="AF60" i="9"/>
  <c r="AD60" i="9"/>
  <c r="AB60" i="9"/>
  <c r="AA60" i="9"/>
  <c r="M60" i="9"/>
  <c r="L60" i="9"/>
  <c r="K60" i="9"/>
  <c r="AF59" i="9"/>
  <c r="AD59" i="9"/>
  <c r="AB59" i="9"/>
  <c r="AA59" i="9"/>
  <c r="M59" i="9"/>
  <c r="L59" i="9"/>
  <c r="K59" i="9"/>
  <c r="AF58" i="9"/>
  <c r="AD58" i="9"/>
  <c r="AB58" i="9"/>
  <c r="AA58" i="9"/>
  <c r="M58" i="9"/>
  <c r="L58" i="9"/>
  <c r="K58" i="9"/>
  <c r="AF57" i="9"/>
  <c r="AD57" i="9"/>
  <c r="AB57" i="9"/>
  <c r="AA57" i="9"/>
  <c r="M57" i="9"/>
  <c r="L57" i="9"/>
  <c r="K57" i="9"/>
  <c r="AF56" i="9"/>
  <c r="AD56" i="9"/>
  <c r="AB56" i="9"/>
  <c r="AA56" i="9"/>
  <c r="M56" i="9"/>
  <c r="L56" i="9"/>
  <c r="K56" i="9"/>
  <c r="AF55" i="9"/>
  <c r="AD55" i="9"/>
  <c r="AB55" i="9"/>
  <c r="AA55" i="9"/>
  <c r="M55" i="9"/>
  <c r="L55" i="9"/>
  <c r="K55" i="9"/>
  <c r="AF54" i="9"/>
  <c r="AD54" i="9"/>
  <c r="AB54" i="9"/>
  <c r="AA54" i="9"/>
  <c r="M54" i="9"/>
  <c r="L54" i="9"/>
  <c r="K54" i="9"/>
  <c r="AF53" i="9"/>
  <c r="AD53" i="9"/>
  <c r="AB53" i="9"/>
  <c r="AA53" i="9"/>
  <c r="M53" i="9"/>
  <c r="L53" i="9"/>
  <c r="K53" i="9"/>
  <c r="AF52" i="9"/>
  <c r="AD52" i="9"/>
  <c r="AB52" i="9"/>
  <c r="AA52" i="9"/>
  <c r="M52" i="9"/>
  <c r="L52" i="9"/>
  <c r="K52" i="9"/>
  <c r="AF51" i="9"/>
  <c r="AD51" i="9"/>
  <c r="AB51" i="9"/>
  <c r="AA51" i="9"/>
  <c r="M51" i="9"/>
  <c r="L51" i="9"/>
  <c r="K51" i="9"/>
  <c r="AF50" i="9"/>
  <c r="AD50" i="9"/>
  <c r="AB50" i="9"/>
  <c r="AA50" i="9"/>
  <c r="M50" i="9"/>
  <c r="L50" i="9"/>
  <c r="K50" i="9"/>
  <c r="AF49" i="9"/>
  <c r="AD49" i="9"/>
  <c r="AB49" i="9"/>
  <c r="AA49" i="9"/>
  <c r="M49" i="9"/>
  <c r="L49" i="9"/>
  <c r="K49" i="9"/>
  <c r="AF48" i="9"/>
  <c r="AD48" i="9"/>
  <c r="AB48" i="9"/>
  <c r="AA48" i="9"/>
  <c r="M48" i="9"/>
  <c r="L48" i="9"/>
  <c r="K48" i="9"/>
  <c r="AF47" i="9"/>
  <c r="AD47" i="9"/>
  <c r="AB47" i="9"/>
  <c r="AA47" i="9"/>
  <c r="M47" i="9"/>
  <c r="L47" i="9"/>
  <c r="K47" i="9"/>
  <c r="AF46" i="9"/>
  <c r="AD46" i="9"/>
  <c r="AB46" i="9"/>
  <c r="AA46" i="9"/>
  <c r="M46" i="9"/>
  <c r="L46" i="9"/>
  <c r="K46" i="9"/>
  <c r="AF45" i="9"/>
  <c r="AD45" i="9"/>
  <c r="AB45" i="9"/>
  <c r="AA45" i="9"/>
  <c r="M45" i="9"/>
  <c r="L45" i="9"/>
  <c r="K45" i="9"/>
  <c r="R40" i="9"/>
  <c r="Q40" i="9"/>
  <c r="N40" i="9"/>
  <c r="AE35" i="9"/>
  <c r="AE40" i="9" s="1"/>
  <c r="AC35" i="9"/>
  <c r="AC40" i="9" s="1"/>
  <c r="Z35" i="9"/>
  <c r="Z40" i="9" s="1"/>
  <c r="D35" i="9"/>
  <c r="D40" i="9" s="1"/>
  <c r="C35" i="9"/>
  <c r="C40" i="9" s="1"/>
  <c r="B35" i="9"/>
  <c r="B40" i="9" s="1"/>
  <c r="AF34" i="9"/>
  <c r="AD34" i="9"/>
  <c r="AB34" i="9"/>
  <c r="AA34" i="9"/>
  <c r="M34" i="9"/>
  <c r="L34" i="9"/>
  <c r="K34" i="9"/>
  <c r="AF33" i="9"/>
  <c r="AD33" i="9"/>
  <c r="AB33" i="9"/>
  <c r="AA33" i="9"/>
  <c r="M33" i="9"/>
  <c r="L33" i="9"/>
  <c r="K33" i="9"/>
  <c r="AF32" i="9"/>
  <c r="AD32" i="9"/>
  <c r="AB32" i="9"/>
  <c r="AA32" i="9"/>
  <c r="M32" i="9"/>
  <c r="L32" i="9"/>
  <c r="K32" i="9"/>
  <c r="AF31" i="9"/>
  <c r="AD31" i="9"/>
  <c r="AB31" i="9"/>
  <c r="AA31" i="9"/>
  <c r="M31" i="9"/>
  <c r="L31" i="9"/>
  <c r="K31" i="9"/>
  <c r="AF30" i="9"/>
  <c r="AD30" i="9"/>
  <c r="AB30" i="9"/>
  <c r="AA30" i="9"/>
  <c r="M30" i="9"/>
  <c r="L30" i="9"/>
  <c r="K30" i="9"/>
  <c r="AF29" i="9"/>
  <c r="AD29" i="9"/>
  <c r="AB29" i="9"/>
  <c r="AA29" i="9"/>
  <c r="M29" i="9"/>
  <c r="L29" i="9"/>
  <c r="K29" i="9"/>
  <c r="AF28" i="9"/>
  <c r="AD28" i="9"/>
  <c r="AB28" i="9"/>
  <c r="AA28" i="9"/>
  <c r="M28" i="9"/>
  <c r="L28" i="9"/>
  <c r="K28" i="9"/>
  <c r="AF27" i="9"/>
  <c r="AD27" i="9"/>
  <c r="AB27" i="9"/>
  <c r="AA27" i="9"/>
  <c r="M27" i="9"/>
  <c r="L27" i="9"/>
  <c r="K27" i="9"/>
  <c r="AF26" i="9"/>
  <c r="AD26" i="9"/>
  <c r="AB26" i="9"/>
  <c r="AA26" i="9"/>
  <c r="M26" i="9"/>
  <c r="L26" i="9"/>
  <c r="K26" i="9"/>
  <c r="AF25" i="9"/>
  <c r="AD25" i="9"/>
  <c r="AB25" i="9"/>
  <c r="AA25" i="9"/>
  <c r="M25" i="9"/>
  <c r="L25" i="9"/>
  <c r="K25" i="9"/>
  <c r="AF24" i="9"/>
  <c r="AD24" i="9"/>
  <c r="AB24" i="9"/>
  <c r="AA24" i="9"/>
  <c r="M24" i="9"/>
  <c r="L24" i="9"/>
  <c r="K24" i="9"/>
  <c r="AF23" i="9"/>
  <c r="AD23" i="9"/>
  <c r="AB23" i="9"/>
  <c r="AA23" i="9"/>
  <c r="M23" i="9"/>
  <c r="L23" i="9"/>
  <c r="K23" i="9"/>
  <c r="AF22" i="9"/>
  <c r="AD22" i="9"/>
  <c r="AB22" i="9"/>
  <c r="AA22" i="9"/>
  <c r="M22" i="9"/>
  <c r="L22" i="9"/>
  <c r="K22" i="9"/>
  <c r="AF21" i="9"/>
  <c r="AD21" i="9"/>
  <c r="AB21" i="9"/>
  <c r="AA21" i="9"/>
  <c r="M21" i="9"/>
  <c r="L21" i="9"/>
  <c r="K21" i="9"/>
  <c r="AF20" i="9"/>
  <c r="AD20" i="9"/>
  <c r="AB20" i="9"/>
  <c r="AA20" i="9"/>
  <c r="M20" i="9"/>
  <c r="L20" i="9"/>
  <c r="K20" i="9"/>
  <c r="AF19" i="9"/>
  <c r="AD19" i="9"/>
  <c r="AB19" i="9"/>
  <c r="AA19" i="9"/>
  <c r="M19" i="9"/>
  <c r="L19" i="9"/>
  <c r="K19" i="9"/>
  <c r="AF18" i="9"/>
  <c r="AD18" i="9"/>
  <c r="AB18" i="9"/>
  <c r="AA18" i="9"/>
  <c r="M18" i="9"/>
  <c r="L18" i="9"/>
  <c r="K18" i="9"/>
  <c r="AF17" i="9"/>
  <c r="AD17" i="9"/>
  <c r="AB17" i="9"/>
  <c r="AA17" i="9"/>
  <c r="M17" i="9"/>
  <c r="L17" i="9"/>
  <c r="K17" i="9"/>
  <c r="AF16" i="9"/>
  <c r="AD16" i="9"/>
  <c r="AB16" i="9"/>
  <c r="AA16" i="9"/>
  <c r="M16" i="9"/>
  <c r="L16" i="9"/>
  <c r="K16" i="9"/>
  <c r="AF15" i="9"/>
  <c r="AD15" i="9"/>
  <c r="AB15" i="9"/>
  <c r="AA15" i="9"/>
  <c r="M15" i="9"/>
  <c r="L15" i="9"/>
  <c r="K15" i="9"/>
  <c r="AF14" i="9"/>
  <c r="AD14" i="9"/>
  <c r="AB14" i="9"/>
  <c r="AA14" i="9"/>
  <c r="M14" i="9"/>
  <c r="L14" i="9"/>
  <c r="K14" i="9"/>
  <c r="AF13" i="9"/>
  <c r="AD13" i="9"/>
  <c r="AB13" i="9"/>
  <c r="AA13" i="9"/>
  <c r="M13" i="9"/>
  <c r="L13" i="9"/>
  <c r="K13" i="9"/>
  <c r="AF12" i="9"/>
  <c r="AD12" i="9"/>
  <c r="AB12" i="9"/>
  <c r="AA12" i="9"/>
  <c r="M12" i="9"/>
  <c r="L12" i="9"/>
  <c r="K12" i="9"/>
  <c r="AF11" i="9"/>
  <c r="AD11" i="9"/>
  <c r="AB11" i="9"/>
  <c r="AA11" i="9"/>
  <c r="M11" i="9"/>
  <c r="L11" i="9"/>
  <c r="K11" i="9"/>
  <c r="AF10" i="9"/>
  <c r="AD10" i="9"/>
  <c r="AB10" i="9"/>
  <c r="AA10" i="9"/>
  <c r="M10" i="9"/>
  <c r="L10" i="9"/>
  <c r="K10" i="9"/>
  <c r="AF9" i="9"/>
  <c r="AD9" i="9"/>
  <c r="AB9" i="9"/>
  <c r="AA9" i="9"/>
  <c r="M9" i="9"/>
  <c r="L9" i="9"/>
  <c r="K9" i="9"/>
  <c r="AF8" i="9"/>
  <c r="AD8" i="9"/>
  <c r="AB8" i="9"/>
  <c r="AA8" i="9"/>
  <c r="M8" i="9"/>
  <c r="L8" i="9"/>
  <c r="K8" i="9"/>
  <c r="AF7" i="9"/>
  <c r="AD7" i="9"/>
  <c r="AB7" i="9"/>
  <c r="AA7" i="9"/>
  <c r="M7" i="9"/>
  <c r="L7" i="9"/>
  <c r="K7" i="9"/>
  <c r="AF6" i="9"/>
  <c r="AD6" i="9"/>
  <c r="AB6" i="9"/>
  <c r="AA6" i="9"/>
  <c r="M6" i="9"/>
  <c r="L6" i="9"/>
  <c r="K6" i="9"/>
  <c r="AF5" i="9"/>
  <c r="AD5" i="9"/>
  <c r="AB5" i="9"/>
  <c r="AA5" i="9"/>
  <c r="M5" i="9"/>
  <c r="L5" i="9"/>
  <c r="K5" i="9"/>
  <c r="AF4" i="9"/>
  <c r="AD4" i="9"/>
  <c r="AB4" i="9"/>
  <c r="AA4" i="9"/>
  <c r="M4" i="9"/>
  <c r="L4" i="9"/>
  <c r="K4" i="9"/>
  <c r="O107" i="9" l="1"/>
  <c r="O91" i="9"/>
  <c r="O31" i="9"/>
  <c r="O96" i="9"/>
  <c r="O19" i="9"/>
  <c r="O32" i="9"/>
  <c r="O70" i="9"/>
  <c r="O60" i="9"/>
  <c r="O52" i="9"/>
  <c r="O64" i="9"/>
  <c r="O23" i="9"/>
  <c r="O71" i="9"/>
  <c r="O25" i="9"/>
  <c r="O27" i="9"/>
  <c r="O106" i="9"/>
  <c r="O5" i="9"/>
  <c r="O12" i="9"/>
  <c r="O14" i="9"/>
  <c r="O57" i="9"/>
  <c r="O88" i="9"/>
  <c r="O100" i="9"/>
  <c r="O112" i="9"/>
  <c r="O9" i="9"/>
  <c r="O4" i="9"/>
  <c r="O6" i="9"/>
  <c r="O73" i="9"/>
  <c r="O56" i="9"/>
  <c r="O68" i="9"/>
  <c r="O16" i="9"/>
  <c r="O33" i="9"/>
  <c r="O53" i="9"/>
  <c r="O61" i="9"/>
  <c r="K126" i="9"/>
  <c r="O21" i="9"/>
  <c r="O30" i="9"/>
  <c r="AF115" i="9"/>
  <c r="M127" i="9"/>
  <c r="O29" i="9"/>
  <c r="AB74" i="9"/>
  <c r="AB79" i="9" s="1"/>
  <c r="AD74" i="9"/>
  <c r="AD79" i="9" s="1"/>
  <c r="M115" i="9"/>
  <c r="O10" i="9"/>
  <c r="O18" i="9"/>
  <c r="O48" i="9"/>
  <c r="O72" i="9"/>
  <c r="O99" i="9"/>
  <c r="O8" i="9"/>
  <c r="O17" i="9"/>
  <c r="O34" i="9"/>
  <c r="AD35" i="9"/>
  <c r="AD40" i="9" s="1"/>
  <c r="O7" i="9"/>
  <c r="O26" i="9"/>
  <c r="O46" i="9"/>
  <c r="O47" i="9"/>
  <c r="O54" i="9"/>
  <c r="O55" i="9"/>
  <c r="O62" i="9"/>
  <c r="O63" i="9"/>
  <c r="O24" i="9"/>
  <c r="O65" i="9"/>
  <c r="M35" i="9"/>
  <c r="M40" i="9" s="1"/>
  <c r="K74" i="9"/>
  <c r="K79" i="9" s="1"/>
  <c r="K115" i="9"/>
  <c r="O15" i="9"/>
  <c r="L74" i="9"/>
  <c r="L79" i="9" s="1"/>
  <c r="O69" i="9"/>
  <c r="O13" i="9"/>
  <c r="M74" i="9"/>
  <c r="M79" i="9" s="1"/>
  <c r="O86" i="9"/>
  <c r="O94" i="9"/>
  <c r="O102" i="9"/>
  <c r="O104" i="9"/>
  <c r="O110" i="9"/>
  <c r="AF35" i="9"/>
  <c r="AF40" i="9" s="1"/>
  <c r="O49" i="9"/>
  <c r="AB35" i="9"/>
  <c r="AB40" i="9" s="1"/>
  <c r="O11" i="9"/>
  <c r="O28" i="9"/>
  <c r="O50" i="9"/>
  <c r="O51" i="9"/>
  <c r="O58" i="9"/>
  <c r="O59" i="9"/>
  <c r="O66" i="9"/>
  <c r="O67" i="9"/>
  <c r="O85" i="9"/>
  <c r="O93" i="9"/>
  <c r="O101" i="9"/>
  <c r="O109" i="9"/>
  <c r="K35" i="9"/>
  <c r="K40" i="9" s="1"/>
  <c r="O22" i="9"/>
  <c r="O90" i="9"/>
  <c r="O92" i="9"/>
  <c r="O98" i="9"/>
  <c r="O108" i="9"/>
  <c r="L35" i="9"/>
  <c r="L40" i="9" s="1"/>
  <c r="O20" i="9"/>
  <c r="O89" i="9"/>
  <c r="O97" i="9"/>
  <c r="O105" i="9"/>
  <c r="O113" i="9"/>
  <c r="AD115" i="9"/>
  <c r="AA115" i="9"/>
  <c r="AB115" i="9"/>
  <c r="O45" i="9"/>
  <c r="O87" i="9"/>
  <c r="O103" i="9"/>
  <c r="O120" i="9"/>
  <c r="AF74" i="9"/>
  <c r="AF79" i="9" s="1"/>
  <c r="L115" i="9"/>
  <c r="AF739" i="9"/>
  <c r="O95" i="9"/>
  <c r="O111" i="9"/>
  <c r="O84" i="9"/>
  <c r="O114" i="9"/>
  <c r="C126" i="9"/>
  <c r="K127" i="9"/>
  <c r="M128" i="9"/>
  <c r="D126" i="9"/>
  <c r="L127" i="9"/>
  <c r="L126" i="9"/>
  <c r="B128" i="9"/>
  <c r="M126" i="9"/>
  <c r="C128" i="9"/>
  <c r="B127" i="9"/>
  <c r="D128" i="9"/>
  <c r="C127" i="9"/>
  <c r="K128" i="9"/>
  <c r="AI319" i="9" l="1"/>
  <c r="AI328" i="9"/>
  <c r="AI343" i="9"/>
  <c r="AI320" i="9"/>
  <c r="AI344" i="9"/>
  <c r="AI323" i="9"/>
  <c r="AI321" i="9"/>
  <c r="AI331" i="9"/>
  <c r="AI345" i="9"/>
  <c r="AI346" i="9"/>
  <c r="AI332" i="9"/>
  <c r="AI322" i="9"/>
  <c r="AI347" i="9"/>
  <c r="AI325" i="9"/>
  <c r="AI324" i="9"/>
  <c r="AI339" i="9"/>
  <c r="AI326" i="9"/>
  <c r="AI348" i="9"/>
  <c r="AI327" i="9"/>
  <c r="AI341" i="9"/>
  <c r="AI329" i="9"/>
  <c r="AI337" i="9"/>
  <c r="AI340" i="9"/>
  <c r="AI342" i="9"/>
  <c r="AI334" i="9"/>
  <c r="AI336" i="9"/>
  <c r="AI333" i="9"/>
  <c r="AI330" i="9"/>
  <c r="AI338" i="9"/>
  <c r="AI335" i="9"/>
  <c r="AI318" i="9"/>
  <c r="AH348" i="9"/>
  <c r="AH319" i="9"/>
  <c r="AH321" i="9"/>
  <c r="AH330" i="9"/>
  <c r="AH325" i="9"/>
  <c r="AH333" i="9"/>
  <c r="AH343" i="9"/>
  <c r="AH332" i="9"/>
  <c r="AH334" i="9"/>
  <c r="AH340" i="9"/>
  <c r="AH326" i="9"/>
  <c r="AH318" i="9"/>
  <c r="AH327" i="9"/>
  <c r="AH335" i="9"/>
  <c r="AH331" i="9"/>
  <c r="AH338" i="9"/>
  <c r="AH322" i="9"/>
  <c r="AH328" i="9"/>
  <c r="AH339" i="9"/>
  <c r="AH341" i="9"/>
  <c r="AH324" i="9"/>
  <c r="AH337" i="9"/>
  <c r="AH342" i="9"/>
  <c r="AH323" i="9"/>
  <c r="AH347" i="9"/>
  <c r="AH346" i="9"/>
  <c r="AH344" i="9"/>
  <c r="AH336" i="9"/>
  <c r="AH320" i="9"/>
  <c r="AH345" i="9"/>
  <c r="AH329" i="9"/>
  <c r="AJ348" i="9"/>
  <c r="AJ329" i="9"/>
  <c r="AJ321" i="9"/>
  <c r="AJ345" i="9"/>
  <c r="AJ333" i="9"/>
  <c r="AJ335" i="9"/>
  <c r="AJ337" i="9"/>
  <c r="AJ325" i="9"/>
  <c r="AJ319" i="9"/>
  <c r="AJ339" i="9"/>
  <c r="AJ327" i="9"/>
  <c r="AJ341" i="9"/>
  <c r="AJ343" i="9"/>
  <c r="AJ340" i="9"/>
  <c r="AJ323" i="9"/>
  <c r="AJ326" i="9"/>
  <c r="AJ322" i="9"/>
  <c r="AJ347" i="9"/>
  <c r="AJ318" i="9"/>
  <c r="AJ320" i="9"/>
  <c r="AJ330" i="9"/>
  <c r="AJ342" i="9"/>
  <c r="AJ328" i="9"/>
  <c r="AJ344" i="9"/>
  <c r="AJ334" i="9"/>
  <c r="AJ332" i="9"/>
  <c r="AJ324" i="9"/>
  <c r="AJ346" i="9"/>
  <c r="AJ336" i="9"/>
  <c r="AJ338" i="9"/>
  <c r="AJ331" i="9"/>
  <c r="AJ291" i="9"/>
  <c r="AJ303" i="9"/>
  <c r="AJ308" i="9"/>
  <c r="AJ299" i="9"/>
  <c r="AJ287" i="9"/>
  <c r="AJ286" i="9"/>
  <c r="AJ311" i="9"/>
  <c r="AJ290" i="9"/>
  <c r="AJ298" i="9"/>
  <c r="AJ288" i="9"/>
  <c r="AJ292" i="9"/>
  <c r="AJ300" i="9"/>
  <c r="AJ285" i="9"/>
  <c r="AJ294" i="9"/>
  <c r="AJ284" i="9"/>
  <c r="AJ313" i="9"/>
  <c r="AJ301" i="9"/>
  <c r="AJ305" i="9"/>
  <c r="AJ310" i="9"/>
  <c r="AJ293" i="9"/>
  <c r="AJ297" i="9"/>
  <c r="AJ283" i="9"/>
  <c r="AJ295" i="9"/>
  <c r="AJ307" i="9"/>
  <c r="AJ304" i="9"/>
  <c r="AJ306" i="9"/>
  <c r="AJ309" i="9"/>
  <c r="AJ296" i="9"/>
  <c r="AJ312" i="9"/>
  <c r="AJ289" i="9"/>
  <c r="AJ302" i="9"/>
  <c r="AI310" i="9"/>
  <c r="AI289" i="9"/>
  <c r="AI305" i="9"/>
  <c r="AI313" i="9"/>
  <c r="AI287" i="9"/>
  <c r="AI304" i="9"/>
  <c r="AI307" i="9"/>
  <c r="AI294" i="9"/>
  <c r="AI297" i="9"/>
  <c r="AI298" i="9"/>
  <c r="AI286" i="9"/>
  <c r="AI303" i="9"/>
  <c r="AI291" i="9"/>
  <c r="AI285" i="9"/>
  <c r="AI302" i="9"/>
  <c r="AI311" i="9"/>
  <c r="AI296" i="9"/>
  <c r="AI299" i="9"/>
  <c r="AI290" i="9"/>
  <c r="AI293" i="9"/>
  <c r="AI284" i="9"/>
  <c r="AI308" i="9"/>
  <c r="AI295" i="9"/>
  <c r="AI312" i="9"/>
  <c r="AI309" i="9"/>
  <c r="AI292" i="9"/>
  <c r="AI288" i="9"/>
  <c r="AI306" i="9"/>
  <c r="AI301" i="9"/>
  <c r="AI300" i="9"/>
  <c r="AI283" i="9"/>
  <c r="AH307" i="9"/>
  <c r="AH309" i="9"/>
  <c r="AH300" i="9"/>
  <c r="AH293" i="9"/>
  <c r="AH295" i="9"/>
  <c r="AH302" i="9"/>
  <c r="AH313" i="9"/>
  <c r="AH288" i="9"/>
  <c r="AH312" i="9"/>
  <c r="AH310" i="9"/>
  <c r="AH306" i="9"/>
  <c r="AH284" i="9"/>
  <c r="AH298" i="9"/>
  <c r="AH304" i="9"/>
  <c r="AH285" i="9"/>
  <c r="AH283" i="9"/>
  <c r="AH292" i="9"/>
  <c r="AH289" i="9"/>
  <c r="AH297" i="9"/>
  <c r="AH296" i="9"/>
  <c r="AH308" i="9"/>
  <c r="AH305" i="9"/>
  <c r="AH301" i="9"/>
  <c r="AH286" i="9"/>
  <c r="AH290" i="9"/>
  <c r="AH294" i="9"/>
  <c r="AH287" i="9"/>
  <c r="AH311" i="9"/>
  <c r="AH299" i="9"/>
  <c r="AH291" i="9"/>
  <c r="AH303" i="9"/>
  <c r="AI249" i="9"/>
  <c r="AI250" i="9"/>
  <c r="AI267" i="9"/>
  <c r="AI260" i="9"/>
  <c r="AI268" i="9"/>
  <c r="AI276" i="9"/>
  <c r="AI255" i="9"/>
  <c r="AI269" i="9"/>
  <c r="AI277" i="9"/>
  <c r="AI270" i="9"/>
  <c r="AI253" i="9"/>
  <c r="AI264" i="9"/>
  <c r="AI252" i="9"/>
  <c r="AI262" i="9"/>
  <c r="AI275" i="9"/>
  <c r="AI261" i="9"/>
  <c r="AI274" i="9"/>
  <c r="AI254" i="9"/>
  <c r="AI273" i="9"/>
  <c r="AI271" i="9"/>
  <c r="AI266" i="9"/>
  <c r="AI263" i="9"/>
  <c r="AI256" i="9"/>
  <c r="AI265" i="9"/>
  <c r="AI272" i="9"/>
  <c r="AI259" i="9"/>
  <c r="AI248" i="9"/>
  <c r="AI258" i="9"/>
  <c r="AI251" i="9"/>
  <c r="AI257" i="9"/>
  <c r="AI247" i="9"/>
  <c r="AH272" i="9"/>
  <c r="AH266" i="9"/>
  <c r="AH254" i="9"/>
  <c r="AH274" i="9"/>
  <c r="AH264" i="9"/>
  <c r="AH258" i="9"/>
  <c r="AH270" i="9"/>
  <c r="AH251" i="9"/>
  <c r="AH267" i="9"/>
  <c r="AH271" i="9"/>
  <c r="AH276" i="9"/>
  <c r="AH277" i="9"/>
  <c r="AH257" i="9"/>
  <c r="AH265" i="9"/>
  <c r="AH255" i="9"/>
  <c r="AH273" i="9"/>
  <c r="AH256" i="9"/>
  <c r="AH250" i="9"/>
  <c r="AH259" i="9"/>
  <c r="AH248" i="9"/>
  <c r="AH275" i="9"/>
  <c r="AH253" i="9"/>
  <c r="AH249" i="9"/>
  <c r="AH260" i="9"/>
  <c r="AH269" i="9"/>
  <c r="AH262" i="9"/>
  <c r="AH268" i="9"/>
  <c r="AH252" i="9"/>
  <c r="AH263" i="9"/>
  <c r="AH247" i="9"/>
  <c r="AH261" i="9"/>
  <c r="AJ249" i="9"/>
  <c r="AJ258" i="9"/>
  <c r="AJ266" i="9"/>
  <c r="AJ274" i="9"/>
  <c r="AJ259" i="9"/>
  <c r="AJ275" i="9"/>
  <c r="AJ250" i="9"/>
  <c r="AJ253" i="9"/>
  <c r="AJ273" i="9"/>
  <c r="AJ251" i="9"/>
  <c r="AJ261" i="9"/>
  <c r="AJ269" i="9"/>
  <c r="AJ277" i="9"/>
  <c r="AJ262" i="9"/>
  <c r="AJ254" i="9"/>
  <c r="AJ267" i="9"/>
  <c r="AJ263" i="9"/>
  <c r="AJ270" i="9"/>
  <c r="AJ255" i="9"/>
  <c r="AJ264" i="9"/>
  <c r="AJ271" i="9"/>
  <c r="AJ256" i="9"/>
  <c r="AJ265" i="9"/>
  <c r="AJ272" i="9"/>
  <c r="AJ257" i="9"/>
  <c r="AJ268" i="9"/>
  <c r="AJ276" i="9"/>
  <c r="AJ260" i="9"/>
  <c r="AJ248" i="9"/>
  <c r="AJ252" i="9"/>
  <c r="AJ247" i="9"/>
  <c r="AH10" i="9"/>
  <c r="AI231" i="9"/>
  <c r="AI214" i="9"/>
  <c r="AI234" i="9"/>
  <c r="AI222" i="9"/>
  <c r="AI235" i="9"/>
  <c r="AI212" i="9"/>
  <c r="AI220" i="9"/>
  <c r="AI226" i="9"/>
  <c r="AI238" i="9"/>
  <c r="AI221" i="9"/>
  <c r="AI213" i="9"/>
  <c r="AI228" i="9"/>
  <c r="AI215" i="9"/>
  <c r="AI229" i="9"/>
  <c r="AI236" i="9"/>
  <c r="AI240" i="9"/>
  <c r="AI241" i="9"/>
  <c r="AI230" i="9"/>
  <c r="AI237" i="9"/>
  <c r="AI239" i="9"/>
  <c r="AI219" i="9"/>
  <c r="AI225" i="9"/>
  <c r="AI216" i="9"/>
  <c r="AI223" i="9"/>
  <c r="AI217" i="9"/>
  <c r="AI233" i="9"/>
  <c r="AI218" i="9"/>
  <c r="AI227" i="9"/>
  <c r="AI232" i="9"/>
  <c r="AI224" i="9"/>
  <c r="AI211" i="9"/>
  <c r="AJ217" i="9"/>
  <c r="AJ225" i="9"/>
  <c r="AJ230" i="9"/>
  <c r="AJ237" i="9"/>
  <c r="AJ220" i="9"/>
  <c r="AJ219" i="9"/>
  <c r="AJ218" i="9"/>
  <c r="AJ212" i="9"/>
  <c r="AJ227" i="9"/>
  <c r="AJ238" i="9"/>
  <c r="AJ213" i="9"/>
  <c r="AJ214" i="9"/>
  <c r="AJ231" i="9"/>
  <c r="AJ232" i="9"/>
  <c r="AJ221" i="9"/>
  <c r="AJ239" i="9"/>
  <c r="AJ222" i="9"/>
  <c r="AJ241" i="9"/>
  <c r="AJ215" i="9"/>
  <c r="AJ223" i="9"/>
  <c r="AJ229" i="9"/>
  <c r="AJ236" i="9"/>
  <c r="AJ240" i="9"/>
  <c r="AJ234" i="9"/>
  <c r="AJ216" i="9"/>
  <c r="AJ235" i="9"/>
  <c r="AJ226" i="9"/>
  <c r="AJ228" i="9"/>
  <c r="AJ224" i="9"/>
  <c r="AJ211" i="9"/>
  <c r="AJ233" i="9"/>
  <c r="AH241" i="9"/>
  <c r="AH221" i="9"/>
  <c r="AH215" i="9"/>
  <c r="AH232" i="9"/>
  <c r="AH218" i="9"/>
  <c r="AH229" i="9"/>
  <c r="AH238" i="9"/>
  <c r="AH225" i="9"/>
  <c r="AH223" i="9"/>
  <c r="AH226" i="9"/>
  <c r="AH224" i="9"/>
  <c r="AH233" i="9"/>
  <c r="AH213" i="9"/>
  <c r="AH217" i="9"/>
  <c r="AH239" i="9"/>
  <c r="AH237" i="9"/>
  <c r="AH235" i="9"/>
  <c r="AH231" i="9"/>
  <c r="AH230" i="9"/>
  <c r="AH234" i="9"/>
  <c r="AH240" i="9"/>
  <c r="AH220" i="9"/>
  <c r="AH228" i="9"/>
  <c r="AH219" i="9"/>
  <c r="AH211" i="9"/>
  <c r="AH236" i="9"/>
  <c r="AH222" i="9"/>
  <c r="AH214" i="9"/>
  <c r="AH212" i="9"/>
  <c r="AH227" i="9"/>
  <c r="AH216" i="9"/>
  <c r="AI8" i="9"/>
  <c r="AJ67" i="9"/>
  <c r="AI62" i="9"/>
  <c r="AI64" i="9"/>
  <c r="AI86" i="9"/>
  <c r="AJ54" i="9"/>
  <c r="AJ4" i="9"/>
  <c r="AJ738" i="9"/>
  <c r="AI10" i="9"/>
  <c r="AJ69" i="9"/>
  <c r="AJ85" i="9"/>
  <c r="AJ5" i="9"/>
  <c r="AJ6" i="9"/>
  <c r="AI60" i="9"/>
  <c r="AJ87" i="9"/>
  <c r="AJ105" i="9"/>
  <c r="AJ9" i="9"/>
  <c r="AJ107" i="9"/>
  <c r="AI96" i="9"/>
  <c r="AJ103" i="9"/>
  <c r="AJ12" i="9"/>
  <c r="AJ13" i="9"/>
  <c r="AJ8" i="9"/>
  <c r="AJ7" i="9"/>
  <c r="AJ11" i="9"/>
  <c r="AJ48" i="9"/>
  <c r="AJ49" i="9"/>
  <c r="AJ96" i="9"/>
  <c r="AJ10" i="9"/>
  <c r="AJ45" i="9"/>
  <c r="AJ46" i="9"/>
  <c r="AJ50" i="9"/>
  <c r="AJ51" i="9"/>
  <c r="AJ98" i="9"/>
  <c r="AJ28" i="9"/>
  <c r="AJ109" i="9"/>
  <c r="AJ47" i="9"/>
  <c r="AJ94" i="9"/>
  <c r="AJ52" i="9"/>
  <c r="AI58" i="9"/>
  <c r="AH113" i="9"/>
  <c r="AH200" i="9"/>
  <c r="AH192" i="9"/>
  <c r="AH184" i="9"/>
  <c r="AH176" i="9"/>
  <c r="AH201" i="9"/>
  <c r="AH193" i="9"/>
  <c r="AH185" i="9"/>
  <c r="AH177" i="9"/>
  <c r="AH186" i="9"/>
  <c r="AH178" i="9"/>
  <c r="AH202" i="9"/>
  <c r="AH194" i="9"/>
  <c r="AH191" i="9"/>
  <c r="AH203" i="9"/>
  <c r="AH195" i="9"/>
  <c r="AH187" i="9"/>
  <c r="AH179" i="9"/>
  <c r="AH180" i="9"/>
  <c r="AH199" i="9"/>
  <c r="AH205" i="9"/>
  <c r="AH204" i="9"/>
  <c r="AH196" i="9"/>
  <c r="AH188" i="9"/>
  <c r="AH197" i="9"/>
  <c r="AH189" i="9"/>
  <c r="AH181" i="9"/>
  <c r="AH190" i="9"/>
  <c r="AH175" i="9"/>
  <c r="AH198" i="9"/>
  <c r="AH182" i="9"/>
  <c r="AH183" i="9"/>
  <c r="AH24" i="9"/>
  <c r="AI112" i="9"/>
  <c r="AI201" i="9"/>
  <c r="AI193" i="9"/>
  <c r="AI185" i="9"/>
  <c r="AI177" i="9"/>
  <c r="AI202" i="9"/>
  <c r="AI194" i="9"/>
  <c r="AI186" i="9"/>
  <c r="AI178" i="9"/>
  <c r="AI187" i="9"/>
  <c r="AI179" i="9"/>
  <c r="AI184" i="9"/>
  <c r="AI203" i="9"/>
  <c r="AI195" i="9"/>
  <c r="AI181" i="9"/>
  <c r="AI205" i="9"/>
  <c r="AI204" i="9"/>
  <c r="AI196" i="9"/>
  <c r="AI188" i="9"/>
  <c r="AI180" i="9"/>
  <c r="AI192" i="9"/>
  <c r="AI197" i="9"/>
  <c r="AI189" i="9"/>
  <c r="AI198" i="9"/>
  <c r="AI190" i="9"/>
  <c r="AI182" i="9"/>
  <c r="AI199" i="9"/>
  <c r="AI191" i="9"/>
  <c r="AI175" i="9"/>
  <c r="AI200" i="9"/>
  <c r="AI176" i="9"/>
  <c r="AI183" i="9"/>
  <c r="AI23" i="9"/>
  <c r="AI55" i="9"/>
  <c r="AI25" i="9"/>
  <c r="AI57" i="9"/>
  <c r="AJ92" i="9"/>
  <c r="AJ202" i="9"/>
  <c r="AJ194" i="9"/>
  <c r="AJ186" i="9"/>
  <c r="AJ178" i="9"/>
  <c r="AJ203" i="9"/>
  <c r="AJ195" i="9"/>
  <c r="AJ187" i="9"/>
  <c r="AJ179" i="9"/>
  <c r="AJ188" i="9"/>
  <c r="AJ205" i="9"/>
  <c r="AJ204" i="9"/>
  <c r="AJ196" i="9"/>
  <c r="AJ180" i="9"/>
  <c r="AJ182" i="9"/>
  <c r="AJ197" i="9"/>
  <c r="AJ189" i="9"/>
  <c r="AJ181" i="9"/>
  <c r="AJ177" i="9"/>
  <c r="AJ198" i="9"/>
  <c r="AJ190" i="9"/>
  <c r="AJ201" i="9"/>
  <c r="AJ199" i="9"/>
  <c r="AJ191" i="9"/>
  <c r="AJ183" i="9"/>
  <c r="AJ175" i="9"/>
  <c r="AJ192" i="9"/>
  <c r="AJ176" i="9"/>
  <c r="AJ185" i="9"/>
  <c r="AJ200" i="9"/>
  <c r="AJ184" i="9"/>
  <c r="AJ193" i="9"/>
  <c r="AH14" i="9"/>
  <c r="AJ100" i="9"/>
  <c r="AH26" i="9"/>
  <c r="AJ111" i="9"/>
  <c r="AJ15" i="9"/>
  <c r="AJ56" i="9"/>
  <c r="AJ14" i="9"/>
  <c r="AJ53" i="9"/>
  <c r="AJ89" i="9"/>
  <c r="AJ113" i="9"/>
  <c r="AJ104" i="9"/>
  <c r="AH19" i="9"/>
  <c r="AH95" i="9"/>
  <c r="AJ17" i="9"/>
  <c r="AJ58" i="9"/>
  <c r="AJ16" i="9"/>
  <c r="AJ55" i="9"/>
  <c r="AJ91" i="9"/>
  <c r="AJ114" i="9"/>
  <c r="AJ106" i="9"/>
  <c r="AH21" i="9"/>
  <c r="AH101" i="9"/>
  <c r="AJ60" i="9"/>
  <c r="AJ57" i="9"/>
  <c r="AJ93" i="9"/>
  <c r="AJ84" i="9"/>
  <c r="AJ108" i="9"/>
  <c r="AH23" i="9"/>
  <c r="AH84" i="9"/>
  <c r="AJ102" i="9"/>
  <c r="AJ19" i="9"/>
  <c r="AJ18" i="9"/>
  <c r="AJ21" i="9"/>
  <c r="AJ62" i="9"/>
  <c r="AJ20" i="9"/>
  <c r="AJ59" i="9"/>
  <c r="AJ95" i="9"/>
  <c r="AJ86" i="9"/>
  <c r="AJ110" i="9"/>
  <c r="AI12" i="9"/>
  <c r="AH25" i="9"/>
  <c r="AH96" i="9"/>
  <c r="AJ23" i="9"/>
  <c r="AJ64" i="9"/>
  <c r="AJ22" i="9"/>
  <c r="AJ61" i="9"/>
  <c r="AJ97" i="9"/>
  <c r="AJ88" i="9"/>
  <c r="AJ112" i="9"/>
  <c r="AI14" i="9"/>
  <c r="AH27" i="9"/>
  <c r="AH112" i="9"/>
  <c r="AJ25" i="9"/>
  <c r="AJ66" i="9"/>
  <c r="AJ24" i="9"/>
  <c r="AJ63" i="9"/>
  <c r="AJ99" i="9"/>
  <c r="AJ90" i="9"/>
  <c r="AI17" i="9"/>
  <c r="AI45" i="9"/>
  <c r="AH52" i="9"/>
  <c r="AH55" i="9"/>
  <c r="AJ27" i="9"/>
  <c r="AJ68" i="9"/>
  <c r="AJ26" i="9"/>
  <c r="AJ65" i="9"/>
  <c r="AJ101" i="9"/>
  <c r="AI19" i="9"/>
  <c r="AI51" i="9"/>
  <c r="AH70" i="9"/>
  <c r="AI90" i="9"/>
  <c r="AI27" i="9"/>
  <c r="AI68" i="9"/>
  <c r="AI16" i="9"/>
  <c r="AI59" i="9"/>
  <c r="AI98" i="9"/>
  <c r="AI29" i="9"/>
  <c r="AI70" i="9"/>
  <c r="AI18" i="9"/>
  <c r="AI61" i="9"/>
  <c r="AI100" i="9"/>
  <c r="AH29" i="9"/>
  <c r="AH28" i="9"/>
  <c r="AI87" i="9"/>
  <c r="AI101" i="9"/>
  <c r="AI73" i="9"/>
  <c r="AI24" i="9"/>
  <c r="AI65" i="9"/>
  <c r="AI104" i="9"/>
  <c r="AH50" i="9"/>
  <c r="AH71" i="9"/>
  <c r="AI32" i="9"/>
  <c r="AI108" i="9"/>
  <c r="AI26" i="9"/>
  <c r="AI7" i="9"/>
  <c r="AI46" i="9"/>
  <c r="AI113" i="9"/>
  <c r="AI28" i="9"/>
  <c r="AI107" i="9"/>
  <c r="AH5" i="9"/>
  <c r="AH54" i="9"/>
  <c r="AH59" i="9"/>
  <c r="O35" i="9"/>
  <c r="O40" i="9" s="1"/>
  <c r="AI5" i="9"/>
  <c r="AI9" i="9"/>
  <c r="AI50" i="9"/>
  <c r="AI30" i="9"/>
  <c r="AI71" i="9"/>
  <c r="AI31" i="9"/>
  <c r="AH7" i="9"/>
  <c r="AH64" i="9"/>
  <c r="AH69" i="9"/>
  <c r="AI97" i="9"/>
  <c r="AI69" i="9"/>
  <c r="AI11" i="9"/>
  <c r="AI52" i="9"/>
  <c r="AI95" i="9"/>
  <c r="AI93" i="9"/>
  <c r="AI89" i="9"/>
  <c r="AH9" i="9"/>
  <c r="AH66" i="9"/>
  <c r="AH31" i="9"/>
  <c r="AI13" i="9"/>
  <c r="AI54" i="9"/>
  <c r="AI4" i="9"/>
  <c r="AI109" i="9"/>
  <c r="AI114" i="9"/>
  <c r="AH13" i="9"/>
  <c r="AH68" i="9"/>
  <c r="AH85" i="9"/>
  <c r="AI53" i="9"/>
  <c r="AI91" i="9"/>
  <c r="AI88" i="9"/>
  <c r="AI106" i="9"/>
  <c r="AH12" i="9"/>
  <c r="AH57" i="9"/>
  <c r="O74" i="9"/>
  <c r="O79" i="9" s="1"/>
  <c r="AI92" i="9"/>
  <c r="AH110" i="9"/>
  <c r="AH164" i="9"/>
  <c r="AH135" i="9"/>
  <c r="AH161" i="9"/>
  <c r="AH162" i="9"/>
  <c r="AH146" i="9"/>
  <c r="AH160" i="9"/>
  <c r="AH153" i="9"/>
  <c r="AH155" i="9"/>
  <c r="AH157" i="9"/>
  <c r="AH163" i="9"/>
  <c r="AH147" i="9"/>
  <c r="AH152" i="9"/>
  <c r="AH149" i="9"/>
  <c r="AH138" i="9"/>
  <c r="AH139" i="9"/>
  <c r="AH145" i="9"/>
  <c r="AH141" i="9"/>
  <c r="AH154" i="9"/>
  <c r="AH142" i="9"/>
  <c r="AH148" i="9"/>
  <c r="AH144" i="9"/>
  <c r="AH137" i="9"/>
  <c r="AH151" i="9"/>
  <c r="AH158" i="9"/>
  <c r="AH159" i="9"/>
  <c r="AH143" i="9"/>
  <c r="AH140" i="9"/>
  <c r="AH136" i="9"/>
  <c r="AH156" i="9"/>
  <c r="AH134" i="9"/>
  <c r="AH150" i="9"/>
  <c r="AI135" i="9"/>
  <c r="AI144" i="9"/>
  <c r="AI153" i="9"/>
  <c r="AI136" i="9"/>
  <c r="AI161" i="9"/>
  <c r="AI138" i="9"/>
  <c r="AI157" i="9"/>
  <c r="AI142" i="9"/>
  <c r="AI164" i="9"/>
  <c r="AI149" i="9"/>
  <c r="AI150" i="9"/>
  <c r="AI143" i="9"/>
  <c r="AI145" i="9"/>
  <c r="AI141" i="9"/>
  <c r="AI158" i="9"/>
  <c r="AI148" i="9"/>
  <c r="AI140" i="9"/>
  <c r="AI159" i="9"/>
  <c r="AI156" i="9"/>
  <c r="AI139" i="9"/>
  <c r="AI151" i="9"/>
  <c r="AI160" i="9"/>
  <c r="AI147" i="9"/>
  <c r="AI152" i="9"/>
  <c r="AI155" i="9"/>
  <c r="AI137" i="9"/>
  <c r="AI163" i="9"/>
  <c r="AI162" i="9"/>
  <c r="AI146" i="9"/>
  <c r="AI154" i="9"/>
  <c r="AI134" i="9"/>
  <c r="AI103" i="9"/>
  <c r="AI21" i="9"/>
  <c r="AI48" i="9"/>
  <c r="AI66" i="9"/>
  <c r="AI111" i="9"/>
  <c r="AI20" i="9"/>
  <c r="AI49" i="9"/>
  <c r="AI67" i="9"/>
  <c r="AI84" i="9"/>
  <c r="AI102" i="9"/>
  <c r="AH11" i="9"/>
  <c r="AH48" i="9"/>
  <c r="AH8" i="9"/>
  <c r="AH53" i="9"/>
  <c r="AH97" i="9"/>
  <c r="AJ161" i="9"/>
  <c r="AJ154" i="9"/>
  <c r="AJ163" i="9"/>
  <c r="AJ144" i="9"/>
  <c r="AJ136" i="9"/>
  <c r="AJ146" i="9"/>
  <c r="AJ156" i="9"/>
  <c r="AJ152" i="9"/>
  <c r="AJ142" i="9"/>
  <c r="AJ148" i="9"/>
  <c r="AJ160" i="9"/>
  <c r="AJ150" i="9"/>
  <c r="AJ138" i="9"/>
  <c r="AJ157" i="9"/>
  <c r="AJ158" i="9"/>
  <c r="AJ140" i="9"/>
  <c r="AJ164" i="9"/>
  <c r="AJ162" i="9"/>
  <c r="AJ149" i="9"/>
  <c r="AJ159" i="9"/>
  <c r="AJ139" i="9"/>
  <c r="AJ141" i="9"/>
  <c r="AJ151" i="9"/>
  <c r="AJ147" i="9"/>
  <c r="AJ145" i="9"/>
  <c r="AJ143" i="9"/>
  <c r="AJ155" i="9"/>
  <c r="AJ137" i="9"/>
  <c r="AJ153" i="9"/>
  <c r="AJ135" i="9"/>
  <c r="AJ134" i="9"/>
  <c r="AH111" i="9"/>
  <c r="AH94" i="9"/>
  <c r="AH72" i="9"/>
  <c r="AH99" i="9"/>
  <c r="AH114" i="9"/>
  <c r="AH98" i="9"/>
  <c r="AH738" i="9"/>
  <c r="AH100" i="9"/>
  <c r="AH56" i="9"/>
  <c r="AH73" i="9"/>
  <c r="AH16" i="9"/>
  <c r="AH45" i="9"/>
  <c r="AH61" i="9"/>
  <c r="AH87" i="9"/>
  <c r="AH103" i="9"/>
  <c r="AH86" i="9"/>
  <c r="AH102" i="9"/>
  <c r="AH58" i="9"/>
  <c r="AH30" i="9"/>
  <c r="AH18" i="9"/>
  <c r="AH47" i="9"/>
  <c r="AH63" i="9"/>
  <c r="AH89" i="9"/>
  <c r="AH105" i="9"/>
  <c r="AH88" i="9"/>
  <c r="AH104" i="9"/>
  <c r="AH15" i="9"/>
  <c r="AH32" i="9"/>
  <c r="AH60" i="9"/>
  <c r="AH4" i="9"/>
  <c r="AH20" i="9"/>
  <c r="AH49" i="9"/>
  <c r="AH65" i="9"/>
  <c r="AH91" i="9"/>
  <c r="AH107" i="9"/>
  <c r="AH90" i="9"/>
  <c r="AH106" i="9"/>
  <c r="AI72" i="9"/>
  <c r="AI15" i="9"/>
  <c r="AI85" i="9"/>
  <c r="AI56" i="9"/>
  <c r="AI99" i="9"/>
  <c r="AI6" i="9"/>
  <c r="AI22" i="9"/>
  <c r="AI47" i="9"/>
  <c r="AI63" i="9"/>
  <c r="AI105" i="9"/>
  <c r="AI94" i="9"/>
  <c r="AI110" i="9"/>
  <c r="AH17" i="9"/>
  <c r="AH46" i="9"/>
  <c r="AH62" i="9"/>
  <c r="AH6" i="9"/>
  <c r="AH22" i="9"/>
  <c r="AH51" i="9"/>
  <c r="AH67" i="9"/>
  <c r="AH93" i="9"/>
  <c r="AH109" i="9"/>
  <c r="AH92" i="9"/>
  <c r="AH108" i="9"/>
  <c r="O115" i="9"/>
  <c r="AK322" i="9" l="1"/>
  <c r="AK348" i="9"/>
  <c r="AK323" i="9"/>
  <c r="AK338" i="9"/>
  <c r="AK320" i="9"/>
  <c r="AK327" i="9"/>
  <c r="AK288" i="9"/>
  <c r="AK336" i="9"/>
  <c r="AK344" i="9"/>
  <c r="AK321" i="9"/>
  <c r="AK324" i="9"/>
  <c r="AK346" i="9"/>
  <c r="AK325" i="9"/>
  <c r="AK330" i="9"/>
  <c r="AK331" i="9"/>
  <c r="AJ349" i="9"/>
  <c r="AK335" i="9"/>
  <c r="AK319" i="9"/>
  <c r="AK347" i="9"/>
  <c r="AK318" i="9"/>
  <c r="AH349" i="9"/>
  <c r="AI349" i="9"/>
  <c r="AK342" i="9"/>
  <c r="AK326" i="9"/>
  <c r="AK337" i="9"/>
  <c r="AK340" i="9"/>
  <c r="AK334" i="9"/>
  <c r="AK341" i="9"/>
  <c r="AK332" i="9"/>
  <c r="AK57" i="9"/>
  <c r="AK329" i="9"/>
  <c r="AK339" i="9"/>
  <c r="AK343" i="9"/>
  <c r="AK345" i="9"/>
  <c r="AK328" i="9"/>
  <c r="AK333" i="9"/>
  <c r="AK310" i="9"/>
  <c r="AK291" i="9"/>
  <c r="AK294" i="9"/>
  <c r="AK305" i="9"/>
  <c r="AK289" i="9"/>
  <c r="AK304" i="9"/>
  <c r="AK308" i="9"/>
  <c r="AK312" i="9"/>
  <c r="AK302" i="9"/>
  <c r="AK292" i="9"/>
  <c r="AK295" i="9"/>
  <c r="AK309" i="9"/>
  <c r="AK298" i="9"/>
  <c r="AK286" i="9"/>
  <c r="AK311" i="9"/>
  <c r="AK303" i="9"/>
  <c r="AK306" i="9"/>
  <c r="AK299" i="9"/>
  <c r="AK290" i="9"/>
  <c r="AK296" i="9"/>
  <c r="AK283" i="9"/>
  <c r="AH314" i="9"/>
  <c r="AK284" i="9"/>
  <c r="AK293" i="9"/>
  <c r="AI314" i="9"/>
  <c r="AK307" i="9"/>
  <c r="AJ314" i="9"/>
  <c r="AK287" i="9"/>
  <c r="AK301" i="9"/>
  <c r="AK297" i="9"/>
  <c r="AK313" i="9"/>
  <c r="AK300" i="9"/>
  <c r="AK285" i="9"/>
  <c r="AK269" i="9"/>
  <c r="AK272" i="9"/>
  <c r="AK263" i="9"/>
  <c r="AK276" i="9"/>
  <c r="AK254" i="9"/>
  <c r="AK264" i="9"/>
  <c r="AK252" i="9"/>
  <c r="AK260" i="9"/>
  <c r="AK277" i="9"/>
  <c r="AK261" i="9"/>
  <c r="AK268" i="9"/>
  <c r="AK249" i="9"/>
  <c r="AK262" i="9"/>
  <c r="AK266" i="9"/>
  <c r="AK256" i="9"/>
  <c r="AK273" i="9"/>
  <c r="AK274" i="9"/>
  <c r="AK255" i="9"/>
  <c r="AJ278" i="9"/>
  <c r="AK265" i="9"/>
  <c r="AK257" i="9"/>
  <c r="AI278" i="9"/>
  <c r="AK253" i="9"/>
  <c r="AK271" i="9"/>
  <c r="AK275" i="9"/>
  <c r="AK267" i="9"/>
  <c r="AK248" i="9"/>
  <c r="AK251" i="9"/>
  <c r="AK259" i="9"/>
  <c r="AK270" i="9"/>
  <c r="AH278" i="9"/>
  <c r="AK247" i="9"/>
  <c r="AK250" i="9"/>
  <c r="AK258" i="9"/>
  <c r="AK19" i="9"/>
  <c r="AK10" i="9"/>
  <c r="AK238" i="9"/>
  <c r="AK63" i="9"/>
  <c r="AK226" i="9"/>
  <c r="AK71" i="9"/>
  <c r="AK28" i="9"/>
  <c r="AK32" i="9"/>
  <c r="AK18" i="9"/>
  <c r="AK53" i="9"/>
  <c r="AK13" i="9"/>
  <c r="AK214" i="9"/>
  <c r="AK220" i="9"/>
  <c r="AK239" i="9"/>
  <c r="AK221" i="9"/>
  <c r="AK213" i="9"/>
  <c r="AK96" i="9"/>
  <c r="AK228" i="9"/>
  <c r="AJ242" i="9"/>
  <c r="AK229" i="9"/>
  <c r="AK233" i="9"/>
  <c r="AK223" i="9"/>
  <c r="AK237" i="9"/>
  <c r="AK216" i="9"/>
  <c r="AK227" i="9"/>
  <c r="AK240" i="9"/>
  <c r="AK222" i="9"/>
  <c r="AK230" i="9"/>
  <c r="AK224" i="9"/>
  <c r="AK236" i="9"/>
  <c r="AK231" i="9"/>
  <c r="AK215" i="9"/>
  <c r="AH242" i="9"/>
  <c r="AK211" i="9"/>
  <c r="AK235" i="9"/>
  <c r="AK241" i="9"/>
  <c r="AI242" i="9"/>
  <c r="AK219" i="9"/>
  <c r="AK225" i="9"/>
  <c r="AK217" i="9"/>
  <c r="AK212" i="9"/>
  <c r="AK218" i="9"/>
  <c r="AK64" i="9"/>
  <c r="AK234" i="9"/>
  <c r="AK232" i="9"/>
  <c r="AK27" i="9"/>
  <c r="AK60" i="9"/>
  <c r="AK9" i="9"/>
  <c r="AK62" i="9"/>
  <c r="AK21" i="9"/>
  <c r="AK11" i="9"/>
  <c r="AK12" i="9"/>
  <c r="AK24" i="9"/>
  <c r="AK98" i="9"/>
  <c r="AK46" i="9"/>
  <c r="AK55" i="9"/>
  <c r="AK45" i="9"/>
  <c r="AK107" i="9"/>
  <c r="AK89" i="9"/>
  <c r="AK52" i="9"/>
  <c r="AK73" i="9"/>
  <c r="AK59" i="9"/>
  <c r="AK5" i="9"/>
  <c r="AK23" i="9"/>
  <c r="AK31" i="9"/>
  <c r="AK7" i="9"/>
  <c r="AK14" i="9"/>
  <c r="AK58" i="9"/>
  <c r="AK66" i="9"/>
  <c r="AK108" i="9"/>
  <c r="AK54" i="9"/>
  <c r="AK25" i="9"/>
  <c r="AK112" i="9"/>
  <c r="AJ74" i="9"/>
  <c r="AK69" i="9"/>
  <c r="AK65" i="9"/>
  <c r="AJ33" i="9"/>
  <c r="AK97" i="9"/>
  <c r="AK109" i="9"/>
  <c r="AK47" i="9"/>
  <c r="AK50" i="9"/>
  <c r="AK49" i="9"/>
  <c r="AK87" i="9"/>
  <c r="AK67" i="9"/>
  <c r="AK56" i="9"/>
  <c r="AK86" i="9"/>
  <c r="AK4" i="9"/>
  <c r="AK72" i="9"/>
  <c r="AK8" i="9"/>
  <c r="AK29" i="9"/>
  <c r="AK17" i="9"/>
  <c r="AK94" i="9"/>
  <c r="AK48" i="9"/>
  <c r="AK68" i="9"/>
  <c r="AK95" i="9"/>
  <c r="AK104" i="9"/>
  <c r="AK106" i="9"/>
  <c r="AK88" i="9"/>
  <c r="AK111" i="9"/>
  <c r="AK92" i="9"/>
  <c r="AK16" i="9"/>
  <c r="AJ206" i="9"/>
  <c r="AK196" i="9"/>
  <c r="AI206" i="9"/>
  <c r="AK198" i="9"/>
  <c r="AK204" i="9"/>
  <c r="AK20" i="9"/>
  <c r="AK183" i="9"/>
  <c r="AK188" i="9"/>
  <c r="AK195" i="9"/>
  <c r="AK185" i="9"/>
  <c r="AK85" i="9"/>
  <c r="AK113" i="9"/>
  <c r="AK182" i="9"/>
  <c r="AK203" i="9"/>
  <c r="AK193" i="9"/>
  <c r="AK100" i="9"/>
  <c r="AK191" i="9"/>
  <c r="AK201" i="9"/>
  <c r="AJ115" i="9"/>
  <c r="AH206" i="9"/>
  <c r="AK175" i="9"/>
  <c r="AK205" i="9"/>
  <c r="AK194" i="9"/>
  <c r="AK176" i="9"/>
  <c r="AK190" i="9"/>
  <c r="AK199" i="9"/>
  <c r="AK202" i="9"/>
  <c r="AK184" i="9"/>
  <c r="AK93" i="9"/>
  <c r="AK26" i="9"/>
  <c r="AK70" i="9"/>
  <c r="AK101" i="9"/>
  <c r="AK181" i="9"/>
  <c r="AK180" i="9"/>
  <c r="AK178" i="9"/>
  <c r="AK192" i="9"/>
  <c r="AK189" i="9"/>
  <c r="AK179" i="9"/>
  <c r="AK186" i="9"/>
  <c r="AK200" i="9"/>
  <c r="AK197" i="9"/>
  <c r="AK187" i="9"/>
  <c r="AK177" i="9"/>
  <c r="AK61" i="9"/>
  <c r="AK90" i="9"/>
  <c r="AK105" i="9"/>
  <c r="AK102" i="9"/>
  <c r="AK110" i="9"/>
  <c r="AK114" i="9"/>
  <c r="AK151" i="9"/>
  <c r="AK91" i="9"/>
  <c r="AK51" i="9"/>
  <c r="AK30" i="9"/>
  <c r="AK150" i="9"/>
  <c r="AK139" i="9"/>
  <c r="AK99" i="9"/>
  <c r="AK103" i="9"/>
  <c r="AK15" i="9"/>
  <c r="AI115" i="9"/>
  <c r="AI33" i="9"/>
  <c r="AK153" i="9"/>
  <c r="AK22" i="9"/>
  <c r="AH74" i="9"/>
  <c r="AK6" i="9"/>
  <c r="AI165" i="9"/>
  <c r="AH165" i="9"/>
  <c r="AK134" i="9"/>
  <c r="AK137" i="9"/>
  <c r="AK138" i="9"/>
  <c r="AK160" i="9"/>
  <c r="AK84" i="9"/>
  <c r="AI74" i="9"/>
  <c r="AK156" i="9"/>
  <c r="AK144" i="9"/>
  <c r="AK149" i="9"/>
  <c r="AK146" i="9"/>
  <c r="AH115" i="9"/>
  <c r="AJ165" i="9"/>
  <c r="AK136" i="9"/>
  <c r="AK148" i="9"/>
  <c r="AK152" i="9"/>
  <c r="AK162" i="9"/>
  <c r="AK140" i="9"/>
  <c r="AK142" i="9"/>
  <c r="AK147" i="9"/>
  <c r="AK161" i="9"/>
  <c r="AK143" i="9"/>
  <c r="AK154" i="9"/>
  <c r="AK163" i="9"/>
  <c r="AK135" i="9"/>
  <c r="AH33" i="9"/>
  <c r="AK159" i="9"/>
  <c r="AK141" i="9"/>
  <c r="AK157" i="9"/>
  <c r="AK164" i="9"/>
  <c r="AK158" i="9"/>
  <c r="AK145" i="9"/>
  <c r="AK155" i="9"/>
  <c r="A35" i="7"/>
  <c r="B35" i="7"/>
  <c r="W35" i="7" s="1"/>
  <c r="C35" i="7"/>
  <c r="AA35" i="7" s="1"/>
  <c r="E35" i="7"/>
  <c r="AE35" i="7" s="1"/>
  <c r="F35" i="7"/>
  <c r="AG35" i="7" s="1"/>
  <c r="G35" i="7"/>
  <c r="AC35" i="7" s="1"/>
  <c r="H35" i="7"/>
  <c r="AI35" i="7" s="1"/>
  <c r="I35" i="7"/>
  <c r="AK35" i="7" s="1"/>
  <c r="J35" i="7"/>
  <c r="AM35" i="7" s="1"/>
  <c r="K35" i="7"/>
  <c r="AO35" i="7" s="1"/>
  <c r="O35" i="7"/>
  <c r="AW35" i="7" s="1"/>
  <c r="P35" i="7"/>
  <c r="AY35" i="7" s="1"/>
  <c r="Q35" i="7"/>
  <c r="BA35" i="7" s="1"/>
  <c r="R35" i="7"/>
  <c r="BC35" i="7" s="1"/>
  <c r="S35" i="7"/>
  <c r="BE35" i="7" s="1"/>
  <c r="T35" i="7"/>
  <c r="BG35" i="7" s="1"/>
  <c r="U35" i="7"/>
  <c r="BI35" i="7" s="1"/>
  <c r="V35" i="7"/>
  <c r="BK35" i="7" s="1"/>
  <c r="Y35" i="7"/>
  <c r="AQ35" i="7"/>
  <c r="AS35" i="7"/>
  <c r="AU35" i="7"/>
  <c r="B35" i="6"/>
  <c r="C35" i="6"/>
  <c r="D35" i="6"/>
  <c r="E35" i="6"/>
  <c r="F35" i="6"/>
  <c r="G35" i="6"/>
  <c r="H35" i="6"/>
  <c r="L35" i="6"/>
  <c r="M35" i="6"/>
  <c r="N35" i="6"/>
  <c r="O35" i="6"/>
  <c r="P35" i="6"/>
  <c r="Q35" i="6"/>
  <c r="R35" i="6"/>
  <c r="S35" i="6"/>
  <c r="T3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5" i="6"/>
  <c r="F5" i="4"/>
  <c r="G5" i="4"/>
  <c r="F6" i="4"/>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F31" i="4"/>
  <c r="G31" i="4"/>
  <c r="F32" i="4"/>
  <c r="G32" i="4"/>
  <c r="F33" i="4"/>
  <c r="G33" i="4"/>
  <c r="F34" i="4"/>
  <c r="G34" i="4"/>
  <c r="F35" i="4"/>
  <c r="V35" i="4" s="1"/>
  <c r="G35" i="4"/>
  <c r="X35" i="4" s="1"/>
  <c r="G4" i="4"/>
  <c r="F4" i="4"/>
  <c r="C35" i="5"/>
  <c r="E35" i="5"/>
  <c r="H35" i="5"/>
  <c r="J35" i="5"/>
  <c r="L35" i="5"/>
  <c r="M35" i="5" s="1"/>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4" i="5"/>
  <c r="B35" i="4"/>
  <c r="N35" i="4" s="1"/>
  <c r="C35" i="4"/>
  <c r="P35" i="4" s="1"/>
  <c r="D35" i="4"/>
  <c r="S35" i="4" s="1"/>
  <c r="E35" i="4"/>
  <c r="T35" i="4" s="1"/>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4" i="4"/>
  <c r="AK349" i="9" l="1"/>
  <c r="AK314" i="9"/>
  <c r="AK278" i="9"/>
  <c r="AK242" i="9"/>
  <c r="AK33" i="9"/>
  <c r="AK74" i="9"/>
  <c r="AK115" i="9"/>
  <c r="AK206" i="9"/>
  <c r="AK165" i="9"/>
  <c r="I8" i="8"/>
  <c r="G28" i="8"/>
  <c r="G29" i="8"/>
  <c r="G30" i="8"/>
  <c r="G31" i="8"/>
  <c r="G32" i="8"/>
  <c r="G33" i="8"/>
  <c r="G34" i="8"/>
  <c r="G35" i="8"/>
  <c r="G36" i="8"/>
  <c r="G37" i="8"/>
  <c r="G43" i="8"/>
  <c r="G44" i="8"/>
  <c r="G45" i="8"/>
  <c r="G46" i="8"/>
  <c r="G47" i="8"/>
  <c r="H23" i="8"/>
  <c r="H24" i="8"/>
  <c r="H25" i="8"/>
  <c r="H26" i="8"/>
  <c r="H27" i="8"/>
  <c r="H28" i="8"/>
  <c r="H29" i="8"/>
  <c r="H30" i="8"/>
  <c r="H31" i="8"/>
  <c r="H32" i="8"/>
  <c r="H33" i="8"/>
  <c r="H34" i="8"/>
  <c r="H35" i="8"/>
  <c r="H36" i="8"/>
  <c r="H37" i="8"/>
  <c r="H38" i="8"/>
  <c r="H39" i="8"/>
  <c r="H40" i="8"/>
  <c r="H41" i="8"/>
  <c r="H42" i="8"/>
  <c r="H43" i="8"/>
  <c r="H44" i="8"/>
  <c r="H45" i="8"/>
  <c r="H46" i="8"/>
  <c r="H47" i="8"/>
  <c r="G15" i="8"/>
  <c r="G16" i="8"/>
  <c r="G17" i="8"/>
  <c r="G18" i="8"/>
  <c r="G19" i="8"/>
  <c r="G20" i="8"/>
  <c r="G21" i="8"/>
  <c r="G22" i="8"/>
  <c r="H15" i="8"/>
  <c r="H16" i="8"/>
  <c r="H17" i="8"/>
  <c r="H18" i="8"/>
  <c r="H19" i="8"/>
  <c r="H20" i="8"/>
  <c r="H21" i="8"/>
  <c r="H22" i="8"/>
  <c r="H4" i="8"/>
  <c r="H5" i="8"/>
  <c r="H6" i="8"/>
  <c r="H7" i="8"/>
  <c r="H9" i="8"/>
  <c r="H10" i="8"/>
  <c r="H11" i="8"/>
  <c r="H12" i="8"/>
  <c r="H13" i="8"/>
  <c r="H14" i="8"/>
  <c r="H3" i="8"/>
  <c r="H48" i="8" l="1"/>
  <c r="AH725" i="9" l="1"/>
  <c r="K737" i="9" l="1"/>
  <c r="Z737" i="9"/>
  <c r="AB737" i="9" s="1"/>
  <c r="AH737" i="9" l="1"/>
  <c r="P737" i="9"/>
  <c r="D737" i="9"/>
  <c r="M737" i="9" s="1"/>
  <c r="AC737" i="9" l="1"/>
  <c r="AD737" i="9" s="1"/>
  <c r="AA737" i="9"/>
  <c r="AI738" i="9" l="1"/>
  <c r="AK738" i="9" s="1"/>
  <c r="AJ737" i="9"/>
  <c r="K734" i="9" l="1"/>
  <c r="AH733" i="9" l="1"/>
  <c r="AH731" i="9"/>
  <c r="AH734" i="9"/>
  <c r="AH728" i="9"/>
  <c r="AH732" i="9"/>
  <c r="AH730" i="9"/>
  <c r="AH729" i="9"/>
  <c r="AH727" i="9"/>
  <c r="K710" i="9" l="1"/>
  <c r="Z710" i="9"/>
  <c r="AB710" i="9" s="1"/>
  <c r="K711" i="9"/>
  <c r="Z711" i="9"/>
  <c r="AB711" i="9" s="1"/>
  <c r="K712" i="9"/>
  <c r="Z712" i="9"/>
  <c r="AB712" i="9" s="1"/>
  <c r="K713" i="9"/>
  <c r="Z713" i="9"/>
  <c r="AB713" i="9" s="1"/>
  <c r="K714" i="9"/>
  <c r="Z714" i="9"/>
  <c r="AB714" i="9" s="1"/>
  <c r="K715" i="9"/>
  <c r="Z715" i="9"/>
  <c r="AB715" i="9" s="1"/>
  <c r="K716" i="9"/>
  <c r="Z716" i="9"/>
  <c r="AB716" i="9" s="1"/>
  <c r="K717" i="9"/>
  <c r="Z717" i="9"/>
  <c r="AB717" i="9" s="1"/>
  <c r="K718" i="9"/>
  <c r="Z718" i="9"/>
  <c r="AB718" i="9" s="1"/>
  <c r="K719" i="9"/>
  <c r="Z719" i="9"/>
  <c r="AB719" i="9" s="1"/>
  <c r="AC719" i="9"/>
  <c r="AD719" i="9" s="1"/>
  <c r="K720" i="9"/>
  <c r="Z720" i="9"/>
  <c r="AB720" i="9" s="1"/>
  <c r="Z721" i="9"/>
  <c r="AB721" i="9" s="1"/>
  <c r="K722" i="9"/>
  <c r="Z722" i="9"/>
  <c r="AB722" i="9" s="1"/>
  <c r="K723" i="9"/>
  <c r="Z723" i="9"/>
  <c r="AB723" i="9" s="1"/>
  <c r="AC723" i="9"/>
  <c r="AD723" i="9" s="1"/>
  <c r="Z724" i="9"/>
  <c r="AB724" i="9" s="1"/>
  <c r="Z725" i="9"/>
  <c r="Z726" i="9"/>
  <c r="AB726" i="9" s="1"/>
  <c r="P727" i="9"/>
  <c r="Z727" i="9"/>
  <c r="P728" i="9"/>
  <c r="Z728" i="9"/>
  <c r="P729" i="9"/>
  <c r="Z729" i="9"/>
  <c r="P730" i="9"/>
  <c r="Z730" i="9"/>
  <c r="P731" i="9"/>
  <c r="Z731" i="9"/>
  <c r="P732" i="9"/>
  <c r="Z732" i="9"/>
  <c r="P733" i="9"/>
  <c r="Z733" i="9"/>
  <c r="P734" i="9"/>
  <c r="Z734" i="9"/>
  <c r="B735" i="9"/>
  <c r="K735" i="9" s="1"/>
  <c r="Z735" i="9"/>
  <c r="AB735" i="9" s="1"/>
  <c r="B736" i="9"/>
  <c r="K736" i="9" s="1"/>
  <c r="Z736" i="9"/>
  <c r="AB736" i="9" s="1"/>
  <c r="AC732" i="9" l="1"/>
  <c r="AD732" i="9" s="1"/>
  <c r="AC722" i="9"/>
  <c r="AD722" i="9" s="1"/>
  <c r="AC726" i="9"/>
  <c r="AD726" i="9" s="1"/>
  <c r="AC725" i="9"/>
  <c r="AD725" i="9" s="1"/>
  <c r="AC724" i="9"/>
  <c r="AD724" i="9" s="1"/>
  <c r="AC720" i="9"/>
  <c r="AD720" i="9" s="1"/>
  <c r="AC715" i="9"/>
  <c r="AD715" i="9" s="1"/>
  <c r="AC714" i="9"/>
  <c r="AD714" i="9" s="1"/>
  <c r="AC728" i="9"/>
  <c r="AD728" i="9" s="1"/>
  <c r="AC717" i="9"/>
  <c r="AD717" i="9" s="1"/>
  <c r="AC708" i="9"/>
  <c r="AD708" i="9" s="1"/>
  <c r="AC735" i="9"/>
  <c r="AD735" i="9" s="1"/>
  <c r="AC718" i="9"/>
  <c r="AD718" i="9" s="1"/>
  <c r="AC710" i="9"/>
  <c r="AD710" i="9" s="1"/>
  <c r="AC733" i="9"/>
  <c r="AD733" i="9" s="1"/>
  <c r="AC709" i="9"/>
  <c r="AD709" i="9" s="1"/>
  <c r="AC734" i="9"/>
  <c r="AD734" i="9" s="1"/>
  <c r="AC727" i="9"/>
  <c r="AD727" i="9" s="1"/>
  <c r="AC716" i="9"/>
  <c r="AD716" i="9" s="1"/>
  <c r="AC713" i="9"/>
  <c r="AD713" i="9" s="1"/>
  <c r="AC712" i="9"/>
  <c r="AD712" i="9" s="1"/>
  <c r="AC711" i="9"/>
  <c r="AH726" i="9"/>
  <c r="P726" i="9"/>
  <c r="AH736" i="9"/>
  <c r="P736" i="9"/>
  <c r="AH720" i="9"/>
  <c r="P720" i="9"/>
  <c r="AH721" i="9"/>
  <c r="P721" i="9"/>
  <c r="AH719" i="9"/>
  <c r="P719" i="9"/>
  <c r="AA724" i="9"/>
  <c r="P724" i="9"/>
  <c r="AA718" i="9"/>
  <c r="P718" i="9"/>
  <c r="AH735" i="9"/>
  <c r="P735" i="9"/>
  <c r="AH723" i="9"/>
  <c r="AA722" i="9"/>
  <c r="P722" i="9"/>
  <c r="AH717" i="9"/>
  <c r="P717" i="9"/>
  <c r="P716" i="9"/>
  <c r="P715" i="9"/>
  <c r="P714" i="9"/>
  <c r="P713" i="9"/>
  <c r="P712" i="9"/>
  <c r="P711" i="9"/>
  <c r="P710" i="9"/>
  <c r="P709" i="9"/>
  <c r="AB734" i="9"/>
  <c r="AA734" i="9"/>
  <c r="AB733" i="9"/>
  <c r="AA733" i="9"/>
  <c r="AB732" i="9"/>
  <c r="AA732" i="9"/>
  <c r="AB731" i="9"/>
  <c r="AA731" i="9"/>
  <c r="AB730" i="9"/>
  <c r="AA730" i="9"/>
  <c r="AB729" i="9"/>
  <c r="AA729" i="9"/>
  <c r="AB728" i="9"/>
  <c r="AA728" i="9"/>
  <c r="AB727" i="9"/>
  <c r="AA727" i="9"/>
  <c r="AB725" i="9"/>
  <c r="AA725" i="9"/>
  <c r="D715" i="9"/>
  <c r="M715" i="9" s="1"/>
  <c r="AH716" i="9"/>
  <c r="AA716" i="9"/>
  <c r="AH715" i="9"/>
  <c r="AA715" i="9"/>
  <c r="AH714" i="9"/>
  <c r="AA714" i="9"/>
  <c r="AH713" i="9"/>
  <c r="AA713" i="9"/>
  <c r="AH712" i="9"/>
  <c r="AA712" i="9"/>
  <c r="AH711" i="9"/>
  <c r="AA711" i="9"/>
  <c r="AH710" i="9"/>
  <c r="AA710" i="9"/>
  <c r="Z739" i="9"/>
  <c r="AB708" i="9"/>
  <c r="D712" i="9"/>
  <c r="M712" i="9" s="1"/>
  <c r="M719" i="9"/>
  <c r="D716" i="9"/>
  <c r="M716" i="9" s="1"/>
  <c r="D734" i="9"/>
  <c r="M734" i="9" s="1"/>
  <c r="C737" i="9"/>
  <c r="L737" i="9" s="1"/>
  <c r="O737" i="9" s="1"/>
  <c r="D736" i="9"/>
  <c r="M736" i="9" s="1"/>
  <c r="D723" i="9"/>
  <c r="M723" i="9" s="1"/>
  <c r="M721" i="9"/>
  <c r="M717" i="9"/>
  <c r="D713" i="9"/>
  <c r="M713" i="9" s="1"/>
  <c r="M711" i="9"/>
  <c r="D735" i="9"/>
  <c r="M735" i="9" s="1"/>
  <c r="D720" i="9"/>
  <c r="M720" i="9" s="1"/>
  <c r="M709" i="9"/>
  <c r="D710" i="9"/>
  <c r="M710" i="9" s="1"/>
  <c r="D722" i="9"/>
  <c r="M722" i="9" s="1"/>
  <c r="D714" i="9"/>
  <c r="M714" i="9" s="1"/>
  <c r="M718" i="9"/>
  <c r="A4" i="7"/>
  <c r="C717" i="9" l="1"/>
  <c r="L717" i="9" s="1"/>
  <c r="O717" i="9" s="1"/>
  <c r="C716" i="9"/>
  <c r="L716" i="9" s="1"/>
  <c r="O716" i="9" s="1"/>
  <c r="L715" i="9"/>
  <c r="O715" i="9" s="1"/>
  <c r="AI737" i="9"/>
  <c r="AK737" i="9" s="1"/>
  <c r="AA726" i="9"/>
  <c r="AC729" i="9"/>
  <c r="AD729" i="9" s="1"/>
  <c r="AC730" i="9"/>
  <c r="AD730" i="9" s="1"/>
  <c r="AC731" i="9"/>
  <c r="AD731" i="9" s="1"/>
  <c r="AC736" i="9"/>
  <c r="AD736" i="9" s="1"/>
  <c r="AC721" i="9"/>
  <c r="AD721" i="9" s="1"/>
  <c r="AD711" i="9"/>
  <c r="AA719" i="9"/>
  <c r="AA723" i="9"/>
  <c r="AH722" i="9"/>
  <c r="AA720" i="9"/>
  <c r="AH724" i="9"/>
  <c r="AH718" i="9"/>
  <c r="AA717" i="9"/>
  <c r="AA721" i="9"/>
  <c r="AA735" i="9"/>
  <c r="AA708" i="9"/>
  <c r="AA736" i="9"/>
  <c r="AH708" i="9"/>
  <c r="AJ728" i="9"/>
  <c r="AH709" i="9"/>
  <c r="AB739" i="9"/>
  <c r="C710" i="9"/>
  <c r="L710" i="9" s="1"/>
  <c r="O710" i="9" s="1"/>
  <c r="C736" i="9"/>
  <c r="L736" i="9" s="1"/>
  <c r="O736" i="9" s="1"/>
  <c r="C711" i="9"/>
  <c r="L711" i="9" s="1"/>
  <c r="O711" i="9" s="1"/>
  <c r="L735" i="9"/>
  <c r="O735" i="9" s="1"/>
  <c r="L714" i="9"/>
  <c r="O714" i="9" s="1"/>
  <c r="C712" i="9"/>
  <c r="L712" i="9" s="1"/>
  <c r="O712" i="9" s="1"/>
  <c r="C722" i="9"/>
  <c r="L722" i="9" s="1"/>
  <c r="O722" i="9" s="1"/>
  <c r="C718" i="9"/>
  <c r="L718" i="9" s="1"/>
  <c r="O718" i="9" s="1"/>
  <c r="C719" i="9"/>
  <c r="L719" i="9" s="1"/>
  <c r="O719" i="9" s="1"/>
  <c r="C723" i="9"/>
  <c r="L723" i="9" s="1"/>
  <c r="O723" i="9" s="1"/>
  <c r="C720" i="9"/>
  <c r="L720" i="9" s="1"/>
  <c r="O720" i="9" s="1"/>
  <c r="C734" i="9"/>
  <c r="L734" i="9" s="1"/>
  <c r="O734" i="9" s="1"/>
  <c r="C713" i="9"/>
  <c r="L713" i="9" s="1"/>
  <c r="O713" i="9" s="1"/>
  <c r="C709" i="9"/>
  <c r="L709" i="9" s="1"/>
  <c r="O709" i="9" s="1"/>
  <c r="L721" i="9"/>
  <c r="O721" i="9" s="1"/>
  <c r="V5" i="7"/>
  <c r="BK5" i="7" s="1"/>
  <c r="V6" i="7"/>
  <c r="BK6" i="7" s="1"/>
  <c r="V7" i="7"/>
  <c r="BK7" i="7" s="1"/>
  <c r="V8" i="7"/>
  <c r="BK8" i="7" s="1"/>
  <c r="V9" i="7"/>
  <c r="BK9" i="7" s="1"/>
  <c r="V10" i="7"/>
  <c r="BK10" i="7" s="1"/>
  <c r="V11" i="7"/>
  <c r="BK11" i="7" s="1"/>
  <c r="V12" i="7"/>
  <c r="BK12" i="7" s="1"/>
  <c r="V13" i="7"/>
  <c r="BK13" i="7" s="1"/>
  <c r="V14" i="7"/>
  <c r="BK14" i="7" s="1"/>
  <c r="V15" i="7"/>
  <c r="BK15" i="7" s="1"/>
  <c r="V16" i="7"/>
  <c r="BK16" i="7" s="1"/>
  <c r="V17" i="7"/>
  <c r="BK17" i="7" s="1"/>
  <c r="V18" i="7"/>
  <c r="BK18" i="7" s="1"/>
  <c r="BK19" i="7"/>
  <c r="V20" i="7"/>
  <c r="BK20" i="7" s="1"/>
  <c r="V21" i="7"/>
  <c r="BK21" i="7" s="1"/>
  <c r="V22" i="7"/>
  <c r="BK22" i="7" s="1"/>
  <c r="V23" i="7"/>
  <c r="BK23" i="7" s="1"/>
  <c r="V24" i="7"/>
  <c r="BK24" i="7" s="1"/>
  <c r="V25" i="7"/>
  <c r="BK25" i="7" s="1"/>
  <c r="V26" i="7"/>
  <c r="BK26" i="7" s="1"/>
  <c r="V27" i="7"/>
  <c r="BK27" i="7" s="1"/>
  <c r="V28" i="7"/>
  <c r="BK28" i="7" s="1"/>
  <c r="V29" i="7"/>
  <c r="BK29" i="7" s="1"/>
  <c r="V30" i="7"/>
  <c r="BK30" i="7" s="1"/>
  <c r="V31" i="7"/>
  <c r="BK31" i="7" s="1"/>
  <c r="V32" i="7"/>
  <c r="BK32" i="7" s="1"/>
  <c r="V33" i="7"/>
  <c r="BK33" i="7" s="1"/>
  <c r="V34" i="7"/>
  <c r="BK34" i="7" s="1"/>
  <c r="BL35" i="7" s="1"/>
  <c r="V4" i="7"/>
  <c r="BK4" i="7" s="1"/>
  <c r="O5" i="7"/>
  <c r="AW5" i="7" s="1"/>
  <c r="P5" i="7"/>
  <c r="AY5" i="7" s="1"/>
  <c r="Q5" i="7"/>
  <c r="BA5" i="7" s="1"/>
  <c r="R5" i="7"/>
  <c r="BC5" i="7" s="1"/>
  <c r="S5" i="7"/>
  <c r="BE5" i="7" s="1"/>
  <c r="T5" i="7"/>
  <c r="BG5" i="7" s="1"/>
  <c r="U5" i="7"/>
  <c r="BI5" i="7" s="1"/>
  <c r="O6" i="7"/>
  <c r="AW6" i="7" s="1"/>
  <c r="P6" i="7"/>
  <c r="AY6" i="7" s="1"/>
  <c r="Q6" i="7"/>
  <c r="BA6" i="7" s="1"/>
  <c r="R6" i="7"/>
  <c r="BC6" i="7" s="1"/>
  <c r="S6" i="7"/>
  <c r="BE6" i="7" s="1"/>
  <c r="T6" i="7"/>
  <c r="BG6" i="7" s="1"/>
  <c r="U6" i="7"/>
  <c r="BI6" i="7" s="1"/>
  <c r="O7" i="7"/>
  <c r="AW7" i="7" s="1"/>
  <c r="P7" i="7"/>
  <c r="AY7" i="7" s="1"/>
  <c r="Q7" i="7"/>
  <c r="BA7" i="7" s="1"/>
  <c r="R7" i="7"/>
  <c r="BC7" i="7" s="1"/>
  <c r="S7" i="7"/>
  <c r="BE7" i="7" s="1"/>
  <c r="T7" i="7"/>
  <c r="BG7" i="7" s="1"/>
  <c r="U7" i="7"/>
  <c r="BI7" i="7" s="1"/>
  <c r="O8" i="7"/>
  <c r="AW8" i="7" s="1"/>
  <c r="P8" i="7"/>
  <c r="AY8" i="7" s="1"/>
  <c r="Q8" i="7"/>
  <c r="BA8" i="7" s="1"/>
  <c r="R8" i="7"/>
  <c r="BC8" i="7" s="1"/>
  <c r="S8" i="7"/>
  <c r="BE8" i="7" s="1"/>
  <c r="T8" i="7"/>
  <c r="BG8" i="7" s="1"/>
  <c r="U8" i="7"/>
  <c r="BI8" i="7" s="1"/>
  <c r="O9" i="7"/>
  <c r="AW9" i="7" s="1"/>
  <c r="P9" i="7"/>
  <c r="AY9" i="7" s="1"/>
  <c r="Q9" i="7"/>
  <c r="BA9" i="7" s="1"/>
  <c r="R9" i="7"/>
  <c r="BC9" i="7" s="1"/>
  <c r="S9" i="7"/>
  <c r="BE9" i="7" s="1"/>
  <c r="T9" i="7"/>
  <c r="BG9" i="7" s="1"/>
  <c r="U9" i="7"/>
  <c r="BI9" i="7" s="1"/>
  <c r="O10" i="7"/>
  <c r="AW10" i="7" s="1"/>
  <c r="P10" i="7"/>
  <c r="AY10" i="7" s="1"/>
  <c r="Q10" i="7"/>
  <c r="BA10" i="7" s="1"/>
  <c r="R10" i="7"/>
  <c r="BC10" i="7" s="1"/>
  <c r="S10" i="7"/>
  <c r="BE10" i="7" s="1"/>
  <c r="T10" i="7"/>
  <c r="BG10" i="7" s="1"/>
  <c r="U10" i="7"/>
  <c r="BI10" i="7" s="1"/>
  <c r="O11" i="7"/>
  <c r="AW11" i="7" s="1"/>
  <c r="P11" i="7"/>
  <c r="AY11" i="7" s="1"/>
  <c r="Q11" i="7"/>
  <c r="BA11" i="7" s="1"/>
  <c r="R11" i="7"/>
  <c r="BC11" i="7" s="1"/>
  <c r="S11" i="7"/>
  <c r="BE11" i="7" s="1"/>
  <c r="T11" i="7"/>
  <c r="BG11" i="7" s="1"/>
  <c r="U11" i="7"/>
  <c r="BI11" i="7" s="1"/>
  <c r="O12" i="7"/>
  <c r="AW12" i="7" s="1"/>
  <c r="P12" i="7"/>
  <c r="AY12" i="7" s="1"/>
  <c r="Q12" i="7"/>
  <c r="BA12" i="7" s="1"/>
  <c r="R12" i="7"/>
  <c r="BC12" i="7" s="1"/>
  <c r="S12" i="7"/>
  <c r="BE12" i="7" s="1"/>
  <c r="T12" i="7"/>
  <c r="BG12" i="7" s="1"/>
  <c r="U12" i="7"/>
  <c r="BI12" i="7" s="1"/>
  <c r="O13" i="7"/>
  <c r="AW13" i="7" s="1"/>
  <c r="P13" i="7"/>
  <c r="AY13" i="7" s="1"/>
  <c r="Q13" i="7"/>
  <c r="BA13" i="7" s="1"/>
  <c r="R13" i="7"/>
  <c r="BC13" i="7" s="1"/>
  <c r="S13" i="7"/>
  <c r="BE13" i="7" s="1"/>
  <c r="T13" i="7"/>
  <c r="BG13" i="7" s="1"/>
  <c r="U13" i="7"/>
  <c r="BI13" i="7" s="1"/>
  <c r="O14" i="7"/>
  <c r="AW14" i="7" s="1"/>
  <c r="P14" i="7"/>
  <c r="AY14" i="7" s="1"/>
  <c r="Q14" i="7"/>
  <c r="BA14" i="7" s="1"/>
  <c r="R14" i="7"/>
  <c r="BC14" i="7" s="1"/>
  <c r="S14" i="7"/>
  <c r="BE14" i="7" s="1"/>
  <c r="T14" i="7"/>
  <c r="BG14" i="7" s="1"/>
  <c r="U14" i="7"/>
  <c r="BI14" i="7" s="1"/>
  <c r="O15" i="7"/>
  <c r="AW15" i="7" s="1"/>
  <c r="P15" i="7"/>
  <c r="AY15" i="7" s="1"/>
  <c r="Q15" i="7"/>
  <c r="BA15" i="7" s="1"/>
  <c r="R15" i="7"/>
  <c r="BC15" i="7" s="1"/>
  <c r="S15" i="7"/>
  <c r="BE15" i="7" s="1"/>
  <c r="T15" i="7"/>
  <c r="BG15" i="7" s="1"/>
  <c r="U15" i="7"/>
  <c r="BI15" i="7" s="1"/>
  <c r="O16" i="7"/>
  <c r="AW16" i="7" s="1"/>
  <c r="P16" i="7"/>
  <c r="AY16" i="7" s="1"/>
  <c r="Q16" i="7"/>
  <c r="BA16" i="7" s="1"/>
  <c r="R16" i="7"/>
  <c r="BC16" i="7" s="1"/>
  <c r="S16" i="7"/>
  <c r="BE16" i="7" s="1"/>
  <c r="T16" i="7"/>
  <c r="BG16" i="7" s="1"/>
  <c r="U16" i="7"/>
  <c r="BI16" i="7" s="1"/>
  <c r="O17" i="7"/>
  <c r="AW17" i="7" s="1"/>
  <c r="P17" i="7"/>
  <c r="AY17" i="7" s="1"/>
  <c r="Q17" i="7"/>
  <c r="BA17" i="7" s="1"/>
  <c r="R17" i="7"/>
  <c r="BC17" i="7" s="1"/>
  <c r="S17" i="7"/>
  <c r="BE17" i="7" s="1"/>
  <c r="T17" i="7"/>
  <c r="BG17" i="7" s="1"/>
  <c r="U17" i="7"/>
  <c r="BI17" i="7" s="1"/>
  <c r="O18" i="7"/>
  <c r="AW18" i="7" s="1"/>
  <c r="P18" i="7"/>
  <c r="AY18" i="7" s="1"/>
  <c r="Q18" i="7"/>
  <c r="BA18" i="7" s="1"/>
  <c r="R18" i="7"/>
  <c r="BC18" i="7" s="1"/>
  <c r="S18" i="7"/>
  <c r="BE18" i="7" s="1"/>
  <c r="T18" i="7"/>
  <c r="BG18" i="7" s="1"/>
  <c r="U18" i="7"/>
  <c r="BI18" i="7" s="1"/>
  <c r="AW19" i="7"/>
  <c r="AY19" i="7"/>
  <c r="BA19" i="7"/>
  <c r="BC19" i="7"/>
  <c r="BE19" i="7"/>
  <c r="BG19" i="7"/>
  <c r="BI19" i="7"/>
  <c r="O20" i="7"/>
  <c r="AW20" i="7" s="1"/>
  <c r="P20" i="7"/>
  <c r="AY20" i="7" s="1"/>
  <c r="Q20" i="7"/>
  <c r="BA20" i="7" s="1"/>
  <c r="R20" i="7"/>
  <c r="BC20" i="7" s="1"/>
  <c r="S20" i="7"/>
  <c r="BE20" i="7" s="1"/>
  <c r="T20" i="7"/>
  <c r="BG20" i="7" s="1"/>
  <c r="U20" i="7"/>
  <c r="BI20" i="7" s="1"/>
  <c r="O21" i="7"/>
  <c r="AW21" i="7" s="1"/>
  <c r="P21" i="7"/>
  <c r="AY21" i="7" s="1"/>
  <c r="Q21" i="7"/>
  <c r="BA21" i="7" s="1"/>
  <c r="R21" i="7"/>
  <c r="BC21" i="7" s="1"/>
  <c r="S21" i="7"/>
  <c r="BE21" i="7" s="1"/>
  <c r="T21" i="7"/>
  <c r="BG21" i="7" s="1"/>
  <c r="U21" i="7"/>
  <c r="BI21" i="7" s="1"/>
  <c r="O22" i="7"/>
  <c r="AW22" i="7" s="1"/>
  <c r="P22" i="7"/>
  <c r="AY22" i="7" s="1"/>
  <c r="Q22" i="7"/>
  <c r="BA22" i="7" s="1"/>
  <c r="R22" i="7"/>
  <c r="BC22" i="7" s="1"/>
  <c r="S22" i="7"/>
  <c r="BE22" i="7" s="1"/>
  <c r="T22" i="7"/>
  <c r="BG22" i="7" s="1"/>
  <c r="U22" i="7"/>
  <c r="BI22" i="7" s="1"/>
  <c r="O23" i="7"/>
  <c r="AW23" i="7" s="1"/>
  <c r="P23" i="7"/>
  <c r="AY23" i="7" s="1"/>
  <c r="Q23" i="7"/>
  <c r="BA23" i="7" s="1"/>
  <c r="R23" i="7"/>
  <c r="BC23" i="7" s="1"/>
  <c r="S23" i="7"/>
  <c r="BE23" i="7" s="1"/>
  <c r="T23" i="7"/>
  <c r="BG23" i="7" s="1"/>
  <c r="U23" i="7"/>
  <c r="BI23" i="7" s="1"/>
  <c r="O24" i="7"/>
  <c r="AW24" i="7" s="1"/>
  <c r="P24" i="7"/>
  <c r="AY24" i="7" s="1"/>
  <c r="Q24" i="7"/>
  <c r="BA24" i="7" s="1"/>
  <c r="R24" i="7"/>
  <c r="BC24" i="7" s="1"/>
  <c r="S24" i="7"/>
  <c r="BE24" i="7" s="1"/>
  <c r="T24" i="7"/>
  <c r="BG24" i="7" s="1"/>
  <c r="U24" i="7"/>
  <c r="BI24" i="7" s="1"/>
  <c r="O25" i="7"/>
  <c r="AW25" i="7" s="1"/>
  <c r="P25" i="7"/>
  <c r="AY25" i="7" s="1"/>
  <c r="Q25" i="7"/>
  <c r="BA25" i="7" s="1"/>
  <c r="R25" i="7"/>
  <c r="BC25" i="7" s="1"/>
  <c r="S25" i="7"/>
  <c r="BE25" i="7" s="1"/>
  <c r="T25" i="7"/>
  <c r="BG25" i="7" s="1"/>
  <c r="U25" i="7"/>
  <c r="BI25" i="7" s="1"/>
  <c r="O26" i="7"/>
  <c r="AW26" i="7" s="1"/>
  <c r="P26" i="7"/>
  <c r="AY26" i="7" s="1"/>
  <c r="Q26" i="7"/>
  <c r="BA26" i="7" s="1"/>
  <c r="R26" i="7"/>
  <c r="BC26" i="7" s="1"/>
  <c r="S26" i="7"/>
  <c r="BE26" i="7" s="1"/>
  <c r="T26" i="7"/>
  <c r="BG26" i="7" s="1"/>
  <c r="U26" i="7"/>
  <c r="BI26" i="7" s="1"/>
  <c r="O27" i="7"/>
  <c r="AW27" i="7" s="1"/>
  <c r="P27" i="7"/>
  <c r="AY27" i="7" s="1"/>
  <c r="Q27" i="7"/>
  <c r="BA27" i="7" s="1"/>
  <c r="R27" i="7"/>
  <c r="BC27" i="7" s="1"/>
  <c r="S27" i="7"/>
  <c r="BE27" i="7" s="1"/>
  <c r="T27" i="7"/>
  <c r="BG27" i="7" s="1"/>
  <c r="U27" i="7"/>
  <c r="BI27" i="7" s="1"/>
  <c r="O28" i="7"/>
  <c r="AW28" i="7" s="1"/>
  <c r="P28" i="7"/>
  <c r="AY28" i="7" s="1"/>
  <c r="Q28" i="7"/>
  <c r="BA28" i="7" s="1"/>
  <c r="R28" i="7"/>
  <c r="BC28" i="7" s="1"/>
  <c r="S28" i="7"/>
  <c r="BE28" i="7" s="1"/>
  <c r="T28" i="7"/>
  <c r="BG28" i="7" s="1"/>
  <c r="U28" i="7"/>
  <c r="BI28" i="7" s="1"/>
  <c r="O29" i="7"/>
  <c r="AW29" i="7" s="1"/>
  <c r="P29" i="7"/>
  <c r="AY29" i="7" s="1"/>
  <c r="Q29" i="7"/>
  <c r="BA29" i="7" s="1"/>
  <c r="R29" i="7"/>
  <c r="BC29" i="7" s="1"/>
  <c r="S29" i="7"/>
  <c r="BE29" i="7" s="1"/>
  <c r="T29" i="7"/>
  <c r="BG29" i="7" s="1"/>
  <c r="U29" i="7"/>
  <c r="BI29" i="7" s="1"/>
  <c r="O30" i="7"/>
  <c r="AW30" i="7" s="1"/>
  <c r="P30" i="7"/>
  <c r="AY30" i="7" s="1"/>
  <c r="Q30" i="7"/>
  <c r="BA30" i="7" s="1"/>
  <c r="R30" i="7"/>
  <c r="BC30" i="7" s="1"/>
  <c r="S30" i="7"/>
  <c r="BE30" i="7" s="1"/>
  <c r="T30" i="7"/>
  <c r="BG30" i="7" s="1"/>
  <c r="U30" i="7"/>
  <c r="BI30" i="7" s="1"/>
  <c r="O31" i="7"/>
  <c r="AW31" i="7" s="1"/>
  <c r="P31" i="7"/>
  <c r="AY31" i="7" s="1"/>
  <c r="Q31" i="7"/>
  <c r="BA31" i="7" s="1"/>
  <c r="R31" i="7"/>
  <c r="BC31" i="7" s="1"/>
  <c r="S31" i="7"/>
  <c r="BE31" i="7" s="1"/>
  <c r="T31" i="7"/>
  <c r="BG31" i="7" s="1"/>
  <c r="U31" i="7"/>
  <c r="BI31" i="7" s="1"/>
  <c r="O32" i="7"/>
  <c r="AW32" i="7" s="1"/>
  <c r="P32" i="7"/>
  <c r="AY32" i="7" s="1"/>
  <c r="Q32" i="7"/>
  <c r="BA32" i="7" s="1"/>
  <c r="R32" i="7"/>
  <c r="BC32" i="7" s="1"/>
  <c r="S32" i="7"/>
  <c r="BE32" i="7" s="1"/>
  <c r="T32" i="7"/>
  <c r="BG32" i="7" s="1"/>
  <c r="U32" i="7"/>
  <c r="BI32" i="7" s="1"/>
  <c r="O33" i="7"/>
  <c r="AW33" i="7" s="1"/>
  <c r="P33" i="7"/>
  <c r="AY33" i="7" s="1"/>
  <c r="Q33" i="7"/>
  <c r="BA33" i="7" s="1"/>
  <c r="R33" i="7"/>
  <c r="BC33" i="7" s="1"/>
  <c r="S33" i="7"/>
  <c r="BE33" i="7" s="1"/>
  <c r="T33" i="7"/>
  <c r="BG33" i="7" s="1"/>
  <c r="U33" i="7"/>
  <c r="BI33" i="7" s="1"/>
  <c r="O34" i="7"/>
  <c r="AW34" i="7" s="1"/>
  <c r="AX35" i="7" s="1"/>
  <c r="P34" i="7"/>
  <c r="AY34" i="7" s="1"/>
  <c r="AZ35" i="7" s="1"/>
  <c r="Q34" i="7"/>
  <c r="BA34" i="7" s="1"/>
  <c r="BB35" i="7" s="1"/>
  <c r="R34" i="7"/>
  <c r="BC34" i="7" s="1"/>
  <c r="BD35" i="7" s="1"/>
  <c r="S34" i="7"/>
  <c r="BE34" i="7" s="1"/>
  <c r="BF35" i="7" s="1"/>
  <c r="T34" i="7"/>
  <c r="BG34" i="7" s="1"/>
  <c r="BH35" i="7" s="1"/>
  <c r="U34" i="7"/>
  <c r="BI34" i="7" s="1"/>
  <c r="BJ35" i="7" s="1"/>
  <c r="U4" i="7"/>
  <c r="BI4" i="7" s="1"/>
  <c r="T4" i="7"/>
  <c r="BG4" i="7" s="1"/>
  <c r="S4" i="7"/>
  <c r="BE4" i="7" s="1"/>
  <c r="R4" i="7"/>
  <c r="BC4" i="7" s="1"/>
  <c r="Q4" i="7"/>
  <c r="BA4" i="7" s="1"/>
  <c r="P4" i="7"/>
  <c r="AY4" i="7" s="1"/>
  <c r="O4" i="7"/>
  <c r="AW4" i="7" s="1"/>
  <c r="J5" i="7"/>
  <c r="K5" i="7"/>
  <c r="AO5" i="7" s="1"/>
  <c r="J6" i="7"/>
  <c r="AM6" i="7" s="1"/>
  <c r="K6" i="7"/>
  <c r="AO6" i="7" s="1"/>
  <c r="J7" i="7"/>
  <c r="AM7" i="7" s="1"/>
  <c r="K7" i="7"/>
  <c r="AO7" i="7" s="1"/>
  <c r="J8" i="7"/>
  <c r="AM8" i="7" s="1"/>
  <c r="K8" i="7"/>
  <c r="AO8" i="7" s="1"/>
  <c r="J9" i="7"/>
  <c r="AM9" i="7" s="1"/>
  <c r="K9" i="7"/>
  <c r="AO9" i="7" s="1"/>
  <c r="J10" i="7"/>
  <c r="AM10" i="7" s="1"/>
  <c r="K10" i="7"/>
  <c r="AO10" i="7" s="1"/>
  <c r="J11" i="7"/>
  <c r="AM11" i="7" s="1"/>
  <c r="K11" i="7"/>
  <c r="AO11" i="7" s="1"/>
  <c r="J12" i="7"/>
  <c r="AM12" i="7" s="1"/>
  <c r="K12" i="7"/>
  <c r="AO12" i="7" s="1"/>
  <c r="J13" i="7"/>
  <c r="AM13" i="7" s="1"/>
  <c r="K13" i="7"/>
  <c r="AO13" i="7" s="1"/>
  <c r="J14" i="7"/>
  <c r="AM14" i="7" s="1"/>
  <c r="K14" i="7"/>
  <c r="AO14" i="7" s="1"/>
  <c r="J15" i="7"/>
  <c r="AM15" i="7" s="1"/>
  <c r="K15" i="7"/>
  <c r="AO15" i="7" s="1"/>
  <c r="J16" i="7"/>
  <c r="AM16" i="7" s="1"/>
  <c r="K16" i="7"/>
  <c r="AO16" i="7" s="1"/>
  <c r="J17" i="7"/>
  <c r="AM17" i="7" s="1"/>
  <c r="K17" i="7"/>
  <c r="AO17" i="7" s="1"/>
  <c r="J18" i="7"/>
  <c r="AM18" i="7" s="1"/>
  <c r="K18" i="7"/>
  <c r="AO18" i="7" s="1"/>
  <c r="AM19" i="7"/>
  <c r="AO19" i="7"/>
  <c r="J20" i="7"/>
  <c r="AM20" i="7" s="1"/>
  <c r="K20" i="7"/>
  <c r="AO20" i="7" s="1"/>
  <c r="J21" i="7"/>
  <c r="AM21" i="7" s="1"/>
  <c r="K21" i="7"/>
  <c r="AO21" i="7" s="1"/>
  <c r="J22" i="7"/>
  <c r="AM22" i="7" s="1"/>
  <c r="K22" i="7"/>
  <c r="AO22" i="7" s="1"/>
  <c r="J23" i="7"/>
  <c r="AM23" i="7" s="1"/>
  <c r="K23" i="7"/>
  <c r="AO23" i="7" s="1"/>
  <c r="J24" i="7"/>
  <c r="AM24" i="7" s="1"/>
  <c r="K24" i="7"/>
  <c r="AO24" i="7" s="1"/>
  <c r="J25" i="7"/>
  <c r="AM25" i="7" s="1"/>
  <c r="K25" i="7"/>
  <c r="AO25" i="7" s="1"/>
  <c r="J26" i="7"/>
  <c r="AM26" i="7" s="1"/>
  <c r="K26" i="7"/>
  <c r="AO26" i="7" s="1"/>
  <c r="J27" i="7"/>
  <c r="AM27" i="7" s="1"/>
  <c r="K27" i="7"/>
  <c r="AO27" i="7" s="1"/>
  <c r="J28" i="7"/>
  <c r="AM28" i="7" s="1"/>
  <c r="K28" i="7"/>
  <c r="AO28" i="7" s="1"/>
  <c r="J29" i="7"/>
  <c r="AM29" i="7" s="1"/>
  <c r="K29" i="7"/>
  <c r="AO29" i="7" s="1"/>
  <c r="J30" i="7"/>
  <c r="AM30" i="7" s="1"/>
  <c r="K30" i="7"/>
  <c r="AO30" i="7" s="1"/>
  <c r="J31" i="7"/>
  <c r="AM31" i="7" s="1"/>
  <c r="K31" i="7"/>
  <c r="AO31" i="7" s="1"/>
  <c r="J32" i="7"/>
  <c r="AM32" i="7" s="1"/>
  <c r="K32" i="7"/>
  <c r="AO32" i="7" s="1"/>
  <c r="J33" i="7"/>
  <c r="AM33" i="7" s="1"/>
  <c r="K33" i="7"/>
  <c r="AO33" i="7" s="1"/>
  <c r="J34" i="7"/>
  <c r="AM34" i="7" s="1"/>
  <c r="AN35" i="7" s="1"/>
  <c r="K34" i="7"/>
  <c r="AO34" i="7" s="1"/>
  <c r="AP35" i="7" s="1"/>
  <c r="K4" i="7"/>
  <c r="AO4" i="7" s="1"/>
  <c r="J4" i="7"/>
  <c r="AM4" i="7" s="1"/>
  <c r="AN5" i="7" s="1"/>
  <c r="I5" i="7"/>
  <c r="AK5" i="7" s="1"/>
  <c r="I6" i="7"/>
  <c r="AK6" i="7" s="1"/>
  <c r="I7" i="7"/>
  <c r="AK7" i="7" s="1"/>
  <c r="I8" i="7"/>
  <c r="AK8" i="7" s="1"/>
  <c r="I9" i="7"/>
  <c r="AK9" i="7" s="1"/>
  <c r="I10" i="7"/>
  <c r="AK10" i="7" s="1"/>
  <c r="I11" i="7"/>
  <c r="AK11" i="7" s="1"/>
  <c r="I12" i="7"/>
  <c r="AK12" i="7" s="1"/>
  <c r="I13" i="7"/>
  <c r="AK13" i="7" s="1"/>
  <c r="I14" i="7"/>
  <c r="AK14" i="7" s="1"/>
  <c r="I15" i="7"/>
  <c r="AK15" i="7" s="1"/>
  <c r="I16" i="7"/>
  <c r="AK16" i="7" s="1"/>
  <c r="I17" i="7"/>
  <c r="AK17" i="7" s="1"/>
  <c r="I18" i="7"/>
  <c r="AK18" i="7" s="1"/>
  <c r="AK19" i="7"/>
  <c r="I20" i="7"/>
  <c r="AK20" i="7" s="1"/>
  <c r="I21" i="7"/>
  <c r="AK21" i="7" s="1"/>
  <c r="I22" i="7"/>
  <c r="AK22" i="7" s="1"/>
  <c r="I23" i="7"/>
  <c r="AK23" i="7" s="1"/>
  <c r="I24" i="7"/>
  <c r="AK24" i="7" s="1"/>
  <c r="I25" i="7"/>
  <c r="AK25" i="7" s="1"/>
  <c r="I26" i="7"/>
  <c r="AK26" i="7" s="1"/>
  <c r="I27" i="7"/>
  <c r="AK27" i="7" s="1"/>
  <c r="I28" i="7"/>
  <c r="AK28" i="7" s="1"/>
  <c r="I29" i="7"/>
  <c r="AK29" i="7" s="1"/>
  <c r="I30" i="7"/>
  <c r="AK30" i="7" s="1"/>
  <c r="I31" i="7"/>
  <c r="AK31" i="7" s="1"/>
  <c r="I32" i="7"/>
  <c r="AK32" i="7" s="1"/>
  <c r="I33" i="7"/>
  <c r="AK33" i="7" s="1"/>
  <c r="I34" i="7"/>
  <c r="AK34" i="7" s="1"/>
  <c r="AL35" i="7" s="1"/>
  <c r="I4" i="7"/>
  <c r="AK4" i="7" s="1"/>
  <c r="H5" i="7"/>
  <c r="AI5" i="7" s="1"/>
  <c r="H6" i="7"/>
  <c r="AI6" i="7" s="1"/>
  <c r="H7" i="7"/>
  <c r="AI7" i="7" s="1"/>
  <c r="H8" i="7"/>
  <c r="AI8" i="7" s="1"/>
  <c r="H9" i="7"/>
  <c r="AI9" i="7" s="1"/>
  <c r="H10" i="7"/>
  <c r="AI10" i="7" s="1"/>
  <c r="H11" i="7"/>
  <c r="AI11" i="7" s="1"/>
  <c r="H12" i="7"/>
  <c r="AI12" i="7" s="1"/>
  <c r="H13" i="7"/>
  <c r="AI13" i="7" s="1"/>
  <c r="H14" i="7"/>
  <c r="AI14" i="7" s="1"/>
  <c r="H15" i="7"/>
  <c r="AI15" i="7" s="1"/>
  <c r="H16" i="7"/>
  <c r="AI16" i="7" s="1"/>
  <c r="H17" i="7"/>
  <c r="AI17" i="7" s="1"/>
  <c r="H18" i="7"/>
  <c r="AI18" i="7" s="1"/>
  <c r="AI19" i="7"/>
  <c r="H20" i="7"/>
  <c r="AI20" i="7" s="1"/>
  <c r="H21" i="7"/>
  <c r="AI21" i="7" s="1"/>
  <c r="H22" i="7"/>
  <c r="AI22" i="7" s="1"/>
  <c r="H23" i="7"/>
  <c r="AI23" i="7" s="1"/>
  <c r="H24" i="7"/>
  <c r="AI24" i="7" s="1"/>
  <c r="H25" i="7"/>
  <c r="AI25" i="7" s="1"/>
  <c r="H26" i="7"/>
  <c r="AI26" i="7" s="1"/>
  <c r="H27" i="7"/>
  <c r="AI27" i="7" s="1"/>
  <c r="H28" i="7"/>
  <c r="AI28" i="7" s="1"/>
  <c r="H29" i="7"/>
  <c r="AI29" i="7" s="1"/>
  <c r="H30" i="7"/>
  <c r="AI30" i="7" s="1"/>
  <c r="H31" i="7"/>
  <c r="AI31" i="7" s="1"/>
  <c r="H32" i="7"/>
  <c r="AI32" i="7" s="1"/>
  <c r="H33" i="7"/>
  <c r="AI33" i="7" s="1"/>
  <c r="H34" i="7"/>
  <c r="AI34" i="7" s="1"/>
  <c r="AJ35" i="7" s="1"/>
  <c r="H4" i="7"/>
  <c r="AI4" i="7" s="1"/>
  <c r="F5" i="7"/>
  <c r="AG5" i="7" s="1"/>
  <c r="G5" i="7"/>
  <c r="AC5" i="7" s="1"/>
  <c r="F6" i="7"/>
  <c r="AG6" i="7" s="1"/>
  <c r="G6" i="7"/>
  <c r="AC6" i="7" s="1"/>
  <c r="F7" i="7"/>
  <c r="AG7" i="7" s="1"/>
  <c r="G7" i="7"/>
  <c r="AC7" i="7" s="1"/>
  <c r="F8" i="7"/>
  <c r="AG8" i="7" s="1"/>
  <c r="G8" i="7"/>
  <c r="AC8" i="7" s="1"/>
  <c r="F9" i="7"/>
  <c r="AG9" i="7" s="1"/>
  <c r="G9" i="7"/>
  <c r="AC9" i="7" s="1"/>
  <c r="F10" i="7"/>
  <c r="AG10" i="7" s="1"/>
  <c r="G10" i="7"/>
  <c r="AC10" i="7" s="1"/>
  <c r="F11" i="7"/>
  <c r="AG11" i="7" s="1"/>
  <c r="G11" i="7"/>
  <c r="AC11" i="7" s="1"/>
  <c r="F12" i="7"/>
  <c r="AG12" i="7" s="1"/>
  <c r="G12" i="7"/>
  <c r="AC12" i="7" s="1"/>
  <c r="F13" i="7"/>
  <c r="AG13" i="7" s="1"/>
  <c r="G13" i="7"/>
  <c r="AC13" i="7" s="1"/>
  <c r="F14" i="7"/>
  <c r="AG14" i="7" s="1"/>
  <c r="G14" i="7"/>
  <c r="AC14" i="7" s="1"/>
  <c r="F15" i="7"/>
  <c r="AG15" i="7" s="1"/>
  <c r="G15" i="7"/>
  <c r="AC15" i="7" s="1"/>
  <c r="F16" i="7"/>
  <c r="AG16" i="7" s="1"/>
  <c r="G16" i="7"/>
  <c r="AC16" i="7" s="1"/>
  <c r="F17" i="7"/>
  <c r="AG17" i="7" s="1"/>
  <c r="G17" i="7"/>
  <c r="AC17" i="7" s="1"/>
  <c r="F18" i="7"/>
  <c r="AG18" i="7" s="1"/>
  <c r="G18" i="7"/>
  <c r="AC18" i="7" s="1"/>
  <c r="AG19" i="7"/>
  <c r="AC19" i="7"/>
  <c r="F20" i="7"/>
  <c r="AG20" i="7" s="1"/>
  <c r="G20" i="7"/>
  <c r="AC20" i="7" s="1"/>
  <c r="F21" i="7"/>
  <c r="AG21" i="7" s="1"/>
  <c r="G21" i="7"/>
  <c r="AC21" i="7" s="1"/>
  <c r="F22" i="7"/>
  <c r="AG22" i="7" s="1"/>
  <c r="G22" i="7"/>
  <c r="AC22" i="7" s="1"/>
  <c r="F23" i="7"/>
  <c r="AG23" i="7" s="1"/>
  <c r="G23" i="7"/>
  <c r="AC23" i="7" s="1"/>
  <c r="F24" i="7"/>
  <c r="AG24" i="7" s="1"/>
  <c r="G24" i="7"/>
  <c r="AC24" i="7" s="1"/>
  <c r="F25" i="7"/>
  <c r="AG25" i="7" s="1"/>
  <c r="G25" i="7"/>
  <c r="AC25" i="7" s="1"/>
  <c r="F26" i="7"/>
  <c r="AG26" i="7" s="1"/>
  <c r="G26" i="7"/>
  <c r="AC26" i="7" s="1"/>
  <c r="F27" i="7"/>
  <c r="AG27" i="7" s="1"/>
  <c r="G27" i="7"/>
  <c r="AC27" i="7" s="1"/>
  <c r="F28" i="7"/>
  <c r="AG28" i="7" s="1"/>
  <c r="G28" i="7"/>
  <c r="AC28" i="7" s="1"/>
  <c r="F29" i="7"/>
  <c r="AG29" i="7" s="1"/>
  <c r="G29" i="7"/>
  <c r="AC29" i="7" s="1"/>
  <c r="F30" i="7"/>
  <c r="AG30" i="7" s="1"/>
  <c r="G30" i="7"/>
  <c r="AC30" i="7" s="1"/>
  <c r="F31" i="7"/>
  <c r="AG31" i="7" s="1"/>
  <c r="G31" i="7"/>
  <c r="AC31" i="7" s="1"/>
  <c r="F32" i="7"/>
  <c r="AG32" i="7" s="1"/>
  <c r="G32" i="7"/>
  <c r="AC32" i="7" s="1"/>
  <c r="F33" i="7"/>
  <c r="AG33" i="7" s="1"/>
  <c r="G33" i="7"/>
  <c r="AC33" i="7" s="1"/>
  <c r="F34" i="7"/>
  <c r="AG34" i="7" s="1"/>
  <c r="G34" i="7"/>
  <c r="AC34" i="7" s="1"/>
  <c r="AD35" i="7" s="1"/>
  <c r="G4" i="7"/>
  <c r="AC4" i="7" s="1"/>
  <c r="F4" i="7"/>
  <c r="AG4" i="7" s="1"/>
  <c r="E5" i="7"/>
  <c r="AE5" i="7" s="1"/>
  <c r="E6" i="7"/>
  <c r="AE6" i="7" s="1"/>
  <c r="E7" i="7"/>
  <c r="AE7" i="7" s="1"/>
  <c r="E8" i="7"/>
  <c r="AE8" i="7" s="1"/>
  <c r="E9" i="7"/>
  <c r="AE9" i="7" s="1"/>
  <c r="E10" i="7"/>
  <c r="AE10" i="7" s="1"/>
  <c r="E11" i="7"/>
  <c r="AE11" i="7" s="1"/>
  <c r="E12" i="7"/>
  <c r="AE12" i="7" s="1"/>
  <c r="E13" i="7"/>
  <c r="AE13" i="7" s="1"/>
  <c r="E14" i="7"/>
  <c r="AE14" i="7" s="1"/>
  <c r="E15" i="7"/>
  <c r="AE15" i="7" s="1"/>
  <c r="E16" i="7"/>
  <c r="AE16" i="7" s="1"/>
  <c r="E17" i="7"/>
  <c r="AE17" i="7" s="1"/>
  <c r="E18" i="7"/>
  <c r="AE18" i="7" s="1"/>
  <c r="AE19" i="7"/>
  <c r="E20" i="7"/>
  <c r="AE20" i="7" s="1"/>
  <c r="E21" i="7"/>
  <c r="AE21" i="7" s="1"/>
  <c r="E22" i="7"/>
  <c r="AE22" i="7" s="1"/>
  <c r="E23" i="7"/>
  <c r="AE23" i="7" s="1"/>
  <c r="E24" i="7"/>
  <c r="AE24" i="7" s="1"/>
  <c r="E25" i="7"/>
  <c r="AE25" i="7" s="1"/>
  <c r="E26" i="7"/>
  <c r="AE26" i="7" s="1"/>
  <c r="E27" i="7"/>
  <c r="AE27" i="7" s="1"/>
  <c r="E28" i="7"/>
  <c r="AE28" i="7" s="1"/>
  <c r="E29" i="7"/>
  <c r="AE29" i="7" s="1"/>
  <c r="E30" i="7"/>
  <c r="AE30" i="7" s="1"/>
  <c r="E31" i="7"/>
  <c r="AE31" i="7" s="1"/>
  <c r="E32" i="7"/>
  <c r="AE32" i="7" s="1"/>
  <c r="E33" i="7"/>
  <c r="AE33" i="7" s="1"/>
  <c r="AE34" i="7"/>
  <c r="AF35" i="7" s="1"/>
  <c r="E4" i="7"/>
  <c r="AE4" i="7" s="1"/>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Z35" i="7" s="1"/>
  <c r="Y4" i="7"/>
  <c r="C5" i="7"/>
  <c r="AA5" i="7" s="1"/>
  <c r="C6" i="7"/>
  <c r="AA6" i="7" s="1"/>
  <c r="C7" i="7"/>
  <c r="AA7" i="7" s="1"/>
  <c r="C8" i="7"/>
  <c r="AA8" i="7" s="1"/>
  <c r="C9" i="7"/>
  <c r="AA9" i="7" s="1"/>
  <c r="C10" i="7"/>
  <c r="AA10" i="7" s="1"/>
  <c r="C11" i="7"/>
  <c r="AA11" i="7" s="1"/>
  <c r="C12" i="7"/>
  <c r="AA12" i="7" s="1"/>
  <c r="C13" i="7"/>
  <c r="AA13" i="7" s="1"/>
  <c r="C14" i="7"/>
  <c r="AA14" i="7" s="1"/>
  <c r="C15" i="7"/>
  <c r="AA15" i="7" s="1"/>
  <c r="C16" i="7"/>
  <c r="AA16" i="7" s="1"/>
  <c r="C17" i="7"/>
  <c r="AA17" i="7" s="1"/>
  <c r="C18" i="7"/>
  <c r="AA18" i="7" s="1"/>
  <c r="AA19" i="7"/>
  <c r="C20" i="7"/>
  <c r="AA20" i="7" s="1"/>
  <c r="C21" i="7"/>
  <c r="AA21" i="7" s="1"/>
  <c r="C22" i="7"/>
  <c r="AA22" i="7" s="1"/>
  <c r="C23" i="7"/>
  <c r="AA23" i="7" s="1"/>
  <c r="C24" i="7"/>
  <c r="AA24" i="7" s="1"/>
  <c r="C25" i="7"/>
  <c r="AA25" i="7" s="1"/>
  <c r="C26" i="7"/>
  <c r="AA26" i="7" s="1"/>
  <c r="C27" i="7"/>
  <c r="AA27" i="7" s="1"/>
  <c r="C28" i="7"/>
  <c r="AA28" i="7" s="1"/>
  <c r="C29" i="7"/>
  <c r="AA29" i="7" s="1"/>
  <c r="C30" i="7"/>
  <c r="AA30" i="7" s="1"/>
  <c r="C31" i="7"/>
  <c r="AA31" i="7" s="1"/>
  <c r="C32" i="7"/>
  <c r="AA32" i="7" s="1"/>
  <c r="C33" i="7"/>
  <c r="AA33" i="7" s="1"/>
  <c r="AA34" i="7"/>
  <c r="AB35" i="7" s="1"/>
  <c r="C4" i="7"/>
  <c r="AA4" i="7" s="1"/>
  <c r="B5" i="7"/>
  <c r="W5" i="7" s="1"/>
  <c r="B6" i="7"/>
  <c r="W6" i="7" s="1"/>
  <c r="B7" i="7"/>
  <c r="W7" i="7" s="1"/>
  <c r="B8" i="7"/>
  <c r="W8" i="7" s="1"/>
  <c r="B9" i="7"/>
  <c r="W9" i="7" s="1"/>
  <c r="B10" i="7"/>
  <c r="W10" i="7" s="1"/>
  <c r="B11" i="7"/>
  <c r="W11" i="7" s="1"/>
  <c r="B12" i="7"/>
  <c r="W12" i="7" s="1"/>
  <c r="B13" i="7"/>
  <c r="W13" i="7" s="1"/>
  <c r="B14" i="7"/>
  <c r="W14" i="7" s="1"/>
  <c r="B15" i="7"/>
  <c r="W15" i="7" s="1"/>
  <c r="W16" i="7"/>
  <c r="B17" i="7"/>
  <c r="W17" i="7" s="1"/>
  <c r="B18" i="7"/>
  <c r="W18" i="7" s="1"/>
  <c r="W19" i="7"/>
  <c r="B20" i="7"/>
  <c r="W20" i="7" s="1"/>
  <c r="B21" i="7"/>
  <c r="W21" i="7" s="1"/>
  <c r="B22" i="7"/>
  <c r="W22" i="7" s="1"/>
  <c r="B23" i="7"/>
  <c r="W23" i="7" s="1"/>
  <c r="B24" i="7"/>
  <c r="W24" i="7" s="1"/>
  <c r="B25" i="7"/>
  <c r="W25" i="7" s="1"/>
  <c r="B26" i="7"/>
  <c r="W26" i="7" s="1"/>
  <c r="B27" i="7"/>
  <c r="W27" i="7" s="1"/>
  <c r="B28" i="7"/>
  <c r="W28" i="7" s="1"/>
  <c r="B29" i="7"/>
  <c r="W29" i="7" s="1"/>
  <c r="B30" i="7"/>
  <c r="W30" i="7" s="1"/>
  <c r="B31" i="7"/>
  <c r="W31" i="7" s="1"/>
  <c r="B32" i="7"/>
  <c r="W32" i="7" s="1"/>
  <c r="B33" i="7"/>
  <c r="W33" i="7" s="1"/>
  <c r="W34" i="7"/>
  <c r="X35" i="7" s="1"/>
  <c r="B4" i="7"/>
  <c r="W4" i="7" s="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41" i="7"/>
  <c r="AU34" i="7"/>
  <c r="AV35" i="7" s="1"/>
  <c r="AS34" i="7"/>
  <c r="AT35" i="7" s="1"/>
  <c r="AQ34" i="7"/>
  <c r="AR35" i="7" s="1"/>
  <c r="AU33" i="7"/>
  <c r="AS33" i="7"/>
  <c r="AQ33" i="7"/>
  <c r="AU32" i="7"/>
  <c r="AS32" i="7"/>
  <c r="AQ32" i="7"/>
  <c r="AU31" i="7"/>
  <c r="AS31" i="7"/>
  <c r="AQ31" i="7"/>
  <c r="AU30" i="7"/>
  <c r="AS30" i="7"/>
  <c r="AQ30" i="7"/>
  <c r="AU29" i="7"/>
  <c r="AS29" i="7"/>
  <c r="AQ29" i="7"/>
  <c r="AU28" i="7"/>
  <c r="AS28" i="7"/>
  <c r="AQ28" i="7"/>
  <c r="AU27" i="7"/>
  <c r="AS27" i="7"/>
  <c r="AQ27" i="7"/>
  <c r="AU26" i="7"/>
  <c r="AS26" i="7"/>
  <c r="AQ26" i="7"/>
  <c r="AU25" i="7"/>
  <c r="AS25" i="7"/>
  <c r="AQ25" i="7"/>
  <c r="AU24" i="7"/>
  <c r="AS24" i="7"/>
  <c r="AQ24" i="7"/>
  <c r="AU23" i="7"/>
  <c r="AS23" i="7"/>
  <c r="AQ23" i="7"/>
  <c r="AU22" i="7"/>
  <c r="AS22" i="7"/>
  <c r="AQ22" i="7"/>
  <c r="AU21" i="7"/>
  <c r="AS21" i="7"/>
  <c r="AQ21" i="7"/>
  <c r="AU20" i="7"/>
  <c r="AS20" i="7"/>
  <c r="AQ20" i="7"/>
  <c r="AU19" i="7"/>
  <c r="AS19" i="7"/>
  <c r="AQ19" i="7"/>
  <c r="AU18" i="7"/>
  <c r="AS18" i="7"/>
  <c r="AQ18" i="7"/>
  <c r="AU17" i="7"/>
  <c r="AS17" i="7"/>
  <c r="AQ17" i="7"/>
  <c r="AU16" i="7"/>
  <c r="AS16" i="7"/>
  <c r="AQ16" i="7"/>
  <c r="AU15" i="7"/>
  <c r="AS15" i="7"/>
  <c r="AQ15" i="7"/>
  <c r="AU14" i="7"/>
  <c r="AS14" i="7"/>
  <c r="AQ14" i="7"/>
  <c r="AU13" i="7"/>
  <c r="AS13" i="7"/>
  <c r="AQ13" i="7"/>
  <c r="AU12" i="7"/>
  <c r="AS12" i="7"/>
  <c r="AQ12" i="7"/>
  <c r="AU11" i="7"/>
  <c r="AS11" i="7"/>
  <c r="AQ11" i="7"/>
  <c r="AU10" i="7"/>
  <c r="AS10" i="7"/>
  <c r="AQ10" i="7"/>
  <c r="AU9" i="7"/>
  <c r="AS9" i="7"/>
  <c r="AQ9" i="7"/>
  <c r="AU8" i="7"/>
  <c r="AS8" i="7"/>
  <c r="AQ8" i="7"/>
  <c r="AU7" i="7"/>
  <c r="AS7" i="7"/>
  <c r="AQ7" i="7"/>
  <c r="AU6" i="7"/>
  <c r="AS6" i="7"/>
  <c r="AQ6" i="7"/>
  <c r="AU5" i="7"/>
  <c r="AS5" i="7"/>
  <c r="AQ5" i="7"/>
  <c r="AU4" i="7"/>
  <c r="AS4" i="7"/>
  <c r="AQ4" i="7"/>
  <c r="AA2" i="7"/>
  <c r="AD739" i="9" l="1"/>
  <c r="AC739" i="9"/>
  <c r="AA739" i="9"/>
  <c r="AH739" i="9"/>
  <c r="AJ736" i="9"/>
  <c r="AJ735" i="9"/>
  <c r="AJ734" i="9"/>
  <c r="AJ733" i="9"/>
  <c r="AJ732" i="9"/>
  <c r="AJ731" i="9"/>
  <c r="AJ730" i="9"/>
  <c r="AJ729" i="9"/>
  <c r="AJ727" i="9"/>
  <c r="AJ726" i="9"/>
  <c r="AJ725" i="9"/>
  <c r="AJ724" i="9"/>
  <c r="AJ723" i="9"/>
  <c r="AJ722" i="9"/>
  <c r="AJ721" i="9"/>
  <c r="AJ720" i="9"/>
  <c r="AJ719" i="9"/>
  <c r="AJ718" i="9"/>
  <c r="AJ717" i="9"/>
  <c r="AJ716" i="9"/>
  <c r="AJ715" i="9"/>
  <c r="AJ714" i="9"/>
  <c r="AJ713" i="9"/>
  <c r="AJ712" i="9"/>
  <c r="D739" i="9"/>
  <c r="M739" i="9" s="1"/>
  <c r="AJ711" i="9"/>
  <c r="AJ709" i="9"/>
  <c r="AJ710" i="9"/>
  <c r="AJ708" i="9"/>
  <c r="AH35" i="7"/>
  <c r="BN35" i="7" s="1"/>
  <c r="BM35" i="7"/>
  <c r="AV5" i="7"/>
  <c r="AT7" i="7"/>
  <c r="AR7" i="7"/>
  <c r="AT12" i="7"/>
  <c r="AR8" i="7"/>
  <c r="AR31" i="7"/>
  <c r="AT31" i="7"/>
  <c r="AR9" i="7"/>
  <c r="AR19" i="7"/>
  <c r="AV7" i="7"/>
  <c r="AT9" i="7"/>
  <c r="AT10" i="7"/>
  <c r="AV10" i="7"/>
  <c r="AR16" i="7"/>
  <c r="AT20" i="7"/>
  <c r="AT34" i="7"/>
  <c r="AV34" i="7"/>
  <c r="AT8" i="7"/>
  <c r="AR10" i="7"/>
  <c r="AV18" i="7"/>
  <c r="AR34" i="7"/>
  <c r="AV11" i="7"/>
  <c r="AV8" i="7"/>
  <c r="Z13" i="7"/>
  <c r="AF33" i="7"/>
  <c r="AX31" i="7"/>
  <c r="AR5" i="7"/>
  <c r="AR18" i="7"/>
  <c r="AT6" i="7"/>
  <c r="AR6" i="7"/>
  <c r="AV9" i="7"/>
  <c r="AV16" i="7"/>
  <c r="AV19" i="7"/>
  <c r="X34" i="7"/>
  <c r="AD9" i="7"/>
  <c r="AH9" i="7" s="1"/>
  <c r="AP32" i="7"/>
  <c r="AT17" i="7"/>
  <c r="AR22" i="7"/>
  <c r="AR23" i="7"/>
  <c r="AR28" i="7"/>
  <c r="AV6" i="7"/>
  <c r="AR21" i="7"/>
  <c r="AT22" i="7"/>
  <c r="AT28" i="7"/>
  <c r="AR29" i="7"/>
  <c r="AR32" i="7"/>
  <c r="AV23" i="7"/>
  <c r="AT24" i="7"/>
  <c r="AT27" i="7"/>
  <c r="AV28" i="7"/>
  <c r="AT32" i="7"/>
  <c r="AV24" i="7"/>
  <c r="AV32" i="7"/>
  <c r="AR26" i="7"/>
  <c r="BD5" i="7"/>
  <c r="AV12" i="7"/>
  <c r="AR25" i="7"/>
  <c r="AR33" i="7"/>
  <c r="AT25" i="7"/>
  <c r="AV26" i="7"/>
  <c r="AR11" i="7"/>
  <c r="AT14" i="7"/>
  <c r="AV33" i="7"/>
  <c r="X7" i="7"/>
  <c r="AF7" i="7"/>
  <c r="AJ34" i="7"/>
  <c r="AJ30" i="7"/>
  <c r="AJ18" i="7"/>
  <c r="AJ11" i="7"/>
  <c r="AL10" i="7"/>
  <c r="BF33" i="7"/>
  <c r="BJ11" i="7"/>
  <c r="BB11" i="7"/>
  <c r="AZ5" i="7"/>
  <c r="AJ32" i="7"/>
  <c r="BB32" i="7"/>
  <c r="AF10" i="7"/>
  <c r="AN8" i="7"/>
  <c r="Z10" i="7"/>
  <c r="AP5" i="7"/>
  <c r="AX5" i="7"/>
  <c r="AN7" i="7"/>
  <c r="AJ9" i="7"/>
  <c r="AJ12" i="7"/>
  <c r="AN13" i="7"/>
  <c r="AB15" i="7"/>
  <c r="AN17" i="7"/>
  <c r="AP30" i="7"/>
  <c r="AZ9" i="7"/>
  <c r="BH34" i="7"/>
  <c r="AD7" i="7"/>
  <c r="AH7" i="7" s="1"/>
  <c r="AN9" i="7"/>
  <c r="BH9" i="7"/>
  <c r="AZ28" i="7"/>
  <c r="Z7" i="7"/>
  <c r="AL12" i="7"/>
  <c r="AN11" i="7"/>
  <c r="BH12" i="7"/>
  <c r="AX12" i="7"/>
  <c r="AB7" i="7"/>
  <c r="BD9" i="7"/>
  <c r="BD12" i="7"/>
  <c r="BD32" i="7"/>
  <c r="AB33" i="7"/>
  <c r="AB13" i="7"/>
  <c r="Z16" i="7"/>
  <c r="AP16" i="7"/>
  <c r="BF5" i="7"/>
  <c r="AZ32" i="7"/>
  <c r="BD17" i="7"/>
  <c r="BF11" i="7"/>
  <c r="BL33" i="7"/>
  <c r="AB29" i="7"/>
  <c r="AL6" i="7"/>
  <c r="BH7" i="7"/>
  <c r="AP13" i="7"/>
  <c r="AN23" i="7"/>
  <c r="BJ34" i="7"/>
  <c r="AP6" i="7"/>
  <c r="BJ12" i="7"/>
  <c r="BL12" i="7"/>
  <c r="X17" i="7"/>
  <c r="AV17" i="7"/>
  <c r="AT19" i="7"/>
  <c r="AV27" i="7"/>
  <c r="AZ31" i="7"/>
  <c r="AL32" i="7"/>
  <c r="BJ32" i="7"/>
  <c r="AB19" i="7"/>
  <c r="AR12" i="7"/>
  <c r="AP11" i="7"/>
  <c r="AZ34" i="7"/>
  <c r="X8" i="7"/>
  <c r="X9" i="7"/>
  <c r="AT16" i="7"/>
  <c r="AT23" i="7"/>
  <c r="Z33" i="7"/>
  <c r="AT33" i="7"/>
  <c r="BF31" i="7"/>
  <c r="AT11" i="7"/>
  <c r="Z12" i="7"/>
  <c r="AR15" i="7"/>
  <c r="AT21" i="7"/>
  <c r="AV25" i="7"/>
  <c r="AT29" i="7"/>
  <c r="BH31" i="7"/>
  <c r="AF13" i="7"/>
  <c r="AT15" i="7"/>
  <c r="AV21" i="7"/>
  <c r="AV29" i="7"/>
  <c r="AX33" i="7"/>
  <c r="AT5" i="7"/>
  <c r="AF8" i="7"/>
  <c r="AV15" i="7"/>
  <c r="AT18" i="7"/>
  <c r="AR24" i="7"/>
  <c r="AT26" i="7"/>
  <c r="AF12" i="7"/>
  <c r="AR14" i="7"/>
  <c r="AL17" i="7"/>
  <c r="AR20" i="7"/>
  <c r="BB33" i="7"/>
  <c r="BD11" i="7"/>
  <c r="AV14" i="7"/>
  <c r="AV20" i="7"/>
  <c r="AF32" i="7"/>
  <c r="AX11" i="7"/>
  <c r="BL27" i="7"/>
  <c r="BD7" i="7"/>
  <c r="AL13" i="7"/>
  <c r="AN10" i="7"/>
  <c r="BF12" i="7"/>
  <c r="AN12" i="7"/>
  <c r="AR17" i="7"/>
  <c r="AV22" i="7"/>
  <c r="AR27" i="7"/>
  <c r="AV30" i="7"/>
  <c r="AN33" i="7"/>
  <c r="X5" i="7"/>
  <c r="AZ6" i="7"/>
  <c r="BH6" i="7"/>
  <c r="AX7" i="7"/>
  <c r="AX8" i="7"/>
  <c r="BF8" i="7"/>
  <c r="AP9" i="7"/>
  <c r="AL20" i="7"/>
  <c r="Z32" i="7"/>
  <c r="AJ19" i="7"/>
  <c r="AN34" i="7"/>
  <c r="AX6" i="7"/>
  <c r="BF6" i="7"/>
  <c r="AL7" i="7"/>
  <c r="BB7" i="7"/>
  <c r="AD8" i="7"/>
  <c r="AH8" i="7" s="1"/>
  <c r="AL8" i="7"/>
  <c r="BL8" i="7"/>
  <c r="AB9" i="7"/>
  <c r="AX9" i="7"/>
  <c r="BF9" i="7"/>
  <c r="X10" i="7"/>
  <c r="AZ10" i="7"/>
  <c r="BH10" i="7"/>
  <c r="AB11" i="7"/>
  <c r="AP12" i="7"/>
  <c r="BB12" i="7"/>
  <c r="BH11" i="7"/>
  <c r="AZ12" i="7"/>
  <c r="X16" i="7"/>
  <c r="BL16" i="7"/>
  <c r="BL18" i="7"/>
  <c r="AZ20" i="7"/>
  <c r="BH20" i="7"/>
  <c r="BH21" i="7"/>
  <c r="AD23" i="7"/>
  <c r="AH23" i="7" s="1"/>
  <c r="BH28" i="7"/>
  <c r="BH32" i="7"/>
  <c r="AL33" i="7"/>
  <c r="BD6" i="7"/>
  <c r="BL6" i="7"/>
  <c r="AJ7" i="7"/>
  <c r="AZ7" i="7"/>
  <c r="BF7" i="7"/>
  <c r="BL7" i="7"/>
  <c r="AB8" i="7"/>
  <c r="BB8" i="7"/>
  <c r="BJ8" i="7"/>
  <c r="AF9" i="7"/>
  <c r="BL9" i="7"/>
  <c r="AD10" i="7"/>
  <c r="AH10" i="7" s="1"/>
  <c r="AZ11" i="7"/>
  <c r="X13" i="7"/>
  <c r="AJ13" i="7"/>
  <c r="AX13" i="7"/>
  <c r="AF15" i="7"/>
  <c r="BD15" i="7"/>
  <c r="AD16" i="7"/>
  <c r="AH16" i="7" s="1"/>
  <c r="AL16" i="7"/>
  <c r="BB16" i="7"/>
  <c r="AD18" i="7"/>
  <c r="AH18" i="7" s="1"/>
  <c r="BB18" i="7"/>
  <c r="BJ18" i="7"/>
  <c r="AF19" i="7"/>
  <c r="AP21" i="7"/>
  <c r="AX21" i="7"/>
  <c r="BF21" i="7"/>
  <c r="AP28" i="7"/>
  <c r="AX28" i="7"/>
  <c r="BF28" i="7"/>
  <c r="X29" i="7"/>
  <c r="AN30" i="7"/>
  <c r="BD30" i="7"/>
  <c r="AX32" i="7"/>
  <c r="BF32" i="7"/>
  <c r="X33" i="7"/>
  <c r="BL32" i="7"/>
  <c r="AD33" i="7"/>
  <c r="AH33" i="7" s="1"/>
  <c r="AJ33" i="7"/>
  <c r="AZ33" i="7"/>
  <c r="BF34" i="7"/>
  <c r="BJ33" i="7"/>
  <c r="AD34" i="7"/>
  <c r="AH34" i="7" s="1"/>
  <c r="BD34" i="7"/>
  <c r="AB21" i="7"/>
  <c r="BH5" i="7"/>
  <c r="Z6" i="7"/>
  <c r="BB6" i="7"/>
  <c r="BJ6" i="7"/>
  <c r="AP7" i="7"/>
  <c r="BJ7" i="7"/>
  <c r="Z8" i="7"/>
  <c r="AP8" i="7"/>
  <c r="BB9" i="7"/>
  <c r="BJ9" i="7"/>
  <c r="AB10" i="7"/>
  <c r="BD10" i="7"/>
  <c r="BL10" i="7"/>
  <c r="BL11" i="7"/>
  <c r="BD13" i="7"/>
  <c r="AN14" i="7"/>
  <c r="AD15" i="7"/>
  <c r="AH15" i="7" s="1"/>
  <c r="BB15" i="7"/>
  <c r="BJ15" i="7"/>
  <c r="AZ16" i="7"/>
  <c r="BH16" i="7"/>
  <c r="AP17" i="7"/>
  <c r="AX17" i="7"/>
  <c r="BF17" i="7"/>
  <c r="BD19" i="7"/>
  <c r="BL28" i="7"/>
  <c r="AF29" i="7"/>
  <c r="BD33" i="7"/>
  <c r="X30" i="7"/>
  <c r="X18" i="7"/>
  <c r="X14" i="7"/>
  <c r="AB26" i="7"/>
  <c r="AB18" i="7"/>
  <c r="Z30" i="7"/>
  <c r="Z26" i="7"/>
  <c r="AF34" i="7"/>
  <c r="AF30" i="7"/>
  <c r="AD29" i="7"/>
  <c r="AH29" i="7" s="1"/>
  <c r="AJ22" i="7"/>
  <c r="BJ22" i="7"/>
  <c r="BL34" i="7"/>
  <c r="AL28" i="7"/>
  <c r="AJ27" i="7"/>
  <c r="BJ27" i="7"/>
  <c r="BH27" i="7"/>
  <c r="BB27" i="7"/>
  <c r="AZ27" i="7"/>
  <c r="AD27" i="7"/>
  <c r="AH27" i="7" s="1"/>
  <c r="AB27" i="7"/>
  <c r="AF26" i="7"/>
  <c r="AJ26" i="7"/>
  <c r="X26" i="7"/>
  <c r="AL26" i="7"/>
  <c r="X25" i="7"/>
  <c r="AF25" i="7"/>
  <c r="AD25" i="7"/>
  <c r="AH25" i="7" s="1"/>
  <c r="AF23" i="7"/>
  <c r="BL23" i="7"/>
  <c r="BF23" i="7"/>
  <c r="AX23" i="7"/>
  <c r="AL23" i="7"/>
  <c r="AF22" i="7"/>
  <c r="BD22" i="7"/>
  <c r="BB22" i="7"/>
  <c r="X22" i="7"/>
  <c r="AN21" i="7"/>
  <c r="AZ21" i="7"/>
  <c r="AL21" i="7"/>
  <c r="X21" i="7"/>
  <c r="AP20" i="7"/>
  <c r="BL20" i="7"/>
  <c r="BJ20" i="7"/>
  <c r="BB20" i="7"/>
  <c r="AD20" i="7"/>
  <c r="AH20" i="7" s="1"/>
  <c r="BL5" i="7"/>
  <c r="BL13" i="7"/>
  <c r="BL14" i="7"/>
  <c r="BL24" i="7"/>
  <c r="BL25" i="7"/>
  <c r="BL26" i="7"/>
  <c r="BL17" i="7"/>
  <c r="BL21" i="7"/>
  <c r="BL31" i="7"/>
  <c r="BL29" i="7"/>
  <c r="BL15" i="7"/>
  <c r="BL19" i="7"/>
  <c r="BL22" i="7"/>
  <c r="AZ13" i="7"/>
  <c r="BH13" i="7"/>
  <c r="AZ14" i="7"/>
  <c r="BH14" i="7"/>
  <c r="AX15" i="7"/>
  <c r="BF15" i="7"/>
  <c r="BD16" i="7"/>
  <c r="BB17" i="7"/>
  <c r="BJ17" i="7"/>
  <c r="BD18" i="7"/>
  <c r="AX19" i="7"/>
  <c r="BF19" i="7"/>
  <c r="BD20" i="7"/>
  <c r="BB21" i="7"/>
  <c r="BJ21" i="7"/>
  <c r="AX22" i="7"/>
  <c r="BF22" i="7"/>
  <c r="AZ23" i="7"/>
  <c r="BH23" i="7"/>
  <c r="AZ24" i="7"/>
  <c r="BH24" i="7"/>
  <c r="AZ25" i="7"/>
  <c r="BH25" i="7"/>
  <c r="AZ26" i="7"/>
  <c r="BH26" i="7"/>
  <c r="AX27" i="7"/>
  <c r="BF27" i="7"/>
  <c r="BD28" i="7"/>
  <c r="BD29" i="7"/>
  <c r="BB31" i="7"/>
  <c r="BJ31" i="7"/>
  <c r="BH33" i="7"/>
  <c r="BB5" i="7"/>
  <c r="BJ5" i="7"/>
  <c r="AZ8" i="7"/>
  <c r="BD8" i="7"/>
  <c r="BH8" i="7"/>
  <c r="AX10" i="7"/>
  <c r="BB10" i="7"/>
  <c r="BF10" i="7"/>
  <c r="BJ10" i="7"/>
  <c r="BF13" i="7"/>
  <c r="AX14" i="7"/>
  <c r="BF14" i="7"/>
  <c r="BJ16" i="7"/>
  <c r="AZ17" i="7"/>
  <c r="BH17" i="7"/>
  <c r="AX24" i="7"/>
  <c r="BF24" i="7"/>
  <c r="AX25" i="7"/>
  <c r="BF25" i="7"/>
  <c r="AX26" i="7"/>
  <c r="BF26" i="7"/>
  <c r="BD27" i="7"/>
  <c r="BB28" i="7"/>
  <c r="BJ28" i="7"/>
  <c r="BB29" i="7"/>
  <c r="BJ29" i="7"/>
  <c r="BD14" i="7"/>
  <c r="AZ18" i="7"/>
  <c r="BH18" i="7"/>
  <c r="BB19" i="7"/>
  <c r="BJ19" i="7"/>
  <c r="BD23" i="7"/>
  <c r="BD24" i="7"/>
  <c r="BD25" i="7"/>
  <c r="BD26" i="7"/>
  <c r="AZ29" i="7"/>
  <c r="BH29" i="7"/>
  <c r="BB13" i="7"/>
  <c r="BJ13" i="7"/>
  <c r="BB14" i="7"/>
  <c r="BJ14" i="7"/>
  <c r="AZ15" i="7"/>
  <c r="BH15" i="7"/>
  <c r="AX16" i="7"/>
  <c r="BF16" i="7"/>
  <c r="AX18" i="7"/>
  <c r="BF18" i="7"/>
  <c r="AZ19" i="7"/>
  <c r="BH19" i="7"/>
  <c r="AX20" i="7"/>
  <c r="BF20" i="7"/>
  <c r="BD21" i="7"/>
  <c r="AZ22" i="7"/>
  <c r="BH22" i="7"/>
  <c r="BB23" i="7"/>
  <c r="BJ23" i="7"/>
  <c r="BB24" i="7"/>
  <c r="BJ24" i="7"/>
  <c r="BB25" i="7"/>
  <c r="BJ25" i="7"/>
  <c r="BB26" i="7"/>
  <c r="BJ26" i="7"/>
  <c r="AX29" i="7"/>
  <c r="BF29" i="7"/>
  <c r="AX34" i="7"/>
  <c r="BB34" i="7"/>
  <c r="AP33" i="7"/>
  <c r="AP34" i="7"/>
  <c r="AN6" i="7"/>
  <c r="AP10" i="7"/>
  <c r="AP14" i="7"/>
  <c r="AN15" i="7"/>
  <c r="AN19" i="7"/>
  <c r="AN22" i="7"/>
  <c r="AP23" i="7"/>
  <c r="AP24" i="7"/>
  <c r="AP25" i="7"/>
  <c r="AP26" i="7"/>
  <c r="AN27" i="7"/>
  <c r="AN24" i="7"/>
  <c r="AN25" i="7"/>
  <c r="AN26" i="7"/>
  <c r="AP18" i="7"/>
  <c r="AP29" i="7"/>
  <c r="AP15" i="7"/>
  <c r="AN16" i="7"/>
  <c r="AN18" i="7"/>
  <c r="AP19" i="7"/>
  <c r="AN20" i="7"/>
  <c r="AP22" i="7"/>
  <c r="AP27" i="7"/>
  <c r="AN28" i="7"/>
  <c r="AN29" i="7"/>
  <c r="AN31" i="7"/>
  <c r="AL9" i="7"/>
  <c r="AL11" i="7"/>
  <c r="AL15" i="7"/>
  <c r="AL19" i="7"/>
  <c r="AL22" i="7"/>
  <c r="AL14" i="7"/>
  <c r="AL24" i="7"/>
  <c r="AL25" i="7"/>
  <c r="AL30" i="7"/>
  <c r="AL34" i="7"/>
  <c r="AL29" i="7"/>
  <c r="AL18" i="7"/>
  <c r="AL27" i="7"/>
  <c r="AJ14" i="7"/>
  <c r="AJ6" i="7"/>
  <c r="AJ8" i="7"/>
  <c r="AJ17" i="7"/>
  <c r="AJ21" i="7"/>
  <c r="AJ10" i="7"/>
  <c r="AJ16" i="7"/>
  <c r="AJ20" i="7"/>
  <c r="AJ15" i="7"/>
  <c r="AJ23" i="7"/>
  <c r="AJ24" i="7"/>
  <c r="AJ25" i="7"/>
  <c r="AJ28" i="7"/>
  <c r="AJ29" i="7"/>
  <c r="AD13" i="7"/>
  <c r="AH13" i="7" s="1"/>
  <c r="AD6" i="7"/>
  <c r="AH6" i="7" s="1"/>
  <c r="AD12" i="7"/>
  <c r="AH12" i="7" s="1"/>
  <c r="AD17" i="7"/>
  <c r="AH17" i="7" s="1"/>
  <c r="AD21" i="7"/>
  <c r="AH21" i="7" s="1"/>
  <c r="AD22" i="7"/>
  <c r="AH22" i="7" s="1"/>
  <c r="AD28" i="7"/>
  <c r="AH28" i="7" s="1"/>
  <c r="AD30" i="7"/>
  <c r="AH30" i="7" s="1"/>
  <c r="AD24" i="7"/>
  <c r="AH24" i="7" s="1"/>
  <c r="AD19" i="7"/>
  <c r="AH19" i="7" s="1"/>
  <c r="AD26" i="7"/>
  <c r="AH26" i="7" s="1"/>
  <c r="AD32" i="7"/>
  <c r="AH32" i="7" s="1"/>
  <c r="AD11" i="7"/>
  <c r="AH11" i="7" s="1"/>
  <c r="AD14" i="7"/>
  <c r="AH14" i="7" s="1"/>
  <c r="AF11" i="7"/>
  <c r="AF16" i="7"/>
  <c r="AF18" i="7"/>
  <c r="AF20" i="7"/>
  <c r="AF28" i="7"/>
  <c r="AF27" i="7"/>
  <c r="AF14" i="7"/>
  <c r="AF24" i="7"/>
  <c r="AF17" i="7"/>
  <c r="AF21" i="7"/>
  <c r="AF5" i="7"/>
  <c r="Z27" i="7"/>
  <c r="Z34" i="7"/>
  <c r="Z11" i="7"/>
  <c r="Z14" i="7"/>
  <c r="Z24" i="7"/>
  <c r="Z28" i="7"/>
  <c r="Z9" i="7"/>
  <c r="Z17" i="7"/>
  <c r="Z18" i="7"/>
  <c r="Z21" i="7"/>
  <c r="Z22" i="7"/>
  <c r="Z23" i="7"/>
  <c r="Z19" i="7"/>
  <c r="Z20" i="7"/>
  <c r="Z15" i="7"/>
  <c r="Z25" i="7"/>
  <c r="Z29" i="7"/>
  <c r="AB34" i="7"/>
  <c r="AB14" i="7"/>
  <c r="AB17" i="7"/>
  <c r="AB25" i="7"/>
  <c r="AB6" i="7"/>
  <c r="AB12" i="7"/>
  <c r="AB16" i="7"/>
  <c r="AB24" i="7"/>
  <c r="AB22" i="7"/>
  <c r="AB23" i="7"/>
  <c r="AB30" i="7"/>
  <c r="AB32" i="7"/>
  <c r="AB20" i="7"/>
  <c r="AB28" i="7"/>
  <c r="X11" i="7"/>
  <c r="X12" i="7"/>
  <c r="X31" i="7"/>
  <c r="X27" i="7"/>
  <c r="X23" i="7"/>
  <c r="X19" i="7"/>
  <c r="X20" i="7"/>
  <c r="X24" i="7"/>
  <c r="X28" i="7"/>
  <c r="X15" i="7"/>
  <c r="X6" i="7"/>
  <c r="AF6" i="7"/>
  <c r="AV31" i="7"/>
  <c r="BD31" i="7"/>
  <c r="X32" i="7"/>
  <c r="AN32" i="7"/>
  <c r="AB5" i="7"/>
  <c r="AJ5" i="7"/>
  <c r="AR30" i="7"/>
  <c r="AZ30" i="7"/>
  <c r="BH30" i="7"/>
  <c r="BL30" i="7"/>
  <c r="AB31" i="7"/>
  <c r="AF31" i="7"/>
  <c r="AJ31" i="7"/>
  <c r="Z5" i="7"/>
  <c r="AD5" i="7"/>
  <c r="AL5" i="7"/>
  <c r="AT30" i="7"/>
  <c r="AX30" i="7"/>
  <c r="BB30" i="7"/>
  <c r="BF30" i="7"/>
  <c r="BJ30" i="7"/>
  <c r="Z31" i="7"/>
  <c r="AD31" i="7"/>
  <c r="AL31" i="7"/>
  <c r="AJ739" i="9" l="1"/>
  <c r="BN10" i="7"/>
  <c r="BM7" i="7"/>
  <c r="BM12" i="7"/>
  <c r="BN13" i="7"/>
  <c r="BM9" i="7"/>
  <c r="BN33" i="7"/>
  <c r="BM32" i="7"/>
  <c r="BM10" i="7"/>
  <c r="BM5" i="7"/>
  <c r="BM16" i="7"/>
  <c r="BM33" i="7"/>
  <c r="BN23" i="7"/>
  <c r="BM18" i="7"/>
  <c r="BM11" i="7"/>
  <c r="BM15" i="7"/>
  <c r="BM17" i="7"/>
  <c r="BM6" i="7"/>
  <c r="BN9" i="7"/>
  <c r="BM28" i="7"/>
  <c r="BN16" i="7"/>
  <c r="BN7" i="7"/>
  <c r="BM31" i="7"/>
  <c r="AV37" i="7"/>
  <c r="C59" i="7" s="1"/>
  <c r="BN8" i="7"/>
  <c r="BN30" i="7"/>
  <c r="AR37" i="7"/>
  <c r="C57" i="7" s="1"/>
  <c r="BN18" i="7"/>
  <c r="BN12" i="7"/>
  <c r="BN34" i="7"/>
  <c r="AT37" i="7"/>
  <c r="C58" i="7" s="1"/>
  <c r="BN14" i="7"/>
  <c r="BM8" i="7"/>
  <c r="BN15" i="7"/>
  <c r="BM14" i="7"/>
  <c r="BM29" i="7"/>
  <c r="BM34" i="7"/>
  <c r="BD37" i="7"/>
  <c r="C52" i="7" s="1"/>
  <c r="BN11" i="7"/>
  <c r="BM27" i="7"/>
  <c r="BN28" i="7"/>
  <c r="BN27" i="7"/>
  <c r="BN26" i="7"/>
  <c r="BM26" i="7"/>
  <c r="BM24" i="7"/>
  <c r="BN25" i="7"/>
  <c r="BM25" i="7"/>
  <c r="AF37" i="7"/>
  <c r="C42" i="7" s="1"/>
  <c r="BB37" i="7"/>
  <c r="C51" i="7" s="1"/>
  <c r="BM23" i="7"/>
  <c r="BN22" i="7"/>
  <c r="AN37" i="7"/>
  <c r="C47" i="7" s="1"/>
  <c r="BM21" i="7"/>
  <c r="BN21" i="7"/>
  <c r="BM20" i="7"/>
  <c r="AX37" i="7"/>
  <c r="C49" i="7" s="1"/>
  <c r="BN20" i="7"/>
  <c r="AP37" i="7"/>
  <c r="C48" i="7" s="1"/>
  <c r="BM19" i="7"/>
  <c r="BF37" i="7"/>
  <c r="C53" i="7" s="1"/>
  <c r="AZ37" i="7"/>
  <c r="C50" i="7" s="1"/>
  <c r="BN19" i="7"/>
  <c r="BM13" i="7"/>
  <c r="BJ37" i="7"/>
  <c r="C55" i="7" s="1"/>
  <c r="BH37" i="7"/>
  <c r="C54" i="7" s="1"/>
  <c r="BM22" i="7"/>
  <c r="BN29" i="7"/>
  <c r="BN24" i="7"/>
  <c r="BN17" i="7"/>
  <c r="BN6" i="7"/>
  <c r="Z37" i="7"/>
  <c r="X37" i="7"/>
  <c r="C40" i="7" s="1"/>
  <c r="AD37" i="7"/>
  <c r="C44" i="7" s="1"/>
  <c r="BM30" i="7"/>
  <c r="BN32" i="7"/>
  <c r="AH5" i="7"/>
  <c r="AB37" i="7"/>
  <c r="C41" i="7" s="1"/>
  <c r="AH31" i="7"/>
  <c r="BN31" i="7" s="1"/>
  <c r="AL37" i="7"/>
  <c r="C46" i="7" s="1"/>
  <c r="AJ37" i="7"/>
  <c r="C45" i="7" s="1"/>
  <c r="BL37" i="7"/>
  <c r="C56" i="7" s="1"/>
  <c r="AH37" i="7" l="1"/>
  <c r="C43" i="7" s="1"/>
  <c r="BN5" i="7"/>
  <c r="F4" i="3" l="1"/>
  <c r="H4" i="3" s="1"/>
  <c r="M5" i="6"/>
  <c r="N5" i="6"/>
  <c r="BI5" i="6" s="1"/>
  <c r="O5" i="6"/>
  <c r="BL5" i="6" s="1"/>
  <c r="P5" i="6"/>
  <c r="BO5" i="6" s="1"/>
  <c r="Q5" i="6"/>
  <c r="BR5" i="6" s="1"/>
  <c r="R5" i="6"/>
  <c r="BU5" i="6" s="1"/>
  <c r="S5" i="6"/>
  <c r="BX5" i="6" s="1"/>
  <c r="T5" i="6"/>
  <c r="CA5" i="6" s="1"/>
  <c r="M6" i="6"/>
  <c r="BF6" i="6" s="1"/>
  <c r="N6" i="6"/>
  <c r="BI6" i="6" s="1"/>
  <c r="O6" i="6"/>
  <c r="BL6" i="6" s="1"/>
  <c r="P6" i="6"/>
  <c r="BO6" i="6" s="1"/>
  <c r="Q6" i="6"/>
  <c r="BR6" i="6" s="1"/>
  <c r="R6" i="6"/>
  <c r="BU6" i="6" s="1"/>
  <c r="S6" i="6"/>
  <c r="BX6" i="6" s="1"/>
  <c r="T6" i="6"/>
  <c r="CA6" i="6" s="1"/>
  <c r="M7" i="6"/>
  <c r="N7" i="6"/>
  <c r="BI7" i="6" s="1"/>
  <c r="O7" i="6"/>
  <c r="BL7" i="6" s="1"/>
  <c r="P7" i="6"/>
  <c r="BO7" i="6" s="1"/>
  <c r="Q7" i="6"/>
  <c r="BR7" i="6" s="1"/>
  <c r="R7" i="6"/>
  <c r="BU7" i="6" s="1"/>
  <c r="S7" i="6"/>
  <c r="BX7" i="6" s="1"/>
  <c r="T7" i="6"/>
  <c r="CA7" i="6" s="1"/>
  <c r="M8" i="6"/>
  <c r="BF8" i="6" s="1"/>
  <c r="N8" i="6"/>
  <c r="BI8" i="6" s="1"/>
  <c r="O8" i="6"/>
  <c r="BL8" i="6" s="1"/>
  <c r="P8" i="6"/>
  <c r="BO8" i="6" s="1"/>
  <c r="Q8" i="6"/>
  <c r="BR8" i="6" s="1"/>
  <c r="R8" i="6"/>
  <c r="BU8" i="6" s="1"/>
  <c r="S8" i="6"/>
  <c r="BX8" i="6" s="1"/>
  <c r="T8" i="6"/>
  <c r="CA8" i="6" s="1"/>
  <c r="M9" i="6"/>
  <c r="BF9" i="6" s="1"/>
  <c r="N9" i="6"/>
  <c r="BI9" i="6" s="1"/>
  <c r="O9" i="6"/>
  <c r="BL9" i="6" s="1"/>
  <c r="P9" i="6"/>
  <c r="BO9" i="6" s="1"/>
  <c r="Q9" i="6"/>
  <c r="BR9" i="6" s="1"/>
  <c r="R9" i="6"/>
  <c r="BU9" i="6" s="1"/>
  <c r="S9" i="6"/>
  <c r="BX9" i="6" s="1"/>
  <c r="T9" i="6"/>
  <c r="CA9" i="6" s="1"/>
  <c r="M10" i="6"/>
  <c r="N10" i="6"/>
  <c r="BI10" i="6" s="1"/>
  <c r="O10" i="6"/>
  <c r="BL10" i="6" s="1"/>
  <c r="P10" i="6"/>
  <c r="BO10" i="6" s="1"/>
  <c r="Q10" i="6"/>
  <c r="BR10" i="6" s="1"/>
  <c r="R10" i="6"/>
  <c r="BU10" i="6" s="1"/>
  <c r="S10" i="6"/>
  <c r="BX10" i="6" s="1"/>
  <c r="T10" i="6"/>
  <c r="CA10" i="6" s="1"/>
  <c r="M11" i="6"/>
  <c r="N11" i="6"/>
  <c r="BI11" i="6" s="1"/>
  <c r="O11" i="6"/>
  <c r="BL11" i="6" s="1"/>
  <c r="P11" i="6"/>
  <c r="BO11" i="6" s="1"/>
  <c r="Q11" i="6"/>
  <c r="R11" i="6"/>
  <c r="BU11" i="6" s="1"/>
  <c r="S11" i="6"/>
  <c r="BX11" i="6" s="1"/>
  <c r="T11" i="6"/>
  <c r="CA11" i="6" s="1"/>
  <c r="M12" i="6"/>
  <c r="N12" i="6"/>
  <c r="BI12" i="6" s="1"/>
  <c r="O12" i="6"/>
  <c r="BL12" i="6" s="1"/>
  <c r="P12" i="6"/>
  <c r="BO12" i="6" s="1"/>
  <c r="Q12" i="6"/>
  <c r="BR12" i="6" s="1"/>
  <c r="R12" i="6"/>
  <c r="BU12" i="6" s="1"/>
  <c r="S12" i="6"/>
  <c r="BX12" i="6" s="1"/>
  <c r="T12" i="6"/>
  <c r="CA12" i="6" s="1"/>
  <c r="M13" i="6"/>
  <c r="N13" i="6"/>
  <c r="BI13" i="6" s="1"/>
  <c r="O13" i="6"/>
  <c r="BL13" i="6" s="1"/>
  <c r="P13" i="6"/>
  <c r="BO13" i="6" s="1"/>
  <c r="Q13" i="6"/>
  <c r="BR13" i="6" s="1"/>
  <c r="R13" i="6"/>
  <c r="BU13" i="6" s="1"/>
  <c r="S13" i="6"/>
  <c r="BX13" i="6" s="1"/>
  <c r="T13" i="6"/>
  <c r="CA13" i="6" s="1"/>
  <c r="M14" i="6"/>
  <c r="N14" i="6"/>
  <c r="BI14" i="6" s="1"/>
  <c r="O14" i="6"/>
  <c r="BL14" i="6" s="1"/>
  <c r="P14" i="6"/>
  <c r="BO14" i="6" s="1"/>
  <c r="Q14" i="6"/>
  <c r="R14" i="6"/>
  <c r="BU14" i="6" s="1"/>
  <c r="S14" i="6"/>
  <c r="BX14" i="6" s="1"/>
  <c r="T14" i="6"/>
  <c r="CA14" i="6" s="1"/>
  <c r="M15" i="6"/>
  <c r="BF15" i="6" s="1"/>
  <c r="N15" i="6"/>
  <c r="BI15" i="6" s="1"/>
  <c r="O15" i="6"/>
  <c r="BL15" i="6" s="1"/>
  <c r="P15" i="6"/>
  <c r="BO15" i="6" s="1"/>
  <c r="Q15" i="6"/>
  <c r="BR15" i="6" s="1"/>
  <c r="R15" i="6"/>
  <c r="BU15" i="6" s="1"/>
  <c r="S15" i="6"/>
  <c r="BX15" i="6" s="1"/>
  <c r="T15" i="6"/>
  <c r="CA15" i="6" s="1"/>
  <c r="M16" i="6"/>
  <c r="BF16" i="6" s="1"/>
  <c r="N16" i="6"/>
  <c r="BI16" i="6" s="1"/>
  <c r="O16" i="6"/>
  <c r="BL16" i="6" s="1"/>
  <c r="P16" i="6"/>
  <c r="BO16" i="6" s="1"/>
  <c r="Q16" i="6"/>
  <c r="BR16" i="6" s="1"/>
  <c r="R16" i="6"/>
  <c r="BU16" i="6" s="1"/>
  <c r="S16" i="6"/>
  <c r="BX16" i="6" s="1"/>
  <c r="T16" i="6"/>
  <c r="CA16" i="6" s="1"/>
  <c r="M17" i="6"/>
  <c r="N17" i="6"/>
  <c r="BI17" i="6" s="1"/>
  <c r="O17" i="6"/>
  <c r="BL17" i="6" s="1"/>
  <c r="P17" i="6"/>
  <c r="BO17" i="6" s="1"/>
  <c r="Q17" i="6"/>
  <c r="BR17" i="6" s="1"/>
  <c r="R17" i="6"/>
  <c r="BU17" i="6" s="1"/>
  <c r="S17" i="6"/>
  <c r="BX17" i="6" s="1"/>
  <c r="T17" i="6"/>
  <c r="CA17" i="6" s="1"/>
  <c r="M18" i="6"/>
  <c r="N18" i="6"/>
  <c r="BI18" i="6" s="1"/>
  <c r="O18" i="6"/>
  <c r="BL18" i="6" s="1"/>
  <c r="P18" i="6"/>
  <c r="BO18" i="6" s="1"/>
  <c r="Q18" i="6"/>
  <c r="BR18" i="6" s="1"/>
  <c r="R18" i="6"/>
  <c r="BU18" i="6" s="1"/>
  <c r="S18" i="6"/>
  <c r="BX18" i="6" s="1"/>
  <c r="T18" i="6"/>
  <c r="CA18" i="6" s="1"/>
  <c r="M19" i="6"/>
  <c r="BF19" i="6" s="1"/>
  <c r="N19" i="6"/>
  <c r="BI19" i="6" s="1"/>
  <c r="O19" i="6"/>
  <c r="BL19" i="6" s="1"/>
  <c r="P19" i="6"/>
  <c r="BO19" i="6" s="1"/>
  <c r="Q19" i="6"/>
  <c r="BR19" i="6" s="1"/>
  <c r="R19" i="6"/>
  <c r="BU19" i="6" s="1"/>
  <c r="S19" i="6"/>
  <c r="BX19" i="6" s="1"/>
  <c r="T19" i="6"/>
  <c r="CA19" i="6" s="1"/>
  <c r="M20" i="6"/>
  <c r="BF20" i="6" s="1"/>
  <c r="N20" i="6"/>
  <c r="BI20" i="6" s="1"/>
  <c r="O20" i="6"/>
  <c r="BL20" i="6" s="1"/>
  <c r="P20" i="6"/>
  <c r="BO20" i="6" s="1"/>
  <c r="Q20" i="6"/>
  <c r="BR20" i="6" s="1"/>
  <c r="R20" i="6"/>
  <c r="BU20" i="6" s="1"/>
  <c r="S20" i="6"/>
  <c r="BX20" i="6" s="1"/>
  <c r="T20" i="6"/>
  <c r="CA20" i="6" s="1"/>
  <c r="M21" i="6"/>
  <c r="BF21" i="6" s="1"/>
  <c r="N21" i="6"/>
  <c r="BI21" i="6" s="1"/>
  <c r="O21" i="6"/>
  <c r="BL21" i="6" s="1"/>
  <c r="P21" i="6"/>
  <c r="BO21" i="6" s="1"/>
  <c r="Q21" i="6"/>
  <c r="BR21" i="6" s="1"/>
  <c r="R21" i="6"/>
  <c r="BU21" i="6" s="1"/>
  <c r="S21" i="6"/>
  <c r="BX21" i="6" s="1"/>
  <c r="T21" i="6"/>
  <c r="CA21" i="6" s="1"/>
  <c r="M22" i="6"/>
  <c r="N22" i="6"/>
  <c r="BI22" i="6" s="1"/>
  <c r="O22" i="6"/>
  <c r="BL22" i="6" s="1"/>
  <c r="P22" i="6"/>
  <c r="BO22" i="6" s="1"/>
  <c r="Q22" i="6"/>
  <c r="BR22" i="6" s="1"/>
  <c r="R22" i="6"/>
  <c r="BU22" i="6" s="1"/>
  <c r="S22" i="6"/>
  <c r="BX22" i="6" s="1"/>
  <c r="T22" i="6"/>
  <c r="CA22" i="6" s="1"/>
  <c r="M23" i="6"/>
  <c r="N23" i="6"/>
  <c r="BI23" i="6" s="1"/>
  <c r="O23" i="6"/>
  <c r="BL23" i="6" s="1"/>
  <c r="P23" i="6"/>
  <c r="BO23" i="6" s="1"/>
  <c r="Q23" i="6"/>
  <c r="BR23" i="6" s="1"/>
  <c r="R23" i="6"/>
  <c r="BU23" i="6" s="1"/>
  <c r="S23" i="6"/>
  <c r="BX23" i="6" s="1"/>
  <c r="T23" i="6"/>
  <c r="CA23" i="6" s="1"/>
  <c r="M24" i="6"/>
  <c r="BF24" i="6" s="1"/>
  <c r="N24" i="6"/>
  <c r="BI24" i="6" s="1"/>
  <c r="O24" i="6"/>
  <c r="BL24" i="6" s="1"/>
  <c r="P24" i="6"/>
  <c r="BO24" i="6" s="1"/>
  <c r="Q24" i="6"/>
  <c r="BR24" i="6" s="1"/>
  <c r="R24" i="6"/>
  <c r="BU24" i="6" s="1"/>
  <c r="S24" i="6"/>
  <c r="BX24" i="6" s="1"/>
  <c r="T24" i="6"/>
  <c r="CA24" i="6" s="1"/>
  <c r="M25" i="6"/>
  <c r="BF25" i="6" s="1"/>
  <c r="N25" i="6"/>
  <c r="BI25" i="6" s="1"/>
  <c r="O25" i="6"/>
  <c r="BL25" i="6" s="1"/>
  <c r="P25" i="6"/>
  <c r="BO25" i="6" s="1"/>
  <c r="Q25" i="6"/>
  <c r="BR25" i="6" s="1"/>
  <c r="R25" i="6"/>
  <c r="BU25" i="6" s="1"/>
  <c r="S25" i="6"/>
  <c r="BX25" i="6" s="1"/>
  <c r="T25" i="6"/>
  <c r="CA25" i="6" s="1"/>
  <c r="M26" i="6"/>
  <c r="N26" i="6"/>
  <c r="BI26" i="6" s="1"/>
  <c r="O26" i="6"/>
  <c r="BL26" i="6" s="1"/>
  <c r="P26" i="6"/>
  <c r="BO26" i="6" s="1"/>
  <c r="Q26" i="6"/>
  <c r="BR26" i="6" s="1"/>
  <c r="R26" i="6"/>
  <c r="BU26" i="6" s="1"/>
  <c r="S26" i="6"/>
  <c r="BX26" i="6" s="1"/>
  <c r="T26" i="6"/>
  <c r="CA26" i="6" s="1"/>
  <c r="M27" i="6"/>
  <c r="BF27" i="6" s="1"/>
  <c r="N27" i="6"/>
  <c r="BI27" i="6" s="1"/>
  <c r="O27" i="6"/>
  <c r="BL27" i="6" s="1"/>
  <c r="P27" i="6"/>
  <c r="BO27" i="6" s="1"/>
  <c r="Q27" i="6"/>
  <c r="BR27" i="6" s="1"/>
  <c r="R27" i="6"/>
  <c r="BU27" i="6" s="1"/>
  <c r="S27" i="6"/>
  <c r="BX27" i="6" s="1"/>
  <c r="T27" i="6"/>
  <c r="CA27" i="6" s="1"/>
  <c r="M28" i="6"/>
  <c r="BF28" i="6" s="1"/>
  <c r="N28" i="6"/>
  <c r="BI28" i="6" s="1"/>
  <c r="O28" i="6"/>
  <c r="BL28" i="6" s="1"/>
  <c r="P28" i="6"/>
  <c r="BO28" i="6" s="1"/>
  <c r="Q28" i="6"/>
  <c r="BR28" i="6" s="1"/>
  <c r="R28" i="6"/>
  <c r="BU28" i="6" s="1"/>
  <c r="S28" i="6"/>
  <c r="BX28" i="6" s="1"/>
  <c r="T28" i="6"/>
  <c r="CA28" i="6" s="1"/>
  <c r="M29" i="6"/>
  <c r="BF29" i="6" s="1"/>
  <c r="N29" i="6"/>
  <c r="BI29" i="6" s="1"/>
  <c r="O29" i="6"/>
  <c r="BL29" i="6" s="1"/>
  <c r="P29" i="6"/>
  <c r="BO29" i="6" s="1"/>
  <c r="Q29" i="6"/>
  <c r="BR29" i="6" s="1"/>
  <c r="R29" i="6"/>
  <c r="BU29" i="6" s="1"/>
  <c r="S29" i="6"/>
  <c r="BX29" i="6" s="1"/>
  <c r="T29" i="6"/>
  <c r="CA29" i="6" s="1"/>
  <c r="M30" i="6"/>
  <c r="BF30" i="6" s="1"/>
  <c r="N30" i="6"/>
  <c r="BI30" i="6" s="1"/>
  <c r="O30" i="6"/>
  <c r="BL30" i="6" s="1"/>
  <c r="P30" i="6"/>
  <c r="BO30" i="6" s="1"/>
  <c r="Q30" i="6"/>
  <c r="BR30" i="6" s="1"/>
  <c r="R30" i="6"/>
  <c r="BU30" i="6" s="1"/>
  <c r="S30" i="6"/>
  <c r="BX30" i="6" s="1"/>
  <c r="T30" i="6"/>
  <c r="CA30" i="6" s="1"/>
  <c r="M31" i="6"/>
  <c r="BF31" i="6" s="1"/>
  <c r="N31" i="6"/>
  <c r="BI31" i="6" s="1"/>
  <c r="O31" i="6"/>
  <c r="BL31" i="6" s="1"/>
  <c r="P31" i="6"/>
  <c r="BO31" i="6" s="1"/>
  <c r="Q31" i="6"/>
  <c r="BR31" i="6" s="1"/>
  <c r="R31" i="6"/>
  <c r="BU31" i="6" s="1"/>
  <c r="S31" i="6"/>
  <c r="BX31" i="6" s="1"/>
  <c r="T31" i="6"/>
  <c r="CA31" i="6" s="1"/>
  <c r="M32" i="6"/>
  <c r="BF32" i="6" s="1"/>
  <c r="N32" i="6"/>
  <c r="BI32" i="6" s="1"/>
  <c r="O32" i="6"/>
  <c r="BL32" i="6" s="1"/>
  <c r="P32" i="6"/>
  <c r="BO32" i="6" s="1"/>
  <c r="Q32" i="6"/>
  <c r="BR32" i="6" s="1"/>
  <c r="R32" i="6"/>
  <c r="BU32" i="6" s="1"/>
  <c r="S32" i="6"/>
  <c r="BX32" i="6" s="1"/>
  <c r="T32" i="6"/>
  <c r="CA32" i="6" s="1"/>
  <c r="M33" i="6"/>
  <c r="BF33" i="6" s="1"/>
  <c r="N33" i="6"/>
  <c r="BI33" i="6" s="1"/>
  <c r="O33" i="6"/>
  <c r="BL33" i="6" s="1"/>
  <c r="P33" i="6"/>
  <c r="BO33" i="6" s="1"/>
  <c r="Q33" i="6"/>
  <c r="BR33" i="6" s="1"/>
  <c r="R33" i="6"/>
  <c r="BU33" i="6" s="1"/>
  <c r="S33" i="6"/>
  <c r="BX33" i="6" s="1"/>
  <c r="T33" i="6"/>
  <c r="CA33" i="6" s="1"/>
  <c r="M34" i="6"/>
  <c r="BF34" i="6" s="1"/>
  <c r="N34" i="6"/>
  <c r="BI34" i="6" s="1"/>
  <c r="O34" i="6"/>
  <c r="BL34" i="6" s="1"/>
  <c r="P34" i="6"/>
  <c r="BO34" i="6" s="1"/>
  <c r="Q34" i="6"/>
  <c r="BR34" i="6" s="1"/>
  <c r="R34" i="6"/>
  <c r="BU34" i="6" s="1"/>
  <c r="S34" i="6"/>
  <c r="BX34" i="6" s="1"/>
  <c r="T34" i="6"/>
  <c r="CA34" i="6" s="1"/>
  <c r="BL35" i="6"/>
  <c r="BO35" i="6"/>
  <c r="BU35" i="6"/>
  <c r="BX35" i="6"/>
  <c r="T4" i="6"/>
  <c r="S4" i="6"/>
  <c r="BX4" i="6" s="1"/>
  <c r="R4" i="6"/>
  <c r="BU4" i="6" s="1"/>
  <c r="Q4" i="6"/>
  <c r="BR4" i="6" s="1"/>
  <c r="P4" i="6"/>
  <c r="BO4" i="6" s="1"/>
  <c r="O4" i="6"/>
  <c r="BL4" i="6" s="1"/>
  <c r="N4" i="6"/>
  <c r="BI4" i="6" s="1"/>
  <c r="M4" i="6"/>
  <c r="BF4" i="6" s="1"/>
  <c r="L5" i="6"/>
  <c r="BC5" i="6" s="1"/>
  <c r="L6" i="6"/>
  <c r="BC6" i="6" s="1"/>
  <c r="L7" i="6"/>
  <c r="BC7" i="6" s="1"/>
  <c r="L8" i="6"/>
  <c r="BC8" i="6" s="1"/>
  <c r="L9" i="6"/>
  <c r="BC9" i="6" s="1"/>
  <c r="L10" i="6"/>
  <c r="BC10" i="6" s="1"/>
  <c r="L11" i="6"/>
  <c r="BC11" i="6" s="1"/>
  <c r="L12" i="6"/>
  <c r="BC12" i="6" s="1"/>
  <c r="L13" i="6"/>
  <c r="BC13" i="6" s="1"/>
  <c r="L14" i="6"/>
  <c r="BC14" i="6" s="1"/>
  <c r="L15" i="6"/>
  <c r="BC15" i="6" s="1"/>
  <c r="L16" i="6"/>
  <c r="BC16" i="6" s="1"/>
  <c r="L17" i="6"/>
  <c r="BC17" i="6" s="1"/>
  <c r="L18" i="6"/>
  <c r="BC18" i="6" s="1"/>
  <c r="L19" i="6"/>
  <c r="BC19" i="6" s="1"/>
  <c r="L20" i="6"/>
  <c r="BC20" i="6" s="1"/>
  <c r="L21" i="6"/>
  <c r="BC21" i="6" s="1"/>
  <c r="L22" i="6"/>
  <c r="BC22" i="6" s="1"/>
  <c r="L23" i="6"/>
  <c r="BC23" i="6" s="1"/>
  <c r="L24" i="6"/>
  <c r="BC24" i="6" s="1"/>
  <c r="L25" i="6"/>
  <c r="BC25" i="6" s="1"/>
  <c r="L26" i="6"/>
  <c r="BC26" i="6" s="1"/>
  <c r="L27" i="6"/>
  <c r="BC27" i="6" s="1"/>
  <c r="L28" i="6"/>
  <c r="BC28" i="6" s="1"/>
  <c r="L29" i="6"/>
  <c r="L30" i="6"/>
  <c r="BC30" i="6" s="1"/>
  <c r="L31" i="6"/>
  <c r="BC31" i="6" s="1"/>
  <c r="L32" i="6"/>
  <c r="BC32" i="6" s="1"/>
  <c r="L33" i="6"/>
  <c r="BC33" i="6" s="1"/>
  <c r="L34" i="6"/>
  <c r="BC34" i="6" s="1"/>
  <c r="BC35" i="6"/>
  <c r="L4" i="6"/>
  <c r="BC4" i="6" s="1"/>
  <c r="H5" i="6"/>
  <c r="AZ5" i="6" s="1"/>
  <c r="H6" i="6"/>
  <c r="AZ6" i="6" s="1"/>
  <c r="H7" i="6"/>
  <c r="AZ7" i="6" s="1"/>
  <c r="H8" i="6"/>
  <c r="AZ8" i="6" s="1"/>
  <c r="H9" i="6"/>
  <c r="H10" i="6"/>
  <c r="AZ10" i="6" s="1"/>
  <c r="H11" i="6"/>
  <c r="AZ11" i="6" s="1"/>
  <c r="H12" i="6"/>
  <c r="AZ12" i="6" s="1"/>
  <c r="H13" i="6"/>
  <c r="AZ13" i="6" s="1"/>
  <c r="H14" i="6"/>
  <c r="AZ14" i="6" s="1"/>
  <c r="H15" i="6"/>
  <c r="AZ15" i="6" s="1"/>
  <c r="H16" i="6"/>
  <c r="AZ16" i="6" s="1"/>
  <c r="H17" i="6"/>
  <c r="AZ17" i="6" s="1"/>
  <c r="H18" i="6"/>
  <c r="AZ18" i="6" s="1"/>
  <c r="H19" i="6"/>
  <c r="AZ19" i="6" s="1"/>
  <c r="H20" i="6"/>
  <c r="AZ20" i="6" s="1"/>
  <c r="H21" i="6"/>
  <c r="AZ21" i="6" s="1"/>
  <c r="H22" i="6"/>
  <c r="AZ22" i="6" s="1"/>
  <c r="H23" i="6"/>
  <c r="AZ23" i="6" s="1"/>
  <c r="H24" i="6"/>
  <c r="AZ24" i="6" s="1"/>
  <c r="H25" i="6"/>
  <c r="AZ25" i="6" s="1"/>
  <c r="H26" i="6"/>
  <c r="AZ26" i="6" s="1"/>
  <c r="H27" i="6"/>
  <c r="AZ27" i="6" s="1"/>
  <c r="H28" i="6"/>
  <c r="AZ28" i="6" s="1"/>
  <c r="H29" i="6"/>
  <c r="AZ29" i="6" s="1"/>
  <c r="H30" i="6"/>
  <c r="AZ30" i="6" s="1"/>
  <c r="H31" i="6"/>
  <c r="AZ31" i="6" s="1"/>
  <c r="H32" i="6"/>
  <c r="AZ32" i="6" s="1"/>
  <c r="H33" i="6"/>
  <c r="AZ33" i="6" s="1"/>
  <c r="H34" i="6"/>
  <c r="AZ34" i="6" s="1"/>
  <c r="AZ35" i="6"/>
  <c r="H4" i="6"/>
  <c r="AZ4" i="6" s="1"/>
  <c r="G5" i="6"/>
  <c r="AW5" i="6" s="1"/>
  <c r="G6" i="6"/>
  <c r="AW6" i="6" s="1"/>
  <c r="G7" i="6"/>
  <c r="AW7" i="6" s="1"/>
  <c r="G8" i="6"/>
  <c r="AW8" i="6" s="1"/>
  <c r="G9" i="6"/>
  <c r="AW9" i="6" s="1"/>
  <c r="G10" i="6"/>
  <c r="AW10" i="6" s="1"/>
  <c r="G11" i="6"/>
  <c r="AW11" i="6" s="1"/>
  <c r="G12" i="6"/>
  <c r="AW12" i="6" s="1"/>
  <c r="G13" i="6"/>
  <c r="AW13" i="6" s="1"/>
  <c r="G14" i="6"/>
  <c r="AW14" i="6" s="1"/>
  <c r="G15" i="6"/>
  <c r="AW15" i="6" s="1"/>
  <c r="G16" i="6"/>
  <c r="AW16" i="6" s="1"/>
  <c r="G17" i="6"/>
  <c r="AW17" i="6" s="1"/>
  <c r="G18" i="6"/>
  <c r="AW18" i="6" s="1"/>
  <c r="G19" i="6"/>
  <c r="AW19" i="6" s="1"/>
  <c r="G20" i="6"/>
  <c r="AW20" i="6" s="1"/>
  <c r="G21" i="6"/>
  <c r="AW21" i="6" s="1"/>
  <c r="G22" i="6"/>
  <c r="AW22" i="6" s="1"/>
  <c r="G23" i="6"/>
  <c r="AW23" i="6" s="1"/>
  <c r="G24" i="6"/>
  <c r="AW24" i="6" s="1"/>
  <c r="G25" i="6"/>
  <c r="G26" i="6"/>
  <c r="AW26" i="6" s="1"/>
  <c r="G27" i="6"/>
  <c r="AW27" i="6" s="1"/>
  <c r="G28" i="6"/>
  <c r="AW28" i="6" s="1"/>
  <c r="G29" i="6"/>
  <c r="AW29" i="6" s="1"/>
  <c r="G30" i="6"/>
  <c r="AW30" i="6" s="1"/>
  <c r="G31" i="6"/>
  <c r="AW31" i="6" s="1"/>
  <c r="G32" i="6"/>
  <c r="AW32" i="6" s="1"/>
  <c r="G33" i="6"/>
  <c r="AW33" i="6" s="1"/>
  <c r="G34" i="6"/>
  <c r="AW34" i="6" s="1"/>
  <c r="AW35" i="6"/>
  <c r="G4" i="6"/>
  <c r="AW4" i="6" s="1"/>
  <c r="F5" i="6"/>
  <c r="AT5" i="6" s="1"/>
  <c r="F6" i="6"/>
  <c r="AT6" i="6" s="1"/>
  <c r="F7" i="6"/>
  <c r="AT7" i="6" s="1"/>
  <c r="F8" i="6"/>
  <c r="AT8" i="6" s="1"/>
  <c r="F9" i="6"/>
  <c r="AT9" i="6" s="1"/>
  <c r="F10" i="6"/>
  <c r="AT10" i="6" s="1"/>
  <c r="F11" i="6"/>
  <c r="AT11" i="6" s="1"/>
  <c r="F12" i="6"/>
  <c r="AT12" i="6" s="1"/>
  <c r="F13" i="6"/>
  <c r="AT13" i="6" s="1"/>
  <c r="F14" i="6"/>
  <c r="AT14" i="6" s="1"/>
  <c r="F15" i="6"/>
  <c r="AT15" i="6" s="1"/>
  <c r="F16" i="6"/>
  <c r="AT16" i="6" s="1"/>
  <c r="F17" i="6"/>
  <c r="AT17" i="6" s="1"/>
  <c r="F18" i="6"/>
  <c r="AT18" i="6" s="1"/>
  <c r="F19" i="6"/>
  <c r="AT19" i="6" s="1"/>
  <c r="F20" i="6"/>
  <c r="AT20" i="6" s="1"/>
  <c r="F21" i="6"/>
  <c r="AT21" i="6" s="1"/>
  <c r="F22" i="6"/>
  <c r="AT22" i="6" s="1"/>
  <c r="F23" i="6"/>
  <c r="AT23" i="6" s="1"/>
  <c r="F24" i="6"/>
  <c r="AT24" i="6" s="1"/>
  <c r="F25" i="6"/>
  <c r="AT25" i="6" s="1"/>
  <c r="F26" i="6"/>
  <c r="AT26" i="6" s="1"/>
  <c r="F27" i="6"/>
  <c r="AT27" i="6" s="1"/>
  <c r="F28" i="6"/>
  <c r="AT28" i="6" s="1"/>
  <c r="F29" i="6"/>
  <c r="AT29" i="6" s="1"/>
  <c r="F30" i="6"/>
  <c r="AT30" i="6" s="1"/>
  <c r="F31" i="6"/>
  <c r="AT31" i="6" s="1"/>
  <c r="F32" i="6"/>
  <c r="AT32" i="6" s="1"/>
  <c r="F33" i="6"/>
  <c r="AT33" i="6" s="1"/>
  <c r="F34" i="6"/>
  <c r="AT34" i="6" s="1"/>
  <c r="AT35" i="6"/>
  <c r="F4" i="6"/>
  <c r="AT4" i="6" s="1"/>
  <c r="E5" i="6"/>
  <c r="AQ5" i="6" s="1"/>
  <c r="E6" i="6"/>
  <c r="AQ6" i="6" s="1"/>
  <c r="E7" i="6"/>
  <c r="AQ7" i="6" s="1"/>
  <c r="E8" i="6"/>
  <c r="AQ8" i="6" s="1"/>
  <c r="E9" i="6"/>
  <c r="AQ9" i="6" s="1"/>
  <c r="E10" i="6"/>
  <c r="AQ10" i="6" s="1"/>
  <c r="E11" i="6"/>
  <c r="AQ11" i="6" s="1"/>
  <c r="E12" i="6"/>
  <c r="AQ12" i="6" s="1"/>
  <c r="E13" i="6"/>
  <c r="AQ13" i="6" s="1"/>
  <c r="E14" i="6"/>
  <c r="AQ14" i="6" s="1"/>
  <c r="E15" i="6"/>
  <c r="AQ15" i="6" s="1"/>
  <c r="E16" i="6"/>
  <c r="AQ16" i="6" s="1"/>
  <c r="E17" i="6"/>
  <c r="AQ17" i="6" s="1"/>
  <c r="E18" i="6"/>
  <c r="AQ18" i="6" s="1"/>
  <c r="E19" i="6"/>
  <c r="AQ19" i="6" s="1"/>
  <c r="E20" i="6"/>
  <c r="AQ20" i="6" s="1"/>
  <c r="E21" i="6"/>
  <c r="AQ21" i="6" s="1"/>
  <c r="E22" i="6"/>
  <c r="AQ22" i="6" s="1"/>
  <c r="E23" i="6"/>
  <c r="AQ23" i="6" s="1"/>
  <c r="E24" i="6"/>
  <c r="AQ24" i="6" s="1"/>
  <c r="E25" i="6"/>
  <c r="AQ25" i="6" s="1"/>
  <c r="E26" i="6"/>
  <c r="AQ26" i="6" s="1"/>
  <c r="E27" i="6"/>
  <c r="AQ27" i="6" s="1"/>
  <c r="E28" i="6"/>
  <c r="AQ28" i="6" s="1"/>
  <c r="E29" i="6"/>
  <c r="AQ29" i="6" s="1"/>
  <c r="E30" i="6"/>
  <c r="AQ30" i="6" s="1"/>
  <c r="E31" i="6"/>
  <c r="AQ31" i="6" s="1"/>
  <c r="E32" i="6"/>
  <c r="AQ32" i="6" s="1"/>
  <c r="E33" i="6"/>
  <c r="AQ33" i="6" s="1"/>
  <c r="E34" i="6"/>
  <c r="AQ34" i="6" s="1"/>
  <c r="E4" i="6"/>
  <c r="AQ4" i="6" s="1"/>
  <c r="D5" i="6"/>
  <c r="AH5" i="6" s="1"/>
  <c r="AI5" i="6" s="1"/>
  <c r="AJ5" i="6" s="1"/>
  <c r="D6" i="6"/>
  <c r="AH6" i="6" s="1"/>
  <c r="AI6" i="6" s="1"/>
  <c r="AJ6" i="6" s="1"/>
  <c r="D7" i="6"/>
  <c r="AH7" i="6" s="1"/>
  <c r="AI7" i="6" s="1"/>
  <c r="AJ7" i="6" s="1"/>
  <c r="D8" i="6"/>
  <c r="AH8" i="6" s="1"/>
  <c r="AI8" i="6" s="1"/>
  <c r="AJ8" i="6" s="1"/>
  <c r="D9" i="6"/>
  <c r="AH9" i="6" s="1"/>
  <c r="AI9" i="6" s="1"/>
  <c r="AJ9" i="6" s="1"/>
  <c r="D10" i="6"/>
  <c r="AH10" i="6" s="1"/>
  <c r="AI10" i="6" s="1"/>
  <c r="AJ10" i="6" s="1"/>
  <c r="D11" i="6"/>
  <c r="AH11" i="6" s="1"/>
  <c r="AI11" i="6" s="1"/>
  <c r="AJ11" i="6" s="1"/>
  <c r="D12" i="6"/>
  <c r="AH12" i="6" s="1"/>
  <c r="AI12" i="6" s="1"/>
  <c r="AJ12" i="6" s="1"/>
  <c r="D13" i="6"/>
  <c r="AH13" i="6" s="1"/>
  <c r="AI13" i="6" s="1"/>
  <c r="AJ13" i="6" s="1"/>
  <c r="D14" i="6"/>
  <c r="AH14" i="6" s="1"/>
  <c r="AI14" i="6" s="1"/>
  <c r="AJ14" i="6" s="1"/>
  <c r="D15" i="6"/>
  <c r="AH15" i="6" s="1"/>
  <c r="AI15" i="6" s="1"/>
  <c r="AJ15" i="6" s="1"/>
  <c r="D16" i="6"/>
  <c r="AH16" i="6" s="1"/>
  <c r="AI16" i="6" s="1"/>
  <c r="AJ16" i="6" s="1"/>
  <c r="D17" i="6"/>
  <c r="AH17" i="6" s="1"/>
  <c r="AI17" i="6" s="1"/>
  <c r="AJ17" i="6" s="1"/>
  <c r="D18" i="6"/>
  <c r="AH18" i="6" s="1"/>
  <c r="AI18" i="6" s="1"/>
  <c r="AJ18" i="6" s="1"/>
  <c r="D19" i="6"/>
  <c r="AH19" i="6" s="1"/>
  <c r="AI19" i="6" s="1"/>
  <c r="AJ19" i="6" s="1"/>
  <c r="D20" i="6"/>
  <c r="AH20" i="6" s="1"/>
  <c r="AI20" i="6" s="1"/>
  <c r="AJ20" i="6" s="1"/>
  <c r="D21" i="6"/>
  <c r="AH21" i="6" s="1"/>
  <c r="AI21" i="6" s="1"/>
  <c r="AJ21" i="6" s="1"/>
  <c r="D22" i="6"/>
  <c r="AH22" i="6" s="1"/>
  <c r="AI22" i="6" s="1"/>
  <c r="AJ22" i="6" s="1"/>
  <c r="D23" i="6"/>
  <c r="AH23" i="6" s="1"/>
  <c r="AI23" i="6" s="1"/>
  <c r="AJ23" i="6" s="1"/>
  <c r="D24" i="6"/>
  <c r="AH24" i="6" s="1"/>
  <c r="AI24" i="6" s="1"/>
  <c r="AJ24" i="6" s="1"/>
  <c r="D25" i="6"/>
  <c r="AH25" i="6" s="1"/>
  <c r="AI25" i="6" s="1"/>
  <c r="AJ25" i="6" s="1"/>
  <c r="D26" i="6"/>
  <c r="AH26" i="6" s="1"/>
  <c r="AI26" i="6" s="1"/>
  <c r="AJ26" i="6" s="1"/>
  <c r="D27" i="6"/>
  <c r="AH27" i="6" s="1"/>
  <c r="AI27" i="6" s="1"/>
  <c r="AJ27" i="6" s="1"/>
  <c r="D28" i="6"/>
  <c r="AH28" i="6" s="1"/>
  <c r="AI28" i="6" s="1"/>
  <c r="AJ28" i="6" s="1"/>
  <c r="D29" i="6"/>
  <c r="AH29" i="6" s="1"/>
  <c r="AI29" i="6" s="1"/>
  <c r="AJ29" i="6" s="1"/>
  <c r="D30" i="6"/>
  <c r="AH30" i="6" s="1"/>
  <c r="AI30" i="6" s="1"/>
  <c r="AJ30" i="6" s="1"/>
  <c r="D31" i="6"/>
  <c r="AH31" i="6" s="1"/>
  <c r="AI31" i="6" s="1"/>
  <c r="AJ31" i="6" s="1"/>
  <c r="D32" i="6"/>
  <c r="AH32" i="6" s="1"/>
  <c r="AI32" i="6" s="1"/>
  <c r="AJ32" i="6" s="1"/>
  <c r="D33" i="6"/>
  <c r="AH33" i="6" s="1"/>
  <c r="AI33" i="6" s="1"/>
  <c r="AJ33" i="6" s="1"/>
  <c r="D34" i="6"/>
  <c r="AH34" i="6" s="1"/>
  <c r="AI34" i="6" s="1"/>
  <c r="AJ34" i="6" s="1"/>
  <c r="AH35" i="6"/>
  <c r="AI35" i="6" s="1"/>
  <c r="AJ35" i="6" s="1"/>
  <c r="D4" i="6"/>
  <c r="AH4" i="6" s="1"/>
  <c r="AI4" i="6" s="1"/>
  <c r="AJ4" i="6" s="1"/>
  <c r="C5" i="6"/>
  <c r="AC5" i="6" s="1"/>
  <c r="AD5" i="6" s="1"/>
  <c r="AE5" i="6" s="1"/>
  <c r="C6" i="6"/>
  <c r="AC6" i="6" s="1"/>
  <c r="AD6" i="6" s="1"/>
  <c r="AE6" i="6" s="1"/>
  <c r="C7" i="6"/>
  <c r="AC7" i="6" s="1"/>
  <c r="AD7" i="6" s="1"/>
  <c r="AE7" i="6" s="1"/>
  <c r="C8" i="6"/>
  <c r="AC8" i="6" s="1"/>
  <c r="AD8" i="6" s="1"/>
  <c r="AE8" i="6" s="1"/>
  <c r="C9" i="6"/>
  <c r="AC9" i="6" s="1"/>
  <c r="AD9" i="6" s="1"/>
  <c r="AE9" i="6" s="1"/>
  <c r="C10" i="6"/>
  <c r="AC10" i="6" s="1"/>
  <c r="AD10" i="6" s="1"/>
  <c r="AE10" i="6" s="1"/>
  <c r="C11" i="6"/>
  <c r="AC11" i="6" s="1"/>
  <c r="AD11" i="6" s="1"/>
  <c r="AE11" i="6" s="1"/>
  <c r="C12" i="6"/>
  <c r="AC12" i="6" s="1"/>
  <c r="AD12" i="6" s="1"/>
  <c r="AE12" i="6" s="1"/>
  <c r="C13" i="6"/>
  <c r="AC13" i="6" s="1"/>
  <c r="AD13" i="6" s="1"/>
  <c r="AE13" i="6" s="1"/>
  <c r="C14" i="6"/>
  <c r="AC14" i="6" s="1"/>
  <c r="AD14" i="6" s="1"/>
  <c r="AE14" i="6" s="1"/>
  <c r="C15" i="6"/>
  <c r="AC15" i="6" s="1"/>
  <c r="AD15" i="6" s="1"/>
  <c r="AE15" i="6" s="1"/>
  <c r="C16" i="6"/>
  <c r="AC16" i="6" s="1"/>
  <c r="AD16" i="6" s="1"/>
  <c r="AE16" i="6" s="1"/>
  <c r="C17" i="6"/>
  <c r="AC17" i="6" s="1"/>
  <c r="AD17" i="6" s="1"/>
  <c r="AE17" i="6" s="1"/>
  <c r="C18" i="6"/>
  <c r="AC18" i="6" s="1"/>
  <c r="AD18" i="6" s="1"/>
  <c r="AE18" i="6" s="1"/>
  <c r="C19" i="6"/>
  <c r="AC19" i="6" s="1"/>
  <c r="AD19" i="6" s="1"/>
  <c r="AE19" i="6" s="1"/>
  <c r="C20" i="6"/>
  <c r="AC20" i="6" s="1"/>
  <c r="AD20" i="6" s="1"/>
  <c r="AE20" i="6" s="1"/>
  <c r="C21" i="6"/>
  <c r="AC21" i="6" s="1"/>
  <c r="AD21" i="6" s="1"/>
  <c r="AE21" i="6" s="1"/>
  <c r="C22" i="6"/>
  <c r="AC22" i="6" s="1"/>
  <c r="AD22" i="6" s="1"/>
  <c r="AE22" i="6" s="1"/>
  <c r="C23" i="6"/>
  <c r="AC23" i="6" s="1"/>
  <c r="AD23" i="6" s="1"/>
  <c r="AE23" i="6" s="1"/>
  <c r="C24" i="6"/>
  <c r="AC24" i="6" s="1"/>
  <c r="AD24" i="6" s="1"/>
  <c r="AE24" i="6" s="1"/>
  <c r="C25" i="6"/>
  <c r="AC25" i="6" s="1"/>
  <c r="AD25" i="6" s="1"/>
  <c r="AE25" i="6" s="1"/>
  <c r="C26" i="6"/>
  <c r="AC26" i="6" s="1"/>
  <c r="AD26" i="6" s="1"/>
  <c r="AE26" i="6" s="1"/>
  <c r="C27" i="6"/>
  <c r="AC27" i="6" s="1"/>
  <c r="AD27" i="6" s="1"/>
  <c r="AE27" i="6" s="1"/>
  <c r="C28" i="6"/>
  <c r="AC28" i="6" s="1"/>
  <c r="AD28" i="6" s="1"/>
  <c r="AE28" i="6" s="1"/>
  <c r="C29" i="6"/>
  <c r="AC29" i="6" s="1"/>
  <c r="AD29" i="6" s="1"/>
  <c r="AE29" i="6" s="1"/>
  <c r="C30" i="6"/>
  <c r="AC30" i="6" s="1"/>
  <c r="AD30" i="6" s="1"/>
  <c r="AE30" i="6" s="1"/>
  <c r="C31" i="6"/>
  <c r="AC31" i="6" s="1"/>
  <c r="AD31" i="6" s="1"/>
  <c r="AE31" i="6" s="1"/>
  <c r="C32" i="6"/>
  <c r="AC32" i="6" s="1"/>
  <c r="AD32" i="6" s="1"/>
  <c r="AE32" i="6" s="1"/>
  <c r="C33" i="6"/>
  <c r="AC33" i="6" s="1"/>
  <c r="AD33" i="6" s="1"/>
  <c r="AE33" i="6" s="1"/>
  <c r="C34" i="6"/>
  <c r="AC34" i="6" s="1"/>
  <c r="AD34" i="6" s="1"/>
  <c r="AE34" i="6" s="1"/>
  <c r="AC35" i="6"/>
  <c r="AD35" i="6" s="1"/>
  <c r="AE35" i="6" s="1"/>
  <c r="C4" i="6"/>
  <c r="AC4" i="6" s="1"/>
  <c r="AD4" i="6" s="1"/>
  <c r="AE4" i="6" s="1"/>
  <c r="B5" i="6"/>
  <c r="X5" i="6" s="1"/>
  <c r="Y5" i="6" s="1"/>
  <c r="Z5" i="6" s="1"/>
  <c r="B6" i="6"/>
  <c r="X6" i="6" s="1"/>
  <c r="Y6" i="6" s="1"/>
  <c r="Z6" i="6" s="1"/>
  <c r="B7" i="6"/>
  <c r="X7" i="6" s="1"/>
  <c r="Y7" i="6" s="1"/>
  <c r="Z7" i="6" s="1"/>
  <c r="B8" i="6"/>
  <c r="X8" i="6" s="1"/>
  <c r="Y8" i="6" s="1"/>
  <c r="Z8" i="6" s="1"/>
  <c r="B9" i="6"/>
  <c r="X9" i="6" s="1"/>
  <c r="Y9" i="6" s="1"/>
  <c r="Z9" i="6" s="1"/>
  <c r="B10" i="6"/>
  <c r="X10" i="6" s="1"/>
  <c r="Y10" i="6" s="1"/>
  <c r="Z10" i="6" s="1"/>
  <c r="B11" i="6"/>
  <c r="X11" i="6" s="1"/>
  <c r="Y11" i="6" s="1"/>
  <c r="Z11" i="6" s="1"/>
  <c r="B12" i="6"/>
  <c r="X12" i="6" s="1"/>
  <c r="Y12" i="6" s="1"/>
  <c r="Z12" i="6" s="1"/>
  <c r="B13" i="6"/>
  <c r="X13" i="6" s="1"/>
  <c r="Y13" i="6" s="1"/>
  <c r="Z13" i="6" s="1"/>
  <c r="B14" i="6"/>
  <c r="X14" i="6" s="1"/>
  <c r="Y14" i="6" s="1"/>
  <c r="Z14" i="6" s="1"/>
  <c r="B15" i="6"/>
  <c r="X15" i="6" s="1"/>
  <c r="Y15" i="6" s="1"/>
  <c r="Z15" i="6" s="1"/>
  <c r="B16" i="6"/>
  <c r="X16" i="6" s="1"/>
  <c r="Y16" i="6" s="1"/>
  <c r="Z16" i="6" s="1"/>
  <c r="B17" i="6"/>
  <c r="X17" i="6" s="1"/>
  <c r="Y17" i="6" s="1"/>
  <c r="Z17" i="6" s="1"/>
  <c r="B18" i="6"/>
  <c r="X18" i="6" s="1"/>
  <c r="Y18" i="6" s="1"/>
  <c r="Z18" i="6" s="1"/>
  <c r="B19" i="6"/>
  <c r="X19" i="6" s="1"/>
  <c r="Y19" i="6" s="1"/>
  <c r="Z19" i="6" s="1"/>
  <c r="B20" i="6"/>
  <c r="X20" i="6" s="1"/>
  <c r="Y20" i="6" s="1"/>
  <c r="Z20" i="6" s="1"/>
  <c r="B21" i="6"/>
  <c r="X21" i="6" s="1"/>
  <c r="Y21" i="6" s="1"/>
  <c r="Z21" i="6" s="1"/>
  <c r="B22" i="6"/>
  <c r="X22" i="6" s="1"/>
  <c r="Y22" i="6" s="1"/>
  <c r="Z22" i="6" s="1"/>
  <c r="B23" i="6"/>
  <c r="X23" i="6" s="1"/>
  <c r="Y23" i="6" s="1"/>
  <c r="Z23" i="6" s="1"/>
  <c r="B24" i="6"/>
  <c r="X24" i="6" s="1"/>
  <c r="Y24" i="6" s="1"/>
  <c r="Z24" i="6" s="1"/>
  <c r="B25" i="6"/>
  <c r="X25" i="6" s="1"/>
  <c r="Y25" i="6" s="1"/>
  <c r="Z25" i="6" s="1"/>
  <c r="B26" i="6"/>
  <c r="X26" i="6" s="1"/>
  <c r="Y26" i="6" s="1"/>
  <c r="Z26" i="6" s="1"/>
  <c r="B27" i="6"/>
  <c r="X27" i="6" s="1"/>
  <c r="Y27" i="6" s="1"/>
  <c r="Z27" i="6" s="1"/>
  <c r="B28" i="6"/>
  <c r="X28" i="6" s="1"/>
  <c r="Y28" i="6" s="1"/>
  <c r="Z28" i="6" s="1"/>
  <c r="B29" i="6"/>
  <c r="X29" i="6" s="1"/>
  <c r="Y29" i="6" s="1"/>
  <c r="Z29" i="6" s="1"/>
  <c r="B30" i="6"/>
  <c r="X30" i="6" s="1"/>
  <c r="Y30" i="6" s="1"/>
  <c r="Z30" i="6" s="1"/>
  <c r="B31" i="6"/>
  <c r="X31" i="6" s="1"/>
  <c r="Y31" i="6" s="1"/>
  <c r="Z31" i="6" s="1"/>
  <c r="B32" i="6"/>
  <c r="X32" i="6" s="1"/>
  <c r="Y32" i="6" s="1"/>
  <c r="Z32" i="6" s="1"/>
  <c r="B33" i="6"/>
  <c r="X33" i="6" s="1"/>
  <c r="Y33" i="6" s="1"/>
  <c r="Z33" i="6" s="1"/>
  <c r="B34" i="6"/>
  <c r="X34" i="6" s="1"/>
  <c r="Y34" i="6" s="1"/>
  <c r="Z34" i="6" s="1"/>
  <c r="B4" i="6"/>
  <c r="X4" i="6" s="1"/>
  <c r="Y4" i="6" s="1"/>
  <c r="Z4" i="6" s="1"/>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6" i="5"/>
  <c r="H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4" i="5"/>
  <c r="W38" i="6"/>
  <c r="V38" i="6"/>
  <c r="U38" i="6"/>
  <c r="CC36" i="6"/>
  <c r="CA36" i="6"/>
  <c r="BZ36" i="6"/>
  <c r="BX36" i="6"/>
  <c r="BW36" i="6"/>
  <c r="BU36" i="6"/>
  <c r="BT36" i="6"/>
  <c r="BR36" i="6"/>
  <c r="BQ36" i="6"/>
  <c r="BO36" i="6"/>
  <c r="BN36" i="6"/>
  <c r="BL36" i="6"/>
  <c r="BK36" i="6"/>
  <c r="BI36" i="6"/>
  <c r="BH36" i="6"/>
  <c r="BF36" i="6"/>
  <c r="BE36" i="6"/>
  <c r="C45" i="6" s="1"/>
  <c r="BC36" i="6"/>
  <c r="BB36" i="6"/>
  <c r="C43" i="6" s="1"/>
  <c r="AZ36" i="6"/>
  <c r="AY36" i="6"/>
  <c r="AW36" i="6"/>
  <c r="AV36" i="6"/>
  <c r="AT36" i="6"/>
  <c r="AS36" i="6"/>
  <c r="AQ36" i="6"/>
  <c r="AO36" i="6"/>
  <c r="AK36" i="6"/>
  <c r="AH36" i="6"/>
  <c r="AI36" i="6" s="1"/>
  <c r="AJ36" i="6" s="1"/>
  <c r="AF36" i="6"/>
  <c r="AC36" i="6"/>
  <c r="AD36" i="6" s="1"/>
  <c r="AE36" i="6" s="1"/>
  <c r="AA36" i="6"/>
  <c r="X36" i="6"/>
  <c r="Y36" i="6" s="1"/>
  <c r="Z36" i="6" s="1"/>
  <c r="CA35" i="6"/>
  <c r="BR35" i="6"/>
  <c r="BI35" i="6"/>
  <c r="BF35" i="6"/>
  <c r="AQ35" i="6"/>
  <c r="AO35" i="6"/>
  <c r="AK35" i="6"/>
  <c r="AF35" i="6"/>
  <c r="AA35" i="6"/>
  <c r="X35" i="6"/>
  <c r="Y35" i="6" s="1"/>
  <c r="Z35" i="6" s="1"/>
  <c r="AO34" i="6"/>
  <c r="AK34" i="6"/>
  <c r="AF34" i="6"/>
  <c r="AA34" i="6"/>
  <c r="AO33" i="6"/>
  <c r="AK33" i="6"/>
  <c r="AF33" i="6"/>
  <c r="AA33" i="6"/>
  <c r="AO32" i="6"/>
  <c r="AK32" i="6"/>
  <c r="AF32" i="6"/>
  <c r="AA32" i="6"/>
  <c r="AO31" i="6"/>
  <c r="AK31" i="6"/>
  <c r="AF31" i="6"/>
  <c r="AA31" i="6"/>
  <c r="AO30" i="6"/>
  <c r="AK30" i="6"/>
  <c r="AF30" i="6"/>
  <c r="AA30" i="6"/>
  <c r="BC29" i="6"/>
  <c r="AO29" i="6"/>
  <c r="AK29" i="6"/>
  <c r="AF29" i="6"/>
  <c r="AA29" i="6"/>
  <c r="AO28" i="6"/>
  <c r="AK28" i="6"/>
  <c r="AF28" i="6"/>
  <c r="AA28" i="6"/>
  <c r="AO27" i="6"/>
  <c r="AK27" i="6"/>
  <c r="AF27" i="6"/>
  <c r="AA27" i="6"/>
  <c r="BF26" i="6"/>
  <c r="AO26" i="6"/>
  <c r="AK26" i="6"/>
  <c r="AF26" i="6"/>
  <c r="AA26" i="6"/>
  <c r="AW25" i="6"/>
  <c r="AO25" i="6"/>
  <c r="AK25" i="6"/>
  <c r="AF25" i="6"/>
  <c r="AA25" i="6"/>
  <c r="AO24" i="6"/>
  <c r="AK24" i="6"/>
  <c r="AF24" i="6"/>
  <c r="AA24" i="6"/>
  <c r="BF23" i="6"/>
  <c r="AO23" i="6"/>
  <c r="AK23" i="6"/>
  <c r="AF23" i="6"/>
  <c r="AA23" i="6"/>
  <c r="BF22" i="6"/>
  <c r="AO22" i="6"/>
  <c r="AK22" i="6"/>
  <c r="AF22" i="6"/>
  <c r="AA22" i="6"/>
  <c r="AO21" i="6"/>
  <c r="AK21" i="6"/>
  <c r="AF21" i="6"/>
  <c r="AA21" i="6"/>
  <c r="AO20" i="6"/>
  <c r="AK20" i="6"/>
  <c r="AF20" i="6"/>
  <c r="AA20" i="6"/>
  <c r="AO19" i="6"/>
  <c r="AK19" i="6"/>
  <c r="AF19" i="6"/>
  <c r="AA19" i="6"/>
  <c r="BF18" i="6"/>
  <c r="AO18" i="6"/>
  <c r="AK18" i="6"/>
  <c r="AF18" i="6"/>
  <c r="AA18" i="6"/>
  <c r="BF17" i="6"/>
  <c r="AO17" i="6"/>
  <c r="AK17" i="6"/>
  <c r="AF17" i="6"/>
  <c r="AA17" i="6"/>
  <c r="AO16" i="6"/>
  <c r="AK16" i="6"/>
  <c r="AF16" i="6"/>
  <c r="AA16" i="6"/>
  <c r="AO15" i="6"/>
  <c r="AK15" i="6"/>
  <c r="AF15" i="6"/>
  <c r="AA15" i="6"/>
  <c r="BR14" i="6"/>
  <c r="BF14" i="6"/>
  <c r="AO14" i="6"/>
  <c r="AK14" i="6"/>
  <c r="AF14" i="6"/>
  <c r="AA14" i="6"/>
  <c r="BF13" i="6"/>
  <c r="AO13" i="6"/>
  <c r="AK13" i="6"/>
  <c r="AF13" i="6"/>
  <c r="AA13" i="6"/>
  <c r="BF12" i="6"/>
  <c r="AO12" i="6"/>
  <c r="AK12" i="6"/>
  <c r="AF12" i="6"/>
  <c r="AA12" i="6"/>
  <c r="BR11" i="6"/>
  <c r="BF11" i="6"/>
  <c r="AO11" i="6"/>
  <c r="AK11" i="6"/>
  <c r="AF11" i="6"/>
  <c r="AA11" i="6"/>
  <c r="BF10" i="6"/>
  <c r="AO10" i="6"/>
  <c r="AK10" i="6"/>
  <c r="AF10" i="6"/>
  <c r="AA10" i="6"/>
  <c r="AZ9" i="6"/>
  <c r="AO9" i="6"/>
  <c r="AK9" i="6"/>
  <c r="AF9" i="6"/>
  <c r="AA9" i="6"/>
  <c r="AO8" i="6"/>
  <c r="AK8" i="6"/>
  <c r="AF8" i="6"/>
  <c r="AA8" i="6"/>
  <c r="BF7" i="6"/>
  <c r="AO7" i="6"/>
  <c r="AK7" i="6"/>
  <c r="AF7" i="6"/>
  <c r="AA7" i="6"/>
  <c r="AO6" i="6"/>
  <c r="AK6" i="6"/>
  <c r="AF6" i="6"/>
  <c r="AA6" i="6"/>
  <c r="BF5" i="6"/>
  <c r="AO5" i="6"/>
  <c r="AK5" i="6"/>
  <c r="AF5" i="6"/>
  <c r="AA5" i="6"/>
  <c r="CA4" i="6"/>
  <c r="AP4" i="6"/>
  <c r="AO4" i="6"/>
  <c r="AM4" i="6"/>
  <c r="AK4" i="6"/>
  <c r="AF4" i="6"/>
  <c r="CA2" i="6"/>
  <c r="BX2" i="6"/>
  <c r="BU2" i="6"/>
  <c r="BR2" i="6"/>
  <c r="BO2" i="6"/>
  <c r="BL2" i="6"/>
  <c r="BI2" i="6"/>
  <c r="BF2" i="6"/>
  <c r="BC2" i="6"/>
  <c r="F18" i="5" l="1"/>
  <c r="D13" i="5"/>
  <c r="D32" i="5"/>
  <c r="I28" i="5"/>
  <c r="F28" i="5"/>
  <c r="F12" i="5"/>
  <c r="I31" i="5"/>
  <c r="F31" i="5"/>
  <c r="I23" i="5"/>
  <c r="F23" i="5"/>
  <c r="D21" i="5"/>
  <c r="I20" i="5"/>
  <c r="I18" i="5"/>
  <c r="D16" i="5"/>
  <c r="I15" i="5"/>
  <c r="F15" i="5"/>
  <c r="K14" i="5"/>
  <c r="D20" i="5"/>
  <c r="F27" i="5"/>
  <c r="F19" i="5"/>
  <c r="I19" i="5"/>
  <c r="K26" i="5"/>
  <c r="K17" i="5"/>
  <c r="D33" i="5"/>
  <c r="D17" i="5"/>
  <c r="I12" i="5"/>
  <c r="K7" i="5"/>
  <c r="K19" i="5"/>
  <c r="K11" i="5"/>
  <c r="I32" i="5"/>
  <c r="I24" i="5"/>
  <c r="D5" i="5"/>
  <c r="K33" i="5"/>
  <c r="K31" i="5"/>
  <c r="K30" i="5"/>
  <c r="D29" i="5"/>
  <c r="D28" i="5"/>
  <c r="K27" i="5"/>
  <c r="K25" i="5"/>
  <c r="D25" i="5"/>
  <c r="D24" i="5"/>
  <c r="K23" i="5"/>
  <c r="K22" i="5"/>
  <c r="F20" i="5"/>
  <c r="I16" i="5"/>
  <c r="K15" i="5"/>
  <c r="D12" i="5"/>
  <c r="F11" i="5"/>
  <c r="I11" i="5"/>
  <c r="K10" i="5"/>
  <c r="I10" i="5"/>
  <c r="F10" i="5"/>
  <c r="K9" i="5"/>
  <c r="D9" i="5"/>
  <c r="I8" i="5"/>
  <c r="D8" i="5"/>
  <c r="I7" i="5"/>
  <c r="K6" i="5"/>
  <c r="K18" i="5"/>
  <c r="F32" i="5"/>
  <c r="F24" i="5"/>
  <c r="F16" i="5"/>
  <c r="F8" i="5"/>
  <c r="K34" i="5"/>
  <c r="K35" i="5"/>
  <c r="D27" i="5"/>
  <c r="D19" i="5"/>
  <c r="D11" i="5"/>
  <c r="F34" i="5"/>
  <c r="F35" i="5"/>
  <c r="F26" i="5"/>
  <c r="I34" i="5"/>
  <c r="I35" i="5"/>
  <c r="D35" i="5"/>
  <c r="D34" i="5"/>
  <c r="D26" i="5"/>
  <c r="D18" i="5"/>
  <c r="D10" i="5"/>
  <c r="F33" i="5"/>
  <c r="F25" i="5"/>
  <c r="F17" i="5"/>
  <c r="F9" i="5"/>
  <c r="I33" i="5"/>
  <c r="I25" i="5"/>
  <c r="I17" i="5"/>
  <c r="I9" i="5"/>
  <c r="K32" i="5"/>
  <c r="K24" i="5"/>
  <c r="K16" i="5"/>
  <c r="K8" i="5"/>
  <c r="F7" i="5"/>
  <c r="D31" i="5"/>
  <c r="D23" i="5"/>
  <c r="D15" i="5"/>
  <c r="D7" i="5"/>
  <c r="F30" i="5"/>
  <c r="F22" i="5"/>
  <c r="F14" i="5"/>
  <c r="F6" i="5"/>
  <c r="I30" i="5"/>
  <c r="I22" i="5"/>
  <c r="I14" i="5"/>
  <c r="I6" i="5"/>
  <c r="K29" i="5"/>
  <c r="K21" i="5"/>
  <c r="K13" i="5"/>
  <c r="K5" i="5"/>
  <c r="D30" i="5"/>
  <c r="D22" i="5"/>
  <c r="D14" i="5"/>
  <c r="D6" i="5"/>
  <c r="F29" i="5"/>
  <c r="F21" i="5"/>
  <c r="F13" i="5"/>
  <c r="F5" i="5"/>
  <c r="I29" i="5"/>
  <c r="I21" i="5"/>
  <c r="I13" i="5"/>
  <c r="I5" i="5"/>
  <c r="K28" i="5"/>
  <c r="K20" i="5"/>
  <c r="K12" i="5"/>
  <c r="I26" i="5"/>
  <c r="I27" i="5"/>
  <c r="AX9" i="6"/>
  <c r="AY9" i="6" s="1"/>
  <c r="AR32" i="6"/>
  <c r="AS32" i="6" s="1"/>
  <c r="BS6" i="6"/>
  <c r="BT6" i="6" s="1"/>
  <c r="BP19" i="6"/>
  <c r="BQ19" i="6" s="1"/>
  <c r="BJ5" i="6"/>
  <c r="BK5" i="6" s="1"/>
  <c r="CB6" i="6"/>
  <c r="CC6" i="6" s="1"/>
  <c r="BM7" i="6"/>
  <c r="BN7" i="6" s="1"/>
  <c r="BP32" i="6"/>
  <c r="BQ32" i="6" s="1"/>
  <c r="AX27" i="6"/>
  <c r="AY27" i="6" s="1"/>
  <c r="BD23" i="6"/>
  <c r="BE23" i="6" s="1"/>
  <c r="BD19" i="6"/>
  <c r="BE19" i="6" s="1"/>
  <c r="BG6" i="6"/>
  <c r="BH6" i="6" s="1"/>
  <c r="BP8" i="6"/>
  <c r="BQ8" i="6" s="1"/>
  <c r="BG9" i="6"/>
  <c r="BH9" i="6" s="1"/>
  <c r="BV9" i="6"/>
  <c r="BW9" i="6" s="1"/>
  <c r="BP20" i="6"/>
  <c r="BQ20" i="6" s="1"/>
  <c r="CB20" i="6"/>
  <c r="CC20" i="6" s="1"/>
  <c r="AR35" i="6"/>
  <c r="AS35" i="6" s="1"/>
  <c r="BV29" i="6"/>
  <c r="BW29" i="6" s="1"/>
  <c r="BV17" i="6"/>
  <c r="BW17" i="6" s="1"/>
  <c r="BJ13" i="6"/>
  <c r="BK13" i="6" s="1"/>
  <c r="BY7" i="6"/>
  <c r="BZ7" i="6" s="1"/>
  <c r="BV19" i="6"/>
  <c r="BW19" i="6" s="1"/>
  <c r="AR20" i="6"/>
  <c r="AS20" i="6" s="1"/>
  <c r="AX33" i="6"/>
  <c r="AY33" i="6" s="1"/>
  <c r="BD25" i="6"/>
  <c r="BE25" i="6" s="1"/>
  <c r="CB32" i="6"/>
  <c r="CC32" i="6" s="1"/>
  <c r="CB29" i="6"/>
  <c r="CC29" i="6" s="1"/>
  <c r="CB8" i="6"/>
  <c r="CC8" i="6" s="1"/>
  <c r="CB27" i="6"/>
  <c r="CC27" i="6" s="1"/>
  <c r="CB25" i="6"/>
  <c r="CC25" i="6" s="1"/>
  <c r="AR30" i="6"/>
  <c r="AS30" i="6" s="1"/>
  <c r="AX30" i="6"/>
  <c r="AY30" i="6" s="1"/>
  <c r="BJ33" i="6"/>
  <c r="BK33" i="6" s="1"/>
  <c r="BV22" i="6"/>
  <c r="BW22" i="6" s="1"/>
  <c r="BD6" i="6"/>
  <c r="BE6" i="6" s="1"/>
  <c r="AX11" i="6"/>
  <c r="AY11" i="6" s="1"/>
  <c r="CB19" i="6"/>
  <c r="CC19" i="6" s="1"/>
  <c r="AB6" i="6"/>
  <c r="AX5" i="6"/>
  <c r="AY5" i="6" s="1"/>
  <c r="BV7" i="6"/>
  <c r="BW7" i="6" s="1"/>
  <c r="BJ9" i="6"/>
  <c r="BK9" i="6" s="1"/>
  <c r="C44" i="6"/>
  <c r="BA5" i="6"/>
  <c r="BB5" i="6" s="1"/>
  <c r="AX13" i="6"/>
  <c r="AY13" i="6" s="1"/>
  <c r="AG14" i="6"/>
  <c r="BP6" i="6"/>
  <c r="BQ6" i="6" s="1"/>
  <c r="BP9" i="6"/>
  <c r="BQ9" i="6" s="1"/>
  <c r="AL20" i="6"/>
  <c r="AM20" i="6" s="1"/>
  <c r="BM5" i="6"/>
  <c r="BN5" i="6" s="1"/>
  <c r="BP27" i="6"/>
  <c r="BQ27" i="6" s="1"/>
  <c r="BJ29" i="6"/>
  <c r="BK29" i="6" s="1"/>
  <c r="BV30" i="6"/>
  <c r="BW30" i="6" s="1"/>
  <c r="AX7" i="6"/>
  <c r="AY7" i="6" s="1"/>
  <c r="BV10" i="6"/>
  <c r="BW10" i="6" s="1"/>
  <c r="BV23" i="6"/>
  <c r="BW23" i="6" s="1"/>
  <c r="BD27" i="6"/>
  <c r="BE27" i="6" s="1"/>
  <c r="AR8" i="6"/>
  <c r="AS8" i="6" s="1"/>
  <c r="BD8" i="6"/>
  <c r="BE8" i="6" s="1"/>
  <c r="BV32" i="6"/>
  <c r="BW32" i="6" s="1"/>
  <c r="BV27" i="6"/>
  <c r="BW27" i="6" s="1"/>
  <c r="BJ27" i="6"/>
  <c r="BK27" i="6" s="1"/>
  <c r="BJ23" i="6"/>
  <c r="BK23" i="6" s="1"/>
  <c r="BD30" i="6"/>
  <c r="BE30" i="6" s="1"/>
  <c r="BP30" i="6"/>
  <c r="BQ30" i="6" s="1"/>
  <c r="AX31" i="6"/>
  <c r="AY31" i="6" s="1"/>
  <c r="BJ31" i="6"/>
  <c r="BK31" i="6" s="1"/>
  <c r="BV31" i="6"/>
  <c r="BW31" i="6" s="1"/>
  <c r="AX34" i="6"/>
  <c r="AY34" i="6" s="1"/>
  <c r="BA27" i="6"/>
  <c r="BB27" i="6" s="1"/>
  <c r="AR25" i="6"/>
  <c r="AS25" i="6" s="1"/>
  <c r="AL24" i="6"/>
  <c r="AM24" i="6" s="1"/>
  <c r="BP23" i="6"/>
  <c r="BQ23" i="6" s="1"/>
  <c r="CB23" i="6"/>
  <c r="CC23" i="6" s="1"/>
  <c r="AX23" i="6"/>
  <c r="AY23" i="6" s="1"/>
  <c r="BJ17" i="6"/>
  <c r="BK17" i="6" s="1"/>
  <c r="BM10" i="6"/>
  <c r="BN10" i="6" s="1"/>
  <c r="AR10" i="6"/>
  <c r="AS10" i="6" s="1"/>
  <c r="BV13" i="6"/>
  <c r="BW13" i="6" s="1"/>
  <c r="AX20" i="6"/>
  <c r="AY20" i="6" s="1"/>
  <c r="BJ20" i="6"/>
  <c r="BK20" i="6" s="1"/>
  <c r="AR21" i="6"/>
  <c r="AS21" i="6" s="1"/>
  <c r="BD21" i="6"/>
  <c r="BE21" i="6" s="1"/>
  <c r="CB21" i="6"/>
  <c r="CC21" i="6" s="1"/>
  <c r="BJ24" i="6"/>
  <c r="BK24" i="6" s="1"/>
  <c r="BV24" i="6"/>
  <c r="BW24" i="6" s="1"/>
  <c r="BD26" i="6"/>
  <c r="BE26" i="6" s="1"/>
  <c r="BP26" i="6"/>
  <c r="BQ26" i="6" s="1"/>
  <c r="BP28" i="6"/>
  <c r="BQ28" i="6" s="1"/>
  <c r="CB28" i="6"/>
  <c r="CC28" i="6" s="1"/>
  <c r="BP31" i="6"/>
  <c r="BQ31" i="6" s="1"/>
  <c r="CB31" i="6"/>
  <c r="CC31" i="6" s="1"/>
  <c r="BJ32" i="6"/>
  <c r="BK32" i="6" s="1"/>
  <c r="BP35" i="6"/>
  <c r="BQ35" i="6" s="1"/>
  <c r="AG28" i="6"/>
  <c r="BJ21" i="6"/>
  <c r="BK21" i="6" s="1"/>
  <c r="BV21" i="6"/>
  <c r="BW21" i="6" s="1"/>
  <c r="AR24" i="6"/>
  <c r="AS24" i="6" s="1"/>
  <c r="BP24" i="6"/>
  <c r="BQ24" i="6" s="1"/>
  <c r="CB24" i="6"/>
  <c r="CC24" i="6" s="1"/>
  <c r="AX26" i="6"/>
  <c r="AY26" i="6" s="1"/>
  <c r="BV26" i="6"/>
  <c r="BW26" i="6" s="1"/>
  <c r="BJ28" i="6"/>
  <c r="BK28" i="6" s="1"/>
  <c r="BD35" i="6"/>
  <c r="BE35" i="6" s="1"/>
  <c r="AX15" i="6"/>
  <c r="AY15" i="6" s="1"/>
  <c r="BJ15" i="6"/>
  <c r="BK15" i="6" s="1"/>
  <c r="BV15" i="6"/>
  <c r="BW15" i="6" s="1"/>
  <c r="AU20" i="6"/>
  <c r="AV20" i="6" s="1"/>
  <c r="AR22" i="6"/>
  <c r="AS22" i="6" s="1"/>
  <c r="BD22" i="6"/>
  <c r="BE22" i="6" s="1"/>
  <c r="BP22" i="6"/>
  <c r="BQ22" i="6" s="1"/>
  <c r="BJ25" i="6"/>
  <c r="BK25" i="6" s="1"/>
  <c r="BV25" i="6"/>
  <c r="BW25" i="6" s="1"/>
  <c r="BA31" i="6"/>
  <c r="BB31" i="6" s="1"/>
  <c r="AR33" i="6"/>
  <c r="AS33" i="6" s="1"/>
  <c r="BD33" i="6"/>
  <c r="BE33" i="6" s="1"/>
  <c r="CB33" i="6"/>
  <c r="CC33" i="6" s="1"/>
  <c r="BG11" i="6"/>
  <c r="BH11" i="6" s="1"/>
  <c r="BD10" i="6"/>
  <c r="BE10" i="6" s="1"/>
  <c r="AL10" i="6"/>
  <c r="AM10" i="6" s="1"/>
  <c r="AG10" i="6"/>
  <c r="AB10" i="6"/>
  <c r="BJ10" i="6"/>
  <c r="BK10" i="6" s="1"/>
  <c r="AG8" i="6"/>
  <c r="AR9" i="6"/>
  <c r="AS9" i="6" s="1"/>
  <c r="BJ7" i="6"/>
  <c r="BK7" i="6" s="1"/>
  <c r="BA7" i="6"/>
  <c r="BB7" i="6" s="1"/>
  <c r="AA38" i="6"/>
  <c r="AG18" i="6"/>
  <c r="AL32" i="6"/>
  <c r="AM32" i="6" s="1"/>
  <c r="AG16" i="6"/>
  <c r="AG32" i="6"/>
  <c r="AG20" i="6"/>
  <c r="AG24" i="6"/>
  <c r="AL28" i="6"/>
  <c r="AM28" i="6" s="1"/>
  <c r="BG22" i="6"/>
  <c r="BH22" i="6" s="1"/>
  <c r="BS22" i="6"/>
  <c r="BT22" i="6" s="1"/>
  <c r="BG26" i="6"/>
  <c r="BH26" i="6" s="1"/>
  <c r="BS26" i="6"/>
  <c r="BT26" i="6" s="1"/>
  <c r="BG30" i="6"/>
  <c r="BH30" i="6" s="1"/>
  <c r="BS30" i="6"/>
  <c r="BT30" i="6" s="1"/>
  <c r="CB34" i="6"/>
  <c r="CC34" i="6" s="1"/>
  <c r="BM35" i="6"/>
  <c r="BN35" i="6" s="1"/>
  <c r="BY35" i="6"/>
  <c r="BZ35" i="6" s="1"/>
  <c r="BV20" i="6"/>
  <c r="BW20" i="6" s="1"/>
  <c r="BY29" i="6"/>
  <c r="BZ29" i="6" s="1"/>
  <c r="BV35" i="6"/>
  <c r="BW35" i="6" s="1"/>
  <c r="BV28" i="6"/>
  <c r="BW28" i="6" s="1"/>
  <c r="BP33" i="6"/>
  <c r="BQ33" i="6" s="1"/>
  <c r="BJ34" i="6"/>
  <c r="BK34" i="6" s="1"/>
  <c r="BV34" i="6"/>
  <c r="BW34" i="6" s="1"/>
  <c r="BY21" i="6"/>
  <c r="BZ21" i="6" s="1"/>
  <c r="BY25" i="6"/>
  <c r="BZ25" i="6" s="1"/>
  <c r="BY33" i="6"/>
  <c r="BZ33" i="6" s="1"/>
  <c r="BG34" i="6"/>
  <c r="BH34" i="6" s="1"/>
  <c r="BS34" i="6"/>
  <c r="BT34" i="6" s="1"/>
  <c r="BY5" i="6"/>
  <c r="BZ5" i="6" s="1"/>
  <c r="BV5" i="6"/>
  <c r="BW5" i="6" s="1"/>
  <c r="BD29" i="6"/>
  <c r="BE29" i="6" s="1"/>
  <c r="BD31" i="6"/>
  <c r="BE31" i="6" s="1"/>
  <c r="BA23" i="6"/>
  <c r="BB23" i="6" s="1"/>
  <c r="BA19" i="6"/>
  <c r="BB19" i="6" s="1"/>
  <c r="AX17" i="6"/>
  <c r="AY17" i="6" s="1"/>
  <c r="AX21" i="6"/>
  <c r="AY21" i="6" s="1"/>
  <c r="AX22" i="6"/>
  <c r="AY22" i="6" s="1"/>
  <c r="AX24" i="6"/>
  <c r="AY24" i="6" s="1"/>
  <c r="AX28" i="6"/>
  <c r="AY28" i="6" s="1"/>
  <c r="AX32" i="6"/>
  <c r="AY32" i="6" s="1"/>
  <c r="AX10" i="6"/>
  <c r="AY10" i="6" s="1"/>
  <c r="AX25" i="6"/>
  <c r="AY25" i="6" s="1"/>
  <c r="AX29" i="6"/>
  <c r="AY29" i="6" s="1"/>
  <c r="AU24" i="6"/>
  <c r="AV24" i="6" s="1"/>
  <c r="AU28" i="6"/>
  <c r="AV28" i="6" s="1"/>
  <c r="AU32" i="6"/>
  <c r="AV32" i="6" s="1"/>
  <c r="AR6" i="6"/>
  <c r="AS6" i="6" s="1"/>
  <c r="AR26" i="6"/>
  <c r="AS26" i="6" s="1"/>
  <c r="AR29" i="6"/>
  <c r="AS29" i="6" s="1"/>
  <c r="AR28" i="6"/>
  <c r="AS28" i="6" s="1"/>
  <c r="AL33" i="6"/>
  <c r="AM33" i="6" s="1"/>
  <c r="AL21" i="6"/>
  <c r="AM21" i="6" s="1"/>
  <c r="AL25" i="6"/>
  <c r="AM25" i="6" s="1"/>
  <c r="AL35" i="6"/>
  <c r="AM35" i="6" s="1"/>
  <c r="AL29" i="6"/>
  <c r="AM29" i="6" s="1"/>
  <c r="AG35" i="6"/>
  <c r="AN22" i="6"/>
  <c r="AN26" i="6"/>
  <c r="AN34" i="6"/>
  <c r="AN30" i="6"/>
  <c r="AB5" i="6"/>
  <c r="AG5" i="6"/>
  <c r="AG7" i="6"/>
  <c r="AL6" i="6"/>
  <c r="AM6" i="6" s="1"/>
  <c r="AU6" i="6"/>
  <c r="AV6" i="6" s="1"/>
  <c r="AL8" i="6"/>
  <c r="AM8" i="6" s="1"/>
  <c r="AU8" i="6"/>
  <c r="AV8" i="6" s="1"/>
  <c r="BG8" i="6"/>
  <c r="BH8" i="6" s="1"/>
  <c r="BS8" i="6"/>
  <c r="BT8" i="6" s="1"/>
  <c r="BA8" i="6"/>
  <c r="BB8" i="6" s="1"/>
  <c r="BM8" i="6"/>
  <c r="BN8" i="6" s="1"/>
  <c r="BY8" i="6"/>
  <c r="BZ8" i="6" s="1"/>
  <c r="AU9" i="6"/>
  <c r="AV9" i="6" s="1"/>
  <c r="BP10" i="6"/>
  <c r="BQ10" i="6" s="1"/>
  <c r="BY10" i="6"/>
  <c r="BZ10" i="6" s="1"/>
  <c r="BV11" i="6"/>
  <c r="BW11" i="6" s="1"/>
  <c r="BM11" i="6"/>
  <c r="BN11" i="6" s="1"/>
  <c r="AL13" i="6"/>
  <c r="AM13" i="6" s="1"/>
  <c r="AU12" i="6"/>
  <c r="AV12" i="6" s="1"/>
  <c r="BG12" i="6"/>
  <c r="BH12" i="6" s="1"/>
  <c r="BS12" i="6"/>
  <c r="BT12" i="6" s="1"/>
  <c r="AL15" i="6"/>
  <c r="AM15" i="6" s="1"/>
  <c r="AU14" i="6"/>
  <c r="AV14" i="6" s="1"/>
  <c r="BG14" i="6"/>
  <c r="BH14" i="6" s="1"/>
  <c r="BS14" i="6"/>
  <c r="BT14" i="6" s="1"/>
  <c r="AL17" i="6"/>
  <c r="AM17" i="6" s="1"/>
  <c r="AU16" i="6"/>
  <c r="AV16" i="6" s="1"/>
  <c r="BG16" i="6"/>
  <c r="BH16" i="6" s="1"/>
  <c r="BS16" i="6"/>
  <c r="BT16" i="6" s="1"/>
  <c r="AL19" i="6"/>
  <c r="AM19" i="6" s="1"/>
  <c r="AU18" i="6"/>
  <c r="AV18" i="6" s="1"/>
  <c r="BG18" i="6"/>
  <c r="BH18" i="6" s="1"/>
  <c r="BS18" i="6"/>
  <c r="BT18" i="6" s="1"/>
  <c r="AR19" i="6"/>
  <c r="AS19" i="6" s="1"/>
  <c r="BD20" i="6"/>
  <c r="BE20" i="6" s="1"/>
  <c r="BM19" i="6"/>
  <c r="BN19" i="6" s="1"/>
  <c r="BG20" i="6"/>
  <c r="BH20" i="6" s="1"/>
  <c r="BP21" i="6"/>
  <c r="BQ21" i="6" s="1"/>
  <c r="CB22" i="6"/>
  <c r="CC22" i="6" s="1"/>
  <c r="BJ22" i="6"/>
  <c r="BK22" i="6" s="1"/>
  <c r="AR23" i="6"/>
  <c r="AS23" i="6" s="1"/>
  <c r="BD24" i="6"/>
  <c r="BE24" i="6" s="1"/>
  <c r="BM23" i="6"/>
  <c r="BN23" i="6" s="1"/>
  <c r="BG24" i="6"/>
  <c r="BH24" i="6" s="1"/>
  <c r="BP25" i="6"/>
  <c r="BQ25" i="6" s="1"/>
  <c r="CB26" i="6"/>
  <c r="CC26" i="6" s="1"/>
  <c r="BJ26" i="6"/>
  <c r="BK26" i="6" s="1"/>
  <c r="AR27" i="6"/>
  <c r="AS27" i="6" s="1"/>
  <c r="BD28" i="6"/>
  <c r="BE28" i="6" s="1"/>
  <c r="BM27" i="6"/>
  <c r="BN27" i="6" s="1"/>
  <c r="BG28" i="6"/>
  <c r="BH28" i="6" s="1"/>
  <c r="BP29" i="6"/>
  <c r="BQ29" i="6" s="1"/>
  <c r="CB30" i="6"/>
  <c r="CC30" i="6" s="1"/>
  <c r="BJ30" i="6"/>
  <c r="BK30" i="6" s="1"/>
  <c r="AR31" i="6"/>
  <c r="AS31" i="6" s="1"/>
  <c r="BD32" i="6"/>
  <c r="BE32" i="6" s="1"/>
  <c r="BM31" i="6"/>
  <c r="BN31" i="6" s="1"/>
  <c r="BG32" i="6"/>
  <c r="BH32" i="6" s="1"/>
  <c r="AR34" i="6"/>
  <c r="AS34" i="6" s="1"/>
  <c r="AX35" i="6"/>
  <c r="AY35" i="6" s="1"/>
  <c r="AL11" i="6"/>
  <c r="AM11" i="6" s="1"/>
  <c r="BA11" i="6"/>
  <c r="BB11" i="6" s="1"/>
  <c r="AG23" i="6"/>
  <c r="AG27" i="6"/>
  <c r="AG31" i="6"/>
  <c r="AG9" i="6"/>
  <c r="AL9" i="6"/>
  <c r="AM9" i="6" s="1"/>
  <c r="BA10" i="6"/>
  <c r="BB10" i="6" s="1"/>
  <c r="BS9" i="6"/>
  <c r="BT9" i="6" s="1"/>
  <c r="BJ11" i="6"/>
  <c r="BK11" i="6" s="1"/>
  <c r="AG13" i="6"/>
  <c r="AR14" i="6"/>
  <c r="AS14" i="6" s="1"/>
  <c r="BD14" i="6"/>
  <c r="BE14" i="6" s="1"/>
  <c r="BP14" i="6"/>
  <c r="BQ14" i="6" s="1"/>
  <c r="CB14" i="6"/>
  <c r="CC14" i="6" s="1"/>
  <c r="AG15" i="6"/>
  <c r="AR16" i="6"/>
  <c r="AS16" i="6" s="1"/>
  <c r="BD16" i="6"/>
  <c r="BE16" i="6" s="1"/>
  <c r="BP16" i="6"/>
  <c r="BQ16" i="6" s="1"/>
  <c r="CB16" i="6"/>
  <c r="CC16" i="6" s="1"/>
  <c r="AG17" i="6"/>
  <c r="AR18" i="6"/>
  <c r="AS18" i="6" s="1"/>
  <c r="BD18" i="6"/>
  <c r="BE18" i="6" s="1"/>
  <c r="BP18" i="6"/>
  <c r="BQ18" i="6" s="1"/>
  <c r="CB18" i="6"/>
  <c r="CC18" i="6" s="1"/>
  <c r="AG19" i="6"/>
  <c r="BM21" i="6"/>
  <c r="BN21" i="6" s="1"/>
  <c r="BM25" i="6"/>
  <c r="BN25" i="6" s="1"/>
  <c r="BM29" i="6"/>
  <c r="BN29" i="6" s="1"/>
  <c r="BM33" i="6"/>
  <c r="BN33" i="6" s="1"/>
  <c r="BV33" i="6"/>
  <c r="BW33" i="6" s="1"/>
  <c r="BP34" i="6"/>
  <c r="BQ34" i="6" s="1"/>
  <c r="CB10" i="6"/>
  <c r="CC10" i="6" s="1"/>
  <c r="AG11" i="6"/>
  <c r="BY11" i="6"/>
  <c r="BZ11" i="6" s="1"/>
  <c r="BA13" i="6"/>
  <c r="BB13" i="6" s="1"/>
  <c r="BM13" i="6"/>
  <c r="BN13" i="6" s="1"/>
  <c r="BY13" i="6"/>
  <c r="BZ13" i="6" s="1"/>
  <c r="BA15" i="6"/>
  <c r="BB15" i="6" s="1"/>
  <c r="BM15" i="6"/>
  <c r="BN15" i="6" s="1"/>
  <c r="BY15" i="6"/>
  <c r="BZ15" i="6" s="1"/>
  <c r="BA17" i="6"/>
  <c r="BB17" i="6" s="1"/>
  <c r="BM17" i="6"/>
  <c r="BN17" i="6" s="1"/>
  <c r="BY17" i="6"/>
  <c r="BZ17" i="6" s="1"/>
  <c r="AX19" i="6"/>
  <c r="AY19" i="6" s="1"/>
  <c r="BJ19" i="6"/>
  <c r="BK19" i="6" s="1"/>
  <c r="BY19" i="6"/>
  <c r="BZ19" i="6" s="1"/>
  <c r="AG21" i="6"/>
  <c r="BS20" i="6"/>
  <c r="BT20" i="6" s="1"/>
  <c r="BA21" i="6"/>
  <c r="BB21" i="6" s="1"/>
  <c r="AL23" i="6"/>
  <c r="AM23" i="6" s="1"/>
  <c r="AU22" i="6"/>
  <c r="AV22" i="6" s="1"/>
  <c r="BY23" i="6"/>
  <c r="BZ23" i="6" s="1"/>
  <c r="AG25" i="6"/>
  <c r="BS24" i="6"/>
  <c r="BT24" i="6" s="1"/>
  <c r="BA25" i="6"/>
  <c r="BB25" i="6" s="1"/>
  <c r="AL27" i="6"/>
  <c r="AM27" i="6" s="1"/>
  <c r="AU26" i="6"/>
  <c r="AV26" i="6" s="1"/>
  <c r="BY27" i="6"/>
  <c r="BZ27" i="6" s="1"/>
  <c r="AG29" i="6"/>
  <c r="BS28" i="6"/>
  <c r="BT28" i="6" s="1"/>
  <c r="BA29" i="6"/>
  <c r="BB29" i="6" s="1"/>
  <c r="AL31" i="6"/>
  <c r="AM31" i="6" s="1"/>
  <c r="AU30" i="6"/>
  <c r="AV30" i="6" s="1"/>
  <c r="BY31" i="6"/>
  <c r="BZ31" i="6" s="1"/>
  <c r="AG33" i="6"/>
  <c r="BS32" i="6"/>
  <c r="BT32" i="6" s="1"/>
  <c r="BA33" i="6"/>
  <c r="BB33" i="6" s="1"/>
  <c r="AU34" i="6"/>
  <c r="AV34" i="6" s="1"/>
  <c r="BD34" i="6"/>
  <c r="BE34" i="6" s="1"/>
  <c r="BA35" i="6"/>
  <c r="BB35" i="6" s="1"/>
  <c r="BJ35" i="6"/>
  <c r="BK35" i="6" s="1"/>
  <c r="CB35" i="6"/>
  <c r="CC35" i="6" s="1"/>
  <c r="AG6" i="6"/>
  <c r="AL7" i="6"/>
  <c r="AM7" i="6" s="1"/>
  <c r="AN8" i="6"/>
  <c r="AB9" i="6"/>
  <c r="AN6" i="6"/>
  <c r="AB7" i="6"/>
  <c r="AB11" i="6"/>
  <c r="AN10" i="6"/>
  <c r="AL5" i="6"/>
  <c r="AB8" i="6"/>
  <c r="BD12" i="6"/>
  <c r="BE12" i="6" s="1"/>
  <c r="BD11" i="6"/>
  <c r="BE11" i="6" s="1"/>
  <c r="CB12" i="6"/>
  <c r="CC12" i="6" s="1"/>
  <c r="CB11" i="6"/>
  <c r="CC11" i="6" s="1"/>
  <c r="AB22" i="6"/>
  <c r="AN21" i="6"/>
  <c r="AB26" i="6"/>
  <c r="AN25" i="6"/>
  <c r="AB30" i="6"/>
  <c r="AN29" i="6"/>
  <c r="AB34" i="6"/>
  <c r="AN33" i="6"/>
  <c r="AN4" i="6"/>
  <c r="AN39" i="6" s="1"/>
  <c r="AF38" i="6"/>
  <c r="AN5" i="6"/>
  <c r="AR5" i="6"/>
  <c r="AS5" i="6" s="1"/>
  <c r="BD5" i="6"/>
  <c r="BE5" i="6" s="1"/>
  <c r="BP5" i="6"/>
  <c r="BQ5" i="6" s="1"/>
  <c r="CB5" i="6"/>
  <c r="CC5" i="6" s="1"/>
  <c r="AX6" i="6"/>
  <c r="AY6" i="6" s="1"/>
  <c r="BJ6" i="6"/>
  <c r="BK6" i="6" s="1"/>
  <c r="BV6" i="6"/>
  <c r="BW6" i="6" s="1"/>
  <c r="AN7" i="6"/>
  <c r="AR7" i="6"/>
  <c r="AS7" i="6" s="1"/>
  <c r="BD7" i="6"/>
  <c r="BE7" i="6" s="1"/>
  <c r="BP7" i="6"/>
  <c r="BQ7" i="6" s="1"/>
  <c r="CB7" i="6"/>
  <c r="CC7" i="6" s="1"/>
  <c r="AX8" i="6"/>
  <c r="AY8" i="6" s="1"/>
  <c r="BJ8" i="6"/>
  <c r="BK8" i="6" s="1"/>
  <c r="BV8" i="6"/>
  <c r="BW8" i="6" s="1"/>
  <c r="BD9" i="6"/>
  <c r="BE9" i="6" s="1"/>
  <c r="CB9" i="6"/>
  <c r="CC9" i="6" s="1"/>
  <c r="AU10" i="6"/>
  <c r="AV10" i="6" s="1"/>
  <c r="BG10" i="6"/>
  <c r="BH10" i="6" s="1"/>
  <c r="BS10" i="6"/>
  <c r="BT10" i="6" s="1"/>
  <c r="AB12" i="6"/>
  <c r="AN11" i="6"/>
  <c r="AU11" i="6"/>
  <c r="AV11" i="6" s="1"/>
  <c r="BS11" i="6"/>
  <c r="BT11" i="6" s="1"/>
  <c r="AN20" i="6"/>
  <c r="AG22" i="6"/>
  <c r="AL22" i="6"/>
  <c r="AM22" i="6" s="1"/>
  <c r="AN24" i="6"/>
  <c r="AG26" i="6"/>
  <c r="AL26" i="6"/>
  <c r="AM26" i="6" s="1"/>
  <c r="AN28" i="6"/>
  <c r="AG30" i="6"/>
  <c r="AL30" i="6"/>
  <c r="AM30" i="6" s="1"/>
  <c r="AN32" i="6"/>
  <c r="AG34" i="6"/>
  <c r="AL34" i="6"/>
  <c r="AM34" i="6" s="1"/>
  <c r="AG36" i="6"/>
  <c r="AL36" i="6"/>
  <c r="AM36" i="6" s="1"/>
  <c r="AU5" i="6"/>
  <c r="AV5" i="6" s="1"/>
  <c r="BG5" i="6"/>
  <c r="BH5" i="6" s="1"/>
  <c r="BS5" i="6"/>
  <c r="BT5" i="6" s="1"/>
  <c r="BA6" i="6"/>
  <c r="BB6" i="6" s="1"/>
  <c r="BM6" i="6"/>
  <c r="BN6" i="6" s="1"/>
  <c r="BY6" i="6"/>
  <c r="BZ6" i="6" s="1"/>
  <c r="AU7" i="6"/>
  <c r="AV7" i="6" s="1"/>
  <c r="BG7" i="6"/>
  <c r="BH7" i="6" s="1"/>
  <c r="BS7" i="6"/>
  <c r="BT7" i="6" s="1"/>
  <c r="BM9" i="6"/>
  <c r="BN9" i="6" s="1"/>
  <c r="AR12" i="6"/>
  <c r="AS12" i="6" s="1"/>
  <c r="AR11" i="6"/>
  <c r="AS11" i="6" s="1"/>
  <c r="BP12" i="6"/>
  <c r="BQ12" i="6" s="1"/>
  <c r="BP11" i="6"/>
  <c r="BQ11" i="6" s="1"/>
  <c r="AN12" i="6"/>
  <c r="AB13" i="6"/>
  <c r="AB14" i="6"/>
  <c r="AN13" i="6"/>
  <c r="AN14" i="6"/>
  <c r="AB15" i="6"/>
  <c r="AB16" i="6"/>
  <c r="AN15" i="6"/>
  <c r="AN16" i="6"/>
  <c r="AB17" i="6"/>
  <c r="AB18" i="6"/>
  <c r="AN17" i="6"/>
  <c r="AN18" i="6"/>
  <c r="AB19" i="6"/>
  <c r="AB20" i="6"/>
  <c r="AN19" i="6"/>
  <c r="AB24" i="6"/>
  <c r="AN23" i="6"/>
  <c r="AB28" i="6"/>
  <c r="AN27" i="6"/>
  <c r="AB32" i="6"/>
  <c r="AN31" i="6"/>
  <c r="AB36" i="6"/>
  <c r="AN35" i="6"/>
  <c r="AN40" i="6" s="1"/>
  <c r="AN9" i="6"/>
  <c r="AN36" i="6"/>
  <c r="AK38" i="6"/>
  <c r="AO38" i="6"/>
  <c r="BA9" i="6"/>
  <c r="BB9" i="6" s="1"/>
  <c r="BY9" i="6"/>
  <c r="BZ9" i="6" s="1"/>
  <c r="AG12" i="6"/>
  <c r="AL12" i="6"/>
  <c r="AM12" i="6" s="1"/>
  <c r="AL14" i="6"/>
  <c r="AM14" i="6" s="1"/>
  <c r="AL16" i="6"/>
  <c r="AM16" i="6" s="1"/>
  <c r="AL18" i="6"/>
  <c r="AM18" i="6" s="1"/>
  <c r="AX12" i="6"/>
  <c r="AY12" i="6" s="1"/>
  <c r="BJ12" i="6"/>
  <c r="BK12" i="6" s="1"/>
  <c r="BV12" i="6"/>
  <c r="BW12" i="6" s="1"/>
  <c r="AR13" i="6"/>
  <c r="AS13" i="6" s="1"/>
  <c r="BD13" i="6"/>
  <c r="BE13" i="6" s="1"/>
  <c r="BP13" i="6"/>
  <c r="BQ13" i="6" s="1"/>
  <c r="CB13" i="6"/>
  <c r="CC13" i="6" s="1"/>
  <c r="AX14" i="6"/>
  <c r="AY14" i="6" s="1"/>
  <c r="BJ14" i="6"/>
  <c r="BK14" i="6" s="1"/>
  <c r="BV14" i="6"/>
  <c r="BW14" i="6" s="1"/>
  <c r="AR15" i="6"/>
  <c r="AS15" i="6" s="1"/>
  <c r="BD15" i="6"/>
  <c r="BE15" i="6" s="1"/>
  <c r="BP15" i="6"/>
  <c r="BQ15" i="6" s="1"/>
  <c r="CB15" i="6"/>
  <c r="CC15" i="6" s="1"/>
  <c r="AX16" i="6"/>
  <c r="AY16" i="6" s="1"/>
  <c r="BJ16" i="6"/>
  <c r="BK16" i="6" s="1"/>
  <c r="BV16" i="6"/>
  <c r="BW16" i="6" s="1"/>
  <c r="AR17" i="6"/>
  <c r="AS17" i="6" s="1"/>
  <c r="BD17" i="6"/>
  <c r="BE17" i="6" s="1"/>
  <c r="BP17" i="6"/>
  <c r="BQ17" i="6" s="1"/>
  <c r="CB17" i="6"/>
  <c r="CC17" i="6" s="1"/>
  <c r="AX18" i="6"/>
  <c r="AY18" i="6" s="1"/>
  <c r="BJ18" i="6"/>
  <c r="BK18" i="6" s="1"/>
  <c r="BV18" i="6"/>
  <c r="BW18" i="6" s="1"/>
  <c r="AB21" i="6"/>
  <c r="AB23" i="6"/>
  <c r="AB25" i="6"/>
  <c r="AB27" i="6"/>
  <c r="AB29" i="6"/>
  <c r="AB31" i="6"/>
  <c r="AB33" i="6"/>
  <c r="AB35" i="6"/>
  <c r="BA12" i="6"/>
  <c r="BB12" i="6" s="1"/>
  <c r="BM12" i="6"/>
  <c r="BN12" i="6" s="1"/>
  <c r="BY12" i="6"/>
  <c r="BZ12" i="6" s="1"/>
  <c r="AU13" i="6"/>
  <c r="AV13" i="6" s="1"/>
  <c r="BG13" i="6"/>
  <c r="BH13" i="6" s="1"/>
  <c r="BS13" i="6"/>
  <c r="BT13" i="6" s="1"/>
  <c r="BA14" i="6"/>
  <c r="BB14" i="6" s="1"/>
  <c r="BM14" i="6"/>
  <c r="BN14" i="6" s="1"/>
  <c r="BY14" i="6"/>
  <c r="BZ14" i="6" s="1"/>
  <c r="AU15" i="6"/>
  <c r="AV15" i="6" s="1"/>
  <c r="BG15" i="6"/>
  <c r="BH15" i="6" s="1"/>
  <c r="BS15" i="6"/>
  <c r="BT15" i="6" s="1"/>
  <c r="BA16" i="6"/>
  <c r="BB16" i="6" s="1"/>
  <c r="BM16" i="6"/>
  <c r="BN16" i="6" s="1"/>
  <c r="BY16" i="6"/>
  <c r="BZ16" i="6" s="1"/>
  <c r="AU17" i="6"/>
  <c r="AV17" i="6" s="1"/>
  <c r="BG17" i="6"/>
  <c r="BH17" i="6" s="1"/>
  <c r="BS17" i="6"/>
  <c r="BT17" i="6" s="1"/>
  <c r="BA18" i="6"/>
  <c r="BB18" i="6" s="1"/>
  <c r="BM18" i="6"/>
  <c r="BN18" i="6" s="1"/>
  <c r="BY18" i="6"/>
  <c r="BZ18" i="6" s="1"/>
  <c r="AU19" i="6"/>
  <c r="AV19" i="6" s="1"/>
  <c r="BG19" i="6"/>
  <c r="BH19" i="6" s="1"/>
  <c r="BS19" i="6"/>
  <c r="BT19" i="6" s="1"/>
  <c r="BA20" i="6"/>
  <c r="BB20" i="6" s="1"/>
  <c r="BM20" i="6"/>
  <c r="BN20" i="6" s="1"/>
  <c r="BY20" i="6"/>
  <c r="BZ20" i="6" s="1"/>
  <c r="AU21" i="6"/>
  <c r="AV21" i="6" s="1"/>
  <c r="BG21" i="6"/>
  <c r="BH21" i="6" s="1"/>
  <c r="BS21" i="6"/>
  <c r="BT21" i="6" s="1"/>
  <c r="BA22" i="6"/>
  <c r="BB22" i="6" s="1"/>
  <c r="BM22" i="6"/>
  <c r="BN22" i="6" s="1"/>
  <c r="BY22" i="6"/>
  <c r="BZ22" i="6" s="1"/>
  <c r="AU23" i="6"/>
  <c r="AV23" i="6" s="1"/>
  <c r="BG23" i="6"/>
  <c r="BH23" i="6" s="1"/>
  <c r="BS23" i="6"/>
  <c r="BT23" i="6" s="1"/>
  <c r="BA24" i="6"/>
  <c r="BB24" i="6" s="1"/>
  <c r="BM24" i="6"/>
  <c r="BN24" i="6" s="1"/>
  <c r="BY24" i="6"/>
  <c r="BZ24" i="6" s="1"/>
  <c r="AU25" i="6"/>
  <c r="AV25" i="6" s="1"/>
  <c r="BG25" i="6"/>
  <c r="BH25" i="6" s="1"/>
  <c r="BS25" i="6"/>
  <c r="BT25" i="6" s="1"/>
  <c r="BA26" i="6"/>
  <c r="BB26" i="6" s="1"/>
  <c r="BM26" i="6"/>
  <c r="BN26" i="6" s="1"/>
  <c r="BY26" i="6"/>
  <c r="BZ26" i="6" s="1"/>
  <c r="AU27" i="6"/>
  <c r="AV27" i="6" s="1"/>
  <c r="BG27" i="6"/>
  <c r="BH27" i="6" s="1"/>
  <c r="BS27" i="6"/>
  <c r="BT27" i="6" s="1"/>
  <c r="BA28" i="6"/>
  <c r="BB28" i="6" s="1"/>
  <c r="BM28" i="6"/>
  <c r="BN28" i="6" s="1"/>
  <c r="BY28" i="6"/>
  <c r="BZ28" i="6" s="1"/>
  <c r="AU29" i="6"/>
  <c r="AV29" i="6" s="1"/>
  <c r="BG29" i="6"/>
  <c r="BH29" i="6" s="1"/>
  <c r="BS29" i="6"/>
  <c r="BT29" i="6" s="1"/>
  <c r="BA30" i="6"/>
  <c r="BB30" i="6" s="1"/>
  <c r="BM30" i="6"/>
  <c r="BN30" i="6" s="1"/>
  <c r="BY30" i="6"/>
  <c r="BZ30" i="6" s="1"/>
  <c r="AU31" i="6"/>
  <c r="AV31" i="6" s="1"/>
  <c r="BG31" i="6"/>
  <c r="BH31" i="6" s="1"/>
  <c r="BS31" i="6"/>
  <c r="BT31" i="6" s="1"/>
  <c r="BA32" i="6"/>
  <c r="BB32" i="6" s="1"/>
  <c r="BM32" i="6"/>
  <c r="BN32" i="6" s="1"/>
  <c r="BY32" i="6"/>
  <c r="BZ32" i="6" s="1"/>
  <c r="AU33" i="6"/>
  <c r="AV33" i="6" s="1"/>
  <c r="BG33" i="6"/>
  <c r="BH33" i="6" s="1"/>
  <c r="BS33" i="6"/>
  <c r="BT33" i="6" s="1"/>
  <c r="BA34" i="6"/>
  <c r="BB34" i="6" s="1"/>
  <c r="BM34" i="6"/>
  <c r="BN34" i="6" s="1"/>
  <c r="BY34" i="6"/>
  <c r="BZ34" i="6" s="1"/>
  <c r="AU35" i="6"/>
  <c r="AV35" i="6" s="1"/>
  <c r="BG35" i="6"/>
  <c r="BH35" i="6" s="1"/>
  <c r="BS35" i="6"/>
  <c r="BT35" i="6" s="1"/>
  <c r="AP20" i="6" l="1"/>
  <c r="AP28" i="6"/>
  <c r="AP6" i="6"/>
  <c r="C42" i="6"/>
  <c r="AP32" i="6"/>
  <c r="AP10" i="6"/>
  <c r="AP7" i="6"/>
  <c r="AP35" i="6"/>
  <c r="AP33" i="6"/>
  <c r="AP8" i="6"/>
  <c r="AP25" i="6"/>
  <c r="AP19" i="6"/>
  <c r="AP24" i="6"/>
  <c r="AP17" i="6"/>
  <c r="AP31" i="6"/>
  <c r="AP23" i="6"/>
  <c r="AP11" i="6"/>
  <c r="BK38" i="6"/>
  <c r="C47" i="6" s="1"/>
  <c r="AP16" i="6"/>
  <c r="AP29" i="6"/>
  <c r="AP21" i="6"/>
  <c r="AP27" i="6"/>
  <c r="AP36" i="6"/>
  <c r="AG38" i="6"/>
  <c r="AP14" i="6"/>
  <c r="BN38" i="6"/>
  <c r="C48" i="6" s="1"/>
  <c r="BW38" i="6"/>
  <c r="C51" i="6" s="1"/>
  <c r="BZ38" i="6"/>
  <c r="C52" i="6" s="1"/>
  <c r="AY38" i="6"/>
  <c r="C39" i="6" s="1"/>
  <c r="AP15" i="6"/>
  <c r="AP13" i="6"/>
  <c r="BB38" i="6"/>
  <c r="C40" i="6" s="1"/>
  <c r="AP9" i="6"/>
  <c r="BT38" i="6"/>
  <c r="C50" i="6" s="1"/>
  <c r="BE38" i="6"/>
  <c r="AP30" i="6"/>
  <c r="AP22" i="6"/>
  <c r="AB38" i="6"/>
  <c r="AL38" i="6"/>
  <c r="AM5" i="6"/>
  <c r="BQ38" i="6"/>
  <c r="C49" i="6" s="1"/>
  <c r="AP5" i="6"/>
  <c r="AP18" i="6"/>
  <c r="AV38" i="6"/>
  <c r="C38" i="6" s="1"/>
  <c r="CC38" i="6"/>
  <c r="C53" i="6" s="1"/>
  <c r="AP34" i="6"/>
  <c r="AP26" i="6"/>
  <c r="BH38" i="6"/>
  <c r="C46" i="6" s="1"/>
  <c r="AP12" i="6"/>
  <c r="AS38" i="6"/>
  <c r="AP38" i="6" l="1"/>
  <c r="C41" i="6"/>
  <c r="O36" i="5" l="1"/>
  <c r="M34" i="5"/>
  <c r="O35" i="5" s="1"/>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O34" i="5" l="1"/>
  <c r="O33" i="5"/>
  <c r="O31" i="5"/>
  <c r="O30" i="5"/>
  <c r="O29" i="5"/>
  <c r="O27" i="5"/>
  <c r="O25" i="5"/>
  <c r="O23" i="5"/>
  <c r="O22" i="5"/>
  <c r="O21" i="5"/>
  <c r="O19" i="5"/>
  <c r="O18" i="5"/>
  <c r="O17" i="5"/>
  <c r="O15" i="5"/>
  <c r="O14" i="5"/>
  <c r="O13" i="5"/>
  <c r="O11" i="5"/>
  <c r="O10" i="5"/>
  <c r="O9" i="5"/>
  <c r="O7" i="5"/>
  <c r="O5" i="5"/>
  <c r="O26" i="5"/>
  <c r="O6" i="5"/>
  <c r="O8" i="5"/>
  <c r="O16" i="5"/>
  <c r="O24" i="5"/>
  <c r="O32" i="5"/>
  <c r="O12" i="5"/>
  <c r="O20" i="5"/>
  <c r="O28" i="5"/>
  <c r="K36" i="5"/>
  <c r="I36" i="5"/>
  <c r="F36" i="5"/>
  <c r="D36" i="5"/>
  <c r="O38" i="5" l="1"/>
  <c r="X4" i="4"/>
  <c r="V4" i="4"/>
  <c r="E5" i="4"/>
  <c r="T5" i="4" s="1"/>
  <c r="E6" i="4"/>
  <c r="T6" i="4" s="1"/>
  <c r="E7" i="4"/>
  <c r="T7" i="4" s="1"/>
  <c r="E8" i="4"/>
  <c r="T8" i="4" s="1"/>
  <c r="E9" i="4"/>
  <c r="E10" i="4"/>
  <c r="T10" i="4" s="1"/>
  <c r="E11" i="4"/>
  <c r="T11" i="4" s="1"/>
  <c r="E12" i="4"/>
  <c r="T12" i="4" s="1"/>
  <c r="E13" i="4"/>
  <c r="T13" i="4" s="1"/>
  <c r="E14" i="4"/>
  <c r="T14" i="4" s="1"/>
  <c r="E15" i="4"/>
  <c r="T15" i="4" s="1"/>
  <c r="E16" i="4"/>
  <c r="T16" i="4" s="1"/>
  <c r="E17" i="4"/>
  <c r="T17" i="4" s="1"/>
  <c r="E18" i="4"/>
  <c r="T18" i="4" s="1"/>
  <c r="E19" i="4"/>
  <c r="T19" i="4" s="1"/>
  <c r="E20" i="4"/>
  <c r="T20" i="4" s="1"/>
  <c r="E21" i="4"/>
  <c r="T21" i="4" s="1"/>
  <c r="E22" i="4"/>
  <c r="T22" i="4" s="1"/>
  <c r="E23" i="4"/>
  <c r="T23" i="4" s="1"/>
  <c r="E24" i="4"/>
  <c r="T24" i="4" s="1"/>
  <c r="E25" i="4"/>
  <c r="T25" i="4" s="1"/>
  <c r="E26" i="4"/>
  <c r="T26" i="4" s="1"/>
  <c r="E27" i="4"/>
  <c r="T27" i="4" s="1"/>
  <c r="E28" i="4"/>
  <c r="T28" i="4" s="1"/>
  <c r="E29" i="4"/>
  <c r="T29" i="4" s="1"/>
  <c r="E30" i="4"/>
  <c r="T30" i="4" s="1"/>
  <c r="E31" i="4"/>
  <c r="T31" i="4" s="1"/>
  <c r="E32" i="4"/>
  <c r="T32" i="4" s="1"/>
  <c r="E33" i="4"/>
  <c r="T33" i="4" s="1"/>
  <c r="E34" i="4"/>
  <c r="T34" i="4" s="1"/>
  <c r="E4" i="4"/>
  <c r="T4" i="4" s="1"/>
  <c r="D5" i="4"/>
  <c r="S5" i="4" s="1"/>
  <c r="D6" i="4"/>
  <c r="S6" i="4" s="1"/>
  <c r="D7" i="4"/>
  <c r="S7" i="4" s="1"/>
  <c r="D8" i="4"/>
  <c r="S8" i="4" s="1"/>
  <c r="D9" i="4"/>
  <c r="S9" i="4" s="1"/>
  <c r="D10" i="4"/>
  <c r="S10" i="4" s="1"/>
  <c r="D11" i="4"/>
  <c r="S11" i="4" s="1"/>
  <c r="D12" i="4"/>
  <c r="S12" i="4" s="1"/>
  <c r="D13" i="4"/>
  <c r="S13" i="4" s="1"/>
  <c r="D14" i="4"/>
  <c r="S14" i="4" s="1"/>
  <c r="D15" i="4"/>
  <c r="S15" i="4" s="1"/>
  <c r="D16" i="4"/>
  <c r="S16" i="4" s="1"/>
  <c r="D17" i="4"/>
  <c r="S17" i="4" s="1"/>
  <c r="D18" i="4"/>
  <c r="S18" i="4" s="1"/>
  <c r="D19" i="4"/>
  <c r="S19" i="4" s="1"/>
  <c r="D20" i="4"/>
  <c r="S20" i="4" s="1"/>
  <c r="D21" i="4"/>
  <c r="S21" i="4" s="1"/>
  <c r="D22" i="4"/>
  <c r="S22" i="4" s="1"/>
  <c r="D23" i="4"/>
  <c r="S23" i="4" s="1"/>
  <c r="D24" i="4"/>
  <c r="S24" i="4" s="1"/>
  <c r="D25" i="4"/>
  <c r="S25" i="4" s="1"/>
  <c r="D26" i="4"/>
  <c r="S26" i="4" s="1"/>
  <c r="D27" i="4"/>
  <c r="S27" i="4" s="1"/>
  <c r="D28" i="4"/>
  <c r="S28" i="4" s="1"/>
  <c r="D29" i="4"/>
  <c r="S29" i="4" s="1"/>
  <c r="D30" i="4"/>
  <c r="S30" i="4" s="1"/>
  <c r="D31" i="4"/>
  <c r="S31" i="4" s="1"/>
  <c r="D32" i="4"/>
  <c r="S32" i="4" s="1"/>
  <c r="D33" i="4"/>
  <c r="S33" i="4" s="1"/>
  <c r="D34" i="4"/>
  <c r="S34" i="4" s="1"/>
  <c r="D4" i="4"/>
  <c r="S4" i="4" s="1"/>
  <c r="C5" i="4"/>
  <c r="P5" i="4" s="1"/>
  <c r="C6" i="4"/>
  <c r="P6" i="4" s="1"/>
  <c r="C7" i="4"/>
  <c r="P7" i="4" s="1"/>
  <c r="C8" i="4"/>
  <c r="P8" i="4" s="1"/>
  <c r="C9" i="4"/>
  <c r="P9" i="4" s="1"/>
  <c r="C10" i="4"/>
  <c r="P10" i="4" s="1"/>
  <c r="C11" i="4"/>
  <c r="P11" i="4" s="1"/>
  <c r="C12" i="4"/>
  <c r="P12" i="4" s="1"/>
  <c r="C13" i="4"/>
  <c r="P13" i="4" s="1"/>
  <c r="C14" i="4"/>
  <c r="P14" i="4" s="1"/>
  <c r="C15" i="4"/>
  <c r="P15" i="4" s="1"/>
  <c r="C16" i="4"/>
  <c r="P16" i="4" s="1"/>
  <c r="C17" i="4"/>
  <c r="P17" i="4" s="1"/>
  <c r="C18" i="4"/>
  <c r="P18" i="4" s="1"/>
  <c r="C19" i="4"/>
  <c r="P19" i="4" s="1"/>
  <c r="C20" i="4"/>
  <c r="P20" i="4" s="1"/>
  <c r="C21" i="4"/>
  <c r="P21" i="4" s="1"/>
  <c r="C22" i="4"/>
  <c r="P22" i="4" s="1"/>
  <c r="C23" i="4"/>
  <c r="P23" i="4" s="1"/>
  <c r="C24" i="4"/>
  <c r="P24" i="4" s="1"/>
  <c r="C25" i="4"/>
  <c r="P25" i="4" s="1"/>
  <c r="C26" i="4"/>
  <c r="P26" i="4" s="1"/>
  <c r="C27" i="4"/>
  <c r="P27" i="4" s="1"/>
  <c r="C28" i="4"/>
  <c r="P28" i="4" s="1"/>
  <c r="C29" i="4"/>
  <c r="P29" i="4" s="1"/>
  <c r="C30" i="4"/>
  <c r="P30" i="4" s="1"/>
  <c r="C31" i="4"/>
  <c r="P31" i="4" s="1"/>
  <c r="C32" i="4"/>
  <c r="P32" i="4" s="1"/>
  <c r="C33" i="4"/>
  <c r="P33" i="4" s="1"/>
  <c r="C34" i="4"/>
  <c r="P34" i="4" s="1"/>
  <c r="Q35" i="4" s="1"/>
  <c r="C4" i="4"/>
  <c r="P4" i="4" s="1"/>
  <c r="B5" i="4"/>
  <c r="N5" i="4" s="1"/>
  <c r="B6" i="4"/>
  <c r="N6" i="4" s="1"/>
  <c r="B7" i="4"/>
  <c r="N7" i="4" s="1"/>
  <c r="B8" i="4"/>
  <c r="N8" i="4" s="1"/>
  <c r="B9" i="4"/>
  <c r="N9" i="4" s="1"/>
  <c r="B10" i="4"/>
  <c r="N10" i="4" s="1"/>
  <c r="B11" i="4"/>
  <c r="N11" i="4" s="1"/>
  <c r="B12" i="4"/>
  <c r="N12" i="4" s="1"/>
  <c r="B13" i="4"/>
  <c r="N13" i="4" s="1"/>
  <c r="B14" i="4"/>
  <c r="N14" i="4" s="1"/>
  <c r="B15" i="4"/>
  <c r="N15" i="4" s="1"/>
  <c r="B16" i="4"/>
  <c r="N16" i="4" s="1"/>
  <c r="B17" i="4"/>
  <c r="N17" i="4" s="1"/>
  <c r="B18" i="4"/>
  <c r="N18" i="4" s="1"/>
  <c r="B19" i="4"/>
  <c r="N19" i="4" s="1"/>
  <c r="B20" i="4"/>
  <c r="N20" i="4" s="1"/>
  <c r="B21" i="4"/>
  <c r="N21" i="4" s="1"/>
  <c r="B22" i="4"/>
  <c r="N22" i="4" s="1"/>
  <c r="B23" i="4"/>
  <c r="N23" i="4" s="1"/>
  <c r="B24" i="4"/>
  <c r="N24" i="4" s="1"/>
  <c r="B25" i="4"/>
  <c r="N25" i="4" s="1"/>
  <c r="B26" i="4"/>
  <c r="N26" i="4" s="1"/>
  <c r="B27" i="4"/>
  <c r="N27" i="4" s="1"/>
  <c r="B28" i="4"/>
  <c r="N28" i="4" s="1"/>
  <c r="B29" i="4"/>
  <c r="N29" i="4" s="1"/>
  <c r="B30" i="4"/>
  <c r="N30" i="4" s="1"/>
  <c r="B31" i="4"/>
  <c r="N31" i="4" s="1"/>
  <c r="B32" i="4"/>
  <c r="N32" i="4" s="1"/>
  <c r="B33" i="4"/>
  <c r="N33" i="4" s="1"/>
  <c r="B34" i="4"/>
  <c r="N34" i="4" s="1"/>
  <c r="O35" i="4" s="1"/>
  <c r="B4" i="4"/>
  <c r="N4" i="4" s="1"/>
  <c r="C48" i="4"/>
  <c r="C47" i="4"/>
  <c r="AP36" i="4"/>
  <c r="AN36" i="4"/>
  <c r="AM36" i="4"/>
  <c r="AE36" i="4"/>
  <c r="AD36" i="4"/>
  <c r="AB36" i="4"/>
  <c r="Z36" i="4"/>
  <c r="R36" i="4"/>
  <c r="AP35" i="4"/>
  <c r="AN35" i="4"/>
  <c r="AE35" i="4"/>
  <c r="AD35" i="4"/>
  <c r="AB35" i="4"/>
  <c r="Z35" i="4"/>
  <c r="AP34" i="4"/>
  <c r="AN34" i="4"/>
  <c r="AE34" i="4"/>
  <c r="AD34" i="4"/>
  <c r="AB34" i="4"/>
  <c r="Z34" i="4"/>
  <c r="AP33" i="4"/>
  <c r="AN33" i="4"/>
  <c r="AE33" i="4"/>
  <c r="AD33" i="4"/>
  <c r="AB33" i="4"/>
  <c r="Z33" i="4"/>
  <c r="AP32" i="4"/>
  <c r="AN32" i="4"/>
  <c r="AE32" i="4"/>
  <c r="AD32" i="4"/>
  <c r="AB32" i="4"/>
  <c r="Z32" i="4"/>
  <c r="AP31" i="4"/>
  <c r="AN31" i="4"/>
  <c r="AE31" i="4"/>
  <c r="AD31" i="4"/>
  <c r="AB31" i="4"/>
  <c r="Z31" i="4"/>
  <c r="AP30" i="4"/>
  <c r="AN30" i="4"/>
  <c r="AE30" i="4"/>
  <c r="AD30" i="4"/>
  <c r="AB30" i="4"/>
  <c r="Z30" i="4"/>
  <c r="AP29" i="4"/>
  <c r="AN29" i="4"/>
  <c r="AE29" i="4"/>
  <c r="AD29" i="4"/>
  <c r="AB29" i="4"/>
  <c r="Z29" i="4"/>
  <c r="AP28" i="4"/>
  <c r="AN28" i="4"/>
  <c r="AE28" i="4"/>
  <c r="AD28" i="4"/>
  <c r="AB28" i="4"/>
  <c r="Z28" i="4"/>
  <c r="AP27" i="4"/>
  <c r="AN27" i="4"/>
  <c r="AE27" i="4"/>
  <c r="AD27" i="4"/>
  <c r="AB27" i="4"/>
  <c r="Z27" i="4"/>
  <c r="AP26" i="4"/>
  <c r="AN26" i="4"/>
  <c r="AE26" i="4"/>
  <c r="AD26" i="4"/>
  <c r="AB26" i="4"/>
  <c r="Z26" i="4"/>
  <c r="AP25" i="4"/>
  <c r="AN25" i="4"/>
  <c r="AE25" i="4"/>
  <c r="AD25" i="4"/>
  <c r="AB25" i="4"/>
  <c r="Z25" i="4"/>
  <c r="AP24" i="4"/>
  <c r="AN24" i="4"/>
  <c r="AE24" i="4"/>
  <c r="AD24" i="4"/>
  <c r="AB24" i="4"/>
  <c r="Z24" i="4"/>
  <c r="AP23" i="4"/>
  <c r="AN23" i="4"/>
  <c r="AE23" i="4"/>
  <c r="AD23" i="4"/>
  <c r="AB23" i="4"/>
  <c r="Z23" i="4"/>
  <c r="AP22" i="4"/>
  <c r="AN22" i="4"/>
  <c r="AE22" i="4"/>
  <c r="AD22" i="4"/>
  <c r="AB22" i="4"/>
  <c r="Z22" i="4"/>
  <c r="AP21" i="4"/>
  <c r="AN21" i="4"/>
  <c r="AE21" i="4"/>
  <c r="AD21" i="4"/>
  <c r="AB21" i="4"/>
  <c r="Z21" i="4"/>
  <c r="AP20" i="4"/>
  <c r="AN20" i="4"/>
  <c r="AE20" i="4"/>
  <c r="AD20" i="4"/>
  <c r="AB20" i="4"/>
  <c r="Z20" i="4"/>
  <c r="AP19" i="4"/>
  <c r="AN19" i="4"/>
  <c r="AE19" i="4"/>
  <c r="AD19" i="4"/>
  <c r="AB19" i="4"/>
  <c r="Z19" i="4"/>
  <c r="AP18" i="4"/>
  <c r="AN18" i="4"/>
  <c r="AE18" i="4"/>
  <c r="AD18" i="4"/>
  <c r="AB18" i="4"/>
  <c r="Z18" i="4"/>
  <c r="AP17" i="4"/>
  <c r="AN17" i="4"/>
  <c r="AE17" i="4"/>
  <c r="AD17" i="4"/>
  <c r="AB17" i="4"/>
  <c r="Z17" i="4"/>
  <c r="AP16" i="4"/>
  <c r="AN16" i="4"/>
  <c r="AE16" i="4"/>
  <c r="AD16" i="4"/>
  <c r="AB16" i="4"/>
  <c r="Z16" i="4"/>
  <c r="AP15" i="4"/>
  <c r="AN15" i="4"/>
  <c r="AE15" i="4"/>
  <c r="AD15" i="4"/>
  <c r="AB15" i="4"/>
  <c r="Z15" i="4"/>
  <c r="AP14" i="4"/>
  <c r="AN14" i="4"/>
  <c r="AE14" i="4"/>
  <c r="AD14" i="4"/>
  <c r="AB14" i="4"/>
  <c r="Z14" i="4"/>
  <c r="AP13" i="4"/>
  <c r="AN13" i="4"/>
  <c r="AF13" i="4"/>
  <c r="AE13" i="4"/>
  <c r="AD13" i="4"/>
  <c r="AB13" i="4"/>
  <c r="Z13" i="4"/>
  <c r="AP12" i="4"/>
  <c r="AN12" i="4"/>
  <c r="AE12" i="4"/>
  <c r="AD12" i="4"/>
  <c r="AB12" i="4"/>
  <c r="Z12" i="4"/>
  <c r="AP11" i="4"/>
  <c r="AN11" i="4"/>
  <c r="AE11" i="4"/>
  <c r="AD11" i="4"/>
  <c r="AB11" i="4"/>
  <c r="Z11" i="4"/>
  <c r="AP10" i="4"/>
  <c r="AN10" i="4"/>
  <c r="AE10" i="4"/>
  <c r="AD10" i="4"/>
  <c r="AB10" i="4"/>
  <c r="Z10" i="4"/>
  <c r="AP9" i="4"/>
  <c r="AN9" i="4"/>
  <c r="AE9" i="4"/>
  <c r="AD9" i="4"/>
  <c r="AB9" i="4"/>
  <c r="Z9" i="4"/>
  <c r="AP8" i="4"/>
  <c r="AN8" i="4"/>
  <c r="AE8" i="4"/>
  <c r="AD8" i="4"/>
  <c r="AB8" i="4"/>
  <c r="Z8" i="4"/>
  <c r="AP7" i="4"/>
  <c r="AN7" i="4"/>
  <c r="AE7" i="4"/>
  <c r="AD7" i="4"/>
  <c r="AB7" i="4"/>
  <c r="Z7" i="4"/>
  <c r="AP6" i="4"/>
  <c r="AN6" i="4"/>
  <c r="AE6" i="4"/>
  <c r="AD6" i="4"/>
  <c r="AB6" i="4"/>
  <c r="Z6" i="4"/>
  <c r="AP5" i="4"/>
  <c r="AN5" i="4"/>
  <c r="AE5" i="4"/>
  <c r="AD5" i="4"/>
  <c r="AB5" i="4"/>
  <c r="Z5" i="4"/>
  <c r="AP4" i="4"/>
  <c r="AN4" i="4"/>
  <c r="AF4" i="4"/>
  <c r="AE4" i="4"/>
  <c r="AD4" i="4"/>
  <c r="AB4" i="4"/>
  <c r="Z4" i="4"/>
  <c r="U35" i="4" l="1"/>
  <c r="AC17" i="4"/>
  <c r="AA28" i="4"/>
  <c r="AQ35" i="4"/>
  <c r="AC26" i="4"/>
  <c r="AC6" i="4"/>
  <c r="R5" i="4"/>
  <c r="AA16" i="4"/>
  <c r="AQ27" i="4"/>
  <c r="AQ29" i="4"/>
  <c r="AC14" i="4"/>
  <c r="AC18" i="4"/>
  <c r="AA20" i="4"/>
  <c r="AQ21" i="4"/>
  <c r="AO12" i="4"/>
  <c r="AO10" i="4"/>
  <c r="AO24" i="4"/>
  <c r="AC25" i="4"/>
  <c r="AQ15" i="4"/>
  <c r="AC9" i="4"/>
  <c r="AA18" i="4"/>
  <c r="AA31" i="4"/>
  <c r="AA34" i="4"/>
  <c r="AC15" i="4"/>
  <c r="AA8" i="4"/>
  <c r="AQ9" i="4"/>
  <c r="AC21" i="4"/>
  <c r="AC28" i="4"/>
  <c r="AO32" i="4"/>
  <c r="AA35" i="4"/>
  <c r="AA5" i="4"/>
  <c r="AA11" i="4"/>
  <c r="AA22" i="4"/>
  <c r="AC31" i="4"/>
  <c r="AC35" i="4"/>
  <c r="AA12" i="4"/>
  <c r="AA24" i="4"/>
  <c r="AC16" i="4"/>
  <c r="AO20" i="4"/>
  <c r="AA33" i="4"/>
  <c r="AO34" i="4"/>
  <c r="AQ17" i="4"/>
  <c r="AO26" i="4"/>
  <c r="AQ31" i="4"/>
  <c r="AC33" i="4"/>
  <c r="AQ5" i="4"/>
  <c r="AO8" i="4"/>
  <c r="AA19" i="4"/>
  <c r="AQ23" i="4"/>
  <c r="AC30" i="4"/>
  <c r="AA7" i="4"/>
  <c r="AC19" i="4"/>
  <c r="AA6" i="4"/>
  <c r="AC24" i="4"/>
  <c r="AA27" i="4"/>
  <c r="AA29" i="4"/>
  <c r="AC7" i="4"/>
  <c r="AO22" i="4"/>
  <c r="AQ33" i="4"/>
  <c r="AQ12" i="4"/>
  <c r="AD37" i="4"/>
  <c r="AE37" i="4"/>
  <c r="AC5" i="4"/>
  <c r="AA9" i="4"/>
  <c r="AA21" i="4"/>
  <c r="AC27" i="4"/>
  <c r="AQ11" i="4"/>
  <c r="AA17" i="4"/>
  <c r="AO30" i="4"/>
  <c r="AO6" i="4"/>
  <c r="AO14" i="4"/>
  <c r="AC23" i="4"/>
  <c r="AO28" i="4"/>
  <c r="AC34" i="4"/>
  <c r="AO35" i="4"/>
  <c r="AC8" i="4"/>
  <c r="AC12" i="4"/>
  <c r="AO18" i="4"/>
  <c r="AC20" i="4"/>
  <c r="AQ25" i="4"/>
  <c r="AA26" i="4"/>
  <c r="AQ7" i="4"/>
  <c r="AQ19" i="4"/>
  <c r="AC11" i="4"/>
  <c r="AA23" i="4"/>
  <c r="AC32" i="4"/>
  <c r="AA32" i="4"/>
  <c r="AO16" i="4"/>
  <c r="AA15" i="4"/>
  <c r="AA30" i="4"/>
  <c r="AA10" i="4"/>
  <c r="AA14" i="4"/>
  <c r="AC10" i="4"/>
  <c r="AC22" i="4"/>
  <c r="AA25" i="4"/>
  <c r="AC29" i="4"/>
  <c r="O21" i="4"/>
  <c r="O17" i="4"/>
  <c r="C42" i="4"/>
  <c r="T9" i="4"/>
  <c r="T37" i="4" s="1"/>
  <c r="O13" i="4"/>
  <c r="O29" i="4"/>
  <c r="O25" i="4"/>
  <c r="S37" i="4"/>
  <c r="Q5" i="4"/>
  <c r="Q8" i="4"/>
  <c r="Q10" i="4"/>
  <c r="O15" i="4"/>
  <c r="O7" i="4"/>
  <c r="O23" i="4"/>
  <c r="O27" i="4"/>
  <c r="O11" i="4"/>
  <c r="O5" i="4"/>
  <c r="O9" i="4"/>
  <c r="O31" i="4"/>
  <c r="O19" i="4"/>
  <c r="O33" i="4"/>
  <c r="Q12" i="4"/>
  <c r="Q14" i="4"/>
  <c r="Q16" i="4"/>
  <c r="Q18" i="4"/>
  <c r="Q20" i="4"/>
  <c r="Q22" i="4"/>
  <c r="Q24" i="4"/>
  <c r="Q26" i="4"/>
  <c r="Q28" i="4"/>
  <c r="Q30" i="4"/>
  <c r="Q32" i="4"/>
  <c r="Q34" i="4"/>
  <c r="Q6" i="4"/>
  <c r="AO5" i="4"/>
  <c r="O6" i="4"/>
  <c r="AQ6" i="4"/>
  <c r="Q7" i="4"/>
  <c r="AO7" i="4"/>
  <c r="O8" i="4"/>
  <c r="AQ8" i="4"/>
  <c r="Q9" i="4"/>
  <c r="AO9" i="4"/>
  <c r="O10" i="4"/>
  <c r="AQ10" i="4"/>
  <c r="Q11" i="4"/>
  <c r="AO11" i="4"/>
  <c r="O12" i="4"/>
  <c r="Q13" i="4"/>
  <c r="O14" i="4"/>
  <c r="AQ14" i="4"/>
  <c r="Q15" i="4"/>
  <c r="AO15" i="4"/>
  <c r="O16" i="4"/>
  <c r="AQ16" i="4"/>
  <c r="Q17" i="4"/>
  <c r="AO17" i="4"/>
  <c r="O18" i="4"/>
  <c r="AQ18" i="4"/>
  <c r="Q19" i="4"/>
  <c r="AO19" i="4"/>
  <c r="O20" i="4"/>
  <c r="AQ20" i="4"/>
  <c r="Q21" i="4"/>
  <c r="AO21" i="4"/>
  <c r="O22" i="4"/>
  <c r="AQ22" i="4"/>
  <c r="Q23" i="4"/>
  <c r="AO23" i="4"/>
  <c r="O24" i="4"/>
  <c r="AQ24" i="4"/>
  <c r="Q25" i="4"/>
  <c r="AO25" i="4"/>
  <c r="O26" i="4"/>
  <c r="AQ26" i="4"/>
  <c r="Q27" i="4"/>
  <c r="AO27" i="4"/>
  <c r="O28" i="4"/>
  <c r="AQ28" i="4"/>
  <c r="Q29" i="4"/>
  <c r="AO29" i="4"/>
  <c r="O30" i="4"/>
  <c r="AQ30" i="4"/>
  <c r="Q31" i="4"/>
  <c r="AO31" i="4"/>
  <c r="O32" i="4"/>
  <c r="AQ32" i="4"/>
  <c r="Q33" i="4"/>
  <c r="AO33" i="4"/>
  <c r="O34" i="4"/>
  <c r="AQ34" i="4"/>
  <c r="AF26" i="4" l="1"/>
  <c r="AF17" i="4"/>
  <c r="AF31" i="4"/>
  <c r="AF28" i="4"/>
  <c r="AF6" i="4"/>
  <c r="AF8" i="4"/>
  <c r="AF34" i="4"/>
  <c r="AF14" i="4"/>
  <c r="AF20" i="4"/>
  <c r="AF30" i="4"/>
  <c r="AF24" i="4"/>
  <c r="AF27" i="4"/>
  <c r="AF16" i="4"/>
  <c r="AF7" i="4"/>
  <c r="AF33" i="4"/>
  <c r="AF18" i="4"/>
  <c r="AF25" i="4"/>
  <c r="AF22" i="4"/>
  <c r="AF21" i="4"/>
  <c r="AF11" i="4"/>
  <c r="AF9" i="4"/>
  <c r="AF29" i="4"/>
  <c r="AF5" i="4"/>
  <c r="AF35" i="4"/>
  <c r="AF19" i="4"/>
  <c r="AF23" i="4"/>
  <c r="AF12" i="4"/>
  <c r="U11" i="4"/>
  <c r="AA37" i="4"/>
  <c r="C45" i="4" s="1"/>
  <c r="AQ37" i="4"/>
  <c r="C50" i="4" s="1"/>
  <c r="AF10" i="4"/>
  <c r="U32" i="4"/>
  <c r="AF15" i="4"/>
  <c r="AF32" i="4"/>
  <c r="AC37" i="4"/>
  <c r="U33" i="4"/>
  <c r="U21" i="4"/>
  <c r="U26" i="4"/>
  <c r="U25" i="4"/>
  <c r="U24" i="4"/>
  <c r="U18" i="4"/>
  <c r="U17" i="4"/>
  <c r="U16" i="4"/>
  <c r="U29" i="4"/>
  <c r="U19" i="4"/>
  <c r="U15" i="4"/>
  <c r="U12" i="4"/>
  <c r="U6" i="4"/>
  <c r="U13" i="4"/>
  <c r="U10" i="4"/>
  <c r="U9" i="4"/>
  <c r="U8" i="4"/>
  <c r="U7" i="4"/>
  <c r="U5" i="4"/>
  <c r="U34" i="4"/>
  <c r="U28" i="4"/>
  <c r="U20" i="4"/>
  <c r="U31" i="4"/>
  <c r="U27" i="4"/>
  <c r="U23" i="4"/>
  <c r="U30" i="4"/>
  <c r="U22" i="4"/>
  <c r="O37" i="4"/>
  <c r="C39" i="4" s="1"/>
  <c r="Q37" i="4"/>
  <c r="C40" i="4" s="1"/>
  <c r="U14" i="4"/>
  <c r="AO37" i="4"/>
  <c r="C49" i="4" s="1"/>
  <c r="AF37" i="4" l="1"/>
  <c r="C46" i="4"/>
  <c r="D6" i="3" l="1"/>
  <c r="D52" i="3"/>
  <c r="D48" i="3"/>
  <c r="D47" i="3"/>
  <c r="D46" i="3"/>
  <c r="D44" i="3"/>
  <c r="D43" i="3"/>
  <c r="H40" i="3"/>
  <c r="H39" i="3"/>
  <c r="D39" i="3"/>
  <c r="H38" i="3"/>
  <c r="D38" i="3"/>
  <c r="D37" i="3"/>
  <c r="D36" i="3"/>
  <c r="D33" i="3"/>
  <c r="F32" i="3" s="1"/>
  <c r="H32" i="3" s="1"/>
  <c r="H17" i="3"/>
  <c r="D15" i="3"/>
  <c r="D13" i="3"/>
  <c r="D7" i="3"/>
  <c r="EF38" i="2"/>
  <c r="V34" i="4"/>
  <c r="W35" i="4" s="1"/>
  <c r="X34" i="4"/>
  <c r="Y35" i="4" s="1"/>
  <c r="V33" i="4"/>
  <c r="X33" i="4"/>
  <c r="V32" i="4"/>
  <c r="X32" i="4"/>
  <c r="V31" i="4"/>
  <c r="X31" i="4"/>
  <c r="V30" i="4"/>
  <c r="X30" i="4"/>
  <c r="V29" i="4"/>
  <c r="X29" i="4"/>
  <c r="V28" i="4"/>
  <c r="X28" i="4"/>
  <c r="V27" i="4"/>
  <c r="X27" i="4"/>
  <c r="V26" i="4"/>
  <c r="X26" i="4"/>
  <c r="V25" i="4"/>
  <c r="X25" i="4"/>
  <c r="V24" i="4"/>
  <c r="X24" i="4"/>
  <c r="V23" i="4"/>
  <c r="X23" i="4"/>
  <c r="V22" i="4"/>
  <c r="X22" i="4"/>
  <c r="V21" i="4"/>
  <c r="X21" i="4"/>
  <c r="V20" i="4"/>
  <c r="X20" i="4"/>
  <c r="V19" i="4"/>
  <c r="X19" i="4"/>
  <c r="V18" i="4"/>
  <c r="X18" i="4"/>
  <c r="V17" i="4"/>
  <c r="X17" i="4"/>
  <c r="V16" i="4"/>
  <c r="X16" i="4"/>
  <c r="V15" i="4"/>
  <c r="X15" i="4"/>
  <c r="V14" i="4"/>
  <c r="X14" i="4"/>
  <c r="V13" i="4"/>
  <c r="X13" i="4"/>
  <c r="V12" i="4"/>
  <c r="X12" i="4"/>
  <c r="V11" i="4"/>
  <c r="X11" i="4"/>
  <c r="V10" i="4"/>
  <c r="X10" i="4"/>
  <c r="V9" i="4"/>
  <c r="X9" i="4"/>
  <c r="V8" i="4"/>
  <c r="X8" i="4"/>
  <c r="V7" i="4"/>
  <c r="X7" i="4"/>
  <c r="V6" i="4"/>
  <c r="X6" i="4"/>
  <c r="V5" i="4"/>
  <c r="W5" i="4" s="1"/>
  <c r="X5" i="4"/>
  <c r="Y5" i="4" s="1"/>
  <c r="Z12" i="1"/>
  <c r="X12" i="1"/>
  <c r="D2" i="1"/>
  <c r="N8" i="1" s="1"/>
  <c r="AI720" i="9" l="1"/>
  <c r="AK720" i="9" s="1"/>
  <c r="AI735" i="9"/>
  <c r="AK735" i="9" s="1"/>
  <c r="AI733" i="9"/>
  <c r="AK733" i="9" s="1"/>
  <c r="AI734" i="9"/>
  <c r="AK734" i="9" s="1"/>
  <c r="AI714" i="9"/>
  <c r="AK714" i="9" s="1"/>
  <c r="AI717" i="9"/>
  <c r="AK717" i="9" s="1"/>
  <c r="AI723" i="9"/>
  <c r="AK723" i="9" s="1"/>
  <c r="AI715" i="9"/>
  <c r="AK715" i="9" s="1"/>
  <c r="AI710" i="9"/>
  <c r="AK710" i="9" s="1"/>
  <c r="AI722" i="9"/>
  <c r="AK722" i="9" s="1"/>
  <c r="AI718" i="9"/>
  <c r="AK718" i="9" s="1"/>
  <c r="AI716" i="9"/>
  <c r="AK716" i="9" s="1"/>
  <c r="AI721" i="9"/>
  <c r="AK721" i="9" s="1"/>
  <c r="AI713" i="9"/>
  <c r="AK713" i="9" s="1"/>
  <c r="AI712" i="9"/>
  <c r="AK712" i="9" s="1"/>
  <c r="D38" i="1"/>
  <c r="D46" i="1"/>
  <c r="D32" i="1"/>
  <c r="F32" i="1" s="1"/>
  <c r="D36" i="1"/>
  <c r="D26" i="1"/>
  <c r="D28" i="1"/>
  <c r="D22" i="1"/>
  <c r="D24" i="1"/>
  <c r="D14" i="1"/>
  <c r="D20" i="1"/>
  <c r="D8" i="1"/>
  <c r="H49" i="1"/>
  <c r="D49" i="1"/>
  <c r="F49" i="1"/>
  <c r="F44" i="1"/>
  <c r="F40" i="1"/>
  <c r="F42" i="1"/>
  <c r="W29" i="4"/>
  <c r="Y32" i="4"/>
  <c r="W31" i="4"/>
  <c r="Y6" i="4"/>
  <c r="Y31" i="4"/>
  <c r="W30" i="4"/>
  <c r="Y29" i="4"/>
  <c r="W15" i="4"/>
  <c r="Y18" i="4"/>
  <c r="Y30" i="4"/>
  <c r="W32" i="4"/>
  <c r="Y33" i="4"/>
  <c r="W33" i="4"/>
  <c r="Y34" i="4"/>
  <c r="W34" i="4"/>
  <c r="W24" i="4"/>
  <c r="Y25" i="4"/>
  <c r="W28" i="4"/>
  <c r="Y15" i="4"/>
  <c r="Y28" i="4"/>
  <c r="W27" i="4"/>
  <c r="Y27" i="4"/>
  <c r="W26" i="4"/>
  <c r="Y26" i="4"/>
  <c r="W25" i="4"/>
  <c r="Y24" i="4"/>
  <c r="Y23" i="4"/>
  <c r="W23" i="4"/>
  <c r="W22" i="4"/>
  <c r="Y22" i="4"/>
  <c r="W21" i="4"/>
  <c r="W20" i="4"/>
  <c r="Y21" i="4"/>
  <c r="Y20" i="4"/>
  <c r="W19" i="4"/>
  <c r="Y19" i="4"/>
  <c r="W18" i="4"/>
  <c r="W17" i="4"/>
  <c r="Y16" i="4"/>
  <c r="Y17" i="4"/>
  <c r="W16" i="4"/>
  <c r="W14" i="4"/>
  <c r="Y14" i="4"/>
  <c r="W13" i="4"/>
  <c r="W12" i="4"/>
  <c r="Y13" i="4"/>
  <c r="Y12" i="4"/>
  <c r="W11" i="4"/>
  <c r="W10" i="4"/>
  <c r="Y11" i="4"/>
  <c r="W9" i="4"/>
  <c r="Y10" i="4"/>
  <c r="Y9" i="4"/>
  <c r="W8" i="4"/>
  <c r="F13" i="3"/>
  <c r="H13" i="3" s="1"/>
  <c r="B22" i="3"/>
  <c r="D22" i="3" s="1"/>
  <c r="B19" i="3"/>
  <c r="D19" i="3" s="1"/>
  <c r="B29" i="3"/>
  <c r="D29" i="3" s="1"/>
  <c r="B27" i="3"/>
  <c r="D27" i="3" s="1"/>
  <c r="B26" i="3"/>
  <c r="D26" i="3" s="1"/>
  <c r="B25" i="3"/>
  <c r="D25" i="3" s="1"/>
  <c r="B24" i="3"/>
  <c r="D24" i="3" s="1"/>
  <c r="B23" i="3"/>
  <c r="D23" i="3" s="1"/>
  <c r="B20" i="3"/>
  <c r="D20" i="3" s="1"/>
  <c r="B14" i="3"/>
  <c r="D14" i="3" s="1"/>
  <c r="F31" i="3" s="1"/>
  <c r="H31" i="3" s="1"/>
  <c r="W7" i="4"/>
  <c r="W6" i="4"/>
  <c r="Y8" i="4"/>
  <c r="Y7" i="4"/>
  <c r="F15" i="3"/>
  <c r="F9" i="3"/>
  <c r="H9" i="3" s="1"/>
  <c r="F16" i="3"/>
  <c r="H16" i="3" s="1"/>
  <c r="F7" i="3"/>
  <c r="H7" i="3" s="1"/>
  <c r="F8" i="3"/>
  <c r="H8" i="3" s="1"/>
  <c r="F6" i="3"/>
  <c r="H6" i="3" s="1"/>
  <c r="B21" i="3"/>
  <c r="D21" i="3" s="1"/>
  <c r="B28" i="3"/>
  <c r="D28" i="3" s="1"/>
  <c r="B30" i="3"/>
  <c r="D30" i="3" s="1"/>
  <c r="B18" i="3"/>
  <c r="D18" i="3" s="1"/>
  <c r="B5" i="3"/>
  <c r="D5" i="3" s="1"/>
  <c r="D9" i="3" s="1"/>
  <c r="F29" i="3" s="1"/>
  <c r="H29" i="3" s="1"/>
  <c r="F12" i="3"/>
  <c r="H12" i="3" s="1"/>
  <c r="F11" i="3"/>
  <c r="H11" i="3" s="1"/>
  <c r="F14" i="3"/>
  <c r="H14" i="3" s="1"/>
  <c r="D41" i="3"/>
  <c r="F6" i="1"/>
  <c r="F8" i="1" s="1"/>
  <c r="D6" i="1"/>
  <c r="H34" i="1"/>
  <c r="F18" i="1"/>
  <c r="F34" i="1"/>
  <c r="B16" i="3" l="1"/>
  <c r="D16" i="3" s="1"/>
  <c r="H15" i="3"/>
  <c r="B11" i="3"/>
  <c r="D11" i="3" s="1"/>
  <c r="AI728" i="9"/>
  <c r="AK728" i="9" s="1"/>
  <c r="AI727" i="9"/>
  <c r="AK727" i="9" s="1"/>
  <c r="F10" i="3"/>
  <c r="AI726" i="9"/>
  <c r="AK726" i="9" s="1"/>
  <c r="AI719" i="9"/>
  <c r="AK719" i="9" s="1"/>
  <c r="AI725" i="9"/>
  <c r="AK725" i="9" s="1"/>
  <c r="AI724" i="9"/>
  <c r="AK724" i="9" s="1"/>
  <c r="AI732" i="9"/>
  <c r="AK732" i="9" s="1"/>
  <c r="AI729" i="9"/>
  <c r="AK729" i="9" s="1"/>
  <c r="AI736" i="9"/>
  <c r="AK736" i="9" s="1"/>
  <c r="AI730" i="9"/>
  <c r="AK730" i="9" s="1"/>
  <c r="AI731" i="9"/>
  <c r="AK731" i="9" s="1"/>
  <c r="AI708" i="9"/>
  <c r="AK708" i="9" s="1"/>
  <c r="C739" i="9"/>
  <c r="L739" i="9" s="1"/>
  <c r="O739" i="9" s="1"/>
  <c r="AI709" i="9"/>
  <c r="H36" i="1"/>
  <c r="H38" i="1"/>
  <c r="F36" i="1"/>
  <c r="F38" i="1"/>
  <c r="F26" i="1"/>
  <c r="F28" i="1"/>
  <c r="F20" i="1"/>
  <c r="F24" i="1"/>
  <c r="W37" i="4"/>
  <c r="C43" i="4" s="1"/>
  <c r="Y37" i="4"/>
  <c r="C44" i="4" s="1"/>
  <c r="F22" i="1"/>
  <c r="B17" i="3"/>
  <c r="D17" i="3" s="1"/>
  <c r="F739" i="9"/>
  <c r="H6" i="1"/>
  <c r="H8" i="1" s="1"/>
  <c r="H18" i="1"/>
  <c r="H10" i="3" l="1"/>
  <c r="G33" i="3"/>
  <c r="AI711" i="9"/>
  <c r="AK711" i="9" s="1"/>
  <c r="AK709" i="9"/>
  <c r="H26" i="1"/>
  <c r="H20" i="1"/>
  <c r="H24" i="1"/>
  <c r="H28" i="1"/>
  <c r="D32" i="3"/>
  <c r="H22" i="1"/>
  <c r="F5" i="3"/>
  <c r="F18" i="3" s="1"/>
  <c r="AI739" i="9" l="1"/>
  <c r="AK739" i="9"/>
  <c r="H5" i="3"/>
  <c r="F30" i="3" s="1"/>
  <c r="H30" i="3" s="1"/>
  <c r="H18" i="3"/>
  <c r="D10" i="3"/>
  <c r="F33" i="3" l="1"/>
  <c r="H3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Michael.Furlong</author>
  </authors>
  <commentList>
    <comment ref="AF52" authorId="0" shapeId="0" xr:uid="{00000000-0006-0000-0200-000001000000}">
      <text>
        <r>
          <rPr>
            <b/>
            <sz val="9"/>
            <color indexed="81"/>
            <rFont val="Tahoma"/>
            <family val="2"/>
          </rPr>
          <t>Michael.Furlong:</t>
        </r>
        <r>
          <rPr>
            <sz val="9"/>
            <color indexed="81"/>
            <rFont val="Tahoma"/>
            <family val="2"/>
          </rPr>
          <t xml:space="preserve">
South closed</t>
        </r>
      </text>
    </comment>
    <comment ref="AF58" authorId="0" shapeId="0" xr:uid="{00000000-0006-0000-0200-000002000000}">
      <text>
        <r>
          <rPr>
            <b/>
            <sz val="9"/>
            <color indexed="81"/>
            <rFont val="Tahoma"/>
            <family val="2"/>
          </rPr>
          <t>Michael.Furlong:</t>
        </r>
        <r>
          <rPr>
            <sz val="9"/>
            <color indexed="81"/>
            <rFont val="Tahoma"/>
            <family val="2"/>
          </rPr>
          <t xml:space="preserve">
South reopened</t>
        </r>
      </text>
    </comment>
    <comment ref="AF90" authorId="0" shapeId="0" xr:uid="{00000000-0006-0000-0200-000003000000}">
      <text>
        <r>
          <rPr>
            <b/>
            <sz val="9"/>
            <color indexed="81"/>
            <rFont val="Tahoma"/>
            <family val="2"/>
          </rPr>
          <t>Michael.Furlong:</t>
        </r>
        <r>
          <rPr>
            <sz val="9"/>
            <color indexed="81"/>
            <rFont val="Tahoma"/>
            <family val="2"/>
          </rPr>
          <t xml:space="preserve">
South closed</t>
        </r>
      </text>
    </comment>
    <comment ref="AF96" authorId="0" shapeId="0" xr:uid="{00000000-0006-0000-0200-000004000000}">
      <text>
        <r>
          <rPr>
            <b/>
            <sz val="9"/>
            <color indexed="81"/>
            <rFont val="Tahoma"/>
            <family val="2"/>
          </rPr>
          <t>Michael.Furlong:</t>
        </r>
        <r>
          <rPr>
            <sz val="9"/>
            <color indexed="81"/>
            <rFont val="Tahoma"/>
            <family val="2"/>
          </rPr>
          <t xml:space="preserve">
South reopened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tc={7D7B8EF4-66C7-490F-8BF6-D6C198256095}</author>
  </authors>
  <commentList>
    <comment ref="CF21" authorId="0" shapeId="0" xr:uid="{00000000-0006-0000-0300-000001000000}">
      <text>
        <t xml:space="preserve">[Threaded comment]
Your version of Excel allows you to read this threaded comment; however, any edits to it will get removed if the file is opened in a newer version of Excel. Learn more: https://go.microsoft.com/fwlink/?linkid=870924
Comment:
    Diesel Replenishment was done </t>
      </text>
    </comment>
  </commentList>
</comments>
</file>

<file path=xl/sharedStrings.xml><?xml version="1.0" encoding="utf-8"?>
<sst xmlns="http://schemas.openxmlformats.org/spreadsheetml/2006/main" count="1810" uniqueCount="638">
  <si>
    <t xml:space="preserve">Electricity Reading </t>
  </si>
  <si>
    <t>Year: 2020</t>
  </si>
  <si>
    <t xml:space="preserve">Meter: </t>
  </si>
  <si>
    <t>Main CEB</t>
  </si>
  <si>
    <t>Laundry</t>
  </si>
  <si>
    <t>Vacoas</t>
  </si>
  <si>
    <t xml:space="preserve">Main CEB - Golf </t>
  </si>
  <si>
    <t xml:space="preserve">Lifting </t>
  </si>
  <si>
    <t>Plantroom DB</t>
  </si>
  <si>
    <t>MAIN CEB</t>
  </si>
  <si>
    <t>GOLF CLUB HOUSE (07500232)</t>
  </si>
  <si>
    <t>WATER FRONT VILLAGE</t>
  </si>
  <si>
    <t>Lifting Station 4 (DC-6331745)</t>
  </si>
  <si>
    <t>Plant Room DB (DC-8971990)</t>
  </si>
  <si>
    <t>Date</t>
  </si>
  <si>
    <t xml:space="preserve">KVAH </t>
  </si>
  <si>
    <t>KWH</t>
  </si>
  <si>
    <t xml:space="preserve">KVA </t>
  </si>
  <si>
    <t>KVA Max</t>
  </si>
  <si>
    <t xml:space="preserve">KWH </t>
  </si>
  <si>
    <t>KVAH</t>
  </si>
  <si>
    <t>KVAH Cons</t>
  </si>
  <si>
    <t>KWH Cons</t>
  </si>
  <si>
    <t>KVA</t>
  </si>
  <si>
    <t>Max. KVA</t>
  </si>
  <si>
    <t>Power Factor</t>
  </si>
  <si>
    <t xml:space="preserve">CEB </t>
  </si>
  <si>
    <t xml:space="preserve"> </t>
  </si>
  <si>
    <t xml:space="preserve">Laundry </t>
  </si>
  <si>
    <t>Golf</t>
  </si>
  <si>
    <t>Plantroom</t>
  </si>
  <si>
    <t>Date:</t>
  </si>
  <si>
    <t>Signature:</t>
  </si>
  <si>
    <t>Michael</t>
  </si>
  <si>
    <t>ENERGY</t>
  </si>
  <si>
    <t>MAIN EQUIPMENT</t>
  </si>
  <si>
    <t>CHILLED WATER</t>
  </si>
  <si>
    <t>ELECTRICITY</t>
  </si>
  <si>
    <t xml:space="preserve">Average </t>
  </si>
  <si>
    <t>HOT WATER</t>
  </si>
  <si>
    <t>Chillers status(1,2):</t>
  </si>
  <si>
    <t>OK</t>
  </si>
  <si>
    <t>OFF</t>
  </si>
  <si>
    <t>set point 10</t>
  </si>
  <si>
    <t>Yester</t>
  </si>
  <si>
    <t>Consumption kWH:</t>
  </si>
  <si>
    <t>22k to 25K</t>
  </si>
  <si>
    <t>Yesterday's consumption:</t>
  </si>
  <si>
    <t>Boiler tank Tem</t>
  </si>
  <si>
    <t>Temperature IN:</t>
  </si>
  <si>
    <t>Back-up genset 1:</t>
  </si>
  <si>
    <t>Pantry A</t>
  </si>
  <si>
    <t xml:space="preserve">Boiler 1,2  </t>
  </si>
  <si>
    <t>Temperature OUT:</t>
  </si>
  <si>
    <t>Boiler 1,3</t>
  </si>
  <si>
    <t>Back-up genset 2:</t>
  </si>
  <si>
    <t>Pantry B</t>
  </si>
  <si>
    <r>
      <rPr>
        <sz val="10"/>
        <rFont val="Calibri"/>
        <family val="2"/>
      </rPr>
      <t>∆</t>
    </r>
    <r>
      <rPr>
        <sz val="10"/>
        <rFont val="Arial"/>
        <family val="2"/>
      </rPr>
      <t>T</t>
    </r>
  </si>
  <si>
    <t>Boiler 1,5</t>
  </si>
  <si>
    <t>Diesel in stock:</t>
  </si>
  <si>
    <t>Litres</t>
  </si>
  <si>
    <t>Pantry C</t>
  </si>
  <si>
    <t>OTHER EQUIPMENT</t>
  </si>
  <si>
    <t>Pantry D</t>
  </si>
  <si>
    <t>POSITIVE COLD ROOMS</t>
  </si>
  <si>
    <t>Average +2 to +7</t>
  </si>
  <si>
    <t>WATER</t>
  </si>
  <si>
    <t>Pantry E</t>
  </si>
  <si>
    <t>Staff Kitchen</t>
  </si>
  <si>
    <t>Yesterday's consumption m3:</t>
  </si>
  <si>
    <t>Pantry F</t>
  </si>
  <si>
    <t>Beau Champ</t>
  </si>
  <si>
    <t>CWA delivery</t>
  </si>
  <si>
    <t>Pantry G</t>
  </si>
  <si>
    <t xml:space="preserve">Pastry </t>
  </si>
  <si>
    <t>North</t>
  </si>
  <si>
    <t>Main Building</t>
  </si>
  <si>
    <t>Breakfast</t>
  </si>
  <si>
    <t xml:space="preserve">South </t>
  </si>
  <si>
    <t>Set point</t>
  </si>
  <si>
    <t>Larder</t>
  </si>
  <si>
    <t>Island</t>
  </si>
  <si>
    <t>FIRE FIGHTING SYSTEM</t>
  </si>
  <si>
    <t>Dairy</t>
  </si>
  <si>
    <t>Booster pump status(1,2,3):</t>
  </si>
  <si>
    <t>O.O.O</t>
  </si>
  <si>
    <t>Fire pump system:</t>
  </si>
  <si>
    <t>Operational</t>
  </si>
  <si>
    <t>Juice</t>
  </si>
  <si>
    <t xml:space="preserve">                                                                                                                                                                                                                                                                                                                                                                                                                                                                                                                                                                                                                                                                              </t>
  </si>
  <si>
    <t>Water in stock:</t>
  </si>
  <si>
    <t>m3</t>
  </si>
  <si>
    <t>240 to 300 m3</t>
  </si>
  <si>
    <t>Pressure:</t>
  </si>
  <si>
    <t>Bars</t>
  </si>
  <si>
    <t>5.5 to 6.5</t>
  </si>
  <si>
    <t>Fish</t>
  </si>
  <si>
    <t>GAS</t>
  </si>
  <si>
    <t>Date of last test:</t>
  </si>
  <si>
    <t>Meat</t>
  </si>
  <si>
    <t>Yesterday's consumption kg:</t>
  </si>
  <si>
    <t>Jockey pump running Hours:</t>
  </si>
  <si>
    <t>Aquapazza</t>
  </si>
  <si>
    <t xml:space="preserve">Steam Boiler: </t>
  </si>
  <si>
    <t>LIFTING PUMP</t>
  </si>
  <si>
    <t>Bamboo</t>
  </si>
  <si>
    <t>Gas tank status 1:</t>
  </si>
  <si>
    <t>%</t>
  </si>
  <si>
    <t xml:space="preserve">Main Building </t>
  </si>
  <si>
    <t>Pump 1</t>
  </si>
  <si>
    <t>2nd</t>
  </si>
  <si>
    <t>Pump 2</t>
  </si>
  <si>
    <t>Wine Chill</t>
  </si>
  <si>
    <t>Gas tank status 2:</t>
  </si>
  <si>
    <t>Hobbit Village</t>
  </si>
  <si>
    <t xml:space="preserve">Low </t>
  </si>
  <si>
    <t>NEGATIVE COLD ROOMS</t>
  </si>
  <si>
    <t>Average -15 to -20</t>
  </si>
  <si>
    <t>Gas tank status 3:</t>
  </si>
  <si>
    <t>Boundary</t>
  </si>
  <si>
    <t>Pantry B VR302</t>
  </si>
  <si>
    <t>Pastry 1</t>
  </si>
  <si>
    <t>Gas in hotel:</t>
  </si>
  <si>
    <t>Kg</t>
  </si>
  <si>
    <t xml:space="preserve">12500 kg </t>
  </si>
  <si>
    <t>to 27400 kg</t>
  </si>
  <si>
    <t>Pantry C Acqua</t>
  </si>
  <si>
    <t>Pastry 2</t>
  </si>
  <si>
    <t>Spa</t>
  </si>
  <si>
    <t>Bamboo Basement</t>
  </si>
  <si>
    <t>Pool temperature</t>
  </si>
  <si>
    <t>California</t>
  </si>
  <si>
    <t>Infiniti</t>
  </si>
  <si>
    <t>Fitness</t>
  </si>
  <si>
    <t>Pantry E GS183</t>
  </si>
  <si>
    <t>Vegetables:</t>
  </si>
  <si>
    <t xml:space="preserve">                    </t>
  </si>
  <si>
    <t>Pantry F GS110</t>
  </si>
  <si>
    <t>Pantry G VS215</t>
  </si>
  <si>
    <t xml:space="preserve">Steam Boiler </t>
  </si>
  <si>
    <t>Luxury south</t>
  </si>
  <si>
    <t>COMMENTS</t>
  </si>
  <si>
    <t>Laundry was open these last 2 days. Impact: Electricity consumption. Gas: Steam boiler on last 2 days. Beau Champ kitchen ovens on test following servicing. Water: Bambou pool backwash was done yesterday and cleaning by HK on island and public areas.</t>
  </si>
  <si>
    <t xml:space="preserve">One compressor out of order on chiller 2                   </t>
  </si>
  <si>
    <t xml:space="preserve">PREVIOUS MONTH </t>
  </si>
  <si>
    <t xml:space="preserve">Units </t>
  </si>
  <si>
    <t>Cost - MUR</t>
  </si>
  <si>
    <t>CDD</t>
  </si>
  <si>
    <t xml:space="preserve">Total Daily Utilities Cost </t>
  </si>
  <si>
    <t>Bed Nights</t>
  </si>
  <si>
    <t>% OCC</t>
  </si>
  <si>
    <t xml:space="preserve">Vacoas - Electricity </t>
  </si>
  <si>
    <t xml:space="preserve">Laundry - Gas </t>
  </si>
  <si>
    <t xml:space="preserve">Pantry F </t>
  </si>
  <si>
    <t>Saving - MUR</t>
  </si>
  <si>
    <t>Total Daily Saving</t>
  </si>
  <si>
    <t xml:space="preserve">Electricity </t>
  </si>
  <si>
    <t xml:space="preserve">Gas </t>
  </si>
  <si>
    <t xml:space="preserve">Water </t>
  </si>
  <si>
    <t>% on Total</t>
  </si>
  <si>
    <t xml:space="preserve">Cost </t>
  </si>
  <si>
    <t xml:space="preserve">Total </t>
  </si>
  <si>
    <t xml:space="preserve">Daily Utilities Cost </t>
  </si>
  <si>
    <t xml:space="preserve">Ave/Day </t>
  </si>
  <si>
    <t xml:space="preserve">SAVING ACHIEVED </t>
  </si>
  <si>
    <t xml:space="preserve">Water Trucks </t>
  </si>
  <si>
    <t xml:space="preserve">Lorry </t>
  </si>
  <si>
    <t xml:space="preserve">April </t>
  </si>
  <si>
    <t>May</t>
  </si>
  <si>
    <t>June</t>
  </si>
  <si>
    <t>July</t>
  </si>
  <si>
    <t>August</t>
  </si>
  <si>
    <t>September</t>
  </si>
  <si>
    <t>Days</t>
  </si>
  <si>
    <t>Gas</t>
  </si>
  <si>
    <t>PF</t>
  </si>
  <si>
    <t>Comments</t>
  </si>
  <si>
    <t xml:space="preserve">Close Island Valve - Leakage </t>
  </si>
  <si>
    <t>Minor Power Cut from CEB</t>
  </si>
  <si>
    <t>Open Island Valve to refill Bambou Pool</t>
  </si>
  <si>
    <t xml:space="preserve">Laundry was operational. </t>
  </si>
  <si>
    <t>Chiller broke down - Repaired but is OFF
Water Leakage in Bambou Pool - Repaired</t>
  </si>
  <si>
    <t xml:space="preserve">Continued water refilled for Bambou Pool.
Chiller was switch ON to cater the Wine coldroom. </t>
  </si>
  <si>
    <t>Leakage in Canteen Pipe line &amp; Chiller</t>
  </si>
  <si>
    <t xml:space="preserve">Vivreau water Plant was operational </t>
  </si>
  <si>
    <t xml:space="preserve">Open Island Valve to find the leakage by leak detector from Long Beach. Located possible leak on the upper part of the island but need to start digging to confirm the same. </t>
  </si>
  <si>
    <t xml:space="preserve">Laundry was operational. 
We started digging to find the water leak at that location the leak was detected. </t>
  </si>
  <si>
    <t xml:space="preserve">Digging work on the island continued &amp; Water testing was done. </t>
  </si>
  <si>
    <t>Owner LV 402 asked to put Pool GAS Heater ON</t>
  </si>
  <si>
    <t>Water leakage was done the whole day on the island</t>
  </si>
  <si>
    <t>Started digging near 180/181</t>
  </si>
  <si>
    <t>Continued water leakage search</t>
  </si>
  <si>
    <t>Continued water leakage search
Noticed an increase in the north parcel water consumption</t>
  </si>
  <si>
    <t xml:space="preserve">There was no load shredding done on the South Parcel to test the impact on the PF. Consequently, it was noted that the planned power cuts have a negative impact on the PF and brings it below 0.9. Today we shall try the Power Cuts in a different way. </t>
  </si>
  <si>
    <t>Laundry was operational</t>
  </si>
  <si>
    <t xml:space="preserve">Chiller broke down. </t>
  </si>
  <si>
    <t>Chiller broke down.</t>
  </si>
  <si>
    <t xml:space="preserve">Chiller is OFF. Some Freezers and coldroom have been switched ON. </t>
  </si>
  <si>
    <t xml:space="preserve">Laundry was operational. 
Power Factor Corrector malfunctioning. </t>
  </si>
  <si>
    <t xml:space="preserve">Power Factor Corrector malfunctioning.  Outside Company attending today. </t>
  </si>
  <si>
    <t>PFC still malfunctioning</t>
  </si>
  <si>
    <t>Low Gas Consumption -not recorded by main meter</t>
  </si>
  <si>
    <t>Low Gas Consumption -not recorded by main meter
Water leakage works on Island - continued</t>
  </si>
  <si>
    <t>Pipe leakage near Presidential Suite was repaired &amp; Water testing was done. 
Laundry was operational.</t>
  </si>
  <si>
    <t xml:space="preserve">Power Factorcorrector drop again.Rey Leferna was called to intervene. </t>
  </si>
  <si>
    <t xml:space="preserve">High water consuption on Island - Bambou Restaurant &amp; Kitchen </t>
  </si>
  <si>
    <t>There was a Power cut and we were on the Generator. 
Water leak in Bathtub 181/182.</t>
  </si>
  <si>
    <t xml:space="preserve">Water - Spa - Issue with toilet flush-Repaired. </t>
  </si>
  <si>
    <t>Presidential Suite External Shower leakage - Repaired</t>
  </si>
  <si>
    <t>Laundry Steam Boiler Started &amp; Tested</t>
  </si>
  <si>
    <t>Laundry in operation</t>
  </si>
  <si>
    <t>Found toilet flush stuck in 5 Villas on the Island</t>
  </si>
  <si>
    <t>External Shower valve was left opened on Villa 171</t>
  </si>
  <si>
    <t>Laundry in operation, steam boiler on. Cleaning in public areas and island</t>
  </si>
  <si>
    <t>Laundry in operation, Steam boiler on. Bambou pool backwash. Cleaning in public areas and island. BC oven on test</t>
  </si>
  <si>
    <t xml:space="preserve">Bamboo pool switch off </t>
  </si>
  <si>
    <t xml:space="preserve">Bamboo pool switch off. Need to verify water consumption in spa. Checking on power factor and will will revert </t>
  </si>
  <si>
    <t>Bamboo pool switch off. Power factor 0.797</t>
  </si>
  <si>
    <t>power factor corrector static due under current loading</t>
  </si>
  <si>
    <t>Test on all resort boilers</t>
  </si>
  <si>
    <t xml:space="preserve">Power factor at 0.81 </t>
  </si>
  <si>
    <t>Laundry steam boiler was on test</t>
  </si>
  <si>
    <t>Tested steam boiler and laundry calender</t>
  </si>
  <si>
    <t>Consumption noted at pantry C and island sub meter. Investigating</t>
  </si>
  <si>
    <t>High water consumption on island thatch roofer is using water to work the thatch.</t>
  </si>
  <si>
    <t>leakage found in 160 ballast tank</t>
  </si>
  <si>
    <t xml:space="preserve">Leakage found in VS 201 </t>
  </si>
  <si>
    <t>Started chiller yesterday</t>
  </si>
  <si>
    <t>Servicing done on pantry G boiler</t>
  </si>
  <si>
    <t>Due to consumption at bambou,thatch roof work, and leakage at spa</t>
  </si>
  <si>
    <t>Bambou thatch roof water usage. Bambou pool backwash</t>
  </si>
  <si>
    <t xml:space="preserve">Water use for Bambou bar thatch roof fire retardent </t>
  </si>
  <si>
    <t>Water leakage at either on island</t>
  </si>
  <si>
    <t>Water leakage on south parcel.Working on it.</t>
  </si>
  <si>
    <t>High cons in south parcel,was due to valve hose reel remain open while refill pool, and leakage villa 220 toilet overflow</t>
  </si>
  <si>
    <t xml:space="preserve">Chiller not running due to breakdown and laundry running </t>
  </si>
  <si>
    <t>CWA in, m3</t>
  </si>
  <si>
    <t>Reservoir level, m3</t>
  </si>
  <si>
    <t>Started pantry G doe test for villa 218</t>
  </si>
  <si>
    <t>Pantry E hot water consumption</t>
  </si>
  <si>
    <t>Arrival of 218</t>
  </si>
  <si>
    <t>Valve Island open for 1 hour</t>
  </si>
  <si>
    <t>Found leak in 150 entry pipe via detector closed valve of villa</t>
  </si>
  <si>
    <t>Started steam boiler for test for 2 hours</t>
  </si>
  <si>
    <t>Main water valve island was left open for 3  hrs yesterday no consumption notice.</t>
  </si>
  <si>
    <t>Valve open for 5 hours on Island</t>
  </si>
  <si>
    <t>Leakage found in presidential and repaired</t>
  </si>
  <si>
    <t>131 and 132 cleaned and filled</t>
  </si>
  <si>
    <t>Filled and started 133 to 135 and started A/C</t>
  </si>
  <si>
    <t>Filled Villa 136 to 138</t>
  </si>
  <si>
    <t>Leakage repaired at 150. Bambou pool consumption</t>
  </si>
  <si>
    <t>Leakage on island determined</t>
  </si>
  <si>
    <t>High consumption of gas ,Repairing a gas leakage on pantry G boiler.</t>
  </si>
  <si>
    <t xml:space="preserve">island valve was opened for 7 hrs </t>
  </si>
  <si>
    <t>Island valve remain closed</t>
  </si>
  <si>
    <t>0</t>
  </si>
  <si>
    <t>Started A/C in Aquapazza due to chillerbreakdown</t>
  </si>
  <si>
    <t>Restarted aqua cold room and started A/C in room 124 126, 128,129, 130</t>
  </si>
  <si>
    <t>Both compressors of the chiller were on yesterday resulting in slight increase in electricity consumption.</t>
  </si>
  <si>
    <t>Started chiller for beverage store as per new procedure</t>
  </si>
  <si>
    <t>Yesterday island valve was open for bamboo pool cleaning,and tortoise feed and cleaning park.</t>
  </si>
  <si>
    <t>Chiller working comp1 yesterday .swap on comp2 in the evening.</t>
  </si>
  <si>
    <t>Island main valve still closed</t>
  </si>
  <si>
    <t>Laundry was in full operation ,steam boiler and washing machine and calandre was on service .</t>
  </si>
  <si>
    <t>Cleaning of lusury pool and water intake in pool</t>
  </si>
  <si>
    <t>Island valve closed</t>
  </si>
  <si>
    <t>Leak found in villa 131, toilet hose tap mising, All residence and luxury A/C were put on and two chillers are running until 6 due to high external temperature</t>
  </si>
  <si>
    <t xml:space="preserve">Max refill bamboo pool </t>
  </si>
  <si>
    <r>
      <t>CWA in, m</t>
    </r>
    <r>
      <rPr>
        <b/>
        <vertAlign val="superscript"/>
        <sz val="8"/>
        <color theme="1"/>
        <rFont val="Calibri"/>
        <family val="2"/>
      </rPr>
      <t>3</t>
    </r>
  </si>
  <si>
    <r>
      <t>Reservoir level, m</t>
    </r>
    <r>
      <rPr>
        <b/>
        <vertAlign val="superscript"/>
        <sz val="8"/>
        <color theme="1"/>
        <rFont val="Calibri"/>
        <family val="2"/>
      </rPr>
      <t>3</t>
    </r>
  </si>
  <si>
    <t>Bambou pool backwash done yesterday</t>
  </si>
  <si>
    <t>Started all equipment for apave equipment inspection</t>
  </si>
  <si>
    <t>Bambous pool water lowered</t>
  </si>
  <si>
    <t>Bambous pool issue of refilling both by piping and hose reel</t>
  </si>
  <si>
    <t>Water consumption on island due bamboo pool filled with water</t>
  </si>
  <si>
    <t>Slight water consumption in the south due to leakage near villa 312</t>
  </si>
  <si>
    <t>Power cut due to CEB cut 2hrs</t>
  </si>
  <si>
    <t>Generator on for 11hrs yesterday due to CEB power cut</t>
  </si>
  <si>
    <t xml:space="preserve">Main Valve for cold water on island was open </t>
  </si>
  <si>
    <t>Ac in villa 145 and 146 switch on Yesterday at 17hr00</t>
  </si>
  <si>
    <t>Generator run for 3 hrs yesterday</t>
  </si>
  <si>
    <t>Bamboo pool top up by 190 M3 of water</t>
  </si>
  <si>
    <t>We filled Bambous pool yesterday and repaired two leaks in 306 and 201</t>
  </si>
  <si>
    <t>Valve of balast bambous was left open</t>
  </si>
  <si>
    <t>Island water consumption. Valve open whole day due to work in Bambou kitchen fire suppression. Need to look for futher leakage</t>
  </si>
  <si>
    <t xml:space="preserve">Pond 402 was filled and 400 pool were filled and cleaned,  Electrical consumption Admin ad BOH was fully operational yesterday </t>
  </si>
  <si>
    <t>High water consumption in the North parcel ,</t>
  </si>
  <si>
    <t>Repaired leakage on 314</t>
  </si>
  <si>
    <t>Leakage repaired in corridor</t>
  </si>
  <si>
    <t xml:space="preserve">Bambous pool clea-up of filters done </t>
  </si>
  <si>
    <t>3/1/201</t>
  </si>
  <si>
    <t>Island main valve was open till 17hr00 yesterday</t>
  </si>
  <si>
    <t>Cleaning at Kid's club and villa 501. Bambou pool filled</t>
  </si>
  <si>
    <t>CWA reading to be taken during the day</t>
  </si>
  <si>
    <t>Filling of 403 pool and bambou pool ballast tank. Reservoir reading was wrongly taken yesterday by EOD(personally checked)</t>
  </si>
  <si>
    <t xml:space="preserve">filling of 403 pool. Note North parcel CWA reading taken at 6 30pm. And this reading affects filling for of pool from 6 30pm till yesterday morning.                     Slight decrease in electricity consumption due to measures taken by our V team </t>
  </si>
  <si>
    <t>All Ac in Residence is on that is Condo villa and Luxury villa.</t>
  </si>
  <si>
    <t>Generator test done yesterday</t>
  </si>
  <si>
    <t>Villa 403 is fully operational</t>
  </si>
  <si>
    <t>Chiller was off 2 hrs during the day 15 00-17 00</t>
  </si>
  <si>
    <t xml:space="preserve">Bambou pool backwash done. </t>
  </si>
  <si>
    <t>All measures regarding chiller was taken as set up. kitchen extractor operating time was limited. Follow up continued to be done today</t>
  </si>
  <si>
    <t>Laundry, KWH</t>
  </si>
  <si>
    <t>Vacoas, KWH</t>
  </si>
  <si>
    <t>Running time of chiller during day time has been increased by 1.5 Hr</t>
  </si>
  <si>
    <t>Reviewing of chiller running time will be done. Electricity reading taken at 9pm instead of 7 30pm</t>
  </si>
  <si>
    <t>Need to identify water leakage on island. Need to check all pool water make ups. Consumption on North parcel as well</t>
  </si>
  <si>
    <t>Changing of running parameters at night on chiller lead to increase in Kwh</t>
  </si>
  <si>
    <t xml:space="preserve">Cold water pipe burst yesterday in south parcel 310 repair done </t>
  </si>
  <si>
    <t>Refill of both pool in 501 yesterday</t>
  </si>
  <si>
    <t>Started laundry, Makeup 501 faulty</t>
  </si>
  <si>
    <t>Laundry operate from 09 30 to 19 45 yesterday</t>
  </si>
  <si>
    <t>Filling pool of 501</t>
  </si>
  <si>
    <t>Pool 501 completed filling 14:00</t>
  </si>
  <si>
    <t xml:space="preserve">501 pool was top-up and 218 makeup was faulty </t>
  </si>
  <si>
    <t>Chiller was switch ON yesterday at 12hr00</t>
  </si>
  <si>
    <t>Chiller was not switch off ,following tornado recommendation.</t>
  </si>
  <si>
    <t>Gas level</t>
  </si>
  <si>
    <t>LPG1</t>
  </si>
  <si>
    <t>LPG2</t>
  </si>
  <si>
    <t>LPG3</t>
  </si>
  <si>
    <t>Chiller was not switched off following Tornado recommendation</t>
  </si>
  <si>
    <t>laundry was on full operation yesterday</t>
  </si>
  <si>
    <t>216 faulty water make up repaired. LPG gas consumption high due to more cooking hours.Vivreau on at  Vacoas</t>
  </si>
  <si>
    <t>high water consumption in south parcel-water make up was repair yesterday in villa 216 darell is doing the follow up today.</t>
  </si>
  <si>
    <t>Vacoas dishwash breaker on and vivreau on yesterday</t>
  </si>
  <si>
    <t>Vacoas dishwash breaker on and vivreau on yesterday and high water consumption in south parcel</t>
  </si>
  <si>
    <t>To check the bank capacitor</t>
  </si>
  <si>
    <t xml:space="preserve">Vacoas dishwash breaker on and vivreau on yesterday </t>
  </si>
  <si>
    <t>Vacoas vivreau on</t>
  </si>
  <si>
    <t>To check the meter in pantry c</t>
  </si>
  <si>
    <t>Vacoas dishwash breaker ON and vivreau ON</t>
  </si>
  <si>
    <t>Vivreau ON</t>
  </si>
  <si>
    <t>Vivreau ON. Consumption 50m3 on north. 206 and BC toilet water leakage</t>
  </si>
  <si>
    <t>Leakage of ballast in villa 304</t>
  </si>
  <si>
    <t>Vivreau on. Island leakage search to be done</t>
  </si>
  <si>
    <t xml:space="preserve">Ongoing plan for leakage search on island </t>
  </si>
  <si>
    <t xml:space="preserve">P.f low ,low electrical  load </t>
  </si>
  <si>
    <t>No water incoming from cwa ,Already adress the issue with Cwa /ref 33750629</t>
  </si>
  <si>
    <t>No water incoming from cwa ,CWA urgent request made/ref 33751424. North 30, South 30 and island 50 cubic metres</t>
  </si>
  <si>
    <t xml:space="preserve">Found Bambous valve open </t>
  </si>
  <si>
    <t>Found a leak in villa 404, bath of upper room was open and completely full.</t>
  </si>
  <si>
    <t>North and island high water usage. Leakage to be found</t>
  </si>
  <si>
    <t xml:space="preserve">High water consumption on island </t>
  </si>
  <si>
    <t>Pool 302 was clean and refill yesterday for visit and leave as showroom On island external shower in 150 found open ,still monitoring island consumption ,starting taking reading gamma daily consumption on island</t>
  </si>
  <si>
    <t>Decrease in water consumption following repairs on island yesterday</t>
  </si>
  <si>
    <t>High water consumption in south parcel</t>
  </si>
  <si>
    <t>High water consumption in the south and north. Ongoing inspection</t>
  </si>
  <si>
    <t xml:space="preserve">119 toilet hose and 135 external shower repair done. Cleaning in  169 170. Water use on shop bridge and aqua for thatch roofs. General leakage inspections to be done </t>
  </si>
  <si>
    <t>201 pool water filling. Laundry was on service yesterday,karcher cleaning in planter by contractor near technical area</t>
  </si>
  <si>
    <t>202 pool water filling. Flower pot cleaning. Thatch roof water use</t>
  </si>
  <si>
    <t xml:space="preserve">Filling of pool 203 </t>
  </si>
  <si>
    <t>filling of pool 205</t>
  </si>
  <si>
    <t>Pool filling 206</t>
  </si>
  <si>
    <t>No incoming from CWA, Ref 33793136. Pool filling 207 and 402</t>
  </si>
  <si>
    <t>No water incoming from CWA</t>
  </si>
  <si>
    <t>Water incoming CWA. No pool filled yesterday</t>
  </si>
  <si>
    <t>Pnd cleaning of roof for repair of roof residences north parcel and south parcel cleaning of pathway and slab by hsk ongoing</t>
  </si>
  <si>
    <t xml:space="preserve">Pool water filling 209. South and north pathway washing. </t>
  </si>
  <si>
    <t>karcher cleaning on pathway villa 214 and north parcel 212 filing of pool island villa 156-157</t>
  </si>
  <si>
    <t>Rise in electrical consumption ,As at now 75% ac island ON. 45 out of 60 villa is fully operated.</t>
  </si>
  <si>
    <t>Pool 304 305 filled yesterday</t>
  </si>
  <si>
    <t>Water Cons</t>
  </si>
  <si>
    <t>Hotel Electricity</t>
  </si>
  <si>
    <t>Gen 01</t>
  </si>
  <si>
    <t>Gen 02</t>
  </si>
  <si>
    <t xml:space="preserve">MB &amp; Island </t>
  </si>
  <si>
    <t>CONS</t>
  </si>
  <si>
    <t>North &amp; South</t>
  </si>
  <si>
    <t>Vacoas KW</t>
  </si>
  <si>
    <t>Laundry (KWh)</t>
  </si>
  <si>
    <t>Hotel</t>
  </si>
  <si>
    <t>% Water Available</t>
  </si>
  <si>
    <t>Water reservoir, 400 m3</t>
  </si>
  <si>
    <t>water truck</t>
  </si>
  <si>
    <t>Water Softener</t>
  </si>
  <si>
    <t>bamboo pool</t>
  </si>
  <si>
    <t>CWA (FS)</t>
  </si>
  <si>
    <t>Island Sub</t>
  </si>
  <si>
    <t>North Sub</t>
  </si>
  <si>
    <t>South</t>
  </si>
  <si>
    <t>South Sub</t>
  </si>
  <si>
    <t>Diesel</t>
  </si>
  <si>
    <t>Steam Boiler( Laundry)</t>
  </si>
  <si>
    <t>Main Building ( boiler)</t>
  </si>
  <si>
    <t>Pool Temperature</t>
  </si>
  <si>
    <t xml:space="preserve">BEVERAGE STORE </t>
  </si>
  <si>
    <t>KVA max</t>
  </si>
  <si>
    <t>Hrs</t>
  </si>
  <si>
    <t>CWA23</t>
  </si>
  <si>
    <t>Truck Meter</t>
  </si>
  <si>
    <t>Cons</t>
  </si>
  <si>
    <t xml:space="preserve">UV reading </t>
  </si>
  <si>
    <t>chiller</t>
  </si>
  <si>
    <t>island</t>
  </si>
  <si>
    <t>cons</t>
  </si>
  <si>
    <t>M.Buil</t>
  </si>
  <si>
    <t>Main Kitchen</t>
  </si>
  <si>
    <t>Bamboo C</t>
  </si>
  <si>
    <t>Bamboo H</t>
  </si>
  <si>
    <t>cyclon bridge</t>
  </si>
  <si>
    <t>Island - Hot</t>
  </si>
  <si>
    <t>Island Cold</t>
  </si>
  <si>
    <t>north</t>
  </si>
  <si>
    <t>south</t>
  </si>
  <si>
    <t>Total water consump</t>
  </si>
  <si>
    <t>Total HW consump</t>
  </si>
  <si>
    <t>DIESEL( cm)</t>
  </si>
  <si>
    <t>stock</t>
  </si>
  <si>
    <t>Del</t>
  </si>
  <si>
    <t>Meter</t>
  </si>
  <si>
    <t xml:space="preserve">cons </t>
  </si>
  <si>
    <t>LPG 1</t>
  </si>
  <si>
    <t>LPG 2</t>
  </si>
  <si>
    <t>LPG 3</t>
  </si>
  <si>
    <t>total stock</t>
  </si>
  <si>
    <t>del</t>
  </si>
  <si>
    <t>Beau champ ( Main kit)</t>
  </si>
  <si>
    <t>cons(Litres)</t>
  </si>
  <si>
    <t>Cons(Kg)</t>
  </si>
  <si>
    <t>Acquapazza</t>
  </si>
  <si>
    <t xml:space="preserve">Bamboo </t>
  </si>
  <si>
    <t>Villa 111</t>
  </si>
  <si>
    <t>Villa 128</t>
  </si>
  <si>
    <t>Room Nights</t>
  </si>
  <si>
    <t>Q @ T- 25 deg</t>
  </si>
  <si>
    <t>P</t>
  </si>
  <si>
    <t xml:space="preserve">Main </t>
  </si>
  <si>
    <t xml:space="preserve">Beau Champ </t>
  </si>
  <si>
    <t xml:space="preserve">Aquapazza </t>
  </si>
  <si>
    <t>Bambou</t>
  </si>
  <si>
    <t xml:space="preserve">Pantry </t>
  </si>
  <si>
    <t>LV 4xx</t>
  </si>
  <si>
    <t>LV5xx</t>
  </si>
  <si>
    <t xml:space="preserve">Porte Coshere </t>
  </si>
  <si>
    <t xml:space="preserve">Diesel Reading </t>
  </si>
  <si>
    <t>Generator 1</t>
  </si>
  <si>
    <t>Generator 2</t>
  </si>
  <si>
    <t>Diesel Tank</t>
  </si>
  <si>
    <t>Voltage</t>
  </si>
  <si>
    <t xml:space="preserve">KWh Meter </t>
  </si>
  <si>
    <t xml:space="preserve">KWh </t>
  </si>
  <si>
    <t xml:space="preserve">Run Hrs </t>
  </si>
  <si>
    <t>Run Hrs</t>
  </si>
  <si>
    <t xml:space="preserve">Voltage </t>
  </si>
  <si>
    <t>Level (cm)</t>
  </si>
  <si>
    <t>Total Stock</t>
  </si>
  <si>
    <t>Refill</t>
  </si>
  <si>
    <t>Consumption</t>
  </si>
  <si>
    <t xml:space="preserve">                                                                                                             </t>
  </si>
  <si>
    <t>Total</t>
  </si>
  <si>
    <t>Month:</t>
  </si>
  <si>
    <t xml:space="preserve">Resort  Utilities </t>
  </si>
  <si>
    <t>Electricity</t>
  </si>
  <si>
    <t xml:space="preserve">Unit </t>
  </si>
  <si>
    <t>Unit Price</t>
  </si>
  <si>
    <t>MRU</t>
  </si>
  <si>
    <t>Total Gas Delivered</t>
  </si>
  <si>
    <t>Total Gas Cons</t>
  </si>
  <si>
    <t xml:space="preserve">Main Kitchen </t>
  </si>
  <si>
    <t>Max. KVA - Previous</t>
  </si>
  <si>
    <t>Meter Rent</t>
  </si>
  <si>
    <t>Total Cost</t>
  </si>
  <si>
    <t>Hot water Pantry A</t>
  </si>
  <si>
    <t>Laundry - KWH</t>
  </si>
  <si>
    <t>Hot water Pantry B</t>
  </si>
  <si>
    <t>Vacoa - KWH</t>
  </si>
  <si>
    <t>Hot water Pantry C</t>
  </si>
  <si>
    <t>Water</t>
  </si>
  <si>
    <t>Cu M</t>
  </si>
  <si>
    <t>Hot water Pantry D</t>
  </si>
  <si>
    <t>Water Tank</t>
  </si>
  <si>
    <t>Hot water Pantry E</t>
  </si>
  <si>
    <t>CWA</t>
  </si>
  <si>
    <t>Hot water Pantry F</t>
  </si>
  <si>
    <t>Sub: Softener</t>
  </si>
  <si>
    <t>Hot water Pantry G</t>
  </si>
  <si>
    <t>Sub: North Parcel</t>
  </si>
  <si>
    <t>Hot water Main Building</t>
  </si>
  <si>
    <t>Sub: South Parcel</t>
  </si>
  <si>
    <t>Total Luxury Villas</t>
  </si>
  <si>
    <t xml:space="preserve">Sub: Island </t>
  </si>
  <si>
    <t>Miscellanous &amp; Laundry</t>
  </si>
  <si>
    <t>Sub: Main Kitchen Cold</t>
  </si>
  <si>
    <t>ChargeBacks</t>
  </si>
  <si>
    <t>Sub: Chiller</t>
  </si>
  <si>
    <t>Unit</t>
  </si>
  <si>
    <t>Sub: Bamboo (Cold)</t>
  </si>
  <si>
    <t>Res: Electricity - KWH</t>
  </si>
  <si>
    <t>Sub: Bamboo (Hot)</t>
  </si>
  <si>
    <t>Res: Gas - Kg</t>
  </si>
  <si>
    <t>Res: Water - Cu M</t>
  </si>
  <si>
    <t>ADAMAS - KWH</t>
  </si>
  <si>
    <t>KASHMIR - KWH</t>
  </si>
  <si>
    <t>LUDOTEX - KWH</t>
  </si>
  <si>
    <t>Summary</t>
  </si>
  <si>
    <t>Bill</t>
  </si>
  <si>
    <t>Chargeback</t>
  </si>
  <si>
    <t xml:space="preserve">Actual </t>
  </si>
  <si>
    <t xml:space="preserve">Diesel </t>
  </si>
  <si>
    <t>Diesel (L) - Cons</t>
  </si>
  <si>
    <t>Diesel (L) - Del</t>
  </si>
  <si>
    <t xml:space="preserve">Golf Utilities </t>
  </si>
  <si>
    <t>Anahita: MFB</t>
  </si>
  <si>
    <t>Anahita: Golf Academy</t>
  </si>
  <si>
    <t>Anahita: Le Club</t>
  </si>
  <si>
    <t>Domestic meters</t>
  </si>
  <si>
    <t>Lifting Station 4 (KWH)</t>
  </si>
  <si>
    <t>Plant Room DB (KWH)</t>
  </si>
  <si>
    <t>L</t>
  </si>
  <si>
    <t>Gas(Kg) - Le Club</t>
  </si>
  <si>
    <t>Golf Torch</t>
  </si>
  <si>
    <t>Golf Canteen</t>
  </si>
  <si>
    <t xml:space="preserve">Stock Reading </t>
  </si>
  <si>
    <t xml:space="preserve">Item </t>
  </si>
  <si>
    <t xml:space="preserve">Start </t>
  </si>
  <si>
    <t xml:space="preserve">End </t>
  </si>
  <si>
    <t xml:space="preserve">Max. Capacity </t>
  </si>
  <si>
    <t>Gas - Kg</t>
  </si>
  <si>
    <t>Diesel - L</t>
  </si>
  <si>
    <t xml:space="preserve">Water Reading </t>
  </si>
  <si>
    <t>Lorry Meter</t>
  </si>
  <si>
    <t xml:space="preserve">UV Meter </t>
  </si>
  <si>
    <t>Main Kitchen (Cold)</t>
  </si>
  <si>
    <t>Chiller</t>
  </si>
  <si>
    <t>Bamboo (Cold)</t>
  </si>
  <si>
    <t>Bamboo  (Hot)</t>
  </si>
  <si>
    <t>MFB</t>
  </si>
  <si>
    <t>Golf Academy</t>
  </si>
  <si>
    <t>IL Forno</t>
  </si>
  <si>
    <t>HW Pantry A</t>
  </si>
  <si>
    <t>HW Pantry B</t>
  </si>
  <si>
    <t>HW Pantry C</t>
  </si>
  <si>
    <t>HW Pantry D</t>
  </si>
  <si>
    <t>HW Pantry E</t>
  </si>
  <si>
    <t>HW Pantry F</t>
  </si>
  <si>
    <t>HW Pantry G</t>
  </si>
  <si>
    <t>HW Pantry Main Building</t>
  </si>
  <si>
    <t xml:space="preserve">Island </t>
  </si>
  <si>
    <t>Kitchen (Cold)</t>
  </si>
  <si>
    <t>Bamboo Resto (Cold)</t>
  </si>
  <si>
    <t>Bamboo Resto (Hot)</t>
  </si>
  <si>
    <t>Pantry A- Hot Water</t>
  </si>
  <si>
    <t>Pantry B - Hot Water</t>
  </si>
  <si>
    <t>Pantry C - Hot Water</t>
  </si>
  <si>
    <t>Pantry D - Hot Water</t>
  </si>
  <si>
    <t>Pantry E - Hot Water</t>
  </si>
  <si>
    <t>Pantry F- Hot Water</t>
  </si>
  <si>
    <t>Pantry G - Hot Water</t>
  </si>
  <si>
    <t>Main Building- Hot Water</t>
  </si>
  <si>
    <t>Total Hot water consumption</t>
  </si>
  <si>
    <t>Total Cold water consumption</t>
  </si>
  <si>
    <t>Reading</t>
  </si>
  <si>
    <t>M3</t>
  </si>
  <si>
    <t>Hot water Pantry Main Building</t>
  </si>
  <si>
    <t>Le Club</t>
  </si>
  <si>
    <t>Date: 23-Mar</t>
  </si>
  <si>
    <t>Date: 24-Mar</t>
  </si>
  <si>
    <t>Date: 25-Mar</t>
  </si>
  <si>
    <t>Date: 26-Mar</t>
  </si>
  <si>
    <t>Date: 31-Mar</t>
  </si>
  <si>
    <t>Cons -Day 1</t>
  </si>
  <si>
    <t>Cons -Day 2</t>
  </si>
  <si>
    <t>Cons -Day 3</t>
  </si>
  <si>
    <t>Cons -Day 4</t>
  </si>
  <si>
    <t>KWh</t>
  </si>
  <si>
    <t>VS 201</t>
  </si>
  <si>
    <t>VS 202</t>
  </si>
  <si>
    <t>VS 203</t>
  </si>
  <si>
    <t>VS 204</t>
  </si>
  <si>
    <t>VS 205</t>
  </si>
  <si>
    <t>VS 206</t>
  </si>
  <si>
    <t>VS 207</t>
  </si>
  <si>
    <t>VS 208</t>
  </si>
  <si>
    <t>VS 209</t>
  </si>
  <si>
    <t>VS 210</t>
  </si>
  <si>
    <t>VS 211</t>
  </si>
  <si>
    <t>VS 212</t>
  </si>
  <si>
    <t>VS 213</t>
  </si>
  <si>
    <t>VS 214</t>
  </si>
  <si>
    <t>VS 215</t>
  </si>
  <si>
    <t>VS 216</t>
  </si>
  <si>
    <t>VS 217</t>
  </si>
  <si>
    <t>VS 218</t>
  </si>
  <si>
    <t>VS 219</t>
  </si>
  <si>
    <t>VS 220</t>
  </si>
  <si>
    <t>VR 301</t>
  </si>
  <si>
    <t>VR 302</t>
  </si>
  <si>
    <t>VR 303</t>
  </si>
  <si>
    <t>VR 304</t>
  </si>
  <si>
    <t>VR 305</t>
  </si>
  <si>
    <t>VR 306</t>
  </si>
  <si>
    <t>VR 307</t>
  </si>
  <si>
    <t>VR 308</t>
  </si>
  <si>
    <t>VR 309</t>
  </si>
  <si>
    <t>VR 310</t>
  </si>
  <si>
    <t>VR 311</t>
  </si>
  <si>
    <t>VR 312</t>
  </si>
  <si>
    <t>VR 313</t>
  </si>
  <si>
    <t>VR 314</t>
  </si>
  <si>
    <t>VR 315</t>
  </si>
  <si>
    <t>LV 401</t>
  </si>
  <si>
    <t>LV 402</t>
  </si>
  <si>
    <t>LV 403</t>
  </si>
  <si>
    <t>LV 404</t>
  </si>
  <si>
    <t>LV 405</t>
  </si>
  <si>
    <t>LV 501</t>
  </si>
  <si>
    <t>LV 502</t>
  </si>
  <si>
    <t>LV 503</t>
  </si>
  <si>
    <t>LV 504</t>
  </si>
  <si>
    <t>LV 505</t>
  </si>
  <si>
    <t xml:space="preserve">Gas Reading </t>
  </si>
  <si>
    <t>Delivery Kg</t>
  </si>
  <si>
    <t>Tank No 1</t>
  </si>
  <si>
    <t>Tank No 2</t>
  </si>
  <si>
    <t>Tank No 3</t>
  </si>
  <si>
    <t>Total Refill</t>
  </si>
  <si>
    <t>Total Cons</t>
  </si>
  <si>
    <t xml:space="preserve">Gas Farm </t>
  </si>
  <si>
    <t>Bambou Restaurant</t>
  </si>
  <si>
    <t>Aquapazza Restaurant</t>
  </si>
  <si>
    <t xml:space="preserve">Tank No1 ( %) </t>
  </si>
  <si>
    <t xml:space="preserve">Tank No2 ( %) </t>
  </si>
  <si>
    <t>Tank No3 (%)</t>
  </si>
  <si>
    <t>Gas Farm</t>
  </si>
  <si>
    <t xml:space="preserve">Pantry A </t>
  </si>
  <si>
    <t xml:space="preserve">Tank No1 </t>
  </si>
  <si>
    <t xml:space="preserve">Tank No2 </t>
  </si>
  <si>
    <t>Tank No3</t>
  </si>
  <si>
    <t>Percentage</t>
  </si>
  <si>
    <t>Refill Kg</t>
  </si>
  <si>
    <t>Cons Kg</t>
  </si>
  <si>
    <t>Cost(Rs)</t>
  </si>
  <si>
    <t>KG</t>
  </si>
  <si>
    <t>Cons M3</t>
  </si>
  <si>
    <t xml:space="preserve">Reading </t>
  </si>
  <si>
    <t>Previous</t>
  </si>
  <si>
    <t>Total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</si>
</sst>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_-;\-* #,##0_-;_-* &quot;-&quot;_-;_-@_-"/>
    <numFmt numFmtId="165" formatCode="_-* #,##0.00_-;\-* #,##0.00_-;_-* &quot;-&quot;??_-;_-@_-"/>
    <numFmt numFmtId="166" formatCode="_-&quot;£&quot;* #,##0.00_-;\-&quot;£&quot;* #,##0.00_-;_-&quot;£&quot;* &quot;-&quot;??_-;_-@_-"/>
    <numFmt numFmtId="167" formatCode="[$-409]d\-mmm\-yy;@"/>
    <numFmt numFmtId="168" formatCode="[$-409]d\-mmm;@"/>
    <numFmt numFmtId="169" formatCode="_(* #,##0_);_(* \(#,##0\);_(* &quot;-&quot;??_);_(@_)"/>
    <numFmt numFmtId="170" formatCode="_-* #,##0_-;\-* #,##0_-;_-* &quot;-&quot;??_-;_-@_-"/>
    <numFmt numFmtId="171" formatCode="_-[$MUR]\ * #,##0.00_-;\-[$MUR]\ * #,##0.00_-;_-[$MUR]\ * &quot;-&quot;??_-;_-@_-"/>
    <numFmt numFmtId="172" formatCode="0.0"/>
    <numFmt numFmtId="173" formatCode="#,##0.0"/>
    <numFmt numFmtId="174" formatCode="_-* #,##0.0_-;\-* #,##0.0_-;_-* &quot;-&quot;_-;_-@_-"/>
    <numFmt numFmtId="175" formatCode="#,##0_ ;[Red]\-#,##0\ "/>
    <numFmt numFmtId="176" formatCode="_-* #,##0.00_-;\-* #,##0.00_-;_-* &quot;-&quot;_-;_-@_-"/>
    <numFmt numFmtId="177" formatCode="0.0%"/>
    <numFmt numFmtId="178" formatCode="_-* #,##0.000_-;\-* #,##0.000_-;_-* &quot;-&quot;_-;_-@_-"/>
  </numFmts>
  <fonts count="47">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i/>
      <sz val="16"/>
      <name val="Arial"/>
      <family val="2"/>
    </font>
    <font>
      <b/>
      <sz val="14"/>
      <name val="Arial"/>
      <family val="2"/>
    </font>
    <font>
      <sz val="10"/>
      <name val="Calibri"/>
      <family val="2"/>
    </font>
    <font>
      <b/>
      <u/>
      <sz val="10"/>
      <name val="Arial"/>
      <family val="2"/>
    </font>
    <font>
      <b/>
      <sz val="11"/>
      <color rgb="FFFF0000"/>
      <name val="Calibri"/>
      <family val="2"/>
      <scheme val="minor"/>
    </font>
    <font>
      <sz val="10"/>
      <color rgb="FFFF0000"/>
      <name val="Arial"/>
      <family val="2"/>
    </font>
    <font>
      <b/>
      <sz val="16"/>
      <name val="Arial"/>
      <family val="2"/>
    </font>
    <font>
      <b/>
      <sz val="12"/>
      <name val="Arial"/>
      <family val="2"/>
    </font>
    <font>
      <b/>
      <sz val="10"/>
      <color rgb="FFFF0000"/>
      <name val="Arial"/>
      <family val="2"/>
    </font>
    <font>
      <b/>
      <sz val="10"/>
      <color theme="3" tint="0.39997558519241921"/>
      <name val="Arial"/>
      <family val="2"/>
    </font>
    <font>
      <sz val="10"/>
      <color theme="3" tint="0.39997558519241921"/>
      <name val="Arial"/>
      <family val="2"/>
    </font>
    <font>
      <b/>
      <sz val="11"/>
      <name val="Arial"/>
      <family val="2"/>
    </font>
    <font>
      <sz val="11"/>
      <name val="Arial"/>
      <family val="2"/>
    </font>
    <font>
      <b/>
      <i/>
      <sz val="10"/>
      <name val="Arial"/>
      <family val="2"/>
    </font>
    <font>
      <b/>
      <i/>
      <u/>
      <sz val="12"/>
      <name val="Arial"/>
      <family val="2"/>
    </font>
    <font>
      <u/>
      <sz val="10"/>
      <color theme="10"/>
      <name val="Arial"/>
      <family val="2"/>
    </font>
    <font>
      <sz val="11"/>
      <name val="Calibri"/>
      <family val="2"/>
      <scheme val="minor"/>
    </font>
    <font>
      <sz val="11"/>
      <color rgb="FFFF0000"/>
      <name val="Calibri"/>
      <family val="2"/>
      <charset val="1"/>
    </font>
    <font>
      <b/>
      <sz val="11"/>
      <color theme="1"/>
      <name val="Calibri"/>
      <family val="2"/>
    </font>
    <font>
      <b/>
      <sz val="9"/>
      <color indexed="81"/>
      <name val="Tahoma"/>
      <family val="2"/>
    </font>
    <font>
      <sz val="9"/>
      <color indexed="81"/>
      <name val="Tahoma"/>
      <family val="2"/>
    </font>
    <font>
      <sz val="11"/>
      <color rgb="FF000000"/>
      <name val="Calibri"/>
      <family val="2"/>
      <scheme val="minor"/>
    </font>
    <font>
      <b/>
      <sz val="8"/>
      <color theme="1"/>
      <name val="Calibri"/>
      <family val="2"/>
    </font>
    <font>
      <b/>
      <vertAlign val="superscript"/>
      <sz val="8"/>
      <color theme="1"/>
      <name val="Calibri"/>
      <family val="2"/>
    </font>
    <font>
      <sz val="8"/>
      <color theme="1"/>
      <name val="Calibri"/>
      <family val="2"/>
      <scheme val="minor"/>
    </font>
    <font>
      <sz val="8"/>
      <color theme="1"/>
      <name val="Calibri"/>
      <family val="2"/>
      <charset val="1"/>
      <scheme val="minor"/>
    </font>
    <font>
      <sz val="11"/>
      <color rgb="FF000000"/>
      <name val="Calibri"/>
      <family val="2"/>
      <charset val="1"/>
    </font>
    <font>
      <sz val="11"/>
      <color theme="1"/>
      <name val="Calibri"/>
      <family val="2"/>
    </font>
    <font>
      <b/>
      <sz val="11"/>
      <color rgb="FF000000"/>
      <name val="Calibri"/>
      <family val="2"/>
    </font>
    <font>
      <sz val="11"/>
      <color rgb="FF444444"/>
      <name val="Calibri"/>
      <family val="2"/>
      <charset val="1"/>
    </font>
    <font>
      <sz val="8"/>
      <color rgb="FF444444"/>
      <name val="Calibri"/>
      <family val="2"/>
      <charset val="1"/>
    </font>
    <font>
      <sz val="8"/>
      <color rgb="FF000000"/>
      <name val="Calibri"/>
      <family val="2"/>
      <scheme val="minor"/>
    </font>
    <font>
      <sz val="8"/>
      <color rgb="FF444444"/>
      <name val="Calibri"/>
      <family val="2"/>
    </font>
    <font>
      <sz val="11"/>
      <color rgb="FF444444"/>
      <name val="Calibri"/>
      <family val="2"/>
    </font>
    <font>
      <b/>
      <sz val="9"/>
      <color theme="1"/>
      <name val="Calibri"/>
      <family val="2"/>
    </font>
    <font>
      <sz val="9"/>
      <color theme="1"/>
      <name val="Calibri"/>
      <family val="2"/>
      <scheme val="minor"/>
    </font>
    <font>
      <sz val="9"/>
      <color rgb="FF444444"/>
      <name val="Calibri"/>
      <family val="2"/>
      <charset val="1"/>
    </font>
    <font>
      <sz val="9"/>
      <color theme="1"/>
      <name val="Calibri"/>
      <family val="2"/>
      <charset val="1"/>
      <scheme val="minor"/>
    </font>
    <font>
      <sz val="9"/>
      <color rgb="FF000000"/>
      <name val="Calibri"/>
      <family val="2"/>
      <scheme val="minor"/>
    </font>
  </fonts>
  <fills count="1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FF"/>
        <bgColor indexed="64"/>
      </patternFill>
    </fill>
    <fill>
      <patternFill patternType="solid">
        <fgColor rgb="FFFFE699"/>
        <bgColor indexed="64"/>
      </patternFill>
    </fill>
    <fill>
      <patternFill patternType="solid">
        <fgColor rgb="FFFFD966"/>
        <bgColor indexed="64"/>
      </patternFill>
    </fill>
  </fills>
  <borders count="8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right style="thick">
        <color indexed="64"/>
      </right>
      <top/>
      <bottom/>
      <diagonal/>
    </border>
    <border>
      <left/>
      <right style="medium">
        <color indexed="64"/>
      </right>
      <top style="medium">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rgb="FFFF0000"/>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thin">
        <color indexed="64"/>
      </top>
      <bottom style="medium">
        <color indexed="64"/>
      </bottom>
      <diagonal/>
    </border>
    <border>
      <left/>
      <right/>
      <top/>
      <bottom style="double">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s>
  <cellStyleXfs count="20">
    <xf numFmtId="0" fontId="0" fillId="0" borderId="0"/>
    <xf numFmtId="0" fontId="6" fillId="0" borderId="0"/>
    <xf numFmtId="43" fontId="6" fillId="0" borderId="0" applyFont="0" applyFill="0" applyBorder="0" applyAlignment="0" applyProtection="0"/>
    <xf numFmtId="0" fontId="3" fillId="0" borderId="0"/>
    <xf numFmtId="0" fontId="3" fillId="0" borderId="0"/>
    <xf numFmtId="165" fontId="3" fillId="0" borderId="0" applyFont="0" applyFill="0" applyBorder="0" applyAlignment="0" applyProtection="0"/>
    <xf numFmtId="166" fontId="6" fillId="0" borderId="0" applyFont="0" applyFill="0" applyBorder="0" applyAlignment="0" applyProtection="0"/>
    <xf numFmtId="0" fontId="23" fillId="0" borderId="0" applyNumberFormat="0" applyFill="0" applyBorder="0" applyAlignment="0" applyProtection="0">
      <alignment vertical="top"/>
      <protection locked="0"/>
    </xf>
    <xf numFmtId="0" fontId="6" fillId="0" borderId="0"/>
    <xf numFmtId="0" fontId="3" fillId="0" borderId="0"/>
    <xf numFmtId="0" fontId="3" fillId="0" borderId="0"/>
    <xf numFmtId="0" fontId="3" fillId="0" borderId="0"/>
    <xf numFmtId="0" fontId="3" fillId="0" borderId="0"/>
    <xf numFmtId="0" fontId="3" fillId="0" borderId="0"/>
    <xf numFmtId="9" fontId="6"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cellStyleXfs>
  <cellXfs count="874">
    <xf numFmtId="0" fontId="0" fillId="0" borderId="0" xfId="0"/>
    <xf numFmtId="0" fontId="6" fillId="2" borderId="0" xfId="1" applyFill="1"/>
    <xf numFmtId="0" fontId="7" fillId="2" borderId="0" xfId="1" applyFont="1" applyFill="1"/>
    <xf numFmtId="0" fontId="6" fillId="2" borderId="0" xfId="1" applyFill="1" applyAlignment="1">
      <alignment horizontal="right"/>
    </xf>
    <xf numFmtId="0" fontId="6" fillId="2" borderId="0" xfId="1" applyFill="1" applyAlignment="1">
      <alignment horizontal="center"/>
    </xf>
    <xf numFmtId="0" fontId="8" fillId="2" borderId="0" xfId="1" applyFont="1" applyFill="1" applyAlignment="1">
      <alignment horizontal="right"/>
    </xf>
    <xf numFmtId="0" fontId="9" fillId="2" borderId="0" xfId="1" applyFont="1" applyFill="1" applyAlignment="1">
      <alignment horizontal="center"/>
    </xf>
    <xf numFmtId="0" fontId="7" fillId="2" borderId="4" xfId="1" applyFont="1" applyFill="1" applyBorder="1" applyAlignment="1">
      <alignment horizontal="center"/>
    </xf>
    <xf numFmtId="0" fontId="9" fillId="2" borderId="4" xfId="1" applyFont="1" applyFill="1" applyBorder="1" applyAlignment="1">
      <alignment horizontal="center"/>
    </xf>
    <xf numFmtId="0" fontId="6" fillId="2" borderId="4" xfId="1" applyFill="1" applyBorder="1"/>
    <xf numFmtId="168" fontId="6" fillId="2" borderId="0" xfId="1" applyNumberFormat="1" applyFill="1"/>
    <xf numFmtId="0" fontId="6" fillId="2" borderId="5" xfId="1" applyFill="1" applyBorder="1" applyAlignment="1">
      <alignment horizontal="center"/>
    </xf>
    <xf numFmtId="3" fontId="6" fillId="2" borderId="5" xfId="1" applyNumberFormat="1" applyFill="1" applyBorder="1" applyAlignment="1">
      <alignment horizontal="center"/>
    </xf>
    <xf numFmtId="0" fontId="6" fillId="2" borderId="6" xfId="1" applyFill="1" applyBorder="1"/>
    <xf numFmtId="3" fontId="6" fillId="2" borderId="0" xfId="1" applyNumberFormat="1" applyFill="1"/>
    <xf numFmtId="3" fontId="6" fillId="2" borderId="4" xfId="1" applyNumberFormat="1" applyFill="1" applyBorder="1" applyAlignment="1">
      <alignment horizontal="left"/>
    </xf>
    <xf numFmtId="0" fontId="6" fillId="2" borderId="0" xfId="1" applyFill="1" applyAlignment="1">
      <alignment horizontal="left"/>
    </xf>
    <xf numFmtId="0" fontId="6" fillId="2" borderId="5" xfId="1" applyFill="1" applyBorder="1"/>
    <xf numFmtId="3" fontId="6" fillId="2" borderId="0" xfId="1" applyNumberFormat="1" applyFill="1" applyAlignment="1">
      <alignment horizontal="center"/>
    </xf>
    <xf numFmtId="169" fontId="6" fillId="2" borderId="0" xfId="2" applyNumberFormat="1" applyFill="1" applyAlignment="1">
      <alignment horizontal="center"/>
    </xf>
    <xf numFmtId="0" fontId="6" fillId="2" borderId="4" xfId="1" applyFill="1" applyBorder="1" applyAlignment="1">
      <alignment horizontal="left"/>
    </xf>
    <xf numFmtId="0" fontId="7" fillId="2" borderId="5" xfId="1" applyFont="1" applyFill="1" applyBorder="1"/>
    <xf numFmtId="0" fontId="7" fillId="2" borderId="5" xfId="1" applyFont="1" applyFill="1" applyBorder="1" applyAlignment="1">
      <alignment horizontal="center"/>
    </xf>
    <xf numFmtId="0" fontId="6" fillId="2" borderId="10" xfId="1" applyFill="1" applyBorder="1" applyAlignment="1">
      <alignment horizontal="center"/>
    </xf>
    <xf numFmtId="14" fontId="6" fillId="2" borderId="4" xfId="1" applyNumberFormat="1" applyFill="1" applyBorder="1" applyAlignment="1">
      <alignment horizontal="center"/>
    </xf>
    <xf numFmtId="167" fontId="6" fillId="2" borderId="7" xfId="1" applyNumberFormat="1" applyFill="1" applyBorder="1" applyAlignment="1">
      <alignment horizontal="center"/>
    </xf>
    <xf numFmtId="167" fontId="6" fillId="2" borderId="9" xfId="1" applyNumberFormat="1" applyFill="1" applyBorder="1" applyAlignment="1">
      <alignment horizontal="center"/>
    </xf>
    <xf numFmtId="167" fontId="6" fillId="2" borderId="8" xfId="1" applyNumberFormat="1" applyFill="1" applyBorder="1" applyAlignment="1">
      <alignment horizontal="center"/>
    </xf>
    <xf numFmtId="167" fontId="6" fillId="2" borderId="0" xfId="1" applyNumberFormat="1" applyFill="1" applyAlignment="1">
      <alignment horizontal="center"/>
    </xf>
    <xf numFmtId="14" fontId="6" fillId="2" borderId="0" xfId="1" applyNumberFormat="1" applyFill="1"/>
    <xf numFmtId="16" fontId="6" fillId="2" borderId="0" xfId="1" applyNumberFormat="1" applyFill="1"/>
    <xf numFmtId="0" fontId="11" fillId="2" borderId="11" xfId="1" applyFont="1" applyFill="1" applyBorder="1" applyAlignment="1">
      <alignment vertical="top"/>
    </xf>
    <xf numFmtId="0" fontId="11" fillId="2" borderId="12" xfId="1" applyFont="1" applyFill="1" applyBorder="1" applyAlignment="1">
      <alignment vertical="top"/>
    </xf>
    <xf numFmtId="0" fontId="11" fillId="2" borderId="13" xfId="1" applyFont="1" applyFill="1" applyBorder="1" applyAlignment="1">
      <alignment vertical="top"/>
    </xf>
    <xf numFmtId="0" fontId="11" fillId="2" borderId="11" xfId="1" applyFont="1" applyFill="1" applyBorder="1"/>
    <xf numFmtId="0" fontId="6" fillId="2" borderId="12" xfId="1" applyFill="1" applyBorder="1" applyAlignment="1">
      <alignment horizontal="right"/>
    </xf>
    <xf numFmtId="0" fontId="6" fillId="2" borderId="12" xfId="1" applyFill="1" applyBorder="1"/>
    <xf numFmtId="0" fontId="6" fillId="2" borderId="13" xfId="1" applyFill="1" applyBorder="1"/>
    <xf numFmtId="0" fontId="0" fillId="0" borderId="0" xfId="0" applyProtection="1">
      <protection locked="0"/>
    </xf>
    <xf numFmtId="0" fontId="12" fillId="3" borderId="2" xfId="0" applyFont="1" applyFill="1" applyBorder="1" applyAlignment="1" applyProtection="1">
      <alignment horizontal="center"/>
      <protection locked="0"/>
    </xf>
    <xf numFmtId="0" fontId="12" fillId="0" borderId="1" xfId="3" applyFont="1" applyBorder="1" applyAlignment="1" applyProtection="1">
      <alignment horizontal="center"/>
      <protection locked="0"/>
    </xf>
    <xf numFmtId="0" fontId="12" fillId="0" borderId="3" xfId="3" applyFont="1" applyBorder="1" applyAlignment="1" applyProtection="1">
      <alignment horizontal="center"/>
      <protection locked="0"/>
    </xf>
    <xf numFmtId="0" fontId="0" fillId="0" borderId="0" xfId="0" applyAlignment="1" applyProtection="1">
      <alignment horizontal="center" wrapText="1"/>
      <protection locked="0"/>
    </xf>
    <xf numFmtId="0" fontId="0" fillId="3" borderId="0" xfId="0" applyFill="1" applyAlignment="1" applyProtection="1">
      <alignment horizontal="center" wrapText="1"/>
      <protection locked="0"/>
    </xf>
    <xf numFmtId="0" fontId="12" fillId="0" borderId="0" xfId="0" applyFont="1" applyAlignment="1" applyProtection="1">
      <alignment horizontal="center"/>
      <protection locked="0"/>
    </xf>
    <xf numFmtId="0" fontId="0" fillId="3" borderId="0" xfId="0" applyFill="1" applyAlignment="1" applyProtection="1">
      <alignment horizontal="center"/>
      <protection locked="0"/>
    </xf>
    <xf numFmtId="0" fontId="12" fillId="0" borderId="17" xfId="3" applyFont="1" applyBorder="1" applyProtection="1">
      <protection locked="0"/>
    </xf>
    <xf numFmtId="0" fontId="3" fillId="0" borderId="0" xfId="3" applyProtection="1">
      <protection locked="0"/>
    </xf>
    <xf numFmtId="0" fontId="12" fillId="0" borderId="1" xfId="0" applyFont="1" applyBorder="1" applyProtection="1">
      <protection locked="0"/>
    </xf>
    <xf numFmtId="0" fontId="12" fillId="0" borderId="3" xfId="0" applyFont="1" applyBorder="1" applyProtection="1">
      <protection locked="0"/>
    </xf>
    <xf numFmtId="0" fontId="12" fillId="0" borderId="18" xfId="3" applyFont="1" applyBorder="1" applyAlignment="1" applyProtection="1">
      <alignment horizontal="center"/>
      <protection locked="0"/>
    </xf>
    <xf numFmtId="0" fontId="5" fillId="0" borderId="7" xfId="0" applyFont="1" applyBorder="1"/>
    <xf numFmtId="0" fontId="5" fillId="0" borderId="19" xfId="0" applyFont="1" applyBorder="1"/>
    <xf numFmtId="1" fontId="5" fillId="0" borderId="6" xfId="0" applyNumberFormat="1" applyFont="1" applyBorder="1"/>
    <xf numFmtId="0" fontId="5" fillId="0" borderId="6" xfId="0" applyFont="1" applyBorder="1"/>
    <xf numFmtId="1" fontId="5" fillId="3" borderId="6" xfId="0" applyNumberFormat="1" applyFont="1" applyFill="1" applyBorder="1"/>
    <xf numFmtId="0" fontId="5" fillId="0" borderId="4" xfId="0" applyFont="1" applyBorder="1"/>
    <xf numFmtId="0" fontId="5" fillId="3" borderId="6" xfId="0" applyFont="1" applyFill="1" applyBorder="1"/>
    <xf numFmtId="0" fontId="5" fillId="0" borderId="22" xfId="0" applyFont="1" applyBorder="1"/>
    <xf numFmtId="0" fontId="5" fillId="0" borderId="5" xfId="0" applyFont="1" applyBorder="1" applyAlignment="1">
      <alignment horizontal="center" vertical="center" wrapText="1"/>
    </xf>
    <xf numFmtId="0" fontId="5" fillId="0" borderId="6" xfId="3" applyFont="1" applyBorder="1" applyAlignment="1">
      <alignment wrapText="1"/>
    </xf>
    <xf numFmtId="0" fontId="5" fillId="0" borderId="22" xfId="3" applyFont="1" applyBorder="1" applyAlignment="1">
      <alignment wrapText="1"/>
    </xf>
    <xf numFmtId="0" fontId="5" fillId="0" borderId="5" xfId="0" applyFont="1" applyBorder="1"/>
    <xf numFmtId="0" fontId="0" fillId="0" borderId="17" xfId="0" applyBorder="1" applyAlignment="1">
      <alignment horizontal="center" wrapText="1"/>
    </xf>
    <xf numFmtId="0" fontId="5" fillId="0" borderId="17" xfId="0" applyFont="1" applyBorder="1" applyAlignment="1">
      <alignment horizontal="center"/>
    </xf>
    <xf numFmtId="0" fontId="5" fillId="0" borderId="17" xfId="0" applyFont="1" applyBorder="1" applyAlignment="1">
      <alignment horizontal="center" wrapText="1"/>
    </xf>
    <xf numFmtId="0" fontId="0" fillId="0" borderId="17" xfId="0" applyBorder="1" applyAlignment="1">
      <alignment horizontal="center" vertical="center" wrapText="1"/>
    </xf>
    <xf numFmtId="0" fontId="4" fillId="4" borderId="1" xfId="0" applyFont="1" applyFill="1" applyBorder="1" applyAlignment="1">
      <alignment horizontal="center" vertical="center" wrapText="1"/>
    </xf>
    <xf numFmtId="168" fontId="0" fillId="0" borderId="23" xfId="0" applyNumberFormat="1" applyBorder="1" applyAlignment="1">
      <alignment horizontal="center" vertical="center"/>
    </xf>
    <xf numFmtId="0" fontId="0" fillId="0" borderId="17" xfId="0" applyBorder="1" applyAlignment="1">
      <alignment horizontal="center"/>
    </xf>
    <xf numFmtId="0" fontId="0" fillId="6" borderId="17" xfId="0" applyFill="1" applyBorder="1" applyAlignment="1">
      <alignment horizontal="center"/>
    </xf>
    <xf numFmtId="0" fontId="0" fillId="5" borderId="17" xfId="0" applyFill="1" applyBorder="1" applyAlignment="1">
      <alignment horizontal="center" vertical="center"/>
    </xf>
    <xf numFmtId="0" fontId="0" fillId="5" borderId="24" xfId="0" applyFill="1" applyBorder="1" applyAlignment="1">
      <alignment horizontal="center" vertical="center"/>
    </xf>
    <xf numFmtId="1" fontId="0" fillId="5" borderId="17" xfId="0" applyNumberFormat="1" applyFill="1" applyBorder="1" applyAlignment="1">
      <alignment horizontal="center"/>
    </xf>
    <xf numFmtId="0" fontId="0" fillId="0" borderId="0" xfId="0" applyAlignment="1">
      <alignment horizontal="center"/>
    </xf>
    <xf numFmtId="0" fontId="0" fillId="5" borderId="17" xfId="0" applyFill="1" applyBorder="1"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0" fontId="0" fillId="6" borderId="3" xfId="0" applyFill="1" applyBorder="1" applyAlignment="1">
      <alignment horizontal="center"/>
    </xf>
    <xf numFmtId="1" fontId="0" fillId="0" borderId="0" xfId="0" applyNumberFormat="1"/>
    <xf numFmtId="0" fontId="3" fillId="0" borderId="0" xfId="3"/>
    <xf numFmtId="0" fontId="7" fillId="0" borderId="27" xfId="1" applyFont="1" applyBorder="1" applyAlignment="1">
      <alignment horizontal="left"/>
    </xf>
    <xf numFmtId="0" fontId="7" fillId="0" borderId="29" xfId="1" applyFont="1" applyBorder="1"/>
    <xf numFmtId="0" fontId="7" fillId="0" borderId="30" xfId="1" applyFont="1" applyBorder="1"/>
    <xf numFmtId="0" fontId="6" fillId="0" borderId="0" xfId="1" applyAlignment="1">
      <alignment horizontal="left"/>
    </xf>
    <xf numFmtId="1" fontId="15" fillId="0" borderId="32" xfId="1" applyNumberFormat="1" applyFont="1" applyBorder="1"/>
    <xf numFmtId="0" fontId="7" fillId="0" borderId="33" xfId="1" applyFont="1" applyBorder="1" applyAlignment="1">
      <alignment horizontal="center"/>
    </xf>
    <xf numFmtId="0" fontId="7" fillId="0" borderId="33" xfId="1" applyFont="1" applyBorder="1" applyAlignment="1">
      <alignment horizontal="right"/>
    </xf>
    <xf numFmtId="165" fontId="7" fillId="0" borderId="34" xfId="5" applyFont="1" applyBorder="1" applyAlignment="1">
      <alignment horizontal="right"/>
    </xf>
    <xf numFmtId="165" fontId="7" fillId="0" borderId="35" xfId="5" applyFont="1" applyBorder="1" applyAlignment="1">
      <alignment horizontal="right"/>
    </xf>
    <xf numFmtId="0" fontId="6" fillId="0" borderId="0" xfId="1"/>
    <xf numFmtId="1" fontId="6" fillId="0" borderId="36" xfId="1" applyNumberFormat="1" applyBorder="1"/>
    <xf numFmtId="1" fontId="16" fillId="8" borderId="5" xfId="1" applyNumberFormat="1" applyFont="1" applyFill="1" applyBorder="1"/>
    <xf numFmtId="165" fontId="0" fillId="0" borderId="38" xfId="5" applyFont="1" applyBorder="1" applyAlignment="1">
      <alignment horizontal="right"/>
    </xf>
    <xf numFmtId="1" fontId="17" fillId="4" borderId="16" xfId="1" applyNumberFormat="1" applyFont="1" applyFill="1" applyBorder="1"/>
    <xf numFmtId="1" fontId="18" fillId="4" borderId="39" xfId="1" applyNumberFormat="1" applyFont="1" applyFill="1" applyBorder="1"/>
    <xf numFmtId="2" fontId="6" fillId="4" borderId="5" xfId="1" applyNumberFormat="1" applyFill="1" applyBorder="1" applyAlignment="1">
      <alignment horizontal="right"/>
    </xf>
    <xf numFmtId="1" fontId="6" fillId="0" borderId="41" xfId="1" applyNumberFormat="1" applyBorder="1"/>
    <xf numFmtId="2" fontId="6" fillId="0" borderId="5" xfId="1" applyNumberFormat="1" applyBorder="1" applyAlignment="1">
      <alignment horizontal="right"/>
    </xf>
    <xf numFmtId="165" fontId="0" fillId="0" borderId="42" xfId="5" applyFont="1" applyBorder="1" applyAlignment="1">
      <alignment horizontal="right"/>
    </xf>
    <xf numFmtId="1" fontId="16" fillId="0" borderId="8" xfId="1" applyNumberFormat="1" applyFont="1" applyBorder="1"/>
    <xf numFmtId="165" fontId="13" fillId="0" borderId="42" xfId="5" applyFont="1" applyBorder="1" applyAlignment="1">
      <alignment horizontal="right"/>
    </xf>
    <xf numFmtId="1" fontId="6" fillId="0" borderId="8" xfId="1" applyNumberFormat="1" applyBorder="1"/>
    <xf numFmtId="165" fontId="0" fillId="0" borderId="0" xfId="5" applyFont="1"/>
    <xf numFmtId="1" fontId="6" fillId="4" borderId="41" xfId="1" applyNumberFormat="1" applyFill="1" applyBorder="1"/>
    <xf numFmtId="1" fontId="6" fillId="4" borderId="5" xfId="1" applyNumberFormat="1" applyFill="1" applyBorder="1" applyAlignment="1">
      <alignment horizontal="right"/>
    </xf>
    <xf numFmtId="165" fontId="0" fillId="4" borderId="42" xfId="5" applyFont="1" applyFill="1" applyBorder="1" applyAlignment="1">
      <alignment horizontal="right"/>
    </xf>
    <xf numFmtId="1" fontId="6" fillId="0" borderId="5" xfId="1" applyNumberFormat="1" applyBorder="1"/>
    <xf numFmtId="1" fontId="6" fillId="0" borderId="43" xfId="1" applyNumberFormat="1" applyBorder="1"/>
    <xf numFmtId="165" fontId="0" fillId="0" borderId="44" xfId="5" applyFont="1" applyBorder="1" applyAlignment="1">
      <alignment horizontal="right"/>
    </xf>
    <xf numFmtId="1" fontId="15" fillId="0" borderId="45" xfId="1" applyNumberFormat="1" applyFont="1" applyBorder="1"/>
    <xf numFmtId="0" fontId="7" fillId="0" borderId="46" xfId="1" applyFont="1" applyBorder="1" applyAlignment="1">
      <alignment horizontal="center"/>
    </xf>
    <xf numFmtId="0" fontId="7" fillId="0" borderId="46" xfId="1" applyFont="1" applyBorder="1" applyAlignment="1">
      <alignment horizontal="right"/>
    </xf>
    <xf numFmtId="165" fontId="7" fillId="0" borderId="47" xfId="5" applyFont="1" applyBorder="1" applyAlignment="1">
      <alignment horizontal="right"/>
    </xf>
    <xf numFmtId="0" fontId="6" fillId="4" borderId="41" xfId="1" applyFill="1" applyBorder="1"/>
    <xf numFmtId="0" fontId="6" fillId="4" borderId="5" xfId="1" applyFill="1" applyBorder="1"/>
    <xf numFmtId="165" fontId="0" fillId="4" borderId="40" xfId="5" applyFont="1" applyFill="1" applyBorder="1" applyAlignment="1">
      <alignment horizontal="right"/>
    </xf>
    <xf numFmtId="1" fontId="6" fillId="4" borderId="48" xfId="1" applyNumberFormat="1" applyFill="1" applyBorder="1"/>
    <xf numFmtId="1" fontId="6" fillId="4" borderId="39" xfId="1" applyNumberFormat="1" applyFill="1" applyBorder="1" applyAlignment="1">
      <alignment horizontal="right"/>
    </xf>
    <xf numFmtId="1" fontId="6" fillId="0" borderId="13" xfId="1" applyNumberFormat="1" applyBorder="1"/>
    <xf numFmtId="1" fontId="6" fillId="0" borderId="22" xfId="1" applyNumberFormat="1" applyBorder="1"/>
    <xf numFmtId="0" fontId="7" fillId="0" borderId="8" xfId="1" applyFont="1" applyBorder="1" applyAlignment="1">
      <alignment horizontal="center" vertical="center"/>
    </xf>
    <xf numFmtId="0" fontId="7" fillId="0" borderId="42" xfId="1" applyFont="1" applyBorder="1" applyAlignment="1">
      <alignment horizontal="center"/>
    </xf>
    <xf numFmtId="0" fontId="6" fillId="0" borderId="8" xfId="1" applyBorder="1"/>
    <xf numFmtId="2" fontId="6" fillId="0" borderId="5" xfId="1" applyNumberFormat="1" applyBorder="1"/>
    <xf numFmtId="165" fontId="0" fillId="8" borderId="42" xfId="5" applyFont="1" applyFill="1" applyBorder="1" applyAlignment="1"/>
    <xf numFmtId="1" fontId="13" fillId="0" borderId="8" xfId="1" applyNumberFormat="1" applyFont="1" applyBorder="1"/>
    <xf numFmtId="165" fontId="0" fillId="0" borderId="42" xfId="5" applyFont="1" applyBorder="1" applyAlignment="1"/>
    <xf numFmtId="1" fontId="13" fillId="0" borderId="50" xfId="1" applyNumberFormat="1" applyFont="1" applyBorder="1"/>
    <xf numFmtId="165" fontId="0" fillId="0" borderId="51" xfId="5" applyFont="1" applyBorder="1" applyAlignment="1"/>
    <xf numFmtId="1" fontId="6" fillId="0" borderId="27" xfId="1" applyNumberFormat="1" applyBorder="1"/>
    <xf numFmtId="165" fontId="0" fillId="0" borderId="51" xfId="5" applyFont="1" applyBorder="1" applyAlignment="1">
      <alignment horizontal="right"/>
    </xf>
    <xf numFmtId="1" fontId="15" fillId="0" borderId="36" xfId="1" applyNumberFormat="1" applyFont="1" applyBorder="1" applyAlignment="1">
      <alignment horizontal="left"/>
    </xf>
    <xf numFmtId="0" fontId="7" fillId="0" borderId="37" xfId="1" applyFont="1" applyBorder="1" applyAlignment="1">
      <alignment horizontal="right"/>
    </xf>
    <xf numFmtId="165" fontId="7" fillId="0" borderId="38" xfId="5" applyFont="1" applyBorder="1" applyAlignment="1">
      <alignment horizontal="right"/>
    </xf>
    <xf numFmtId="1" fontId="7" fillId="0" borderId="41" xfId="1" applyNumberFormat="1" applyFont="1" applyBorder="1"/>
    <xf numFmtId="1" fontId="7" fillId="4" borderId="27" xfId="1" applyNumberFormat="1" applyFont="1" applyFill="1" applyBorder="1"/>
    <xf numFmtId="1" fontId="6" fillId="4" borderId="25" xfId="1" applyNumberFormat="1" applyFill="1" applyBorder="1" applyAlignment="1">
      <alignment horizontal="right"/>
    </xf>
    <xf numFmtId="2" fontId="6" fillId="4" borderId="25" xfId="1" applyNumberFormat="1" applyFill="1" applyBorder="1" applyAlignment="1">
      <alignment horizontal="right"/>
    </xf>
    <xf numFmtId="165" fontId="0" fillId="4" borderId="51" xfId="5" applyFont="1" applyFill="1" applyBorder="1" applyAlignment="1">
      <alignment horizontal="right"/>
    </xf>
    <xf numFmtId="0" fontId="15" fillId="9" borderId="27" xfId="1" applyFont="1" applyFill="1" applyBorder="1" applyAlignment="1">
      <alignment horizontal="right" vertical="center"/>
    </xf>
    <xf numFmtId="170" fontId="19" fillId="9" borderId="25" xfId="1" applyNumberFormat="1" applyFont="1" applyFill="1" applyBorder="1"/>
    <xf numFmtId="170" fontId="19" fillId="9" borderId="42" xfId="1" applyNumberFormat="1" applyFont="1" applyFill="1" applyBorder="1"/>
    <xf numFmtId="0" fontId="14" fillId="7" borderId="0" xfId="1" applyFont="1" applyFill="1" applyAlignment="1">
      <alignment horizontal="center"/>
    </xf>
    <xf numFmtId="0" fontId="14" fillId="7" borderId="4" xfId="1" applyFont="1" applyFill="1" applyBorder="1" applyAlignment="1">
      <alignment horizontal="center"/>
    </xf>
    <xf numFmtId="1" fontId="15" fillId="0" borderId="36" xfId="1" applyNumberFormat="1" applyFont="1" applyBorder="1"/>
    <xf numFmtId="1" fontId="15" fillId="0" borderId="49" xfId="1" applyNumberFormat="1" applyFont="1" applyBorder="1"/>
    <xf numFmtId="1" fontId="6" fillId="0" borderId="5" xfId="1" applyNumberFormat="1" applyBorder="1" applyAlignment="1">
      <alignment horizontal="right"/>
    </xf>
    <xf numFmtId="1" fontId="6" fillId="8" borderId="5" xfId="1" applyNumberFormat="1" applyFill="1" applyBorder="1" applyAlignment="1">
      <alignment horizontal="right"/>
    </xf>
    <xf numFmtId="165" fontId="0" fillId="0" borderId="5" xfId="5" applyFont="1" applyBorder="1" applyAlignment="1">
      <alignment horizontal="right"/>
    </xf>
    <xf numFmtId="1" fontId="15" fillId="0" borderId="52" xfId="1" applyNumberFormat="1" applyFont="1" applyBorder="1"/>
    <xf numFmtId="165" fontId="7" fillId="0" borderId="53" xfId="5" applyFont="1" applyBorder="1" applyAlignment="1">
      <alignment horizontal="right"/>
    </xf>
    <xf numFmtId="1" fontId="6" fillId="8" borderId="22" xfId="1" applyNumberFormat="1" applyFill="1" applyBorder="1" applyAlignment="1">
      <alignment horizontal="right"/>
    </xf>
    <xf numFmtId="165" fontId="0" fillId="0" borderId="22" xfId="5" applyFont="1" applyBorder="1" applyAlignment="1">
      <alignment horizontal="right"/>
    </xf>
    <xf numFmtId="0" fontId="6" fillId="7" borderId="45" xfId="1" applyFill="1" applyBorder="1"/>
    <xf numFmtId="171" fontId="0" fillId="7" borderId="18" xfId="6" applyNumberFormat="1" applyFont="1" applyFill="1" applyBorder="1" applyAlignment="1">
      <alignment horizontal="left"/>
    </xf>
    <xf numFmtId="0" fontId="6" fillId="7" borderId="18" xfId="1" applyFill="1" applyBorder="1"/>
    <xf numFmtId="171" fontId="0" fillId="7" borderId="18" xfId="6" applyNumberFormat="1" applyFont="1" applyFill="1" applyBorder="1"/>
    <xf numFmtId="0" fontId="6" fillId="7" borderId="54" xfId="1" applyFill="1" applyBorder="1"/>
    <xf numFmtId="171" fontId="0" fillId="7" borderId="0" xfId="6" applyNumberFormat="1" applyFont="1" applyFill="1" applyBorder="1" applyAlignment="1">
      <alignment horizontal="left"/>
    </xf>
    <xf numFmtId="0" fontId="6" fillId="7" borderId="0" xfId="1" applyFill="1"/>
    <xf numFmtId="171" fontId="0" fillId="7" borderId="0" xfId="6" applyNumberFormat="1" applyFont="1" applyFill="1" applyBorder="1" applyAlignment="1">
      <alignment horizontal="right"/>
    </xf>
    <xf numFmtId="2" fontId="6" fillId="0" borderId="25" xfId="1" applyNumberFormat="1" applyBorder="1" applyAlignment="1">
      <alignment horizontal="right"/>
    </xf>
    <xf numFmtId="171" fontId="0" fillId="7" borderId="0" xfId="6" applyNumberFormat="1" applyFont="1" applyFill="1" applyBorder="1"/>
    <xf numFmtId="0" fontId="6" fillId="0" borderId="5" xfId="1" applyBorder="1"/>
    <xf numFmtId="165" fontId="0" fillId="0" borderId="7" xfId="5" applyFont="1" applyBorder="1" applyAlignment="1">
      <alignment horizontal="right"/>
    </xf>
    <xf numFmtId="0" fontId="6" fillId="0" borderId="5" xfId="1" applyBorder="1" applyAlignment="1">
      <alignment horizontal="right"/>
    </xf>
    <xf numFmtId="0" fontId="6" fillId="0" borderId="0" xfId="1" applyAlignment="1">
      <alignment horizontal="right"/>
    </xf>
    <xf numFmtId="165" fontId="0" fillId="0" borderId="0" xfId="5" applyFont="1" applyAlignment="1">
      <alignment horizontal="right"/>
    </xf>
    <xf numFmtId="1" fontId="19" fillId="0" borderId="36" xfId="1" applyNumberFormat="1" applyFont="1" applyBorder="1"/>
    <xf numFmtId="0" fontId="0" fillId="10" borderId="26" xfId="0" applyFill="1" applyBorder="1" applyAlignment="1">
      <alignment horizontal="center"/>
    </xf>
    <xf numFmtId="9" fontId="6" fillId="0" borderId="0" xfId="1" applyNumberFormat="1"/>
    <xf numFmtId="0" fontId="22" fillId="0" borderId="0" xfId="1" applyFont="1" applyAlignment="1">
      <alignment horizontal="left"/>
    </xf>
    <xf numFmtId="1" fontId="22" fillId="0" borderId="0" xfId="1" applyNumberFormat="1" applyFont="1" applyAlignment="1">
      <alignment horizontal="left"/>
    </xf>
    <xf numFmtId="0" fontId="23" fillId="0" borderId="0" xfId="7" applyAlignment="1" applyProtection="1"/>
    <xf numFmtId="0" fontId="15" fillId="0" borderId="0" xfId="1" applyFont="1"/>
    <xf numFmtId="0" fontId="7" fillId="0" borderId="7" xfId="1" applyFont="1" applyBorder="1" applyAlignment="1">
      <alignment horizontal="left"/>
    </xf>
    <xf numFmtId="0" fontId="7" fillId="0" borderId="38" xfId="1" applyFont="1" applyBorder="1" applyAlignment="1">
      <alignment horizontal="center"/>
    </xf>
    <xf numFmtId="0" fontId="7" fillId="0" borderId="41" xfId="1" applyFont="1" applyBorder="1" applyAlignment="1">
      <alignment horizontal="center"/>
    </xf>
    <xf numFmtId="1" fontId="7" fillId="0" borderId="5" xfId="1" applyNumberFormat="1" applyFont="1" applyBorder="1" applyAlignment="1">
      <alignment horizontal="center"/>
    </xf>
    <xf numFmtId="0" fontId="7" fillId="0" borderId="8" xfId="1" applyFont="1" applyBorder="1"/>
    <xf numFmtId="0" fontId="7" fillId="0" borderId="5" xfId="1" applyFont="1" applyBorder="1"/>
    <xf numFmtId="0" fontId="16" fillId="0" borderId="5" xfId="1" applyFont="1" applyBorder="1"/>
    <xf numFmtId="0" fontId="6" fillId="0" borderId="17" xfId="1" applyBorder="1" applyAlignment="1">
      <alignment horizontal="center"/>
    </xf>
    <xf numFmtId="0" fontId="6" fillId="0" borderId="1" xfId="1" applyBorder="1" applyAlignment="1">
      <alignment horizontal="center"/>
    </xf>
    <xf numFmtId="0" fontId="24" fillId="0" borderId="5" xfId="1" applyFont="1" applyBorder="1" applyAlignment="1">
      <alignment horizontal="right" vertical="center"/>
    </xf>
    <xf numFmtId="1" fontId="6" fillId="0" borderId="42" xfId="1" applyNumberFormat="1" applyBorder="1" applyAlignment="1">
      <alignment horizontal="right"/>
    </xf>
    <xf numFmtId="1" fontId="6" fillId="7" borderId="8" xfId="1" applyNumberFormat="1" applyFill="1" applyBorder="1"/>
    <xf numFmtId="1" fontId="6" fillId="0" borderId="17" xfId="1" applyNumberFormat="1" applyBorder="1"/>
    <xf numFmtId="1" fontId="13" fillId="0" borderId="5" xfId="1" applyNumberFormat="1" applyFont="1" applyBorder="1"/>
    <xf numFmtId="2" fontId="13" fillId="0" borderId="5" xfId="1" applyNumberFormat="1" applyFont="1" applyBorder="1"/>
    <xf numFmtId="16" fontId="6" fillId="0" borderId="7" xfId="1" applyNumberFormat="1" applyBorder="1" applyAlignment="1">
      <alignment horizontal="left"/>
    </xf>
    <xf numFmtId="1" fontId="6" fillId="0" borderId="25" xfId="1" applyNumberFormat="1" applyBorder="1" applyAlignment="1">
      <alignment horizontal="center"/>
    </xf>
    <xf numFmtId="1" fontId="6" fillId="0" borderId="55" xfId="1" applyNumberFormat="1" applyBorder="1" applyAlignment="1">
      <alignment horizontal="center"/>
    </xf>
    <xf numFmtId="1" fontId="6" fillId="0" borderId="25" xfId="1" applyNumberFormat="1" applyBorder="1" applyAlignment="1">
      <alignment horizontal="left"/>
    </xf>
    <xf numFmtId="1" fontId="6" fillId="0" borderId="51" xfId="1" applyNumberFormat="1" applyBorder="1" applyAlignment="1">
      <alignment horizontal="left"/>
    </xf>
    <xf numFmtId="0" fontId="13" fillId="0" borderId="0" xfId="1" applyFont="1"/>
    <xf numFmtId="0" fontId="6" fillId="0" borderId="42" xfId="1" applyBorder="1" applyAlignment="1">
      <alignment horizontal="right"/>
    </xf>
    <xf numFmtId="0" fontId="7" fillId="0" borderId="5" xfId="1" applyFont="1" applyBorder="1" applyAlignment="1">
      <alignment horizontal="right"/>
    </xf>
    <xf numFmtId="172" fontId="6" fillId="0" borderId="5" xfId="1" applyNumberFormat="1" applyBorder="1" applyAlignment="1">
      <alignment horizontal="right"/>
    </xf>
    <xf numFmtId="16" fontId="7" fillId="0" borderId="7" xfId="1" applyNumberFormat="1" applyFont="1" applyBorder="1" applyAlignment="1">
      <alignment horizontal="left"/>
    </xf>
    <xf numFmtId="16" fontId="7" fillId="0" borderId="39" xfId="1" applyNumberFormat="1" applyFont="1" applyBorder="1" applyAlignment="1">
      <alignment horizontal="left"/>
    </xf>
    <xf numFmtId="1" fontId="7" fillId="0" borderId="39" xfId="1" applyNumberFormat="1" applyFont="1" applyBorder="1" applyAlignment="1">
      <alignment horizontal="left"/>
    </xf>
    <xf numFmtId="172" fontId="6" fillId="0" borderId="5" xfId="1" applyNumberFormat="1" applyBorder="1"/>
    <xf numFmtId="1" fontId="6" fillId="0" borderId="0" xfId="1" applyNumberFormat="1" applyAlignment="1">
      <alignment horizontal="left"/>
    </xf>
    <xf numFmtId="0" fontId="7" fillId="0" borderId="36" xfId="1" applyFont="1" applyBorder="1" applyAlignment="1">
      <alignment horizontal="left"/>
    </xf>
    <xf numFmtId="0" fontId="7" fillId="0" borderId="37" xfId="1" applyFont="1" applyBorder="1"/>
    <xf numFmtId="1" fontId="6" fillId="0" borderId="38" xfId="1" applyNumberFormat="1" applyBorder="1"/>
    <xf numFmtId="1" fontId="6" fillId="0" borderId="0" xfId="1" applyNumberFormat="1"/>
    <xf numFmtId="0" fontId="7" fillId="0" borderId="41" xfId="1" applyFont="1" applyBorder="1" applyAlignment="1">
      <alignment horizontal="left"/>
    </xf>
    <xf numFmtId="1" fontId="6" fillId="0" borderId="42" xfId="1" applyNumberFormat="1" applyBorder="1"/>
    <xf numFmtId="2" fontId="6" fillId="0" borderId="42" xfId="1" applyNumberFormat="1" applyBorder="1"/>
    <xf numFmtId="0" fontId="7" fillId="0" borderId="25" xfId="1" applyFont="1" applyBorder="1"/>
    <xf numFmtId="1" fontId="6" fillId="0" borderId="51" xfId="1" applyNumberFormat="1" applyBorder="1"/>
    <xf numFmtId="0" fontId="5" fillId="0" borderId="10" xfId="0" applyFont="1" applyBorder="1"/>
    <xf numFmtId="0" fontId="5" fillId="0" borderId="20" xfId="0" applyFont="1" applyBorder="1" applyAlignment="1">
      <alignment wrapText="1"/>
    </xf>
    <xf numFmtId="0" fontId="22" fillId="0" borderId="0" xfId="8" applyFont="1" applyAlignment="1">
      <alignment horizontal="left"/>
    </xf>
    <xf numFmtId="0" fontId="6" fillId="0" borderId="0" xfId="8"/>
    <xf numFmtId="0" fontId="15" fillId="0" borderId="0" xfId="8" quotePrefix="1" applyFont="1" applyAlignment="1">
      <alignment horizontal="left"/>
    </xf>
    <xf numFmtId="0" fontId="22" fillId="0" borderId="56" xfId="8" applyFont="1" applyBorder="1" applyAlignment="1">
      <alignment horizontal="left"/>
    </xf>
    <xf numFmtId="0" fontId="7" fillId="0" borderId="58" xfId="8" applyFont="1" applyBorder="1" applyAlignment="1">
      <alignment horizontal="left"/>
    </xf>
    <xf numFmtId="0" fontId="7" fillId="0" borderId="9" xfId="8" applyFont="1" applyBorder="1" applyAlignment="1">
      <alignment horizontal="left"/>
    </xf>
    <xf numFmtId="0" fontId="7" fillId="0" borderId="5" xfId="8" applyFont="1" applyBorder="1" applyAlignment="1">
      <alignment horizontal="left"/>
    </xf>
    <xf numFmtId="0" fontId="7" fillId="0" borderId="22" xfId="8" applyFont="1" applyBorder="1"/>
    <xf numFmtId="0" fontId="7" fillId="0" borderId="16" xfId="8" applyFont="1" applyBorder="1"/>
    <xf numFmtId="0" fontId="7" fillId="0" borderId="39" xfId="8" applyFont="1" applyBorder="1"/>
    <xf numFmtId="0" fontId="16" fillId="0" borderId="39" xfId="8" applyFont="1" applyBorder="1"/>
    <xf numFmtId="168" fontId="6" fillId="0" borderId="58" xfId="8" applyNumberFormat="1" applyBorder="1" applyAlignment="1">
      <alignment horizontal="left"/>
    </xf>
    <xf numFmtId="0" fontId="6" fillId="0" borderId="13" xfId="8" applyBorder="1" applyAlignment="1">
      <alignment horizontal="left"/>
    </xf>
    <xf numFmtId="0" fontId="6" fillId="0" borderId="17" xfId="8" applyBorder="1"/>
    <xf numFmtId="0" fontId="6" fillId="0" borderId="5" xfId="8" applyBorder="1" applyAlignment="1">
      <alignment horizontal="left"/>
    </xf>
    <xf numFmtId="0" fontId="6" fillId="0" borderId="17" xfId="8" applyBorder="1" applyAlignment="1">
      <alignment horizontal="center" vertical="center"/>
    </xf>
    <xf numFmtId="2" fontId="6" fillId="0" borderId="8" xfId="8" applyNumberFormat="1" applyBorder="1"/>
    <xf numFmtId="2" fontId="6" fillId="0" borderId="22" xfId="8" applyNumberFormat="1" applyBorder="1"/>
    <xf numFmtId="2" fontId="13" fillId="0" borderId="5" xfId="8" applyNumberFormat="1" applyFont="1" applyBorder="1"/>
    <xf numFmtId="16" fontId="6" fillId="0" borderId="58" xfId="8" applyNumberFormat="1" applyBorder="1" applyAlignment="1">
      <alignment horizontal="left"/>
    </xf>
    <xf numFmtId="16" fontId="7" fillId="0" borderId="58" xfId="8" applyNumberFormat="1" applyFont="1" applyBorder="1" applyAlignment="1">
      <alignment horizontal="left"/>
    </xf>
    <xf numFmtId="16" fontId="7" fillId="0" borderId="50" xfId="8" applyNumberFormat="1" applyFont="1" applyBorder="1" applyAlignment="1">
      <alignment horizontal="left"/>
    </xf>
    <xf numFmtId="0" fontId="7" fillId="0" borderId="25" xfId="8" applyFont="1" applyBorder="1" applyAlignment="1">
      <alignment horizontal="left"/>
    </xf>
    <xf numFmtId="0" fontId="6" fillId="0" borderId="42" xfId="8" applyBorder="1" applyAlignment="1">
      <alignment horizontal="left"/>
    </xf>
    <xf numFmtId="0" fontId="7" fillId="0" borderId="27" xfId="8" applyFont="1" applyBorder="1" applyAlignment="1">
      <alignment horizontal="left"/>
    </xf>
    <xf numFmtId="2" fontId="6" fillId="0" borderId="5" xfId="8" applyNumberFormat="1" applyBorder="1"/>
    <xf numFmtId="0" fontId="6" fillId="0" borderId="25" xfId="8" applyBorder="1"/>
    <xf numFmtId="0" fontId="22" fillId="0" borderId="0" xfId="8" applyFont="1" applyAlignment="1">
      <alignment horizontal="center" vertical="center"/>
    </xf>
    <xf numFmtId="0" fontId="6" fillId="0" borderId="10" xfId="8" applyBorder="1"/>
    <xf numFmtId="0" fontId="15" fillId="0" borderId="0" xfId="8" applyFont="1"/>
    <xf numFmtId="0" fontId="7" fillId="0" borderId="7" xfId="8" applyFont="1" applyBorder="1" applyAlignment="1">
      <alignment horizontal="left"/>
    </xf>
    <xf numFmtId="0" fontId="7" fillId="0" borderId="1" xfId="8" applyFont="1" applyBorder="1" applyAlignment="1">
      <alignment horizontal="left"/>
    </xf>
    <xf numFmtId="0" fontId="7" fillId="0" borderId="32" xfId="8" applyFont="1" applyBorder="1" applyAlignment="1">
      <alignment horizontal="left"/>
    </xf>
    <xf numFmtId="0" fontId="7" fillId="0" borderId="33" xfId="8" applyFont="1" applyBorder="1" applyAlignment="1">
      <alignment horizontal="left"/>
    </xf>
    <xf numFmtId="0" fontId="7" fillId="0" borderId="35" xfId="8" applyFont="1" applyBorder="1" applyAlignment="1">
      <alignment horizontal="left"/>
    </xf>
    <xf numFmtId="0" fontId="7" fillId="0" borderId="15" xfId="8" applyFont="1" applyBorder="1" applyAlignment="1">
      <alignment horizontal="center"/>
    </xf>
    <xf numFmtId="0" fontId="7" fillId="0" borderId="19" xfId="8" applyFont="1" applyBorder="1" applyAlignment="1">
      <alignment horizontal="left"/>
    </xf>
    <xf numFmtId="0" fontId="7" fillId="0" borderId="6" xfId="8" applyFont="1" applyBorder="1" applyAlignment="1">
      <alignment horizontal="left"/>
    </xf>
    <xf numFmtId="0" fontId="7" fillId="0" borderId="10" xfId="8" applyFont="1" applyBorder="1" applyAlignment="1">
      <alignment horizontal="left"/>
    </xf>
    <xf numFmtId="0" fontId="7" fillId="0" borderId="60" xfId="8" applyFont="1" applyBorder="1" applyAlignment="1">
      <alignment horizontal="left"/>
    </xf>
    <xf numFmtId="0" fontId="7" fillId="0" borderId="57" xfId="8" applyFont="1" applyBorder="1" applyAlignment="1">
      <alignment horizontal="left"/>
    </xf>
    <xf numFmtId="0" fontId="7" fillId="0" borderId="6" xfId="8" applyFont="1" applyBorder="1" applyAlignment="1">
      <alignment horizontal="center"/>
    </xf>
    <xf numFmtId="0" fontId="7" fillId="0" borderId="10" xfId="8" applyFont="1" applyBorder="1" applyAlignment="1">
      <alignment horizontal="center" vertical="center"/>
    </xf>
    <xf numFmtId="0" fontId="7" fillId="0" borderId="0" xfId="8" applyFont="1" applyAlignment="1">
      <alignment horizontal="center" vertical="center"/>
    </xf>
    <xf numFmtId="0" fontId="7" fillId="0" borderId="61" xfId="8" applyFont="1" applyBorder="1"/>
    <xf numFmtId="0" fontId="7" fillId="0" borderId="55" xfId="8" applyFont="1" applyBorder="1"/>
    <xf numFmtId="0" fontId="7" fillId="0" borderId="62" xfId="8" applyFont="1" applyBorder="1"/>
    <xf numFmtId="0" fontId="7" fillId="0" borderId="41" xfId="8" applyFont="1" applyBorder="1"/>
    <xf numFmtId="0" fontId="7" fillId="0" borderId="5" xfId="8" applyFont="1" applyBorder="1"/>
    <xf numFmtId="0" fontId="7" fillId="0" borderId="7" xfId="8" applyFont="1" applyBorder="1"/>
    <xf numFmtId="0" fontId="7" fillId="0" borderId="8" xfId="8" applyFont="1" applyBorder="1"/>
    <xf numFmtId="0" fontId="7" fillId="0" borderId="48" xfId="8" applyFont="1" applyBorder="1"/>
    <xf numFmtId="0" fontId="7" fillId="0" borderId="14" xfId="8" applyFont="1" applyBorder="1"/>
    <xf numFmtId="0" fontId="7" fillId="0" borderId="42" xfId="8" applyFont="1" applyBorder="1"/>
    <xf numFmtId="0" fontId="7" fillId="0" borderId="15" xfId="8" applyFont="1" applyBorder="1" applyAlignment="1">
      <alignment horizontal="left"/>
    </xf>
    <xf numFmtId="0" fontId="6" fillId="0" borderId="17" xfId="8" applyBorder="1" applyAlignment="1">
      <alignment horizontal="center"/>
    </xf>
    <xf numFmtId="0" fontId="6" fillId="0" borderId="16" xfId="8" applyBorder="1"/>
    <xf numFmtId="1" fontId="6" fillId="0" borderId="5" xfId="8" applyNumberFormat="1" applyBorder="1"/>
    <xf numFmtId="1" fontId="6" fillId="0" borderId="39" xfId="8" applyNumberFormat="1" applyBorder="1"/>
    <xf numFmtId="0" fontId="6" fillId="0" borderId="39" xfId="8" applyBorder="1"/>
    <xf numFmtId="0" fontId="6" fillId="0" borderId="41" xfId="8" applyBorder="1"/>
    <xf numFmtId="0" fontId="6" fillId="0" borderId="5" xfId="8" applyBorder="1"/>
    <xf numFmtId="1" fontId="6" fillId="0" borderId="7" xfId="8" applyNumberFormat="1" applyBorder="1"/>
    <xf numFmtId="1" fontId="6" fillId="0" borderId="8" xfId="8" applyNumberFormat="1" applyBorder="1"/>
    <xf numFmtId="1" fontId="6" fillId="0" borderId="41" xfId="8" applyNumberFormat="1" applyBorder="1"/>
    <xf numFmtId="16" fontId="6" fillId="0" borderId="63" xfId="8" applyNumberFormat="1" applyBorder="1" applyAlignment="1">
      <alignment horizontal="left"/>
    </xf>
    <xf numFmtId="0" fontId="6" fillId="0" borderId="5" xfId="8" applyBorder="1" applyAlignment="1">
      <alignment horizontal="center"/>
    </xf>
    <xf numFmtId="1" fontId="6" fillId="0" borderId="5" xfId="8" applyNumberFormat="1" applyBorder="1" applyAlignment="1">
      <alignment horizontal="center"/>
    </xf>
    <xf numFmtId="0" fontId="6" fillId="0" borderId="8" xfId="8" applyBorder="1"/>
    <xf numFmtId="0" fontId="6" fillId="0" borderId="27" xfId="8" applyBorder="1"/>
    <xf numFmtId="16" fontId="6" fillId="0" borderId="5" xfId="8" applyNumberFormat="1" applyBorder="1" applyAlignment="1">
      <alignment horizontal="left"/>
    </xf>
    <xf numFmtId="0" fontId="6" fillId="0" borderId="0" xfId="8" applyAlignment="1">
      <alignment horizontal="center"/>
    </xf>
    <xf numFmtId="0" fontId="6" fillId="0" borderId="6" xfId="8" applyBorder="1"/>
    <xf numFmtId="1" fontId="6" fillId="0" borderId="0" xfId="8" applyNumberFormat="1"/>
    <xf numFmtId="1" fontId="6" fillId="0" borderId="6" xfId="8" applyNumberFormat="1" applyBorder="1"/>
    <xf numFmtId="172" fontId="6" fillId="0" borderId="6" xfId="8" applyNumberFormat="1" applyBorder="1"/>
    <xf numFmtId="0" fontId="6" fillId="0" borderId="0" xfId="8" applyAlignment="1">
      <alignment horizontal="left"/>
    </xf>
    <xf numFmtId="1" fontId="6" fillId="0" borderId="0" xfId="8" applyNumberFormat="1" applyAlignment="1">
      <alignment horizontal="center"/>
    </xf>
    <xf numFmtId="1" fontId="6" fillId="0" borderId="0" xfId="8" applyNumberFormat="1" applyAlignment="1">
      <alignment horizontal="right"/>
    </xf>
    <xf numFmtId="0" fontId="6" fillId="0" borderId="0" xfId="8" applyAlignment="1">
      <alignment horizontal="center" vertical="center"/>
    </xf>
    <xf numFmtId="172" fontId="6" fillId="0" borderId="0" xfId="8" applyNumberFormat="1" applyAlignment="1">
      <alignment horizontal="left"/>
    </xf>
    <xf numFmtId="9" fontId="0" fillId="0" borderId="0" xfId="14" applyFont="1"/>
    <xf numFmtId="0" fontId="7" fillId="7" borderId="5" xfId="8" applyFont="1" applyFill="1" applyBorder="1" applyAlignment="1" applyProtection="1">
      <alignment horizontal="center" vertical="center"/>
      <protection locked="0"/>
    </xf>
    <xf numFmtId="0" fontId="6" fillId="0" borderId="5" xfId="8" applyBorder="1" applyAlignment="1" applyProtection="1">
      <alignment horizontal="center" vertical="center"/>
      <protection locked="0"/>
    </xf>
    <xf numFmtId="0" fontId="6" fillId="0" borderId="5" xfId="8" applyBorder="1" applyAlignment="1" applyProtection="1">
      <alignment horizontal="center"/>
      <protection locked="0"/>
    </xf>
    <xf numFmtId="1" fontId="6" fillId="0" borderId="5" xfId="8" applyNumberFormat="1" applyBorder="1" applyAlignment="1" applyProtection="1">
      <alignment horizontal="center" vertical="center"/>
      <protection locked="0"/>
    </xf>
    <xf numFmtId="1" fontId="6" fillId="0" borderId="5" xfId="8" applyNumberFormat="1" applyBorder="1" applyAlignment="1" applyProtection="1">
      <alignment horizontal="center"/>
      <protection locked="0"/>
    </xf>
    <xf numFmtId="0" fontId="0" fillId="0" borderId="17" xfId="0" applyBorder="1" applyAlignment="1" applyProtection="1">
      <alignment horizontal="center" vertical="center"/>
      <protection locked="0"/>
    </xf>
    <xf numFmtId="1" fontId="0" fillId="0" borderId="25" xfId="0" applyNumberFormat="1" applyBorder="1" applyAlignment="1" applyProtection="1">
      <alignment horizontal="center"/>
      <protection locked="0"/>
    </xf>
    <xf numFmtId="0" fontId="0" fillId="0" borderId="17" xfId="0" applyBorder="1" applyAlignment="1" applyProtection="1">
      <alignment horizontal="center"/>
      <protection locked="0"/>
    </xf>
    <xf numFmtId="0" fontId="0" fillId="0" borderId="3" xfId="0" applyBorder="1" applyAlignment="1" applyProtection="1">
      <alignment horizontal="center"/>
      <protection locked="0"/>
    </xf>
    <xf numFmtId="0" fontId="0" fillId="0" borderId="3" xfId="0" applyBorder="1" applyAlignment="1" applyProtection="1">
      <alignment horizontal="center" vertical="center"/>
      <protection locked="0"/>
    </xf>
    <xf numFmtId="1" fontId="0" fillId="0" borderId="17" xfId="0" applyNumberFormat="1" applyBorder="1" applyAlignment="1" applyProtection="1">
      <alignment horizontal="center" vertical="center"/>
      <protection locked="0"/>
    </xf>
    <xf numFmtId="0" fontId="3" fillId="0" borderId="1" xfId="3"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6" fillId="2" borderId="0" xfId="1" applyFill="1" applyAlignment="1" applyProtection="1">
      <alignment horizontal="center"/>
      <protection locked="0"/>
    </xf>
    <xf numFmtId="0" fontId="6" fillId="2" borderId="5" xfId="1" applyFill="1" applyBorder="1" applyProtection="1">
      <protection locked="0"/>
    </xf>
    <xf numFmtId="0" fontId="6" fillId="2" borderId="0" xfId="1" applyFill="1" applyProtection="1">
      <protection locked="0"/>
    </xf>
    <xf numFmtId="0" fontId="6" fillId="2" borderId="4" xfId="1" applyFill="1" applyBorder="1" applyAlignment="1" applyProtection="1">
      <alignment horizontal="center"/>
      <protection locked="0"/>
    </xf>
    <xf numFmtId="0" fontId="6" fillId="2" borderId="4" xfId="1" applyFill="1" applyBorder="1" applyProtection="1">
      <protection locked="0"/>
    </xf>
    <xf numFmtId="0" fontId="6" fillId="2" borderId="5" xfId="1" applyFill="1" applyBorder="1" applyAlignment="1" applyProtection="1">
      <alignment horizontal="right"/>
      <protection locked="0"/>
    </xf>
    <xf numFmtId="2" fontId="6" fillId="0" borderId="5" xfId="1" applyNumberFormat="1" applyBorder="1" applyAlignment="1" applyProtection="1">
      <alignment horizontal="right"/>
      <protection locked="0"/>
    </xf>
    <xf numFmtId="2" fontId="6" fillId="0" borderId="22" xfId="1" applyNumberFormat="1" applyBorder="1" applyAlignment="1" applyProtection="1">
      <alignment horizontal="right"/>
      <protection locked="0"/>
    </xf>
    <xf numFmtId="0" fontId="6" fillId="4" borderId="5" xfId="1" applyFill="1" applyBorder="1" applyProtection="1">
      <protection locked="0"/>
    </xf>
    <xf numFmtId="2" fontId="6" fillId="4" borderId="39" xfId="1" applyNumberFormat="1" applyFill="1" applyBorder="1" applyAlignment="1" applyProtection="1">
      <alignment horizontal="right"/>
      <protection locked="0"/>
    </xf>
    <xf numFmtId="2" fontId="6" fillId="4" borderId="5" xfId="1" applyNumberFormat="1" applyFill="1" applyBorder="1" applyAlignment="1" applyProtection="1">
      <alignment horizontal="right"/>
      <protection locked="0"/>
    </xf>
    <xf numFmtId="2" fontId="6" fillId="0" borderId="5" xfId="1" applyNumberFormat="1" applyBorder="1" applyProtection="1">
      <protection locked="0"/>
    </xf>
    <xf numFmtId="0" fontId="6" fillId="9" borderId="41" xfId="1" applyFill="1" applyBorder="1" applyProtection="1">
      <protection locked="0"/>
    </xf>
    <xf numFmtId="0" fontId="7" fillId="9" borderId="5" xfId="1" applyFont="1" applyFill="1" applyBorder="1" applyAlignment="1" applyProtection="1">
      <alignment horizontal="center" vertical="center"/>
      <protection locked="0"/>
    </xf>
    <xf numFmtId="0" fontId="7" fillId="9" borderId="42" xfId="1" applyFont="1" applyFill="1" applyBorder="1" applyAlignment="1" applyProtection="1">
      <alignment horizontal="center" vertical="center"/>
      <protection locked="0"/>
    </xf>
    <xf numFmtId="0" fontId="7" fillId="9" borderId="41" xfId="1" applyFont="1" applyFill="1" applyBorder="1" applyProtection="1">
      <protection locked="0"/>
    </xf>
    <xf numFmtId="170" fontId="20" fillId="9" borderId="5" xfId="1" applyNumberFormat="1" applyFont="1" applyFill="1" applyBorder="1" applyProtection="1">
      <protection locked="0"/>
    </xf>
    <xf numFmtId="170" fontId="20" fillId="9" borderId="42" xfId="1" applyNumberFormat="1" applyFont="1" applyFill="1" applyBorder="1" applyProtection="1">
      <protection locked="0"/>
    </xf>
    <xf numFmtId="1" fontId="7" fillId="9" borderId="41" xfId="1" applyNumberFormat="1" applyFont="1" applyFill="1" applyBorder="1" applyProtection="1">
      <protection locked="0"/>
    </xf>
    <xf numFmtId="1" fontId="13" fillId="0" borderId="5" xfId="1" applyNumberFormat="1" applyFont="1" applyBorder="1" applyAlignment="1" applyProtection="1">
      <alignment horizontal="right"/>
      <protection locked="0"/>
    </xf>
    <xf numFmtId="1" fontId="13" fillId="0" borderId="25" xfId="1" applyNumberFormat="1" applyFont="1" applyBorder="1" applyAlignment="1" applyProtection="1">
      <alignment horizontal="right"/>
      <protection locked="0"/>
    </xf>
    <xf numFmtId="1" fontId="6" fillId="0" borderId="37" xfId="1" applyNumberFormat="1" applyBorder="1" applyAlignment="1" applyProtection="1">
      <alignment horizontal="right"/>
      <protection locked="0"/>
    </xf>
    <xf numFmtId="173" fontId="6" fillId="2" borderId="5" xfId="1" applyNumberFormat="1" applyFill="1" applyBorder="1" applyAlignment="1">
      <alignment horizontal="center"/>
    </xf>
    <xf numFmtId="0" fontId="0" fillId="0" borderId="5" xfId="0" applyBorder="1" applyAlignment="1" applyProtection="1">
      <alignment horizontal="center"/>
      <protection locked="0"/>
    </xf>
    <xf numFmtId="0" fontId="22" fillId="0" borderId="0" xfId="8" quotePrefix="1" applyFont="1" applyAlignment="1">
      <alignment horizontal="left"/>
    </xf>
    <xf numFmtId="0" fontId="22" fillId="0" borderId="5" xfId="8" applyFont="1" applyBorder="1" applyAlignment="1">
      <alignment horizontal="left"/>
    </xf>
    <xf numFmtId="0" fontId="7" fillId="0" borderId="7" xfId="8" applyFont="1" applyBorder="1" applyAlignment="1">
      <alignment wrapText="1"/>
    </xf>
    <xf numFmtId="1" fontId="7" fillId="0" borderId="5" xfId="8" applyNumberFormat="1" applyFont="1" applyBorder="1" applyAlignment="1">
      <alignment horizontal="left"/>
    </xf>
    <xf numFmtId="0" fontId="7" fillId="0" borderId="9" xfId="8" applyFont="1" applyBorder="1"/>
    <xf numFmtId="0" fontId="7" fillId="0" borderId="22" xfId="8" applyFont="1" applyBorder="1" applyAlignment="1">
      <alignment horizontal="left"/>
    </xf>
    <xf numFmtId="1" fontId="6" fillId="0" borderId="22" xfId="8" applyNumberFormat="1" applyBorder="1" applyAlignment="1">
      <alignment horizontal="left"/>
    </xf>
    <xf numFmtId="0" fontId="16" fillId="0" borderId="5" xfId="8" applyFont="1" applyBorder="1"/>
    <xf numFmtId="16" fontId="6" fillId="0" borderId="7" xfId="8" applyNumberFormat="1" applyBorder="1" applyAlignment="1">
      <alignment horizontal="left"/>
    </xf>
    <xf numFmtId="1" fontId="6" fillId="0" borderId="17" xfId="8" applyNumberFormat="1" applyBorder="1" applyAlignment="1">
      <alignment horizontal="center"/>
    </xf>
    <xf numFmtId="16" fontId="7" fillId="0" borderId="7" xfId="8" applyNumberFormat="1" applyFont="1" applyBorder="1" applyAlignment="1">
      <alignment horizontal="left"/>
    </xf>
    <xf numFmtId="0" fontId="0" fillId="0" borderId="7" xfId="0" applyBorder="1" applyAlignment="1" applyProtection="1">
      <alignment horizontal="center" vertical="center"/>
      <protection locked="0"/>
    </xf>
    <xf numFmtId="0" fontId="0" fillId="0" borderId="8" xfId="0" applyBorder="1" applyAlignment="1" applyProtection="1">
      <alignment horizontal="center"/>
      <protection locked="0"/>
    </xf>
    <xf numFmtId="0" fontId="6" fillId="2" borderId="0" xfId="1" applyFill="1" applyAlignment="1">
      <alignment horizontal="left" vertical="top"/>
    </xf>
    <xf numFmtId="0" fontId="0" fillId="0" borderId="26" xfId="0" applyBorder="1" applyAlignment="1" applyProtection="1">
      <alignment horizontal="center" vertical="center"/>
      <protection locked="0"/>
    </xf>
    <xf numFmtId="0" fontId="0" fillId="10" borderId="0" xfId="0" applyFill="1" applyAlignment="1">
      <alignment horizontal="center"/>
    </xf>
    <xf numFmtId="0" fontId="0" fillId="3" borderId="0" xfId="0" applyFill="1" applyAlignment="1">
      <alignment horizontal="center"/>
    </xf>
    <xf numFmtId="0" fontId="0" fillId="3" borderId="17" xfId="0" applyFill="1" applyBorder="1" applyAlignment="1" applyProtection="1">
      <alignment horizontal="center"/>
      <protection locked="0"/>
    </xf>
    <xf numFmtId="0" fontId="0" fillId="3" borderId="26" xfId="0" applyFill="1" applyBorder="1" applyAlignment="1" applyProtection="1">
      <alignment horizontal="center"/>
      <protection locked="0"/>
    </xf>
    <xf numFmtId="0" fontId="23" fillId="2" borderId="0" xfId="7" applyFill="1" applyAlignment="1" applyProtection="1"/>
    <xf numFmtId="0" fontId="2" fillId="0" borderId="0" xfId="15"/>
    <xf numFmtId="0" fontId="2" fillId="0" borderId="5" xfId="15" applyBorder="1" applyAlignment="1">
      <alignment horizontal="center"/>
    </xf>
    <xf numFmtId="0" fontId="2" fillId="0" borderId="5" xfId="15" applyBorder="1"/>
    <xf numFmtId="0" fontId="2" fillId="0" borderId="5" xfId="15" applyBorder="1" applyAlignment="1">
      <alignment horizontal="left"/>
    </xf>
    <xf numFmtId="0" fontId="2" fillId="0" borderId="0" xfId="15" applyAlignment="1">
      <alignment horizontal="center"/>
    </xf>
    <xf numFmtId="0" fontId="2" fillId="4" borderId="5" xfId="15" applyFill="1" applyBorder="1" applyAlignment="1">
      <alignment horizontal="center"/>
    </xf>
    <xf numFmtId="0" fontId="25" fillId="0" borderId="5" xfId="15" applyFont="1" applyBorder="1" applyAlignment="1">
      <alignment horizontal="center"/>
    </xf>
    <xf numFmtId="0" fontId="2" fillId="0" borderId="0" xfId="16"/>
    <xf numFmtId="0" fontId="26" fillId="0" borderId="27" xfId="16" applyFont="1" applyBorder="1" applyAlignment="1">
      <alignment horizontal="center" vertical="center"/>
    </xf>
    <xf numFmtId="0" fontId="26" fillId="0" borderId="25" xfId="16" applyFont="1" applyBorder="1" applyAlignment="1">
      <alignment horizontal="center" vertical="center"/>
    </xf>
    <xf numFmtId="0" fontId="26" fillId="0" borderId="51" xfId="16" applyFont="1" applyBorder="1" applyAlignment="1">
      <alignment horizontal="center" vertical="center"/>
    </xf>
    <xf numFmtId="0" fontId="26" fillId="0" borderId="67" xfId="16" applyFont="1" applyBorder="1" applyAlignment="1">
      <alignment horizontal="center" vertical="center"/>
    </xf>
    <xf numFmtId="0" fontId="26" fillId="0" borderId="68" xfId="16" applyFont="1" applyBorder="1" applyAlignment="1">
      <alignment horizontal="center" vertical="center"/>
    </xf>
    <xf numFmtId="168" fontId="26" fillId="0" borderId="69" xfId="16" applyNumberFormat="1" applyFont="1" applyBorder="1" applyAlignment="1">
      <alignment horizontal="center" vertical="center"/>
    </xf>
    <xf numFmtId="164" fontId="0" fillId="0" borderId="48" xfId="17" applyFont="1" applyBorder="1"/>
    <xf numFmtId="164" fontId="0" fillId="0" borderId="39" xfId="17" applyFont="1" applyBorder="1"/>
    <xf numFmtId="164" fontId="0" fillId="0" borderId="40" xfId="17" applyFont="1" applyBorder="1"/>
    <xf numFmtId="174" fontId="0" fillId="0" borderId="15" xfId="17" applyNumberFormat="1" applyFont="1" applyBorder="1"/>
    <xf numFmtId="164" fontId="2" fillId="0" borderId="63" xfId="16" applyNumberFormat="1" applyBorder="1"/>
    <xf numFmtId="0" fontId="2" fillId="0" borderId="36" xfId="16" applyBorder="1" applyAlignment="1" applyProtection="1">
      <alignment horizontal="center" vertical="center"/>
      <protection locked="0"/>
    </xf>
    <xf numFmtId="9" fontId="2" fillId="0" borderId="38" xfId="16" applyNumberFormat="1" applyBorder="1" applyAlignment="1" applyProtection="1">
      <alignment horizontal="center" vertical="center" wrapText="1"/>
      <protection locked="0"/>
    </xf>
    <xf numFmtId="168" fontId="26" fillId="0" borderId="63" xfId="16" applyNumberFormat="1" applyFont="1" applyBorder="1" applyAlignment="1">
      <alignment horizontal="center" vertical="center"/>
    </xf>
    <xf numFmtId="164" fontId="0" fillId="0" borderId="36" xfId="17" applyFont="1" applyBorder="1"/>
    <xf numFmtId="9" fontId="0" fillId="0" borderId="52" xfId="18" applyFont="1" applyBorder="1"/>
    <xf numFmtId="164" fontId="0" fillId="0" borderId="38" xfId="17" applyFont="1" applyBorder="1"/>
    <xf numFmtId="175" fontId="0" fillId="0" borderId="48" xfId="17" applyNumberFormat="1" applyFont="1" applyBorder="1"/>
    <xf numFmtId="175" fontId="0" fillId="0" borderId="39" xfId="17" applyNumberFormat="1" applyFont="1" applyBorder="1"/>
    <xf numFmtId="175" fontId="0" fillId="0" borderId="40" xfId="17" applyNumberFormat="1" applyFont="1" applyBorder="1"/>
    <xf numFmtId="175" fontId="2" fillId="0" borderId="69" xfId="16" applyNumberFormat="1" applyBorder="1"/>
    <xf numFmtId="168" fontId="26" fillId="0" borderId="70" xfId="16" applyNumberFormat="1" applyFont="1" applyBorder="1" applyAlignment="1">
      <alignment horizontal="center" vertical="center"/>
    </xf>
    <xf numFmtId="164" fontId="0" fillId="0" borderId="41" xfId="17" applyFont="1" applyBorder="1"/>
    <xf numFmtId="164" fontId="0" fillId="0" borderId="5" xfId="17" applyFont="1" applyBorder="1"/>
    <xf numFmtId="164" fontId="0" fillId="0" borderId="42" xfId="17" applyFont="1" applyBorder="1"/>
    <xf numFmtId="174" fontId="0" fillId="0" borderId="9" xfId="17" applyNumberFormat="1" applyFont="1" applyBorder="1"/>
    <xf numFmtId="164" fontId="2" fillId="0" borderId="21" xfId="16" applyNumberFormat="1" applyBorder="1"/>
    <xf numFmtId="0" fontId="2" fillId="0" borderId="41" xfId="16" applyBorder="1" applyAlignment="1" applyProtection="1">
      <alignment horizontal="center" vertical="center"/>
      <protection locked="0"/>
    </xf>
    <xf numFmtId="9" fontId="2" fillId="0" borderId="42" xfId="16" applyNumberFormat="1" applyBorder="1" applyAlignment="1" applyProtection="1">
      <alignment horizontal="center" vertical="center" wrapText="1"/>
      <protection locked="0"/>
    </xf>
    <xf numFmtId="168" fontId="26" fillId="0" borderId="21" xfId="16" applyNumberFormat="1" applyFont="1" applyBorder="1" applyAlignment="1">
      <alignment horizontal="center" vertical="center"/>
    </xf>
    <xf numFmtId="9" fontId="0" fillId="0" borderId="15" xfId="18" applyFont="1" applyBorder="1"/>
    <xf numFmtId="175" fontId="2" fillId="0" borderId="70" xfId="16" applyNumberFormat="1" applyBorder="1"/>
    <xf numFmtId="9" fontId="2" fillId="3" borderId="42" xfId="16" applyNumberFormat="1" applyFill="1" applyBorder="1" applyAlignment="1" applyProtection="1">
      <alignment horizontal="center" vertical="center" wrapText="1"/>
      <protection locked="0"/>
    </xf>
    <xf numFmtId="164" fontId="2" fillId="0" borderId="70" xfId="16" applyNumberFormat="1" applyBorder="1"/>
    <xf numFmtId="164" fontId="26" fillId="12" borderId="71" xfId="17" applyFont="1" applyFill="1" applyBorder="1"/>
    <xf numFmtId="168" fontId="26" fillId="0" borderId="65" xfId="16" applyNumberFormat="1" applyFont="1" applyBorder="1" applyAlignment="1">
      <alignment horizontal="center" vertical="center"/>
    </xf>
    <xf numFmtId="164" fontId="0" fillId="0" borderId="27" xfId="17" applyFont="1" applyBorder="1"/>
    <xf numFmtId="164" fontId="0" fillId="0" borderId="25" xfId="17" applyFont="1" applyBorder="1"/>
    <xf numFmtId="164" fontId="0" fillId="0" borderId="51" xfId="17" applyFont="1" applyBorder="1"/>
    <xf numFmtId="174" fontId="0" fillId="0" borderId="67" xfId="17" applyNumberFormat="1" applyFont="1" applyBorder="1"/>
    <xf numFmtId="164" fontId="2" fillId="0" borderId="72" xfId="16" applyNumberFormat="1" applyBorder="1"/>
    <xf numFmtId="0" fontId="2" fillId="0" borderId="27" xfId="16" applyBorder="1" applyAlignment="1" applyProtection="1">
      <alignment horizontal="center" vertical="center"/>
      <protection locked="0"/>
    </xf>
    <xf numFmtId="9" fontId="2" fillId="0" borderId="51" xfId="16" applyNumberFormat="1" applyBorder="1" applyAlignment="1" applyProtection="1">
      <alignment horizontal="center" vertical="center" wrapText="1"/>
      <protection locked="0"/>
    </xf>
    <xf numFmtId="168" fontId="26" fillId="0" borderId="72" xfId="16" applyNumberFormat="1" applyFont="1" applyBorder="1" applyAlignment="1">
      <alignment horizontal="center" vertical="center"/>
    </xf>
    <xf numFmtId="9" fontId="0" fillId="0" borderId="29" xfId="18" applyFont="1" applyBorder="1"/>
    <xf numFmtId="164" fontId="0" fillId="0" borderId="62" xfId="17" applyFont="1" applyBorder="1"/>
    <xf numFmtId="0" fontId="26" fillId="0" borderId="73" xfId="16" applyFont="1" applyBorder="1" applyAlignment="1">
      <alignment horizontal="center"/>
    </xf>
    <xf numFmtId="164" fontId="26" fillId="0" borderId="71" xfId="17" applyFont="1" applyBorder="1"/>
    <xf numFmtId="164" fontId="26" fillId="0" borderId="0" xfId="17" applyFont="1" applyBorder="1"/>
    <xf numFmtId="0" fontId="26" fillId="0" borderId="0" xfId="16" applyFont="1"/>
    <xf numFmtId="0" fontId="2" fillId="0" borderId="0" xfId="16" applyAlignment="1">
      <alignment horizontal="center"/>
    </xf>
    <xf numFmtId="0" fontId="26" fillId="0" borderId="1" xfId="16" applyFont="1" applyBorder="1"/>
    <xf numFmtId="170" fontId="26" fillId="0" borderId="32" xfId="16" applyNumberFormat="1" applyFont="1" applyBorder="1" applyAlignment="1">
      <alignment horizontal="center"/>
    </xf>
    <xf numFmtId="170" fontId="26" fillId="0" borderId="33" xfId="16" applyNumberFormat="1" applyFont="1" applyBorder="1" applyAlignment="1">
      <alignment horizontal="center"/>
    </xf>
    <xf numFmtId="170" fontId="26" fillId="0" borderId="35" xfId="16" applyNumberFormat="1" applyFont="1" applyBorder="1" applyAlignment="1">
      <alignment horizontal="center"/>
    </xf>
    <xf numFmtId="170" fontId="26" fillId="0" borderId="3" xfId="16" applyNumberFormat="1" applyFont="1" applyBorder="1" applyAlignment="1">
      <alignment horizontal="center"/>
    </xf>
    <xf numFmtId="9" fontId="26" fillId="0" borderId="3" xfId="18" applyFont="1" applyBorder="1" applyAlignment="1">
      <alignment horizontal="center"/>
    </xf>
    <xf numFmtId="170" fontId="26" fillId="0" borderId="2" xfId="16" applyNumberFormat="1" applyFont="1" applyBorder="1" applyAlignment="1">
      <alignment horizontal="center"/>
    </xf>
    <xf numFmtId="0" fontId="0" fillId="0" borderId="48" xfId="17" applyNumberFormat="1" applyFont="1" applyBorder="1"/>
    <xf numFmtId="174" fontId="0" fillId="0" borderId="74" xfId="17" applyNumberFormat="1" applyFont="1" applyBorder="1"/>
    <xf numFmtId="164" fontId="2" fillId="0" borderId="69" xfId="16" applyNumberFormat="1" applyBorder="1"/>
    <xf numFmtId="175" fontId="0" fillId="0" borderId="36" xfId="17" applyNumberFormat="1" applyFont="1" applyBorder="1"/>
    <xf numFmtId="175" fontId="0" fillId="0" borderId="38" xfId="17" applyNumberFormat="1" applyFont="1" applyBorder="1"/>
    <xf numFmtId="175" fontId="26" fillId="0" borderId="0" xfId="16" applyNumberFormat="1" applyFont="1"/>
    <xf numFmtId="0" fontId="0" fillId="0" borderId="41" xfId="17" applyNumberFormat="1" applyFont="1" applyBorder="1"/>
    <xf numFmtId="174" fontId="0" fillId="0" borderId="75" xfId="17" applyNumberFormat="1" applyFont="1" applyBorder="1"/>
    <xf numFmtId="175" fontId="0" fillId="0" borderId="41" xfId="17" applyNumberFormat="1" applyFont="1" applyBorder="1"/>
    <xf numFmtId="175" fontId="0" fillId="0" borderId="42" xfId="17" applyNumberFormat="1" applyFont="1" applyBorder="1"/>
    <xf numFmtId="0" fontId="2" fillId="0" borderId="7" xfId="16" applyBorder="1" applyAlignment="1" applyProtection="1">
      <alignment horizontal="center" vertical="center"/>
      <protection locked="0"/>
    </xf>
    <xf numFmtId="9" fontId="2" fillId="0" borderId="17" xfId="16" applyNumberFormat="1" applyBorder="1" applyAlignment="1" applyProtection="1">
      <alignment horizontal="center" vertical="center" wrapText="1"/>
      <protection locked="0"/>
    </xf>
    <xf numFmtId="168" fontId="26" fillId="0" borderId="5" xfId="16" applyNumberFormat="1" applyFont="1" applyBorder="1" applyAlignment="1">
      <alignment horizontal="center" vertical="center"/>
    </xf>
    <xf numFmtId="0" fontId="2" fillId="3" borderId="5" xfId="16" applyFill="1" applyBorder="1" applyAlignment="1">
      <alignment horizontal="center"/>
    </xf>
    <xf numFmtId="174" fontId="0" fillId="0" borderId="5" xfId="17" applyNumberFormat="1" applyFont="1" applyBorder="1"/>
    <xf numFmtId="164" fontId="2" fillId="0" borderId="5" xfId="16" applyNumberFormat="1" applyBorder="1"/>
    <xf numFmtId="0" fontId="2" fillId="0" borderId="5" xfId="16" applyBorder="1" applyAlignment="1" applyProtection="1">
      <alignment horizontal="center" vertical="center"/>
      <protection locked="0"/>
    </xf>
    <xf numFmtId="9" fontId="2" fillId="0" borderId="5" xfId="16" applyNumberFormat="1" applyBorder="1" applyAlignment="1" applyProtection="1">
      <alignment horizontal="center" vertical="center" wrapText="1"/>
      <protection locked="0"/>
    </xf>
    <xf numFmtId="0" fontId="0" fillId="0" borderId="5" xfId="18" applyNumberFormat="1" applyFont="1" applyFill="1" applyBorder="1" applyAlignment="1" applyProtection="1">
      <alignment horizontal="center" vertical="center" wrapText="1"/>
      <protection locked="0"/>
    </xf>
    <xf numFmtId="0" fontId="2" fillId="0" borderId="17" xfId="16" applyBorder="1" applyAlignment="1" applyProtection="1">
      <alignment horizontal="center" vertical="center"/>
      <protection locked="0"/>
    </xf>
    <xf numFmtId="0" fontId="0" fillId="0" borderId="5" xfId="17" applyNumberFormat="1" applyFont="1" applyBorder="1" applyAlignment="1">
      <alignment horizontal="center" vertical="center"/>
    </xf>
    <xf numFmtId="9" fontId="2" fillId="3" borderId="5" xfId="16" applyNumberFormat="1" applyFill="1" applyBorder="1" applyAlignment="1" applyProtection="1">
      <alignment horizontal="center" vertical="center" wrapText="1"/>
      <protection locked="0"/>
    </xf>
    <xf numFmtId="0" fontId="26" fillId="0" borderId="5" xfId="16" applyFont="1" applyBorder="1" applyAlignment="1">
      <alignment horizontal="center"/>
    </xf>
    <xf numFmtId="164" fontId="26" fillId="0" borderId="5" xfId="17" applyFont="1" applyBorder="1"/>
    <xf numFmtId="164" fontId="26" fillId="0" borderId="32" xfId="17" applyFont="1" applyBorder="1"/>
    <xf numFmtId="164" fontId="26" fillId="0" borderId="33" xfId="17" applyFont="1" applyBorder="1"/>
    <xf numFmtId="164" fontId="26" fillId="0" borderId="35" xfId="17" applyFont="1" applyBorder="1"/>
    <xf numFmtId="164" fontId="26" fillId="0" borderId="40" xfId="17" applyFont="1" applyBorder="1"/>
    <xf numFmtId="164" fontId="2" fillId="0" borderId="0" xfId="16" applyNumberFormat="1" applyAlignment="1">
      <alignment horizontal="center"/>
    </xf>
    <xf numFmtId="0" fontId="26" fillId="0" borderId="5" xfId="16" applyFont="1" applyBorder="1"/>
    <xf numFmtId="165" fontId="6" fillId="0" borderId="22" xfId="1" applyNumberFormat="1" applyBorder="1" applyProtection="1">
      <protection locked="0"/>
    </xf>
    <xf numFmtId="0" fontId="1" fillId="0" borderId="5" xfId="15" applyFont="1" applyBorder="1" applyAlignment="1">
      <alignment horizontal="left"/>
    </xf>
    <xf numFmtId="0" fontId="0" fillId="0" borderId="39" xfId="0" applyBorder="1" applyAlignment="1">
      <alignment horizontal="center"/>
    </xf>
    <xf numFmtId="0" fontId="0" fillId="0" borderId="5" xfId="0" applyBorder="1" applyAlignment="1">
      <alignment horizontal="center"/>
    </xf>
    <xf numFmtId="0" fontId="0" fillId="4" borderId="5" xfId="0" applyFill="1" applyBorder="1" applyAlignment="1">
      <alignment horizontal="center"/>
    </xf>
    <xf numFmtId="1" fontId="2" fillId="0" borderId="5" xfId="15" applyNumberFormat="1" applyBorder="1" applyAlignment="1">
      <alignment horizontal="center"/>
    </xf>
    <xf numFmtId="1" fontId="2" fillId="0" borderId="0" xfId="15" applyNumberFormat="1" applyAlignment="1">
      <alignment horizontal="center"/>
    </xf>
    <xf numFmtId="0" fontId="0" fillId="0" borderId="0" xfId="18" applyNumberFormat="1" applyFont="1" applyFill="1" applyBorder="1" applyAlignment="1" applyProtection="1">
      <alignment horizontal="center" vertical="center" wrapText="1"/>
      <protection locked="0"/>
    </xf>
    <xf numFmtId="170" fontId="26" fillId="0" borderId="0" xfId="16" applyNumberFormat="1" applyFont="1" applyAlignment="1">
      <alignment horizontal="center"/>
    </xf>
    <xf numFmtId="164" fontId="2" fillId="0" borderId="9" xfId="16" applyNumberFormat="1" applyBorder="1"/>
    <xf numFmtId="176" fontId="2" fillId="0" borderId="5" xfId="16" applyNumberFormat="1" applyBorder="1"/>
    <xf numFmtId="0" fontId="0" fillId="0" borderId="5" xfId="18" applyNumberFormat="1" applyFont="1" applyFill="1" applyBorder="1" applyAlignment="1" applyProtection="1">
      <alignment horizontal="left" vertical="top" wrapText="1"/>
      <protection locked="0"/>
    </xf>
    <xf numFmtId="0" fontId="0" fillId="0" borderId="5" xfId="18" applyNumberFormat="1" applyFont="1" applyFill="1" applyBorder="1" applyAlignment="1" applyProtection="1">
      <alignment horizontal="left" vertical="center" wrapText="1"/>
      <protection locked="0"/>
    </xf>
    <xf numFmtId="168" fontId="26" fillId="0" borderId="5" xfId="16" applyNumberFormat="1" applyFont="1" applyBorder="1" applyAlignment="1">
      <alignment horizontal="center" vertical="top"/>
    </xf>
    <xf numFmtId="164" fontId="0" fillId="0" borderId="5" xfId="17" applyFont="1" applyBorder="1" applyAlignment="1">
      <alignment vertical="top"/>
    </xf>
    <xf numFmtId="174" fontId="0" fillId="0" borderId="5" xfId="17" applyNumberFormat="1" applyFont="1" applyBorder="1" applyAlignment="1">
      <alignment vertical="top"/>
    </xf>
    <xf numFmtId="164" fontId="2" fillId="0" borderId="5" xfId="16" applyNumberFormat="1" applyBorder="1" applyAlignment="1">
      <alignment vertical="top"/>
    </xf>
    <xf numFmtId="176" fontId="2" fillId="0" borderId="5" xfId="16" applyNumberFormat="1" applyBorder="1" applyAlignment="1">
      <alignment vertical="top"/>
    </xf>
    <xf numFmtId="0" fontId="2" fillId="0" borderId="5" xfId="16" applyBorder="1" applyAlignment="1" applyProtection="1">
      <alignment horizontal="center" vertical="top"/>
      <protection locked="0"/>
    </xf>
    <xf numFmtId="9" fontId="2" fillId="0" borderId="5" xfId="16" applyNumberFormat="1" applyBorder="1" applyAlignment="1" applyProtection="1">
      <alignment horizontal="center" vertical="top" wrapText="1"/>
      <protection locked="0"/>
    </xf>
    <xf numFmtId="0" fontId="0" fillId="0" borderId="5" xfId="18" applyNumberFormat="1" applyFont="1" applyFill="1" applyBorder="1" applyAlignment="1" applyProtection="1">
      <alignment horizontal="center" vertical="top" wrapText="1"/>
      <protection locked="0"/>
    </xf>
    <xf numFmtId="165" fontId="2" fillId="0" borderId="0" xfId="16" applyNumberFormat="1"/>
    <xf numFmtId="165" fontId="16" fillId="0" borderId="42" xfId="5" applyFont="1" applyBorder="1" applyAlignment="1">
      <alignment horizontal="right"/>
    </xf>
    <xf numFmtId="164" fontId="0" fillId="0" borderId="5" xfId="17" applyFont="1" applyBorder="1" applyAlignment="1">
      <alignment horizontal="center" vertical="top"/>
    </xf>
    <xf numFmtId="174" fontId="0" fillId="0" borderId="5" xfId="17" applyNumberFormat="1" applyFont="1" applyBorder="1" applyAlignment="1">
      <alignment horizontal="center" vertical="top"/>
    </xf>
    <xf numFmtId="164" fontId="2" fillId="0" borderId="5" xfId="16" applyNumberFormat="1" applyBorder="1" applyAlignment="1">
      <alignment horizontal="center" vertical="top"/>
    </xf>
    <xf numFmtId="176" fontId="2" fillId="0" borderId="5" xfId="16" applyNumberFormat="1" applyBorder="1" applyAlignment="1">
      <alignment horizontal="center" vertical="top"/>
    </xf>
    <xf numFmtId="176" fontId="25" fillId="0" borderId="5" xfId="16" applyNumberFormat="1" applyFont="1" applyBorder="1" applyAlignment="1">
      <alignment horizontal="center" vertical="top"/>
    </xf>
    <xf numFmtId="164" fontId="0" fillId="0" borderId="5" xfId="17" applyFont="1" applyBorder="1" applyAlignment="1">
      <alignment horizontal="center"/>
    </xf>
    <xf numFmtId="174" fontId="0" fillId="0" borderId="5" xfId="17" applyNumberFormat="1" applyFont="1" applyBorder="1" applyAlignment="1">
      <alignment horizontal="center"/>
    </xf>
    <xf numFmtId="164" fontId="2" fillId="0" borderId="5" xfId="16" applyNumberFormat="1" applyBorder="1" applyAlignment="1">
      <alignment horizontal="center"/>
    </xf>
    <xf numFmtId="176" fontId="2" fillId="0" borderId="5" xfId="16" applyNumberFormat="1" applyBorder="1" applyAlignment="1">
      <alignment horizontal="center"/>
    </xf>
    <xf numFmtId="0" fontId="29" fillId="13" borderId="5" xfId="0" applyFont="1" applyFill="1" applyBorder="1" applyAlignment="1">
      <alignment horizontal="left" vertical="center" wrapText="1"/>
    </xf>
    <xf numFmtId="0" fontId="29" fillId="13" borderId="5" xfId="0" applyFont="1" applyFill="1" applyBorder="1" applyAlignment="1">
      <alignment horizontal="left" vertical="top" wrapText="1"/>
    </xf>
    <xf numFmtId="0" fontId="29" fillId="13" borderId="22" xfId="0" applyFont="1" applyFill="1" applyBorder="1" applyAlignment="1">
      <alignment horizontal="left" vertical="center" wrapText="1"/>
    </xf>
    <xf numFmtId="17" fontId="7" fillId="0" borderId="28" xfId="1" applyNumberFormat="1" applyFont="1" applyBorder="1"/>
    <xf numFmtId="2" fontId="0" fillId="0" borderId="0" xfId="0" applyNumberFormat="1"/>
    <xf numFmtId="0" fontId="0" fillId="13" borderId="5" xfId="0" applyFill="1" applyBorder="1" applyAlignment="1">
      <alignment horizontal="left" vertical="top" wrapText="1"/>
    </xf>
    <xf numFmtId="0" fontId="0" fillId="13" borderId="5" xfId="0" applyFill="1" applyBorder="1" applyAlignment="1">
      <alignment horizontal="left" vertical="center" wrapText="1"/>
    </xf>
    <xf numFmtId="0" fontId="0" fillId="13" borderId="22" xfId="0" applyFill="1" applyBorder="1" applyAlignment="1">
      <alignment horizontal="left" vertical="center" wrapText="1"/>
    </xf>
    <xf numFmtId="177" fontId="0" fillId="0" borderId="17" xfId="0" applyNumberFormat="1" applyBorder="1" applyAlignment="1" applyProtection="1">
      <alignment horizontal="center" vertical="center" wrapText="1"/>
      <protection locked="0"/>
    </xf>
    <xf numFmtId="0" fontId="2" fillId="0" borderId="0" xfId="16" applyAlignment="1" applyProtection="1">
      <alignment horizontal="center" vertical="center"/>
      <protection locked="0"/>
    </xf>
    <xf numFmtId="9" fontId="2" fillId="0" borderId="0" xfId="16" applyNumberFormat="1" applyAlignment="1" applyProtection="1">
      <alignment horizontal="center" vertical="center" wrapText="1"/>
      <protection locked="0"/>
    </xf>
    <xf numFmtId="164" fontId="26" fillId="12" borderId="0" xfId="17" applyFont="1" applyFill="1" applyBorder="1"/>
    <xf numFmtId="0" fontId="0" fillId="0" borderId="0" xfId="0" applyAlignment="1" applyProtection="1">
      <alignment horizontal="center" vertical="center"/>
      <protection locked="0"/>
    </xf>
    <xf numFmtId="2" fontId="0" fillId="5" borderId="0" xfId="0" applyNumberFormat="1" applyFill="1" applyAlignment="1">
      <alignment horizontal="center" vertical="center"/>
    </xf>
    <xf numFmtId="164" fontId="0" fillId="0" borderId="15" xfId="17" applyFont="1" applyBorder="1"/>
    <xf numFmtId="164" fontId="0" fillId="0" borderId="9" xfId="17" applyFont="1" applyBorder="1"/>
    <xf numFmtId="164" fontId="0" fillId="0" borderId="67" xfId="17" applyFont="1" applyBorder="1"/>
    <xf numFmtId="178" fontId="0" fillId="0" borderId="5" xfId="17" applyNumberFormat="1" applyFont="1" applyBorder="1" applyAlignment="1">
      <alignment horizontal="center"/>
    </xf>
    <xf numFmtId="178" fontId="0" fillId="0" borderId="5" xfId="17" applyNumberFormat="1" applyFont="1" applyBorder="1" applyAlignment="1">
      <alignment horizontal="center" vertical="top"/>
    </xf>
    <xf numFmtId="178" fontId="0" fillId="0" borderId="5" xfId="17" applyNumberFormat="1" applyFont="1" applyBorder="1"/>
    <xf numFmtId="178" fontId="26" fillId="0" borderId="5" xfId="17" applyNumberFormat="1" applyFont="1" applyBorder="1"/>
    <xf numFmtId="178" fontId="2" fillId="0" borderId="0" xfId="16" applyNumberFormat="1" applyAlignment="1">
      <alignment horizontal="center"/>
    </xf>
    <xf numFmtId="176" fontId="0" fillId="0" borderId="5" xfId="17" applyNumberFormat="1" applyFont="1" applyBorder="1" applyAlignment="1">
      <alignment horizontal="center" vertical="top"/>
    </xf>
    <xf numFmtId="168" fontId="26" fillId="0" borderId="0" xfId="16" applyNumberFormat="1" applyFont="1" applyAlignment="1">
      <alignment horizontal="center" vertical="top"/>
    </xf>
    <xf numFmtId="164" fontId="0" fillId="0" borderId="0" xfId="17" applyFont="1" applyBorder="1" applyAlignment="1">
      <alignment horizontal="center" vertical="top"/>
    </xf>
    <xf numFmtId="164" fontId="0" fillId="0" borderId="0" xfId="17" applyFont="1" applyBorder="1" applyAlignment="1">
      <alignment horizontal="center"/>
    </xf>
    <xf numFmtId="174" fontId="0" fillId="0" borderId="0" xfId="17" applyNumberFormat="1" applyFont="1" applyBorder="1" applyAlignment="1">
      <alignment horizontal="center"/>
    </xf>
    <xf numFmtId="174" fontId="0" fillId="0" borderId="0" xfId="17" applyNumberFormat="1" applyFont="1" applyBorder="1" applyAlignment="1">
      <alignment horizontal="center" vertical="top"/>
    </xf>
    <xf numFmtId="164" fontId="2" fillId="0" borderId="0" xfId="16" applyNumberFormat="1" applyAlignment="1">
      <alignment horizontal="center" vertical="top"/>
    </xf>
    <xf numFmtId="176" fontId="2" fillId="0" borderId="0" xfId="16" applyNumberFormat="1" applyAlignment="1">
      <alignment horizontal="center" vertical="top"/>
    </xf>
    <xf numFmtId="0" fontId="2" fillId="0" borderId="0" xfId="16" applyAlignment="1" applyProtection="1">
      <alignment horizontal="center" vertical="top"/>
      <protection locked="0"/>
    </xf>
    <xf numFmtId="9" fontId="2" fillId="0" borderId="0" xfId="16" applyNumberFormat="1" applyAlignment="1" applyProtection="1">
      <alignment horizontal="center" vertical="top" wrapText="1"/>
      <protection locked="0"/>
    </xf>
    <xf numFmtId="0" fontId="0" fillId="0" borderId="0" xfId="18" applyNumberFormat="1" applyFont="1" applyFill="1" applyBorder="1" applyAlignment="1" applyProtection="1">
      <alignment horizontal="center" vertical="top" wrapText="1"/>
      <protection locked="0"/>
    </xf>
    <xf numFmtId="0" fontId="0" fillId="0" borderId="0" xfId="18" applyNumberFormat="1" applyFont="1" applyFill="1" applyBorder="1" applyAlignment="1" applyProtection="1">
      <alignment horizontal="left" vertical="top" wrapText="1"/>
      <protection locked="0"/>
    </xf>
    <xf numFmtId="178" fontId="0" fillId="0" borderId="0" xfId="17" applyNumberFormat="1" applyFont="1" applyBorder="1" applyAlignment="1">
      <alignment horizontal="center"/>
    </xf>
    <xf numFmtId="0" fontId="0" fillId="0" borderId="0" xfId="18" applyNumberFormat="1" applyFont="1" applyFill="1" applyBorder="1" applyAlignment="1" applyProtection="1">
      <alignment horizontal="left" vertical="center" wrapText="1"/>
      <protection locked="0"/>
    </xf>
    <xf numFmtId="168" fontId="26" fillId="0" borderId="0" xfId="16" applyNumberFormat="1" applyFont="1" applyAlignment="1">
      <alignment horizontal="center" vertical="center"/>
    </xf>
    <xf numFmtId="176" fontId="2" fillId="0" borderId="0" xfId="16" applyNumberFormat="1" applyAlignment="1">
      <alignment horizontal="center"/>
    </xf>
    <xf numFmtId="0" fontId="29" fillId="13" borderId="0" xfId="0" applyFont="1" applyFill="1" applyAlignment="1">
      <alignment horizontal="left" vertical="top" wrapText="1"/>
    </xf>
    <xf numFmtId="178" fontId="0" fillId="0" borderId="0" xfId="17" applyNumberFormat="1" applyFont="1" applyBorder="1" applyAlignment="1">
      <alignment horizontal="center" vertical="top"/>
    </xf>
    <xf numFmtId="176" fontId="0" fillId="0" borderId="0" xfId="17" applyNumberFormat="1" applyFont="1" applyBorder="1" applyAlignment="1">
      <alignment horizontal="center" vertical="top"/>
    </xf>
    <xf numFmtId="164" fontId="0" fillId="0" borderId="0" xfId="17" applyFont="1" applyBorder="1"/>
    <xf numFmtId="178" fontId="0" fillId="0" borderId="0" xfId="17" applyNumberFormat="1" applyFont="1" applyBorder="1"/>
    <xf numFmtId="174" fontId="0" fillId="0" borderId="0" xfId="17" applyNumberFormat="1" applyFont="1" applyBorder="1"/>
    <xf numFmtId="164" fontId="2" fillId="0" borderId="0" xfId="16" applyNumberFormat="1"/>
    <xf numFmtId="176" fontId="2" fillId="0" borderId="0" xfId="16" applyNumberFormat="1"/>
    <xf numFmtId="0" fontId="29" fillId="13" borderId="0" xfId="0" applyFont="1" applyFill="1" applyAlignment="1">
      <alignment horizontal="left" vertical="center" wrapText="1"/>
    </xf>
    <xf numFmtId="178" fontId="26" fillId="0" borderId="0" xfId="17" applyNumberFormat="1" applyFont="1" applyBorder="1"/>
    <xf numFmtId="9" fontId="26" fillId="0" borderId="0" xfId="18" applyFont="1" applyBorder="1" applyAlignment="1">
      <alignment horizontal="center"/>
    </xf>
    <xf numFmtId="0" fontId="2" fillId="0" borderId="5" xfId="16" applyBorder="1" applyAlignment="1">
      <alignment horizontal="center"/>
    </xf>
    <xf numFmtId="0" fontId="2" fillId="0" borderId="5" xfId="16" applyBorder="1"/>
    <xf numFmtId="0" fontId="0" fillId="0" borderId="1" xfId="0"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76" xfId="0" applyBorder="1" applyAlignment="1">
      <alignment horizontal="center"/>
    </xf>
    <xf numFmtId="0" fontId="0" fillId="0" borderId="7" xfId="0" applyBorder="1" applyAlignment="1" applyProtection="1">
      <alignment horizontal="center"/>
      <protection locked="0"/>
    </xf>
    <xf numFmtId="0" fontId="0" fillId="6" borderId="2" xfId="0" applyFill="1" applyBorder="1" applyAlignment="1">
      <alignment horizontal="center"/>
    </xf>
    <xf numFmtId="0" fontId="30" fillId="0" borderId="5" xfId="16" applyFont="1" applyBorder="1" applyAlignment="1">
      <alignment horizontal="center" vertical="center"/>
    </xf>
    <xf numFmtId="0" fontId="30" fillId="0" borderId="5" xfId="16" applyFont="1" applyBorder="1" applyAlignment="1">
      <alignment horizontal="center" vertical="center" wrapText="1"/>
    </xf>
    <xf numFmtId="0" fontId="30" fillId="0" borderId="22" xfId="16" applyFont="1" applyBorder="1" applyAlignment="1">
      <alignment horizontal="center" vertical="center" wrapText="1"/>
    </xf>
    <xf numFmtId="0" fontId="30" fillId="0" borderId="5" xfId="18" applyNumberFormat="1" applyFont="1" applyFill="1" applyBorder="1" applyAlignment="1">
      <alignment horizontal="center" vertical="center" wrapText="1"/>
    </xf>
    <xf numFmtId="0" fontId="30" fillId="0" borderId="39" xfId="16" applyFont="1" applyBorder="1" applyAlignment="1">
      <alignment horizontal="center" vertical="center" wrapText="1"/>
    </xf>
    <xf numFmtId="168" fontId="30" fillId="0" borderId="5" xfId="16" applyNumberFormat="1" applyFont="1" applyBorder="1" applyAlignment="1">
      <alignment horizontal="center" vertical="top"/>
    </xf>
    <xf numFmtId="164" fontId="32" fillId="0" borderId="5" xfId="17" applyFont="1" applyBorder="1" applyAlignment="1">
      <alignment horizontal="center" vertical="top"/>
    </xf>
    <xf numFmtId="164" fontId="32" fillId="0" borderId="5" xfId="17" applyFont="1" applyBorder="1" applyAlignment="1">
      <alignment horizontal="center"/>
    </xf>
    <xf numFmtId="174" fontId="32" fillId="0" borderId="5" xfId="17" applyNumberFormat="1" applyFont="1" applyBorder="1" applyAlignment="1">
      <alignment horizontal="center"/>
    </xf>
    <xf numFmtId="174" fontId="32" fillId="0" borderId="5" xfId="17" applyNumberFormat="1" applyFont="1" applyBorder="1" applyAlignment="1">
      <alignment horizontal="center" vertical="top"/>
    </xf>
    <xf numFmtId="164" fontId="33" fillId="0" borderId="5" xfId="16" applyNumberFormat="1" applyFont="1" applyBorder="1" applyAlignment="1">
      <alignment horizontal="center" vertical="top"/>
    </xf>
    <xf numFmtId="176" fontId="33" fillId="0" borderId="5" xfId="16" applyNumberFormat="1" applyFont="1" applyBorder="1" applyAlignment="1">
      <alignment horizontal="center" vertical="top"/>
    </xf>
    <xf numFmtId="0" fontId="33" fillId="0" borderId="5" xfId="16" applyFont="1" applyBorder="1" applyAlignment="1" applyProtection="1">
      <alignment horizontal="center" vertical="top"/>
      <protection locked="0"/>
    </xf>
    <xf numFmtId="9" fontId="33" fillId="0" borderId="5" xfId="16" applyNumberFormat="1" applyFont="1" applyBorder="1" applyAlignment="1" applyProtection="1">
      <alignment horizontal="center" vertical="top" wrapText="1"/>
      <protection locked="0"/>
    </xf>
    <xf numFmtId="0" fontId="32" fillId="0" borderId="5" xfId="18" applyNumberFormat="1" applyFont="1" applyFill="1" applyBorder="1" applyAlignment="1" applyProtection="1">
      <alignment horizontal="center" vertical="top" wrapText="1"/>
      <protection locked="0"/>
    </xf>
    <xf numFmtId="0" fontId="32" fillId="0" borderId="5" xfId="18" applyNumberFormat="1" applyFont="1" applyFill="1" applyBorder="1" applyAlignment="1" applyProtection="1">
      <alignment horizontal="left" vertical="top" wrapText="1"/>
      <protection locked="0"/>
    </xf>
    <xf numFmtId="178" fontId="32" fillId="0" borderId="5" xfId="17" applyNumberFormat="1" applyFont="1" applyBorder="1" applyAlignment="1">
      <alignment horizontal="center"/>
    </xf>
    <xf numFmtId="0" fontId="32" fillId="0" borderId="5" xfId="18" applyNumberFormat="1" applyFont="1" applyFill="1" applyBorder="1" applyAlignment="1" applyProtection="1">
      <alignment horizontal="left" vertical="center" wrapText="1"/>
      <protection locked="0"/>
    </xf>
    <xf numFmtId="168" fontId="30" fillId="0" borderId="5" xfId="16" applyNumberFormat="1" applyFont="1" applyBorder="1" applyAlignment="1">
      <alignment horizontal="center" vertical="center"/>
    </xf>
    <xf numFmtId="164" fontId="33" fillId="0" borderId="5" xfId="16" applyNumberFormat="1" applyFont="1" applyBorder="1" applyAlignment="1">
      <alignment horizontal="center"/>
    </xf>
    <xf numFmtId="176" fontId="33" fillId="0" borderId="5" xfId="16" applyNumberFormat="1" applyFont="1" applyBorder="1" applyAlignment="1">
      <alignment horizontal="center"/>
    </xf>
    <xf numFmtId="0" fontId="33" fillId="0" borderId="5" xfId="16" applyFont="1" applyBorder="1" applyAlignment="1" applyProtection="1">
      <alignment horizontal="center" vertical="center"/>
      <protection locked="0"/>
    </xf>
    <xf numFmtId="9" fontId="33" fillId="0" borderId="5" xfId="16" applyNumberFormat="1" applyFont="1" applyBorder="1" applyAlignment="1" applyProtection="1">
      <alignment horizontal="center" vertical="center" wrapText="1"/>
      <protection locked="0"/>
    </xf>
    <xf numFmtId="0" fontId="32" fillId="0" borderId="5" xfId="18" applyNumberFormat="1" applyFont="1" applyFill="1" applyBorder="1" applyAlignment="1" applyProtection="1">
      <alignment horizontal="center" vertical="center" wrapText="1"/>
      <protection locked="0"/>
    </xf>
    <xf numFmtId="0" fontId="0" fillId="6" borderId="76" xfId="0" applyFill="1" applyBorder="1" applyAlignment="1">
      <alignment horizontal="center"/>
    </xf>
    <xf numFmtId="1" fontId="0" fillId="5" borderId="76" xfId="0" applyNumberFormat="1" applyFill="1" applyBorder="1" applyAlignment="1">
      <alignment horizontal="center" vertical="center"/>
    </xf>
    <xf numFmtId="1" fontId="0" fillId="5" borderId="76" xfId="0" applyNumberFormat="1" applyFill="1" applyBorder="1" applyAlignment="1">
      <alignment horizontal="center"/>
    </xf>
    <xf numFmtId="1" fontId="0" fillId="5" borderId="77" xfId="0" applyNumberFormat="1" applyFill="1" applyBorder="1" applyAlignment="1">
      <alignment horizontal="center" vertical="center"/>
    </xf>
    <xf numFmtId="1" fontId="0" fillId="5" borderId="3" xfId="0" applyNumberFormat="1" applyFill="1" applyBorder="1" applyAlignment="1">
      <alignment horizontal="center" vertical="center"/>
    </xf>
    <xf numFmtId="0" fontId="34" fillId="0" borderId="5" xfId="16" applyFont="1" applyBorder="1" applyAlignment="1" applyProtection="1">
      <alignment horizontal="center" vertical="center"/>
      <protection locked="0"/>
    </xf>
    <xf numFmtId="9" fontId="34" fillId="0" borderId="5" xfId="16" applyNumberFormat="1" applyFont="1" applyBorder="1" applyAlignment="1" applyProtection="1">
      <alignment horizontal="center" vertical="center" wrapText="1"/>
      <protection locked="0"/>
    </xf>
    <xf numFmtId="0" fontId="35" fillId="0" borderId="5" xfId="18" applyNumberFormat="1" applyFont="1" applyFill="1" applyBorder="1" applyAlignment="1" applyProtection="1">
      <alignment horizontal="center" vertical="center" wrapText="1"/>
      <protection locked="0"/>
    </xf>
    <xf numFmtId="0" fontId="36" fillId="0" borderId="5" xfId="16" applyFont="1" applyBorder="1" applyAlignment="1">
      <alignment horizontal="center"/>
    </xf>
    <xf numFmtId="164" fontId="36" fillId="0" borderId="5" xfId="17" applyFont="1" applyFill="1" applyBorder="1"/>
    <xf numFmtId="178" fontId="36" fillId="0" borderId="5" xfId="17" applyNumberFormat="1" applyFont="1" applyFill="1" applyBorder="1"/>
    <xf numFmtId="0" fontId="5" fillId="0" borderId="1" xfId="0" applyFont="1" applyBorder="1" applyAlignment="1">
      <alignment horizontal="center"/>
    </xf>
    <xf numFmtId="20" fontId="5" fillId="0" borderId="79" xfId="0" applyNumberFormat="1" applyFont="1" applyBorder="1" applyAlignment="1">
      <alignment horizontal="center"/>
    </xf>
    <xf numFmtId="0" fontId="26" fillId="0" borderId="76" xfId="16" applyFont="1" applyBorder="1" applyAlignment="1">
      <alignment horizontal="center"/>
    </xf>
    <xf numFmtId="164" fontId="26" fillId="0" borderId="76" xfId="17" applyFont="1" applyBorder="1"/>
    <xf numFmtId="178" fontId="26" fillId="0" borderId="76" xfId="17" applyNumberFormat="1" applyFont="1" applyBorder="1"/>
    <xf numFmtId="0" fontId="2" fillId="0" borderId="76" xfId="16" applyBorder="1" applyAlignment="1" applyProtection="1">
      <alignment horizontal="center" vertical="center"/>
      <protection locked="0"/>
    </xf>
    <xf numFmtId="9" fontId="2" fillId="0" borderId="76" xfId="16" applyNumberFormat="1" applyBorder="1" applyAlignment="1" applyProtection="1">
      <alignment horizontal="center" vertical="center" wrapText="1"/>
      <protection locked="0"/>
    </xf>
    <xf numFmtId="0" fontId="0" fillId="0" borderId="76" xfId="18" applyNumberFormat="1" applyFont="1" applyFill="1" applyBorder="1" applyAlignment="1" applyProtection="1">
      <alignment horizontal="center" vertical="center" wrapText="1"/>
      <protection locked="0"/>
    </xf>
    <xf numFmtId="164" fontId="26" fillId="0" borderId="80" xfId="17" applyFont="1" applyBorder="1"/>
    <xf numFmtId="178" fontId="26" fillId="0" borderId="80" xfId="17" applyNumberFormat="1" applyFont="1" applyBorder="1"/>
    <xf numFmtId="0" fontId="2" fillId="0" borderId="80" xfId="16" applyBorder="1" applyAlignment="1" applyProtection="1">
      <alignment horizontal="center" vertical="center"/>
      <protection locked="0"/>
    </xf>
    <xf numFmtId="9" fontId="2" fillId="0" borderId="80" xfId="16" applyNumberFormat="1" applyBorder="1" applyAlignment="1" applyProtection="1">
      <alignment horizontal="center" vertical="center" wrapText="1"/>
      <protection locked="0"/>
    </xf>
    <xf numFmtId="0" fontId="0" fillId="0" borderId="80" xfId="18" applyNumberFormat="1" applyFont="1" applyFill="1" applyBorder="1" applyAlignment="1" applyProtection="1">
      <alignment horizontal="center" vertical="center" wrapText="1"/>
      <protection locked="0"/>
    </xf>
    <xf numFmtId="0" fontId="37" fillId="0" borderId="0" xfId="0" quotePrefix="1" applyFont="1" applyAlignment="1">
      <alignment wrapText="1"/>
    </xf>
    <xf numFmtId="168" fontId="30" fillId="0" borderId="76" xfId="16" applyNumberFormat="1" applyFont="1" applyBorder="1" applyAlignment="1">
      <alignment horizontal="center" vertical="top"/>
    </xf>
    <xf numFmtId="0" fontId="32" fillId="0" borderId="76" xfId="18" applyNumberFormat="1" applyFont="1" applyFill="1" applyBorder="1" applyAlignment="1" applyProtection="1">
      <alignment horizontal="center" vertical="top" wrapText="1"/>
      <protection locked="0"/>
    </xf>
    <xf numFmtId="168" fontId="30" fillId="0" borderId="76" xfId="16" applyNumberFormat="1" applyFont="1" applyBorder="1" applyAlignment="1">
      <alignment horizontal="center" vertical="center"/>
    </xf>
    <xf numFmtId="168" fontId="30" fillId="0" borderId="39" xfId="16" applyNumberFormat="1" applyFont="1" applyBorder="1" applyAlignment="1">
      <alignment horizontal="center" vertical="center"/>
    </xf>
    <xf numFmtId="0" fontId="0" fillId="0" borderId="22" xfId="18" applyNumberFormat="1" applyFont="1" applyFill="1" applyBorder="1" applyAlignment="1" applyProtection="1">
      <alignment horizontal="center" vertical="center" wrapText="1"/>
      <protection locked="0"/>
    </xf>
    <xf numFmtId="0" fontId="30" fillId="0" borderId="0" xfId="16" applyFont="1"/>
    <xf numFmtId="0" fontId="33" fillId="0" borderId="0" xfId="16" applyFont="1" applyAlignment="1">
      <alignment horizontal="center"/>
    </xf>
    <xf numFmtId="0" fontId="33" fillId="0" borderId="0" xfId="16" applyFont="1"/>
    <xf numFmtId="0" fontId="30" fillId="0" borderId="76" xfId="16" applyFont="1" applyBorder="1" applyAlignment="1">
      <alignment horizontal="center" vertical="center" wrapText="1"/>
    </xf>
    <xf numFmtId="0" fontId="30" fillId="0" borderId="76" xfId="18" applyNumberFormat="1" applyFont="1" applyFill="1" applyBorder="1" applyAlignment="1">
      <alignment horizontal="center" vertical="center" wrapText="1"/>
    </xf>
    <xf numFmtId="164" fontId="32" fillId="0" borderId="76" xfId="17" applyFont="1" applyBorder="1" applyAlignment="1">
      <alignment horizontal="center" vertical="top"/>
    </xf>
    <xf numFmtId="0" fontId="38" fillId="0" borderId="76" xfId="0" quotePrefix="1" applyFont="1" applyBorder="1" applyAlignment="1">
      <alignment wrapText="1"/>
    </xf>
    <xf numFmtId="164" fontId="32" fillId="0" borderId="76" xfId="17" applyFont="1" applyBorder="1" applyAlignment="1">
      <alignment horizontal="center"/>
    </xf>
    <xf numFmtId="174" fontId="32" fillId="0" borderId="76" xfId="17" applyNumberFormat="1" applyFont="1" applyBorder="1" applyAlignment="1">
      <alignment horizontal="center"/>
    </xf>
    <xf numFmtId="174" fontId="32" fillId="0" borderId="76" xfId="17" applyNumberFormat="1" applyFont="1" applyBorder="1" applyAlignment="1">
      <alignment horizontal="center" vertical="top"/>
    </xf>
    <xf numFmtId="164" fontId="33" fillId="0" borderId="76" xfId="16" applyNumberFormat="1" applyFont="1" applyBorder="1" applyAlignment="1">
      <alignment horizontal="center" vertical="top"/>
    </xf>
    <xf numFmtId="176" fontId="33" fillId="0" borderId="76" xfId="16" applyNumberFormat="1" applyFont="1" applyBorder="1" applyAlignment="1">
      <alignment horizontal="center" vertical="top"/>
    </xf>
    <xf numFmtId="0" fontId="33" fillId="0" borderId="76" xfId="16" applyFont="1" applyBorder="1" applyAlignment="1" applyProtection="1">
      <alignment horizontal="center" vertical="top"/>
      <protection locked="0"/>
    </xf>
    <xf numFmtId="9" fontId="33" fillId="0" borderId="76" xfId="16" applyNumberFormat="1" applyFont="1" applyBorder="1" applyAlignment="1" applyProtection="1">
      <alignment horizontal="center" vertical="top" wrapText="1"/>
      <protection locked="0"/>
    </xf>
    <xf numFmtId="0" fontId="32" fillId="0" borderId="76" xfId="18" applyNumberFormat="1" applyFont="1" applyFill="1" applyBorder="1" applyAlignment="1" applyProtection="1">
      <alignment horizontal="left" vertical="top" wrapText="1"/>
      <protection locked="0"/>
    </xf>
    <xf numFmtId="178" fontId="32" fillId="0" borderId="76" xfId="17" applyNumberFormat="1" applyFont="1" applyBorder="1" applyAlignment="1">
      <alignment horizontal="center"/>
    </xf>
    <xf numFmtId="164" fontId="33" fillId="0" borderId="76" xfId="16" applyNumberFormat="1" applyFont="1" applyBorder="1" applyAlignment="1">
      <alignment horizontal="center"/>
    </xf>
    <xf numFmtId="176" fontId="33" fillId="0" borderId="76" xfId="16" applyNumberFormat="1" applyFont="1" applyBorder="1" applyAlignment="1">
      <alignment horizontal="center"/>
    </xf>
    <xf numFmtId="0" fontId="33" fillId="0" borderId="76" xfId="16" applyFont="1" applyBorder="1" applyAlignment="1" applyProtection="1">
      <alignment horizontal="center" vertical="center"/>
      <protection locked="0"/>
    </xf>
    <xf numFmtId="9" fontId="33" fillId="0" borderId="76" xfId="16" applyNumberFormat="1" applyFont="1" applyBorder="1" applyAlignment="1" applyProtection="1">
      <alignment horizontal="center" vertical="center" wrapText="1"/>
      <protection locked="0"/>
    </xf>
    <xf numFmtId="0" fontId="32" fillId="0" borderId="76" xfId="18" applyNumberFormat="1" applyFont="1" applyFill="1" applyBorder="1" applyAlignment="1" applyProtection="1">
      <alignment horizontal="center" vertical="center" wrapText="1"/>
      <protection locked="0"/>
    </xf>
    <xf numFmtId="0" fontId="32" fillId="0" borderId="76" xfId="18" applyNumberFormat="1" applyFont="1" applyFill="1" applyBorder="1" applyAlignment="1" applyProtection="1">
      <alignment horizontal="left" vertical="center" wrapText="1"/>
      <protection locked="0"/>
    </xf>
    <xf numFmtId="164" fontId="32" fillId="0" borderId="39" xfId="17" applyFont="1" applyBorder="1" applyAlignment="1">
      <alignment horizontal="center" vertical="top"/>
    </xf>
    <xf numFmtId="0" fontId="38" fillId="0" borderId="0" xfId="0" quotePrefix="1" applyFont="1" applyAlignment="1">
      <alignment wrapText="1"/>
    </xf>
    <xf numFmtId="164" fontId="32" fillId="0" borderId="39" xfId="17" applyFont="1" applyBorder="1" applyAlignment="1">
      <alignment horizontal="center"/>
    </xf>
    <xf numFmtId="178" fontId="32" fillId="0" borderId="39" xfId="17" applyNumberFormat="1" applyFont="1" applyBorder="1" applyAlignment="1">
      <alignment horizontal="center"/>
    </xf>
    <xf numFmtId="174" fontId="32" fillId="0" borderId="39" xfId="17" applyNumberFormat="1" applyFont="1" applyBorder="1" applyAlignment="1">
      <alignment horizontal="center" vertical="top"/>
    </xf>
    <xf numFmtId="164" fontId="33" fillId="0" borderId="39" xfId="16" applyNumberFormat="1" applyFont="1" applyBorder="1" applyAlignment="1">
      <alignment horizontal="center" vertical="top"/>
    </xf>
    <xf numFmtId="176" fontId="33" fillId="0" borderId="39" xfId="16" applyNumberFormat="1" applyFont="1" applyBorder="1" applyAlignment="1">
      <alignment horizontal="center" vertical="top"/>
    </xf>
    <xf numFmtId="0" fontId="33" fillId="0" borderId="39" xfId="16" applyFont="1" applyBorder="1" applyAlignment="1" applyProtection="1">
      <alignment horizontal="center" vertical="top"/>
      <protection locked="0"/>
    </xf>
    <xf numFmtId="9" fontId="33" fillId="0" borderId="39" xfId="16" applyNumberFormat="1" applyFont="1" applyBorder="1" applyAlignment="1" applyProtection="1">
      <alignment horizontal="center" vertical="top" wrapText="1"/>
      <protection locked="0"/>
    </xf>
    <xf numFmtId="0" fontId="32" fillId="0" borderId="39" xfId="18" applyNumberFormat="1" applyFont="1" applyFill="1" applyBorder="1" applyAlignment="1" applyProtection="1">
      <alignment horizontal="center" vertical="top" wrapText="1"/>
      <protection locked="0"/>
    </xf>
    <xf numFmtId="0" fontId="32" fillId="0" borderId="39" xfId="18" applyNumberFormat="1" applyFont="1" applyFill="1" applyBorder="1" applyAlignment="1" applyProtection="1">
      <alignment horizontal="left" vertical="center" wrapText="1"/>
      <protection locked="0"/>
    </xf>
    <xf numFmtId="0" fontId="39" fillId="13" borderId="5" xfId="0" applyFont="1" applyFill="1" applyBorder="1" applyAlignment="1">
      <alignment horizontal="left" vertical="top" wrapText="1"/>
    </xf>
    <xf numFmtId="176" fontId="0" fillId="0" borderId="76" xfId="17" applyNumberFormat="1" applyFont="1" applyBorder="1" applyAlignment="1">
      <alignment horizontal="center" vertical="top"/>
    </xf>
    <xf numFmtId="164" fontId="32" fillId="0" borderId="14" xfId="17" applyFont="1" applyBorder="1" applyAlignment="1">
      <alignment horizontal="center" vertical="top"/>
    </xf>
    <xf numFmtId="164" fontId="32" fillId="0" borderId="7" xfId="17" applyFont="1" applyBorder="1" applyAlignment="1">
      <alignment horizontal="center" vertical="top"/>
    </xf>
    <xf numFmtId="176" fontId="0" fillId="0" borderId="7" xfId="17" applyNumberFormat="1" applyFont="1" applyBorder="1" applyAlignment="1">
      <alignment horizontal="center" vertical="top"/>
    </xf>
    <xf numFmtId="164" fontId="26" fillId="0" borderId="7" xfId="17" applyFont="1" applyBorder="1"/>
    <xf numFmtId="164" fontId="32" fillId="0" borderId="16" xfId="17" applyFont="1" applyBorder="1" applyAlignment="1">
      <alignment horizontal="center"/>
    </xf>
    <xf numFmtId="164" fontId="32" fillId="0" borderId="8" xfId="17" applyFont="1" applyBorder="1" applyAlignment="1">
      <alignment horizontal="center"/>
    </xf>
    <xf numFmtId="164" fontId="32" fillId="0" borderId="8" xfId="17" applyFont="1" applyBorder="1" applyAlignment="1">
      <alignment horizontal="center" vertical="top"/>
    </xf>
    <xf numFmtId="164" fontId="0" fillId="0" borderId="8" xfId="17" applyFont="1" applyBorder="1" applyAlignment="1">
      <alignment horizontal="center"/>
    </xf>
    <xf numFmtId="164" fontId="26" fillId="0" borderId="8" xfId="17" applyFont="1" applyBorder="1"/>
    <xf numFmtId="0" fontId="40" fillId="0" borderId="76" xfId="0" applyFont="1" applyBorder="1" applyAlignment="1">
      <alignment wrapText="1"/>
    </xf>
    <xf numFmtId="0" fontId="32" fillId="0" borderId="76" xfId="18" applyNumberFormat="1" applyFont="1" applyBorder="1" applyAlignment="1" applyProtection="1">
      <alignment horizontal="center" vertical="top" wrapText="1"/>
      <protection locked="0"/>
    </xf>
    <xf numFmtId="0" fontId="32" fillId="0" borderId="76" xfId="18" applyNumberFormat="1" applyFont="1" applyBorder="1" applyAlignment="1" applyProtection="1">
      <alignment horizontal="left" vertical="top" wrapText="1"/>
      <protection locked="0"/>
    </xf>
    <xf numFmtId="0" fontId="32" fillId="0" borderId="76" xfId="18" applyNumberFormat="1" applyFont="1" applyBorder="1" applyAlignment="1" applyProtection="1">
      <alignment horizontal="center" vertical="center" wrapText="1"/>
      <protection locked="0"/>
    </xf>
    <xf numFmtId="0" fontId="32" fillId="0" borderId="76" xfId="18" applyNumberFormat="1" applyFont="1" applyBorder="1" applyAlignment="1" applyProtection="1">
      <alignment horizontal="left" vertical="center" wrapText="1"/>
      <protection locked="0"/>
    </xf>
    <xf numFmtId="0" fontId="40" fillId="0" borderId="80" xfId="0" applyFont="1" applyBorder="1" applyAlignment="1">
      <alignment wrapText="1"/>
    </xf>
    <xf numFmtId="0" fontId="32" fillId="0" borderId="39" xfId="18" applyNumberFormat="1" applyFont="1" applyBorder="1" applyAlignment="1" applyProtection="1">
      <alignment horizontal="center" vertical="top" wrapText="1"/>
      <protection locked="0"/>
    </xf>
    <xf numFmtId="0" fontId="32" fillId="0" borderId="39" xfId="18" applyNumberFormat="1" applyFont="1" applyBorder="1" applyAlignment="1" applyProtection="1">
      <alignment horizontal="left" vertical="center" wrapText="1"/>
      <protection locked="0"/>
    </xf>
    <xf numFmtId="0" fontId="32" fillId="0" borderId="5" xfId="18" applyNumberFormat="1" applyFont="1" applyBorder="1" applyAlignment="1" applyProtection="1">
      <alignment horizontal="center" vertical="top" wrapText="1"/>
      <protection locked="0"/>
    </xf>
    <xf numFmtId="0" fontId="32" fillId="0" borderId="5" xfId="18" applyNumberFormat="1" applyFont="1" applyBorder="1" applyAlignment="1" applyProtection="1">
      <alignment horizontal="center" vertical="center" wrapText="1"/>
      <protection locked="0"/>
    </xf>
    <xf numFmtId="0" fontId="32" fillId="0" borderId="5" xfId="18" applyNumberFormat="1" applyFont="1" applyBorder="1" applyAlignment="1" applyProtection="1">
      <alignment horizontal="left" vertical="center" wrapText="1"/>
      <protection locked="0"/>
    </xf>
    <xf numFmtId="0" fontId="41" fillId="0" borderId="76" xfId="0" applyFont="1" applyBorder="1" applyAlignment="1">
      <alignment wrapText="1"/>
    </xf>
    <xf numFmtId="176" fontId="0" fillId="0" borderId="5" xfId="16" applyNumberFormat="1" applyFont="1" applyBorder="1" applyAlignment="1">
      <alignment horizontal="center"/>
    </xf>
    <xf numFmtId="0" fontId="0" fillId="0" borderId="5" xfId="16" applyFont="1" applyBorder="1" applyAlignment="1" applyProtection="1">
      <alignment horizontal="center" vertical="center"/>
      <protection locked="0"/>
    </xf>
    <xf numFmtId="9" fontId="0" fillId="0" borderId="5" xfId="16" applyNumberFormat="1" applyFont="1" applyBorder="1" applyAlignment="1" applyProtection="1">
      <alignment horizontal="center" vertical="center" wrapText="1"/>
      <protection locked="0"/>
    </xf>
    <xf numFmtId="0" fontId="0" fillId="0" borderId="5" xfId="18" applyNumberFormat="1" applyFont="1" applyBorder="1" applyAlignment="1" applyProtection="1">
      <alignment horizontal="center" vertical="center" wrapText="1"/>
      <protection locked="0"/>
    </xf>
    <xf numFmtId="164" fontId="0" fillId="0" borderId="5" xfId="16" applyNumberFormat="1" applyFont="1" applyBorder="1" applyAlignment="1">
      <alignment horizontal="center" vertical="top"/>
    </xf>
    <xf numFmtId="176" fontId="0" fillId="0" borderId="5" xfId="16" applyNumberFormat="1" applyFont="1" applyBorder="1" applyAlignment="1">
      <alignment horizontal="center" vertical="top"/>
    </xf>
    <xf numFmtId="0" fontId="0" fillId="0" borderId="5" xfId="16" applyFont="1" applyBorder="1" applyAlignment="1" applyProtection="1">
      <alignment horizontal="center" vertical="top"/>
      <protection locked="0"/>
    </xf>
    <xf numFmtId="9" fontId="0" fillId="0" borderId="5" xfId="16" applyNumberFormat="1" applyFont="1" applyBorder="1" applyAlignment="1" applyProtection="1">
      <alignment horizontal="center" vertical="top" wrapText="1"/>
      <protection locked="0"/>
    </xf>
    <xf numFmtId="0" fontId="0" fillId="0" borderId="5" xfId="18" applyNumberFormat="1" applyFont="1" applyBorder="1" applyAlignment="1" applyProtection="1">
      <alignment horizontal="center" vertical="top" wrapText="1"/>
      <protection locked="0"/>
    </xf>
    <xf numFmtId="164" fontId="0" fillId="0" borderId="5" xfId="16" applyNumberFormat="1" applyFont="1" applyBorder="1" applyAlignment="1">
      <alignment horizontal="center"/>
    </xf>
    <xf numFmtId="164" fontId="0" fillId="0" borderId="5" xfId="16" applyNumberFormat="1" applyFont="1" applyBorder="1"/>
    <xf numFmtId="176" fontId="0" fillId="0" borderId="5" xfId="16" applyNumberFormat="1" applyFont="1" applyBorder="1"/>
    <xf numFmtId="0" fontId="40" fillId="0" borderId="76" xfId="0" quotePrefix="1" applyFont="1" applyBorder="1" applyAlignment="1">
      <alignment wrapText="1"/>
    </xf>
    <xf numFmtId="168" fontId="42" fillId="0" borderId="5" xfId="16" applyNumberFormat="1" applyFont="1" applyBorder="1" applyAlignment="1">
      <alignment horizontal="center" vertical="center"/>
    </xf>
    <xf numFmtId="164" fontId="43" fillId="0" borderId="5" xfId="17" applyFont="1" applyBorder="1" applyAlignment="1">
      <alignment horizontal="center"/>
    </xf>
    <xf numFmtId="164" fontId="43" fillId="0" borderId="5" xfId="17" applyFont="1" applyBorder="1" applyAlignment="1">
      <alignment horizontal="center" vertical="top"/>
    </xf>
    <xf numFmtId="164" fontId="43" fillId="0" borderId="7" xfId="17" applyFont="1" applyBorder="1" applyAlignment="1">
      <alignment horizontal="center" vertical="top"/>
    </xf>
    <xf numFmtId="0" fontId="44" fillId="0" borderId="76" xfId="0" quotePrefix="1" applyFont="1" applyBorder="1" applyAlignment="1">
      <alignment wrapText="1"/>
    </xf>
    <xf numFmtId="164" fontId="43" fillId="0" borderId="8" xfId="17" applyFont="1" applyBorder="1" applyAlignment="1">
      <alignment horizontal="center"/>
    </xf>
    <xf numFmtId="178" fontId="43" fillId="0" borderId="5" xfId="17" applyNumberFormat="1" applyFont="1" applyBorder="1" applyAlignment="1">
      <alignment horizontal="center"/>
    </xf>
    <xf numFmtId="174" fontId="43" fillId="0" borderId="5" xfId="17" applyNumberFormat="1" applyFont="1" applyBorder="1" applyAlignment="1">
      <alignment horizontal="center"/>
    </xf>
    <xf numFmtId="164" fontId="45" fillId="0" borderId="5" xfId="16" applyNumberFormat="1" applyFont="1" applyBorder="1" applyAlignment="1">
      <alignment horizontal="center"/>
    </xf>
    <xf numFmtId="176" fontId="45" fillId="0" borderId="5" xfId="16" applyNumberFormat="1" applyFont="1" applyBorder="1" applyAlignment="1">
      <alignment horizontal="center"/>
    </xf>
    <xf numFmtId="0" fontId="45" fillId="0" borderId="5" xfId="16" applyFont="1" applyBorder="1" applyAlignment="1" applyProtection="1">
      <alignment horizontal="center" vertical="center"/>
      <protection locked="0"/>
    </xf>
    <xf numFmtId="9" fontId="45" fillId="0" borderId="5" xfId="16" applyNumberFormat="1" applyFont="1" applyBorder="1" applyAlignment="1" applyProtection="1">
      <alignment horizontal="center" vertical="center" wrapText="1"/>
      <protection locked="0"/>
    </xf>
    <xf numFmtId="0" fontId="43" fillId="0" borderId="5" xfId="18" applyNumberFormat="1" applyFont="1" applyFill="1" applyBorder="1" applyAlignment="1" applyProtection="1">
      <alignment horizontal="center" vertical="center" wrapText="1"/>
      <protection locked="0"/>
    </xf>
    <xf numFmtId="0" fontId="43" fillId="0" borderId="76" xfId="18" applyNumberFormat="1" applyFont="1" applyFill="1" applyBorder="1" applyAlignment="1" applyProtection="1">
      <alignment horizontal="center" vertical="top" wrapText="1"/>
      <protection locked="0"/>
    </xf>
    <xf numFmtId="0" fontId="46" fillId="13" borderId="5" xfId="0" applyFont="1" applyFill="1" applyBorder="1" applyAlignment="1">
      <alignment horizontal="left" vertical="top" wrapText="1"/>
    </xf>
    <xf numFmtId="164" fontId="43" fillId="0" borderId="5" xfId="17" applyFont="1" applyBorder="1"/>
    <xf numFmtId="178" fontId="43" fillId="0" borderId="5" xfId="17" applyNumberFormat="1" applyFont="1" applyBorder="1"/>
    <xf numFmtId="174" fontId="43" fillId="0" borderId="5" xfId="17" applyNumberFormat="1" applyFont="1" applyBorder="1"/>
    <xf numFmtId="164" fontId="45" fillId="0" borderId="5" xfId="16" applyNumberFormat="1" applyFont="1" applyBorder="1"/>
    <xf numFmtId="176" fontId="45" fillId="0" borderId="5" xfId="16" applyNumberFormat="1" applyFont="1" applyBorder="1"/>
    <xf numFmtId="176" fontId="45" fillId="0" borderId="5" xfId="16" applyNumberFormat="1" applyFont="1" applyBorder="1" applyAlignment="1">
      <alignment horizontal="center" vertical="top"/>
    </xf>
    <xf numFmtId="0" fontId="45" fillId="0" borderId="5" xfId="16" applyFont="1" applyBorder="1" applyAlignment="1" applyProtection="1">
      <alignment horizontal="center" vertical="top"/>
      <protection locked="0"/>
    </xf>
    <xf numFmtId="9" fontId="45" fillId="0" borderId="5" xfId="16" applyNumberFormat="1" applyFont="1" applyBorder="1" applyAlignment="1" applyProtection="1">
      <alignment horizontal="center" vertical="top" wrapText="1"/>
      <protection locked="0"/>
    </xf>
    <xf numFmtId="0" fontId="43" fillId="0" borderId="5" xfId="18" applyNumberFormat="1" applyFont="1" applyFill="1" applyBorder="1" applyAlignment="1" applyProtection="1">
      <alignment horizontal="center" vertical="top" wrapText="1"/>
      <protection locked="0"/>
    </xf>
    <xf numFmtId="0" fontId="37" fillId="0" borderId="0" xfId="0" applyFont="1"/>
    <xf numFmtId="164" fontId="0" fillId="0" borderId="7" xfId="17" applyFont="1" applyBorder="1" applyAlignment="1">
      <alignment horizontal="center" vertical="top"/>
    </xf>
    <xf numFmtId="0" fontId="7" fillId="0" borderId="5" xfId="1" applyFont="1" applyBorder="1" applyAlignment="1">
      <alignment horizontal="center"/>
    </xf>
    <xf numFmtId="0" fontId="7" fillId="0" borderId="37" xfId="1" applyFont="1" applyBorder="1" applyAlignment="1">
      <alignment horizontal="center"/>
    </xf>
    <xf numFmtId="0" fontId="6" fillId="2" borderId="5" xfId="1" applyFill="1" applyBorder="1" applyAlignment="1" applyProtection="1">
      <alignment horizontal="center"/>
      <protection locked="0"/>
    </xf>
    <xf numFmtId="0" fontId="6" fillId="2" borderId="4" xfId="1" applyFill="1" applyBorder="1" applyAlignment="1">
      <alignment horizontal="center"/>
    </xf>
    <xf numFmtId="0" fontId="12" fillId="0" borderId="3" xfId="0" applyFont="1" applyBorder="1" applyAlignment="1" applyProtection="1">
      <alignment horizontal="center"/>
      <protection locked="0"/>
    </xf>
    <xf numFmtId="0" fontId="0" fillId="0" borderId="0" xfId="0" applyAlignment="1" applyProtection="1">
      <alignment horizontal="center"/>
      <protection locked="0"/>
    </xf>
    <xf numFmtId="0" fontId="26" fillId="0" borderId="0" xfId="16" applyFont="1" applyAlignment="1">
      <alignment horizontal="center" vertical="center"/>
    </xf>
    <xf numFmtId="0" fontId="26" fillId="0" borderId="0" xfId="16" applyFont="1" applyAlignment="1">
      <alignment horizontal="center" vertical="center" wrapText="1"/>
    </xf>
    <xf numFmtId="0" fontId="30" fillId="0" borderId="76" xfId="16" applyFont="1" applyBorder="1" applyAlignment="1">
      <alignment horizontal="center" vertical="center"/>
    </xf>
    <xf numFmtId="0" fontId="26" fillId="0" borderId="52" xfId="16" applyFont="1" applyBorder="1" applyAlignment="1">
      <alignment horizontal="center" vertical="center"/>
    </xf>
    <xf numFmtId="0" fontId="26" fillId="0" borderId="60" xfId="16" applyFont="1" applyBorder="1" applyAlignment="1">
      <alignment horizontal="center" vertical="center" wrapText="1"/>
    </xf>
    <xf numFmtId="0" fontId="26" fillId="0" borderId="5" xfId="16" applyFont="1" applyBorder="1" applyAlignment="1">
      <alignment horizontal="center" vertical="center"/>
    </xf>
    <xf numFmtId="0" fontId="26" fillId="0" borderId="5" xfId="16" applyFont="1" applyBorder="1" applyAlignment="1">
      <alignment horizontal="center" vertical="center" wrapText="1"/>
    </xf>
    <xf numFmtId="0" fontId="26" fillId="0" borderId="5" xfId="18" applyNumberFormat="1" applyFont="1" applyFill="1" applyBorder="1" applyAlignment="1">
      <alignment horizontal="center" vertical="center" wrapText="1"/>
    </xf>
    <xf numFmtId="0" fontId="26" fillId="0" borderId="9" xfId="16" applyFont="1" applyBorder="1" applyAlignment="1">
      <alignment horizontal="center" vertical="center"/>
    </xf>
    <xf numFmtId="0" fontId="26" fillId="0" borderId="22" xfId="18" applyNumberFormat="1" applyFont="1" applyFill="1" applyBorder="1" applyAlignment="1">
      <alignment horizontal="center" vertical="center" wrapText="1"/>
    </xf>
    <xf numFmtId="0" fontId="26" fillId="0" borderId="39" xfId="18" applyNumberFormat="1" applyFont="1" applyFill="1" applyBorder="1" applyAlignment="1">
      <alignment horizontal="center" vertical="center" wrapText="1"/>
    </xf>
    <xf numFmtId="0" fontId="26" fillId="0" borderId="26" xfId="16" applyFont="1" applyBorder="1" applyAlignment="1">
      <alignment horizontal="center" vertical="center" wrapText="1"/>
    </xf>
    <xf numFmtId="0" fontId="26" fillId="0" borderId="0" xfId="16" applyFont="1" applyAlignment="1">
      <alignment horizontal="center"/>
    </xf>
    <xf numFmtId="0" fontId="26" fillId="0" borderId="0" xfId="18" applyNumberFormat="1" applyFont="1" applyFill="1" applyBorder="1" applyAlignment="1">
      <alignment horizontal="center" vertical="center" wrapText="1"/>
    </xf>
    <xf numFmtId="0" fontId="14" fillId="7" borderId="18" xfId="1" applyFont="1" applyFill="1" applyBorder="1" applyAlignment="1">
      <alignment horizontal="center"/>
    </xf>
    <xf numFmtId="0" fontId="19" fillId="0" borderId="37" xfId="1" applyFont="1" applyBorder="1" applyAlignment="1">
      <alignment horizontal="center"/>
    </xf>
    <xf numFmtId="0" fontId="19" fillId="0" borderId="38" xfId="1" applyFont="1" applyBorder="1" applyAlignment="1">
      <alignment horizontal="center"/>
    </xf>
    <xf numFmtId="0" fontId="7" fillId="0" borderId="2" xfId="8" applyFont="1" applyBorder="1" applyAlignment="1">
      <alignment horizontal="center"/>
    </xf>
    <xf numFmtId="0" fontId="7" fillId="0" borderId="5" xfId="8" applyFont="1" applyBorder="1" applyAlignment="1">
      <alignment horizontal="center"/>
    </xf>
    <xf numFmtId="0" fontId="30" fillId="0" borderId="76" xfId="18" applyNumberFormat="1" applyFont="1" applyBorder="1" applyAlignment="1">
      <alignment horizontal="center" vertical="center" wrapText="1"/>
    </xf>
    <xf numFmtId="0" fontId="37" fillId="0" borderId="76" xfId="0" applyFont="1" applyBorder="1"/>
    <xf numFmtId="0" fontId="32" fillId="0" borderId="77" xfId="18" applyNumberFormat="1" applyFont="1" applyFill="1" applyBorder="1" applyAlignment="1" applyProtection="1">
      <alignment horizontal="center" vertical="top" wrapText="1"/>
      <protection locked="0"/>
    </xf>
    <xf numFmtId="0" fontId="32" fillId="0" borderId="80" xfId="18" applyNumberFormat="1" applyFont="1" applyFill="1" applyBorder="1" applyAlignment="1" applyProtection="1">
      <alignment horizontal="left" vertical="top" wrapText="1"/>
      <protection locked="0"/>
    </xf>
    <xf numFmtId="0" fontId="32" fillId="0" borderId="83" xfId="18" applyNumberFormat="1" applyFont="1" applyFill="1" applyBorder="1" applyAlignment="1" applyProtection="1">
      <alignment horizontal="left" vertical="top" wrapText="1"/>
      <protection locked="0"/>
    </xf>
    <xf numFmtId="9" fontId="0" fillId="0" borderId="1" xfId="19" applyFont="1" applyBorder="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Alignment="1" applyProtection="1">
      <alignment horizontal="center" wrapText="1"/>
      <protection locked="0"/>
    </xf>
    <xf numFmtId="2" fontId="0" fillId="0" borderId="17" xfId="0" applyNumberFormat="1" applyBorder="1" applyAlignment="1">
      <alignment horizontal="center"/>
    </xf>
    <xf numFmtId="0" fontId="30" fillId="4" borderId="76" xfId="16" applyFont="1" applyFill="1" applyBorder="1" applyAlignment="1">
      <alignment horizontal="center" vertical="center"/>
    </xf>
    <xf numFmtId="164" fontId="32" fillId="4" borderId="76" xfId="17" applyFont="1" applyFill="1" applyBorder="1" applyAlignment="1">
      <alignment horizontal="center" vertical="top"/>
    </xf>
    <xf numFmtId="164" fontId="32" fillId="4" borderId="39" xfId="17" applyFont="1" applyFill="1" applyBorder="1" applyAlignment="1">
      <alignment horizontal="center" vertical="top"/>
    </xf>
    <xf numFmtId="164" fontId="43" fillId="4" borderId="5" xfId="17" applyFont="1" applyFill="1" applyBorder="1" applyAlignment="1">
      <alignment horizontal="center" vertical="top"/>
    </xf>
    <xf numFmtId="2" fontId="0" fillId="6" borderId="60" xfId="0" applyNumberFormat="1" applyFill="1" applyBorder="1" applyAlignment="1">
      <alignment horizontal="center"/>
    </xf>
    <xf numFmtId="164" fontId="32" fillId="14" borderId="76" xfId="17" applyFont="1" applyFill="1" applyBorder="1" applyAlignment="1">
      <alignment horizontal="center" vertical="top"/>
    </xf>
    <xf numFmtId="0" fontId="5" fillId="0" borderId="5" xfId="0" applyFont="1" applyBorder="1" applyAlignment="1">
      <alignment vertical="top"/>
    </xf>
    <xf numFmtId="0" fontId="0" fillId="13" borderId="17" xfId="0" applyFill="1" applyBorder="1" applyAlignment="1" applyProtection="1">
      <alignment horizontal="center" vertical="center"/>
      <protection locked="0"/>
    </xf>
    <xf numFmtId="0" fontId="0" fillId="6" borderId="78" xfId="0" applyFill="1" applyBorder="1" applyAlignment="1">
      <alignment horizontal="center"/>
    </xf>
    <xf numFmtId="0" fontId="0" fillId="6" borderId="57" xfId="0" applyFill="1" applyBorder="1" applyAlignment="1">
      <alignment horizontal="center"/>
    </xf>
    <xf numFmtId="0" fontId="0" fillId="6" borderId="84" xfId="0" applyFill="1" applyBorder="1" applyAlignment="1">
      <alignment horizontal="center"/>
    </xf>
    <xf numFmtId="177" fontId="0" fillId="10" borderId="26" xfId="0" applyNumberFormat="1" applyFill="1" applyBorder="1" applyAlignment="1">
      <alignment horizontal="center"/>
    </xf>
    <xf numFmtId="0" fontId="0" fillId="4" borderId="17" xfId="0" applyFill="1" applyBorder="1" applyAlignment="1" applyProtection="1">
      <alignment horizontal="center" vertical="center"/>
      <protection locked="0"/>
    </xf>
    <xf numFmtId="0" fontId="0" fillId="0" borderId="24" xfId="0" applyBorder="1" applyAlignment="1" applyProtection="1">
      <alignment horizontal="center"/>
      <protection locked="0"/>
    </xf>
    <xf numFmtId="0" fontId="0" fillId="0" borderId="78" xfId="0" applyBorder="1" applyAlignment="1">
      <alignment horizontal="center" vertical="center"/>
    </xf>
    <xf numFmtId="0" fontId="0" fillId="0" borderId="60" xfId="0" applyBorder="1" applyAlignment="1" applyProtection="1">
      <alignment horizontal="center"/>
      <protection locked="0"/>
    </xf>
    <xf numFmtId="0" fontId="0" fillId="0" borderId="85" xfId="0" applyBorder="1" applyAlignment="1">
      <alignment horizontal="center" vertical="center"/>
    </xf>
    <xf numFmtId="0" fontId="38" fillId="0" borderId="80" xfId="0" quotePrefix="1" applyFont="1" applyBorder="1" applyAlignment="1">
      <alignment vertical="top" wrapText="1"/>
    </xf>
    <xf numFmtId="2" fontId="0" fillId="4" borderId="17" xfId="0" applyNumberFormat="1" applyFill="1" applyBorder="1" applyAlignment="1">
      <alignment horizontal="center"/>
    </xf>
    <xf numFmtId="0" fontId="0" fillId="4" borderId="17" xfId="0" applyFill="1" applyBorder="1" applyAlignment="1">
      <alignment horizontal="center" vertical="center"/>
    </xf>
    <xf numFmtId="0" fontId="0" fillId="15" borderId="17" xfId="0" applyFill="1" applyBorder="1" applyAlignment="1" applyProtection="1">
      <alignment horizontal="center" vertical="center"/>
      <protection locked="0"/>
    </xf>
    <xf numFmtId="0" fontId="7" fillId="0" borderId="7" xfId="1" applyFont="1" applyBorder="1" applyAlignment="1">
      <alignment horizontal="center"/>
    </xf>
    <xf numFmtId="0" fontId="7" fillId="0" borderId="9" xfId="1" applyFont="1" applyBorder="1" applyAlignment="1">
      <alignment horizontal="center"/>
    </xf>
    <xf numFmtId="0" fontId="7" fillId="0" borderId="8" xfId="1" applyFont="1" applyBorder="1" applyAlignment="1">
      <alignment horizontal="center"/>
    </xf>
    <xf numFmtId="0" fontId="7" fillId="0" borderId="5" xfId="1" applyFont="1" applyBorder="1" applyAlignment="1">
      <alignment horizontal="center"/>
    </xf>
    <xf numFmtId="0" fontId="7" fillId="0" borderId="36" xfId="1" applyFont="1" applyBorder="1" applyAlignment="1">
      <alignment horizontal="center"/>
    </xf>
    <xf numFmtId="0" fontId="7" fillId="0" borderId="37" xfId="1" applyFont="1" applyBorder="1" applyAlignment="1">
      <alignment horizontal="center"/>
    </xf>
    <xf numFmtId="0" fontId="6" fillId="2" borderId="5" xfId="1" applyFill="1" applyBorder="1" applyAlignment="1" applyProtection="1">
      <alignment horizontal="center"/>
      <protection locked="0"/>
    </xf>
    <xf numFmtId="167" fontId="7" fillId="2" borderId="1" xfId="1" applyNumberFormat="1" applyFont="1" applyFill="1" applyBorder="1" applyAlignment="1">
      <alignment horizontal="center"/>
    </xf>
    <xf numFmtId="167" fontId="7" fillId="2" borderId="2" xfId="1" applyNumberFormat="1" applyFont="1" applyFill="1" applyBorder="1" applyAlignment="1">
      <alignment horizontal="center"/>
    </xf>
    <xf numFmtId="167" fontId="7" fillId="2" borderId="3" xfId="1" applyNumberFormat="1" applyFont="1" applyFill="1" applyBorder="1" applyAlignment="1">
      <alignment horizontal="center"/>
    </xf>
    <xf numFmtId="0" fontId="7" fillId="2" borderId="1" xfId="1" applyFont="1" applyFill="1" applyBorder="1" applyAlignment="1">
      <alignment horizontal="center"/>
    </xf>
    <xf numFmtId="0" fontId="7" fillId="2" borderId="2" xfId="1" applyFont="1" applyFill="1" applyBorder="1" applyAlignment="1">
      <alignment horizontal="center"/>
    </xf>
    <xf numFmtId="0" fontId="7" fillId="2" borderId="3" xfId="1" applyFont="1" applyFill="1" applyBorder="1" applyAlignment="1">
      <alignment horizontal="center"/>
    </xf>
    <xf numFmtId="0" fontId="9" fillId="2" borderId="1" xfId="1" applyFont="1" applyFill="1" applyBorder="1" applyAlignment="1">
      <alignment horizontal="center"/>
    </xf>
    <xf numFmtId="0" fontId="9" fillId="2" borderId="2" xfId="1" applyFont="1" applyFill="1" applyBorder="1" applyAlignment="1">
      <alignment horizontal="center"/>
    </xf>
    <xf numFmtId="0" fontId="9" fillId="2" borderId="3" xfId="1" applyFont="1" applyFill="1" applyBorder="1" applyAlignment="1">
      <alignment horizontal="center"/>
    </xf>
    <xf numFmtId="16" fontId="9" fillId="2" borderId="1" xfId="1" applyNumberFormat="1" applyFont="1" applyFill="1" applyBorder="1" applyAlignment="1">
      <alignment horizontal="center"/>
    </xf>
    <xf numFmtId="0" fontId="6" fillId="2" borderId="0" xfId="1" applyFill="1" applyAlignment="1">
      <alignment horizontal="center"/>
    </xf>
    <xf numFmtId="0" fontId="6" fillId="2" borderId="4" xfId="1" applyFill="1" applyBorder="1" applyAlignment="1">
      <alignment horizontal="center"/>
    </xf>
    <xf numFmtId="0" fontId="6" fillId="2" borderId="7" xfId="1" applyFill="1" applyBorder="1" applyAlignment="1" applyProtection="1">
      <alignment horizontal="center"/>
      <protection locked="0"/>
    </xf>
    <xf numFmtId="0" fontId="6" fillId="2" borderId="8" xfId="1" applyFill="1" applyBorder="1" applyAlignment="1" applyProtection="1">
      <alignment horizontal="center"/>
      <protection locked="0"/>
    </xf>
    <xf numFmtId="0" fontId="6" fillId="2" borderId="9" xfId="1" applyFill="1" applyBorder="1" applyAlignment="1" applyProtection="1">
      <alignment horizontal="center"/>
      <protection locked="0"/>
    </xf>
    <xf numFmtId="0" fontId="6" fillId="2" borderId="5" xfId="1" applyFill="1" applyBorder="1" applyAlignment="1" applyProtection="1">
      <alignment vertical="top" wrapText="1"/>
      <protection locked="0"/>
    </xf>
    <xf numFmtId="0" fontId="6" fillId="2" borderId="10" xfId="1" applyFill="1" applyBorder="1" applyAlignment="1" applyProtection="1">
      <alignment vertical="top" wrapText="1"/>
      <protection locked="0"/>
    </xf>
    <xf numFmtId="0" fontId="6" fillId="2" borderId="0" xfId="1" applyFill="1" applyAlignment="1" applyProtection="1">
      <alignment vertical="top" wrapText="1"/>
      <protection locked="0"/>
    </xf>
    <xf numFmtId="0" fontId="6" fillId="2" borderId="4" xfId="1" applyFill="1" applyBorder="1" applyAlignment="1" applyProtection="1">
      <alignment vertical="top" wrapText="1"/>
      <protection locked="0"/>
    </xf>
    <xf numFmtId="0" fontId="6" fillId="2" borderId="14" xfId="1" applyFill="1" applyBorder="1" applyAlignment="1" applyProtection="1">
      <alignment vertical="top" wrapText="1"/>
      <protection locked="0"/>
    </xf>
    <xf numFmtId="0" fontId="6" fillId="2" borderId="15" xfId="1" applyFill="1" applyBorder="1" applyAlignment="1" applyProtection="1">
      <alignment vertical="top" wrapText="1"/>
      <protection locked="0"/>
    </xf>
    <xf numFmtId="0" fontId="6" fillId="2" borderId="16" xfId="1" applyFill="1" applyBorder="1" applyAlignment="1" applyProtection="1">
      <alignment vertical="top" wrapText="1"/>
      <protection locked="0"/>
    </xf>
    <xf numFmtId="0" fontId="7" fillId="2" borderId="0" xfId="1" applyFont="1" applyFill="1" applyAlignment="1">
      <alignment horizontal="center" wrapText="1"/>
    </xf>
    <xf numFmtId="0" fontId="26" fillId="0" borderId="23" xfId="16" applyFont="1" applyBorder="1" applyAlignment="1">
      <alignment horizontal="center" vertical="center"/>
    </xf>
    <xf numFmtId="0" fontId="26" fillId="0" borderId="52" xfId="16" applyFont="1" applyBorder="1" applyAlignment="1">
      <alignment horizontal="center" vertical="center"/>
    </xf>
    <xf numFmtId="0" fontId="26" fillId="0" borderId="59" xfId="16" applyFont="1" applyBorder="1" applyAlignment="1">
      <alignment horizontal="center" vertical="center"/>
    </xf>
    <xf numFmtId="0" fontId="26" fillId="0" borderId="60" xfId="16" applyFont="1" applyBorder="1" applyAlignment="1">
      <alignment horizontal="center" vertical="center" wrapText="1"/>
    </xf>
    <xf numFmtId="0" fontId="26" fillId="0" borderId="24" xfId="16" applyFont="1" applyBorder="1" applyAlignment="1">
      <alignment horizontal="center" vertical="center" wrapText="1"/>
    </xf>
    <xf numFmtId="0" fontId="26" fillId="0" borderId="22" xfId="16" applyFont="1" applyBorder="1" applyAlignment="1">
      <alignment horizontal="center" vertical="center"/>
    </xf>
    <xf numFmtId="0" fontId="26" fillId="0" borderId="39" xfId="16" applyFont="1" applyBorder="1" applyAlignment="1">
      <alignment horizontal="center" vertical="center"/>
    </xf>
    <xf numFmtId="0" fontId="26" fillId="0" borderId="7" xfId="16" applyFont="1" applyBorder="1" applyAlignment="1">
      <alignment horizontal="center" vertical="center"/>
    </xf>
    <xf numFmtId="0" fontId="26" fillId="0" borderId="9" xfId="16" applyFont="1" applyBorder="1" applyAlignment="1">
      <alignment horizontal="center" vertical="center"/>
    </xf>
    <xf numFmtId="0" fontId="26" fillId="0" borderId="8" xfId="16" applyFont="1" applyBorder="1" applyAlignment="1">
      <alignment horizontal="center" vertical="center"/>
    </xf>
    <xf numFmtId="0" fontId="26" fillId="0" borderId="22" xfId="16" applyFont="1" applyBorder="1" applyAlignment="1">
      <alignment horizontal="center" vertical="center" wrapText="1"/>
    </xf>
    <xf numFmtId="0" fontId="26" fillId="0" borderId="39" xfId="16" applyFont="1" applyBorder="1" applyAlignment="1">
      <alignment horizontal="center" vertical="center" wrapText="1"/>
    </xf>
    <xf numFmtId="0" fontId="26" fillId="0" borderId="22" xfId="18" applyNumberFormat="1" applyFont="1" applyFill="1" applyBorder="1" applyAlignment="1">
      <alignment horizontal="center" vertical="center" wrapText="1"/>
    </xf>
    <xf numFmtId="0" fontId="26" fillId="0" borderId="39" xfId="18" applyNumberFormat="1" applyFont="1" applyFill="1" applyBorder="1" applyAlignment="1">
      <alignment horizontal="center" vertical="center" wrapText="1"/>
    </xf>
    <xf numFmtId="0" fontId="26" fillId="0" borderId="60" xfId="16" applyFont="1" applyBorder="1" applyAlignment="1">
      <alignment horizontal="center" vertical="center"/>
    </xf>
    <xf numFmtId="0" fontId="26" fillId="0" borderId="24" xfId="16" applyFont="1" applyBorder="1" applyAlignment="1">
      <alignment horizontal="center" vertical="center"/>
    </xf>
    <xf numFmtId="0" fontId="26" fillId="0" borderId="23" xfId="16" applyFont="1" applyBorder="1" applyAlignment="1">
      <alignment horizontal="center"/>
    </xf>
    <xf numFmtId="0" fontId="26" fillId="0" borderId="52" xfId="16" applyFont="1" applyBorder="1" applyAlignment="1">
      <alignment horizontal="center"/>
    </xf>
    <xf numFmtId="0" fontId="26" fillId="0" borderId="59" xfId="16" applyFont="1" applyBorder="1" applyAlignment="1">
      <alignment horizontal="center"/>
    </xf>
    <xf numFmtId="0" fontId="26" fillId="0" borderId="0" xfId="16" applyFont="1" applyAlignment="1">
      <alignment horizontal="center" vertical="center"/>
    </xf>
    <xf numFmtId="0" fontId="26" fillId="0" borderId="0" xfId="16" applyFont="1" applyAlignment="1">
      <alignment horizontal="center" vertical="center" wrapText="1"/>
    </xf>
    <xf numFmtId="0" fontId="26" fillId="0" borderId="0" xfId="18" applyNumberFormat="1" applyFont="1" applyFill="1" applyBorder="1" applyAlignment="1">
      <alignment horizontal="center" vertical="center" wrapText="1"/>
    </xf>
    <xf numFmtId="0" fontId="30" fillId="0" borderId="77" xfId="18" applyNumberFormat="1" applyFont="1" applyFill="1" applyBorder="1" applyAlignment="1">
      <alignment horizontal="center" vertical="center" wrapText="1"/>
    </xf>
    <xf numFmtId="0" fontId="30" fillId="0" borderId="81" xfId="18" applyNumberFormat="1" applyFont="1" applyFill="1" applyBorder="1" applyAlignment="1">
      <alignment horizontal="center" vertical="center" wrapText="1"/>
    </xf>
    <xf numFmtId="0" fontId="30" fillId="0" borderId="82" xfId="18" applyNumberFormat="1" applyFont="1" applyFill="1" applyBorder="1" applyAlignment="1">
      <alignment horizontal="center" vertical="center" wrapText="1"/>
    </xf>
    <xf numFmtId="0" fontId="30" fillId="0" borderId="76" xfId="16" applyFont="1" applyBorder="1" applyAlignment="1">
      <alignment horizontal="center" vertical="center"/>
    </xf>
    <xf numFmtId="0" fontId="26" fillId="0" borderId="36" xfId="16" applyFont="1" applyBorder="1" applyAlignment="1">
      <alignment horizontal="center" vertical="center"/>
    </xf>
    <xf numFmtId="0" fontId="26" fillId="0" borderId="37" xfId="16" applyFont="1" applyBorder="1" applyAlignment="1">
      <alignment horizontal="center" vertical="center"/>
    </xf>
    <xf numFmtId="0" fontId="26" fillId="0" borderId="38" xfId="16" applyFont="1" applyBorder="1" applyAlignment="1">
      <alignment horizontal="center" vertical="center"/>
    </xf>
    <xf numFmtId="0" fontId="26" fillId="0" borderId="64" xfId="16" applyFont="1" applyBorder="1" applyAlignment="1">
      <alignment horizontal="center" vertical="center" wrapText="1"/>
    </xf>
    <xf numFmtId="0" fontId="26" fillId="0" borderId="65" xfId="16" applyFont="1" applyBorder="1" applyAlignment="1">
      <alignment horizontal="center" vertical="center" wrapText="1"/>
    </xf>
    <xf numFmtId="0" fontId="26" fillId="0" borderId="0" xfId="16" applyFont="1" applyAlignment="1">
      <alignment horizontal="center"/>
    </xf>
    <xf numFmtId="0" fontId="26" fillId="0" borderId="36" xfId="16" applyFont="1" applyBorder="1" applyAlignment="1">
      <alignment horizontal="center"/>
    </xf>
    <xf numFmtId="0" fontId="26" fillId="0" borderId="38" xfId="16" applyFont="1" applyBorder="1" applyAlignment="1">
      <alignment horizontal="center"/>
    </xf>
    <xf numFmtId="0" fontId="26" fillId="0" borderId="45" xfId="16" applyFont="1" applyBorder="1" applyAlignment="1">
      <alignment horizontal="center" vertical="center"/>
    </xf>
    <xf numFmtId="0" fontId="26" fillId="0" borderId="66" xfId="16" applyFont="1" applyBorder="1" applyAlignment="1">
      <alignment horizontal="center" vertical="center"/>
    </xf>
    <xf numFmtId="0" fontId="26" fillId="0" borderId="53" xfId="16" applyFont="1" applyBorder="1" applyAlignment="1">
      <alignment horizontal="center"/>
    </xf>
    <xf numFmtId="0" fontId="26" fillId="0" borderId="26" xfId="16" applyFont="1" applyBorder="1" applyAlignment="1">
      <alignment horizontal="center" vertical="center" wrapText="1"/>
    </xf>
    <xf numFmtId="0" fontId="26" fillId="0" borderId="5" xfId="18" applyNumberFormat="1" applyFont="1" applyFill="1" applyBorder="1" applyAlignment="1">
      <alignment horizontal="center" vertical="center" wrapText="1"/>
    </xf>
    <xf numFmtId="0" fontId="2" fillId="12" borderId="10" xfId="16" applyFill="1" applyBorder="1" applyAlignment="1">
      <alignment horizontal="center"/>
    </xf>
    <xf numFmtId="0" fontId="2" fillId="12" borderId="0" xfId="16" applyFill="1" applyAlignment="1">
      <alignment horizontal="center"/>
    </xf>
    <xf numFmtId="0" fontId="26" fillId="11" borderId="0" xfId="16" applyFont="1" applyFill="1" applyAlignment="1">
      <alignment horizontal="center"/>
    </xf>
    <xf numFmtId="0" fontId="26" fillId="0" borderId="5" xfId="16" applyFont="1" applyBorder="1" applyAlignment="1">
      <alignment horizontal="center" vertical="center"/>
    </xf>
    <xf numFmtId="0" fontId="26" fillId="0" borderId="5" xfId="16" applyFont="1" applyBorder="1" applyAlignment="1">
      <alignment horizontal="center" vertical="center" wrapText="1"/>
    </xf>
    <xf numFmtId="164" fontId="26" fillId="0" borderId="77" xfId="17" applyFont="1" applyBorder="1" applyAlignment="1">
      <alignment horizontal="center"/>
    </xf>
    <xf numFmtId="164" fontId="26" fillId="0" borderId="81" xfId="17" applyFont="1" applyBorder="1" applyAlignment="1">
      <alignment horizontal="center"/>
    </xf>
    <xf numFmtId="164" fontId="26" fillId="0" borderId="82" xfId="17" applyFont="1" applyBorder="1" applyAlignment="1">
      <alignment horizontal="center"/>
    </xf>
    <xf numFmtId="0" fontId="30" fillId="0" borderId="77" xfId="18" applyNumberFormat="1" applyFont="1" applyBorder="1" applyAlignment="1">
      <alignment horizontal="center" vertical="center" wrapText="1"/>
    </xf>
    <xf numFmtId="0" fontId="30" fillId="0" borderId="81" xfId="18" applyNumberFormat="1" applyFont="1" applyBorder="1" applyAlignment="1">
      <alignment horizontal="center" vertical="center" wrapText="1"/>
    </xf>
    <xf numFmtId="0" fontId="30" fillId="0" borderId="82" xfId="18" applyNumberFormat="1" applyFont="1" applyBorder="1" applyAlignment="1">
      <alignment horizontal="center" vertical="center" wrapText="1"/>
    </xf>
    <xf numFmtId="0" fontId="5" fillId="0" borderId="78" xfId="0" applyFont="1" applyBorder="1" applyAlignment="1">
      <alignment horizontal="center"/>
    </xf>
    <xf numFmtId="0" fontId="12" fillId="3" borderId="1"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12" fillId="0" borderId="1" xfId="0" applyFont="1" applyBorder="1" applyAlignment="1" applyProtection="1">
      <alignment horizontal="center"/>
      <protection locked="0"/>
    </xf>
    <xf numFmtId="0" fontId="12" fillId="0" borderId="2" xfId="0" applyFont="1" applyBorder="1" applyAlignment="1" applyProtection="1">
      <alignment horizontal="center"/>
      <protection locked="0"/>
    </xf>
    <xf numFmtId="0" fontId="12" fillId="0" borderId="3" xfId="0" applyFont="1" applyBorder="1" applyAlignment="1" applyProtection="1">
      <alignment horizontal="center"/>
      <protection locked="0"/>
    </xf>
    <xf numFmtId="0" fontId="12" fillId="0" borderId="5" xfId="0" applyFont="1" applyBorder="1" applyAlignment="1" applyProtection="1">
      <alignment horizontal="center"/>
      <protection locked="0"/>
    </xf>
    <xf numFmtId="0" fontId="5" fillId="0" borderId="0" xfId="0" applyFont="1" applyAlignment="1" applyProtection="1">
      <alignment horizontal="center"/>
      <protection locked="0"/>
    </xf>
    <xf numFmtId="0" fontId="12" fillId="4" borderId="1" xfId="0" applyFont="1" applyFill="1" applyBorder="1" applyAlignment="1" applyProtection="1">
      <alignment horizontal="center"/>
      <protection locked="0"/>
    </xf>
    <xf numFmtId="0" fontId="12" fillId="4" borderId="2" xfId="0" applyFont="1" applyFill="1" applyBorder="1" applyAlignment="1" applyProtection="1">
      <alignment horizontal="center"/>
      <protection locked="0"/>
    </xf>
    <xf numFmtId="0" fontId="12" fillId="4" borderId="3" xfId="0" applyFont="1" applyFill="1" applyBorder="1" applyAlignment="1" applyProtection="1">
      <alignment horizontal="center"/>
      <protection locked="0"/>
    </xf>
    <xf numFmtId="0" fontId="22" fillId="0" borderId="52" xfId="8" applyFont="1" applyBorder="1" applyAlignment="1">
      <alignment horizontal="center"/>
    </xf>
    <xf numFmtId="0" fontId="22" fillId="0" borderId="18" xfId="8" applyFont="1" applyBorder="1" applyAlignment="1">
      <alignment horizontal="center"/>
    </xf>
    <xf numFmtId="0" fontId="22" fillId="0" borderId="57" xfId="8" applyFont="1" applyBorder="1" applyAlignment="1">
      <alignment horizontal="center"/>
    </xf>
    <xf numFmtId="0" fontId="22" fillId="0" borderId="45" xfId="8" applyFont="1" applyBorder="1" applyAlignment="1">
      <alignment horizontal="center"/>
    </xf>
    <xf numFmtId="0" fontId="22" fillId="0" borderId="2" xfId="8" applyFont="1" applyBorder="1" applyAlignment="1">
      <alignment horizontal="center"/>
    </xf>
    <xf numFmtId="0" fontId="22" fillId="0" borderId="3" xfId="8" applyFont="1" applyBorder="1" applyAlignment="1">
      <alignment horizontal="center"/>
    </xf>
    <xf numFmtId="1" fontId="15" fillId="0" borderId="45" xfId="1" applyNumberFormat="1" applyFont="1" applyBorder="1" applyAlignment="1">
      <alignment horizontal="center"/>
    </xf>
    <xf numFmtId="1" fontId="15" fillId="0" borderId="18" xfId="1" applyNumberFormat="1" applyFont="1" applyBorder="1" applyAlignment="1">
      <alignment horizontal="center"/>
    </xf>
    <xf numFmtId="1" fontId="15" fillId="0" borderId="31" xfId="1" applyNumberFormat="1" applyFont="1" applyBorder="1" applyAlignment="1">
      <alignment horizontal="center"/>
    </xf>
    <xf numFmtId="0" fontId="14" fillId="7" borderId="18" xfId="1" applyFont="1" applyFill="1" applyBorder="1" applyAlignment="1">
      <alignment horizontal="center"/>
    </xf>
    <xf numFmtId="0" fontId="14" fillId="7" borderId="31" xfId="1" applyFont="1" applyFill="1" applyBorder="1" applyAlignment="1">
      <alignment horizontal="center"/>
    </xf>
    <xf numFmtId="0" fontId="19" fillId="0" borderId="49" xfId="1" applyFont="1" applyBorder="1" applyAlignment="1">
      <alignment horizontal="center"/>
    </xf>
    <xf numFmtId="0" fontId="19" fillId="0" borderId="37" xfId="1" applyFont="1" applyBorder="1" applyAlignment="1">
      <alignment horizontal="center"/>
    </xf>
    <xf numFmtId="0" fontId="19" fillId="0" borderId="38" xfId="1" applyFont="1" applyBorder="1" applyAlignment="1">
      <alignment horizontal="center"/>
    </xf>
    <xf numFmtId="0" fontId="19" fillId="9" borderId="36" xfId="1" applyFont="1" applyFill="1" applyBorder="1" applyAlignment="1" applyProtection="1">
      <alignment horizontal="center"/>
      <protection locked="0"/>
    </xf>
    <xf numFmtId="0" fontId="19" fillId="9" borderId="37" xfId="1" applyFont="1" applyFill="1" applyBorder="1" applyAlignment="1" applyProtection="1">
      <alignment horizontal="center"/>
      <protection locked="0"/>
    </xf>
    <xf numFmtId="0" fontId="19" fillId="9" borderId="38" xfId="1" applyFont="1" applyFill="1" applyBorder="1" applyAlignment="1" applyProtection="1">
      <alignment horizontal="center"/>
      <protection locked="0"/>
    </xf>
    <xf numFmtId="1" fontId="21" fillId="0" borderId="41" xfId="1" applyNumberFormat="1" applyFont="1" applyBorder="1" applyAlignment="1">
      <alignment horizontal="left"/>
    </xf>
    <xf numFmtId="1" fontId="21" fillId="0" borderId="5" xfId="1" applyNumberFormat="1" applyFont="1" applyBorder="1" applyAlignment="1">
      <alignment horizontal="left"/>
    </xf>
    <xf numFmtId="1" fontId="21" fillId="0" borderId="42" xfId="1" applyNumberFormat="1" applyFont="1" applyBorder="1" applyAlignment="1">
      <alignment horizontal="left"/>
    </xf>
    <xf numFmtId="1" fontId="19" fillId="0" borderId="41" xfId="1" applyNumberFormat="1" applyFont="1" applyBorder="1" applyAlignment="1">
      <alignment horizontal="center" vertical="center"/>
    </xf>
    <xf numFmtId="1" fontId="7" fillId="0" borderId="5" xfId="1" applyNumberFormat="1" applyFont="1" applyBorder="1" applyAlignment="1">
      <alignment horizontal="center" vertical="center"/>
    </xf>
    <xf numFmtId="0" fontId="7" fillId="0" borderId="42" xfId="1" applyFont="1" applyBorder="1" applyAlignment="1" applyProtection="1">
      <alignment horizontal="center" vertical="center"/>
      <protection locked="0"/>
    </xf>
    <xf numFmtId="1" fontId="19" fillId="0" borderId="27" xfId="1" applyNumberFormat="1" applyFont="1" applyBorder="1" applyAlignment="1">
      <alignment horizontal="center" vertical="center"/>
    </xf>
    <xf numFmtId="1" fontId="7" fillId="0" borderId="25" xfId="1" applyNumberFormat="1" applyFont="1" applyBorder="1" applyAlignment="1">
      <alignment horizontal="center" vertical="center"/>
    </xf>
    <xf numFmtId="0" fontId="7" fillId="0" borderId="51" xfId="1" applyFont="1" applyBorder="1" applyAlignment="1" applyProtection="1">
      <alignment horizontal="center" vertical="center"/>
      <protection locked="0"/>
    </xf>
    <xf numFmtId="0" fontId="7" fillId="0" borderId="5" xfId="8" applyFont="1" applyBorder="1" applyAlignment="1">
      <alignment horizontal="center"/>
    </xf>
    <xf numFmtId="0" fontId="7" fillId="0" borderId="7" xfId="8" applyFont="1" applyBorder="1" applyAlignment="1">
      <alignment horizontal="center"/>
    </xf>
    <xf numFmtId="0" fontId="7" fillId="0" borderId="9" xfId="8" applyFont="1" applyBorder="1" applyAlignment="1">
      <alignment horizontal="center"/>
    </xf>
    <xf numFmtId="0" fontId="7" fillId="0" borderId="8" xfId="8" applyFont="1" applyBorder="1" applyAlignment="1">
      <alignment horizontal="center"/>
    </xf>
    <xf numFmtId="0" fontId="7" fillId="0" borderId="5" xfId="8" applyFont="1" applyBorder="1" applyAlignment="1">
      <alignment horizontal="center" wrapText="1"/>
    </xf>
    <xf numFmtId="0" fontId="7" fillId="0" borderId="23" xfId="8" applyFont="1" applyBorder="1" applyAlignment="1">
      <alignment horizontal="center"/>
    </xf>
    <xf numFmtId="0" fontId="7" fillId="0" borderId="52" xfId="8" applyFont="1" applyBorder="1" applyAlignment="1">
      <alignment horizontal="center"/>
    </xf>
    <xf numFmtId="0" fontId="7" fillId="0" borderId="59" xfId="8" applyFont="1" applyBorder="1" applyAlignment="1">
      <alignment horizontal="center"/>
    </xf>
    <xf numFmtId="0" fontId="7" fillId="0" borderId="2" xfId="8" applyFont="1" applyBorder="1" applyAlignment="1">
      <alignment horizontal="center"/>
    </xf>
    <xf numFmtId="0" fontId="7" fillId="0" borderId="1" xfId="8" applyFont="1" applyBorder="1" applyAlignment="1">
      <alignment horizontal="center"/>
    </xf>
    <xf numFmtId="0" fontId="7" fillId="0" borderId="3" xfId="8" applyFont="1" applyBorder="1" applyAlignment="1">
      <alignment horizontal="center"/>
    </xf>
    <xf numFmtId="0" fontId="6" fillId="2" borderId="7" xfId="1" applyFill="1" applyBorder="1" applyAlignment="1"/>
    <xf numFmtId="0" fontId="6" fillId="2" borderId="9" xfId="1" applyFill="1" applyBorder="1" applyAlignment="1"/>
    <xf numFmtId="0" fontId="6" fillId="2" borderId="8" xfId="1" applyFill="1" applyBorder="1" applyAlignment="1"/>
  </cellXfs>
  <cellStyles count="20">
    <cellStyle name="Comma [0] 2" xfId="17" xr:uid="{00000000-0005-0000-0000-000000000000}"/>
    <cellStyle name="Comma 2" xfId="2" xr:uid="{00000000-0005-0000-0000-000001000000}"/>
    <cellStyle name="Comma 3" xfId="5" xr:uid="{00000000-0005-0000-0000-000002000000}"/>
    <cellStyle name="Currency 2" xfId="6" xr:uid="{00000000-0005-0000-0000-000003000000}"/>
    <cellStyle name="Hyperlink" xfId="7" builtinId="8"/>
    <cellStyle name="Normal" xfId="0" builtinId="0"/>
    <cellStyle name="Normal 11" xfId="4" xr:uid="{00000000-0005-0000-0000-000006000000}"/>
    <cellStyle name="Normal 2" xfId="3" xr:uid="{00000000-0005-0000-0000-000007000000}"/>
    <cellStyle name="Normal 2 2" xfId="8" xr:uid="{00000000-0005-0000-0000-000008000000}"/>
    <cellStyle name="Normal 2 3" xfId="9" xr:uid="{00000000-0005-0000-0000-000009000000}"/>
    <cellStyle name="Normal 2 4" xfId="10" xr:uid="{00000000-0005-0000-0000-00000A000000}"/>
    <cellStyle name="Normal 2 5" xfId="11" xr:uid="{00000000-0005-0000-0000-00000B000000}"/>
    <cellStyle name="Normal 3" xfId="1" xr:uid="{00000000-0005-0000-0000-00000C000000}"/>
    <cellStyle name="Normal 4" xfId="12" xr:uid="{00000000-0005-0000-0000-00000D000000}"/>
    <cellStyle name="Normal 5" xfId="13" xr:uid="{00000000-0005-0000-0000-00000E000000}"/>
    <cellStyle name="Normal 6" xfId="15" xr:uid="{00000000-0005-0000-0000-00000F000000}"/>
    <cellStyle name="Normal 7" xfId="16" xr:uid="{00000000-0005-0000-0000-000010000000}"/>
    <cellStyle name="Per cent" xfId="19" builtinId="5"/>
    <cellStyle name="Percent 2" xfId="14" xr:uid="{00000000-0005-0000-0000-000012000000}"/>
    <cellStyle name="Percent 3" xfId="18" xr:uid="{00000000-0005-0000-0000-000013000000}"/>
  </cellStyles>
  <dxfs count="70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color rgb="FFFF0000"/>
      </font>
    </dxf>
    <dxf>
      <font>
        <condense val="0"/>
        <extend val="0"/>
        <color indexed="1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persons/person.xml><?xml version="1.0" encoding="utf-8"?>
<personList xmlns="http://schemas.microsoft.com/office/spreadsheetml/2018/threadedcomments" xmlns:x="http://schemas.openxmlformats.org/spreadsheetml/2006/main">
  <person displayName="Prithivirajsingh Daumoo" id="{075A7E94-87D1-46D7-80FF-9E8F1654F83A}" userId="S::daumoo.vicky@fourseasons.com::f1009ae1-91c2-436d-91fa-2648f6fd02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F21" dT="2022-02-19T04:36:24.06" personId="{075A7E94-87D1-46D7-80FF-9E8F1654F83A}" id="{7D7B8EF4-66C7-490F-8BF6-D6C198256095}">
    <text xml:space="preserve">Diesel Replenishment was done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Q72"/>
  <sheetViews>
    <sheetView zoomScale="85" zoomScaleNormal="85" workbookViewId="0">
      <selection activeCell="B19" sqref="B19"/>
    </sheetView>
  </sheetViews>
  <sheetFormatPr defaultColWidth="9.140625" defaultRowHeight="18" customHeight="1"/>
  <cols>
    <col min="1" max="1" width="10.5703125" style="84" customWidth="1"/>
    <col min="2" max="2" width="13.42578125" style="84" customWidth="1"/>
    <col min="3" max="3" width="12.7109375" style="84" bestFit="1" customWidth="1"/>
    <col min="4" max="7" width="10.5703125" style="84" customWidth="1"/>
    <col min="8" max="9" width="10.5703125" style="84" hidden="1" customWidth="1"/>
    <col min="10" max="11" width="10.5703125" style="204" hidden="1" customWidth="1"/>
    <col min="12" max="13" width="15" style="84" hidden="1" customWidth="1"/>
    <col min="14" max="14" width="14.7109375" style="90" customWidth="1"/>
    <col min="15" max="15" width="12.28515625" style="90" bestFit="1" customWidth="1"/>
    <col min="16" max="17" width="14.7109375" style="90" customWidth="1"/>
    <col min="18" max="18" width="18" style="90" hidden="1" customWidth="1"/>
    <col min="19" max="20" width="14.7109375" style="90" customWidth="1"/>
    <col min="21" max="21" width="14.42578125" style="90" bestFit="1" customWidth="1"/>
    <col min="22" max="25" width="14.7109375" style="90" customWidth="1"/>
    <col min="26" max="43" width="14.7109375" style="90" hidden="1" customWidth="1"/>
    <col min="44" max="16384" width="9.140625" style="90"/>
  </cols>
  <sheetData>
    <row r="1" spans="1:43" ht="18" customHeight="1" thickBot="1">
      <c r="A1" s="172" t="s">
        <v>0</v>
      </c>
      <c r="B1" s="172"/>
      <c r="C1" s="172"/>
      <c r="D1" s="172"/>
      <c r="E1" s="172"/>
      <c r="F1" s="172"/>
      <c r="G1" s="172"/>
      <c r="H1" s="172"/>
      <c r="I1" s="172"/>
      <c r="J1" s="173"/>
      <c r="K1" s="173"/>
      <c r="L1" s="172"/>
      <c r="M1" s="172"/>
      <c r="O1" s="174"/>
      <c r="U1" s="175" t="s">
        <v>1</v>
      </c>
    </row>
    <row r="2" spans="1:43" ht="18" customHeight="1">
      <c r="A2" s="176" t="s">
        <v>2</v>
      </c>
      <c r="B2" s="747" t="s">
        <v>3</v>
      </c>
      <c r="C2" s="748"/>
      <c r="D2" s="748"/>
      <c r="E2" s="748"/>
      <c r="F2" s="689" t="s">
        <v>4</v>
      </c>
      <c r="G2" s="689" t="s">
        <v>5</v>
      </c>
      <c r="H2" s="748" t="s">
        <v>6</v>
      </c>
      <c r="I2" s="748"/>
      <c r="J2" s="748"/>
      <c r="K2" s="748"/>
      <c r="L2" s="689" t="s">
        <v>7</v>
      </c>
      <c r="M2" s="177" t="s">
        <v>8</v>
      </c>
      <c r="N2" s="744" t="s">
        <v>9</v>
      </c>
      <c r="O2" s="744"/>
      <c r="P2" s="744"/>
      <c r="Q2" s="744"/>
      <c r="R2" s="744"/>
      <c r="S2" s="744"/>
      <c r="T2" s="744"/>
      <c r="U2" s="745"/>
      <c r="V2" s="746" t="s">
        <v>4</v>
      </c>
      <c r="W2" s="746"/>
      <c r="X2" s="746" t="s">
        <v>5</v>
      </c>
      <c r="Y2" s="746"/>
      <c r="Z2" s="743" t="s">
        <v>10</v>
      </c>
      <c r="AA2" s="744"/>
      <c r="AB2" s="744"/>
      <c r="AC2" s="744"/>
      <c r="AD2" s="744"/>
      <c r="AE2" s="744"/>
      <c r="AF2" s="745"/>
      <c r="AG2" s="743" t="s">
        <v>11</v>
      </c>
      <c r="AH2" s="744"/>
      <c r="AI2" s="744"/>
      <c r="AJ2" s="744"/>
      <c r="AK2" s="744"/>
      <c r="AL2" s="744"/>
      <c r="AM2" s="745"/>
      <c r="AN2" s="746" t="s">
        <v>12</v>
      </c>
      <c r="AO2" s="746"/>
      <c r="AP2" s="746" t="s">
        <v>13</v>
      </c>
      <c r="AQ2" s="746"/>
    </row>
    <row r="3" spans="1:43" ht="18" customHeight="1" thickBot="1">
      <c r="A3" s="176" t="s">
        <v>14</v>
      </c>
      <c r="B3" s="178" t="s">
        <v>15</v>
      </c>
      <c r="C3" s="688" t="s">
        <v>16</v>
      </c>
      <c r="D3" s="688" t="s">
        <v>17</v>
      </c>
      <c r="E3" s="688" t="s">
        <v>18</v>
      </c>
      <c r="F3" s="688" t="s">
        <v>19</v>
      </c>
      <c r="G3" s="688" t="s">
        <v>16</v>
      </c>
      <c r="H3" s="688" t="s">
        <v>15</v>
      </c>
      <c r="I3" s="688" t="s">
        <v>16</v>
      </c>
      <c r="J3" s="179" t="s">
        <v>17</v>
      </c>
      <c r="K3" s="179" t="s">
        <v>18</v>
      </c>
      <c r="L3" s="688" t="s">
        <v>19</v>
      </c>
      <c r="M3" s="122" t="s">
        <v>16</v>
      </c>
      <c r="N3" s="180" t="s">
        <v>20</v>
      </c>
      <c r="O3" s="181" t="s">
        <v>21</v>
      </c>
      <c r="P3" s="181" t="s">
        <v>16</v>
      </c>
      <c r="Q3" s="182" t="s">
        <v>22</v>
      </c>
      <c r="R3" s="181"/>
      <c r="S3" s="181" t="s">
        <v>23</v>
      </c>
      <c r="T3" s="182" t="s">
        <v>24</v>
      </c>
      <c r="U3" s="182" t="s">
        <v>25</v>
      </c>
      <c r="V3" s="181" t="s">
        <v>16</v>
      </c>
      <c r="W3" s="181" t="s">
        <v>22</v>
      </c>
      <c r="X3" s="181" t="s">
        <v>16</v>
      </c>
      <c r="Y3" s="181" t="s">
        <v>22</v>
      </c>
      <c r="Z3" s="181" t="s">
        <v>20</v>
      </c>
      <c r="AA3" s="181" t="s">
        <v>21</v>
      </c>
      <c r="AB3" s="181" t="s">
        <v>16</v>
      </c>
      <c r="AC3" s="181" t="s">
        <v>22</v>
      </c>
      <c r="AD3" s="181" t="s">
        <v>23</v>
      </c>
      <c r="AE3" s="181" t="s">
        <v>24</v>
      </c>
      <c r="AF3" s="181" t="s">
        <v>25</v>
      </c>
      <c r="AG3" s="181" t="s">
        <v>20</v>
      </c>
      <c r="AH3" s="181" t="s">
        <v>21</v>
      </c>
      <c r="AI3" s="181" t="s">
        <v>16</v>
      </c>
      <c r="AJ3" s="181" t="s">
        <v>22</v>
      </c>
      <c r="AK3" s="181" t="s">
        <v>23</v>
      </c>
      <c r="AL3" s="181" t="s">
        <v>24</v>
      </c>
      <c r="AM3" s="181" t="s">
        <v>25</v>
      </c>
      <c r="AN3" s="181" t="s">
        <v>16</v>
      </c>
      <c r="AO3" s="181" t="s">
        <v>22</v>
      </c>
      <c r="AP3" s="181" t="s">
        <v>16</v>
      </c>
      <c r="AQ3" s="181" t="s">
        <v>22</v>
      </c>
    </row>
    <row r="4" spans="1:43" ht="18" customHeight="1" thickBot="1">
      <c r="A4" s="191">
        <f>'Current month'!A3</f>
        <v>44773</v>
      </c>
      <c r="B4" s="183">
        <f>'Current month'!B3</f>
        <v>4947456</v>
      </c>
      <c r="C4" s="183">
        <f>'Current month'!D3</f>
        <v>3887248</v>
      </c>
      <c r="D4" s="183">
        <f>'Current month'!G3</f>
        <v>1070</v>
      </c>
      <c r="E4" s="183">
        <f>'Current month'!H3</f>
        <v>1110</v>
      </c>
      <c r="F4" s="184">
        <f>'Current month'!W3</f>
        <v>2327276</v>
      </c>
      <c r="G4" s="183">
        <f>'Current month'!U3</f>
        <v>2994789</v>
      </c>
      <c r="H4" s="185"/>
      <c r="I4" s="185"/>
      <c r="J4" s="164"/>
      <c r="K4" s="164"/>
      <c r="L4" s="147"/>
      <c r="M4" s="186"/>
      <c r="N4" s="187">
        <f>B4</f>
        <v>4947456</v>
      </c>
      <c r="O4" s="107"/>
      <c r="P4" s="107">
        <f t="shared" ref="P4:P34" si="0">C4</f>
        <v>3887248</v>
      </c>
      <c r="Q4" s="188"/>
      <c r="R4" s="189"/>
      <c r="S4" s="124">
        <f t="shared" ref="S4:T19" si="1">D4</f>
        <v>1070</v>
      </c>
      <c r="T4" s="190">
        <f t="shared" si="1"/>
        <v>1110</v>
      </c>
      <c r="U4" s="190"/>
      <c r="V4" s="107">
        <f t="shared" ref="V4:V34" si="2">F4</f>
        <v>2327276</v>
      </c>
      <c r="W4" s="107"/>
      <c r="X4" s="107">
        <f>G4</f>
        <v>2994789</v>
      </c>
      <c r="Y4" s="107"/>
      <c r="Z4" s="107">
        <f t="shared" ref="Z4:Z36" si="3">H4</f>
        <v>0</v>
      </c>
      <c r="AA4" s="107"/>
      <c r="AB4" s="107">
        <f>I4</f>
        <v>0</v>
      </c>
      <c r="AC4" s="107"/>
      <c r="AD4" s="124">
        <f t="shared" ref="AD4:AE19" si="4">J4</f>
        <v>0</v>
      </c>
      <c r="AE4" s="124">
        <f t="shared" si="4"/>
        <v>0</v>
      </c>
      <c r="AF4" s="124" t="e">
        <f t="shared" ref="AF4:AF37" si="5">AC4/AA4</f>
        <v>#DIV/0!</v>
      </c>
      <c r="AG4" s="181"/>
      <c r="AH4" s="181"/>
      <c r="AI4" s="181"/>
      <c r="AJ4" s="181"/>
      <c r="AK4" s="181"/>
      <c r="AL4" s="181"/>
      <c r="AM4" s="181"/>
      <c r="AN4" s="107">
        <f t="shared" ref="AN4:AN36" si="6">L4</f>
        <v>0</v>
      </c>
      <c r="AO4" s="107"/>
      <c r="AP4" s="107">
        <f t="shared" ref="AP4:AP36" si="7">M4</f>
        <v>0</v>
      </c>
      <c r="AQ4" s="107"/>
    </row>
    <row r="5" spans="1:43" s="196" customFormat="1" ht="18" customHeight="1" thickBot="1">
      <c r="A5" s="191">
        <f>'Current month'!A4</f>
        <v>44774</v>
      </c>
      <c r="B5" s="183">
        <f>'Current month'!B4</f>
        <v>4969645</v>
      </c>
      <c r="C5" s="183">
        <f>'Current month'!D4</f>
        <v>3909086</v>
      </c>
      <c r="D5" s="183" t="e">
        <f>'Current month'!#REF!</f>
        <v>#REF!</v>
      </c>
      <c r="E5" s="183">
        <f>'Current month'!G4</f>
        <v>1070</v>
      </c>
      <c r="F5" s="184">
        <f>'Current month'!W4</f>
        <v>2327780</v>
      </c>
      <c r="G5" s="183">
        <f>'Current month'!U4</f>
        <v>2995354</v>
      </c>
      <c r="H5" s="194"/>
      <c r="I5" s="194"/>
      <c r="J5" s="194"/>
      <c r="K5" s="194"/>
      <c r="L5" s="194"/>
      <c r="M5" s="195"/>
      <c r="N5" s="187">
        <f>B5</f>
        <v>4969645</v>
      </c>
      <c r="O5" s="107">
        <f t="shared" ref="O5:O34" si="8">N5-N4</f>
        <v>22189</v>
      </c>
      <c r="P5" s="107">
        <f t="shared" si="0"/>
        <v>3909086</v>
      </c>
      <c r="Q5" s="188">
        <f t="shared" ref="Q5:Q34" si="9">P5-P4</f>
        <v>21838</v>
      </c>
      <c r="R5" s="98" t="e">
        <f>D5</f>
        <v>#REF!</v>
      </c>
      <c r="S5" s="124" t="e">
        <f t="shared" si="1"/>
        <v>#REF!</v>
      </c>
      <c r="T5" s="190">
        <f t="shared" si="1"/>
        <v>1070</v>
      </c>
      <c r="U5" s="190">
        <f t="shared" ref="U5:U34" si="10">Q5/O5</f>
        <v>0.98418135111992433</v>
      </c>
      <c r="V5" s="107">
        <f t="shared" si="2"/>
        <v>2327780</v>
      </c>
      <c r="W5" s="107">
        <f t="shared" ref="W5:W34" si="11">V5-V4</f>
        <v>504</v>
      </c>
      <c r="X5" s="107">
        <f t="shared" ref="X5:X34" si="12">G5</f>
        <v>2995354</v>
      </c>
      <c r="Y5" s="107">
        <f t="shared" ref="Y5:Y33" si="13">X5-X4</f>
        <v>565</v>
      </c>
      <c r="Z5" s="107">
        <f t="shared" si="3"/>
        <v>0</v>
      </c>
      <c r="AA5" s="107">
        <f t="shared" ref="AA5:AA35" si="14">Z5-Z4</f>
        <v>0</v>
      </c>
      <c r="AB5" s="107">
        <f t="shared" ref="AB5:AB36" si="15">I5</f>
        <v>0</v>
      </c>
      <c r="AC5" s="107">
        <f t="shared" ref="AC5:AC35" si="16">AB5-AB4</f>
        <v>0</v>
      </c>
      <c r="AD5" s="124">
        <f t="shared" si="4"/>
        <v>0</v>
      </c>
      <c r="AE5" s="124">
        <f t="shared" si="4"/>
        <v>0</v>
      </c>
      <c r="AF5" s="124" t="e">
        <f t="shared" si="5"/>
        <v>#DIV/0!</v>
      </c>
      <c r="AG5" s="107"/>
      <c r="AH5" s="107"/>
      <c r="AI5" s="107"/>
      <c r="AJ5" s="107"/>
      <c r="AK5" s="124"/>
      <c r="AL5" s="124"/>
      <c r="AM5" s="124"/>
      <c r="AN5" s="107">
        <f t="shared" si="6"/>
        <v>0</v>
      </c>
      <c r="AO5" s="107">
        <f t="shared" ref="AO5:AO35" si="17">AN5-AN4</f>
        <v>0</v>
      </c>
      <c r="AP5" s="107">
        <f t="shared" si="7"/>
        <v>0</v>
      </c>
      <c r="AQ5" s="107">
        <f t="shared" ref="AQ5:AQ35" si="18">AP5-AP4</f>
        <v>0</v>
      </c>
    </row>
    <row r="6" spans="1:43" ht="18" customHeight="1" thickBot="1">
      <c r="A6" s="191">
        <f>'Current month'!A5</f>
        <v>44775</v>
      </c>
      <c r="B6" s="183">
        <f>'Current month'!B5</f>
        <v>4992194</v>
      </c>
      <c r="C6" s="183">
        <f>'Current month'!D5</f>
        <v>3930883</v>
      </c>
      <c r="D6" s="183">
        <f>'Current month'!G6</f>
        <v>1070</v>
      </c>
      <c r="E6" s="183">
        <f>'Current month'!H5</f>
        <v>1110</v>
      </c>
      <c r="F6" s="184">
        <f>'Current month'!W5</f>
        <v>2328316</v>
      </c>
      <c r="G6" s="183">
        <f>'Current month'!U5</f>
        <v>2996415</v>
      </c>
      <c r="H6" s="164">
        <v>2779830</v>
      </c>
      <c r="I6" s="164">
        <v>2384472</v>
      </c>
      <c r="J6" s="164">
        <v>96</v>
      </c>
      <c r="K6" s="164">
        <v>104</v>
      </c>
      <c r="L6" s="147">
        <v>41146</v>
      </c>
      <c r="M6" s="186">
        <v>32572</v>
      </c>
      <c r="N6" s="187">
        <f t="shared" ref="N6:N34" si="19">B6</f>
        <v>4992194</v>
      </c>
      <c r="O6" s="107">
        <f t="shared" si="8"/>
        <v>22549</v>
      </c>
      <c r="P6" s="107">
        <f t="shared" si="0"/>
        <v>3930883</v>
      </c>
      <c r="Q6" s="188">
        <f t="shared" si="9"/>
        <v>21797</v>
      </c>
      <c r="R6" s="189"/>
      <c r="S6" s="124">
        <f t="shared" si="1"/>
        <v>1070</v>
      </c>
      <c r="T6" s="190">
        <f t="shared" si="1"/>
        <v>1110</v>
      </c>
      <c r="U6" s="190">
        <f t="shared" si="10"/>
        <v>0.96665040578296157</v>
      </c>
      <c r="V6" s="107">
        <f t="shared" si="2"/>
        <v>2328316</v>
      </c>
      <c r="W6" s="107">
        <f t="shared" si="11"/>
        <v>536</v>
      </c>
      <c r="X6" s="107">
        <f t="shared" si="12"/>
        <v>2996415</v>
      </c>
      <c r="Y6" s="107">
        <f t="shared" si="13"/>
        <v>1061</v>
      </c>
      <c r="Z6" s="107">
        <f t="shared" si="3"/>
        <v>2779830</v>
      </c>
      <c r="AA6" s="107">
        <f t="shared" si="14"/>
        <v>2779830</v>
      </c>
      <c r="AB6" s="107">
        <f t="shared" si="15"/>
        <v>2384472</v>
      </c>
      <c r="AC6" s="107">
        <f t="shared" si="16"/>
        <v>2384472</v>
      </c>
      <c r="AD6" s="124">
        <f t="shared" si="4"/>
        <v>96</v>
      </c>
      <c r="AE6" s="124">
        <f t="shared" si="4"/>
        <v>104</v>
      </c>
      <c r="AF6" s="124">
        <f t="shared" si="5"/>
        <v>0.85777619494717305</v>
      </c>
      <c r="AG6" s="107"/>
      <c r="AH6" s="107"/>
      <c r="AI6" s="107"/>
      <c r="AJ6" s="107"/>
      <c r="AK6" s="124"/>
      <c r="AL6" s="124"/>
      <c r="AM6" s="124"/>
      <c r="AN6" s="107">
        <f t="shared" si="6"/>
        <v>41146</v>
      </c>
      <c r="AO6" s="107">
        <f t="shared" si="17"/>
        <v>41146</v>
      </c>
      <c r="AP6" s="107">
        <f t="shared" si="7"/>
        <v>32572</v>
      </c>
      <c r="AQ6" s="107">
        <f t="shared" si="18"/>
        <v>32572</v>
      </c>
    </row>
    <row r="7" spans="1:43" ht="18" customHeight="1" thickBot="1">
      <c r="A7" s="191">
        <f>'Current month'!A6</f>
        <v>44776</v>
      </c>
      <c r="B7" s="183">
        <f>'Current month'!B6</f>
        <v>5016428</v>
      </c>
      <c r="C7" s="183">
        <f>'Current month'!D6</f>
        <v>3954367</v>
      </c>
      <c r="D7" s="183" t="e">
        <f>'Current month'!#REF!</f>
        <v>#REF!</v>
      </c>
      <c r="E7" s="183">
        <f>'Current month'!H6</f>
        <v>1110</v>
      </c>
      <c r="F7" s="184">
        <f>'Current month'!W6</f>
        <v>2328838</v>
      </c>
      <c r="G7" s="183">
        <f>'Current month'!U6</f>
        <v>2998031</v>
      </c>
      <c r="H7" s="164">
        <v>2781496</v>
      </c>
      <c r="I7" s="164">
        <v>2385937</v>
      </c>
      <c r="J7" s="164">
        <v>96</v>
      </c>
      <c r="K7" s="164">
        <v>107</v>
      </c>
      <c r="L7" s="147">
        <v>41161</v>
      </c>
      <c r="M7" s="186">
        <v>32583</v>
      </c>
      <c r="N7" s="187">
        <f t="shared" si="19"/>
        <v>5016428</v>
      </c>
      <c r="O7" s="107">
        <f t="shared" si="8"/>
        <v>24234</v>
      </c>
      <c r="P7" s="107">
        <f t="shared" si="0"/>
        <v>3954367</v>
      </c>
      <c r="Q7" s="188">
        <f t="shared" si="9"/>
        <v>23484</v>
      </c>
      <c r="R7" s="189"/>
      <c r="S7" s="124" t="e">
        <f t="shared" si="1"/>
        <v>#REF!</v>
      </c>
      <c r="T7" s="190">
        <f t="shared" si="1"/>
        <v>1110</v>
      </c>
      <c r="U7" s="190">
        <f t="shared" si="10"/>
        <v>0.96905174548155482</v>
      </c>
      <c r="V7" s="107">
        <f t="shared" si="2"/>
        <v>2328838</v>
      </c>
      <c r="W7" s="107">
        <f t="shared" si="11"/>
        <v>522</v>
      </c>
      <c r="X7" s="107">
        <f t="shared" si="12"/>
        <v>2998031</v>
      </c>
      <c r="Y7" s="107">
        <f t="shared" si="13"/>
        <v>1616</v>
      </c>
      <c r="Z7" s="107">
        <f t="shared" si="3"/>
        <v>2781496</v>
      </c>
      <c r="AA7" s="107">
        <f t="shared" si="14"/>
        <v>1666</v>
      </c>
      <c r="AB7" s="107">
        <f t="shared" si="15"/>
        <v>2385937</v>
      </c>
      <c r="AC7" s="107">
        <f t="shared" si="16"/>
        <v>1465</v>
      </c>
      <c r="AD7" s="124">
        <f t="shared" si="4"/>
        <v>96</v>
      </c>
      <c r="AE7" s="124">
        <f t="shared" si="4"/>
        <v>107</v>
      </c>
      <c r="AF7" s="124">
        <f t="shared" si="5"/>
        <v>0.87935174069627853</v>
      </c>
      <c r="AG7" s="107"/>
      <c r="AH7" s="107"/>
      <c r="AI7" s="107"/>
      <c r="AJ7" s="107"/>
      <c r="AK7" s="124"/>
      <c r="AL7" s="124"/>
      <c r="AM7" s="124"/>
      <c r="AN7" s="107">
        <f t="shared" si="6"/>
        <v>41161</v>
      </c>
      <c r="AO7" s="107">
        <f t="shared" si="17"/>
        <v>15</v>
      </c>
      <c r="AP7" s="107">
        <f t="shared" si="7"/>
        <v>32583</v>
      </c>
      <c r="AQ7" s="107">
        <f t="shared" si="18"/>
        <v>11</v>
      </c>
    </row>
    <row r="8" spans="1:43" ht="18" customHeight="1" thickBot="1">
      <c r="A8" s="191">
        <f>'Current month'!A7</f>
        <v>44777</v>
      </c>
      <c r="B8" s="183">
        <f>'Current month'!B7</f>
        <v>0</v>
      </c>
      <c r="C8" s="183">
        <f>'Current month'!D7</f>
        <v>0</v>
      </c>
      <c r="D8" s="183">
        <f>'Current month'!G7</f>
        <v>0</v>
      </c>
      <c r="E8" s="183">
        <f>'Current month'!H7</f>
        <v>0</v>
      </c>
      <c r="F8" s="184">
        <f>'Current month'!W7</f>
        <v>0</v>
      </c>
      <c r="G8" s="183">
        <f>'Current month'!U7</f>
        <v>0</v>
      </c>
      <c r="H8" s="164">
        <v>2783367</v>
      </c>
      <c r="I8" s="164">
        <v>2387576</v>
      </c>
      <c r="J8" s="164">
        <v>99</v>
      </c>
      <c r="K8" s="164">
        <v>111</v>
      </c>
      <c r="L8" s="147">
        <v>41177</v>
      </c>
      <c r="M8" s="186">
        <v>32595</v>
      </c>
      <c r="N8" s="187">
        <f t="shared" si="19"/>
        <v>0</v>
      </c>
      <c r="O8" s="107">
        <f t="shared" si="8"/>
        <v>-5016428</v>
      </c>
      <c r="P8" s="107">
        <f t="shared" si="0"/>
        <v>0</v>
      </c>
      <c r="Q8" s="188">
        <f t="shared" si="9"/>
        <v>-3954367</v>
      </c>
      <c r="R8" s="189"/>
      <c r="S8" s="124">
        <f t="shared" si="1"/>
        <v>0</v>
      </c>
      <c r="T8" s="190">
        <f t="shared" si="1"/>
        <v>0</v>
      </c>
      <c r="U8" s="190">
        <f t="shared" si="10"/>
        <v>0.78828341600836294</v>
      </c>
      <c r="V8" s="107">
        <f t="shared" si="2"/>
        <v>0</v>
      </c>
      <c r="W8" s="107">
        <f t="shared" si="11"/>
        <v>-2328838</v>
      </c>
      <c r="X8" s="107">
        <f t="shared" si="12"/>
        <v>0</v>
      </c>
      <c r="Y8" s="107">
        <f t="shared" si="13"/>
        <v>-2998031</v>
      </c>
      <c r="Z8" s="107">
        <f t="shared" si="3"/>
        <v>2783367</v>
      </c>
      <c r="AA8" s="107">
        <f t="shared" si="14"/>
        <v>1871</v>
      </c>
      <c r="AB8" s="107">
        <f t="shared" si="15"/>
        <v>2387576</v>
      </c>
      <c r="AC8" s="107">
        <f t="shared" si="16"/>
        <v>1639</v>
      </c>
      <c r="AD8" s="124">
        <f t="shared" si="4"/>
        <v>99</v>
      </c>
      <c r="AE8" s="124">
        <f t="shared" si="4"/>
        <v>111</v>
      </c>
      <c r="AF8" s="124">
        <f t="shared" si="5"/>
        <v>0.87600213789417425</v>
      </c>
      <c r="AG8" s="107"/>
      <c r="AH8" s="107"/>
      <c r="AI8" s="107"/>
      <c r="AJ8" s="107"/>
      <c r="AK8" s="124"/>
      <c r="AL8" s="124"/>
      <c r="AM8" s="124"/>
      <c r="AN8" s="107">
        <f t="shared" si="6"/>
        <v>41177</v>
      </c>
      <c r="AO8" s="107">
        <f t="shared" si="17"/>
        <v>16</v>
      </c>
      <c r="AP8" s="107">
        <f t="shared" si="7"/>
        <v>32595</v>
      </c>
      <c r="AQ8" s="107">
        <f t="shared" si="18"/>
        <v>12</v>
      </c>
    </row>
    <row r="9" spans="1:43" ht="18" customHeight="1" thickBot="1">
      <c r="A9" s="191">
        <f>'Current month'!A8</f>
        <v>44778</v>
      </c>
      <c r="B9" s="183">
        <f>'Current month'!B8</f>
        <v>0</v>
      </c>
      <c r="C9" s="183">
        <f>'Current month'!D8</f>
        <v>0</v>
      </c>
      <c r="D9" s="183">
        <f>'Current month'!G8</f>
        <v>0</v>
      </c>
      <c r="E9" s="183">
        <f>'Current month'!H8</f>
        <v>0</v>
      </c>
      <c r="F9" s="184" t="e">
        <f>'Current month'!#REF!</f>
        <v>#REF!</v>
      </c>
      <c r="G9" s="183">
        <f>'Current month'!W8</f>
        <v>0</v>
      </c>
      <c r="H9" s="164">
        <v>2785273</v>
      </c>
      <c r="I9" s="164">
        <v>2389230</v>
      </c>
      <c r="J9" s="164">
        <v>111</v>
      </c>
      <c r="K9" s="164">
        <v>114</v>
      </c>
      <c r="L9" s="147">
        <v>41193</v>
      </c>
      <c r="M9" s="186">
        <v>32607</v>
      </c>
      <c r="N9" s="187">
        <f t="shared" si="19"/>
        <v>0</v>
      </c>
      <c r="O9" s="107">
        <f t="shared" si="8"/>
        <v>0</v>
      </c>
      <c r="P9" s="107">
        <f t="shared" si="0"/>
        <v>0</v>
      </c>
      <c r="Q9" s="188">
        <f t="shared" si="9"/>
        <v>0</v>
      </c>
      <c r="R9" s="189"/>
      <c r="S9" s="124">
        <f t="shared" si="1"/>
        <v>0</v>
      </c>
      <c r="T9" s="190">
        <f t="shared" si="1"/>
        <v>0</v>
      </c>
      <c r="U9" s="190" t="e">
        <f t="shared" si="10"/>
        <v>#DIV/0!</v>
      </c>
      <c r="V9" s="107" t="e">
        <f t="shared" si="2"/>
        <v>#REF!</v>
      </c>
      <c r="W9" s="107" t="e">
        <f t="shared" si="11"/>
        <v>#REF!</v>
      </c>
      <c r="X9" s="107">
        <f t="shared" si="12"/>
        <v>0</v>
      </c>
      <c r="Y9" s="107">
        <f t="shared" si="13"/>
        <v>0</v>
      </c>
      <c r="Z9" s="107">
        <f t="shared" si="3"/>
        <v>2785273</v>
      </c>
      <c r="AA9" s="107">
        <f t="shared" si="14"/>
        <v>1906</v>
      </c>
      <c r="AB9" s="107">
        <f t="shared" si="15"/>
        <v>2389230</v>
      </c>
      <c r="AC9" s="107">
        <f t="shared" si="16"/>
        <v>1654</v>
      </c>
      <c r="AD9" s="124">
        <f t="shared" si="4"/>
        <v>111</v>
      </c>
      <c r="AE9" s="124">
        <f t="shared" si="4"/>
        <v>114</v>
      </c>
      <c r="AF9" s="124">
        <f t="shared" si="5"/>
        <v>0.86778593913955926</v>
      </c>
      <c r="AG9" s="107"/>
      <c r="AH9" s="107"/>
      <c r="AI9" s="107"/>
      <c r="AJ9" s="107"/>
      <c r="AK9" s="124"/>
      <c r="AL9" s="124"/>
      <c r="AM9" s="124"/>
      <c r="AN9" s="107">
        <f t="shared" si="6"/>
        <v>41193</v>
      </c>
      <c r="AO9" s="107">
        <f t="shared" si="17"/>
        <v>16</v>
      </c>
      <c r="AP9" s="107">
        <f t="shared" si="7"/>
        <v>32607</v>
      </c>
      <c r="AQ9" s="107">
        <f t="shared" si="18"/>
        <v>12</v>
      </c>
    </row>
    <row r="10" spans="1:43" ht="18" customHeight="1" thickBot="1">
      <c r="A10" s="191">
        <f>'Current month'!A9</f>
        <v>44779</v>
      </c>
      <c r="B10" s="183">
        <f>'Current month'!B9</f>
        <v>0</v>
      </c>
      <c r="C10" s="183">
        <f>'Current month'!D9</f>
        <v>0</v>
      </c>
      <c r="D10" s="183">
        <f>'Current month'!G9</f>
        <v>0</v>
      </c>
      <c r="E10" s="183">
        <f>'Current month'!H9</f>
        <v>0</v>
      </c>
      <c r="F10" s="184">
        <f>'Current month'!W9</f>
        <v>0</v>
      </c>
      <c r="G10" s="183">
        <f>'Current month'!U9</f>
        <v>0</v>
      </c>
      <c r="H10" s="164">
        <v>2786932</v>
      </c>
      <c r="I10" s="164">
        <v>2390670</v>
      </c>
      <c r="J10" s="164">
        <v>99</v>
      </c>
      <c r="K10" s="164">
        <v>111</v>
      </c>
      <c r="L10" s="147">
        <v>41208</v>
      </c>
      <c r="M10" s="186">
        <v>32617</v>
      </c>
      <c r="N10" s="187">
        <f t="shared" si="19"/>
        <v>0</v>
      </c>
      <c r="O10" s="107">
        <f t="shared" si="8"/>
        <v>0</v>
      </c>
      <c r="P10" s="107">
        <f t="shared" si="0"/>
        <v>0</v>
      </c>
      <c r="Q10" s="188">
        <f t="shared" si="9"/>
        <v>0</v>
      </c>
      <c r="R10" s="189"/>
      <c r="S10" s="124">
        <f t="shared" si="1"/>
        <v>0</v>
      </c>
      <c r="T10" s="190">
        <f t="shared" si="1"/>
        <v>0</v>
      </c>
      <c r="U10" s="190" t="e">
        <f t="shared" si="10"/>
        <v>#DIV/0!</v>
      </c>
      <c r="V10" s="107">
        <f t="shared" si="2"/>
        <v>0</v>
      </c>
      <c r="W10" s="107" t="e">
        <f t="shared" si="11"/>
        <v>#REF!</v>
      </c>
      <c r="X10" s="107">
        <f t="shared" si="12"/>
        <v>0</v>
      </c>
      <c r="Y10" s="107">
        <f t="shared" si="13"/>
        <v>0</v>
      </c>
      <c r="Z10" s="107">
        <f t="shared" si="3"/>
        <v>2786932</v>
      </c>
      <c r="AA10" s="107">
        <f t="shared" si="14"/>
        <v>1659</v>
      </c>
      <c r="AB10" s="107">
        <f t="shared" si="15"/>
        <v>2390670</v>
      </c>
      <c r="AC10" s="107">
        <f t="shared" si="16"/>
        <v>1440</v>
      </c>
      <c r="AD10" s="124">
        <f t="shared" si="4"/>
        <v>99</v>
      </c>
      <c r="AE10" s="124">
        <f t="shared" si="4"/>
        <v>111</v>
      </c>
      <c r="AF10" s="124">
        <f t="shared" si="5"/>
        <v>0.86799276672694392</v>
      </c>
      <c r="AG10" s="107"/>
      <c r="AH10" s="107"/>
      <c r="AI10" s="107"/>
      <c r="AJ10" s="107"/>
      <c r="AK10" s="124"/>
      <c r="AL10" s="124"/>
      <c r="AM10" s="124"/>
      <c r="AN10" s="107">
        <f t="shared" si="6"/>
        <v>41208</v>
      </c>
      <c r="AO10" s="107">
        <f t="shared" si="17"/>
        <v>15</v>
      </c>
      <c r="AP10" s="107">
        <f t="shared" si="7"/>
        <v>32617</v>
      </c>
      <c r="AQ10" s="107">
        <f t="shared" si="18"/>
        <v>10</v>
      </c>
    </row>
    <row r="11" spans="1:43" ht="18" customHeight="1" thickBot="1">
      <c r="A11" s="191">
        <f>'Current month'!A10</f>
        <v>44780</v>
      </c>
      <c r="B11" s="183">
        <f>'Current month'!B10</f>
        <v>0</v>
      </c>
      <c r="C11" s="183">
        <f>'Current month'!D10</f>
        <v>0</v>
      </c>
      <c r="D11" s="183">
        <f>'Current month'!G10</f>
        <v>0</v>
      </c>
      <c r="E11" s="183">
        <f>'Current month'!H10</f>
        <v>0</v>
      </c>
      <c r="F11" s="184">
        <f>'Current month'!W10</f>
        <v>0</v>
      </c>
      <c r="G11" s="183">
        <f>'Current month'!U10</f>
        <v>0</v>
      </c>
      <c r="H11" s="123">
        <v>2788735</v>
      </c>
      <c r="I11" s="164">
        <v>2392245</v>
      </c>
      <c r="J11" s="164">
        <v>99</v>
      </c>
      <c r="K11" s="164">
        <v>104</v>
      </c>
      <c r="L11" s="164">
        <v>41223</v>
      </c>
      <c r="M11" s="186">
        <v>32627</v>
      </c>
      <c r="N11" s="187">
        <f t="shared" si="19"/>
        <v>0</v>
      </c>
      <c r="O11" s="107">
        <f t="shared" si="8"/>
        <v>0</v>
      </c>
      <c r="P11" s="107">
        <f t="shared" si="0"/>
        <v>0</v>
      </c>
      <c r="Q11" s="188">
        <f t="shared" si="9"/>
        <v>0</v>
      </c>
      <c r="R11" s="189"/>
      <c r="S11" s="124">
        <f t="shared" si="1"/>
        <v>0</v>
      </c>
      <c r="T11" s="190">
        <f t="shared" si="1"/>
        <v>0</v>
      </c>
      <c r="U11" s="190" t="e">
        <f t="shared" si="10"/>
        <v>#DIV/0!</v>
      </c>
      <c r="V11" s="107">
        <f t="shared" si="2"/>
        <v>0</v>
      </c>
      <c r="W11" s="107">
        <f t="shared" si="11"/>
        <v>0</v>
      </c>
      <c r="X11" s="107">
        <f t="shared" si="12"/>
        <v>0</v>
      </c>
      <c r="Y11" s="107">
        <f t="shared" si="13"/>
        <v>0</v>
      </c>
      <c r="Z11" s="107">
        <f t="shared" si="3"/>
        <v>2788735</v>
      </c>
      <c r="AA11" s="107">
        <f t="shared" si="14"/>
        <v>1803</v>
      </c>
      <c r="AB11" s="107">
        <f t="shared" si="15"/>
        <v>2392245</v>
      </c>
      <c r="AC11" s="107">
        <f t="shared" si="16"/>
        <v>1575</v>
      </c>
      <c r="AD11" s="124">
        <f t="shared" si="4"/>
        <v>99</v>
      </c>
      <c r="AE11" s="124">
        <f t="shared" si="4"/>
        <v>104</v>
      </c>
      <c r="AF11" s="124">
        <f t="shared" si="5"/>
        <v>0.87354409317803661</v>
      </c>
      <c r="AG11" s="107"/>
      <c r="AH11" s="107"/>
      <c r="AI11" s="107"/>
      <c r="AJ11" s="107"/>
      <c r="AK11" s="124"/>
      <c r="AL11" s="124"/>
      <c r="AM11" s="124"/>
      <c r="AN11" s="107">
        <f t="shared" si="6"/>
        <v>41223</v>
      </c>
      <c r="AO11" s="107">
        <f t="shared" si="17"/>
        <v>15</v>
      </c>
      <c r="AP11" s="107">
        <f t="shared" si="7"/>
        <v>32627</v>
      </c>
      <c r="AQ11" s="107">
        <f t="shared" si="18"/>
        <v>10</v>
      </c>
    </row>
    <row r="12" spans="1:43" ht="18" customHeight="1" thickBot="1">
      <c r="A12" s="191">
        <f>'Current month'!A11</f>
        <v>44781</v>
      </c>
      <c r="B12" s="183">
        <f>'Current month'!B11</f>
        <v>0</v>
      </c>
      <c r="C12" s="183">
        <f>'Current month'!D11</f>
        <v>0</v>
      </c>
      <c r="D12" s="183">
        <f>'Current month'!G11</f>
        <v>0</v>
      </c>
      <c r="E12" s="183">
        <f>'Current month'!H11</f>
        <v>0</v>
      </c>
      <c r="F12" s="184">
        <f>'Current month'!W11</f>
        <v>0</v>
      </c>
      <c r="G12" s="183">
        <f>'Current month'!U11</f>
        <v>0</v>
      </c>
      <c r="H12" s="102">
        <v>2789392</v>
      </c>
      <c r="I12" s="107">
        <v>2392821</v>
      </c>
      <c r="J12" s="164">
        <v>99</v>
      </c>
      <c r="K12" s="164">
        <v>111</v>
      </c>
      <c r="L12" s="147">
        <v>41227</v>
      </c>
      <c r="M12" s="186">
        <v>32631</v>
      </c>
      <c r="N12" s="187">
        <f t="shared" si="19"/>
        <v>0</v>
      </c>
      <c r="O12" s="107">
        <f t="shared" si="8"/>
        <v>0</v>
      </c>
      <c r="P12" s="107">
        <f t="shared" si="0"/>
        <v>0</v>
      </c>
      <c r="Q12" s="188">
        <f t="shared" si="9"/>
        <v>0</v>
      </c>
      <c r="R12" s="189"/>
      <c r="S12" s="124">
        <f t="shared" si="1"/>
        <v>0</v>
      </c>
      <c r="T12" s="190">
        <f t="shared" si="1"/>
        <v>0</v>
      </c>
      <c r="U12" s="190" t="e">
        <f t="shared" si="10"/>
        <v>#DIV/0!</v>
      </c>
      <c r="V12" s="107">
        <f t="shared" si="2"/>
        <v>0</v>
      </c>
      <c r="W12" s="107">
        <f t="shared" si="11"/>
        <v>0</v>
      </c>
      <c r="X12" s="107">
        <f t="shared" si="12"/>
        <v>0</v>
      </c>
      <c r="Y12" s="107">
        <f t="shared" si="13"/>
        <v>0</v>
      </c>
      <c r="Z12" s="107">
        <f t="shared" si="3"/>
        <v>2789392</v>
      </c>
      <c r="AA12" s="107">
        <f t="shared" si="14"/>
        <v>657</v>
      </c>
      <c r="AB12" s="107">
        <f t="shared" si="15"/>
        <v>2392821</v>
      </c>
      <c r="AC12" s="107">
        <f t="shared" si="16"/>
        <v>576</v>
      </c>
      <c r="AD12" s="124">
        <f t="shared" si="4"/>
        <v>99</v>
      </c>
      <c r="AE12" s="124">
        <f t="shared" si="4"/>
        <v>111</v>
      </c>
      <c r="AF12" s="124">
        <f t="shared" si="5"/>
        <v>0.87671232876712324</v>
      </c>
      <c r="AG12" s="107"/>
      <c r="AH12" s="107"/>
      <c r="AI12" s="107"/>
      <c r="AJ12" s="107"/>
      <c r="AK12" s="124"/>
      <c r="AL12" s="124"/>
      <c r="AM12" s="124"/>
      <c r="AN12" s="107">
        <f t="shared" si="6"/>
        <v>41227</v>
      </c>
      <c r="AO12" s="107">
        <f t="shared" si="17"/>
        <v>4</v>
      </c>
      <c r="AP12" s="107">
        <f t="shared" si="7"/>
        <v>32631</v>
      </c>
      <c r="AQ12" s="107">
        <f t="shared" si="18"/>
        <v>4</v>
      </c>
    </row>
    <row r="13" spans="1:43" ht="18" customHeight="1" thickBot="1">
      <c r="A13" s="191">
        <f>'Current month'!A12</f>
        <v>44782</v>
      </c>
      <c r="B13" s="183">
        <f>'Current month'!B12</f>
        <v>0</v>
      </c>
      <c r="C13" s="183">
        <f>'Current month'!D12</f>
        <v>0</v>
      </c>
      <c r="D13" s="183">
        <f>'Current month'!G12</f>
        <v>0</v>
      </c>
      <c r="E13" s="183">
        <f>'Current month'!H12</f>
        <v>0</v>
      </c>
      <c r="F13" s="184">
        <f>'Current month'!W12</f>
        <v>0</v>
      </c>
      <c r="G13" s="183">
        <f>'Current month'!U12</f>
        <v>0</v>
      </c>
      <c r="H13" s="123"/>
      <c r="I13" s="164"/>
      <c r="J13" s="164"/>
      <c r="K13" s="164"/>
      <c r="L13" s="147"/>
      <c r="M13" s="186"/>
      <c r="N13" s="187">
        <f t="shared" si="19"/>
        <v>0</v>
      </c>
      <c r="O13" s="107">
        <f t="shared" si="8"/>
        <v>0</v>
      </c>
      <c r="P13" s="107">
        <f t="shared" si="0"/>
        <v>0</v>
      </c>
      <c r="Q13" s="188">
        <f t="shared" si="9"/>
        <v>0</v>
      </c>
      <c r="R13" s="189"/>
      <c r="S13" s="124">
        <f t="shared" si="1"/>
        <v>0</v>
      </c>
      <c r="T13" s="190">
        <f t="shared" si="1"/>
        <v>0</v>
      </c>
      <c r="U13" s="190" t="e">
        <f t="shared" si="10"/>
        <v>#DIV/0!</v>
      </c>
      <c r="V13" s="107">
        <f t="shared" si="2"/>
        <v>0</v>
      </c>
      <c r="W13" s="107">
        <f t="shared" si="11"/>
        <v>0</v>
      </c>
      <c r="X13" s="107">
        <f t="shared" si="12"/>
        <v>0</v>
      </c>
      <c r="Y13" s="107">
        <f t="shared" si="13"/>
        <v>0</v>
      </c>
      <c r="Z13" s="107">
        <f t="shared" si="3"/>
        <v>0</v>
      </c>
      <c r="AA13" s="107"/>
      <c r="AB13" s="107">
        <f t="shared" si="15"/>
        <v>0</v>
      </c>
      <c r="AC13" s="107"/>
      <c r="AD13" s="124">
        <f t="shared" si="4"/>
        <v>0</v>
      </c>
      <c r="AE13" s="124">
        <f t="shared" si="4"/>
        <v>0</v>
      </c>
      <c r="AF13" s="124" t="e">
        <f t="shared" si="5"/>
        <v>#DIV/0!</v>
      </c>
      <c r="AG13" s="107"/>
      <c r="AH13" s="107"/>
      <c r="AI13" s="107"/>
      <c r="AJ13" s="107"/>
      <c r="AK13" s="124"/>
      <c r="AL13" s="124"/>
      <c r="AM13" s="124"/>
      <c r="AN13" s="107">
        <f t="shared" si="6"/>
        <v>0</v>
      </c>
      <c r="AO13" s="107"/>
      <c r="AP13" s="107">
        <f t="shared" si="7"/>
        <v>0</v>
      </c>
      <c r="AQ13" s="107"/>
    </row>
    <row r="14" spans="1:43" ht="18" customHeight="1" thickBot="1">
      <c r="A14" s="191">
        <f>'Current month'!A13</f>
        <v>44783</v>
      </c>
      <c r="B14" s="183">
        <f>'Current month'!B13</f>
        <v>0</v>
      </c>
      <c r="C14" s="183">
        <f>'Current month'!D13</f>
        <v>0</v>
      </c>
      <c r="D14" s="183">
        <f>'Current month'!G13</f>
        <v>0</v>
      </c>
      <c r="E14" s="183">
        <f>'Current month'!H13</f>
        <v>0</v>
      </c>
      <c r="F14" s="184">
        <f>'Current month'!W13</f>
        <v>0</v>
      </c>
      <c r="G14" s="183">
        <f>'Current month'!U13</f>
        <v>0</v>
      </c>
      <c r="H14" s="123"/>
      <c r="I14" s="164"/>
      <c r="J14" s="164"/>
      <c r="K14" s="164"/>
      <c r="L14" s="147"/>
      <c r="M14" s="186"/>
      <c r="N14" s="187">
        <f t="shared" si="19"/>
        <v>0</v>
      </c>
      <c r="O14" s="107">
        <f t="shared" si="8"/>
        <v>0</v>
      </c>
      <c r="P14" s="107">
        <f t="shared" si="0"/>
        <v>0</v>
      </c>
      <c r="Q14" s="188">
        <f t="shared" si="9"/>
        <v>0</v>
      </c>
      <c r="R14" s="189"/>
      <c r="S14" s="124">
        <f t="shared" si="1"/>
        <v>0</v>
      </c>
      <c r="T14" s="190">
        <f t="shared" si="1"/>
        <v>0</v>
      </c>
      <c r="U14" s="190" t="e">
        <f t="shared" si="10"/>
        <v>#DIV/0!</v>
      </c>
      <c r="V14" s="107">
        <f t="shared" si="2"/>
        <v>0</v>
      </c>
      <c r="W14" s="107">
        <f t="shared" si="11"/>
        <v>0</v>
      </c>
      <c r="X14" s="107">
        <f t="shared" si="12"/>
        <v>0</v>
      </c>
      <c r="Y14" s="107">
        <f t="shared" si="13"/>
        <v>0</v>
      </c>
      <c r="Z14" s="107">
        <f t="shared" si="3"/>
        <v>0</v>
      </c>
      <c r="AA14" s="107">
        <f t="shared" si="14"/>
        <v>0</v>
      </c>
      <c r="AB14" s="107">
        <f t="shared" si="15"/>
        <v>0</v>
      </c>
      <c r="AC14" s="107">
        <f t="shared" si="16"/>
        <v>0</v>
      </c>
      <c r="AD14" s="124">
        <f t="shared" si="4"/>
        <v>0</v>
      </c>
      <c r="AE14" s="124">
        <f t="shared" si="4"/>
        <v>0</v>
      </c>
      <c r="AF14" s="124" t="e">
        <f t="shared" si="5"/>
        <v>#DIV/0!</v>
      </c>
      <c r="AG14" s="107"/>
      <c r="AH14" s="107"/>
      <c r="AI14" s="107"/>
      <c r="AJ14" s="107"/>
      <c r="AK14" s="124"/>
      <c r="AL14" s="124"/>
      <c r="AM14" s="124"/>
      <c r="AN14" s="107">
        <f t="shared" si="6"/>
        <v>0</v>
      </c>
      <c r="AO14" s="107">
        <f t="shared" si="17"/>
        <v>0</v>
      </c>
      <c r="AP14" s="107">
        <f t="shared" si="7"/>
        <v>0</v>
      </c>
      <c r="AQ14" s="107">
        <f t="shared" si="18"/>
        <v>0</v>
      </c>
    </row>
    <row r="15" spans="1:43" ht="18" customHeight="1" thickBot="1">
      <c r="A15" s="191">
        <f>'Current month'!A14</f>
        <v>44784</v>
      </c>
      <c r="B15" s="183">
        <f>'Current month'!B14</f>
        <v>0</v>
      </c>
      <c r="C15" s="183">
        <f>'Current month'!D14</f>
        <v>0</v>
      </c>
      <c r="D15" s="183">
        <f>'Current month'!G14</f>
        <v>0</v>
      </c>
      <c r="E15" s="183">
        <f>'Current month'!H14</f>
        <v>0</v>
      </c>
      <c r="F15" s="184">
        <f>'Current month'!W14</f>
        <v>0</v>
      </c>
      <c r="G15" s="183">
        <f>'Current month'!U14</f>
        <v>0</v>
      </c>
      <c r="H15" s="123"/>
      <c r="I15" s="164"/>
      <c r="J15" s="164"/>
      <c r="K15" s="164"/>
      <c r="L15" s="147"/>
      <c r="M15" s="186"/>
      <c r="N15" s="187">
        <f t="shared" si="19"/>
        <v>0</v>
      </c>
      <c r="O15" s="107">
        <f t="shared" si="8"/>
        <v>0</v>
      </c>
      <c r="P15" s="107">
        <f t="shared" si="0"/>
        <v>0</v>
      </c>
      <c r="Q15" s="188">
        <f t="shared" si="9"/>
        <v>0</v>
      </c>
      <c r="R15" s="189"/>
      <c r="S15" s="124">
        <f t="shared" si="1"/>
        <v>0</v>
      </c>
      <c r="T15" s="190">
        <f t="shared" si="1"/>
        <v>0</v>
      </c>
      <c r="U15" s="190" t="e">
        <f t="shared" si="10"/>
        <v>#DIV/0!</v>
      </c>
      <c r="V15" s="107">
        <f t="shared" si="2"/>
        <v>0</v>
      </c>
      <c r="W15" s="107">
        <f t="shared" si="11"/>
        <v>0</v>
      </c>
      <c r="X15" s="107">
        <f t="shared" si="12"/>
        <v>0</v>
      </c>
      <c r="Y15" s="107">
        <f t="shared" si="13"/>
        <v>0</v>
      </c>
      <c r="Z15" s="107">
        <f t="shared" si="3"/>
        <v>0</v>
      </c>
      <c r="AA15" s="107">
        <f t="shared" si="14"/>
        <v>0</v>
      </c>
      <c r="AB15" s="107">
        <f t="shared" si="15"/>
        <v>0</v>
      </c>
      <c r="AC15" s="107">
        <f t="shared" si="16"/>
        <v>0</v>
      </c>
      <c r="AD15" s="124">
        <f t="shared" si="4"/>
        <v>0</v>
      </c>
      <c r="AE15" s="124">
        <f t="shared" si="4"/>
        <v>0</v>
      </c>
      <c r="AF15" s="124" t="e">
        <f t="shared" si="5"/>
        <v>#DIV/0!</v>
      </c>
      <c r="AG15" s="107"/>
      <c r="AH15" s="107"/>
      <c r="AI15" s="107"/>
      <c r="AJ15" s="107"/>
      <c r="AK15" s="124"/>
      <c r="AL15" s="124"/>
      <c r="AM15" s="124"/>
      <c r="AN15" s="107">
        <f t="shared" si="6"/>
        <v>0</v>
      </c>
      <c r="AO15" s="107">
        <f t="shared" si="17"/>
        <v>0</v>
      </c>
      <c r="AP15" s="107">
        <f t="shared" si="7"/>
        <v>0</v>
      </c>
      <c r="AQ15" s="107">
        <f t="shared" si="18"/>
        <v>0</v>
      </c>
    </row>
    <row r="16" spans="1:43" ht="18" customHeight="1" thickBot="1">
      <c r="A16" s="191">
        <f>'Current month'!A15</f>
        <v>44785</v>
      </c>
      <c r="B16" s="183">
        <f>'Current month'!B15</f>
        <v>0</v>
      </c>
      <c r="C16" s="183">
        <f>'Current month'!D15</f>
        <v>0</v>
      </c>
      <c r="D16" s="183">
        <f>'Current month'!G15</f>
        <v>0</v>
      </c>
      <c r="E16" s="183">
        <f>'Current month'!H15</f>
        <v>0</v>
      </c>
      <c r="F16" s="184">
        <f>'Current month'!W15</f>
        <v>0</v>
      </c>
      <c r="G16" s="183">
        <f>'Current month'!U15</f>
        <v>0</v>
      </c>
      <c r="H16" s="123"/>
      <c r="I16" s="164"/>
      <c r="J16" s="164"/>
      <c r="K16" s="164"/>
      <c r="L16" s="147"/>
      <c r="M16" s="186"/>
      <c r="N16" s="187">
        <f t="shared" si="19"/>
        <v>0</v>
      </c>
      <c r="O16" s="107">
        <f t="shared" si="8"/>
        <v>0</v>
      </c>
      <c r="P16" s="107">
        <f t="shared" si="0"/>
        <v>0</v>
      </c>
      <c r="Q16" s="188">
        <f t="shared" si="9"/>
        <v>0</v>
      </c>
      <c r="R16" s="189"/>
      <c r="S16" s="124">
        <f t="shared" si="1"/>
        <v>0</v>
      </c>
      <c r="T16" s="190">
        <f t="shared" si="1"/>
        <v>0</v>
      </c>
      <c r="U16" s="190" t="e">
        <f t="shared" si="10"/>
        <v>#DIV/0!</v>
      </c>
      <c r="V16" s="107">
        <f t="shared" si="2"/>
        <v>0</v>
      </c>
      <c r="W16" s="107">
        <f t="shared" si="11"/>
        <v>0</v>
      </c>
      <c r="X16" s="107">
        <f t="shared" si="12"/>
        <v>0</v>
      </c>
      <c r="Y16" s="107">
        <f t="shared" si="13"/>
        <v>0</v>
      </c>
      <c r="Z16" s="107">
        <f t="shared" si="3"/>
        <v>0</v>
      </c>
      <c r="AA16" s="107">
        <f t="shared" si="14"/>
        <v>0</v>
      </c>
      <c r="AB16" s="107">
        <f t="shared" si="15"/>
        <v>0</v>
      </c>
      <c r="AC16" s="107">
        <f t="shared" si="16"/>
        <v>0</v>
      </c>
      <c r="AD16" s="124">
        <f t="shared" si="4"/>
        <v>0</v>
      </c>
      <c r="AE16" s="124">
        <f t="shared" si="4"/>
        <v>0</v>
      </c>
      <c r="AF16" s="124" t="e">
        <f t="shared" si="5"/>
        <v>#DIV/0!</v>
      </c>
      <c r="AG16" s="107"/>
      <c r="AH16" s="107"/>
      <c r="AI16" s="107"/>
      <c r="AJ16" s="107"/>
      <c r="AK16" s="124"/>
      <c r="AL16" s="124"/>
      <c r="AM16" s="124"/>
      <c r="AN16" s="107">
        <f t="shared" si="6"/>
        <v>0</v>
      </c>
      <c r="AO16" s="107">
        <f t="shared" si="17"/>
        <v>0</v>
      </c>
      <c r="AP16" s="107">
        <f t="shared" si="7"/>
        <v>0</v>
      </c>
      <c r="AQ16" s="107">
        <f t="shared" si="18"/>
        <v>0</v>
      </c>
    </row>
    <row r="17" spans="1:43" ht="18" customHeight="1" thickBot="1">
      <c r="A17" s="191">
        <f>'Current month'!A16</f>
        <v>44786</v>
      </c>
      <c r="B17" s="183">
        <f>'Current month'!B16</f>
        <v>0</v>
      </c>
      <c r="C17" s="183">
        <f>'Current month'!D16</f>
        <v>0</v>
      </c>
      <c r="D17" s="183">
        <f>'Current month'!G16</f>
        <v>0</v>
      </c>
      <c r="E17" s="183">
        <f>'Current month'!H16</f>
        <v>0</v>
      </c>
      <c r="F17" s="184">
        <f>'Current month'!W16</f>
        <v>0</v>
      </c>
      <c r="G17" s="183">
        <f>'Current month'!U16</f>
        <v>0</v>
      </c>
      <c r="H17" s="123"/>
      <c r="I17" s="164"/>
      <c r="J17" s="164"/>
      <c r="K17" s="164"/>
      <c r="L17" s="147"/>
      <c r="M17" s="186"/>
      <c r="N17" s="187">
        <f t="shared" si="19"/>
        <v>0</v>
      </c>
      <c r="O17" s="107">
        <f t="shared" si="8"/>
        <v>0</v>
      </c>
      <c r="P17" s="107">
        <f t="shared" si="0"/>
        <v>0</v>
      </c>
      <c r="Q17" s="188">
        <f t="shared" si="9"/>
        <v>0</v>
      </c>
      <c r="R17" s="189"/>
      <c r="S17" s="124">
        <f t="shared" si="1"/>
        <v>0</v>
      </c>
      <c r="T17" s="190">
        <f t="shared" si="1"/>
        <v>0</v>
      </c>
      <c r="U17" s="190" t="e">
        <f t="shared" si="10"/>
        <v>#DIV/0!</v>
      </c>
      <c r="V17" s="107">
        <f t="shared" si="2"/>
        <v>0</v>
      </c>
      <c r="W17" s="107">
        <f t="shared" si="11"/>
        <v>0</v>
      </c>
      <c r="X17" s="107">
        <f t="shared" si="12"/>
        <v>0</v>
      </c>
      <c r="Y17" s="107">
        <f t="shared" si="13"/>
        <v>0</v>
      </c>
      <c r="Z17" s="107">
        <f t="shared" si="3"/>
        <v>0</v>
      </c>
      <c r="AA17" s="107">
        <f t="shared" si="14"/>
        <v>0</v>
      </c>
      <c r="AB17" s="107">
        <f t="shared" si="15"/>
        <v>0</v>
      </c>
      <c r="AC17" s="107">
        <f t="shared" si="16"/>
        <v>0</v>
      </c>
      <c r="AD17" s="124">
        <f t="shared" si="4"/>
        <v>0</v>
      </c>
      <c r="AE17" s="124">
        <f t="shared" si="4"/>
        <v>0</v>
      </c>
      <c r="AF17" s="124" t="e">
        <f t="shared" si="5"/>
        <v>#DIV/0!</v>
      </c>
      <c r="AG17" s="107"/>
      <c r="AH17" s="107"/>
      <c r="AI17" s="107"/>
      <c r="AJ17" s="107"/>
      <c r="AK17" s="124"/>
      <c r="AL17" s="124"/>
      <c r="AM17" s="124"/>
      <c r="AN17" s="107">
        <f t="shared" si="6"/>
        <v>0</v>
      </c>
      <c r="AO17" s="107">
        <f t="shared" si="17"/>
        <v>0</v>
      </c>
      <c r="AP17" s="107">
        <f t="shared" si="7"/>
        <v>0</v>
      </c>
      <c r="AQ17" s="107">
        <f t="shared" si="18"/>
        <v>0</v>
      </c>
    </row>
    <row r="18" spans="1:43" ht="18" customHeight="1" thickBot="1">
      <c r="A18" s="191">
        <f>'Current month'!A17</f>
        <v>44787</v>
      </c>
      <c r="B18" s="183">
        <f>'Current month'!B17</f>
        <v>0</v>
      </c>
      <c r="C18" s="183">
        <f>'Current month'!D17</f>
        <v>0</v>
      </c>
      <c r="D18" s="183">
        <f>'Current month'!G17</f>
        <v>0</v>
      </c>
      <c r="E18" s="183">
        <f>'Current month'!H17</f>
        <v>0</v>
      </c>
      <c r="F18" s="184">
        <f>'Current month'!W17</f>
        <v>0</v>
      </c>
      <c r="G18" s="183">
        <f>'Current month'!U17</f>
        <v>0</v>
      </c>
      <c r="H18" s="123"/>
      <c r="I18" s="164"/>
      <c r="J18" s="164"/>
      <c r="K18" s="164"/>
      <c r="L18" s="147"/>
      <c r="M18" s="186"/>
      <c r="N18" s="187">
        <f t="shared" si="19"/>
        <v>0</v>
      </c>
      <c r="O18" s="107">
        <f t="shared" si="8"/>
        <v>0</v>
      </c>
      <c r="P18" s="107">
        <f t="shared" si="0"/>
        <v>0</v>
      </c>
      <c r="Q18" s="188">
        <f t="shared" si="9"/>
        <v>0</v>
      </c>
      <c r="R18" s="189"/>
      <c r="S18" s="124">
        <f t="shared" si="1"/>
        <v>0</v>
      </c>
      <c r="T18" s="190">
        <f t="shared" si="1"/>
        <v>0</v>
      </c>
      <c r="U18" s="190" t="e">
        <f t="shared" si="10"/>
        <v>#DIV/0!</v>
      </c>
      <c r="V18" s="107">
        <f t="shared" si="2"/>
        <v>0</v>
      </c>
      <c r="W18" s="107">
        <f t="shared" si="11"/>
        <v>0</v>
      </c>
      <c r="X18" s="107">
        <f t="shared" si="12"/>
        <v>0</v>
      </c>
      <c r="Y18" s="107">
        <f t="shared" si="13"/>
        <v>0</v>
      </c>
      <c r="Z18" s="107">
        <f t="shared" si="3"/>
        <v>0</v>
      </c>
      <c r="AA18" s="107">
        <f t="shared" si="14"/>
        <v>0</v>
      </c>
      <c r="AB18" s="107">
        <f t="shared" si="15"/>
        <v>0</v>
      </c>
      <c r="AC18" s="107">
        <f t="shared" si="16"/>
        <v>0</v>
      </c>
      <c r="AD18" s="124">
        <f t="shared" si="4"/>
        <v>0</v>
      </c>
      <c r="AE18" s="124">
        <f t="shared" si="4"/>
        <v>0</v>
      </c>
      <c r="AF18" s="124" t="e">
        <f t="shared" si="5"/>
        <v>#DIV/0!</v>
      </c>
      <c r="AG18" s="107"/>
      <c r="AH18" s="107"/>
      <c r="AI18" s="107"/>
      <c r="AJ18" s="107"/>
      <c r="AK18" s="124"/>
      <c r="AL18" s="124"/>
      <c r="AM18" s="124"/>
      <c r="AN18" s="107">
        <f t="shared" si="6"/>
        <v>0</v>
      </c>
      <c r="AO18" s="107">
        <f t="shared" si="17"/>
        <v>0</v>
      </c>
      <c r="AP18" s="107">
        <f t="shared" si="7"/>
        <v>0</v>
      </c>
      <c r="AQ18" s="107">
        <f t="shared" si="18"/>
        <v>0</v>
      </c>
    </row>
    <row r="19" spans="1:43" ht="18" customHeight="1" thickBot="1">
      <c r="A19" s="191">
        <f>'Current month'!A18</f>
        <v>44788</v>
      </c>
      <c r="B19" s="183">
        <f>'Current month'!B18</f>
        <v>0</v>
      </c>
      <c r="C19" s="183">
        <f>'Current month'!D18</f>
        <v>0</v>
      </c>
      <c r="D19" s="183">
        <f>'Current month'!G18</f>
        <v>0</v>
      </c>
      <c r="E19" s="183">
        <f>'Current month'!H18</f>
        <v>0</v>
      </c>
      <c r="F19" s="184">
        <f>'Current month'!W18</f>
        <v>0</v>
      </c>
      <c r="G19" s="183">
        <f>'Current month'!U18</f>
        <v>0</v>
      </c>
      <c r="H19" s="123"/>
      <c r="I19" s="164"/>
      <c r="J19" s="164"/>
      <c r="K19" s="164"/>
      <c r="L19" s="147"/>
      <c r="M19" s="186"/>
      <c r="N19" s="187">
        <f t="shared" si="19"/>
        <v>0</v>
      </c>
      <c r="O19" s="107">
        <f t="shared" si="8"/>
        <v>0</v>
      </c>
      <c r="P19" s="107">
        <f t="shared" si="0"/>
        <v>0</v>
      </c>
      <c r="Q19" s="188">
        <f t="shared" si="9"/>
        <v>0</v>
      </c>
      <c r="R19" s="189"/>
      <c r="S19" s="124">
        <f t="shared" si="1"/>
        <v>0</v>
      </c>
      <c r="T19" s="190">
        <f t="shared" si="1"/>
        <v>0</v>
      </c>
      <c r="U19" s="190" t="e">
        <f t="shared" si="10"/>
        <v>#DIV/0!</v>
      </c>
      <c r="V19" s="107">
        <f t="shared" si="2"/>
        <v>0</v>
      </c>
      <c r="W19" s="107">
        <f t="shared" si="11"/>
        <v>0</v>
      </c>
      <c r="X19" s="107">
        <f t="shared" si="12"/>
        <v>0</v>
      </c>
      <c r="Y19" s="107">
        <f t="shared" si="13"/>
        <v>0</v>
      </c>
      <c r="Z19" s="107">
        <f t="shared" si="3"/>
        <v>0</v>
      </c>
      <c r="AA19" s="107">
        <f t="shared" si="14"/>
        <v>0</v>
      </c>
      <c r="AB19" s="107">
        <f t="shared" si="15"/>
        <v>0</v>
      </c>
      <c r="AC19" s="107">
        <f t="shared" si="16"/>
        <v>0</v>
      </c>
      <c r="AD19" s="124">
        <f t="shared" si="4"/>
        <v>0</v>
      </c>
      <c r="AE19" s="124">
        <f t="shared" si="4"/>
        <v>0</v>
      </c>
      <c r="AF19" s="124" t="e">
        <f t="shared" si="5"/>
        <v>#DIV/0!</v>
      </c>
      <c r="AG19" s="107"/>
      <c r="AH19" s="107"/>
      <c r="AI19" s="107"/>
      <c r="AJ19" s="107"/>
      <c r="AK19" s="124"/>
      <c r="AL19" s="124"/>
      <c r="AM19" s="124"/>
      <c r="AN19" s="107">
        <f t="shared" si="6"/>
        <v>0</v>
      </c>
      <c r="AO19" s="107">
        <f t="shared" si="17"/>
        <v>0</v>
      </c>
      <c r="AP19" s="107">
        <f t="shared" si="7"/>
        <v>0</v>
      </c>
      <c r="AQ19" s="107">
        <f t="shared" si="18"/>
        <v>0</v>
      </c>
    </row>
    <row r="20" spans="1:43" ht="18" customHeight="1" thickBot="1">
      <c r="A20" s="191">
        <f>'Current month'!A19</f>
        <v>44789</v>
      </c>
      <c r="B20" s="183">
        <f>'Current month'!B19</f>
        <v>0</v>
      </c>
      <c r="C20" s="183">
        <f>'Current month'!D19</f>
        <v>0</v>
      </c>
      <c r="D20" s="183">
        <f>'Current month'!G19</f>
        <v>0</v>
      </c>
      <c r="E20" s="183">
        <f>'Current month'!H19</f>
        <v>0</v>
      </c>
      <c r="F20" s="184">
        <f>'Current month'!W19</f>
        <v>0</v>
      </c>
      <c r="G20" s="183">
        <f>'Current month'!U19</f>
        <v>0</v>
      </c>
      <c r="H20" s="123"/>
      <c r="I20" s="164"/>
      <c r="J20" s="164"/>
      <c r="K20" s="164"/>
      <c r="L20" s="147"/>
      <c r="M20" s="186"/>
      <c r="N20" s="187">
        <f t="shared" si="19"/>
        <v>0</v>
      </c>
      <c r="O20" s="107">
        <f t="shared" si="8"/>
        <v>0</v>
      </c>
      <c r="P20" s="107">
        <f t="shared" si="0"/>
        <v>0</v>
      </c>
      <c r="Q20" s="188">
        <f t="shared" si="9"/>
        <v>0</v>
      </c>
      <c r="R20" s="189"/>
      <c r="S20" s="124">
        <f t="shared" ref="S20:T34" si="20">D20</f>
        <v>0</v>
      </c>
      <c r="T20" s="190">
        <f t="shared" si="20"/>
        <v>0</v>
      </c>
      <c r="U20" s="190" t="e">
        <f t="shared" si="10"/>
        <v>#DIV/0!</v>
      </c>
      <c r="V20" s="107">
        <f t="shared" si="2"/>
        <v>0</v>
      </c>
      <c r="W20" s="107">
        <f t="shared" si="11"/>
        <v>0</v>
      </c>
      <c r="X20" s="107">
        <f t="shared" si="12"/>
        <v>0</v>
      </c>
      <c r="Y20" s="107">
        <f t="shared" si="13"/>
        <v>0</v>
      </c>
      <c r="Z20" s="107">
        <f t="shared" si="3"/>
        <v>0</v>
      </c>
      <c r="AA20" s="107">
        <f t="shared" si="14"/>
        <v>0</v>
      </c>
      <c r="AB20" s="107">
        <f t="shared" si="15"/>
        <v>0</v>
      </c>
      <c r="AC20" s="107">
        <f t="shared" si="16"/>
        <v>0</v>
      </c>
      <c r="AD20" s="124">
        <f t="shared" ref="AD20:AE35" si="21">J20</f>
        <v>0</v>
      </c>
      <c r="AE20" s="124">
        <f t="shared" si="21"/>
        <v>0</v>
      </c>
      <c r="AF20" s="124" t="e">
        <f t="shared" si="5"/>
        <v>#DIV/0!</v>
      </c>
      <c r="AG20" s="107"/>
      <c r="AH20" s="107"/>
      <c r="AI20" s="107"/>
      <c r="AJ20" s="107"/>
      <c r="AK20" s="124"/>
      <c r="AL20" s="124"/>
      <c r="AM20" s="124"/>
      <c r="AN20" s="107">
        <f t="shared" si="6"/>
        <v>0</v>
      </c>
      <c r="AO20" s="107">
        <f t="shared" si="17"/>
        <v>0</v>
      </c>
      <c r="AP20" s="107">
        <f t="shared" si="7"/>
        <v>0</v>
      </c>
      <c r="AQ20" s="107">
        <f t="shared" si="18"/>
        <v>0</v>
      </c>
    </row>
    <row r="21" spans="1:43" ht="18" customHeight="1" thickBot="1">
      <c r="A21" s="191">
        <f>'Current month'!A20</f>
        <v>44790</v>
      </c>
      <c r="B21" s="183">
        <f>'Current month'!B20</f>
        <v>0</v>
      </c>
      <c r="C21" s="183">
        <f>'Current month'!D20</f>
        <v>0</v>
      </c>
      <c r="D21" s="183">
        <f>'Current month'!G20</f>
        <v>0</v>
      </c>
      <c r="E21" s="183">
        <f>'Current month'!H20</f>
        <v>0</v>
      </c>
      <c r="F21" s="184">
        <f>'Current month'!W20</f>
        <v>0</v>
      </c>
      <c r="G21" s="183">
        <f>'Current month'!U20</f>
        <v>0</v>
      </c>
      <c r="H21" s="123"/>
      <c r="I21" s="164"/>
      <c r="J21" s="164"/>
      <c r="K21" s="164"/>
      <c r="L21" s="147"/>
      <c r="M21" s="186"/>
      <c r="N21" s="187">
        <f t="shared" si="19"/>
        <v>0</v>
      </c>
      <c r="O21" s="107">
        <f t="shared" si="8"/>
        <v>0</v>
      </c>
      <c r="P21" s="107">
        <f t="shared" si="0"/>
        <v>0</v>
      </c>
      <c r="Q21" s="188">
        <f t="shared" si="9"/>
        <v>0</v>
      </c>
      <c r="R21" s="189"/>
      <c r="S21" s="124">
        <f t="shared" si="20"/>
        <v>0</v>
      </c>
      <c r="T21" s="190">
        <f t="shared" si="20"/>
        <v>0</v>
      </c>
      <c r="U21" s="190" t="e">
        <f t="shared" si="10"/>
        <v>#DIV/0!</v>
      </c>
      <c r="V21" s="107">
        <f t="shared" si="2"/>
        <v>0</v>
      </c>
      <c r="W21" s="107">
        <f t="shared" si="11"/>
        <v>0</v>
      </c>
      <c r="X21" s="107">
        <f t="shared" si="12"/>
        <v>0</v>
      </c>
      <c r="Y21" s="107">
        <f t="shared" si="13"/>
        <v>0</v>
      </c>
      <c r="Z21" s="107">
        <f t="shared" si="3"/>
        <v>0</v>
      </c>
      <c r="AA21" s="107">
        <f t="shared" si="14"/>
        <v>0</v>
      </c>
      <c r="AB21" s="107">
        <f t="shared" si="15"/>
        <v>0</v>
      </c>
      <c r="AC21" s="107">
        <f t="shared" si="16"/>
        <v>0</v>
      </c>
      <c r="AD21" s="124">
        <f t="shared" si="21"/>
        <v>0</v>
      </c>
      <c r="AE21" s="124">
        <f t="shared" si="21"/>
        <v>0</v>
      </c>
      <c r="AF21" s="124" t="e">
        <f t="shared" si="5"/>
        <v>#DIV/0!</v>
      </c>
      <c r="AG21" s="107"/>
      <c r="AH21" s="107"/>
      <c r="AI21" s="107"/>
      <c r="AJ21" s="107"/>
      <c r="AK21" s="124"/>
      <c r="AL21" s="124"/>
      <c r="AM21" s="124"/>
      <c r="AN21" s="107">
        <f t="shared" si="6"/>
        <v>0</v>
      </c>
      <c r="AO21" s="107">
        <f t="shared" si="17"/>
        <v>0</v>
      </c>
      <c r="AP21" s="107">
        <f t="shared" si="7"/>
        <v>0</v>
      </c>
      <c r="AQ21" s="107">
        <f t="shared" si="18"/>
        <v>0</v>
      </c>
    </row>
    <row r="22" spans="1:43" ht="18" customHeight="1" thickBot="1">
      <c r="A22" s="191">
        <f>'Current month'!A21</f>
        <v>44791</v>
      </c>
      <c r="B22" s="183">
        <f>'Current month'!B21</f>
        <v>0</v>
      </c>
      <c r="C22" s="183">
        <f>'Current month'!D21</f>
        <v>0</v>
      </c>
      <c r="D22" s="183">
        <f>'Current month'!G21</f>
        <v>0</v>
      </c>
      <c r="E22" s="183">
        <f>'Current month'!H21</f>
        <v>0</v>
      </c>
      <c r="F22" s="184">
        <f>'Current month'!W21</f>
        <v>0</v>
      </c>
      <c r="G22" s="183">
        <f>'Current month'!U21</f>
        <v>0</v>
      </c>
      <c r="H22" s="123"/>
      <c r="I22" s="164"/>
      <c r="J22" s="164"/>
      <c r="K22" s="164"/>
      <c r="L22" s="147"/>
      <c r="M22" s="186"/>
      <c r="N22" s="187">
        <f t="shared" si="19"/>
        <v>0</v>
      </c>
      <c r="O22" s="107">
        <f t="shared" si="8"/>
        <v>0</v>
      </c>
      <c r="P22" s="107">
        <f t="shared" si="0"/>
        <v>0</v>
      </c>
      <c r="Q22" s="188">
        <f t="shared" si="9"/>
        <v>0</v>
      </c>
      <c r="R22" s="189"/>
      <c r="S22" s="124">
        <f t="shared" si="20"/>
        <v>0</v>
      </c>
      <c r="T22" s="190">
        <f t="shared" si="20"/>
        <v>0</v>
      </c>
      <c r="U22" s="190" t="e">
        <f t="shared" si="10"/>
        <v>#DIV/0!</v>
      </c>
      <c r="V22" s="107">
        <f t="shared" si="2"/>
        <v>0</v>
      </c>
      <c r="W22" s="107">
        <f t="shared" si="11"/>
        <v>0</v>
      </c>
      <c r="X22" s="107">
        <f t="shared" si="12"/>
        <v>0</v>
      </c>
      <c r="Y22" s="107">
        <f t="shared" si="13"/>
        <v>0</v>
      </c>
      <c r="Z22" s="107">
        <f t="shared" si="3"/>
        <v>0</v>
      </c>
      <c r="AA22" s="107">
        <f t="shared" si="14"/>
        <v>0</v>
      </c>
      <c r="AB22" s="107">
        <f t="shared" si="15"/>
        <v>0</v>
      </c>
      <c r="AC22" s="107">
        <f t="shared" si="16"/>
        <v>0</v>
      </c>
      <c r="AD22" s="124">
        <f t="shared" si="21"/>
        <v>0</v>
      </c>
      <c r="AE22" s="124">
        <f t="shared" si="21"/>
        <v>0</v>
      </c>
      <c r="AF22" s="124" t="e">
        <f t="shared" si="5"/>
        <v>#DIV/0!</v>
      </c>
      <c r="AG22" s="107"/>
      <c r="AH22" s="107"/>
      <c r="AI22" s="107"/>
      <c r="AJ22" s="107"/>
      <c r="AK22" s="124"/>
      <c r="AL22" s="124"/>
      <c r="AM22" s="124"/>
      <c r="AN22" s="107">
        <f t="shared" si="6"/>
        <v>0</v>
      </c>
      <c r="AO22" s="107">
        <f t="shared" si="17"/>
        <v>0</v>
      </c>
      <c r="AP22" s="107">
        <f t="shared" si="7"/>
        <v>0</v>
      </c>
      <c r="AQ22" s="107">
        <f t="shared" si="18"/>
        <v>0</v>
      </c>
    </row>
    <row r="23" spans="1:43" ht="18" customHeight="1" thickBot="1">
      <c r="A23" s="191">
        <f>'Current month'!A22</f>
        <v>44792</v>
      </c>
      <c r="B23" s="183">
        <f>'Current month'!B22</f>
        <v>0</v>
      </c>
      <c r="C23" s="183">
        <f>'Current month'!D22</f>
        <v>0</v>
      </c>
      <c r="D23" s="183">
        <f>'Current month'!G22</f>
        <v>0</v>
      </c>
      <c r="E23" s="183">
        <f>'Current month'!H22</f>
        <v>0</v>
      </c>
      <c r="F23" s="184">
        <f>'Current month'!W22</f>
        <v>0</v>
      </c>
      <c r="G23" s="183">
        <f>'Current month'!U22</f>
        <v>0</v>
      </c>
      <c r="H23" s="123"/>
      <c r="I23" s="164"/>
      <c r="J23" s="164"/>
      <c r="K23" s="164"/>
      <c r="L23" s="166"/>
      <c r="M23" s="197"/>
      <c r="N23" s="187">
        <f t="shared" si="19"/>
        <v>0</v>
      </c>
      <c r="O23" s="107">
        <f t="shared" si="8"/>
        <v>0</v>
      </c>
      <c r="P23" s="107">
        <f t="shared" si="0"/>
        <v>0</v>
      </c>
      <c r="Q23" s="188">
        <f t="shared" si="9"/>
        <v>0</v>
      </c>
      <c r="R23" s="189"/>
      <c r="S23" s="124">
        <f t="shared" si="20"/>
        <v>0</v>
      </c>
      <c r="T23" s="190">
        <f t="shared" si="20"/>
        <v>0</v>
      </c>
      <c r="U23" s="190" t="e">
        <f t="shared" si="10"/>
        <v>#DIV/0!</v>
      </c>
      <c r="V23" s="107">
        <f t="shared" si="2"/>
        <v>0</v>
      </c>
      <c r="W23" s="107">
        <f t="shared" si="11"/>
        <v>0</v>
      </c>
      <c r="X23" s="107">
        <f t="shared" si="12"/>
        <v>0</v>
      </c>
      <c r="Y23" s="107">
        <f t="shared" si="13"/>
        <v>0</v>
      </c>
      <c r="Z23" s="107">
        <f t="shared" si="3"/>
        <v>0</v>
      </c>
      <c r="AA23" s="107">
        <f t="shared" si="14"/>
        <v>0</v>
      </c>
      <c r="AB23" s="107">
        <f t="shared" si="15"/>
        <v>0</v>
      </c>
      <c r="AC23" s="107">
        <f t="shared" si="16"/>
        <v>0</v>
      </c>
      <c r="AD23" s="124">
        <f t="shared" si="21"/>
        <v>0</v>
      </c>
      <c r="AE23" s="124">
        <f t="shared" si="21"/>
        <v>0</v>
      </c>
      <c r="AF23" s="124" t="e">
        <f t="shared" si="5"/>
        <v>#DIV/0!</v>
      </c>
      <c r="AG23" s="107"/>
      <c r="AH23" s="107"/>
      <c r="AI23" s="107"/>
      <c r="AJ23" s="107"/>
      <c r="AK23" s="124"/>
      <c r="AL23" s="124"/>
      <c r="AM23" s="124"/>
      <c r="AN23" s="107">
        <f t="shared" si="6"/>
        <v>0</v>
      </c>
      <c r="AO23" s="107">
        <f t="shared" si="17"/>
        <v>0</v>
      </c>
      <c r="AP23" s="107">
        <f t="shared" si="7"/>
        <v>0</v>
      </c>
      <c r="AQ23" s="107">
        <f t="shared" si="18"/>
        <v>0</v>
      </c>
    </row>
    <row r="24" spans="1:43" ht="18" customHeight="1" thickBot="1">
      <c r="A24" s="191">
        <f>'Current month'!A23</f>
        <v>44793</v>
      </c>
      <c r="B24" s="183">
        <f>'Current month'!B23</f>
        <v>0</v>
      </c>
      <c r="C24" s="183">
        <f>'Current month'!D23</f>
        <v>0</v>
      </c>
      <c r="D24" s="183">
        <f>'Current month'!G23</f>
        <v>0</v>
      </c>
      <c r="E24" s="183">
        <f>'Current month'!H23</f>
        <v>0</v>
      </c>
      <c r="F24" s="184">
        <f>'Current month'!W23</f>
        <v>0</v>
      </c>
      <c r="G24" s="183">
        <f>'Current month'!U23</f>
        <v>0</v>
      </c>
      <c r="H24" s="123"/>
      <c r="I24" s="164"/>
      <c r="J24" s="164"/>
      <c r="K24" s="164"/>
      <c r="L24" s="147"/>
      <c r="M24" s="186"/>
      <c r="N24" s="187">
        <f t="shared" si="19"/>
        <v>0</v>
      </c>
      <c r="O24" s="107">
        <f t="shared" si="8"/>
        <v>0</v>
      </c>
      <c r="P24" s="107">
        <f t="shared" si="0"/>
        <v>0</v>
      </c>
      <c r="Q24" s="188">
        <f t="shared" si="9"/>
        <v>0</v>
      </c>
      <c r="R24" s="189"/>
      <c r="S24" s="124">
        <f t="shared" si="20"/>
        <v>0</v>
      </c>
      <c r="T24" s="190">
        <f t="shared" si="20"/>
        <v>0</v>
      </c>
      <c r="U24" s="190" t="e">
        <f t="shared" si="10"/>
        <v>#DIV/0!</v>
      </c>
      <c r="V24" s="107">
        <f t="shared" si="2"/>
        <v>0</v>
      </c>
      <c r="W24" s="107">
        <f t="shared" si="11"/>
        <v>0</v>
      </c>
      <c r="X24" s="107">
        <f t="shared" si="12"/>
        <v>0</v>
      </c>
      <c r="Y24" s="107">
        <f t="shared" si="13"/>
        <v>0</v>
      </c>
      <c r="Z24" s="107">
        <f t="shared" si="3"/>
        <v>0</v>
      </c>
      <c r="AA24" s="107">
        <f t="shared" si="14"/>
        <v>0</v>
      </c>
      <c r="AB24" s="107">
        <f t="shared" si="15"/>
        <v>0</v>
      </c>
      <c r="AC24" s="107">
        <f t="shared" si="16"/>
        <v>0</v>
      </c>
      <c r="AD24" s="124">
        <f t="shared" si="21"/>
        <v>0</v>
      </c>
      <c r="AE24" s="124">
        <f t="shared" si="21"/>
        <v>0</v>
      </c>
      <c r="AF24" s="124" t="e">
        <f t="shared" si="5"/>
        <v>#DIV/0!</v>
      </c>
      <c r="AG24" s="107"/>
      <c r="AH24" s="107"/>
      <c r="AI24" s="107"/>
      <c r="AJ24" s="107"/>
      <c r="AK24" s="124"/>
      <c r="AL24" s="124"/>
      <c r="AM24" s="124"/>
      <c r="AN24" s="107">
        <f t="shared" si="6"/>
        <v>0</v>
      </c>
      <c r="AO24" s="107">
        <f t="shared" si="17"/>
        <v>0</v>
      </c>
      <c r="AP24" s="107">
        <f t="shared" si="7"/>
        <v>0</v>
      </c>
      <c r="AQ24" s="107">
        <f t="shared" si="18"/>
        <v>0</v>
      </c>
    </row>
    <row r="25" spans="1:43" ht="18" customHeight="1" thickBot="1">
      <c r="A25" s="191">
        <f>'Current month'!A24</f>
        <v>44794</v>
      </c>
      <c r="B25" s="183">
        <f>'Current month'!B24</f>
        <v>0</v>
      </c>
      <c r="C25" s="183">
        <f>'Current month'!D24</f>
        <v>0</v>
      </c>
      <c r="D25" s="183">
        <f>'Current month'!G24</f>
        <v>0</v>
      </c>
      <c r="E25" s="183">
        <f>'Current month'!H24</f>
        <v>0</v>
      </c>
      <c r="F25" s="184">
        <f>'Current month'!W24</f>
        <v>0</v>
      </c>
      <c r="G25" s="183">
        <f>'Current month'!U24</f>
        <v>0</v>
      </c>
      <c r="H25" s="123"/>
      <c r="I25" s="164"/>
      <c r="J25" s="164"/>
      <c r="K25" s="164"/>
      <c r="L25" s="147"/>
      <c r="M25" s="197"/>
      <c r="N25" s="187">
        <f t="shared" si="19"/>
        <v>0</v>
      </c>
      <c r="O25" s="107">
        <f t="shared" si="8"/>
        <v>0</v>
      </c>
      <c r="P25" s="107">
        <f t="shared" si="0"/>
        <v>0</v>
      </c>
      <c r="Q25" s="188">
        <f t="shared" si="9"/>
        <v>0</v>
      </c>
      <c r="R25" s="189"/>
      <c r="S25" s="124">
        <f t="shared" si="20"/>
        <v>0</v>
      </c>
      <c r="T25" s="190">
        <f t="shared" si="20"/>
        <v>0</v>
      </c>
      <c r="U25" s="190" t="e">
        <f t="shared" si="10"/>
        <v>#DIV/0!</v>
      </c>
      <c r="V25" s="107">
        <f t="shared" si="2"/>
        <v>0</v>
      </c>
      <c r="W25" s="107">
        <f t="shared" si="11"/>
        <v>0</v>
      </c>
      <c r="X25" s="107">
        <f t="shared" si="12"/>
        <v>0</v>
      </c>
      <c r="Y25" s="107">
        <f t="shared" si="13"/>
        <v>0</v>
      </c>
      <c r="Z25" s="107">
        <f t="shared" si="3"/>
        <v>0</v>
      </c>
      <c r="AA25" s="107">
        <f t="shared" si="14"/>
        <v>0</v>
      </c>
      <c r="AB25" s="107">
        <f t="shared" si="15"/>
        <v>0</v>
      </c>
      <c r="AC25" s="107">
        <f t="shared" si="16"/>
        <v>0</v>
      </c>
      <c r="AD25" s="124">
        <f t="shared" si="21"/>
        <v>0</v>
      </c>
      <c r="AE25" s="124">
        <f t="shared" si="21"/>
        <v>0</v>
      </c>
      <c r="AF25" s="124" t="e">
        <f t="shared" si="5"/>
        <v>#DIV/0!</v>
      </c>
      <c r="AG25" s="107"/>
      <c r="AH25" s="107"/>
      <c r="AI25" s="107"/>
      <c r="AJ25" s="107"/>
      <c r="AK25" s="124"/>
      <c r="AL25" s="124"/>
      <c r="AM25" s="124"/>
      <c r="AN25" s="107">
        <f t="shared" si="6"/>
        <v>0</v>
      </c>
      <c r="AO25" s="107">
        <f t="shared" si="17"/>
        <v>0</v>
      </c>
      <c r="AP25" s="107">
        <f t="shared" si="7"/>
        <v>0</v>
      </c>
      <c r="AQ25" s="107">
        <f t="shared" si="18"/>
        <v>0</v>
      </c>
    </row>
    <row r="26" spans="1:43" ht="18" customHeight="1" thickBot="1">
      <c r="A26" s="191">
        <f>'Current month'!A25</f>
        <v>44795</v>
      </c>
      <c r="B26" s="183">
        <f>'Current month'!B25</f>
        <v>0</v>
      </c>
      <c r="C26" s="183">
        <f>'Current month'!D25</f>
        <v>0</v>
      </c>
      <c r="D26" s="183">
        <f>'Current month'!G25</f>
        <v>0</v>
      </c>
      <c r="E26" s="183">
        <f>'Current month'!H25</f>
        <v>0</v>
      </c>
      <c r="F26" s="184">
        <f>'Current month'!W25</f>
        <v>0</v>
      </c>
      <c r="G26" s="183">
        <f>'Current month'!U25</f>
        <v>0</v>
      </c>
      <c r="H26" s="123"/>
      <c r="I26" s="164"/>
      <c r="J26" s="164"/>
      <c r="K26" s="164"/>
      <c r="L26" s="147"/>
      <c r="M26" s="186"/>
      <c r="N26" s="187">
        <f t="shared" si="19"/>
        <v>0</v>
      </c>
      <c r="O26" s="107">
        <f t="shared" si="8"/>
        <v>0</v>
      </c>
      <c r="P26" s="107">
        <f t="shared" si="0"/>
        <v>0</v>
      </c>
      <c r="Q26" s="188">
        <f t="shared" si="9"/>
        <v>0</v>
      </c>
      <c r="R26" s="189"/>
      <c r="S26" s="124">
        <f t="shared" si="20"/>
        <v>0</v>
      </c>
      <c r="T26" s="190">
        <f t="shared" si="20"/>
        <v>0</v>
      </c>
      <c r="U26" s="190" t="e">
        <f t="shared" si="10"/>
        <v>#DIV/0!</v>
      </c>
      <c r="V26" s="107">
        <f t="shared" si="2"/>
        <v>0</v>
      </c>
      <c r="W26" s="107">
        <f t="shared" si="11"/>
        <v>0</v>
      </c>
      <c r="X26" s="107">
        <f t="shared" si="12"/>
        <v>0</v>
      </c>
      <c r="Y26" s="107">
        <f t="shared" si="13"/>
        <v>0</v>
      </c>
      <c r="Z26" s="107">
        <f t="shared" si="3"/>
        <v>0</v>
      </c>
      <c r="AA26" s="107">
        <f t="shared" si="14"/>
        <v>0</v>
      </c>
      <c r="AB26" s="107">
        <f t="shared" si="15"/>
        <v>0</v>
      </c>
      <c r="AC26" s="107">
        <f t="shared" si="16"/>
        <v>0</v>
      </c>
      <c r="AD26" s="124">
        <f t="shared" si="21"/>
        <v>0</v>
      </c>
      <c r="AE26" s="124">
        <f t="shared" si="21"/>
        <v>0</v>
      </c>
      <c r="AF26" s="124" t="e">
        <f t="shared" si="5"/>
        <v>#DIV/0!</v>
      </c>
      <c r="AG26" s="107"/>
      <c r="AH26" s="107"/>
      <c r="AI26" s="107"/>
      <c r="AJ26" s="107"/>
      <c r="AK26" s="124"/>
      <c r="AL26" s="124"/>
      <c r="AM26" s="124"/>
      <c r="AN26" s="107">
        <f t="shared" si="6"/>
        <v>0</v>
      </c>
      <c r="AO26" s="107">
        <f t="shared" si="17"/>
        <v>0</v>
      </c>
      <c r="AP26" s="107">
        <f t="shared" si="7"/>
        <v>0</v>
      </c>
      <c r="AQ26" s="107">
        <f t="shared" si="18"/>
        <v>0</v>
      </c>
    </row>
    <row r="27" spans="1:43" ht="18" customHeight="1" thickBot="1">
      <c r="A27" s="191">
        <f>'Current month'!A26</f>
        <v>44796</v>
      </c>
      <c r="B27" s="183">
        <f>'Current month'!B26</f>
        <v>0</v>
      </c>
      <c r="C27" s="183">
        <f>'Current month'!D26</f>
        <v>0</v>
      </c>
      <c r="D27" s="183">
        <f>'Current month'!G26</f>
        <v>0</v>
      </c>
      <c r="E27" s="183">
        <f>'Current month'!H26</f>
        <v>0</v>
      </c>
      <c r="F27" s="184">
        <f>'Current month'!W26</f>
        <v>0</v>
      </c>
      <c r="G27" s="183">
        <f>'Current month'!U26</f>
        <v>0</v>
      </c>
      <c r="H27" s="123"/>
      <c r="I27" s="164"/>
      <c r="J27" s="164"/>
      <c r="K27" s="164"/>
      <c r="L27" s="147"/>
      <c r="M27" s="186"/>
      <c r="N27" s="187">
        <f t="shared" si="19"/>
        <v>0</v>
      </c>
      <c r="O27" s="107">
        <f t="shared" si="8"/>
        <v>0</v>
      </c>
      <c r="P27" s="107">
        <f t="shared" si="0"/>
        <v>0</v>
      </c>
      <c r="Q27" s="188">
        <f t="shared" si="9"/>
        <v>0</v>
      </c>
      <c r="R27" s="189"/>
      <c r="S27" s="124">
        <f t="shared" si="20"/>
        <v>0</v>
      </c>
      <c r="T27" s="190">
        <f t="shared" si="20"/>
        <v>0</v>
      </c>
      <c r="U27" s="190" t="e">
        <f t="shared" si="10"/>
        <v>#DIV/0!</v>
      </c>
      <c r="V27" s="107">
        <f t="shared" si="2"/>
        <v>0</v>
      </c>
      <c r="W27" s="107">
        <f t="shared" si="11"/>
        <v>0</v>
      </c>
      <c r="X27" s="107">
        <f t="shared" si="12"/>
        <v>0</v>
      </c>
      <c r="Y27" s="107">
        <f t="shared" si="13"/>
        <v>0</v>
      </c>
      <c r="Z27" s="107">
        <f t="shared" si="3"/>
        <v>0</v>
      </c>
      <c r="AA27" s="107">
        <f t="shared" si="14"/>
        <v>0</v>
      </c>
      <c r="AB27" s="107">
        <f t="shared" si="15"/>
        <v>0</v>
      </c>
      <c r="AC27" s="107">
        <f t="shared" si="16"/>
        <v>0</v>
      </c>
      <c r="AD27" s="124">
        <f t="shared" si="21"/>
        <v>0</v>
      </c>
      <c r="AE27" s="124">
        <f t="shared" si="21"/>
        <v>0</v>
      </c>
      <c r="AF27" s="124" t="e">
        <f t="shared" si="5"/>
        <v>#DIV/0!</v>
      </c>
      <c r="AG27" s="107"/>
      <c r="AH27" s="107"/>
      <c r="AI27" s="107"/>
      <c r="AJ27" s="107"/>
      <c r="AK27" s="124"/>
      <c r="AL27" s="124"/>
      <c r="AM27" s="124"/>
      <c r="AN27" s="107">
        <f t="shared" si="6"/>
        <v>0</v>
      </c>
      <c r="AO27" s="107">
        <f t="shared" si="17"/>
        <v>0</v>
      </c>
      <c r="AP27" s="107">
        <f t="shared" si="7"/>
        <v>0</v>
      </c>
      <c r="AQ27" s="107">
        <f t="shared" si="18"/>
        <v>0</v>
      </c>
    </row>
    <row r="28" spans="1:43" ht="18" customHeight="1" thickBot="1">
      <c r="A28" s="191">
        <f>'Current month'!A27</f>
        <v>44797</v>
      </c>
      <c r="B28" s="183">
        <f>'Current month'!B27</f>
        <v>0</v>
      </c>
      <c r="C28" s="183">
        <f>'Current month'!D27</f>
        <v>0</v>
      </c>
      <c r="D28" s="183">
        <f>'Current month'!G27</f>
        <v>0</v>
      </c>
      <c r="E28" s="183">
        <f>'Current month'!H27</f>
        <v>0</v>
      </c>
      <c r="F28" s="184">
        <f>'Current month'!W27</f>
        <v>0</v>
      </c>
      <c r="G28" s="183">
        <f>'Current month'!U27</f>
        <v>0</v>
      </c>
      <c r="H28" s="123"/>
      <c r="I28" s="164"/>
      <c r="J28" s="164"/>
      <c r="K28" s="164"/>
      <c r="L28" s="147"/>
      <c r="M28" s="186"/>
      <c r="N28" s="187">
        <f t="shared" si="19"/>
        <v>0</v>
      </c>
      <c r="O28" s="107">
        <f t="shared" si="8"/>
        <v>0</v>
      </c>
      <c r="P28" s="107">
        <f t="shared" si="0"/>
        <v>0</v>
      </c>
      <c r="Q28" s="188">
        <f t="shared" si="9"/>
        <v>0</v>
      </c>
      <c r="R28" s="189"/>
      <c r="S28" s="124">
        <f t="shared" si="20"/>
        <v>0</v>
      </c>
      <c r="T28" s="190">
        <f t="shared" si="20"/>
        <v>0</v>
      </c>
      <c r="U28" s="190" t="e">
        <f t="shared" si="10"/>
        <v>#DIV/0!</v>
      </c>
      <c r="V28" s="107">
        <f t="shared" si="2"/>
        <v>0</v>
      </c>
      <c r="W28" s="107">
        <f t="shared" si="11"/>
        <v>0</v>
      </c>
      <c r="X28" s="107">
        <f t="shared" si="12"/>
        <v>0</v>
      </c>
      <c r="Y28" s="107">
        <f t="shared" si="13"/>
        <v>0</v>
      </c>
      <c r="Z28" s="107">
        <f t="shared" si="3"/>
        <v>0</v>
      </c>
      <c r="AA28" s="107">
        <f t="shared" si="14"/>
        <v>0</v>
      </c>
      <c r="AB28" s="107">
        <f t="shared" si="15"/>
        <v>0</v>
      </c>
      <c r="AC28" s="107">
        <f t="shared" si="16"/>
        <v>0</v>
      </c>
      <c r="AD28" s="124">
        <f t="shared" si="21"/>
        <v>0</v>
      </c>
      <c r="AE28" s="124">
        <f t="shared" si="21"/>
        <v>0</v>
      </c>
      <c r="AF28" s="124" t="e">
        <f t="shared" si="5"/>
        <v>#DIV/0!</v>
      </c>
      <c r="AG28" s="107"/>
      <c r="AH28" s="107"/>
      <c r="AI28" s="107"/>
      <c r="AJ28" s="107"/>
      <c r="AK28" s="124"/>
      <c r="AL28" s="124"/>
      <c r="AM28" s="124"/>
      <c r="AN28" s="107">
        <f t="shared" si="6"/>
        <v>0</v>
      </c>
      <c r="AO28" s="107">
        <f t="shared" si="17"/>
        <v>0</v>
      </c>
      <c r="AP28" s="107">
        <f t="shared" si="7"/>
        <v>0</v>
      </c>
      <c r="AQ28" s="107">
        <f t="shared" si="18"/>
        <v>0</v>
      </c>
    </row>
    <row r="29" spans="1:43" ht="18" customHeight="1" thickBot="1">
      <c r="A29" s="191">
        <f>'Current month'!A28</f>
        <v>44798</v>
      </c>
      <c r="B29" s="183">
        <f>'Current month'!B28</f>
        <v>0</v>
      </c>
      <c r="C29" s="183">
        <f>'Current month'!D28</f>
        <v>0</v>
      </c>
      <c r="D29" s="183">
        <f>'Current month'!G28</f>
        <v>0</v>
      </c>
      <c r="E29" s="183">
        <f>'Current month'!H28</f>
        <v>0</v>
      </c>
      <c r="F29" s="184">
        <f>'Current month'!W28</f>
        <v>0</v>
      </c>
      <c r="G29" s="183">
        <f>'Current month'!U28</f>
        <v>0</v>
      </c>
      <c r="H29" s="123"/>
      <c r="I29" s="164"/>
      <c r="J29" s="164"/>
      <c r="K29" s="164"/>
      <c r="L29" s="147"/>
      <c r="M29" s="186"/>
      <c r="N29" s="187">
        <f t="shared" si="19"/>
        <v>0</v>
      </c>
      <c r="O29" s="107">
        <f t="shared" si="8"/>
        <v>0</v>
      </c>
      <c r="P29" s="107">
        <f t="shared" si="0"/>
        <v>0</v>
      </c>
      <c r="Q29" s="188">
        <f t="shared" si="9"/>
        <v>0</v>
      </c>
      <c r="R29" s="189"/>
      <c r="S29" s="124">
        <f t="shared" si="20"/>
        <v>0</v>
      </c>
      <c r="T29" s="190">
        <f t="shared" si="20"/>
        <v>0</v>
      </c>
      <c r="U29" s="190" t="e">
        <f t="shared" si="10"/>
        <v>#DIV/0!</v>
      </c>
      <c r="V29" s="107">
        <f t="shared" si="2"/>
        <v>0</v>
      </c>
      <c r="W29" s="107">
        <f t="shared" si="11"/>
        <v>0</v>
      </c>
      <c r="X29" s="107">
        <f t="shared" si="12"/>
        <v>0</v>
      </c>
      <c r="Y29" s="107">
        <f t="shared" si="13"/>
        <v>0</v>
      </c>
      <c r="Z29" s="107">
        <f t="shared" si="3"/>
        <v>0</v>
      </c>
      <c r="AA29" s="107">
        <f t="shared" si="14"/>
        <v>0</v>
      </c>
      <c r="AB29" s="107">
        <f t="shared" si="15"/>
        <v>0</v>
      </c>
      <c r="AC29" s="107">
        <f t="shared" si="16"/>
        <v>0</v>
      </c>
      <c r="AD29" s="124">
        <f t="shared" si="21"/>
        <v>0</v>
      </c>
      <c r="AE29" s="124">
        <f t="shared" si="21"/>
        <v>0</v>
      </c>
      <c r="AF29" s="124" t="e">
        <f t="shared" si="5"/>
        <v>#DIV/0!</v>
      </c>
      <c r="AG29" s="107"/>
      <c r="AH29" s="107"/>
      <c r="AI29" s="107"/>
      <c r="AJ29" s="107"/>
      <c r="AK29" s="124"/>
      <c r="AL29" s="124"/>
      <c r="AM29" s="124"/>
      <c r="AN29" s="107">
        <f t="shared" si="6"/>
        <v>0</v>
      </c>
      <c r="AO29" s="107">
        <f t="shared" si="17"/>
        <v>0</v>
      </c>
      <c r="AP29" s="107">
        <f t="shared" si="7"/>
        <v>0</v>
      </c>
      <c r="AQ29" s="107">
        <f t="shared" si="18"/>
        <v>0</v>
      </c>
    </row>
    <row r="30" spans="1:43" ht="18" customHeight="1" thickBot="1">
      <c r="A30" s="191">
        <f>'Current month'!A29</f>
        <v>44799</v>
      </c>
      <c r="B30" s="183">
        <f>'Current month'!B29</f>
        <v>0</v>
      </c>
      <c r="C30" s="183">
        <f>'Current month'!D29</f>
        <v>0</v>
      </c>
      <c r="D30" s="183">
        <f>'Current month'!G29</f>
        <v>0</v>
      </c>
      <c r="E30" s="183">
        <f>'Current month'!H29</f>
        <v>0</v>
      </c>
      <c r="F30" s="184">
        <f>'Current month'!W29</f>
        <v>0</v>
      </c>
      <c r="G30" s="183">
        <f>'Current month'!U29</f>
        <v>0</v>
      </c>
      <c r="H30" s="123"/>
      <c r="I30" s="164"/>
      <c r="J30" s="164"/>
      <c r="K30" s="164"/>
      <c r="L30" s="147"/>
      <c r="M30" s="186"/>
      <c r="N30" s="187">
        <f t="shared" si="19"/>
        <v>0</v>
      </c>
      <c r="O30" s="107">
        <f t="shared" si="8"/>
        <v>0</v>
      </c>
      <c r="P30" s="107">
        <f t="shared" si="0"/>
        <v>0</v>
      </c>
      <c r="Q30" s="188">
        <f t="shared" si="9"/>
        <v>0</v>
      </c>
      <c r="R30" s="189"/>
      <c r="S30" s="124">
        <f t="shared" si="20"/>
        <v>0</v>
      </c>
      <c r="T30" s="190">
        <f t="shared" si="20"/>
        <v>0</v>
      </c>
      <c r="U30" s="190" t="e">
        <f t="shared" si="10"/>
        <v>#DIV/0!</v>
      </c>
      <c r="V30" s="107">
        <f t="shared" si="2"/>
        <v>0</v>
      </c>
      <c r="W30" s="107">
        <f t="shared" si="11"/>
        <v>0</v>
      </c>
      <c r="X30" s="107">
        <f t="shared" si="12"/>
        <v>0</v>
      </c>
      <c r="Y30" s="107">
        <f t="shared" si="13"/>
        <v>0</v>
      </c>
      <c r="Z30" s="107">
        <f t="shared" si="3"/>
        <v>0</v>
      </c>
      <c r="AA30" s="107">
        <f t="shared" si="14"/>
        <v>0</v>
      </c>
      <c r="AB30" s="107">
        <f t="shared" si="15"/>
        <v>0</v>
      </c>
      <c r="AC30" s="107">
        <f t="shared" si="16"/>
        <v>0</v>
      </c>
      <c r="AD30" s="124">
        <f t="shared" si="21"/>
        <v>0</v>
      </c>
      <c r="AE30" s="124">
        <f t="shared" si="21"/>
        <v>0</v>
      </c>
      <c r="AF30" s="124" t="e">
        <f t="shared" si="5"/>
        <v>#DIV/0!</v>
      </c>
      <c r="AG30" s="107"/>
      <c r="AH30" s="107"/>
      <c r="AI30" s="107"/>
      <c r="AJ30" s="107"/>
      <c r="AK30" s="124"/>
      <c r="AL30" s="124"/>
      <c r="AM30" s="124"/>
      <c r="AN30" s="107">
        <f t="shared" si="6"/>
        <v>0</v>
      </c>
      <c r="AO30" s="107">
        <f t="shared" si="17"/>
        <v>0</v>
      </c>
      <c r="AP30" s="107">
        <f t="shared" si="7"/>
        <v>0</v>
      </c>
      <c r="AQ30" s="107">
        <f t="shared" si="18"/>
        <v>0</v>
      </c>
    </row>
    <row r="31" spans="1:43" ht="18" customHeight="1" thickBot="1">
      <c r="A31" s="191">
        <f>'Current month'!A30</f>
        <v>44800</v>
      </c>
      <c r="B31" s="183">
        <f>'Current month'!B30</f>
        <v>0</v>
      </c>
      <c r="C31" s="183">
        <f>'Current month'!D30</f>
        <v>0</v>
      </c>
      <c r="D31" s="183">
        <f>'Current month'!G30</f>
        <v>0</v>
      </c>
      <c r="E31" s="183">
        <f>'Current month'!H30</f>
        <v>0</v>
      </c>
      <c r="F31" s="184">
        <f>'Current month'!W30</f>
        <v>0</v>
      </c>
      <c r="G31" s="183">
        <f>'Current month'!U30</f>
        <v>0</v>
      </c>
      <c r="H31" s="123"/>
      <c r="I31" s="164"/>
      <c r="J31" s="164"/>
      <c r="K31" s="164"/>
      <c r="L31" s="147"/>
      <c r="M31" s="186"/>
      <c r="N31" s="187">
        <f t="shared" si="19"/>
        <v>0</v>
      </c>
      <c r="O31" s="107">
        <f t="shared" si="8"/>
        <v>0</v>
      </c>
      <c r="P31" s="107">
        <f t="shared" si="0"/>
        <v>0</v>
      </c>
      <c r="Q31" s="188">
        <f t="shared" si="9"/>
        <v>0</v>
      </c>
      <c r="R31" s="189"/>
      <c r="S31" s="124">
        <f t="shared" si="20"/>
        <v>0</v>
      </c>
      <c r="T31" s="190">
        <f t="shared" si="20"/>
        <v>0</v>
      </c>
      <c r="U31" s="190" t="e">
        <f t="shared" si="10"/>
        <v>#DIV/0!</v>
      </c>
      <c r="V31" s="107">
        <f t="shared" si="2"/>
        <v>0</v>
      </c>
      <c r="W31" s="107">
        <f t="shared" si="11"/>
        <v>0</v>
      </c>
      <c r="X31" s="107">
        <f t="shared" si="12"/>
        <v>0</v>
      </c>
      <c r="Y31" s="107">
        <f t="shared" si="13"/>
        <v>0</v>
      </c>
      <c r="Z31" s="107">
        <f t="shared" si="3"/>
        <v>0</v>
      </c>
      <c r="AA31" s="107">
        <f t="shared" si="14"/>
        <v>0</v>
      </c>
      <c r="AB31" s="107">
        <f t="shared" si="15"/>
        <v>0</v>
      </c>
      <c r="AC31" s="107">
        <f t="shared" si="16"/>
        <v>0</v>
      </c>
      <c r="AD31" s="124">
        <f t="shared" si="21"/>
        <v>0</v>
      </c>
      <c r="AE31" s="124">
        <f t="shared" si="21"/>
        <v>0</v>
      </c>
      <c r="AF31" s="124" t="e">
        <f t="shared" si="5"/>
        <v>#DIV/0!</v>
      </c>
      <c r="AG31" s="107"/>
      <c r="AH31" s="107"/>
      <c r="AI31" s="107"/>
      <c r="AJ31" s="107"/>
      <c r="AK31" s="124"/>
      <c r="AL31" s="124"/>
      <c r="AM31" s="124"/>
      <c r="AN31" s="107">
        <f t="shared" si="6"/>
        <v>0</v>
      </c>
      <c r="AO31" s="107">
        <f t="shared" si="17"/>
        <v>0</v>
      </c>
      <c r="AP31" s="107">
        <f t="shared" si="7"/>
        <v>0</v>
      </c>
      <c r="AQ31" s="107">
        <f t="shared" si="18"/>
        <v>0</v>
      </c>
    </row>
    <row r="32" spans="1:43" ht="18" customHeight="1" thickBot="1">
      <c r="A32" s="191">
        <f>'Current month'!A31</f>
        <v>44801</v>
      </c>
      <c r="B32" s="183">
        <f>'Current month'!B31</f>
        <v>0</v>
      </c>
      <c r="C32" s="183">
        <f>'Current month'!D31</f>
        <v>0</v>
      </c>
      <c r="D32" s="183">
        <f>'Current month'!G31</f>
        <v>0</v>
      </c>
      <c r="E32" s="183">
        <f>'Current month'!H31</f>
        <v>0</v>
      </c>
      <c r="F32" s="184">
        <f>'Current month'!W31</f>
        <v>0</v>
      </c>
      <c r="G32" s="183">
        <f>'Current month'!U31</f>
        <v>0</v>
      </c>
      <c r="H32" s="123"/>
      <c r="I32" s="164"/>
      <c r="J32" s="164"/>
      <c r="K32" s="164"/>
      <c r="L32" s="147"/>
      <c r="M32" s="186"/>
      <c r="N32" s="187">
        <f t="shared" si="19"/>
        <v>0</v>
      </c>
      <c r="O32" s="107">
        <f t="shared" si="8"/>
        <v>0</v>
      </c>
      <c r="P32" s="107">
        <f t="shared" si="0"/>
        <v>0</v>
      </c>
      <c r="Q32" s="188">
        <f t="shared" si="9"/>
        <v>0</v>
      </c>
      <c r="R32" s="189"/>
      <c r="S32" s="124">
        <f t="shared" si="20"/>
        <v>0</v>
      </c>
      <c r="T32" s="190">
        <f t="shared" si="20"/>
        <v>0</v>
      </c>
      <c r="U32" s="190" t="e">
        <f t="shared" si="10"/>
        <v>#DIV/0!</v>
      </c>
      <c r="V32" s="107">
        <f t="shared" si="2"/>
        <v>0</v>
      </c>
      <c r="W32" s="107">
        <f t="shared" si="11"/>
        <v>0</v>
      </c>
      <c r="X32" s="107">
        <f t="shared" si="12"/>
        <v>0</v>
      </c>
      <c r="Y32" s="107">
        <f t="shared" si="13"/>
        <v>0</v>
      </c>
      <c r="Z32" s="107">
        <f t="shared" si="3"/>
        <v>0</v>
      </c>
      <c r="AA32" s="107">
        <f t="shared" si="14"/>
        <v>0</v>
      </c>
      <c r="AB32" s="107">
        <f t="shared" si="15"/>
        <v>0</v>
      </c>
      <c r="AC32" s="107">
        <f t="shared" si="16"/>
        <v>0</v>
      </c>
      <c r="AD32" s="124">
        <f t="shared" si="21"/>
        <v>0</v>
      </c>
      <c r="AE32" s="124">
        <f t="shared" si="21"/>
        <v>0</v>
      </c>
      <c r="AF32" s="124" t="e">
        <f t="shared" si="5"/>
        <v>#DIV/0!</v>
      </c>
      <c r="AG32" s="107"/>
      <c r="AH32" s="107"/>
      <c r="AI32" s="107"/>
      <c r="AJ32" s="107"/>
      <c r="AK32" s="124"/>
      <c r="AL32" s="124"/>
      <c r="AM32" s="124"/>
      <c r="AN32" s="107">
        <f t="shared" si="6"/>
        <v>0</v>
      </c>
      <c r="AO32" s="107">
        <f t="shared" si="17"/>
        <v>0</v>
      </c>
      <c r="AP32" s="107">
        <f t="shared" si="7"/>
        <v>0</v>
      </c>
      <c r="AQ32" s="107">
        <f t="shared" si="18"/>
        <v>0</v>
      </c>
    </row>
    <row r="33" spans="1:43" ht="18" customHeight="1" thickBot="1">
      <c r="A33" s="191">
        <f>'Current month'!A32</f>
        <v>44802</v>
      </c>
      <c r="B33" s="183">
        <f>'Current month'!B32</f>
        <v>0</v>
      </c>
      <c r="C33" s="183">
        <f>'Current month'!D32</f>
        <v>0</v>
      </c>
      <c r="D33" s="183">
        <f>'Current month'!G32</f>
        <v>0</v>
      </c>
      <c r="E33" s="183">
        <f>'Current month'!H32</f>
        <v>0</v>
      </c>
      <c r="F33" s="184">
        <f>'Current month'!W32</f>
        <v>0</v>
      </c>
      <c r="G33" s="183">
        <f>'Current month'!U32</f>
        <v>0</v>
      </c>
      <c r="H33" s="123"/>
      <c r="I33" s="164"/>
      <c r="J33" s="164"/>
      <c r="K33" s="164"/>
      <c r="L33" s="147"/>
      <c r="M33" s="186"/>
      <c r="N33" s="187">
        <f t="shared" si="19"/>
        <v>0</v>
      </c>
      <c r="O33" s="107">
        <f t="shared" si="8"/>
        <v>0</v>
      </c>
      <c r="P33" s="107">
        <f t="shared" si="0"/>
        <v>0</v>
      </c>
      <c r="Q33" s="188">
        <f t="shared" si="9"/>
        <v>0</v>
      </c>
      <c r="R33" s="189"/>
      <c r="S33" s="124">
        <f t="shared" si="20"/>
        <v>0</v>
      </c>
      <c r="T33" s="190">
        <f t="shared" si="20"/>
        <v>0</v>
      </c>
      <c r="U33" s="190" t="e">
        <f t="shared" si="10"/>
        <v>#DIV/0!</v>
      </c>
      <c r="V33" s="107">
        <f t="shared" si="2"/>
        <v>0</v>
      </c>
      <c r="W33" s="107">
        <f t="shared" si="11"/>
        <v>0</v>
      </c>
      <c r="X33" s="107">
        <f t="shared" si="12"/>
        <v>0</v>
      </c>
      <c r="Y33" s="107">
        <f t="shared" si="13"/>
        <v>0</v>
      </c>
      <c r="Z33" s="107">
        <f t="shared" si="3"/>
        <v>0</v>
      </c>
      <c r="AA33" s="107">
        <f t="shared" si="14"/>
        <v>0</v>
      </c>
      <c r="AB33" s="107">
        <f t="shared" si="15"/>
        <v>0</v>
      </c>
      <c r="AC33" s="107">
        <f t="shared" si="16"/>
        <v>0</v>
      </c>
      <c r="AD33" s="124">
        <f t="shared" si="21"/>
        <v>0</v>
      </c>
      <c r="AE33" s="124">
        <f t="shared" si="21"/>
        <v>0</v>
      </c>
      <c r="AF33" s="124" t="e">
        <f t="shared" si="5"/>
        <v>#DIV/0!</v>
      </c>
      <c r="AG33" s="107"/>
      <c r="AH33" s="107"/>
      <c r="AI33" s="107"/>
      <c r="AJ33" s="107"/>
      <c r="AK33" s="124"/>
      <c r="AL33" s="124"/>
      <c r="AM33" s="124"/>
      <c r="AN33" s="107">
        <f t="shared" si="6"/>
        <v>0</v>
      </c>
      <c r="AO33" s="107">
        <f t="shared" si="17"/>
        <v>0</v>
      </c>
      <c r="AP33" s="107">
        <f t="shared" si="7"/>
        <v>0</v>
      </c>
      <c r="AQ33" s="107">
        <f t="shared" si="18"/>
        <v>0</v>
      </c>
    </row>
    <row r="34" spans="1:43" ht="18" customHeight="1" thickBot="1">
      <c r="A34" s="191">
        <f>'Current month'!A33</f>
        <v>44803</v>
      </c>
      <c r="B34" s="183">
        <f>'Current month'!B33</f>
        <v>0</v>
      </c>
      <c r="C34" s="183">
        <f>'Current month'!D33</f>
        <v>0</v>
      </c>
      <c r="D34" s="183">
        <f>'Current month'!G33</f>
        <v>0</v>
      </c>
      <c r="E34" s="183">
        <f>'Current month'!H33</f>
        <v>0</v>
      </c>
      <c r="F34" s="184">
        <f>'Current month'!W33</f>
        <v>0</v>
      </c>
      <c r="G34" s="183">
        <f>'Current month'!U33</f>
        <v>0</v>
      </c>
      <c r="H34" s="123"/>
      <c r="I34" s="164"/>
      <c r="J34" s="164"/>
      <c r="K34" s="164"/>
      <c r="L34" s="147"/>
      <c r="M34" s="186"/>
      <c r="N34" s="187">
        <f t="shared" si="19"/>
        <v>0</v>
      </c>
      <c r="O34" s="107">
        <f t="shared" si="8"/>
        <v>0</v>
      </c>
      <c r="P34" s="107">
        <f t="shared" si="0"/>
        <v>0</v>
      </c>
      <c r="Q34" s="188">
        <f t="shared" si="9"/>
        <v>0</v>
      </c>
      <c r="R34" s="189"/>
      <c r="S34" s="124">
        <f t="shared" si="20"/>
        <v>0</v>
      </c>
      <c r="T34" s="190">
        <f t="shared" si="20"/>
        <v>0</v>
      </c>
      <c r="U34" s="190" t="e">
        <f t="shared" si="10"/>
        <v>#DIV/0!</v>
      </c>
      <c r="V34" s="107">
        <f t="shared" si="2"/>
        <v>0</v>
      </c>
      <c r="W34" s="107">
        <f t="shared" si="11"/>
        <v>0</v>
      </c>
      <c r="X34" s="107">
        <f t="shared" si="12"/>
        <v>0</v>
      </c>
      <c r="Y34" s="107">
        <f>X34-X33</f>
        <v>0</v>
      </c>
      <c r="Z34" s="107">
        <f t="shared" si="3"/>
        <v>0</v>
      </c>
      <c r="AA34" s="107">
        <f t="shared" si="14"/>
        <v>0</v>
      </c>
      <c r="AB34" s="107">
        <f t="shared" si="15"/>
        <v>0</v>
      </c>
      <c r="AC34" s="107">
        <f t="shared" si="16"/>
        <v>0</v>
      </c>
      <c r="AD34" s="124">
        <f t="shared" si="21"/>
        <v>0</v>
      </c>
      <c r="AE34" s="124">
        <f t="shared" si="21"/>
        <v>0</v>
      </c>
      <c r="AF34" s="124" t="e">
        <f t="shared" si="5"/>
        <v>#DIV/0!</v>
      </c>
      <c r="AG34" s="107"/>
      <c r="AH34" s="107"/>
      <c r="AI34" s="107"/>
      <c r="AJ34" s="107"/>
      <c r="AK34" s="124"/>
      <c r="AL34" s="124"/>
      <c r="AM34" s="124"/>
      <c r="AN34" s="107">
        <f t="shared" si="6"/>
        <v>0</v>
      </c>
      <c r="AO34" s="107">
        <f t="shared" si="17"/>
        <v>0</v>
      </c>
      <c r="AP34" s="107">
        <f t="shared" si="7"/>
        <v>0</v>
      </c>
      <c r="AQ34" s="107">
        <f t="shared" si="18"/>
        <v>0</v>
      </c>
    </row>
    <row r="35" spans="1:43" s="167" customFormat="1" ht="18" customHeight="1" thickBot="1">
      <c r="A35" s="191" t="e">
        <f>'Current month'!#REF!</f>
        <v>#REF!</v>
      </c>
      <c r="B35" s="183" t="e">
        <f>'Current month'!#REF!</f>
        <v>#REF!</v>
      </c>
      <c r="C35" s="183" t="e">
        <f>'Current month'!#REF!</f>
        <v>#REF!</v>
      </c>
      <c r="D35" s="183" t="e">
        <f>'Current month'!#REF!</f>
        <v>#REF!</v>
      </c>
      <c r="E35" s="183" t="e">
        <f>'Current month'!#REF!</f>
        <v>#REF!</v>
      </c>
      <c r="F35" s="184" t="e">
        <f>'Current month'!#REF!</f>
        <v>#REF!</v>
      </c>
      <c r="G35" s="183" t="e">
        <f>'Current month'!#REF!</f>
        <v>#REF!</v>
      </c>
      <c r="H35" s="123"/>
      <c r="I35" s="164"/>
      <c r="J35" s="164"/>
      <c r="K35" s="164"/>
      <c r="L35" s="147"/>
      <c r="M35" s="186"/>
      <c r="N35" s="187" t="e">
        <f>B35</f>
        <v>#REF!</v>
      </c>
      <c r="O35" s="107" t="e">
        <f>N35-N34</f>
        <v>#REF!</v>
      </c>
      <c r="P35" s="107" t="e">
        <f>C35</f>
        <v>#REF!</v>
      </c>
      <c r="Q35" s="188" t="e">
        <f>P35-P34</f>
        <v>#REF!</v>
      </c>
      <c r="R35" s="189"/>
      <c r="S35" s="124" t="e">
        <f>D35</f>
        <v>#REF!</v>
      </c>
      <c r="T35" s="190" t="e">
        <f>E35</f>
        <v>#REF!</v>
      </c>
      <c r="U35" s="190" t="e">
        <f>Q35/O35</f>
        <v>#REF!</v>
      </c>
      <c r="V35" s="107" t="e">
        <f>F35</f>
        <v>#REF!</v>
      </c>
      <c r="W35" s="107" t="e">
        <f>V35-V34</f>
        <v>#REF!</v>
      </c>
      <c r="X35" s="107" t="e">
        <f>G35</f>
        <v>#REF!</v>
      </c>
      <c r="Y35" s="107" t="e">
        <f>X35-X34</f>
        <v>#REF!</v>
      </c>
      <c r="Z35" s="107">
        <f t="shared" si="3"/>
        <v>0</v>
      </c>
      <c r="AA35" s="107">
        <f t="shared" si="14"/>
        <v>0</v>
      </c>
      <c r="AB35" s="107">
        <f t="shared" si="15"/>
        <v>0</v>
      </c>
      <c r="AC35" s="107">
        <f t="shared" si="16"/>
        <v>0</v>
      </c>
      <c r="AD35" s="124">
        <f t="shared" si="21"/>
        <v>0</v>
      </c>
      <c r="AE35" s="124">
        <f t="shared" si="21"/>
        <v>0</v>
      </c>
      <c r="AF35" s="124" t="e">
        <f t="shared" si="5"/>
        <v>#DIV/0!</v>
      </c>
      <c r="AG35" s="107"/>
      <c r="AH35" s="107"/>
      <c r="AI35" s="107"/>
      <c r="AJ35" s="107"/>
      <c r="AK35" s="124"/>
      <c r="AL35" s="124"/>
      <c r="AM35" s="124"/>
      <c r="AN35" s="107">
        <f t="shared" si="6"/>
        <v>0</v>
      </c>
      <c r="AO35" s="107">
        <f t="shared" si="17"/>
        <v>0</v>
      </c>
      <c r="AP35" s="107">
        <f t="shared" si="7"/>
        <v>0</v>
      </c>
      <c r="AQ35" s="107">
        <f t="shared" si="18"/>
        <v>0</v>
      </c>
    </row>
    <row r="36" spans="1:43" ht="18" customHeight="1" thickBot="1">
      <c r="A36" s="191"/>
      <c r="B36" s="192"/>
      <c r="C36" s="192"/>
      <c r="D36" s="192"/>
      <c r="E36" s="193"/>
      <c r="F36" s="192"/>
      <c r="G36" s="192"/>
      <c r="H36" s="194"/>
      <c r="I36" s="194"/>
      <c r="J36" s="194"/>
      <c r="K36" s="194"/>
      <c r="L36" s="194"/>
      <c r="M36" s="195"/>
      <c r="N36" s="187"/>
      <c r="O36" s="107"/>
      <c r="P36" s="107"/>
      <c r="Q36" s="188"/>
      <c r="R36" s="98">
        <f>D36</f>
        <v>0</v>
      </c>
      <c r="S36" s="124"/>
      <c r="T36" s="190"/>
      <c r="U36" s="190"/>
      <c r="V36" s="107"/>
      <c r="W36" s="107"/>
      <c r="X36" s="107"/>
      <c r="Y36" s="107"/>
      <c r="Z36" s="107">
        <f t="shared" si="3"/>
        <v>0</v>
      </c>
      <c r="AA36" s="107"/>
      <c r="AB36" s="107">
        <f t="shared" si="15"/>
        <v>0</v>
      </c>
      <c r="AC36" s="107"/>
      <c r="AD36" s="124">
        <f>J36</f>
        <v>0</v>
      </c>
      <c r="AE36" s="124">
        <f>K36</f>
        <v>0</v>
      </c>
      <c r="AF36" s="124"/>
      <c r="AG36" s="198"/>
      <c r="AH36" s="198"/>
      <c r="AI36" s="198"/>
      <c r="AJ36" s="198"/>
      <c r="AK36" s="198"/>
      <c r="AL36" s="198"/>
      <c r="AM36" s="199">
        <f>L36</f>
        <v>0</v>
      </c>
      <c r="AN36" s="107">
        <f t="shared" si="6"/>
        <v>0</v>
      </c>
      <c r="AO36" s="107"/>
      <c r="AP36" s="107">
        <f t="shared" si="7"/>
        <v>0</v>
      </c>
      <c r="AQ36" s="107"/>
    </row>
    <row r="37" spans="1:43" ht="18" customHeight="1">
      <c r="A37" s="200"/>
      <c r="B37" s="201"/>
      <c r="C37" s="201"/>
      <c r="D37" s="201"/>
      <c r="E37" s="201"/>
      <c r="F37" s="201"/>
      <c r="G37" s="201"/>
      <c r="H37" s="201"/>
      <c r="I37" s="201"/>
      <c r="J37" s="202"/>
      <c r="K37" s="202"/>
      <c r="L37" s="201"/>
      <c r="M37" s="201"/>
      <c r="N37" s="102"/>
      <c r="O37" s="107" t="e">
        <f>SUM(O5:O36)</f>
        <v>#REF!</v>
      </c>
      <c r="P37" s="107"/>
      <c r="Q37" s="107" t="e">
        <f>SUM(Q5:Q36)</f>
        <v>#REF!</v>
      </c>
      <c r="R37" s="189"/>
      <c r="S37" s="107" t="e">
        <f>MAX(S4:S36)</f>
        <v>#REF!</v>
      </c>
      <c r="T37" s="107" t="e">
        <f>MAX(T4:T36)</f>
        <v>#REF!</v>
      </c>
      <c r="U37" s="190"/>
      <c r="V37" s="203"/>
      <c r="W37" s="107" t="e">
        <f>SUM(W5:W36)</f>
        <v>#REF!</v>
      </c>
      <c r="X37" s="203"/>
      <c r="Y37" s="107" t="e">
        <f>SUM(Y5:Y36)</f>
        <v>#REF!</v>
      </c>
      <c r="Z37" s="107"/>
      <c r="AA37" s="107">
        <f>SUM(AA4:AA36)</f>
        <v>2789392</v>
      </c>
      <c r="AB37" s="107"/>
      <c r="AC37" s="107">
        <f>SUM(AC4:AC36)</f>
        <v>2392821</v>
      </c>
      <c r="AD37" s="107">
        <f>MAX(AD4:AD36)</f>
        <v>111</v>
      </c>
      <c r="AE37" s="107">
        <f>MAX(AE4:AE36)</f>
        <v>114</v>
      </c>
      <c r="AF37" s="124">
        <f t="shared" si="5"/>
        <v>0.85782887453609957</v>
      </c>
      <c r="AG37" s="107"/>
      <c r="AH37" s="107"/>
      <c r="AI37" s="107"/>
      <c r="AJ37" s="107"/>
      <c r="AK37" s="124"/>
      <c r="AL37" s="124"/>
      <c r="AM37" s="124"/>
      <c r="AN37" s="203"/>
      <c r="AO37" s="107">
        <f>SUM(AO4:AO36)</f>
        <v>41227</v>
      </c>
      <c r="AP37" s="203"/>
      <c r="AQ37" s="107">
        <f>SUM(AQ4:AQ36)</f>
        <v>32631</v>
      </c>
    </row>
    <row r="38" spans="1:43" ht="18" customHeight="1" thickBot="1"/>
    <row r="39" spans="1:43" ht="18" customHeight="1">
      <c r="A39" s="205" t="s">
        <v>26</v>
      </c>
      <c r="B39" s="206" t="s">
        <v>20</v>
      </c>
      <c r="C39" s="207" t="e">
        <f>O37</f>
        <v>#REF!</v>
      </c>
      <c r="D39" s="90"/>
      <c r="E39" s="90"/>
      <c r="F39" s="90"/>
      <c r="G39" s="90"/>
      <c r="H39" s="90"/>
      <c r="I39" s="90"/>
      <c r="J39" s="208"/>
      <c r="K39" s="208"/>
      <c r="L39" s="90"/>
      <c r="M39" s="90"/>
    </row>
    <row r="40" spans="1:43" ht="18" customHeight="1">
      <c r="A40" s="209"/>
      <c r="B40" s="181" t="s">
        <v>16</v>
      </c>
      <c r="C40" s="210" t="e">
        <f>Q37</f>
        <v>#REF!</v>
      </c>
      <c r="D40" s="90"/>
      <c r="E40" s="90"/>
      <c r="F40" s="90"/>
      <c r="G40" s="90"/>
      <c r="H40" s="90"/>
      <c r="I40" s="90"/>
      <c r="J40" s="208" t="s">
        <v>27</v>
      </c>
      <c r="K40" s="208"/>
      <c r="L40" s="90"/>
      <c r="M40" s="90"/>
      <c r="AB40" s="90" t="s">
        <v>27</v>
      </c>
    </row>
    <row r="41" spans="1:43" ht="18" customHeight="1">
      <c r="A41" s="209"/>
      <c r="B41" s="181" t="s">
        <v>23</v>
      </c>
      <c r="C41" s="211">
        <v>1222</v>
      </c>
      <c r="D41" s="90"/>
      <c r="E41" s="90"/>
      <c r="F41" s="90"/>
      <c r="G41" s="90"/>
      <c r="H41" s="90"/>
      <c r="I41" s="90"/>
      <c r="J41" s="208"/>
      <c r="K41" s="208"/>
      <c r="L41" s="90"/>
      <c r="M41" s="90"/>
      <c r="AC41" s="90" t="s">
        <v>27</v>
      </c>
    </row>
    <row r="42" spans="1:43" ht="18" customHeight="1">
      <c r="A42" s="209"/>
      <c r="B42" s="181" t="s">
        <v>24</v>
      </c>
      <c r="C42" s="211" t="e">
        <f>MAX(E4:E35)</f>
        <v>#REF!</v>
      </c>
      <c r="D42" s="90"/>
      <c r="E42" s="90"/>
      <c r="F42" s="90"/>
      <c r="G42" s="90"/>
      <c r="H42" s="90"/>
      <c r="I42" s="90"/>
      <c r="J42" s="208"/>
      <c r="K42" s="208"/>
      <c r="L42" s="90"/>
      <c r="M42" s="90"/>
    </row>
    <row r="43" spans="1:43" ht="18" customHeight="1">
      <c r="A43" s="209" t="s">
        <v>28</v>
      </c>
      <c r="B43" s="181" t="s">
        <v>16</v>
      </c>
      <c r="C43" s="211" t="e">
        <f>W37</f>
        <v>#REF!</v>
      </c>
      <c r="D43" s="90"/>
      <c r="E43" s="90"/>
      <c r="F43" s="90"/>
      <c r="G43" s="90"/>
      <c r="H43" s="90"/>
      <c r="I43" s="90"/>
      <c r="J43" s="208"/>
      <c r="K43" s="208"/>
      <c r="L43" s="90"/>
      <c r="M43" s="90"/>
    </row>
    <row r="44" spans="1:43" ht="18" customHeight="1">
      <c r="A44" s="209" t="s">
        <v>5</v>
      </c>
      <c r="B44" s="181" t="s">
        <v>16</v>
      </c>
      <c r="C44" s="211" t="e">
        <f>Y37</f>
        <v>#REF!</v>
      </c>
      <c r="D44" s="90"/>
      <c r="E44" s="90"/>
      <c r="F44" s="90"/>
      <c r="H44" s="90"/>
      <c r="I44" s="90"/>
      <c r="J44" s="208"/>
      <c r="K44" s="208"/>
      <c r="L44" s="90"/>
      <c r="M44" s="90"/>
    </row>
    <row r="45" spans="1:43" ht="18" hidden="1" customHeight="1">
      <c r="A45" s="209" t="s">
        <v>29</v>
      </c>
      <c r="B45" s="181" t="s">
        <v>20</v>
      </c>
      <c r="C45" s="210">
        <f>AA37</f>
        <v>2789392</v>
      </c>
      <c r="D45" s="90"/>
      <c r="E45" s="90"/>
      <c r="F45" s="90"/>
      <c r="G45" s="90"/>
      <c r="H45" s="90"/>
      <c r="I45" s="90"/>
      <c r="J45" s="208"/>
      <c r="K45" s="208"/>
      <c r="L45" s="90"/>
      <c r="M45" s="90"/>
    </row>
    <row r="46" spans="1:43" ht="18" hidden="1" customHeight="1">
      <c r="A46" s="209"/>
      <c r="B46" s="181" t="s">
        <v>16</v>
      </c>
      <c r="C46" s="210">
        <f>AC37</f>
        <v>2392821</v>
      </c>
      <c r="D46" s="90"/>
      <c r="E46" s="90"/>
      <c r="F46" s="90"/>
      <c r="G46" s="90"/>
      <c r="H46" s="90"/>
      <c r="I46" s="90"/>
      <c r="J46" s="208"/>
      <c r="K46" s="208"/>
      <c r="L46" s="90"/>
      <c r="M46" s="90"/>
    </row>
    <row r="47" spans="1:43" ht="18" hidden="1" customHeight="1">
      <c r="A47" s="209"/>
      <c r="B47" s="181" t="s">
        <v>23</v>
      </c>
      <c r="C47" s="211">
        <f>MAX(J4:J35)</f>
        <v>111</v>
      </c>
      <c r="D47" s="90"/>
      <c r="E47" s="90"/>
      <c r="F47" s="90"/>
      <c r="G47" s="90"/>
      <c r="H47" s="90"/>
      <c r="I47" s="90"/>
      <c r="J47" s="208"/>
      <c r="K47" s="208"/>
      <c r="L47" s="90"/>
      <c r="M47" s="90"/>
    </row>
    <row r="48" spans="1:43" ht="18" hidden="1" customHeight="1">
      <c r="A48" s="209"/>
      <c r="B48" s="181" t="s">
        <v>24</v>
      </c>
      <c r="C48" s="211">
        <f>MAX(K4:K35)</f>
        <v>114</v>
      </c>
      <c r="D48" s="90"/>
      <c r="E48" s="90"/>
      <c r="F48" s="90"/>
      <c r="G48" s="90"/>
      <c r="H48" s="90"/>
      <c r="I48" s="90"/>
      <c r="J48" s="208"/>
      <c r="K48" s="208"/>
      <c r="L48" s="90"/>
      <c r="M48" s="90"/>
    </row>
    <row r="49" spans="1:13" ht="18" hidden="1" customHeight="1">
      <c r="A49" s="209" t="s">
        <v>7</v>
      </c>
      <c r="B49" s="181" t="s">
        <v>16</v>
      </c>
      <c r="C49" s="210">
        <f>AO37</f>
        <v>41227</v>
      </c>
      <c r="D49" s="90"/>
      <c r="E49" s="90"/>
      <c r="F49" s="90"/>
      <c r="G49" s="90"/>
      <c r="H49" s="90"/>
      <c r="I49" s="90"/>
      <c r="J49" s="208"/>
      <c r="K49" s="208"/>
      <c r="L49" s="90"/>
      <c r="M49" s="90"/>
    </row>
    <row r="50" spans="1:13" ht="18" hidden="1" customHeight="1" thickBot="1">
      <c r="A50" s="81" t="s">
        <v>30</v>
      </c>
      <c r="B50" s="212" t="s">
        <v>16</v>
      </c>
      <c r="C50" s="213">
        <f>AQ37</f>
        <v>32631</v>
      </c>
      <c r="D50" s="90"/>
      <c r="E50" s="90"/>
      <c r="F50" s="90"/>
      <c r="G50" s="90"/>
      <c r="H50" s="90"/>
      <c r="I50" s="90"/>
      <c r="J50" s="208"/>
      <c r="K50" s="208"/>
      <c r="L50" s="90"/>
      <c r="M50" s="90"/>
    </row>
    <row r="51" spans="1:13" ht="18" customHeight="1">
      <c r="K51" s="208"/>
    </row>
    <row r="52" spans="1:13" ht="18" customHeight="1">
      <c r="K52" s="208"/>
    </row>
    <row r="53" spans="1:13" ht="18" customHeight="1">
      <c r="K53" s="208"/>
    </row>
    <row r="54" spans="1:13" ht="18" customHeight="1">
      <c r="K54" s="208"/>
    </row>
    <row r="55" spans="1:13" ht="18" customHeight="1">
      <c r="K55" s="208"/>
    </row>
    <row r="56" spans="1:13" ht="18" customHeight="1">
      <c r="K56" s="208"/>
    </row>
    <row r="57" spans="1:13" ht="18" customHeight="1">
      <c r="K57" s="208"/>
    </row>
    <row r="58" spans="1:13" ht="18" customHeight="1">
      <c r="K58" s="208"/>
    </row>
    <row r="59" spans="1:13" ht="18" customHeight="1">
      <c r="K59" s="208"/>
    </row>
    <row r="60" spans="1:13" ht="18" customHeight="1">
      <c r="K60" s="208"/>
    </row>
    <row r="61" spans="1:13" ht="18" customHeight="1">
      <c r="K61" s="208"/>
    </row>
    <row r="62" spans="1:13" ht="18" customHeight="1">
      <c r="K62" s="208"/>
    </row>
    <row r="63" spans="1:13" ht="18" customHeight="1">
      <c r="K63" s="208"/>
    </row>
    <row r="64" spans="1:13" ht="18" customHeight="1">
      <c r="K64" s="208"/>
    </row>
    <row r="65" spans="11:11" ht="18" customHeight="1">
      <c r="K65" s="208"/>
    </row>
    <row r="66" spans="11:11" ht="18" customHeight="1">
      <c r="K66" s="208"/>
    </row>
    <row r="67" spans="11:11" ht="18" customHeight="1">
      <c r="K67" s="208"/>
    </row>
    <row r="68" spans="11:11" ht="18" customHeight="1">
      <c r="K68" s="208"/>
    </row>
    <row r="69" spans="11:11" ht="18" customHeight="1">
      <c r="K69" s="208"/>
    </row>
    <row r="70" spans="11:11" ht="18" customHeight="1">
      <c r="K70" s="208"/>
    </row>
    <row r="71" spans="11:11" ht="18" customHeight="1">
      <c r="K71" s="208"/>
    </row>
    <row r="72" spans="11:11" ht="18" customHeight="1">
      <c r="K72" s="208"/>
    </row>
  </sheetData>
  <sheetProtection sheet="1" objects="1" scenarios="1"/>
  <mergeCells count="9">
    <mergeCell ref="AG2:AM2"/>
    <mergeCell ref="AN2:AO2"/>
    <mergeCell ref="AP2:AQ2"/>
    <mergeCell ref="B2:E2"/>
    <mergeCell ref="H2:K2"/>
    <mergeCell ref="N2:U2"/>
    <mergeCell ref="V2:W2"/>
    <mergeCell ref="X2:Y2"/>
    <mergeCell ref="Z2:AF2"/>
  </mergeCells>
  <conditionalFormatting sqref="B4:K35">
    <cfRule type="cellIs" dxfId="7086" priority="2889" operator="lessThan">
      <formula>0</formula>
    </cfRule>
  </conditionalFormatting>
  <conditionalFormatting sqref="B33:B35">
    <cfRule type="cellIs" dxfId="7085" priority="2888" operator="lessThan">
      <formula>0</formula>
    </cfRule>
  </conditionalFormatting>
  <conditionalFormatting sqref="C33:C35">
    <cfRule type="cellIs" dxfId="7084" priority="2887" operator="lessThan">
      <formula>0</formula>
    </cfRule>
  </conditionalFormatting>
  <conditionalFormatting sqref="D33:D35">
    <cfRule type="cellIs" dxfId="7083" priority="2886" operator="lessThan">
      <formula>0</formula>
    </cfRule>
  </conditionalFormatting>
  <conditionalFormatting sqref="F33:F35">
    <cfRule type="cellIs" dxfId="7082" priority="2885" operator="lessThan">
      <formula>0</formula>
    </cfRule>
  </conditionalFormatting>
  <conditionalFormatting sqref="G33:G35">
    <cfRule type="cellIs" dxfId="7081" priority="2884" operator="lessThan">
      <formula>0</formula>
    </cfRule>
  </conditionalFormatting>
  <conditionalFormatting sqref="H33:H35">
    <cfRule type="cellIs" dxfId="7080" priority="2883" operator="lessThan">
      <formula>0</formula>
    </cfRule>
  </conditionalFormatting>
  <conditionalFormatting sqref="I33:I35">
    <cfRule type="cellIs" dxfId="7079" priority="2882" operator="lessThan">
      <formula>0</formula>
    </cfRule>
  </conditionalFormatting>
  <conditionalFormatting sqref="J33:J35">
    <cfRule type="cellIs" dxfId="7078" priority="2881" operator="lessThan">
      <formula>0</formula>
    </cfRule>
  </conditionalFormatting>
  <conditionalFormatting sqref="B4:B35">
    <cfRule type="cellIs" dxfId="7077" priority="2880" operator="lessThan">
      <formula>0</formula>
    </cfRule>
  </conditionalFormatting>
  <conditionalFormatting sqref="C4:C35">
    <cfRule type="cellIs" dxfId="7076" priority="2875" operator="lessThan">
      <formula>0</formula>
    </cfRule>
  </conditionalFormatting>
  <conditionalFormatting sqref="D4:D35">
    <cfRule type="cellIs" dxfId="7075" priority="2870" operator="lessThan">
      <formula>0</formula>
    </cfRule>
  </conditionalFormatting>
  <conditionalFormatting sqref="F4:F35">
    <cfRule type="cellIs" dxfId="7074" priority="2866" operator="lessThan">
      <formula>0</formula>
    </cfRule>
  </conditionalFormatting>
  <conditionalFormatting sqref="G4:G35">
    <cfRule type="cellIs" dxfId="7073" priority="2862" operator="lessThan">
      <formula>0</formula>
    </cfRule>
  </conditionalFormatting>
  <conditionalFormatting sqref="H4:H35">
    <cfRule type="cellIs" dxfId="7072" priority="2858" operator="lessThan">
      <formula>0</formula>
    </cfRule>
  </conditionalFormatting>
  <conditionalFormatting sqref="I4:I35">
    <cfRule type="cellIs" dxfId="7071" priority="2854" operator="lessThan">
      <formula>0</formula>
    </cfRule>
  </conditionalFormatting>
  <conditionalFormatting sqref="J4:J35">
    <cfRule type="cellIs" dxfId="7070" priority="2850" operator="lessThan">
      <formula>0</formula>
    </cfRule>
  </conditionalFormatting>
  <conditionalFormatting sqref="E4:E35">
    <cfRule type="cellIs" dxfId="7069" priority="2846" operator="lessThan">
      <formula>0</formula>
    </cfRule>
  </conditionalFormatting>
  <conditionalFormatting sqref="B4:B35">
    <cfRule type="cellIs" dxfId="7068" priority="2845" operator="lessThan">
      <formula>0</formula>
    </cfRule>
  </conditionalFormatting>
  <conditionalFormatting sqref="C4:C35">
    <cfRule type="cellIs" dxfId="7067" priority="2844" operator="lessThan">
      <formula>0</formula>
    </cfRule>
  </conditionalFormatting>
  <conditionalFormatting sqref="D4:D35">
    <cfRule type="cellIs" dxfId="7066" priority="2843" operator="lessThan">
      <formula>0</formula>
    </cfRule>
  </conditionalFormatting>
  <conditionalFormatting sqref="F4:F35">
    <cfRule type="cellIs" dxfId="7065" priority="2842" operator="lessThan">
      <formula>0</formula>
    </cfRule>
  </conditionalFormatting>
  <conditionalFormatting sqref="G4:G35">
    <cfRule type="cellIs" dxfId="7064" priority="2841" operator="lessThan">
      <formula>0</formula>
    </cfRule>
  </conditionalFormatting>
  <conditionalFormatting sqref="H4">
    <cfRule type="cellIs" dxfId="7063" priority="2840" operator="lessThan">
      <formula>0</formula>
    </cfRule>
  </conditionalFormatting>
  <conditionalFormatting sqref="I4">
    <cfRule type="cellIs" dxfId="7062" priority="2839" operator="lessThan">
      <formula>0</formula>
    </cfRule>
  </conditionalFormatting>
  <conditionalFormatting sqref="J4">
    <cfRule type="cellIs" dxfId="7061" priority="2838" operator="lessThan">
      <formula>0</formula>
    </cfRule>
  </conditionalFormatting>
  <conditionalFormatting sqref="H4:H30">
    <cfRule type="cellIs" dxfId="7060" priority="2837" operator="lessThan">
      <formula>0</formula>
    </cfRule>
  </conditionalFormatting>
  <conditionalFormatting sqref="I4:I30">
    <cfRule type="cellIs" dxfId="7059" priority="2836" operator="lessThan">
      <formula>0</formula>
    </cfRule>
  </conditionalFormatting>
  <conditionalFormatting sqref="J4:J35">
    <cfRule type="cellIs" dxfId="7058" priority="2835" operator="lessThan">
      <formula>0</formula>
    </cfRule>
  </conditionalFormatting>
  <conditionalFormatting sqref="F4:F35">
    <cfRule type="cellIs" dxfId="7057" priority="2834" operator="lessThan">
      <formula>0</formula>
    </cfRule>
  </conditionalFormatting>
  <conditionalFormatting sqref="G4:G35">
    <cfRule type="cellIs" dxfId="7056" priority="2833" operator="lessThan">
      <formula>0</formula>
    </cfRule>
  </conditionalFormatting>
  <conditionalFormatting sqref="D4:D35">
    <cfRule type="cellIs" dxfId="7055" priority="2832" operator="lessThan">
      <formula>0</formula>
    </cfRule>
  </conditionalFormatting>
  <conditionalFormatting sqref="C4:C35">
    <cfRule type="cellIs" dxfId="7054" priority="2831" operator="lessThan">
      <formula>0</formula>
    </cfRule>
  </conditionalFormatting>
  <conditionalFormatting sqref="B4:B35">
    <cfRule type="cellIs" dxfId="7053" priority="2830" operator="lessThan">
      <formula>0</formula>
    </cfRule>
  </conditionalFormatting>
  <conditionalFormatting sqref="D4:E35">
    <cfRule type="cellIs" dxfId="7052" priority="2829" operator="lessThan">
      <formula>0</formula>
    </cfRule>
  </conditionalFormatting>
  <conditionalFormatting sqref="B4:B35">
    <cfRule type="cellIs" dxfId="7051" priority="2828" operator="lessThan">
      <formula>0</formula>
    </cfRule>
  </conditionalFormatting>
  <conditionalFormatting sqref="C4:C35">
    <cfRule type="cellIs" dxfId="7050" priority="2827" operator="lessThan">
      <formula>0</formula>
    </cfRule>
  </conditionalFormatting>
  <conditionalFormatting sqref="D4:D35">
    <cfRule type="cellIs" dxfId="7049" priority="2826" operator="lessThan">
      <formula>0</formula>
    </cfRule>
  </conditionalFormatting>
  <conditionalFormatting sqref="F4:F35">
    <cfRule type="cellIs" dxfId="7048" priority="2825" operator="lessThan">
      <formula>0</formula>
    </cfRule>
  </conditionalFormatting>
  <conditionalFormatting sqref="G4:G35">
    <cfRule type="cellIs" dxfId="7047" priority="2824" operator="lessThan">
      <formula>0</formula>
    </cfRule>
  </conditionalFormatting>
  <conditionalFormatting sqref="H4">
    <cfRule type="cellIs" dxfId="7046" priority="2823" operator="lessThan">
      <formula>0</formula>
    </cfRule>
  </conditionalFormatting>
  <conditionalFormatting sqref="I4">
    <cfRule type="cellIs" dxfId="7045" priority="2822" operator="lessThan">
      <formula>0</formula>
    </cfRule>
  </conditionalFormatting>
  <conditionalFormatting sqref="J4">
    <cfRule type="cellIs" dxfId="7044" priority="2821" operator="lessThan">
      <formula>0</formula>
    </cfRule>
  </conditionalFormatting>
  <conditionalFormatting sqref="B4:B35">
    <cfRule type="cellIs" dxfId="7043" priority="2820" operator="lessThan">
      <formula>0</formula>
    </cfRule>
  </conditionalFormatting>
  <conditionalFormatting sqref="B4:B35">
    <cfRule type="cellIs" dxfId="7042" priority="2819" operator="lessThan">
      <formula>0</formula>
    </cfRule>
  </conditionalFormatting>
  <conditionalFormatting sqref="B4:B35">
    <cfRule type="cellIs" dxfId="7041" priority="2818" operator="lessThan">
      <formula>0</formula>
    </cfRule>
  </conditionalFormatting>
  <conditionalFormatting sqref="B4:B35">
    <cfRule type="cellIs" dxfId="7040" priority="2817" operator="lessThan">
      <formula>0</formula>
    </cfRule>
  </conditionalFormatting>
  <conditionalFormatting sqref="B4:B35">
    <cfRule type="cellIs" dxfId="7039" priority="2816" operator="lessThan">
      <formula>0</formula>
    </cfRule>
  </conditionalFormatting>
  <conditionalFormatting sqref="C4:C35">
    <cfRule type="cellIs" dxfId="7038" priority="2815" operator="lessThan">
      <formula>0</formula>
    </cfRule>
  </conditionalFormatting>
  <conditionalFormatting sqref="C4:C35">
    <cfRule type="cellIs" dxfId="7037" priority="2814" operator="lessThan">
      <formula>0</formula>
    </cfRule>
  </conditionalFormatting>
  <conditionalFormatting sqref="C4:C35">
    <cfRule type="cellIs" dxfId="7036" priority="2813" operator="lessThan">
      <formula>0</formula>
    </cfRule>
  </conditionalFormatting>
  <conditionalFormatting sqref="C4:C35">
    <cfRule type="cellIs" dxfId="7035" priority="2812" operator="lessThan">
      <formula>0</formula>
    </cfRule>
  </conditionalFormatting>
  <conditionalFormatting sqref="C4:C35">
    <cfRule type="cellIs" dxfId="7034" priority="2811" operator="lessThan">
      <formula>0</formula>
    </cfRule>
  </conditionalFormatting>
  <conditionalFormatting sqref="D4:D35">
    <cfRule type="cellIs" dxfId="7033" priority="2810" operator="lessThan">
      <formula>0</formula>
    </cfRule>
  </conditionalFormatting>
  <conditionalFormatting sqref="D4:D35">
    <cfRule type="cellIs" dxfId="7032" priority="2809" operator="lessThan">
      <formula>0</formula>
    </cfRule>
  </conditionalFormatting>
  <conditionalFormatting sqref="D4:D35">
    <cfRule type="cellIs" dxfId="7031" priority="2808" operator="lessThan">
      <formula>0</formula>
    </cfRule>
  </conditionalFormatting>
  <conditionalFormatting sqref="D4:D35">
    <cfRule type="cellIs" dxfId="7030" priority="2807" operator="lessThan">
      <formula>0</formula>
    </cfRule>
  </conditionalFormatting>
  <conditionalFormatting sqref="F4:F35">
    <cfRule type="cellIs" dxfId="7029" priority="2806" operator="lessThan">
      <formula>0</formula>
    </cfRule>
  </conditionalFormatting>
  <conditionalFormatting sqref="F4:F35">
    <cfRule type="cellIs" dxfId="7028" priority="2805" operator="lessThan">
      <formula>0</formula>
    </cfRule>
  </conditionalFormatting>
  <conditionalFormatting sqref="F4:F35">
    <cfRule type="cellIs" dxfId="7027" priority="2804" operator="lessThan">
      <formula>0</formula>
    </cfRule>
  </conditionalFormatting>
  <conditionalFormatting sqref="F4:F35">
    <cfRule type="cellIs" dxfId="7026" priority="2803" operator="lessThan">
      <formula>0</formula>
    </cfRule>
  </conditionalFormatting>
  <conditionalFormatting sqref="G4:G35">
    <cfRule type="cellIs" dxfId="7025" priority="2802" operator="lessThan">
      <formula>0</formula>
    </cfRule>
  </conditionalFormatting>
  <conditionalFormatting sqref="G4:G35">
    <cfRule type="cellIs" dxfId="7024" priority="2801" operator="lessThan">
      <formula>0</formula>
    </cfRule>
  </conditionalFormatting>
  <conditionalFormatting sqref="G4:G35">
    <cfRule type="cellIs" dxfId="7023" priority="2800" operator="lessThan">
      <formula>0</formula>
    </cfRule>
  </conditionalFormatting>
  <conditionalFormatting sqref="G4:G35">
    <cfRule type="cellIs" dxfId="7022" priority="2799" operator="lessThan">
      <formula>0</formula>
    </cfRule>
  </conditionalFormatting>
  <conditionalFormatting sqref="H4">
    <cfRule type="cellIs" dxfId="7021" priority="2798" operator="lessThan">
      <formula>0</formula>
    </cfRule>
  </conditionalFormatting>
  <conditionalFormatting sqref="H4">
    <cfRule type="cellIs" dxfId="7020" priority="2797" operator="lessThan">
      <formula>0</formula>
    </cfRule>
  </conditionalFormatting>
  <conditionalFormatting sqref="H4">
    <cfRule type="cellIs" dxfId="7019" priority="2796" operator="lessThan">
      <formula>0</formula>
    </cfRule>
  </conditionalFormatting>
  <conditionalFormatting sqref="H4">
    <cfRule type="cellIs" dxfId="7018" priority="2795" operator="lessThan">
      <formula>0</formula>
    </cfRule>
  </conditionalFormatting>
  <conditionalFormatting sqref="I4">
    <cfRule type="cellIs" dxfId="7017" priority="2794" operator="lessThan">
      <formula>0</formula>
    </cfRule>
  </conditionalFormatting>
  <conditionalFormatting sqref="I4">
    <cfRule type="cellIs" dxfId="7016" priority="2793" operator="lessThan">
      <formula>0</formula>
    </cfRule>
  </conditionalFormatting>
  <conditionalFormatting sqref="I4">
    <cfRule type="cellIs" dxfId="7015" priority="2792" operator="lessThan">
      <formula>0</formula>
    </cfRule>
  </conditionalFormatting>
  <conditionalFormatting sqref="I4">
    <cfRule type="cellIs" dxfId="7014" priority="2791" operator="lessThan">
      <formula>0</formula>
    </cfRule>
  </conditionalFormatting>
  <conditionalFormatting sqref="J4">
    <cfRule type="cellIs" dxfId="7013" priority="2790" operator="lessThan">
      <formula>0</formula>
    </cfRule>
  </conditionalFormatting>
  <conditionalFormatting sqref="J4">
    <cfRule type="cellIs" dxfId="7012" priority="2789" operator="lessThan">
      <formula>0</formula>
    </cfRule>
  </conditionalFormatting>
  <conditionalFormatting sqref="J4">
    <cfRule type="cellIs" dxfId="7011" priority="2788" operator="lessThan">
      <formula>0</formula>
    </cfRule>
  </conditionalFormatting>
  <conditionalFormatting sqref="J4">
    <cfRule type="cellIs" dxfId="7010" priority="2787" operator="lessThan">
      <formula>0</formula>
    </cfRule>
  </conditionalFormatting>
  <conditionalFormatting sqref="E5:E35">
    <cfRule type="cellIs" dxfId="7009" priority="2786" operator="lessThan">
      <formula>0</formula>
    </cfRule>
  </conditionalFormatting>
  <conditionalFormatting sqref="E5:E35">
    <cfRule type="cellIs" dxfId="7008" priority="2785" operator="lessThan">
      <formula>0</formula>
    </cfRule>
  </conditionalFormatting>
  <conditionalFormatting sqref="K6:K35">
    <cfRule type="cellIs" dxfId="7007" priority="2784" operator="lessThan">
      <formula>0</formula>
    </cfRule>
  </conditionalFormatting>
  <conditionalFormatting sqref="K6:K35">
    <cfRule type="cellIs" dxfId="7006" priority="2783" operator="lessThan">
      <formula>0</formula>
    </cfRule>
  </conditionalFormatting>
  <conditionalFormatting sqref="H4:H33">
    <cfRule type="cellIs" dxfId="7005" priority="2782" operator="lessThan">
      <formula>0</formula>
    </cfRule>
  </conditionalFormatting>
  <conditionalFormatting sqref="I4:I33">
    <cfRule type="cellIs" dxfId="7004" priority="2781" operator="lessThan">
      <formula>0</formula>
    </cfRule>
  </conditionalFormatting>
  <conditionalFormatting sqref="H4:H33">
    <cfRule type="cellIs" dxfId="7003" priority="2780" operator="lessThan">
      <formula>0</formula>
    </cfRule>
  </conditionalFormatting>
  <conditionalFormatting sqref="I4:I33">
    <cfRule type="cellIs" dxfId="7002" priority="2779" operator="lessThan">
      <formula>0</formula>
    </cfRule>
  </conditionalFormatting>
  <conditionalFormatting sqref="J4:J35">
    <cfRule type="cellIs" dxfId="7001" priority="2778" operator="lessThan">
      <formula>0</formula>
    </cfRule>
  </conditionalFormatting>
  <conditionalFormatting sqref="D4:D35">
    <cfRule type="cellIs" dxfId="7000" priority="2777" operator="lessThan">
      <formula>0</formula>
    </cfRule>
  </conditionalFormatting>
  <conditionalFormatting sqref="F4:F35">
    <cfRule type="cellIs" dxfId="6999" priority="2776" operator="lessThan">
      <formula>0</formula>
    </cfRule>
  </conditionalFormatting>
  <conditionalFormatting sqref="G4:G35">
    <cfRule type="cellIs" dxfId="6998" priority="2775" operator="lessThan">
      <formula>0</formula>
    </cfRule>
  </conditionalFormatting>
  <conditionalFormatting sqref="L11">
    <cfRule type="cellIs" dxfId="6997" priority="2774" operator="lessThan">
      <formula>0</formula>
    </cfRule>
  </conditionalFormatting>
  <conditionalFormatting sqref="L11">
    <cfRule type="cellIs" dxfId="6996" priority="2773" operator="lessThan">
      <formula>0</formula>
    </cfRule>
  </conditionalFormatting>
  <conditionalFormatting sqref="L11">
    <cfRule type="cellIs" dxfId="6995" priority="2772" operator="lessThan">
      <formula>0</formula>
    </cfRule>
  </conditionalFormatting>
  <conditionalFormatting sqref="J4:K4">
    <cfRule type="cellIs" dxfId="6994" priority="2771" operator="lessThan">
      <formula>0</formula>
    </cfRule>
  </conditionalFormatting>
  <conditionalFormatting sqref="J4">
    <cfRule type="cellIs" dxfId="6993" priority="2770" operator="lessThan">
      <formula>0</formula>
    </cfRule>
  </conditionalFormatting>
  <conditionalFormatting sqref="J4">
    <cfRule type="cellIs" dxfId="6992" priority="2769" operator="lessThan">
      <formula>0</formula>
    </cfRule>
  </conditionalFormatting>
  <conditionalFormatting sqref="B9:B33">
    <cfRule type="cellIs" dxfId="6991" priority="2768" operator="lessThan">
      <formula>0</formula>
    </cfRule>
  </conditionalFormatting>
  <conditionalFormatting sqref="C9:C33">
    <cfRule type="cellIs" dxfId="6990" priority="2767" operator="lessThan">
      <formula>0</formula>
    </cfRule>
  </conditionalFormatting>
  <conditionalFormatting sqref="O4:O36">
    <cfRule type="cellIs" dxfId="6989" priority="2766" operator="lessThan">
      <formula>0</formula>
    </cfRule>
  </conditionalFormatting>
  <conditionalFormatting sqref="Q4:Q36">
    <cfRule type="cellIs" dxfId="6988" priority="2765" operator="lessThan">
      <formula>0</formula>
    </cfRule>
  </conditionalFormatting>
  <conditionalFormatting sqref="B4:B35">
    <cfRule type="cellIs" dxfId="6987" priority="2764" operator="lessThan">
      <formula>0</formula>
    </cfRule>
  </conditionalFormatting>
  <conditionalFormatting sqref="B5:B22">
    <cfRule type="cellIs" dxfId="6986" priority="2763" operator="lessThan">
      <formula>0</formula>
    </cfRule>
  </conditionalFormatting>
  <conditionalFormatting sqref="C4:C35">
    <cfRule type="cellIs" dxfId="6985" priority="2762" operator="lessThan">
      <formula>0</formula>
    </cfRule>
  </conditionalFormatting>
  <conditionalFormatting sqref="C5:C22">
    <cfRule type="cellIs" dxfId="6984" priority="2761" operator="lessThan">
      <formula>0</formula>
    </cfRule>
  </conditionalFormatting>
  <conditionalFormatting sqref="D4:D35">
    <cfRule type="cellIs" dxfId="6983" priority="2760" operator="lessThan">
      <formula>0</formula>
    </cfRule>
  </conditionalFormatting>
  <conditionalFormatting sqref="D4:D35">
    <cfRule type="cellIs" dxfId="6982" priority="2759" operator="lessThan">
      <formula>0</formula>
    </cfRule>
  </conditionalFormatting>
  <conditionalFormatting sqref="D4:D35">
    <cfRule type="cellIs" dxfId="6981" priority="2758" operator="lessThan">
      <formula>0</formula>
    </cfRule>
  </conditionalFormatting>
  <conditionalFormatting sqref="F4:F35">
    <cfRule type="cellIs" dxfId="6980" priority="2757" operator="lessThan">
      <formula>0</formula>
    </cfRule>
  </conditionalFormatting>
  <conditionalFormatting sqref="F5:F22">
    <cfRule type="cellIs" dxfId="6979" priority="2756" operator="lessThan">
      <formula>0</formula>
    </cfRule>
  </conditionalFormatting>
  <conditionalFormatting sqref="F5:F13">
    <cfRule type="cellIs" dxfId="6978" priority="2755" operator="lessThan">
      <formula>0</formula>
    </cfRule>
  </conditionalFormatting>
  <conditionalFormatting sqref="G4:G35">
    <cfRule type="cellIs" dxfId="6977" priority="2754" operator="lessThan">
      <formula>0</formula>
    </cfRule>
  </conditionalFormatting>
  <conditionalFormatting sqref="G5:G22">
    <cfRule type="cellIs" dxfId="6976" priority="2753" operator="lessThan">
      <formula>0</formula>
    </cfRule>
  </conditionalFormatting>
  <conditionalFormatting sqref="G5:G13">
    <cfRule type="cellIs" dxfId="6975" priority="2752" operator="lessThan">
      <formula>0</formula>
    </cfRule>
  </conditionalFormatting>
  <conditionalFormatting sqref="H4:H22">
    <cfRule type="cellIs" dxfId="6974" priority="2751" operator="lessThan">
      <formula>0</formula>
    </cfRule>
  </conditionalFormatting>
  <conditionalFormatting sqref="H5:H22">
    <cfRule type="cellIs" dxfId="6973" priority="2750" operator="lessThan">
      <formula>0</formula>
    </cfRule>
  </conditionalFormatting>
  <conditionalFormatting sqref="I4:I22">
    <cfRule type="cellIs" dxfId="6972" priority="2749" operator="lessThan">
      <formula>0</formula>
    </cfRule>
  </conditionalFormatting>
  <conditionalFormatting sqref="I5:I22">
    <cfRule type="cellIs" dxfId="6971" priority="2748" operator="lessThan">
      <formula>0</formula>
    </cfRule>
  </conditionalFormatting>
  <conditionalFormatting sqref="I5:I13">
    <cfRule type="cellIs" dxfId="6970" priority="2747" operator="lessThan">
      <formula>0</formula>
    </cfRule>
  </conditionalFormatting>
  <conditionalFormatting sqref="B23:B28">
    <cfRule type="cellIs" dxfId="6969" priority="2746" operator="lessThan">
      <formula>0</formula>
    </cfRule>
  </conditionalFormatting>
  <conditionalFormatting sqref="C23:C28">
    <cfRule type="cellIs" dxfId="6968" priority="2745" operator="lessThan">
      <formula>0</formula>
    </cfRule>
  </conditionalFormatting>
  <conditionalFormatting sqref="D23:D35">
    <cfRule type="cellIs" dxfId="6967" priority="2744" operator="lessThan">
      <formula>0</formula>
    </cfRule>
  </conditionalFormatting>
  <conditionalFormatting sqref="G23:G28">
    <cfRule type="cellIs" dxfId="6966" priority="2743" operator="lessThan">
      <formula>0</formula>
    </cfRule>
  </conditionalFormatting>
  <conditionalFormatting sqref="F23:F28">
    <cfRule type="cellIs" dxfId="6965" priority="2742" operator="lessThan">
      <formula>0</formula>
    </cfRule>
  </conditionalFormatting>
  <conditionalFormatting sqref="H23:H28">
    <cfRule type="cellIs" dxfId="6964" priority="2741" operator="lessThan">
      <formula>0</formula>
    </cfRule>
  </conditionalFormatting>
  <conditionalFormatting sqref="I23:I28">
    <cfRule type="cellIs" dxfId="6963" priority="2740" operator="lessThan">
      <formula>0</formula>
    </cfRule>
  </conditionalFormatting>
  <conditionalFormatting sqref="B29:B32">
    <cfRule type="cellIs" dxfId="6962" priority="2739" operator="lessThan">
      <formula>0</formula>
    </cfRule>
  </conditionalFormatting>
  <conditionalFormatting sqref="C29:C32">
    <cfRule type="cellIs" dxfId="6961" priority="2738" operator="lessThan">
      <formula>0</formula>
    </cfRule>
  </conditionalFormatting>
  <conditionalFormatting sqref="D5:D35">
    <cfRule type="cellIs" dxfId="6960" priority="2737" operator="lessThan">
      <formula>0</formula>
    </cfRule>
  </conditionalFormatting>
  <conditionalFormatting sqref="F29:F32">
    <cfRule type="cellIs" dxfId="6959" priority="2736" operator="lessThan">
      <formula>0</formula>
    </cfRule>
  </conditionalFormatting>
  <conditionalFormatting sqref="G29:G32">
    <cfRule type="cellIs" dxfId="6958" priority="2735" operator="lessThan">
      <formula>0</formula>
    </cfRule>
  </conditionalFormatting>
  <conditionalFormatting sqref="H29:H32">
    <cfRule type="cellIs" dxfId="6957" priority="2734" operator="lessThan">
      <formula>0</formula>
    </cfRule>
  </conditionalFormatting>
  <conditionalFormatting sqref="I29:I32">
    <cfRule type="cellIs" dxfId="6956" priority="2733" operator="lessThan">
      <formula>0</formula>
    </cfRule>
  </conditionalFormatting>
  <conditionalFormatting sqref="D4:E35">
    <cfRule type="cellIs" dxfId="6955" priority="2732" operator="lessThan">
      <formula>0</formula>
    </cfRule>
  </conditionalFormatting>
  <conditionalFormatting sqref="B4:B35">
    <cfRule type="cellIs" dxfId="6954" priority="2731" operator="lessThan">
      <formula>0</formula>
    </cfRule>
  </conditionalFormatting>
  <conditionalFormatting sqref="C4:C35">
    <cfRule type="cellIs" dxfId="6953" priority="2730" operator="lessThan">
      <formula>0</formula>
    </cfRule>
  </conditionalFormatting>
  <conditionalFormatting sqref="D4:D35">
    <cfRule type="cellIs" dxfId="6952" priority="2729" operator="lessThan">
      <formula>0</formula>
    </cfRule>
  </conditionalFormatting>
  <conditionalFormatting sqref="F4:F35">
    <cfRule type="cellIs" dxfId="6951" priority="2728" operator="lessThan">
      <formula>0</formula>
    </cfRule>
  </conditionalFormatting>
  <conditionalFormatting sqref="G4:G35">
    <cfRule type="cellIs" dxfId="6950" priority="2727" operator="lessThan">
      <formula>0</formula>
    </cfRule>
  </conditionalFormatting>
  <conditionalFormatting sqref="H4">
    <cfRule type="cellIs" dxfId="6949" priority="2726" operator="lessThan">
      <formula>0</formula>
    </cfRule>
  </conditionalFormatting>
  <conditionalFormatting sqref="I4">
    <cfRule type="cellIs" dxfId="6948" priority="2725" operator="lessThan">
      <formula>0</formula>
    </cfRule>
  </conditionalFormatting>
  <conditionalFormatting sqref="J4">
    <cfRule type="cellIs" dxfId="6947" priority="2724" operator="lessThan">
      <formula>0</formula>
    </cfRule>
  </conditionalFormatting>
  <conditionalFormatting sqref="B4:B35">
    <cfRule type="cellIs" dxfId="6946" priority="2723" operator="lessThan">
      <formula>0</formula>
    </cfRule>
  </conditionalFormatting>
  <conditionalFormatting sqref="B4:B35">
    <cfRule type="cellIs" dxfId="6945" priority="2722" operator="lessThan">
      <formula>0</formula>
    </cfRule>
  </conditionalFormatting>
  <conditionalFormatting sqref="B4:B35">
    <cfRule type="cellIs" dxfId="6944" priority="2721" operator="lessThan">
      <formula>0</formula>
    </cfRule>
  </conditionalFormatting>
  <conditionalFormatting sqref="B4:B35">
    <cfRule type="cellIs" dxfId="6943" priority="2720" operator="lessThan">
      <formula>0</formula>
    </cfRule>
  </conditionalFormatting>
  <conditionalFormatting sqref="B4:B35">
    <cfRule type="cellIs" dxfId="6942" priority="2719" operator="lessThan">
      <formula>0</formula>
    </cfRule>
  </conditionalFormatting>
  <conditionalFormatting sqref="C4:C35">
    <cfRule type="cellIs" dxfId="6941" priority="2718" operator="lessThan">
      <formula>0</formula>
    </cfRule>
  </conditionalFormatting>
  <conditionalFormatting sqref="C4:C35">
    <cfRule type="cellIs" dxfId="6940" priority="2717" operator="lessThan">
      <formula>0</formula>
    </cfRule>
  </conditionalFormatting>
  <conditionalFormatting sqref="C4:C35">
    <cfRule type="cellIs" dxfId="6939" priority="2716" operator="lessThan">
      <formula>0</formula>
    </cfRule>
  </conditionalFormatting>
  <conditionalFormatting sqref="C4:C35">
    <cfRule type="cellIs" dxfId="6938" priority="2715" operator="lessThan">
      <formula>0</formula>
    </cfRule>
  </conditionalFormatting>
  <conditionalFormatting sqref="C4:C35">
    <cfRule type="cellIs" dxfId="6937" priority="2714" operator="lessThan">
      <formula>0</formula>
    </cfRule>
  </conditionalFormatting>
  <conditionalFormatting sqref="D4:D35">
    <cfRule type="cellIs" dxfId="6936" priority="2713" operator="lessThan">
      <formula>0</formula>
    </cfRule>
  </conditionalFormatting>
  <conditionalFormatting sqref="D4:D35">
    <cfRule type="cellIs" dxfId="6935" priority="2712" operator="lessThan">
      <formula>0</formula>
    </cfRule>
  </conditionalFormatting>
  <conditionalFormatting sqref="D4:D35">
    <cfRule type="cellIs" dxfId="6934" priority="2711" operator="lessThan">
      <formula>0</formula>
    </cfRule>
  </conditionalFormatting>
  <conditionalFormatting sqref="D4:D35">
    <cfRule type="cellIs" dxfId="6933" priority="2710" operator="lessThan">
      <formula>0</formula>
    </cfRule>
  </conditionalFormatting>
  <conditionalFormatting sqref="F4:F35">
    <cfRule type="cellIs" dxfId="6932" priority="2709" operator="lessThan">
      <formula>0</formula>
    </cfRule>
  </conditionalFormatting>
  <conditionalFormatting sqref="F4:F35">
    <cfRule type="cellIs" dxfId="6931" priority="2708" operator="lessThan">
      <formula>0</formula>
    </cfRule>
  </conditionalFormatting>
  <conditionalFormatting sqref="F4:F35">
    <cfRule type="cellIs" dxfId="6930" priority="2707" operator="lessThan">
      <formula>0</formula>
    </cfRule>
  </conditionalFormatting>
  <conditionalFormatting sqref="F4:F35">
    <cfRule type="cellIs" dxfId="6929" priority="2706" operator="lessThan">
      <formula>0</formula>
    </cfRule>
  </conditionalFormatting>
  <conditionalFormatting sqref="G4:G35">
    <cfRule type="cellIs" dxfId="6928" priority="2705" operator="lessThan">
      <formula>0</formula>
    </cfRule>
  </conditionalFormatting>
  <conditionalFormatting sqref="G4:G35">
    <cfRule type="cellIs" dxfId="6927" priority="2704" operator="lessThan">
      <formula>0</formula>
    </cfRule>
  </conditionalFormatting>
  <conditionalFormatting sqref="G4:G35">
    <cfRule type="cellIs" dxfId="6926" priority="2703" operator="lessThan">
      <formula>0</formula>
    </cfRule>
  </conditionalFormatting>
  <conditionalFormatting sqref="G4:G35">
    <cfRule type="cellIs" dxfId="6925" priority="2702" operator="lessThan">
      <formula>0</formula>
    </cfRule>
  </conditionalFormatting>
  <conditionalFormatting sqref="H4">
    <cfRule type="cellIs" dxfId="6924" priority="2701" operator="lessThan">
      <formula>0</formula>
    </cfRule>
  </conditionalFormatting>
  <conditionalFormatting sqref="H4">
    <cfRule type="cellIs" dxfId="6923" priority="2700" operator="lessThan">
      <formula>0</formula>
    </cfRule>
  </conditionalFormatting>
  <conditionalFormatting sqref="H4">
    <cfRule type="cellIs" dxfId="6922" priority="2699" operator="lessThan">
      <formula>0</formula>
    </cfRule>
  </conditionalFormatting>
  <conditionalFormatting sqref="H4">
    <cfRule type="cellIs" dxfId="6921" priority="2698" operator="lessThan">
      <formula>0</formula>
    </cfRule>
  </conditionalFormatting>
  <conditionalFormatting sqref="I4">
    <cfRule type="cellIs" dxfId="6920" priority="2697" operator="lessThan">
      <formula>0</formula>
    </cfRule>
  </conditionalFormatting>
  <conditionalFormatting sqref="I4">
    <cfRule type="cellIs" dxfId="6919" priority="2696" operator="lessThan">
      <formula>0</formula>
    </cfRule>
  </conditionalFormatting>
  <conditionalFormatting sqref="I4">
    <cfRule type="cellIs" dxfId="6918" priority="2695" operator="lessThan">
      <formula>0</formula>
    </cfRule>
  </conditionalFormatting>
  <conditionalFormatting sqref="I4">
    <cfRule type="cellIs" dxfId="6917" priority="2694" operator="lessThan">
      <formula>0</formula>
    </cfRule>
  </conditionalFormatting>
  <conditionalFormatting sqref="J4">
    <cfRule type="cellIs" dxfId="6916" priority="2693" operator="lessThan">
      <formula>0</formula>
    </cfRule>
  </conditionalFormatting>
  <conditionalFormatting sqref="J4">
    <cfRule type="cellIs" dxfId="6915" priority="2692" operator="lessThan">
      <formula>0</formula>
    </cfRule>
  </conditionalFormatting>
  <conditionalFormatting sqref="J4">
    <cfRule type="cellIs" dxfId="6914" priority="2691" operator="lessThan">
      <formula>0</formula>
    </cfRule>
  </conditionalFormatting>
  <conditionalFormatting sqref="J4">
    <cfRule type="cellIs" dxfId="6913" priority="2690" operator="lessThan">
      <formula>0</formula>
    </cfRule>
  </conditionalFormatting>
  <conditionalFormatting sqref="E33">
    <cfRule type="cellIs" dxfId="6912" priority="2689" operator="lessThan">
      <formula>0</formula>
    </cfRule>
  </conditionalFormatting>
  <conditionalFormatting sqref="E5:E35">
    <cfRule type="cellIs" dxfId="6911" priority="2688" operator="lessThan">
      <formula>0</formula>
    </cfRule>
  </conditionalFormatting>
  <conditionalFormatting sqref="E5:E35">
    <cfRule type="cellIs" dxfId="6910" priority="2687" operator="lessThan">
      <formula>0</formula>
    </cfRule>
  </conditionalFormatting>
  <conditionalFormatting sqref="E5:E35">
    <cfRule type="cellIs" dxfId="6909" priority="2686" operator="lessThan">
      <formula>0</formula>
    </cfRule>
  </conditionalFormatting>
  <conditionalFormatting sqref="E5:E35">
    <cfRule type="cellIs" dxfId="6908" priority="2685" operator="lessThan">
      <formula>0</formula>
    </cfRule>
  </conditionalFormatting>
  <conditionalFormatting sqref="E5:E35">
    <cfRule type="cellIs" dxfId="6907" priority="2684" operator="lessThan">
      <formula>0</formula>
    </cfRule>
  </conditionalFormatting>
  <conditionalFormatting sqref="E23:E35">
    <cfRule type="cellIs" dxfId="6906" priority="2683" operator="lessThan">
      <formula>0</formula>
    </cfRule>
  </conditionalFormatting>
  <conditionalFormatting sqref="E5:E35">
    <cfRule type="cellIs" dxfId="6905" priority="2682" operator="lessThan">
      <formula>0</formula>
    </cfRule>
  </conditionalFormatting>
  <conditionalFormatting sqref="B5">
    <cfRule type="cellIs" dxfId="6904" priority="2681" operator="lessThan">
      <formula>0</formula>
    </cfRule>
  </conditionalFormatting>
  <conditionalFormatting sqref="C5">
    <cfRule type="cellIs" dxfId="6903" priority="2680" operator="lessThan">
      <formula>0</formula>
    </cfRule>
  </conditionalFormatting>
  <conditionalFormatting sqref="D5">
    <cfRule type="cellIs" dxfId="6902" priority="2679" operator="lessThan">
      <formula>0</formula>
    </cfRule>
  </conditionalFormatting>
  <conditionalFormatting sqref="F5">
    <cfRule type="cellIs" dxfId="6901" priority="2678" operator="lessThan">
      <formula>0</formula>
    </cfRule>
  </conditionalFormatting>
  <conditionalFormatting sqref="G5">
    <cfRule type="cellIs" dxfId="6900" priority="2677" operator="lessThan">
      <formula>0</formula>
    </cfRule>
  </conditionalFormatting>
  <conditionalFormatting sqref="H5">
    <cfRule type="cellIs" dxfId="6899" priority="2676" operator="lessThan">
      <formula>0</formula>
    </cfRule>
  </conditionalFormatting>
  <conditionalFormatting sqref="I5">
    <cfRule type="cellIs" dxfId="6898" priority="2675" operator="lessThan">
      <formula>0</formula>
    </cfRule>
  </conditionalFormatting>
  <conditionalFormatting sqref="J5:J35">
    <cfRule type="cellIs" dxfId="6897" priority="2674" operator="lessThan">
      <formula>0</formula>
    </cfRule>
  </conditionalFormatting>
  <conditionalFormatting sqref="E4:E35">
    <cfRule type="cellIs" dxfId="6896" priority="2673" operator="lessThan">
      <formula>0</formula>
    </cfRule>
  </conditionalFormatting>
  <conditionalFormatting sqref="E4:E35">
    <cfRule type="cellIs" dxfId="6895" priority="2672" operator="lessThan">
      <formula>0</formula>
    </cfRule>
  </conditionalFormatting>
  <conditionalFormatting sqref="B4:B35">
    <cfRule type="cellIs" dxfId="6894" priority="2671" operator="lessThan">
      <formula>0</formula>
    </cfRule>
  </conditionalFormatting>
  <conditionalFormatting sqref="C4:C35">
    <cfRule type="cellIs" dxfId="6893" priority="2670" operator="lessThan">
      <formula>0</formula>
    </cfRule>
  </conditionalFormatting>
  <conditionalFormatting sqref="F4:F35">
    <cfRule type="cellIs" dxfId="6892" priority="2669" operator="lessThan">
      <formula>0</formula>
    </cfRule>
  </conditionalFormatting>
  <conditionalFormatting sqref="F4:F35">
    <cfRule type="cellIs" dxfId="6891" priority="2668" operator="lessThan">
      <formula>0</formula>
    </cfRule>
  </conditionalFormatting>
  <conditionalFormatting sqref="G4:G35">
    <cfRule type="cellIs" dxfId="6890" priority="2667" operator="lessThan">
      <formula>0</formula>
    </cfRule>
  </conditionalFormatting>
  <conditionalFormatting sqref="G4:G35">
    <cfRule type="cellIs" dxfId="6889" priority="2666" operator="lessThan">
      <formula>0</formula>
    </cfRule>
  </conditionalFormatting>
  <conditionalFormatting sqref="H4">
    <cfRule type="cellIs" dxfId="6888" priority="2665" operator="lessThan">
      <formula>0</formula>
    </cfRule>
  </conditionalFormatting>
  <conditionalFormatting sqref="I4">
    <cfRule type="cellIs" dxfId="6887" priority="2664" operator="lessThan">
      <formula>0</formula>
    </cfRule>
  </conditionalFormatting>
  <conditionalFormatting sqref="I4">
    <cfRule type="cellIs" dxfId="6886" priority="2663" operator="lessThan">
      <formula>0</formula>
    </cfRule>
  </conditionalFormatting>
  <conditionalFormatting sqref="B4:B35">
    <cfRule type="cellIs" dxfId="6885" priority="2662" operator="lessThan">
      <formula>0</formula>
    </cfRule>
  </conditionalFormatting>
  <conditionalFormatting sqref="C4:C35">
    <cfRule type="cellIs" dxfId="6884" priority="2661" operator="lessThan">
      <formula>0</formula>
    </cfRule>
  </conditionalFormatting>
  <conditionalFormatting sqref="D4:D35">
    <cfRule type="cellIs" dxfId="6883" priority="2660" operator="lessThan">
      <formula>0</formula>
    </cfRule>
  </conditionalFormatting>
  <conditionalFormatting sqref="F4:F35">
    <cfRule type="cellIs" dxfId="6882" priority="2659" operator="lessThan">
      <formula>0</formula>
    </cfRule>
  </conditionalFormatting>
  <conditionalFormatting sqref="G4:G35">
    <cfRule type="cellIs" dxfId="6881" priority="2658" operator="lessThan">
      <formula>0</formula>
    </cfRule>
  </conditionalFormatting>
  <conditionalFormatting sqref="H4">
    <cfRule type="cellIs" dxfId="6880" priority="2657" operator="lessThan">
      <formula>0</formula>
    </cfRule>
  </conditionalFormatting>
  <conditionalFormatting sqref="I4">
    <cfRule type="cellIs" dxfId="6879" priority="2656" operator="lessThan">
      <formula>0</formula>
    </cfRule>
  </conditionalFormatting>
  <conditionalFormatting sqref="J4">
    <cfRule type="cellIs" dxfId="6878" priority="2655" operator="lessThan">
      <formula>0</formula>
    </cfRule>
  </conditionalFormatting>
  <conditionalFormatting sqref="B5:B28">
    <cfRule type="cellIs" dxfId="6877" priority="2654" operator="lessThan">
      <formula>0</formula>
    </cfRule>
  </conditionalFormatting>
  <conditionalFormatting sqref="C5:C28">
    <cfRule type="cellIs" dxfId="6876" priority="2653" operator="lessThan">
      <formula>0</formula>
    </cfRule>
  </conditionalFormatting>
  <conditionalFormatting sqref="D4:D35">
    <cfRule type="cellIs" dxfId="6875" priority="2652" operator="lessThan">
      <formula>0</formula>
    </cfRule>
  </conditionalFormatting>
  <conditionalFormatting sqref="H5:H29">
    <cfRule type="cellIs" dxfId="6874" priority="2651" operator="lessThan">
      <formula>0</formula>
    </cfRule>
  </conditionalFormatting>
  <conditionalFormatting sqref="H4:H28">
    <cfRule type="cellIs" dxfId="6873" priority="2650" operator="lessThan">
      <formula>0</formula>
    </cfRule>
  </conditionalFormatting>
  <conditionalFormatting sqref="I4:I28">
    <cfRule type="cellIs" dxfId="6872" priority="2649" operator="lessThan">
      <formula>0</formula>
    </cfRule>
  </conditionalFormatting>
  <conditionalFormatting sqref="J4:J35">
    <cfRule type="cellIs" dxfId="6871" priority="2648" operator="lessThan">
      <formula>0</formula>
    </cfRule>
  </conditionalFormatting>
  <conditionalFormatting sqref="G4:G35">
    <cfRule type="cellIs" dxfId="6870" priority="2647" operator="lessThan">
      <formula>0</formula>
    </cfRule>
  </conditionalFormatting>
  <conditionalFormatting sqref="F4:F35">
    <cfRule type="cellIs" dxfId="6869" priority="2646" operator="lessThan">
      <formula>0</formula>
    </cfRule>
  </conditionalFormatting>
  <conditionalFormatting sqref="E33:E35">
    <cfRule type="cellIs" dxfId="6868" priority="2645" operator="lessThan">
      <formula>0</formula>
    </cfRule>
  </conditionalFormatting>
  <conditionalFormatting sqref="E5:E35">
    <cfRule type="cellIs" dxfId="6867" priority="2644" operator="lessThan">
      <formula>0</formula>
    </cfRule>
  </conditionalFormatting>
  <conditionalFormatting sqref="E5:E35">
    <cfRule type="cellIs" dxfId="6866" priority="2643" operator="lessThan">
      <formula>0</formula>
    </cfRule>
  </conditionalFormatting>
  <conditionalFormatting sqref="E5:E35">
    <cfRule type="cellIs" dxfId="6865" priority="2642" operator="lessThan">
      <formula>0</formula>
    </cfRule>
  </conditionalFormatting>
  <conditionalFormatting sqref="E5:E35">
    <cfRule type="cellIs" dxfId="6864" priority="2641" operator="lessThan">
      <formula>0</formula>
    </cfRule>
  </conditionalFormatting>
  <conditionalFormatting sqref="E5:E35">
    <cfRule type="cellIs" dxfId="6863" priority="2640" operator="lessThan">
      <formula>0</formula>
    </cfRule>
  </conditionalFormatting>
  <conditionalFormatting sqref="E5:E35">
    <cfRule type="cellIs" dxfId="6862" priority="2639" operator="lessThan">
      <formula>0</formula>
    </cfRule>
  </conditionalFormatting>
  <conditionalFormatting sqref="E23:E35">
    <cfRule type="cellIs" dxfId="6861" priority="2638" operator="lessThan">
      <formula>0</formula>
    </cfRule>
  </conditionalFormatting>
  <conditionalFormatting sqref="E5:E35">
    <cfRule type="cellIs" dxfId="6860" priority="2637" operator="lessThan">
      <formula>0</formula>
    </cfRule>
  </conditionalFormatting>
  <conditionalFormatting sqref="E5:E35">
    <cfRule type="cellIs" dxfId="6859" priority="2636" operator="lessThan">
      <formula>0</formula>
    </cfRule>
  </conditionalFormatting>
  <conditionalFormatting sqref="D5:D35">
    <cfRule type="cellIs" dxfId="6858" priority="2631" operator="lessThan">
      <formula>0</formula>
    </cfRule>
  </conditionalFormatting>
  <conditionalFormatting sqref="D5:D35">
    <cfRule type="cellIs" dxfId="6857" priority="2630" operator="lessThan">
      <formula>0</formula>
    </cfRule>
  </conditionalFormatting>
  <conditionalFormatting sqref="D33">
    <cfRule type="cellIs" dxfId="6856" priority="2629" operator="lessThan">
      <formula>0</formula>
    </cfRule>
  </conditionalFormatting>
  <conditionalFormatting sqref="D5:D35">
    <cfRule type="cellIs" dxfId="6855" priority="2628" operator="lessThan">
      <formula>0</formula>
    </cfRule>
  </conditionalFormatting>
  <conditionalFormatting sqref="D5:D35">
    <cfRule type="cellIs" dxfId="6854" priority="2627" operator="lessThan">
      <formula>0</formula>
    </cfRule>
  </conditionalFormatting>
  <conditionalFormatting sqref="D5:D35">
    <cfRule type="cellIs" dxfId="6853" priority="2626" operator="lessThan">
      <formula>0</formula>
    </cfRule>
  </conditionalFormatting>
  <conditionalFormatting sqref="D16:D35">
    <cfRule type="cellIs" dxfId="6852" priority="2625" operator="lessThan">
      <formula>0</formula>
    </cfRule>
  </conditionalFormatting>
  <conditionalFormatting sqref="D16:D35">
    <cfRule type="cellIs" dxfId="6851" priority="2624" operator="lessThan">
      <formula>0</formula>
    </cfRule>
  </conditionalFormatting>
  <conditionalFormatting sqref="D23:D35">
    <cfRule type="cellIs" dxfId="6850" priority="2623" operator="lessThan">
      <formula>0</formula>
    </cfRule>
  </conditionalFormatting>
  <conditionalFormatting sqref="D5:D35">
    <cfRule type="cellIs" dxfId="6849" priority="2622" operator="lessThan">
      <formula>0</formula>
    </cfRule>
  </conditionalFormatting>
  <conditionalFormatting sqref="D33:D35">
    <cfRule type="cellIs" dxfId="6848" priority="2621" operator="lessThan">
      <formula>0</formula>
    </cfRule>
  </conditionalFormatting>
  <conditionalFormatting sqref="D5:D35">
    <cfRule type="cellIs" dxfId="6847" priority="2620" operator="lessThan">
      <formula>0</formula>
    </cfRule>
  </conditionalFormatting>
  <conditionalFormatting sqref="D5:D35">
    <cfRule type="cellIs" dxfId="6846" priority="2619" operator="lessThan">
      <formula>0</formula>
    </cfRule>
  </conditionalFormatting>
  <conditionalFormatting sqref="D5:D35">
    <cfRule type="cellIs" dxfId="6845" priority="2618" operator="lessThan">
      <formula>0</formula>
    </cfRule>
  </conditionalFormatting>
  <conditionalFormatting sqref="D5:D35">
    <cfRule type="cellIs" dxfId="6844" priority="2617" operator="lessThan">
      <formula>0</formula>
    </cfRule>
  </conditionalFormatting>
  <conditionalFormatting sqref="D5:D35">
    <cfRule type="cellIs" dxfId="6843" priority="2616" operator="lessThan">
      <formula>0</formula>
    </cfRule>
  </conditionalFormatting>
  <conditionalFormatting sqref="D5:D35">
    <cfRule type="cellIs" dxfId="6842" priority="2615" operator="lessThan">
      <formula>0</formula>
    </cfRule>
  </conditionalFormatting>
  <conditionalFormatting sqref="D23:D35">
    <cfRule type="cellIs" dxfId="6841" priority="2614" operator="lessThan">
      <formula>0</formula>
    </cfRule>
  </conditionalFormatting>
  <conditionalFormatting sqref="D5:D35">
    <cfRule type="cellIs" dxfId="6840" priority="2613" operator="lessThan">
      <formula>0</formula>
    </cfRule>
  </conditionalFormatting>
  <conditionalFormatting sqref="D5:D35">
    <cfRule type="cellIs" dxfId="6839" priority="2612" operator="lessThan">
      <formula>0</formula>
    </cfRule>
  </conditionalFormatting>
  <conditionalFormatting sqref="C4:C35">
    <cfRule type="cellIs" dxfId="6838" priority="2607" operator="lessThan">
      <formula>0</formula>
    </cfRule>
  </conditionalFormatting>
  <conditionalFormatting sqref="C4:C35">
    <cfRule type="cellIs" dxfId="6837" priority="2606" operator="lessThan">
      <formula>0</formula>
    </cfRule>
  </conditionalFormatting>
  <conditionalFormatting sqref="B4:B35">
    <cfRule type="cellIs" dxfId="6836" priority="2605" operator="lessThan">
      <formula>0</formula>
    </cfRule>
  </conditionalFormatting>
  <conditionalFormatting sqref="C4:C35">
    <cfRule type="cellIs" dxfId="6835" priority="2604" operator="lessThan">
      <formula>0</formula>
    </cfRule>
  </conditionalFormatting>
  <conditionalFormatting sqref="D4:D35">
    <cfRule type="cellIs" dxfId="6834" priority="2603" operator="lessThan">
      <formula>0</formula>
    </cfRule>
  </conditionalFormatting>
  <conditionalFormatting sqref="F4:F35">
    <cfRule type="cellIs" dxfId="6833" priority="2602" operator="lessThan">
      <formula>0</formula>
    </cfRule>
  </conditionalFormatting>
  <conditionalFormatting sqref="G4:G35">
    <cfRule type="cellIs" dxfId="6832" priority="2601" operator="lessThan">
      <formula>0</formula>
    </cfRule>
  </conditionalFormatting>
  <conditionalFormatting sqref="H4">
    <cfRule type="cellIs" dxfId="6831" priority="2600" operator="lessThan">
      <formula>0</formula>
    </cfRule>
  </conditionalFormatting>
  <conditionalFormatting sqref="I4">
    <cfRule type="cellIs" dxfId="6830" priority="2599" operator="lessThan">
      <formula>0</formula>
    </cfRule>
  </conditionalFormatting>
  <conditionalFormatting sqref="J4">
    <cfRule type="cellIs" dxfId="6829" priority="2598" operator="lessThan">
      <formula>0</formula>
    </cfRule>
  </conditionalFormatting>
  <conditionalFormatting sqref="B4:B35">
    <cfRule type="cellIs" dxfId="6828" priority="2597" operator="lessThan">
      <formula>0</formula>
    </cfRule>
  </conditionalFormatting>
  <conditionalFormatting sqref="B4:B35">
    <cfRule type="cellIs" dxfId="6827" priority="2596" operator="lessThan">
      <formula>0</formula>
    </cfRule>
  </conditionalFormatting>
  <conditionalFormatting sqref="B4:B35">
    <cfRule type="cellIs" dxfId="6826" priority="2595" operator="lessThan">
      <formula>0</formula>
    </cfRule>
  </conditionalFormatting>
  <conditionalFormatting sqref="B4:B35">
    <cfRule type="cellIs" dxfId="6825" priority="2594" operator="lessThan">
      <formula>0</formula>
    </cfRule>
  </conditionalFormatting>
  <conditionalFormatting sqref="C4:C35">
    <cfRule type="cellIs" dxfId="6824" priority="2593" operator="lessThan">
      <formula>0</formula>
    </cfRule>
  </conditionalFormatting>
  <conditionalFormatting sqref="C4:C35">
    <cfRule type="cellIs" dxfId="6823" priority="2592" operator="lessThan">
      <formula>0</formula>
    </cfRule>
  </conditionalFormatting>
  <conditionalFormatting sqref="C4:C35">
    <cfRule type="cellIs" dxfId="6822" priority="2591" operator="lessThan">
      <formula>0</formula>
    </cfRule>
  </conditionalFormatting>
  <conditionalFormatting sqref="C4:C35">
    <cfRule type="cellIs" dxfId="6821" priority="2590" operator="lessThan">
      <formula>0</formula>
    </cfRule>
  </conditionalFormatting>
  <conditionalFormatting sqref="D4:D35">
    <cfRule type="cellIs" dxfId="6820" priority="2589" operator="lessThan">
      <formula>0</formula>
    </cfRule>
  </conditionalFormatting>
  <conditionalFormatting sqref="D4:D35">
    <cfRule type="cellIs" dxfId="6819" priority="2588" operator="lessThan">
      <formula>0</formula>
    </cfRule>
  </conditionalFormatting>
  <conditionalFormatting sqref="D4:D35">
    <cfRule type="cellIs" dxfId="6818" priority="2587" operator="lessThan">
      <formula>0</formula>
    </cfRule>
  </conditionalFormatting>
  <conditionalFormatting sqref="F4:F35">
    <cfRule type="cellIs" dxfId="6817" priority="2586" operator="lessThan">
      <formula>0</formula>
    </cfRule>
  </conditionalFormatting>
  <conditionalFormatting sqref="F4:F35">
    <cfRule type="cellIs" dxfId="6816" priority="2585" operator="lessThan">
      <formula>0</formula>
    </cfRule>
  </conditionalFormatting>
  <conditionalFormatting sqref="F4:F35">
    <cfRule type="cellIs" dxfId="6815" priority="2584" operator="lessThan">
      <formula>0</formula>
    </cfRule>
  </conditionalFormatting>
  <conditionalFormatting sqref="G4:G35">
    <cfRule type="cellIs" dxfId="6814" priority="2583" operator="lessThan">
      <formula>0</formula>
    </cfRule>
  </conditionalFormatting>
  <conditionalFormatting sqref="G4:G35">
    <cfRule type="cellIs" dxfId="6813" priority="2582" operator="lessThan">
      <formula>0</formula>
    </cfRule>
  </conditionalFormatting>
  <conditionalFormatting sqref="G4:G35">
    <cfRule type="cellIs" dxfId="6812" priority="2581" operator="lessThan">
      <formula>0</formula>
    </cfRule>
  </conditionalFormatting>
  <conditionalFormatting sqref="H4">
    <cfRule type="cellIs" dxfId="6811" priority="2580" operator="lessThan">
      <formula>0</formula>
    </cfRule>
  </conditionalFormatting>
  <conditionalFormatting sqref="H4">
    <cfRule type="cellIs" dxfId="6810" priority="2579" operator="lessThan">
      <formula>0</formula>
    </cfRule>
  </conditionalFormatting>
  <conditionalFormatting sqref="H4">
    <cfRule type="cellIs" dxfId="6809" priority="2578" operator="lessThan">
      <formula>0</formula>
    </cfRule>
  </conditionalFormatting>
  <conditionalFormatting sqref="I4">
    <cfRule type="cellIs" dxfId="6808" priority="2577" operator="lessThan">
      <formula>0</formula>
    </cfRule>
  </conditionalFormatting>
  <conditionalFormatting sqref="I4">
    <cfRule type="cellIs" dxfId="6807" priority="2576" operator="lessThan">
      <formula>0</formula>
    </cfRule>
  </conditionalFormatting>
  <conditionalFormatting sqref="I4">
    <cfRule type="cellIs" dxfId="6806" priority="2575" operator="lessThan">
      <formula>0</formula>
    </cfRule>
  </conditionalFormatting>
  <conditionalFormatting sqref="J4">
    <cfRule type="cellIs" dxfId="6805" priority="2574" operator="lessThan">
      <formula>0</formula>
    </cfRule>
  </conditionalFormatting>
  <conditionalFormatting sqref="J4">
    <cfRule type="cellIs" dxfId="6804" priority="2573" operator="lessThan">
      <formula>0</formula>
    </cfRule>
  </conditionalFormatting>
  <conditionalFormatting sqref="J4">
    <cfRule type="cellIs" dxfId="6803" priority="2572" operator="lessThan">
      <formula>0</formula>
    </cfRule>
  </conditionalFormatting>
  <conditionalFormatting sqref="E4:E35">
    <cfRule type="cellIs" dxfId="6802" priority="2571" operator="lessThan">
      <formula>0</formula>
    </cfRule>
  </conditionalFormatting>
  <conditionalFormatting sqref="E4:E35">
    <cfRule type="cellIs" dxfId="6801" priority="2570" operator="lessThan">
      <formula>0</formula>
    </cfRule>
  </conditionalFormatting>
  <conditionalFormatting sqref="J4">
    <cfRule type="cellIs" dxfId="6800" priority="2569" operator="lessThan">
      <formula>0</formula>
    </cfRule>
  </conditionalFormatting>
  <conditionalFormatting sqref="B4:B35">
    <cfRule type="cellIs" dxfId="6799" priority="2568" operator="lessThan">
      <formula>0</formula>
    </cfRule>
  </conditionalFormatting>
  <conditionalFormatting sqref="B4:B35">
    <cfRule type="cellIs" dxfId="6798" priority="2567" operator="lessThan">
      <formula>0</formula>
    </cfRule>
  </conditionalFormatting>
  <conditionalFormatting sqref="C4:C35">
    <cfRule type="cellIs" dxfId="6797" priority="2566" operator="lessThan">
      <formula>0</formula>
    </cfRule>
  </conditionalFormatting>
  <conditionalFormatting sqref="C4:C35">
    <cfRule type="cellIs" dxfId="6796" priority="2565" operator="lessThan">
      <formula>0</formula>
    </cfRule>
  </conditionalFormatting>
  <conditionalFormatting sqref="H4">
    <cfRule type="cellIs" dxfId="6795" priority="2564" operator="lessThan">
      <formula>0</formula>
    </cfRule>
  </conditionalFormatting>
  <conditionalFormatting sqref="H4">
    <cfRule type="cellIs" dxfId="6794" priority="2563" operator="lessThan">
      <formula>0</formula>
    </cfRule>
  </conditionalFormatting>
  <conditionalFormatting sqref="I4">
    <cfRule type="cellIs" dxfId="6793" priority="2562" operator="lessThan">
      <formula>0</formula>
    </cfRule>
  </conditionalFormatting>
  <conditionalFormatting sqref="I4">
    <cfRule type="cellIs" dxfId="6792" priority="2561" operator="lessThan">
      <formula>0</formula>
    </cfRule>
  </conditionalFormatting>
  <conditionalFormatting sqref="B12:B31">
    <cfRule type="cellIs" dxfId="6791" priority="2560" operator="lessThan">
      <formula>0</formula>
    </cfRule>
  </conditionalFormatting>
  <conditionalFormatting sqref="C12:C31">
    <cfRule type="cellIs" dxfId="6790" priority="2559" operator="lessThan">
      <formula>0</formula>
    </cfRule>
  </conditionalFormatting>
  <conditionalFormatting sqref="E5:E35">
    <cfRule type="cellIs" dxfId="6789" priority="2558" operator="lessThan">
      <formula>0</formula>
    </cfRule>
  </conditionalFormatting>
  <conditionalFormatting sqref="F12:F31">
    <cfRule type="cellIs" dxfId="6788" priority="2557" operator="lessThan">
      <formula>0</formula>
    </cfRule>
  </conditionalFormatting>
  <conditionalFormatting sqref="G12:G31">
    <cfRule type="cellIs" dxfId="6787" priority="2556" operator="lessThan">
      <formula>0</formula>
    </cfRule>
  </conditionalFormatting>
  <conditionalFormatting sqref="B34:B35">
    <cfRule type="cellIs" dxfId="6786" priority="2555" operator="lessThan">
      <formula>0</formula>
    </cfRule>
  </conditionalFormatting>
  <conditionalFormatting sqref="B4:B35">
    <cfRule type="cellIs" dxfId="6785" priority="2554" operator="lessThan">
      <formula>0</formula>
    </cfRule>
  </conditionalFormatting>
  <conditionalFormatting sqref="C4:C35">
    <cfRule type="cellIs" dxfId="6784" priority="2553" operator="lessThan">
      <formula>0</formula>
    </cfRule>
  </conditionalFormatting>
  <conditionalFormatting sqref="D4:D35">
    <cfRule type="cellIs" dxfId="6783" priority="2552" operator="lessThan">
      <formula>0</formula>
    </cfRule>
  </conditionalFormatting>
  <conditionalFormatting sqref="F4:F35">
    <cfRule type="cellIs" dxfId="6782" priority="2551" operator="lessThan">
      <formula>0</formula>
    </cfRule>
  </conditionalFormatting>
  <conditionalFormatting sqref="G4:G35">
    <cfRule type="cellIs" dxfId="6781" priority="2550" operator="lessThan">
      <formula>0</formula>
    </cfRule>
  </conditionalFormatting>
  <conditionalFormatting sqref="H4">
    <cfRule type="cellIs" dxfId="6780" priority="2549" operator="lessThan">
      <formula>0</formula>
    </cfRule>
  </conditionalFormatting>
  <conditionalFormatting sqref="I4">
    <cfRule type="cellIs" dxfId="6779" priority="2548" operator="lessThan">
      <formula>0</formula>
    </cfRule>
  </conditionalFormatting>
  <conditionalFormatting sqref="J4">
    <cfRule type="cellIs" dxfId="6778" priority="2547" operator="lessThan">
      <formula>0</formula>
    </cfRule>
  </conditionalFormatting>
  <conditionalFormatting sqref="B4:B35">
    <cfRule type="cellIs" dxfId="6777" priority="2546" operator="lessThan">
      <formula>0</formula>
    </cfRule>
  </conditionalFormatting>
  <conditionalFormatting sqref="B4:B35">
    <cfRule type="cellIs" dxfId="6776" priority="2545" operator="lessThan">
      <formula>0</formula>
    </cfRule>
  </conditionalFormatting>
  <conditionalFormatting sqref="B4:B35">
    <cfRule type="cellIs" dxfId="6775" priority="2544" operator="lessThan">
      <formula>0</formula>
    </cfRule>
  </conditionalFormatting>
  <conditionalFormatting sqref="B4:B35">
    <cfRule type="cellIs" dxfId="6774" priority="2543" operator="lessThan">
      <formula>0</formula>
    </cfRule>
  </conditionalFormatting>
  <conditionalFormatting sqref="C4:C35">
    <cfRule type="cellIs" dxfId="6773" priority="2542" operator="lessThan">
      <formula>0</formula>
    </cfRule>
  </conditionalFormatting>
  <conditionalFormatting sqref="C4:C35">
    <cfRule type="cellIs" dxfId="6772" priority="2541" operator="lessThan">
      <formula>0</formula>
    </cfRule>
  </conditionalFormatting>
  <conditionalFormatting sqref="C4:C35">
    <cfRule type="cellIs" dxfId="6771" priority="2540" operator="lessThan">
      <formula>0</formula>
    </cfRule>
  </conditionalFormatting>
  <conditionalFormatting sqref="C4:C35">
    <cfRule type="cellIs" dxfId="6770" priority="2539" operator="lessThan">
      <formula>0</formula>
    </cfRule>
  </conditionalFormatting>
  <conditionalFormatting sqref="D4:D35">
    <cfRule type="cellIs" dxfId="6769" priority="2538" operator="lessThan">
      <formula>0</formula>
    </cfRule>
  </conditionalFormatting>
  <conditionalFormatting sqref="D4:D35">
    <cfRule type="cellIs" dxfId="6768" priority="2537" operator="lessThan">
      <formula>0</formula>
    </cfRule>
  </conditionalFormatting>
  <conditionalFormatting sqref="D4:D35">
    <cfRule type="cellIs" dxfId="6767" priority="2536" operator="lessThan">
      <formula>0</formula>
    </cfRule>
  </conditionalFormatting>
  <conditionalFormatting sqref="F4:F35">
    <cfRule type="cellIs" dxfId="6766" priority="2535" operator="lessThan">
      <formula>0</formula>
    </cfRule>
  </conditionalFormatting>
  <conditionalFormatting sqref="F4:F35">
    <cfRule type="cellIs" dxfId="6765" priority="2534" operator="lessThan">
      <formula>0</formula>
    </cfRule>
  </conditionalFormatting>
  <conditionalFormatting sqref="F4:F35">
    <cfRule type="cellIs" dxfId="6764" priority="2533" operator="lessThan">
      <formula>0</formula>
    </cfRule>
  </conditionalFormatting>
  <conditionalFormatting sqref="G4:G35">
    <cfRule type="cellIs" dxfId="6763" priority="2532" operator="lessThan">
      <formula>0</formula>
    </cfRule>
  </conditionalFormatting>
  <conditionalFormatting sqref="G4:G35">
    <cfRule type="cellIs" dxfId="6762" priority="2531" operator="lessThan">
      <formula>0</formula>
    </cfRule>
  </conditionalFormatting>
  <conditionalFormatting sqref="G4:G35">
    <cfRule type="cellIs" dxfId="6761" priority="2530" operator="lessThan">
      <formula>0</formula>
    </cfRule>
  </conditionalFormatting>
  <conditionalFormatting sqref="H4">
    <cfRule type="cellIs" dxfId="6760" priority="2529" operator="lessThan">
      <formula>0</formula>
    </cfRule>
  </conditionalFormatting>
  <conditionalFormatting sqref="H4">
    <cfRule type="cellIs" dxfId="6759" priority="2528" operator="lessThan">
      <formula>0</formula>
    </cfRule>
  </conditionalFormatting>
  <conditionalFormatting sqref="H4">
    <cfRule type="cellIs" dxfId="6758" priority="2527" operator="lessThan">
      <formula>0</formula>
    </cfRule>
  </conditionalFormatting>
  <conditionalFormatting sqref="I4">
    <cfRule type="cellIs" dxfId="6757" priority="2526" operator="lessThan">
      <formula>0</formula>
    </cfRule>
  </conditionalFormatting>
  <conditionalFormatting sqref="I4">
    <cfRule type="cellIs" dxfId="6756" priority="2525" operator="lessThan">
      <formula>0</formula>
    </cfRule>
  </conditionalFormatting>
  <conditionalFormatting sqref="I4">
    <cfRule type="cellIs" dxfId="6755" priority="2524" operator="lessThan">
      <formula>0</formula>
    </cfRule>
  </conditionalFormatting>
  <conditionalFormatting sqref="J4">
    <cfRule type="cellIs" dxfId="6754" priority="2523" operator="lessThan">
      <formula>0</formula>
    </cfRule>
  </conditionalFormatting>
  <conditionalFormatting sqref="J4">
    <cfRule type="cellIs" dxfId="6753" priority="2522" operator="lessThan">
      <formula>0</formula>
    </cfRule>
  </conditionalFormatting>
  <conditionalFormatting sqref="J4">
    <cfRule type="cellIs" dxfId="6752" priority="2521" operator="lessThan">
      <formula>0</formula>
    </cfRule>
  </conditionalFormatting>
  <conditionalFormatting sqref="E4:E35">
    <cfRule type="cellIs" dxfId="6751" priority="2520" operator="lessThan">
      <formula>0</formula>
    </cfRule>
  </conditionalFormatting>
  <conditionalFormatting sqref="E4:E35">
    <cfRule type="cellIs" dxfId="6750" priority="2519" operator="lessThan">
      <formula>0</formula>
    </cfRule>
  </conditionalFormatting>
  <conditionalFormatting sqref="J4">
    <cfRule type="cellIs" dxfId="6749" priority="2518" operator="lessThan">
      <formula>0</formula>
    </cfRule>
  </conditionalFormatting>
  <conditionalFormatting sqref="B4:B35">
    <cfRule type="cellIs" dxfId="6748" priority="2517" operator="lessThan">
      <formula>0</formula>
    </cfRule>
  </conditionalFormatting>
  <conditionalFormatting sqref="B4:B35">
    <cfRule type="cellIs" dxfId="6747" priority="2516" operator="lessThan">
      <formula>0</formula>
    </cfRule>
  </conditionalFormatting>
  <conditionalFormatting sqref="C4:C35">
    <cfRule type="cellIs" dxfId="6746" priority="2515" operator="lessThan">
      <formula>0</formula>
    </cfRule>
  </conditionalFormatting>
  <conditionalFormatting sqref="C4:C35">
    <cfRule type="cellIs" dxfId="6745" priority="2514" operator="lessThan">
      <formula>0</formula>
    </cfRule>
  </conditionalFormatting>
  <conditionalFormatting sqref="H4">
    <cfRule type="cellIs" dxfId="6744" priority="2513" operator="lessThan">
      <formula>0</formula>
    </cfRule>
  </conditionalFormatting>
  <conditionalFormatting sqref="H4">
    <cfRule type="cellIs" dxfId="6743" priority="2512" operator="lessThan">
      <formula>0</formula>
    </cfRule>
  </conditionalFormatting>
  <conditionalFormatting sqref="I4">
    <cfRule type="cellIs" dxfId="6742" priority="2511" operator="lessThan">
      <formula>0</formula>
    </cfRule>
  </conditionalFormatting>
  <conditionalFormatting sqref="I4">
    <cfRule type="cellIs" dxfId="6741" priority="2510" operator="lessThan">
      <formula>0</formula>
    </cfRule>
  </conditionalFormatting>
  <conditionalFormatting sqref="B4:B35">
    <cfRule type="cellIs" dxfId="6740" priority="2509" operator="lessThan">
      <formula>0</formula>
    </cfRule>
  </conditionalFormatting>
  <conditionalFormatting sqref="C4:C35">
    <cfRule type="cellIs" dxfId="6739" priority="2508" operator="lessThan">
      <formula>0</formula>
    </cfRule>
  </conditionalFormatting>
  <conditionalFormatting sqref="D4:D35">
    <cfRule type="cellIs" dxfId="6738" priority="2507" operator="lessThan">
      <formula>0</formula>
    </cfRule>
  </conditionalFormatting>
  <conditionalFormatting sqref="F4:F35">
    <cfRule type="cellIs" dxfId="6737" priority="2506" operator="lessThan">
      <formula>0</formula>
    </cfRule>
  </conditionalFormatting>
  <conditionalFormatting sqref="G4:G35">
    <cfRule type="cellIs" dxfId="6736" priority="2505" operator="lessThan">
      <formula>0</formula>
    </cfRule>
  </conditionalFormatting>
  <conditionalFormatting sqref="D4:E35">
    <cfRule type="cellIs" dxfId="6735" priority="2504" operator="lessThan">
      <formula>0</formula>
    </cfRule>
  </conditionalFormatting>
  <conditionalFormatting sqref="D4:D35">
    <cfRule type="cellIs" dxfId="6734" priority="2503" operator="lessThan">
      <formula>0</formula>
    </cfRule>
  </conditionalFormatting>
  <conditionalFormatting sqref="D4:D35">
    <cfRule type="cellIs" dxfId="6733" priority="2502" operator="lessThan">
      <formula>0</formula>
    </cfRule>
  </conditionalFormatting>
  <conditionalFormatting sqref="D4:D35">
    <cfRule type="cellIs" dxfId="6732" priority="2501" operator="lessThan">
      <formula>0</formula>
    </cfRule>
  </conditionalFormatting>
  <conditionalFormatting sqref="D4:D35">
    <cfRule type="cellIs" dxfId="6731" priority="2500" operator="lessThan">
      <formula>0</formula>
    </cfRule>
  </conditionalFormatting>
  <conditionalFormatting sqref="D4:D35">
    <cfRule type="cellIs" dxfId="6730" priority="2499" operator="lessThan">
      <formula>0</formula>
    </cfRule>
  </conditionalFormatting>
  <conditionalFormatting sqref="E4:E35">
    <cfRule type="cellIs" dxfId="6729" priority="2498" operator="lessThan">
      <formula>0</formula>
    </cfRule>
  </conditionalFormatting>
  <conditionalFormatting sqref="E4:E35">
    <cfRule type="cellIs" dxfId="6728" priority="2497" operator="lessThan">
      <formula>0</formula>
    </cfRule>
  </conditionalFormatting>
  <conditionalFormatting sqref="E4:E35">
    <cfRule type="cellIs" dxfId="6727" priority="2496" operator="lessThan">
      <formula>0</formula>
    </cfRule>
  </conditionalFormatting>
  <conditionalFormatting sqref="E4:E35">
    <cfRule type="cellIs" dxfId="6726" priority="2495" operator="lessThan">
      <formula>0</formula>
    </cfRule>
  </conditionalFormatting>
  <conditionalFormatting sqref="K4">
    <cfRule type="cellIs" dxfId="6725" priority="2494" operator="lessThan">
      <formula>0</formula>
    </cfRule>
  </conditionalFormatting>
  <conditionalFormatting sqref="K4">
    <cfRule type="cellIs" dxfId="6724" priority="2493" operator="lessThan">
      <formula>0</formula>
    </cfRule>
  </conditionalFormatting>
  <conditionalFormatting sqref="B4:B35">
    <cfRule type="cellIs" dxfId="6723" priority="2492" operator="lessThan">
      <formula>0</formula>
    </cfRule>
  </conditionalFormatting>
  <conditionalFormatting sqref="C4:C35">
    <cfRule type="cellIs" dxfId="6722" priority="2491" operator="lessThan">
      <formula>0</formula>
    </cfRule>
  </conditionalFormatting>
  <conditionalFormatting sqref="B4:B35">
    <cfRule type="cellIs" dxfId="6721" priority="2490" operator="lessThan">
      <formula>0</formula>
    </cfRule>
  </conditionalFormatting>
  <conditionalFormatting sqref="C4:C35">
    <cfRule type="cellIs" dxfId="6720" priority="2489" operator="lessThan">
      <formula>0</formula>
    </cfRule>
  </conditionalFormatting>
  <conditionalFormatting sqref="D4:D35">
    <cfRule type="cellIs" dxfId="6719" priority="2488" operator="lessThan">
      <formula>0</formula>
    </cfRule>
  </conditionalFormatting>
  <conditionalFormatting sqref="F4:F35">
    <cfRule type="cellIs" dxfId="6718" priority="2487" operator="lessThan">
      <formula>0</formula>
    </cfRule>
  </conditionalFormatting>
  <conditionalFormatting sqref="G4:G35">
    <cfRule type="cellIs" dxfId="6717" priority="2486" operator="lessThan">
      <formula>0</formula>
    </cfRule>
  </conditionalFormatting>
  <conditionalFormatting sqref="H4">
    <cfRule type="cellIs" dxfId="6716" priority="2485" operator="lessThan">
      <formula>0</formula>
    </cfRule>
  </conditionalFormatting>
  <conditionalFormatting sqref="I4">
    <cfRule type="cellIs" dxfId="6715" priority="2484" operator="lessThan">
      <formula>0</formula>
    </cfRule>
  </conditionalFormatting>
  <conditionalFormatting sqref="E4:E35">
    <cfRule type="cellIs" dxfId="6714" priority="2483" operator="lessThan">
      <formula>0</formula>
    </cfRule>
  </conditionalFormatting>
  <conditionalFormatting sqref="E4:E35">
    <cfRule type="cellIs" dxfId="6713" priority="2482" operator="lessThan">
      <formula>0</formula>
    </cfRule>
  </conditionalFormatting>
  <conditionalFormatting sqref="E4:E35">
    <cfRule type="cellIs" dxfId="6712" priority="2481" operator="lessThan">
      <formula>0</formula>
    </cfRule>
  </conditionalFormatting>
  <conditionalFormatting sqref="E4:E35">
    <cfRule type="cellIs" dxfId="6711" priority="2480" operator="lessThan">
      <formula>0</formula>
    </cfRule>
  </conditionalFormatting>
  <conditionalFormatting sqref="J4">
    <cfRule type="cellIs" dxfId="6710" priority="2479" operator="lessThan">
      <formula>0</formula>
    </cfRule>
  </conditionalFormatting>
  <conditionalFormatting sqref="E4:E35">
    <cfRule type="cellIs" dxfId="6709" priority="2478" operator="lessThan">
      <formula>0</formula>
    </cfRule>
  </conditionalFormatting>
  <conditionalFormatting sqref="E4:E35">
    <cfRule type="cellIs" dxfId="6708" priority="2477" operator="lessThan">
      <formula>0</formula>
    </cfRule>
  </conditionalFormatting>
  <conditionalFormatting sqref="E4:E35">
    <cfRule type="cellIs" dxfId="6707" priority="2476" operator="lessThan">
      <formula>0</formula>
    </cfRule>
  </conditionalFormatting>
  <conditionalFormatting sqref="E4:E35">
    <cfRule type="cellIs" dxfId="6706" priority="2475" operator="lessThan">
      <formula>0</formula>
    </cfRule>
  </conditionalFormatting>
  <conditionalFormatting sqref="E4:E35">
    <cfRule type="cellIs" dxfId="6705" priority="2474" operator="lessThan">
      <formula>0</formula>
    </cfRule>
  </conditionalFormatting>
  <conditionalFormatting sqref="E4:E35">
    <cfRule type="cellIs" dxfId="6704" priority="2473" operator="lessThan">
      <formula>0</formula>
    </cfRule>
  </conditionalFormatting>
  <conditionalFormatting sqref="D4:D35">
    <cfRule type="cellIs" dxfId="6703" priority="2472" operator="lessThan">
      <formula>0</formula>
    </cfRule>
  </conditionalFormatting>
  <conditionalFormatting sqref="D4:D35">
    <cfRule type="cellIs" dxfId="6702" priority="2471" operator="lessThan">
      <formula>0</formula>
    </cfRule>
  </conditionalFormatting>
  <conditionalFormatting sqref="D4:D35">
    <cfRule type="cellIs" dxfId="6701" priority="2470" operator="lessThan">
      <formula>0</formula>
    </cfRule>
  </conditionalFormatting>
  <conditionalFormatting sqref="D4:D35">
    <cfRule type="cellIs" dxfId="6700" priority="2469" operator="lessThan">
      <formula>0</formula>
    </cfRule>
  </conditionalFormatting>
  <conditionalFormatting sqref="D4:D35">
    <cfRule type="cellIs" dxfId="6699" priority="2468" operator="lessThan">
      <formula>0</formula>
    </cfRule>
  </conditionalFormatting>
  <conditionalFormatting sqref="D4:D35">
    <cfRule type="cellIs" dxfId="6698" priority="2467" operator="lessThan">
      <formula>0</formula>
    </cfRule>
  </conditionalFormatting>
  <conditionalFormatting sqref="D4:D35">
    <cfRule type="cellIs" dxfId="6697" priority="2466" operator="lessThan">
      <formula>0</formula>
    </cfRule>
  </conditionalFormatting>
  <conditionalFormatting sqref="D4:D35">
    <cfRule type="cellIs" dxfId="6696" priority="2465" operator="lessThan">
      <formula>0</formula>
    </cfRule>
  </conditionalFormatting>
  <conditionalFormatting sqref="D4:D35">
    <cfRule type="cellIs" dxfId="6695" priority="2464" operator="lessThan">
      <formula>0</formula>
    </cfRule>
  </conditionalFormatting>
  <conditionalFormatting sqref="D4:D35">
    <cfRule type="cellIs" dxfId="6694" priority="2463" operator="lessThan">
      <formula>0</formula>
    </cfRule>
  </conditionalFormatting>
  <conditionalFormatting sqref="D4:D35">
    <cfRule type="cellIs" dxfId="6693" priority="2462" operator="lessThan">
      <formula>0</formula>
    </cfRule>
  </conditionalFormatting>
  <conditionalFormatting sqref="D4:D35">
    <cfRule type="cellIs" dxfId="6692" priority="2461" operator="lessThan">
      <formula>0</formula>
    </cfRule>
  </conditionalFormatting>
  <conditionalFormatting sqref="D4:D35">
    <cfRule type="cellIs" dxfId="6691" priority="2460" operator="lessThan">
      <formula>0</formula>
    </cfRule>
  </conditionalFormatting>
  <conditionalFormatting sqref="D4:D35">
    <cfRule type="cellIs" dxfId="6690" priority="2459" operator="lessThan">
      <formula>0</formula>
    </cfRule>
  </conditionalFormatting>
  <conditionalFormatting sqref="B4:B35">
    <cfRule type="cellIs" dxfId="6689" priority="2458" operator="lessThan">
      <formula>0</formula>
    </cfRule>
  </conditionalFormatting>
  <conditionalFormatting sqref="C4:C35">
    <cfRule type="cellIs" dxfId="6688" priority="2457" operator="lessThan">
      <formula>0</formula>
    </cfRule>
  </conditionalFormatting>
  <conditionalFormatting sqref="F4:F35">
    <cfRule type="cellIs" dxfId="6687" priority="2456" operator="lessThan">
      <formula>0</formula>
    </cfRule>
  </conditionalFormatting>
  <conditionalFormatting sqref="G4:G35">
    <cfRule type="cellIs" dxfId="6686" priority="2455" operator="lessThan">
      <formula>0</formula>
    </cfRule>
  </conditionalFormatting>
  <conditionalFormatting sqref="D4:D35">
    <cfRule type="cellIs" dxfId="6685" priority="2454" operator="lessThan">
      <formula>0</formula>
    </cfRule>
  </conditionalFormatting>
  <conditionalFormatting sqref="B30:B35">
    <cfRule type="cellIs" dxfId="6684" priority="2453" operator="lessThan">
      <formula>0</formula>
    </cfRule>
  </conditionalFormatting>
  <conditionalFormatting sqref="C30:C35">
    <cfRule type="cellIs" dxfId="6683" priority="2452" operator="lessThan">
      <formula>0</formula>
    </cfRule>
  </conditionalFormatting>
  <conditionalFormatting sqref="D5:D35">
    <cfRule type="cellIs" dxfId="6682" priority="2451" operator="lessThan">
      <formula>0</formula>
    </cfRule>
  </conditionalFormatting>
  <conditionalFormatting sqref="F30:F35">
    <cfRule type="cellIs" dxfId="6681" priority="2450" operator="lessThan">
      <formula>0</formula>
    </cfRule>
  </conditionalFormatting>
  <conditionalFormatting sqref="G30:G35">
    <cfRule type="cellIs" dxfId="6680" priority="2449" operator="lessThan">
      <formula>0</formula>
    </cfRule>
  </conditionalFormatting>
  <conditionalFormatting sqref="G30">
    <cfRule type="cellIs" dxfId="6679" priority="2448" operator="lessThan">
      <formula>0</formula>
    </cfRule>
  </conditionalFormatting>
  <conditionalFormatting sqref="B4:B35">
    <cfRule type="cellIs" dxfId="6678" priority="2447" operator="lessThan">
      <formula>0</formula>
    </cfRule>
  </conditionalFormatting>
  <conditionalFormatting sqref="C4:C35">
    <cfRule type="cellIs" dxfId="6677" priority="2446" operator="lessThan">
      <formula>0</formula>
    </cfRule>
  </conditionalFormatting>
  <conditionalFormatting sqref="D4:D35">
    <cfRule type="cellIs" dxfId="6676" priority="2445" operator="lessThan">
      <formula>0</formula>
    </cfRule>
  </conditionalFormatting>
  <conditionalFormatting sqref="F4:F35">
    <cfRule type="cellIs" dxfId="6675" priority="2444" operator="lessThan">
      <formula>0</formula>
    </cfRule>
  </conditionalFormatting>
  <conditionalFormatting sqref="G4:G35">
    <cfRule type="cellIs" dxfId="6674" priority="2443" operator="lessThan">
      <formula>0</formula>
    </cfRule>
  </conditionalFormatting>
  <conditionalFormatting sqref="H4">
    <cfRule type="cellIs" dxfId="6673" priority="2442" operator="lessThan">
      <formula>0</formula>
    </cfRule>
  </conditionalFormatting>
  <conditionalFormatting sqref="I4">
    <cfRule type="cellIs" dxfId="6672" priority="2441" operator="lessThan">
      <formula>0</formula>
    </cfRule>
  </conditionalFormatting>
  <conditionalFormatting sqref="J4">
    <cfRule type="cellIs" dxfId="6671" priority="2440" operator="lessThan">
      <formula>0</formula>
    </cfRule>
  </conditionalFormatting>
  <conditionalFormatting sqref="B4:B35">
    <cfRule type="cellIs" dxfId="6670" priority="2439" operator="lessThan">
      <formula>0</formula>
    </cfRule>
  </conditionalFormatting>
  <conditionalFormatting sqref="B4:B35">
    <cfRule type="cellIs" dxfId="6669" priority="2438" operator="lessThan">
      <formula>0</formula>
    </cfRule>
  </conditionalFormatting>
  <conditionalFormatting sqref="B4:B35">
    <cfRule type="cellIs" dxfId="6668" priority="2437" operator="lessThan">
      <formula>0</formula>
    </cfRule>
  </conditionalFormatting>
  <conditionalFormatting sqref="B4:B35">
    <cfRule type="cellIs" dxfId="6667" priority="2436" operator="lessThan">
      <formula>0</formula>
    </cfRule>
  </conditionalFormatting>
  <conditionalFormatting sqref="C4:C35">
    <cfRule type="cellIs" dxfId="6666" priority="2435" operator="lessThan">
      <formula>0</formula>
    </cfRule>
  </conditionalFormatting>
  <conditionalFormatting sqref="C4:C35">
    <cfRule type="cellIs" dxfId="6665" priority="2434" operator="lessThan">
      <formula>0</formula>
    </cfRule>
  </conditionalFormatting>
  <conditionalFormatting sqref="C4:C35">
    <cfRule type="cellIs" dxfId="6664" priority="2433" operator="lessThan">
      <formula>0</formula>
    </cfRule>
  </conditionalFormatting>
  <conditionalFormatting sqref="C4:C35">
    <cfRule type="cellIs" dxfId="6663" priority="2432" operator="lessThan">
      <formula>0</formula>
    </cfRule>
  </conditionalFormatting>
  <conditionalFormatting sqref="D4:D35">
    <cfRule type="cellIs" dxfId="6662" priority="2431" operator="lessThan">
      <formula>0</formula>
    </cfRule>
  </conditionalFormatting>
  <conditionalFormatting sqref="D4:D35">
    <cfRule type="cellIs" dxfId="6661" priority="2430" operator="lessThan">
      <formula>0</formula>
    </cfRule>
  </conditionalFormatting>
  <conditionalFormatting sqref="D4:D35">
    <cfRule type="cellIs" dxfId="6660" priority="2429" operator="lessThan">
      <formula>0</formula>
    </cfRule>
  </conditionalFormatting>
  <conditionalFormatting sqref="F4:F35">
    <cfRule type="cellIs" dxfId="6659" priority="2428" operator="lessThan">
      <formula>0</formula>
    </cfRule>
  </conditionalFormatting>
  <conditionalFormatting sqref="F4:F35">
    <cfRule type="cellIs" dxfId="6658" priority="2427" operator="lessThan">
      <formula>0</formula>
    </cfRule>
  </conditionalFormatting>
  <conditionalFormatting sqref="F4:F35">
    <cfRule type="cellIs" dxfId="6657" priority="2426" operator="lessThan">
      <formula>0</formula>
    </cfRule>
  </conditionalFormatting>
  <conditionalFormatting sqref="G4:G35">
    <cfRule type="cellIs" dxfId="6656" priority="2425" operator="lessThan">
      <formula>0</formula>
    </cfRule>
  </conditionalFormatting>
  <conditionalFormatting sqref="G4:G35">
    <cfRule type="cellIs" dxfId="6655" priority="2424" operator="lessThan">
      <formula>0</formula>
    </cfRule>
  </conditionalFormatting>
  <conditionalFormatting sqref="G4:G35">
    <cfRule type="cellIs" dxfId="6654" priority="2423" operator="lessThan">
      <formula>0</formula>
    </cfRule>
  </conditionalFormatting>
  <conditionalFormatting sqref="H4">
    <cfRule type="cellIs" dxfId="6653" priority="2422" operator="lessThan">
      <formula>0</formula>
    </cfRule>
  </conditionalFormatting>
  <conditionalFormatting sqref="H4">
    <cfRule type="cellIs" dxfId="6652" priority="2421" operator="lessThan">
      <formula>0</formula>
    </cfRule>
  </conditionalFormatting>
  <conditionalFormatting sqref="H4">
    <cfRule type="cellIs" dxfId="6651" priority="2420" operator="lessThan">
      <formula>0</formula>
    </cfRule>
  </conditionalFormatting>
  <conditionalFormatting sqref="I4">
    <cfRule type="cellIs" dxfId="6650" priority="2419" operator="lessThan">
      <formula>0</formula>
    </cfRule>
  </conditionalFormatting>
  <conditionalFormatting sqref="I4">
    <cfRule type="cellIs" dxfId="6649" priority="2418" operator="lessThan">
      <formula>0</formula>
    </cfRule>
  </conditionalFormatting>
  <conditionalFormatting sqref="I4">
    <cfRule type="cellIs" dxfId="6648" priority="2417" operator="lessThan">
      <formula>0</formula>
    </cfRule>
  </conditionalFormatting>
  <conditionalFormatting sqref="J4">
    <cfRule type="cellIs" dxfId="6647" priority="2416" operator="lessThan">
      <formula>0</formula>
    </cfRule>
  </conditionalFormatting>
  <conditionalFormatting sqref="J4">
    <cfRule type="cellIs" dxfId="6646" priority="2415" operator="lessThan">
      <formula>0</formula>
    </cfRule>
  </conditionalFormatting>
  <conditionalFormatting sqref="J4">
    <cfRule type="cellIs" dxfId="6645" priority="2414" operator="lessThan">
      <formula>0</formula>
    </cfRule>
  </conditionalFormatting>
  <conditionalFormatting sqref="E4:E35">
    <cfRule type="cellIs" dxfId="6644" priority="2413" operator="lessThan">
      <formula>0</formula>
    </cfRule>
  </conditionalFormatting>
  <conditionalFormatting sqref="E4:E35">
    <cfRule type="cellIs" dxfId="6643" priority="2412" operator="lessThan">
      <formula>0</formula>
    </cfRule>
  </conditionalFormatting>
  <conditionalFormatting sqref="D4:D35">
    <cfRule type="cellIs" dxfId="6642" priority="2411" operator="lessThan">
      <formula>0</formula>
    </cfRule>
  </conditionalFormatting>
  <conditionalFormatting sqref="E4:E35">
    <cfRule type="cellIs" dxfId="6641" priority="2410" operator="lessThan">
      <formula>0</formula>
    </cfRule>
  </conditionalFormatting>
  <conditionalFormatting sqref="E4:E35">
    <cfRule type="cellIs" dxfId="6640" priority="2409" operator="lessThan">
      <formula>0</formula>
    </cfRule>
  </conditionalFormatting>
  <conditionalFormatting sqref="E4:E35">
    <cfRule type="cellIs" dxfId="6639" priority="2408" operator="lessThan">
      <formula>0</formula>
    </cfRule>
  </conditionalFormatting>
  <conditionalFormatting sqref="E4:E35">
    <cfRule type="cellIs" dxfId="6638" priority="2407" operator="lessThan">
      <formula>0</formula>
    </cfRule>
  </conditionalFormatting>
  <conditionalFormatting sqref="J4">
    <cfRule type="cellIs" dxfId="6637" priority="2406" operator="lessThan">
      <formula>0</formula>
    </cfRule>
  </conditionalFormatting>
  <conditionalFormatting sqref="E4:E35">
    <cfRule type="cellIs" dxfId="6636" priority="2405" operator="lessThan">
      <formula>0</formula>
    </cfRule>
  </conditionalFormatting>
  <conditionalFormatting sqref="E4:E35">
    <cfRule type="cellIs" dxfId="6635" priority="2404" operator="lessThan">
      <formula>0</formula>
    </cfRule>
  </conditionalFormatting>
  <conditionalFormatting sqref="E4:E35">
    <cfRule type="cellIs" dxfId="6634" priority="2403" operator="lessThan">
      <formula>0</formula>
    </cfRule>
  </conditionalFormatting>
  <conditionalFormatting sqref="E4:E35">
    <cfRule type="cellIs" dxfId="6633" priority="2402" operator="lessThan">
      <formula>0</formula>
    </cfRule>
  </conditionalFormatting>
  <conditionalFormatting sqref="E4:E35">
    <cfRule type="cellIs" dxfId="6632" priority="2401" operator="lessThan">
      <formula>0</formula>
    </cfRule>
  </conditionalFormatting>
  <conditionalFormatting sqref="E4:E35">
    <cfRule type="cellIs" dxfId="6631" priority="2400" operator="lessThan">
      <formula>0</formula>
    </cfRule>
  </conditionalFormatting>
  <conditionalFormatting sqref="E4:E35">
    <cfRule type="cellIs" dxfId="6630" priority="2399" operator="lessThan">
      <formula>0</formula>
    </cfRule>
  </conditionalFormatting>
  <conditionalFormatting sqref="E4:E35">
    <cfRule type="cellIs" dxfId="6629" priority="2398" operator="lessThan">
      <formula>0</formula>
    </cfRule>
  </conditionalFormatting>
  <conditionalFormatting sqref="B4:B35">
    <cfRule type="cellIs" dxfId="6628" priority="2397" operator="lessThan">
      <formula>0</formula>
    </cfRule>
  </conditionalFormatting>
  <conditionalFormatting sqref="B4:B35">
    <cfRule type="cellIs" dxfId="6627" priority="2396" operator="lessThan">
      <formula>0</formula>
    </cfRule>
  </conditionalFormatting>
  <conditionalFormatting sqref="C4:C35">
    <cfRule type="cellIs" dxfId="6626" priority="2395" operator="lessThan">
      <formula>0</formula>
    </cfRule>
  </conditionalFormatting>
  <conditionalFormatting sqref="C4:C35">
    <cfRule type="cellIs" dxfId="6625" priority="2394" operator="lessThan">
      <formula>0</formula>
    </cfRule>
  </conditionalFormatting>
  <conditionalFormatting sqref="D4:D35">
    <cfRule type="cellIs" dxfId="6624" priority="2393" operator="lessThan">
      <formula>0</formula>
    </cfRule>
  </conditionalFormatting>
  <conditionalFormatting sqref="D4:D35">
    <cfRule type="cellIs" dxfId="6623" priority="2392" operator="lessThan">
      <formula>0</formula>
    </cfRule>
  </conditionalFormatting>
  <conditionalFormatting sqref="D4:D35">
    <cfRule type="cellIs" dxfId="6622" priority="2391" operator="lessThan">
      <formula>0</formula>
    </cfRule>
  </conditionalFormatting>
  <conditionalFormatting sqref="D4:D35">
    <cfRule type="cellIs" dxfId="6621" priority="2390" operator="lessThan">
      <formula>0</formula>
    </cfRule>
  </conditionalFormatting>
  <conditionalFormatting sqref="D4:D35">
    <cfRule type="cellIs" dxfId="6620" priority="2389" operator="lessThan">
      <formula>0</formula>
    </cfRule>
  </conditionalFormatting>
  <conditionalFormatting sqref="D4:D35">
    <cfRule type="cellIs" dxfId="6619" priority="2388" operator="lessThan">
      <formula>0</formula>
    </cfRule>
  </conditionalFormatting>
  <conditionalFormatting sqref="D4:D35">
    <cfRule type="cellIs" dxfId="6618" priority="2387" operator="lessThan">
      <formula>0</formula>
    </cfRule>
  </conditionalFormatting>
  <conditionalFormatting sqref="D4:D35">
    <cfRule type="cellIs" dxfId="6617" priority="2386" operator="lessThan">
      <formula>0</formula>
    </cfRule>
  </conditionalFormatting>
  <conditionalFormatting sqref="D4:D35">
    <cfRule type="cellIs" dxfId="6616" priority="2385" operator="lessThan">
      <formula>0</formula>
    </cfRule>
  </conditionalFormatting>
  <conditionalFormatting sqref="D4:D35">
    <cfRule type="cellIs" dxfId="6615" priority="2384" operator="lessThan">
      <formula>0</formula>
    </cfRule>
  </conditionalFormatting>
  <conditionalFormatting sqref="D4:D35">
    <cfRule type="cellIs" dxfId="6614" priority="2383" operator="lessThan">
      <formula>0</formula>
    </cfRule>
  </conditionalFormatting>
  <conditionalFormatting sqref="D4:D35">
    <cfRule type="cellIs" dxfId="6613" priority="2382" operator="lessThan">
      <formula>0</formula>
    </cfRule>
  </conditionalFormatting>
  <conditionalFormatting sqref="D4:D35">
    <cfRule type="cellIs" dxfId="6612" priority="2381" operator="lessThan">
      <formula>0</formula>
    </cfRule>
  </conditionalFormatting>
  <conditionalFormatting sqref="D4:D35">
    <cfRule type="cellIs" dxfId="6611" priority="2380" operator="lessThan">
      <formula>0</formula>
    </cfRule>
  </conditionalFormatting>
  <conditionalFormatting sqref="H4">
    <cfRule type="cellIs" dxfId="6610" priority="2379" operator="lessThan">
      <formula>0</formula>
    </cfRule>
  </conditionalFormatting>
  <conditionalFormatting sqref="H4">
    <cfRule type="cellIs" dxfId="6609" priority="2378" operator="lessThan">
      <formula>0</formula>
    </cfRule>
  </conditionalFormatting>
  <conditionalFormatting sqref="I4">
    <cfRule type="cellIs" dxfId="6608" priority="2377" operator="lessThan">
      <formula>0</formula>
    </cfRule>
  </conditionalFormatting>
  <conditionalFormatting sqref="I4">
    <cfRule type="cellIs" dxfId="6607" priority="2376" operator="lessThan">
      <formula>0</formula>
    </cfRule>
  </conditionalFormatting>
  <conditionalFormatting sqref="E4:E35">
    <cfRule type="cellIs" dxfId="6606" priority="2375" operator="lessThan">
      <formula>0</formula>
    </cfRule>
  </conditionalFormatting>
  <conditionalFormatting sqref="B4:B35">
    <cfRule type="cellIs" dxfId="6605" priority="2374" operator="lessThan">
      <formula>0</formula>
    </cfRule>
  </conditionalFormatting>
  <conditionalFormatting sqref="C4:C35">
    <cfRule type="cellIs" dxfId="6604" priority="2373" operator="lessThan">
      <formula>0</formula>
    </cfRule>
  </conditionalFormatting>
  <conditionalFormatting sqref="D4:D35">
    <cfRule type="cellIs" dxfId="6603" priority="2372" operator="lessThan">
      <formula>0</formula>
    </cfRule>
  </conditionalFormatting>
  <conditionalFormatting sqref="F4:F35">
    <cfRule type="cellIs" dxfId="6602" priority="2371" operator="lessThan">
      <formula>0</formula>
    </cfRule>
  </conditionalFormatting>
  <conditionalFormatting sqref="G4:G35">
    <cfRule type="cellIs" dxfId="6601" priority="2370" operator="lessThan">
      <formula>0</formula>
    </cfRule>
  </conditionalFormatting>
  <conditionalFormatting sqref="B4:B35">
    <cfRule type="cellIs" dxfId="6600" priority="2369" operator="lessThan">
      <formula>0</formula>
    </cfRule>
  </conditionalFormatting>
  <conditionalFormatting sqref="C4:C35">
    <cfRule type="cellIs" dxfId="6599" priority="2368" operator="lessThan">
      <formula>0</formula>
    </cfRule>
  </conditionalFormatting>
  <conditionalFormatting sqref="D4:D35">
    <cfRule type="cellIs" dxfId="6598" priority="2367" operator="lessThan">
      <formula>0</formula>
    </cfRule>
  </conditionalFormatting>
  <conditionalFormatting sqref="F4:F35">
    <cfRule type="cellIs" dxfId="6597" priority="2366" operator="lessThan">
      <formula>0</formula>
    </cfRule>
  </conditionalFormatting>
  <conditionalFormatting sqref="G4:G35">
    <cfRule type="cellIs" dxfId="6596" priority="2365" operator="lessThan">
      <formula>0</formula>
    </cfRule>
  </conditionalFormatting>
  <conditionalFormatting sqref="B19:B29">
    <cfRule type="cellIs" dxfId="6595" priority="2364" operator="lessThan">
      <formula>0</formula>
    </cfRule>
  </conditionalFormatting>
  <conditionalFormatting sqref="C19:C29">
    <cfRule type="cellIs" dxfId="6594" priority="2363" operator="lessThan">
      <formula>0</formula>
    </cfRule>
  </conditionalFormatting>
  <conditionalFormatting sqref="F19:F29">
    <cfRule type="cellIs" dxfId="6593" priority="2362" operator="lessThan">
      <formula>0</formula>
    </cfRule>
  </conditionalFormatting>
  <conditionalFormatting sqref="G19:G29">
    <cfRule type="cellIs" dxfId="6592" priority="2361" operator="lessThan">
      <formula>0</formula>
    </cfRule>
  </conditionalFormatting>
  <conditionalFormatting sqref="E4:E35">
    <cfRule type="cellIs" dxfId="6591" priority="2360" operator="lessThan">
      <formula>0</formula>
    </cfRule>
  </conditionalFormatting>
  <conditionalFormatting sqref="E4:E35">
    <cfRule type="cellIs" dxfId="6590" priority="2359" operator="lessThan">
      <formula>0</formula>
    </cfRule>
  </conditionalFormatting>
  <conditionalFormatting sqref="E4:E35">
    <cfRule type="cellIs" dxfId="6589" priority="2358" operator="lessThan">
      <formula>0</formula>
    </cfRule>
  </conditionalFormatting>
  <conditionalFormatting sqref="E4:E35">
    <cfRule type="cellIs" dxfId="6588" priority="2357" operator="lessThan">
      <formula>0</formula>
    </cfRule>
  </conditionalFormatting>
  <conditionalFormatting sqref="E4:E35">
    <cfRule type="cellIs" dxfId="6587" priority="2356" operator="lessThan">
      <formula>0</formula>
    </cfRule>
  </conditionalFormatting>
  <conditionalFormatting sqref="E4:E35">
    <cfRule type="cellIs" dxfId="6586" priority="2355" operator="lessThan">
      <formula>0</formula>
    </cfRule>
  </conditionalFormatting>
  <conditionalFormatting sqref="E4:E35">
    <cfRule type="cellIs" dxfId="6585" priority="2354" operator="lessThan">
      <formula>0</formula>
    </cfRule>
  </conditionalFormatting>
  <conditionalFormatting sqref="E4:E35">
    <cfRule type="cellIs" dxfId="6584" priority="2353" operator="lessThan">
      <formula>0</formula>
    </cfRule>
  </conditionalFormatting>
  <conditionalFormatting sqref="E4:E35">
    <cfRule type="cellIs" dxfId="6583" priority="2352" operator="lessThan">
      <formula>0</formula>
    </cfRule>
  </conditionalFormatting>
  <conditionalFormatting sqref="E4:E35">
    <cfRule type="cellIs" dxfId="6582" priority="2351" operator="lessThan">
      <formula>0</formula>
    </cfRule>
  </conditionalFormatting>
  <conditionalFormatting sqref="E4:E35">
    <cfRule type="cellIs" dxfId="6581" priority="2350" operator="lessThan">
      <formula>0</formula>
    </cfRule>
  </conditionalFormatting>
  <conditionalFormatting sqref="E4:E35">
    <cfRule type="cellIs" dxfId="6580" priority="2349" operator="lessThan">
      <formula>0</formula>
    </cfRule>
  </conditionalFormatting>
  <conditionalFormatting sqref="E23:E35">
    <cfRule type="cellIs" dxfId="6579" priority="2348" operator="lessThan">
      <formula>0</formula>
    </cfRule>
  </conditionalFormatting>
  <conditionalFormatting sqref="E5:E35">
    <cfRule type="cellIs" dxfId="6578" priority="2347" operator="lessThan">
      <formula>0</formula>
    </cfRule>
  </conditionalFormatting>
  <conditionalFormatting sqref="E4:E35">
    <cfRule type="cellIs" dxfId="6577" priority="2346" operator="lessThan">
      <formula>0</formula>
    </cfRule>
  </conditionalFormatting>
  <conditionalFormatting sqref="E4:E35">
    <cfRule type="cellIs" dxfId="6576" priority="2345" operator="lessThan">
      <formula>0</formula>
    </cfRule>
  </conditionalFormatting>
  <conditionalFormatting sqref="E4:E35">
    <cfRule type="cellIs" dxfId="6575" priority="2344" operator="lessThan">
      <formula>0</formula>
    </cfRule>
  </conditionalFormatting>
  <conditionalFormatting sqref="E4:E35">
    <cfRule type="cellIs" dxfId="6574" priority="2343" operator="lessThan">
      <formula>0</formula>
    </cfRule>
  </conditionalFormatting>
  <conditionalFormatting sqref="E4:E35">
    <cfRule type="cellIs" dxfId="6573" priority="2342" operator="lessThan">
      <formula>0</formula>
    </cfRule>
  </conditionalFormatting>
  <conditionalFormatting sqref="E5:E35">
    <cfRule type="cellIs" dxfId="6572" priority="2341" operator="lessThan">
      <formula>0</formula>
    </cfRule>
  </conditionalFormatting>
  <conditionalFormatting sqref="E4:E35">
    <cfRule type="cellIs" dxfId="6571" priority="2340" operator="lessThan">
      <formula>0</formula>
    </cfRule>
  </conditionalFormatting>
  <conditionalFormatting sqref="E4:E35">
    <cfRule type="cellIs" dxfId="6570" priority="2339" operator="lessThan">
      <formula>0</formula>
    </cfRule>
  </conditionalFormatting>
  <conditionalFormatting sqref="E5:E35">
    <cfRule type="cellIs" dxfId="6569" priority="2338" operator="lessThan">
      <formula>0</formula>
    </cfRule>
  </conditionalFormatting>
  <conditionalFormatting sqref="E5:E35">
    <cfRule type="cellIs" dxfId="6568" priority="2337" operator="lessThan">
      <formula>0</formula>
    </cfRule>
  </conditionalFormatting>
  <conditionalFormatting sqref="E5:E35">
    <cfRule type="cellIs" dxfId="6567" priority="2336" operator="lessThan">
      <formula>0</formula>
    </cfRule>
  </conditionalFormatting>
  <conditionalFormatting sqref="E5:E35">
    <cfRule type="cellIs" dxfId="6566" priority="2335" operator="lessThan">
      <formula>0</formula>
    </cfRule>
  </conditionalFormatting>
  <conditionalFormatting sqref="E5:E35">
    <cfRule type="cellIs" dxfId="6565" priority="2334" operator="lessThan">
      <formula>0</formula>
    </cfRule>
  </conditionalFormatting>
  <conditionalFormatting sqref="E5:E35">
    <cfRule type="cellIs" dxfId="6564" priority="2333" operator="lessThan">
      <formula>0</formula>
    </cfRule>
  </conditionalFormatting>
  <conditionalFormatting sqref="E5:E35">
    <cfRule type="cellIs" dxfId="6563" priority="2332" operator="lessThan">
      <formula>0</formula>
    </cfRule>
  </conditionalFormatting>
  <conditionalFormatting sqref="E23:E35">
    <cfRule type="cellIs" dxfId="6562" priority="2331" operator="lessThan">
      <formula>0</formula>
    </cfRule>
  </conditionalFormatting>
  <conditionalFormatting sqref="E5:E35">
    <cfRule type="cellIs" dxfId="6561" priority="2330" operator="lessThan">
      <formula>0</formula>
    </cfRule>
  </conditionalFormatting>
  <conditionalFormatting sqref="E5:E35">
    <cfRule type="cellIs" dxfId="6560" priority="2329" operator="lessThan">
      <formula>0</formula>
    </cfRule>
  </conditionalFormatting>
  <conditionalFormatting sqref="E5:E35">
    <cfRule type="cellIs" dxfId="6559" priority="2328" operator="lessThan">
      <formula>0</formula>
    </cfRule>
  </conditionalFormatting>
  <conditionalFormatting sqref="E5:E35">
    <cfRule type="cellIs" dxfId="6558" priority="2327" operator="lessThan">
      <formula>0</formula>
    </cfRule>
  </conditionalFormatting>
  <conditionalFormatting sqref="E5:E35">
    <cfRule type="cellIs" dxfId="6557" priority="2326" operator="lessThan">
      <formula>0</formula>
    </cfRule>
  </conditionalFormatting>
  <conditionalFormatting sqref="E5:E35">
    <cfRule type="cellIs" dxfId="6556" priority="2325" operator="lessThan">
      <formula>0</formula>
    </cfRule>
  </conditionalFormatting>
  <conditionalFormatting sqref="E5:E35">
    <cfRule type="cellIs" dxfId="6555" priority="2324" operator="lessThan">
      <formula>0</formula>
    </cfRule>
  </conditionalFormatting>
  <conditionalFormatting sqref="E23:E35">
    <cfRule type="cellIs" dxfId="6554" priority="2323" operator="lessThan">
      <formula>0</formula>
    </cfRule>
  </conditionalFormatting>
  <conditionalFormatting sqref="E5:E35">
    <cfRule type="cellIs" dxfId="6553" priority="2322" operator="lessThan">
      <formula>0</formula>
    </cfRule>
  </conditionalFormatting>
  <conditionalFormatting sqref="E5:E35">
    <cfRule type="cellIs" dxfId="6552" priority="2321" operator="lessThan">
      <formula>0</formula>
    </cfRule>
  </conditionalFormatting>
  <conditionalFormatting sqref="E4:E35">
    <cfRule type="cellIs" dxfId="6551" priority="2320" operator="lessThan">
      <formula>0</formula>
    </cfRule>
  </conditionalFormatting>
  <conditionalFormatting sqref="E4:E35">
    <cfRule type="cellIs" dxfId="6550" priority="2319" operator="lessThan">
      <formula>0</formula>
    </cfRule>
  </conditionalFormatting>
  <conditionalFormatting sqref="E4:E35">
    <cfRule type="cellIs" dxfId="6549" priority="2318" operator="lessThan">
      <formula>0</formula>
    </cfRule>
  </conditionalFormatting>
  <conditionalFormatting sqref="E4:E35">
    <cfRule type="cellIs" dxfId="6548" priority="2317" operator="lessThan">
      <formula>0</formula>
    </cfRule>
  </conditionalFormatting>
  <conditionalFormatting sqref="E4:E35">
    <cfRule type="cellIs" dxfId="6547" priority="2316" operator="lessThan">
      <formula>0</formula>
    </cfRule>
  </conditionalFormatting>
  <conditionalFormatting sqref="E4:E35">
    <cfRule type="cellIs" dxfId="6546" priority="2315" operator="lessThan">
      <formula>0</formula>
    </cfRule>
  </conditionalFormatting>
  <conditionalFormatting sqref="E4:E35">
    <cfRule type="cellIs" dxfId="6545" priority="2314" operator="lessThan">
      <formula>0</formula>
    </cfRule>
  </conditionalFormatting>
  <conditionalFormatting sqref="E4:E35">
    <cfRule type="cellIs" dxfId="6544" priority="2313" operator="lessThan">
      <formula>0</formula>
    </cfRule>
  </conditionalFormatting>
  <conditionalFormatting sqref="E4:E35">
    <cfRule type="cellIs" dxfId="6543" priority="2312" operator="lessThan">
      <formula>0</formula>
    </cfRule>
  </conditionalFormatting>
  <conditionalFormatting sqref="E4:E35">
    <cfRule type="cellIs" dxfId="6542" priority="2311" operator="lessThan">
      <formula>0</formula>
    </cfRule>
  </conditionalFormatting>
  <conditionalFormatting sqref="E4:E35">
    <cfRule type="cellIs" dxfId="6541" priority="2310" operator="lessThan">
      <formula>0</formula>
    </cfRule>
  </conditionalFormatting>
  <conditionalFormatting sqref="E4:E35">
    <cfRule type="cellIs" dxfId="6540" priority="2309" operator="lessThan">
      <formula>0</formula>
    </cfRule>
  </conditionalFormatting>
  <conditionalFormatting sqref="E4:E35">
    <cfRule type="cellIs" dxfId="6539" priority="2308" operator="lessThan">
      <formula>0</formula>
    </cfRule>
  </conditionalFormatting>
  <conditionalFormatting sqref="E4:E35">
    <cfRule type="cellIs" dxfId="6538" priority="2307" operator="lessThan">
      <formula>0</formula>
    </cfRule>
  </conditionalFormatting>
  <conditionalFormatting sqref="E4:E35">
    <cfRule type="cellIs" dxfId="6537" priority="2306" operator="lessThan">
      <formula>0</formula>
    </cfRule>
  </conditionalFormatting>
  <conditionalFormatting sqref="E4:E35">
    <cfRule type="cellIs" dxfId="6536" priority="2305" operator="lessThan">
      <formula>0</formula>
    </cfRule>
  </conditionalFormatting>
  <conditionalFormatting sqref="E4:E35">
    <cfRule type="cellIs" dxfId="6535" priority="2304" operator="lessThan">
      <formula>0</formula>
    </cfRule>
  </conditionalFormatting>
  <conditionalFormatting sqref="E4:E35">
    <cfRule type="cellIs" dxfId="6534" priority="2303" operator="lessThan">
      <formula>0</formula>
    </cfRule>
  </conditionalFormatting>
  <conditionalFormatting sqref="E4:E35">
    <cfRule type="cellIs" dxfId="6533" priority="2302" operator="lessThan">
      <formula>0</formula>
    </cfRule>
  </conditionalFormatting>
  <conditionalFormatting sqref="E4:E35">
    <cfRule type="cellIs" dxfId="6532" priority="2301" operator="lessThan">
      <formula>0</formula>
    </cfRule>
  </conditionalFormatting>
  <conditionalFormatting sqref="E4:E35">
    <cfRule type="cellIs" dxfId="6531" priority="2300" operator="lessThan">
      <formula>0</formula>
    </cfRule>
  </conditionalFormatting>
  <conditionalFormatting sqref="E4:E35">
    <cfRule type="cellIs" dxfId="6530" priority="2299" operator="lessThan">
      <formula>0</formula>
    </cfRule>
  </conditionalFormatting>
  <conditionalFormatting sqref="E4:E35">
    <cfRule type="cellIs" dxfId="6529" priority="2298" operator="lessThan">
      <formula>0</formula>
    </cfRule>
  </conditionalFormatting>
  <conditionalFormatting sqref="E4:E35">
    <cfRule type="cellIs" dxfId="6528" priority="2297" operator="lessThan">
      <formula>0</formula>
    </cfRule>
  </conditionalFormatting>
  <conditionalFormatting sqref="E4:E35">
    <cfRule type="cellIs" dxfId="6527" priority="2296" operator="lessThan">
      <formula>0</formula>
    </cfRule>
  </conditionalFormatting>
  <conditionalFormatting sqref="E4:E35">
    <cfRule type="cellIs" dxfId="6526" priority="2295" operator="lessThan">
      <formula>0</formula>
    </cfRule>
  </conditionalFormatting>
  <conditionalFormatting sqref="E4:E35">
    <cfRule type="cellIs" dxfId="6525" priority="2294" operator="lessThan">
      <formula>0</formula>
    </cfRule>
  </conditionalFormatting>
  <conditionalFormatting sqref="E4:E35">
    <cfRule type="cellIs" dxfId="6524" priority="2293" operator="lessThan">
      <formula>0</formula>
    </cfRule>
  </conditionalFormatting>
  <conditionalFormatting sqref="E4:E35">
    <cfRule type="cellIs" dxfId="6523" priority="2292" operator="lessThan">
      <formula>0</formula>
    </cfRule>
  </conditionalFormatting>
  <conditionalFormatting sqref="E4:E35">
    <cfRule type="cellIs" dxfId="6522" priority="2291" operator="lessThan">
      <formula>0</formula>
    </cfRule>
  </conditionalFormatting>
  <conditionalFormatting sqref="E5:E35">
    <cfRule type="cellIs" dxfId="6521" priority="2290" operator="lessThan">
      <formula>0</formula>
    </cfRule>
  </conditionalFormatting>
  <conditionalFormatting sqref="E4:E35">
    <cfRule type="cellIs" dxfId="6520" priority="2289" operator="lessThan">
      <formula>0</formula>
    </cfRule>
  </conditionalFormatting>
  <conditionalFormatting sqref="E4:E35">
    <cfRule type="cellIs" dxfId="6519" priority="2288" operator="lessThan">
      <formula>0</formula>
    </cfRule>
  </conditionalFormatting>
  <conditionalFormatting sqref="E4:E35">
    <cfRule type="cellIs" dxfId="6518" priority="2287" operator="lessThan">
      <formula>0</formula>
    </cfRule>
  </conditionalFormatting>
  <conditionalFormatting sqref="E4:E35">
    <cfRule type="cellIs" dxfId="6517" priority="2286" operator="lessThan">
      <formula>0</formula>
    </cfRule>
  </conditionalFormatting>
  <conditionalFormatting sqref="E4:E35">
    <cfRule type="cellIs" dxfId="6516" priority="2285" operator="lessThan">
      <formula>0</formula>
    </cfRule>
  </conditionalFormatting>
  <conditionalFormatting sqref="E4:E35">
    <cfRule type="cellIs" dxfId="6515" priority="2284" operator="lessThan">
      <formula>0</formula>
    </cfRule>
  </conditionalFormatting>
  <conditionalFormatting sqref="E4:E35">
    <cfRule type="cellIs" dxfId="6514" priority="2283" operator="lessThan">
      <formula>0</formula>
    </cfRule>
  </conditionalFormatting>
  <conditionalFormatting sqref="E4:E35">
    <cfRule type="cellIs" dxfId="6513" priority="2282" operator="lessThan">
      <formula>0</formula>
    </cfRule>
  </conditionalFormatting>
  <conditionalFormatting sqref="E4:E35">
    <cfRule type="cellIs" dxfId="6512" priority="2281" operator="lessThan">
      <formula>0</formula>
    </cfRule>
  </conditionalFormatting>
  <conditionalFormatting sqref="E4:E35">
    <cfRule type="cellIs" dxfId="6511" priority="2280" operator="lessThan">
      <formula>0</formula>
    </cfRule>
  </conditionalFormatting>
  <conditionalFormatting sqref="E4:E35">
    <cfRule type="cellIs" dxfId="6510" priority="2279" operator="lessThan">
      <formula>0</formula>
    </cfRule>
  </conditionalFormatting>
  <conditionalFormatting sqref="E4:E35">
    <cfRule type="cellIs" dxfId="6509" priority="2278" operator="lessThan">
      <formula>0</formula>
    </cfRule>
  </conditionalFormatting>
  <conditionalFormatting sqref="E4:E35">
    <cfRule type="cellIs" dxfId="6508" priority="2277" operator="lessThan">
      <formula>0</formula>
    </cfRule>
  </conditionalFormatting>
  <conditionalFormatting sqref="E4:E35">
    <cfRule type="cellIs" dxfId="6507" priority="2276" operator="lessThan">
      <formula>0</formula>
    </cfRule>
  </conditionalFormatting>
  <conditionalFormatting sqref="E4:E35">
    <cfRule type="cellIs" dxfId="6506" priority="2275" operator="lessThan">
      <formula>0</formula>
    </cfRule>
  </conditionalFormatting>
  <conditionalFormatting sqref="E4:E35">
    <cfRule type="cellIs" dxfId="6505" priority="2274" operator="lessThan">
      <formula>0</formula>
    </cfRule>
  </conditionalFormatting>
  <conditionalFormatting sqref="E4:E35">
    <cfRule type="cellIs" dxfId="6504" priority="2273" operator="lessThan">
      <formula>0</formula>
    </cfRule>
  </conditionalFormatting>
  <conditionalFormatting sqref="E4:E35">
    <cfRule type="cellIs" dxfId="6503" priority="2272" operator="lessThan">
      <formula>0</formula>
    </cfRule>
  </conditionalFormatting>
  <conditionalFormatting sqref="E4:E35">
    <cfRule type="cellIs" dxfId="6502" priority="2271" operator="lessThan">
      <formula>0</formula>
    </cfRule>
  </conditionalFormatting>
  <conditionalFormatting sqref="E4:E35">
    <cfRule type="cellIs" dxfId="6501" priority="2270" operator="lessThan">
      <formula>0</formula>
    </cfRule>
  </conditionalFormatting>
  <conditionalFormatting sqref="E4:E35">
    <cfRule type="cellIs" dxfId="6500" priority="2269" operator="lessThan">
      <formula>0</formula>
    </cfRule>
  </conditionalFormatting>
  <conditionalFormatting sqref="D34:D35">
    <cfRule type="cellIs" dxfId="6499" priority="2268" operator="lessThan">
      <formula>0</formula>
    </cfRule>
  </conditionalFormatting>
  <conditionalFormatting sqref="D34:D35">
    <cfRule type="cellIs" dxfId="6498" priority="2267" operator="lessThan">
      <formula>0</formula>
    </cfRule>
  </conditionalFormatting>
  <conditionalFormatting sqref="D34:D35">
    <cfRule type="cellIs" dxfId="6497" priority="2266" operator="lessThan">
      <formula>0</formula>
    </cfRule>
  </conditionalFormatting>
  <conditionalFormatting sqref="D34:D35">
    <cfRule type="cellIs" dxfId="6496" priority="2265" operator="lessThan">
      <formula>0</formula>
    </cfRule>
  </conditionalFormatting>
  <conditionalFormatting sqref="D34:D35">
    <cfRule type="cellIs" dxfId="6495" priority="2264" operator="lessThan">
      <formula>0</formula>
    </cfRule>
  </conditionalFormatting>
  <conditionalFormatting sqref="D34:D35">
    <cfRule type="cellIs" dxfId="6494" priority="2263" operator="lessThan">
      <formula>0</formula>
    </cfRule>
  </conditionalFormatting>
  <conditionalFormatting sqref="D34:D35">
    <cfRule type="cellIs" dxfId="6493" priority="2262" operator="lessThan">
      <formula>0</formula>
    </cfRule>
  </conditionalFormatting>
  <conditionalFormatting sqref="F34:F35">
    <cfRule type="cellIs" dxfId="6492" priority="2261" operator="lessThan">
      <formula>0</formula>
    </cfRule>
  </conditionalFormatting>
  <conditionalFormatting sqref="G34:G35">
    <cfRule type="cellIs" dxfId="6491" priority="2260" operator="lessThan">
      <formula>0</formula>
    </cfRule>
  </conditionalFormatting>
  <conditionalFormatting sqref="B34:B35">
    <cfRule type="cellIs" dxfId="6490" priority="2259" operator="lessThan">
      <formula>0</formula>
    </cfRule>
  </conditionalFormatting>
  <conditionalFormatting sqref="C34:C35">
    <cfRule type="cellIs" dxfId="6489" priority="2258" operator="lessThan">
      <formula>0</formula>
    </cfRule>
  </conditionalFormatting>
  <conditionalFormatting sqref="B34:B35">
    <cfRule type="cellIs" dxfId="6488" priority="2257" operator="lessThan">
      <formula>0</formula>
    </cfRule>
  </conditionalFormatting>
  <conditionalFormatting sqref="C34:C35">
    <cfRule type="cellIs" dxfId="6487" priority="2256" operator="lessThan">
      <formula>0</formula>
    </cfRule>
  </conditionalFormatting>
  <conditionalFormatting sqref="F34:F35">
    <cfRule type="cellIs" dxfId="6486" priority="2255" operator="lessThan">
      <formula>0</formula>
    </cfRule>
  </conditionalFormatting>
  <conditionalFormatting sqref="G34:G35">
    <cfRule type="cellIs" dxfId="6485" priority="2254" operator="lessThan">
      <formula>0</formula>
    </cfRule>
  </conditionalFormatting>
  <conditionalFormatting sqref="D34:D35">
    <cfRule type="cellIs" dxfId="6484" priority="2253" operator="lessThan">
      <formula>0</formula>
    </cfRule>
  </conditionalFormatting>
  <conditionalFormatting sqref="D34:D35">
    <cfRule type="cellIs" dxfId="6483" priority="2252" operator="lessThan">
      <formula>0</formula>
    </cfRule>
  </conditionalFormatting>
  <conditionalFormatting sqref="D34:D35">
    <cfRule type="cellIs" dxfId="6482" priority="2251" operator="lessThan">
      <formula>0</formula>
    </cfRule>
  </conditionalFormatting>
  <conditionalFormatting sqref="D34:D35">
    <cfRule type="cellIs" dxfId="6481" priority="2250" operator="lessThan">
      <formula>0</formula>
    </cfRule>
  </conditionalFormatting>
  <conditionalFormatting sqref="D34:D35">
    <cfRule type="cellIs" dxfId="6480" priority="2249" operator="lessThan">
      <formula>0</formula>
    </cfRule>
  </conditionalFormatting>
  <conditionalFormatting sqref="D34:D35">
    <cfRule type="cellIs" dxfId="6479" priority="2248" operator="lessThan">
      <formula>0</formula>
    </cfRule>
  </conditionalFormatting>
  <conditionalFormatting sqref="D34:D35">
    <cfRule type="cellIs" dxfId="6478" priority="2247" operator="lessThan">
      <formula>0</formula>
    </cfRule>
  </conditionalFormatting>
  <conditionalFormatting sqref="D34:D35">
    <cfRule type="cellIs" dxfId="6477" priority="2246" operator="lessThan">
      <formula>0</formula>
    </cfRule>
  </conditionalFormatting>
  <conditionalFormatting sqref="D34:D35">
    <cfRule type="cellIs" dxfId="6476" priority="2245" operator="lessThan">
      <formula>0</formula>
    </cfRule>
  </conditionalFormatting>
  <conditionalFormatting sqref="D34:D35">
    <cfRule type="cellIs" dxfId="6475" priority="2244" operator="lessThan">
      <formula>0</formula>
    </cfRule>
  </conditionalFormatting>
  <conditionalFormatting sqref="D34:D35">
    <cfRule type="cellIs" dxfId="6474" priority="2243" operator="lessThan">
      <formula>0</formula>
    </cfRule>
  </conditionalFormatting>
  <conditionalFormatting sqref="B34:B35">
    <cfRule type="cellIs" dxfId="6473" priority="2242" operator="lessThan">
      <formula>0</formula>
    </cfRule>
  </conditionalFormatting>
  <conditionalFormatting sqref="C34:C35">
    <cfRule type="cellIs" dxfId="6472" priority="2241" operator="lessThan">
      <formula>0</formula>
    </cfRule>
  </conditionalFormatting>
  <conditionalFormatting sqref="F34:F35">
    <cfRule type="cellIs" dxfId="6471" priority="2240" operator="lessThan">
      <formula>0</formula>
    </cfRule>
  </conditionalFormatting>
  <conditionalFormatting sqref="G34:G35">
    <cfRule type="cellIs" dxfId="6470" priority="2239" operator="lessThan">
      <formula>0</formula>
    </cfRule>
  </conditionalFormatting>
  <conditionalFormatting sqref="D34:D35">
    <cfRule type="cellIs" dxfId="6469" priority="2238" operator="lessThan">
      <formula>0</formula>
    </cfRule>
  </conditionalFormatting>
  <conditionalFormatting sqref="D34:D35">
    <cfRule type="cellIs" dxfId="6468" priority="2237" operator="lessThan">
      <formula>0</formula>
    </cfRule>
  </conditionalFormatting>
  <conditionalFormatting sqref="D34:D35">
    <cfRule type="cellIs" dxfId="6467" priority="2236" operator="lessThan">
      <formula>0</formula>
    </cfRule>
  </conditionalFormatting>
  <conditionalFormatting sqref="D34:D35">
    <cfRule type="cellIs" dxfId="6466" priority="2235" operator="lessThan">
      <formula>0</formula>
    </cfRule>
  </conditionalFormatting>
  <conditionalFormatting sqref="D34:D35">
    <cfRule type="cellIs" dxfId="6465" priority="2234" operator="lessThan">
      <formula>0</formula>
    </cfRule>
  </conditionalFormatting>
  <conditionalFormatting sqref="D34:D35">
    <cfRule type="cellIs" dxfId="6464" priority="2233" operator="lessThan">
      <formula>0</formula>
    </cfRule>
  </conditionalFormatting>
  <conditionalFormatting sqref="D34:D35">
    <cfRule type="cellIs" dxfId="6463" priority="2232" operator="lessThan">
      <formula>0</formula>
    </cfRule>
  </conditionalFormatting>
  <conditionalFormatting sqref="D34:D35">
    <cfRule type="cellIs" dxfId="6462" priority="2231" operator="lessThan">
      <formula>0</formula>
    </cfRule>
  </conditionalFormatting>
  <conditionalFormatting sqref="D34:D35">
    <cfRule type="cellIs" dxfId="6461" priority="2230" operator="lessThan">
      <formula>0</formula>
    </cfRule>
  </conditionalFormatting>
  <conditionalFormatting sqref="D34:D35">
    <cfRule type="cellIs" dxfId="6460" priority="2229" operator="lessThan">
      <formula>0</formula>
    </cfRule>
  </conditionalFormatting>
  <conditionalFormatting sqref="D34:D35">
    <cfRule type="cellIs" dxfId="6459" priority="2228" operator="lessThan">
      <formula>0</formula>
    </cfRule>
  </conditionalFormatting>
  <conditionalFormatting sqref="D34:D35">
    <cfRule type="cellIs" dxfId="6458" priority="2227" operator="lessThan">
      <formula>0</formula>
    </cfRule>
  </conditionalFormatting>
  <conditionalFormatting sqref="D34:D35">
    <cfRule type="cellIs" dxfId="6457" priority="2226" operator="lessThan">
      <formula>0</formula>
    </cfRule>
  </conditionalFormatting>
  <conditionalFormatting sqref="D34:D35">
    <cfRule type="cellIs" dxfId="6456" priority="2225" operator="lessThan">
      <formula>0</formula>
    </cfRule>
  </conditionalFormatting>
  <conditionalFormatting sqref="D34:D35">
    <cfRule type="cellIs" dxfId="6455" priority="2224" operator="lessThan">
      <formula>0</formula>
    </cfRule>
  </conditionalFormatting>
  <conditionalFormatting sqref="D34:D35">
    <cfRule type="cellIs" dxfId="6454" priority="2223" operator="lessThan">
      <formula>0</formula>
    </cfRule>
  </conditionalFormatting>
  <conditionalFormatting sqref="D34:D35">
    <cfRule type="cellIs" dxfId="6453" priority="2222" operator="lessThan">
      <formula>0</formula>
    </cfRule>
  </conditionalFormatting>
  <conditionalFormatting sqref="D34:D35">
    <cfRule type="cellIs" dxfId="6452" priority="2221" operator="lessThan">
      <formula>0</formula>
    </cfRule>
  </conditionalFormatting>
  <conditionalFormatting sqref="D34:D35">
    <cfRule type="cellIs" dxfId="6451" priority="2220" operator="lessThan">
      <formula>0</formula>
    </cfRule>
  </conditionalFormatting>
  <conditionalFormatting sqref="D34:D35">
    <cfRule type="cellIs" dxfId="6450" priority="2219" operator="lessThan">
      <formula>0</formula>
    </cfRule>
  </conditionalFormatting>
  <conditionalFormatting sqref="D34:D35">
    <cfRule type="cellIs" dxfId="6449" priority="2218" operator="lessThan">
      <formula>0</formula>
    </cfRule>
  </conditionalFormatting>
  <conditionalFormatting sqref="D34:D35">
    <cfRule type="cellIs" dxfId="6448" priority="2217" operator="lessThan">
      <formula>0</formula>
    </cfRule>
  </conditionalFormatting>
  <conditionalFormatting sqref="D34:D35">
    <cfRule type="cellIs" dxfId="6447" priority="2216" operator="lessThan">
      <formula>0</formula>
    </cfRule>
  </conditionalFormatting>
  <conditionalFormatting sqref="D34:D35">
    <cfRule type="cellIs" dxfId="6446" priority="2215" operator="lessThan">
      <formula>0</formula>
    </cfRule>
  </conditionalFormatting>
  <conditionalFormatting sqref="D34:D35">
    <cfRule type="cellIs" dxfId="6445" priority="2214" operator="lessThan">
      <formula>0</formula>
    </cfRule>
  </conditionalFormatting>
  <conditionalFormatting sqref="D34:D35">
    <cfRule type="cellIs" dxfId="6444" priority="2213" operator="lessThan">
      <formula>0</formula>
    </cfRule>
  </conditionalFormatting>
  <conditionalFormatting sqref="D34:D35">
    <cfRule type="cellIs" dxfId="6443" priority="2212" operator="lessThan">
      <formula>0</formula>
    </cfRule>
  </conditionalFormatting>
  <conditionalFormatting sqref="D34:D35">
    <cfRule type="cellIs" dxfId="6442" priority="2211" operator="lessThan">
      <formula>0</formula>
    </cfRule>
  </conditionalFormatting>
  <conditionalFormatting sqref="D34:D35">
    <cfRule type="cellIs" dxfId="6441" priority="2210" operator="lessThan">
      <formula>0</formula>
    </cfRule>
  </conditionalFormatting>
  <conditionalFormatting sqref="D34:D35">
    <cfRule type="cellIs" dxfId="6440" priority="2209" operator="lessThan">
      <formula>0</formula>
    </cfRule>
  </conditionalFormatting>
  <conditionalFormatting sqref="D34:D35">
    <cfRule type="cellIs" dxfId="6439" priority="2208" operator="lessThan">
      <formula>0</formula>
    </cfRule>
  </conditionalFormatting>
  <conditionalFormatting sqref="D34:D35">
    <cfRule type="cellIs" dxfId="6438" priority="2207" operator="lessThan">
      <formula>0</formula>
    </cfRule>
  </conditionalFormatting>
  <conditionalFormatting sqref="D34:D35">
    <cfRule type="cellIs" dxfId="6437" priority="2206" operator="lessThan">
      <formula>0</formula>
    </cfRule>
  </conditionalFormatting>
  <conditionalFormatting sqref="D34:D35">
    <cfRule type="cellIs" dxfId="6436" priority="2205" operator="lessThan">
      <formula>0</formula>
    </cfRule>
  </conditionalFormatting>
  <conditionalFormatting sqref="D34:D35">
    <cfRule type="cellIs" dxfId="6435" priority="2204" operator="lessThan">
      <formula>0</formula>
    </cfRule>
  </conditionalFormatting>
  <conditionalFormatting sqref="D34:D35">
    <cfRule type="cellIs" dxfId="6434" priority="2203" operator="lessThan">
      <formula>0</formula>
    </cfRule>
  </conditionalFormatting>
  <conditionalFormatting sqref="D34:D35">
    <cfRule type="cellIs" dxfId="6433" priority="2202" operator="lessThan">
      <formula>0</formula>
    </cfRule>
  </conditionalFormatting>
  <conditionalFormatting sqref="D34:D35">
    <cfRule type="cellIs" dxfId="6432" priority="2201" operator="lessThan">
      <formula>0</formula>
    </cfRule>
  </conditionalFormatting>
  <conditionalFormatting sqref="D34:D35">
    <cfRule type="cellIs" dxfId="6431" priority="2200" operator="lessThan">
      <formula>0</formula>
    </cfRule>
  </conditionalFormatting>
  <conditionalFormatting sqref="D34:D35">
    <cfRule type="cellIs" dxfId="6430" priority="2199" operator="lessThan">
      <formula>0</formula>
    </cfRule>
  </conditionalFormatting>
  <conditionalFormatting sqref="D34:D35">
    <cfRule type="cellIs" dxfId="6429" priority="2198" operator="lessThan">
      <formula>0</formula>
    </cfRule>
  </conditionalFormatting>
  <conditionalFormatting sqref="D34:D35">
    <cfRule type="cellIs" dxfId="6428" priority="2197" operator="lessThan">
      <formula>0</formula>
    </cfRule>
  </conditionalFormatting>
  <conditionalFormatting sqref="D34:D35">
    <cfRule type="cellIs" dxfId="6427" priority="2196" operator="lessThan">
      <formula>0</formula>
    </cfRule>
  </conditionalFormatting>
  <conditionalFormatting sqref="D34:D35">
    <cfRule type="cellIs" dxfId="6426" priority="2195" operator="lessThan">
      <formula>0</formula>
    </cfRule>
  </conditionalFormatting>
  <conditionalFormatting sqref="D34:D35">
    <cfRule type="cellIs" dxfId="6425" priority="2194" operator="lessThan">
      <formula>0</formula>
    </cfRule>
  </conditionalFormatting>
  <conditionalFormatting sqref="D34:D35">
    <cfRule type="cellIs" dxfId="6424" priority="2193" operator="lessThan">
      <formula>0</formula>
    </cfRule>
  </conditionalFormatting>
  <conditionalFormatting sqref="E34:E35">
    <cfRule type="cellIs" dxfId="6423" priority="2192" operator="lessThan">
      <formula>0</formula>
    </cfRule>
  </conditionalFormatting>
  <conditionalFormatting sqref="E34:E35">
    <cfRule type="cellIs" dxfId="6422" priority="2191" operator="lessThan">
      <formula>0</formula>
    </cfRule>
  </conditionalFormatting>
  <conditionalFormatting sqref="E34:E35">
    <cfRule type="cellIs" dxfId="6421" priority="2190" operator="lessThan">
      <formula>0</formula>
    </cfRule>
  </conditionalFormatting>
  <conditionalFormatting sqref="E34:E35">
    <cfRule type="cellIs" dxfId="6420" priority="2189" operator="lessThan">
      <formula>0</formula>
    </cfRule>
  </conditionalFormatting>
  <conditionalFormatting sqref="E34:E35">
    <cfRule type="cellIs" dxfId="6419" priority="2188" operator="lessThan">
      <formula>0</formula>
    </cfRule>
  </conditionalFormatting>
  <conditionalFormatting sqref="E34:E35">
    <cfRule type="cellIs" dxfId="6418" priority="2187" operator="lessThan">
      <formula>0</formula>
    </cfRule>
  </conditionalFormatting>
  <conditionalFormatting sqref="E34:E35">
    <cfRule type="cellIs" dxfId="6417" priority="2186" operator="lessThan">
      <formula>0</formula>
    </cfRule>
  </conditionalFormatting>
  <conditionalFormatting sqref="E34:E35">
    <cfRule type="cellIs" dxfId="6416" priority="2185" operator="lessThan">
      <formula>0</formula>
    </cfRule>
  </conditionalFormatting>
  <conditionalFormatting sqref="E34:E35">
    <cfRule type="cellIs" dxfId="6415" priority="2184" operator="lessThan">
      <formula>0</formula>
    </cfRule>
  </conditionalFormatting>
  <conditionalFormatting sqref="E34:E35">
    <cfRule type="cellIs" dxfId="6414" priority="2183" operator="lessThan">
      <formula>0</formula>
    </cfRule>
  </conditionalFormatting>
  <conditionalFormatting sqref="E34:E35">
    <cfRule type="cellIs" dxfId="6413" priority="2182" operator="lessThan">
      <formula>0</formula>
    </cfRule>
  </conditionalFormatting>
  <conditionalFormatting sqref="E34:E35">
    <cfRule type="cellIs" dxfId="6412" priority="2181" operator="lessThan">
      <formula>0</formula>
    </cfRule>
  </conditionalFormatting>
  <conditionalFormatting sqref="E34:E35">
    <cfRule type="cellIs" dxfId="6411" priority="2180" operator="lessThan">
      <formula>0</formula>
    </cfRule>
  </conditionalFormatting>
  <conditionalFormatting sqref="E34:E35">
    <cfRule type="cellIs" dxfId="6410" priority="2179" operator="lessThan">
      <formula>0</formula>
    </cfRule>
  </conditionalFormatting>
  <conditionalFormatting sqref="E34:E35">
    <cfRule type="cellIs" dxfId="6409" priority="2178" operator="lessThan">
      <formula>0</formula>
    </cfRule>
  </conditionalFormatting>
  <conditionalFormatting sqref="E34:E35">
    <cfRule type="cellIs" dxfId="6408" priority="2177" operator="lessThan">
      <formula>0</formula>
    </cfRule>
  </conditionalFormatting>
  <conditionalFormatting sqref="E34:E35">
    <cfRule type="cellIs" dxfId="6407" priority="2176" operator="lessThan">
      <formula>0</formula>
    </cfRule>
  </conditionalFormatting>
  <conditionalFormatting sqref="E34:E35">
    <cfRule type="cellIs" dxfId="6406" priority="2175" operator="lessThan">
      <formula>0</formula>
    </cfRule>
  </conditionalFormatting>
  <conditionalFormatting sqref="E34:E35">
    <cfRule type="cellIs" dxfId="6405" priority="2174" operator="lessThan">
      <formula>0</formula>
    </cfRule>
  </conditionalFormatting>
  <conditionalFormatting sqref="E34:E35">
    <cfRule type="cellIs" dxfId="6404" priority="2173" operator="lessThan">
      <formula>0</formula>
    </cfRule>
  </conditionalFormatting>
  <conditionalFormatting sqref="E34:E35">
    <cfRule type="cellIs" dxfId="6403" priority="2172" operator="lessThan">
      <formula>0</formula>
    </cfRule>
  </conditionalFormatting>
  <conditionalFormatting sqref="E34:E35">
    <cfRule type="cellIs" dxfId="6402" priority="2171" operator="lessThan">
      <formula>0</formula>
    </cfRule>
  </conditionalFormatting>
  <conditionalFormatting sqref="E34:E35">
    <cfRule type="cellIs" dxfId="6401" priority="2170" operator="lessThan">
      <formula>0</formula>
    </cfRule>
  </conditionalFormatting>
  <conditionalFormatting sqref="E34:E35">
    <cfRule type="cellIs" dxfId="6400" priority="2169" operator="lessThan">
      <formula>0</formula>
    </cfRule>
  </conditionalFormatting>
  <conditionalFormatting sqref="E34:E35">
    <cfRule type="cellIs" dxfId="6399" priority="2168" operator="lessThan">
      <formula>0</formula>
    </cfRule>
  </conditionalFormatting>
  <conditionalFormatting sqref="B32">
    <cfRule type="cellIs" dxfId="6398" priority="2167" operator="lessThan">
      <formula>0</formula>
    </cfRule>
  </conditionalFormatting>
  <conditionalFormatting sqref="C32">
    <cfRule type="cellIs" dxfId="6397" priority="2166" operator="lessThan">
      <formula>0</formula>
    </cfRule>
  </conditionalFormatting>
  <conditionalFormatting sqref="D32">
    <cfRule type="cellIs" dxfId="6396" priority="2165" operator="lessThan">
      <formula>0</formula>
    </cfRule>
  </conditionalFormatting>
  <conditionalFormatting sqref="F32">
    <cfRule type="cellIs" dxfId="6395" priority="2164" operator="lessThan">
      <formula>0</formula>
    </cfRule>
  </conditionalFormatting>
  <conditionalFormatting sqref="G32">
    <cfRule type="cellIs" dxfId="6394" priority="2163" operator="lessThan">
      <formula>0</formula>
    </cfRule>
  </conditionalFormatting>
  <conditionalFormatting sqref="E32">
    <cfRule type="cellIs" dxfId="6393" priority="2162" operator="lessThan">
      <formula>0</formula>
    </cfRule>
  </conditionalFormatting>
  <conditionalFormatting sqref="D32">
    <cfRule type="cellIs" dxfId="6392" priority="2161" operator="lessThan">
      <formula>0</formula>
    </cfRule>
  </conditionalFormatting>
  <conditionalFormatting sqref="B32">
    <cfRule type="cellIs" dxfId="6391" priority="2160" operator="lessThan">
      <formula>0</formula>
    </cfRule>
  </conditionalFormatting>
  <conditionalFormatting sqref="D32">
    <cfRule type="cellIs" dxfId="6390" priority="2159" operator="lessThan">
      <formula>0</formula>
    </cfRule>
  </conditionalFormatting>
  <conditionalFormatting sqref="D32">
    <cfRule type="cellIs" dxfId="6389" priority="2158" operator="lessThan">
      <formula>0</formula>
    </cfRule>
  </conditionalFormatting>
  <conditionalFormatting sqref="D32">
    <cfRule type="cellIs" dxfId="6388" priority="2157" operator="lessThan">
      <formula>0</formula>
    </cfRule>
  </conditionalFormatting>
  <conditionalFormatting sqref="D32">
    <cfRule type="cellIs" dxfId="6387" priority="2156" operator="lessThan">
      <formula>0</formula>
    </cfRule>
  </conditionalFormatting>
  <conditionalFormatting sqref="D32">
    <cfRule type="cellIs" dxfId="6386" priority="2155" operator="lessThan">
      <formula>0</formula>
    </cfRule>
  </conditionalFormatting>
  <conditionalFormatting sqref="D32">
    <cfRule type="cellIs" dxfId="6385" priority="2154" operator="lessThan">
      <formula>0</formula>
    </cfRule>
  </conditionalFormatting>
  <conditionalFormatting sqref="D32">
    <cfRule type="cellIs" dxfId="6384" priority="2153" operator="lessThan">
      <formula>0</formula>
    </cfRule>
  </conditionalFormatting>
  <conditionalFormatting sqref="F32">
    <cfRule type="cellIs" dxfId="6383" priority="2152" operator="lessThan">
      <formula>0</formula>
    </cfRule>
  </conditionalFormatting>
  <conditionalFormatting sqref="G32">
    <cfRule type="cellIs" dxfId="6382" priority="2151" operator="lessThan">
      <formula>0</formula>
    </cfRule>
  </conditionalFormatting>
  <conditionalFormatting sqref="B32">
    <cfRule type="cellIs" dxfId="6381" priority="2150" operator="lessThan">
      <formula>0</formula>
    </cfRule>
  </conditionalFormatting>
  <conditionalFormatting sqref="C32">
    <cfRule type="cellIs" dxfId="6380" priority="2149" operator="lessThan">
      <formula>0</formula>
    </cfRule>
  </conditionalFormatting>
  <conditionalFormatting sqref="B32">
    <cfRule type="cellIs" dxfId="6379" priority="2148" operator="lessThan">
      <formula>0</formula>
    </cfRule>
  </conditionalFormatting>
  <conditionalFormatting sqref="C32">
    <cfRule type="cellIs" dxfId="6378" priority="2147" operator="lessThan">
      <formula>0</formula>
    </cfRule>
  </conditionalFormatting>
  <conditionalFormatting sqref="F32">
    <cfRule type="cellIs" dxfId="6377" priority="2146" operator="lessThan">
      <formula>0</formula>
    </cfRule>
  </conditionalFormatting>
  <conditionalFormatting sqref="G32">
    <cfRule type="cellIs" dxfId="6376" priority="2145" operator="lessThan">
      <formula>0</formula>
    </cfRule>
  </conditionalFormatting>
  <conditionalFormatting sqref="D32">
    <cfRule type="cellIs" dxfId="6375" priority="2144" operator="lessThan">
      <formula>0</formula>
    </cfRule>
  </conditionalFormatting>
  <conditionalFormatting sqref="D32">
    <cfRule type="cellIs" dxfId="6374" priority="2143" operator="lessThan">
      <formula>0</formula>
    </cfRule>
  </conditionalFormatting>
  <conditionalFormatting sqref="D32">
    <cfRule type="cellIs" dxfId="6373" priority="2142" operator="lessThan">
      <formula>0</formula>
    </cfRule>
  </conditionalFormatting>
  <conditionalFormatting sqref="D32">
    <cfRule type="cellIs" dxfId="6372" priority="2141" operator="lessThan">
      <formula>0</formula>
    </cfRule>
  </conditionalFormatting>
  <conditionalFormatting sqref="D32">
    <cfRule type="cellIs" dxfId="6371" priority="2140" operator="lessThan">
      <formula>0</formula>
    </cfRule>
  </conditionalFormatting>
  <conditionalFormatting sqref="D32">
    <cfRule type="cellIs" dxfId="6370" priority="2139" operator="lessThan">
      <formula>0</formula>
    </cfRule>
  </conditionalFormatting>
  <conditionalFormatting sqref="D32">
    <cfRule type="cellIs" dxfId="6369" priority="2138" operator="lessThan">
      <formula>0</formula>
    </cfRule>
  </conditionalFormatting>
  <conditionalFormatting sqref="D32">
    <cfRule type="cellIs" dxfId="6368" priority="2137" operator="lessThan">
      <formula>0</formula>
    </cfRule>
  </conditionalFormatting>
  <conditionalFormatting sqref="D32">
    <cfRule type="cellIs" dxfId="6367" priority="2136" operator="lessThan">
      <formula>0</formula>
    </cfRule>
  </conditionalFormatting>
  <conditionalFormatting sqref="D32">
    <cfRule type="cellIs" dxfId="6366" priority="2135" operator="lessThan">
      <formula>0</formula>
    </cfRule>
  </conditionalFormatting>
  <conditionalFormatting sqref="D32">
    <cfRule type="cellIs" dxfId="6365" priority="2134" operator="lessThan">
      <formula>0</formula>
    </cfRule>
  </conditionalFormatting>
  <conditionalFormatting sqref="B32">
    <cfRule type="cellIs" dxfId="6364" priority="2133" operator="lessThan">
      <formula>0</formula>
    </cfRule>
  </conditionalFormatting>
  <conditionalFormatting sqref="C32">
    <cfRule type="cellIs" dxfId="6363" priority="2132" operator="lessThan">
      <formula>0</formula>
    </cfRule>
  </conditionalFormatting>
  <conditionalFormatting sqref="F32">
    <cfRule type="cellIs" dxfId="6362" priority="2131" operator="lessThan">
      <formula>0</formula>
    </cfRule>
  </conditionalFormatting>
  <conditionalFormatting sqref="G32">
    <cfRule type="cellIs" dxfId="6361" priority="2130" operator="lessThan">
      <formula>0</formula>
    </cfRule>
  </conditionalFormatting>
  <conditionalFormatting sqref="D32">
    <cfRule type="cellIs" dxfId="6360" priority="2129" operator="lessThan">
      <formula>0</formula>
    </cfRule>
  </conditionalFormatting>
  <conditionalFormatting sqref="D32">
    <cfRule type="cellIs" dxfId="6359" priority="2128" operator="lessThan">
      <formula>0</formula>
    </cfRule>
  </conditionalFormatting>
  <conditionalFormatting sqref="D32">
    <cfRule type="cellIs" dxfId="6358" priority="2127" operator="lessThan">
      <formula>0</formula>
    </cfRule>
  </conditionalFormatting>
  <conditionalFormatting sqref="D32">
    <cfRule type="cellIs" dxfId="6357" priority="2126" operator="lessThan">
      <formula>0</formula>
    </cfRule>
  </conditionalFormatting>
  <conditionalFormatting sqref="D32">
    <cfRule type="cellIs" dxfId="6356" priority="2125" operator="lessThan">
      <formula>0</formula>
    </cfRule>
  </conditionalFormatting>
  <conditionalFormatting sqref="D32">
    <cfRule type="cellIs" dxfId="6355" priority="2124" operator="lessThan">
      <formula>0</formula>
    </cfRule>
  </conditionalFormatting>
  <conditionalFormatting sqref="D32">
    <cfRule type="cellIs" dxfId="6354" priority="2123" operator="lessThan">
      <formula>0</formula>
    </cfRule>
  </conditionalFormatting>
  <conditionalFormatting sqref="D32">
    <cfRule type="cellIs" dxfId="6353" priority="2122" operator="lessThan">
      <formula>0</formula>
    </cfRule>
  </conditionalFormatting>
  <conditionalFormatting sqref="D32">
    <cfRule type="cellIs" dxfId="6352" priority="2121" operator="lessThan">
      <formula>0</formula>
    </cfRule>
  </conditionalFormatting>
  <conditionalFormatting sqref="D32">
    <cfRule type="cellIs" dxfId="6351" priority="2120" operator="lessThan">
      <formula>0</formula>
    </cfRule>
  </conditionalFormatting>
  <conditionalFormatting sqref="D32">
    <cfRule type="cellIs" dxfId="6350" priority="2119" operator="lessThan">
      <formula>0</formula>
    </cfRule>
  </conditionalFormatting>
  <conditionalFormatting sqref="D32">
    <cfRule type="cellIs" dxfId="6349" priority="2118" operator="lessThan">
      <formula>0</formula>
    </cfRule>
  </conditionalFormatting>
  <conditionalFormatting sqref="D32">
    <cfRule type="cellIs" dxfId="6348" priority="2117" operator="lessThan">
      <formula>0</formula>
    </cfRule>
  </conditionalFormatting>
  <conditionalFormatting sqref="D32">
    <cfRule type="cellIs" dxfId="6347" priority="2116" operator="lessThan">
      <formula>0</formula>
    </cfRule>
  </conditionalFormatting>
  <conditionalFormatting sqref="D32">
    <cfRule type="cellIs" dxfId="6346" priority="2115" operator="lessThan">
      <formula>0</formula>
    </cfRule>
  </conditionalFormatting>
  <conditionalFormatting sqref="D32">
    <cfRule type="cellIs" dxfId="6345" priority="2114" operator="lessThan">
      <formula>0</formula>
    </cfRule>
  </conditionalFormatting>
  <conditionalFormatting sqref="D32">
    <cfRule type="cellIs" dxfId="6344" priority="2113" operator="lessThan">
      <formula>0</formula>
    </cfRule>
  </conditionalFormatting>
  <conditionalFormatting sqref="D32">
    <cfRule type="cellIs" dxfId="6343" priority="2112" operator="lessThan">
      <formula>0</formula>
    </cfRule>
  </conditionalFormatting>
  <conditionalFormatting sqref="D32">
    <cfRule type="cellIs" dxfId="6342" priority="2111" operator="lessThan">
      <formula>0</formula>
    </cfRule>
  </conditionalFormatting>
  <conditionalFormatting sqref="D32">
    <cfRule type="cellIs" dxfId="6341" priority="2110" operator="lessThan">
      <formula>0</formula>
    </cfRule>
  </conditionalFormatting>
  <conditionalFormatting sqref="D32">
    <cfRule type="cellIs" dxfId="6340" priority="2109" operator="lessThan">
      <formula>0</formula>
    </cfRule>
  </conditionalFormatting>
  <conditionalFormatting sqref="D32">
    <cfRule type="cellIs" dxfId="6339" priority="2108" operator="lessThan">
      <formula>0</formula>
    </cfRule>
  </conditionalFormatting>
  <conditionalFormatting sqref="D32">
    <cfRule type="cellIs" dxfId="6338" priority="2107" operator="lessThan">
      <formula>0</formula>
    </cfRule>
  </conditionalFormatting>
  <conditionalFormatting sqref="D32">
    <cfRule type="cellIs" dxfId="6337" priority="2106" operator="lessThan">
      <formula>0</formula>
    </cfRule>
  </conditionalFormatting>
  <conditionalFormatting sqref="D32">
    <cfRule type="cellIs" dxfId="6336" priority="2105" operator="lessThan">
      <formula>0</formula>
    </cfRule>
  </conditionalFormatting>
  <conditionalFormatting sqref="D32">
    <cfRule type="cellIs" dxfId="6335" priority="2104" operator="lessThan">
      <formula>0</formula>
    </cfRule>
  </conditionalFormatting>
  <conditionalFormatting sqref="D32">
    <cfRule type="cellIs" dxfId="6334" priority="2103" operator="lessThan">
      <formula>0</formula>
    </cfRule>
  </conditionalFormatting>
  <conditionalFormatting sqref="D32">
    <cfRule type="cellIs" dxfId="6333" priority="2102" operator="lessThan">
      <formula>0</formula>
    </cfRule>
  </conditionalFormatting>
  <conditionalFormatting sqref="D32">
    <cfRule type="cellIs" dxfId="6332" priority="2101" operator="lessThan">
      <formula>0</formula>
    </cfRule>
  </conditionalFormatting>
  <conditionalFormatting sqref="D32">
    <cfRule type="cellIs" dxfId="6331" priority="2100" operator="lessThan">
      <formula>0</formula>
    </cfRule>
  </conditionalFormatting>
  <conditionalFormatting sqref="D32">
    <cfRule type="cellIs" dxfId="6330" priority="2099" operator="lessThan">
      <formula>0</formula>
    </cfRule>
  </conditionalFormatting>
  <conditionalFormatting sqref="D32">
    <cfRule type="cellIs" dxfId="6329" priority="2098" operator="lessThan">
      <formula>0</formula>
    </cfRule>
  </conditionalFormatting>
  <conditionalFormatting sqref="D32">
    <cfRule type="cellIs" dxfId="6328" priority="2097" operator="lessThan">
      <formula>0</formula>
    </cfRule>
  </conditionalFormatting>
  <conditionalFormatting sqref="D32">
    <cfRule type="cellIs" dxfId="6327" priority="2096" operator="lessThan">
      <formula>0</formula>
    </cfRule>
  </conditionalFormatting>
  <conditionalFormatting sqref="D32">
    <cfRule type="cellIs" dxfId="6326" priority="2095" operator="lessThan">
      <formula>0</formula>
    </cfRule>
  </conditionalFormatting>
  <conditionalFormatting sqref="D32">
    <cfRule type="cellIs" dxfId="6325" priority="2094" operator="lessThan">
      <formula>0</formula>
    </cfRule>
  </conditionalFormatting>
  <conditionalFormatting sqref="D32">
    <cfRule type="cellIs" dxfId="6324" priority="2093" operator="lessThan">
      <formula>0</formula>
    </cfRule>
  </conditionalFormatting>
  <conditionalFormatting sqref="D32">
    <cfRule type="cellIs" dxfId="6323" priority="2092" operator="lessThan">
      <formula>0</formula>
    </cfRule>
  </conditionalFormatting>
  <conditionalFormatting sqref="D32">
    <cfRule type="cellIs" dxfId="6322" priority="2091" operator="lessThan">
      <formula>0</formula>
    </cfRule>
  </conditionalFormatting>
  <conditionalFormatting sqref="D32">
    <cfRule type="cellIs" dxfId="6321" priority="2090" operator="lessThan">
      <formula>0</formula>
    </cfRule>
  </conditionalFormatting>
  <conditionalFormatting sqref="D32">
    <cfRule type="cellIs" dxfId="6320" priority="2089" operator="lessThan">
      <formula>0</formula>
    </cfRule>
  </conditionalFormatting>
  <conditionalFormatting sqref="D32">
    <cfRule type="cellIs" dxfId="6319" priority="2088" operator="lessThan">
      <formula>0</formula>
    </cfRule>
  </conditionalFormatting>
  <conditionalFormatting sqref="D32">
    <cfRule type="cellIs" dxfId="6318" priority="2087" operator="lessThan">
      <formula>0</formula>
    </cfRule>
  </conditionalFormatting>
  <conditionalFormatting sqref="D32">
    <cfRule type="cellIs" dxfId="6317" priority="2086" operator="lessThan">
      <formula>0</formula>
    </cfRule>
  </conditionalFormatting>
  <conditionalFormatting sqref="D32">
    <cfRule type="cellIs" dxfId="6316" priority="2085" operator="lessThan">
      <formula>0</formula>
    </cfRule>
  </conditionalFormatting>
  <conditionalFormatting sqref="D32">
    <cfRule type="cellIs" dxfId="6315" priority="2084" operator="lessThan">
      <formula>0</formula>
    </cfRule>
  </conditionalFormatting>
  <conditionalFormatting sqref="E32">
    <cfRule type="cellIs" dxfId="6314" priority="2083" operator="lessThan">
      <formula>0</formula>
    </cfRule>
  </conditionalFormatting>
  <conditionalFormatting sqref="E32">
    <cfRule type="cellIs" dxfId="6313" priority="2082" operator="lessThan">
      <formula>0</formula>
    </cfRule>
  </conditionalFormatting>
  <conditionalFormatting sqref="E32">
    <cfRule type="cellIs" dxfId="6312" priority="2081" operator="lessThan">
      <formula>0</formula>
    </cfRule>
  </conditionalFormatting>
  <conditionalFormatting sqref="E32">
    <cfRule type="cellIs" dxfId="6311" priority="2080" operator="lessThan">
      <formula>0</formula>
    </cfRule>
  </conditionalFormatting>
  <conditionalFormatting sqref="E32">
    <cfRule type="cellIs" dxfId="6310" priority="2079" operator="lessThan">
      <formula>0</formula>
    </cfRule>
  </conditionalFormatting>
  <conditionalFormatting sqref="E32">
    <cfRule type="cellIs" dxfId="6309" priority="2078" operator="lessThan">
      <formula>0</formula>
    </cfRule>
  </conditionalFormatting>
  <conditionalFormatting sqref="E32">
    <cfRule type="cellIs" dxfId="6308" priority="2077" operator="lessThan">
      <formula>0</formula>
    </cfRule>
  </conditionalFormatting>
  <conditionalFormatting sqref="E32">
    <cfRule type="cellIs" dxfId="6307" priority="2076" operator="lessThan">
      <formula>0</formula>
    </cfRule>
  </conditionalFormatting>
  <conditionalFormatting sqref="E32">
    <cfRule type="cellIs" dxfId="6306" priority="2075" operator="lessThan">
      <formula>0</formula>
    </cfRule>
  </conditionalFormatting>
  <conditionalFormatting sqref="E32">
    <cfRule type="cellIs" dxfId="6305" priority="2074" operator="lessThan">
      <formula>0</formula>
    </cfRule>
  </conditionalFormatting>
  <conditionalFormatting sqref="E32">
    <cfRule type="cellIs" dxfId="6304" priority="2073" operator="lessThan">
      <formula>0</formula>
    </cfRule>
  </conditionalFormatting>
  <conditionalFormatting sqref="E32">
    <cfRule type="cellIs" dxfId="6303" priority="2072" operator="lessThan">
      <formula>0</formula>
    </cfRule>
  </conditionalFormatting>
  <conditionalFormatting sqref="E32">
    <cfRule type="cellIs" dxfId="6302" priority="2071" operator="lessThan">
      <formula>0</formula>
    </cfRule>
  </conditionalFormatting>
  <conditionalFormatting sqref="E32">
    <cfRule type="cellIs" dxfId="6301" priority="2070" operator="lessThan">
      <formula>0</formula>
    </cfRule>
  </conditionalFormatting>
  <conditionalFormatting sqref="E32">
    <cfRule type="cellIs" dxfId="6300" priority="2069" operator="lessThan">
      <formula>0</formula>
    </cfRule>
  </conditionalFormatting>
  <conditionalFormatting sqref="E32">
    <cfRule type="cellIs" dxfId="6299" priority="2068" operator="lessThan">
      <formula>0</formula>
    </cfRule>
  </conditionalFormatting>
  <conditionalFormatting sqref="E32">
    <cfRule type="cellIs" dxfId="6298" priority="2067" operator="lessThan">
      <formula>0</formula>
    </cfRule>
  </conditionalFormatting>
  <conditionalFormatting sqref="E32">
    <cfRule type="cellIs" dxfId="6297" priority="2066" operator="lessThan">
      <formula>0</formula>
    </cfRule>
  </conditionalFormatting>
  <conditionalFormatting sqref="E32">
    <cfRule type="cellIs" dxfId="6296" priority="2065" operator="lessThan">
      <formula>0</formula>
    </cfRule>
  </conditionalFormatting>
  <conditionalFormatting sqref="E32">
    <cfRule type="cellIs" dxfId="6295" priority="2064" operator="lessThan">
      <formula>0</formula>
    </cfRule>
  </conditionalFormatting>
  <conditionalFormatting sqref="E32">
    <cfRule type="cellIs" dxfId="6294" priority="2063" operator="lessThan">
      <formula>0</formula>
    </cfRule>
  </conditionalFormatting>
  <conditionalFormatting sqref="E32">
    <cfRule type="cellIs" dxfId="6293" priority="2062" operator="lessThan">
      <formula>0</formula>
    </cfRule>
  </conditionalFormatting>
  <conditionalFormatting sqref="E32">
    <cfRule type="cellIs" dxfId="6292" priority="2061" operator="lessThan">
      <formula>0</formula>
    </cfRule>
  </conditionalFormatting>
  <conditionalFormatting sqref="E32">
    <cfRule type="cellIs" dxfId="6291" priority="2060" operator="lessThan">
      <formula>0</formula>
    </cfRule>
  </conditionalFormatting>
  <conditionalFormatting sqref="E32">
    <cfRule type="cellIs" dxfId="6290" priority="2059" operator="lessThan">
      <formula>0</formula>
    </cfRule>
  </conditionalFormatting>
  <conditionalFormatting sqref="B31">
    <cfRule type="cellIs" dxfId="6289" priority="2058" operator="lessThan">
      <formula>0</formula>
    </cfRule>
  </conditionalFormatting>
  <conditionalFormatting sqref="C31">
    <cfRule type="cellIs" dxfId="6288" priority="2057" operator="lessThan">
      <formula>0</formula>
    </cfRule>
  </conditionalFormatting>
  <conditionalFormatting sqref="D5:D35">
    <cfRule type="cellIs" dxfId="6287" priority="2056" operator="lessThan">
      <formula>0</formula>
    </cfRule>
  </conditionalFormatting>
  <conditionalFormatting sqref="F31">
    <cfRule type="cellIs" dxfId="6286" priority="2055" operator="lessThan">
      <formula>0</formula>
    </cfRule>
  </conditionalFormatting>
  <conditionalFormatting sqref="G31">
    <cfRule type="cellIs" dxfId="6285" priority="2054" operator="lessThan">
      <formula>0</formula>
    </cfRule>
  </conditionalFormatting>
  <conditionalFormatting sqref="E5:E35">
    <cfRule type="cellIs" dxfId="6284" priority="2053" operator="lessThan">
      <formula>0</formula>
    </cfRule>
  </conditionalFormatting>
  <conditionalFormatting sqref="D5:D35">
    <cfRule type="cellIs" dxfId="6283" priority="2052" operator="lessThan">
      <formula>0</formula>
    </cfRule>
  </conditionalFormatting>
  <conditionalFormatting sqref="B31">
    <cfRule type="cellIs" dxfId="6282" priority="2051" operator="lessThan">
      <formula>0</formula>
    </cfRule>
  </conditionalFormatting>
  <conditionalFormatting sqref="D5:D35">
    <cfRule type="cellIs" dxfId="6281" priority="2050" operator="lessThan">
      <formula>0</formula>
    </cfRule>
  </conditionalFormatting>
  <conditionalFormatting sqref="D5:D35">
    <cfRule type="cellIs" dxfId="6280" priority="2049" operator="lessThan">
      <formula>0</formula>
    </cfRule>
  </conditionalFormatting>
  <conditionalFormatting sqref="D5:D35">
    <cfRule type="cellIs" dxfId="6279" priority="2048" operator="lessThan">
      <formula>0</formula>
    </cfRule>
  </conditionalFormatting>
  <conditionalFormatting sqref="D5:D35">
    <cfRule type="cellIs" dxfId="6278" priority="2047" operator="lessThan">
      <formula>0</formula>
    </cfRule>
  </conditionalFormatting>
  <conditionalFormatting sqref="D5:D35">
    <cfRule type="cellIs" dxfId="6277" priority="2046" operator="lessThan">
      <formula>0</formula>
    </cfRule>
  </conditionalFormatting>
  <conditionalFormatting sqref="D5:D35">
    <cfRule type="cellIs" dxfId="6276" priority="2045" operator="lessThan">
      <formula>0</formula>
    </cfRule>
  </conditionalFormatting>
  <conditionalFormatting sqref="D5:D35">
    <cfRule type="cellIs" dxfId="6275" priority="2044" operator="lessThan">
      <formula>0</formula>
    </cfRule>
  </conditionalFormatting>
  <conditionalFormatting sqref="F31">
    <cfRule type="cellIs" dxfId="6274" priority="2043" operator="lessThan">
      <formula>0</formula>
    </cfRule>
  </conditionalFormatting>
  <conditionalFormatting sqref="G31">
    <cfRule type="cellIs" dxfId="6273" priority="2042" operator="lessThan">
      <formula>0</formula>
    </cfRule>
  </conditionalFormatting>
  <conditionalFormatting sqref="B31">
    <cfRule type="cellIs" dxfId="6272" priority="2041" operator="lessThan">
      <formula>0</formula>
    </cfRule>
  </conditionalFormatting>
  <conditionalFormatting sqref="C31">
    <cfRule type="cellIs" dxfId="6271" priority="2040" operator="lessThan">
      <formula>0</formula>
    </cfRule>
  </conditionalFormatting>
  <conditionalFormatting sqref="B31">
    <cfRule type="cellIs" dxfId="6270" priority="2039" operator="lessThan">
      <formula>0</formula>
    </cfRule>
  </conditionalFormatting>
  <conditionalFormatting sqref="C31">
    <cfRule type="cellIs" dxfId="6269" priority="2038" operator="lessThan">
      <formula>0</formula>
    </cfRule>
  </conditionalFormatting>
  <conditionalFormatting sqref="F31">
    <cfRule type="cellIs" dxfId="6268" priority="2037" operator="lessThan">
      <formula>0</formula>
    </cfRule>
  </conditionalFormatting>
  <conditionalFormatting sqref="G31">
    <cfRule type="cellIs" dxfId="6267" priority="2036" operator="lessThan">
      <formula>0</formula>
    </cfRule>
  </conditionalFormatting>
  <conditionalFormatting sqref="D5:D35">
    <cfRule type="cellIs" dxfId="6266" priority="2035" operator="lessThan">
      <formula>0</formula>
    </cfRule>
  </conditionalFormatting>
  <conditionalFormatting sqref="D5:D35">
    <cfRule type="cellIs" dxfId="6265" priority="2034" operator="lessThan">
      <formula>0</formula>
    </cfRule>
  </conditionalFormatting>
  <conditionalFormatting sqref="D5:D35">
    <cfRule type="cellIs" dxfId="6264" priority="2033" operator="lessThan">
      <formula>0</formula>
    </cfRule>
  </conditionalFormatting>
  <conditionalFormatting sqref="D5:D35">
    <cfRule type="cellIs" dxfId="6263" priority="2032" operator="lessThan">
      <formula>0</formula>
    </cfRule>
  </conditionalFormatting>
  <conditionalFormatting sqref="D5:D35">
    <cfRule type="cellIs" dxfId="6262" priority="2031" operator="lessThan">
      <formula>0</formula>
    </cfRule>
  </conditionalFormatting>
  <conditionalFormatting sqref="D5:D35">
    <cfRule type="cellIs" dxfId="6261" priority="2030" operator="lessThan">
      <formula>0</formula>
    </cfRule>
  </conditionalFormatting>
  <conditionalFormatting sqref="D5:D35">
    <cfRule type="cellIs" dxfId="6260" priority="2029" operator="lessThan">
      <formula>0</formula>
    </cfRule>
  </conditionalFormatting>
  <conditionalFormatting sqref="D5:D35">
    <cfRule type="cellIs" dxfId="6259" priority="2028" operator="lessThan">
      <formula>0</formula>
    </cfRule>
  </conditionalFormatting>
  <conditionalFormatting sqref="D5:D35">
    <cfRule type="cellIs" dxfId="6258" priority="2027" operator="lessThan">
      <formula>0</formula>
    </cfRule>
  </conditionalFormatting>
  <conditionalFormatting sqref="D5:D35">
    <cfRule type="cellIs" dxfId="6257" priority="2026" operator="lessThan">
      <formula>0</formula>
    </cfRule>
  </conditionalFormatting>
  <conditionalFormatting sqref="D5:D35">
    <cfRule type="cellIs" dxfId="6256" priority="2025" operator="lessThan">
      <formula>0</formula>
    </cfRule>
  </conditionalFormatting>
  <conditionalFormatting sqref="B31">
    <cfRule type="cellIs" dxfId="6255" priority="2024" operator="lessThan">
      <formula>0</formula>
    </cfRule>
  </conditionalFormatting>
  <conditionalFormatting sqref="C31">
    <cfRule type="cellIs" dxfId="6254" priority="2023" operator="lessThan">
      <formula>0</formula>
    </cfRule>
  </conditionalFormatting>
  <conditionalFormatting sqref="F31">
    <cfRule type="cellIs" dxfId="6253" priority="2022" operator="lessThan">
      <formula>0</formula>
    </cfRule>
  </conditionalFormatting>
  <conditionalFormatting sqref="G31">
    <cfRule type="cellIs" dxfId="6252" priority="2021" operator="lessThan">
      <formula>0</formula>
    </cfRule>
  </conditionalFormatting>
  <conditionalFormatting sqref="D5:D35">
    <cfRule type="cellIs" dxfId="6251" priority="2020" operator="lessThan">
      <formula>0</formula>
    </cfRule>
  </conditionalFormatting>
  <conditionalFormatting sqref="D5:D35">
    <cfRule type="cellIs" dxfId="6250" priority="2019" operator="lessThan">
      <formula>0</formula>
    </cfRule>
  </conditionalFormatting>
  <conditionalFormatting sqref="D5:D35">
    <cfRule type="cellIs" dxfId="6249" priority="2018" operator="lessThan">
      <formula>0</formula>
    </cfRule>
  </conditionalFormatting>
  <conditionalFormatting sqref="D5:D35">
    <cfRule type="cellIs" dxfId="6248" priority="2017" operator="lessThan">
      <formula>0</formula>
    </cfRule>
  </conditionalFormatting>
  <conditionalFormatting sqref="D5:D35">
    <cfRule type="cellIs" dxfId="6247" priority="2016" operator="lessThan">
      <formula>0</formula>
    </cfRule>
  </conditionalFormatting>
  <conditionalFormatting sqref="D5:D35">
    <cfRule type="cellIs" dxfId="6246" priority="2015" operator="lessThan">
      <formula>0</formula>
    </cfRule>
  </conditionalFormatting>
  <conditionalFormatting sqref="D5:D35">
    <cfRule type="cellIs" dxfId="6245" priority="2014" operator="lessThan">
      <formula>0</formula>
    </cfRule>
  </conditionalFormatting>
  <conditionalFormatting sqref="D5:D35">
    <cfRule type="cellIs" dxfId="6244" priority="2013" operator="lessThan">
      <formula>0</formula>
    </cfRule>
  </conditionalFormatting>
  <conditionalFormatting sqref="D5:D35">
    <cfRule type="cellIs" dxfId="6243" priority="2012" operator="lessThan">
      <formula>0</formula>
    </cfRule>
  </conditionalFormatting>
  <conditionalFormatting sqref="D5:D35">
    <cfRule type="cellIs" dxfId="6242" priority="2011" operator="lessThan">
      <formula>0</formula>
    </cfRule>
  </conditionalFormatting>
  <conditionalFormatting sqref="D5:D35">
    <cfRule type="cellIs" dxfId="6241" priority="2010" operator="lessThan">
      <formula>0</formula>
    </cfRule>
  </conditionalFormatting>
  <conditionalFormatting sqref="D5:D35">
    <cfRule type="cellIs" dxfId="6240" priority="2009" operator="lessThan">
      <formula>0</formula>
    </cfRule>
  </conditionalFormatting>
  <conditionalFormatting sqref="D5:D35">
    <cfRule type="cellIs" dxfId="6239" priority="2008" operator="lessThan">
      <formula>0</formula>
    </cfRule>
  </conditionalFormatting>
  <conditionalFormatting sqref="D5:D35">
    <cfRule type="cellIs" dxfId="6238" priority="2007" operator="lessThan">
      <formula>0</formula>
    </cfRule>
  </conditionalFormatting>
  <conditionalFormatting sqref="D5:D35">
    <cfRule type="cellIs" dxfId="6237" priority="2006" operator="lessThan">
      <formula>0</formula>
    </cfRule>
  </conditionalFormatting>
  <conditionalFormatting sqref="D5:D35">
    <cfRule type="cellIs" dxfId="6236" priority="2005" operator="lessThan">
      <formula>0</formula>
    </cfRule>
  </conditionalFormatting>
  <conditionalFormatting sqref="D5:D35">
    <cfRule type="cellIs" dxfId="6235" priority="2004" operator="lessThan">
      <formula>0</formula>
    </cfRule>
  </conditionalFormatting>
  <conditionalFormatting sqref="D5:D35">
    <cfRule type="cellIs" dxfId="6234" priority="2003" operator="lessThan">
      <formula>0</formula>
    </cfRule>
  </conditionalFormatting>
  <conditionalFormatting sqref="D5:D35">
    <cfRule type="cellIs" dxfId="6233" priority="2002" operator="lessThan">
      <formula>0</formula>
    </cfRule>
  </conditionalFormatting>
  <conditionalFormatting sqref="D5:D35">
    <cfRule type="cellIs" dxfId="6232" priority="2001" operator="lessThan">
      <formula>0</formula>
    </cfRule>
  </conditionalFormatting>
  <conditionalFormatting sqref="D5:D35">
    <cfRule type="cellIs" dxfId="6231" priority="2000" operator="lessThan">
      <formula>0</formula>
    </cfRule>
  </conditionalFormatting>
  <conditionalFormatting sqref="D5:D35">
    <cfRule type="cellIs" dxfId="6230" priority="1999" operator="lessThan">
      <formula>0</formula>
    </cfRule>
  </conditionalFormatting>
  <conditionalFormatting sqref="D5:D35">
    <cfRule type="cellIs" dxfId="6229" priority="1998" operator="lessThan">
      <formula>0</formula>
    </cfRule>
  </conditionalFormatting>
  <conditionalFormatting sqref="D5:D35">
    <cfRule type="cellIs" dxfId="6228" priority="1997" operator="lessThan">
      <formula>0</formula>
    </cfRule>
  </conditionalFormatting>
  <conditionalFormatting sqref="D5:D35">
    <cfRule type="cellIs" dxfId="6227" priority="1996" operator="lessThan">
      <formula>0</formula>
    </cfRule>
  </conditionalFormatting>
  <conditionalFormatting sqref="D5:D35">
    <cfRule type="cellIs" dxfId="6226" priority="1995" operator="lessThan">
      <formula>0</formula>
    </cfRule>
  </conditionalFormatting>
  <conditionalFormatting sqref="D5:D35">
    <cfRule type="cellIs" dxfId="6225" priority="1994" operator="lessThan">
      <formula>0</formula>
    </cfRule>
  </conditionalFormatting>
  <conditionalFormatting sqref="D5:D35">
    <cfRule type="cellIs" dxfId="6224" priority="1993" operator="lessThan">
      <formula>0</formula>
    </cfRule>
  </conditionalFormatting>
  <conditionalFormatting sqref="D5:D35">
    <cfRule type="cellIs" dxfId="6223" priority="1992" operator="lessThan">
      <formula>0</formula>
    </cfRule>
  </conditionalFormatting>
  <conditionalFormatting sqref="D5:D35">
    <cfRule type="cellIs" dxfId="6222" priority="1991" operator="lessThan">
      <formula>0</formula>
    </cfRule>
  </conditionalFormatting>
  <conditionalFormatting sqref="D5:D35">
    <cfRule type="cellIs" dxfId="6221" priority="1990" operator="lessThan">
      <formula>0</formula>
    </cfRule>
  </conditionalFormatting>
  <conditionalFormatting sqref="D5:D35">
    <cfRule type="cellIs" dxfId="6220" priority="1989" operator="lessThan">
      <formula>0</formula>
    </cfRule>
  </conditionalFormatting>
  <conditionalFormatting sqref="D5:D35">
    <cfRule type="cellIs" dxfId="6219" priority="1988" operator="lessThan">
      <formula>0</formula>
    </cfRule>
  </conditionalFormatting>
  <conditionalFormatting sqref="D5:D35">
    <cfRule type="cellIs" dxfId="6218" priority="1987" operator="lessThan">
      <formula>0</formula>
    </cfRule>
  </conditionalFormatting>
  <conditionalFormatting sqref="D5:D35">
    <cfRule type="cellIs" dxfId="6217" priority="1986" operator="lessThan">
      <formula>0</formula>
    </cfRule>
  </conditionalFormatting>
  <conditionalFormatting sqref="D5:D35">
    <cfRule type="cellIs" dxfId="6216" priority="1985" operator="lessThan">
      <formula>0</formula>
    </cfRule>
  </conditionalFormatting>
  <conditionalFormatting sqref="D5:D35">
    <cfRule type="cellIs" dxfId="6215" priority="1984" operator="lessThan">
      <formula>0</formula>
    </cfRule>
  </conditionalFormatting>
  <conditionalFormatting sqref="D5:D35">
    <cfRule type="cellIs" dxfId="6214" priority="1983" operator="lessThan">
      <formula>0</formula>
    </cfRule>
  </conditionalFormatting>
  <conditionalFormatting sqref="D5:D35">
    <cfRule type="cellIs" dxfId="6213" priority="1982" operator="lessThan">
      <formula>0</formula>
    </cfRule>
  </conditionalFormatting>
  <conditionalFormatting sqref="D5:D35">
    <cfRule type="cellIs" dxfId="6212" priority="1981" operator="lessThan">
      <formula>0</formula>
    </cfRule>
  </conditionalFormatting>
  <conditionalFormatting sqref="D5:D35">
    <cfRule type="cellIs" dxfId="6211" priority="1980" operator="lessThan">
      <formula>0</formula>
    </cfRule>
  </conditionalFormatting>
  <conditionalFormatting sqref="D5:D35">
    <cfRule type="cellIs" dxfId="6210" priority="1979" operator="lessThan">
      <formula>0</formula>
    </cfRule>
  </conditionalFormatting>
  <conditionalFormatting sqref="D5:D35">
    <cfRule type="cellIs" dxfId="6209" priority="1978" operator="lessThan">
      <formula>0</formula>
    </cfRule>
  </conditionalFormatting>
  <conditionalFormatting sqref="D5:D35">
    <cfRule type="cellIs" dxfId="6208" priority="1977" operator="lessThan">
      <formula>0</formula>
    </cfRule>
  </conditionalFormatting>
  <conditionalFormatting sqref="D5:D35">
    <cfRule type="cellIs" dxfId="6207" priority="1976" operator="lessThan">
      <formula>0</formula>
    </cfRule>
  </conditionalFormatting>
  <conditionalFormatting sqref="D5:D35">
    <cfRule type="cellIs" dxfId="6206" priority="1975" operator="lessThan">
      <formula>0</formula>
    </cfRule>
  </conditionalFormatting>
  <conditionalFormatting sqref="E5:E35">
    <cfRule type="cellIs" dxfId="6205" priority="1974" operator="lessThan">
      <formula>0</formula>
    </cfRule>
  </conditionalFormatting>
  <conditionalFormatting sqref="E5:E35">
    <cfRule type="cellIs" dxfId="6204" priority="1973" operator="lessThan">
      <formula>0</formula>
    </cfRule>
  </conditionalFormatting>
  <conditionalFormatting sqref="E5:E35">
    <cfRule type="cellIs" dxfId="6203" priority="1972" operator="lessThan">
      <formula>0</formula>
    </cfRule>
  </conditionalFormatting>
  <conditionalFormatting sqref="E5:E35">
    <cfRule type="cellIs" dxfId="6202" priority="1971" operator="lessThan">
      <formula>0</formula>
    </cfRule>
  </conditionalFormatting>
  <conditionalFormatting sqref="E5:E35">
    <cfRule type="cellIs" dxfId="6201" priority="1970" operator="lessThan">
      <formula>0</formula>
    </cfRule>
  </conditionalFormatting>
  <conditionalFormatting sqref="E5:E35">
    <cfRule type="cellIs" dxfId="6200" priority="1969" operator="lessThan">
      <formula>0</formula>
    </cfRule>
  </conditionalFormatting>
  <conditionalFormatting sqref="E5:E35">
    <cfRule type="cellIs" dxfId="6199" priority="1968" operator="lessThan">
      <formula>0</formula>
    </cfRule>
  </conditionalFormatting>
  <conditionalFormatting sqref="E5:E35">
    <cfRule type="cellIs" dxfId="6198" priority="1967" operator="lessThan">
      <formula>0</formula>
    </cfRule>
  </conditionalFormatting>
  <conditionalFormatting sqref="E5:E35">
    <cfRule type="cellIs" dxfId="6197" priority="1966" operator="lessThan">
      <formula>0</formula>
    </cfRule>
  </conditionalFormatting>
  <conditionalFormatting sqref="E5:E35">
    <cfRule type="cellIs" dxfId="6196" priority="1965" operator="lessThan">
      <formula>0</formula>
    </cfRule>
  </conditionalFormatting>
  <conditionalFormatting sqref="E5:E35">
    <cfRule type="cellIs" dxfId="6195" priority="1964" operator="lessThan">
      <formula>0</formula>
    </cfRule>
  </conditionalFormatting>
  <conditionalFormatting sqref="E5:E35">
    <cfRule type="cellIs" dxfId="6194" priority="1963" operator="lessThan">
      <formula>0</formula>
    </cfRule>
  </conditionalFormatting>
  <conditionalFormatting sqref="E5:E35">
    <cfRule type="cellIs" dxfId="6193" priority="1962" operator="lessThan">
      <formula>0</formula>
    </cfRule>
  </conditionalFormatting>
  <conditionalFormatting sqref="E5:E35">
    <cfRule type="cellIs" dxfId="6192" priority="1961" operator="lessThan">
      <formula>0</formula>
    </cfRule>
  </conditionalFormatting>
  <conditionalFormatting sqref="E5:E35">
    <cfRule type="cellIs" dxfId="6191" priority="1960" operator="lessThan">
      <formula>0</formula>
    </cfRule>
  </conditionalFormatting>
  <conditionalFormatting sqref="E5:E35">
    <cfRule type="cellIs" dxfId="6190" priority="1959" operator="lessThan">
      <formula>0</formula>
    </cfRule>
  </conditionalFormatting>
  <conditionalFormatting sqref="E5:E35">
    <cfRule type="cellIs" dxfId="6189" priority="1958" operator="lessThan">
      <formula>0</formula>
    </cfRule>
  </conditionalFormatting>
  <conditionalFormatting sqref="E5:E35">
    <cfRule type="cellIs" dxfId="6188" priority="1957" operator="lessThan">
      <formula>0</formula>
    </cfRule>
  </conditionalFormatting>
  <conditionalFormatting sqref="E5:E35">
    <cfRule type="cellIs" dxfId="6187" priority="1956" operator="lessThan">
      <formula>0</formula>
    </cfRule>
  </conditionalFormatting>
  <conditionalFormatting sqref="E5:E35">
    <cfRule type="cellIs" dxfId="6186" priority="1955" operator="lessThan">
      <formula>0</formula>
    </cfRule>
  </conditionalFormatting>
  <conditionalFormatting sqref="E5:E35">
    <cfRule type="cellIs" dxfId="6185" priority="1954" operator="lessThan">
      <formula>0</formula>
    </cfRule>
  </conditionalFormatting>
  <conditionalFormatting sqref="E5:E35">
    <cfRule type="cellIs" dxfId="6184" priority="1953" operator="lessThan">
      <formula>0</formula>
    </cfRule>
  </conditionalFormatting>
  <conditionalFormatting sqref="E5:E35">
    <cfRule type="cellIs" dxfId="6183" priority="1952" operator="lessThan">
      <formula>0</formula>
    </cfRule>
  </conditionalFormatting>
  <conditionalFormatting sqref="E5:E35">
    <cfRule type="cellIs" dxfId="6182" priority="1951" operator="lessThan">
      <formula>0</formula>
    </cfRule>
  </conditionalFormatting>
  <conditionalFormatting sqref="E5:E35">
    <cfRule type="cellIs" dxfId="6181" priority="1950" operator="lessThan">
      <formula>0</formula>
    </cfRule>
  </conditionalFormatting>
  <conditionalFormatting sqref="B4:B35">
    <cfRule type="cellIs" dxfId="6180" priority="1949" operator="lessThan">
      <formula>0</formula>
    </cfRule>
  </conditionalFormatting>
  <conditionalFormatting sqref="C4:C35">
    <cfRule type="cellIs" dxfId="6179" priority="1948" operator="lessThan">
      <formula>0</formula>
    </cfRule>
  </conditionalFormatting>
  <conditionalFormatting sqref="D4:D35">
    <cfRule type="cellIs" dxfId="6178" priority="1947" operator="lessThan">
      <formula>0</formula>
    </cfRule>
  </conditionalFormatting>
  <conditionalFormatting sqref="F4:F35">
    <cfRule type="cellIs" dxfId="6177" priority="1946" operator="lessThan">
      <formula>0</formula>
    </cfRule>
  </conditionalFormatting>
  <conditionalFormatting sqref="G4:G35">
    <cfRule type="cellIs" dxfId="6176" priority="1945" operator="lessThan">
      <formula>0</formula>
    </cfRule>
  </conditionalFormatting>
  <conditionalFormatting sqref="E4:E35">
    <cfRule type="cellIs" dxfId="6175" priority="1944" operator="lessThan">
      <formula>0</formula>
    </cfRule>
  </conditionalFormatting>
  <conditionalFormatting sqref="E4:E35">
    <cfRule type="cellIs" dxfId="6174" priority="1943" operator="lessThan">
      <formula>0</formula>
    </cfRule>
  </conditionalFormatting>
  <conditionalFormatting sqref="D4:D35">
    <cfRule type="cellIs" dxfId="6173" priority="1942" operator="lessThan">
      <formula>0</formula>
    </cfRule>
  </conditionalFormatting>
  <conditionalFormatting sqref="E4:E35">
    <cfRule type="cellIs" dxfId="6172" priority="1941" operator="lessThan">
      <formula>0</formula>
    </cfRule>
  </conditionalFormatting>
  <conditionalFormatting sqref="E4:E35">
    <cfRule type="cellIs" dxfId="6171" priority="1940" operator="lessThan">
      <formula>0</formula>
    </cfRule>
  </conditionalFormatting>
  <conditionalFormatting sqref="E4:E35">
    <cfRule type="cellIs" dxfId="6170" priority="1939" operator="lessThan">
      <formula>0</formula>
    </cfRule>
  </conditionalFormatting>
  <conditionalFormatting sqref="E4:E35">
    <cfRule type="cellIs" dxfId="6169" priority="1938" operator="lessThan">
      <formula>0</formula>
    </cfRule>
  </conditionalFormatting>
  <conditionalFormatting sqref="E4:E35">
    <cfRule type="cellIs" dxfId="6168" priority="1937" operator="lessThan">
      <formula>0</formula>
    </cfRule>
  </conditionalFormatting>
  <conditionalFormatting sqref="E4:E35">
    <cfRule type="cellIs" dxfId="6167" priority="1936" operator="lessThan">
      <formula>0</formula>
    </cfRule>
  </conditionalFormatting>
  <conditionalFormatting sqref="E4:E35">
    <cfRule type="cellIs" dxfId="6166" priority="1935" operator="lessThan">
      <formula>0</formula>
    </cfRule>
  </conditionalFormatting>
  <conditionalFormatting sqref="E4:E35">
    <cfRule type="cellIs" dxfId="6165" priority="1934" operator="lessThan">
      <formula>0</formula>
    </cfRule>
  </conditionalFormatting>
  <conditionalFormatting sqref="E4:E35">
    <cfRule type="cellIs" dxfId="6164" priority="1933" operator="lessThan">
      <formula>0</formula>
    </cfRule>
  </conditionalFormatting>
  <conditionalFormatting sqref="E4:E35">
    <cfRule type="cellIs" dxfId="6163" priority="1932" operator="lessThan">
      <formula>0</formula>
    </cfRule>
  </conditionalFormatting>
  <conditionalFormatting sqref="E4:E35">
    <cfRule type="cellIs" dxfId="6162" priority="1931" operator="lessThan">
      <formula>0</formula>
    </cfRule>
  </conditionalFormatting>
  <conditionalFormatting sqref="E4:E35">
    <cfRule type="cellIs" dxfId="6161" priority="1930" operator="lessThan">
      <formula>0</formula>
    </cfRule>
  </conditionalFormatting>
  <conditionalFormatting sqref="E4:E35">
    <cfRule type="cellIs" dxfId="6160" priority="1929" operator="lessThan">
      <formula>0</formula>
    </cfRule>
  </conditionalFormatting>
  <conditionalFormatting sqref="D4:D35">
    <cfRule type="cellIs" dxfId="6159" priority="1928" operator="lessThan">
      <formula>0</formula>
    </cfRule>
  </conditionalFormatting>
  <conditionalFormatting sqref="D4:D35">
    <cfRule type="cellIs" dxfId="6158" priority="1927" operator="lessThan">
      <formula>0</formula>
    </cfRule>
  </conditionalFormatting>
  <conditionalFormatting sqref="D4:D35">
    <cfRule type="cellIs" dxfId="6157" priority="1926" operator="lessThan">
      <formula>0</formula>
    </cfRule>
  </conditionalFormatting>
  <conditionalFormatting sqref="D4:D35">
    <cfRule type="cellIs" dxfId="6156" priority="1925" operator="lessThan">
      <formula>0</formula>
    </cfRule>
  </conditionalFormatting>
  <conditionalFormatting sqref="D4:D35">
    <cfRule type="cellIs" dxfId="6155" priority="1924" operator="lessThan">
      <formula>0</formula>
    </cfRule>
  </conditionalFormatting>
  <conditionalFormatting sqref="D4:D35">
    <cfRule type="cellIs" dxfId="6154" priority="1923" operator="lessThan">
      <formula>0</formula>
    </cfRule>
  </conditionalFormatting>
  <conditionalFormatting sqref="D4:D35">
    <cfRule type="cellIs" dxfId="6153" priority="1922" operator="lessThan">
      <formula>0</formula>
    </cfRule>
  </conditionalFormatting>
  <conditionalFormatting sqref="D4:D35">
    <cfRule type="cellIs" dxfId="6152" priority="1921" operator="lessThan">
      <formula>0</formula>
    </cfRule>
  </conditionalFormatting>
  <conditionalFormatting sqref="D4:D35">
    <cfRule type="cellIs" dxfId="6151" priority="1920" operator="lessThan">
      <formula>0</formula>
    </cfRule>
  </conditionalFormatting>
  <conditionalFormatting sqref="D4:D35">
    <cfRule type="cellIs" dxfId="6150" priority="1919" operator="lessThan">
      <formula>0</formula>
    </cfRule>
  </conditionalFormatting>
  <conditionalFormatting sqref="D4:D35">
    <cfRule type="cellIs" dxfId="6149" priority="1918" operator="lessThan">
      <formula>0</formula>
    </cfRule>
  </conditionalFormatting>
  <conditionalFormatting sqref="D4:D35">
    <cfRule type="cellIs" dxfId="6148" priority="1917" operator="lessThan">
      <formula>0</formula>
    </cfRule>
  </conditionalFormatting>
  <conditionalFormatting sqref="D4:D35">
    <cfRule type="cellIs" dxfId="6147" priority="1916" operator="lessThan">
      <formula>0</formula>
    </cfRule>
  </conditionalFormatting>
  <conditionalFormatting sqref="D4:D35">
    <cfRule type="cellIs" dxfId="6146" priority="1915" operator="lessThan">
      <formula>0</formula>
    </cfRule>
  </conditionalFormatting>
  <conditionalFormatting sqref="D4:D35">
    <cfRule type="cellIs" dxfId="6145" priority="1914" operator="lessThan">
      <formula>0</formula>
    </cfRule>
  </conditionalFormatting>
  <conditionalFormatting sqref="E4:E35">
    <cfRule type="cellIs" dxfId="6144" priority="1913" operator="lessThan">
      <formula>0</formula>
    </cfRule>
  </conditionalFormatting>
  <conditionalFormatting sqref="B4:B35">
    <cfRule type="cellIs" dxfId="6143" priority="1912" operator="lessThan">
      <formula>0</formula>
    </cfRule>
  </conditionalFormatting>
  <conditionalFormatting sqref="B4:B35">
    <cfRule type="cellIs" dxfId="6142" priority="1911" operator="lessThan">
      <formula>0</formula>
    </cfRule>
  </conditionalFormatting>
  <conditionalFormatting sqref="C4:C35">
    <cfRule type="cellIs" dxfId="6141" priority="1910" operator="lessThan">
      <formula>0</formula>
    </cfRule>
  </conditionalFormatting>
  <conditionalFormatting sqref="D4:D35">
    <cfRule type="cellIs" dxfId="6140" priority="1909" operator="lessThan">
      <formula>0</formula>
    </cfRule>
  </conditionalFormatting>
  <conditionalFormatting sqref="F4:F35">
    <cfRule type="cellIs" dxfId="6139" priority="1908" operator="lessThan">
      <formula>0</formula>
    </cfRule>
  </conditionalFormatting>
  <conditionalFormatting sqref="G4:G35">
    <cfRule type="cellIs" dxfId="6138" priority="1907" operator="lessThan">
      <formula>0</formula>
    </cfRule>
  </conditionalFormatting>
  <conditionalFormatting sqref="D4:D35">
    <cfRule type="cellIs" dxfId="6137" priority="1906" operator="lessThan">
      <formula>0</formula>
    </cfRule>
  </conditionalFormatting>
  <conditionalFormatting sqref="D4:D35">
    <cfRule type="cellIs" dxfId="6136" priority="1905" operator="lessThan">
      <formula>0</formula>
    </cfRule>
  </conditionalFormatting>
  <conditionalFormatting sqref="D4:D35">
    <cfRule type="cellIs" dxfId="6135" priority="1904" operator="lessThan">
      <formula>0</formula>
    </cfRule>
  </conditionalFormatting>
  <conditionalFormatting sqref="D4:D35">
    <cfRule type="cellIs" dxfId="6134" priority="1903" operator="lessThan">
      <formula>0</formula>
    </cfRule>
  </conditionalFormatting>
  <conditionalFormatting sqref="D4:D35">
    <cfRule type="cellIs" dxfId="6133" priority="1902" operator="lessThan">
      <formula>0</formula>
    </cfRule>
  </conditionalFormatting>
  <conditionalFormatting sqref="D4:D35">
    <cfRule type="cellIs" dxfId="6132" priority="1901" operator="lessThan">
      <formula>0</formula>
    </cfRule>
  </conditionalFormatting>
  <conditionalFormatting sqref="D4:D35">
    <cfRule type="cellIs" dxfId="6131" priority="1900" operator="lessThan">
      <formula>0</formula>
    </cfRule>
  </conditionalFormatting>
  <conditionalFormatting sqref="F4:F35">
    <cfRule type="cellIs" dxfId="6130" priority="1899" operator="lessThan">
      <formula>0</formula>
    </cfRule>
  </conditionalFormatting>
  <conditionalFormatting sqref="G4:G35">
    <cfRule type="cellIs" dxfId="6129" priority="1898" operator="lessThan">
      <formula>0</formula>
    </cfRule>
  </conditionalFormatting>
  <conditionalFormatting sqref="B4:B35">
    <cfRule type="cellIs" dxfId="6128" priority="1897" operator="lessThan">
      <formula>0</formula>
    </cfRule>
  </conditionalFormatting>
  <conditionalFormatting sqref="C4:C35">
    <cfRule type="cellIs" dxfId="6127" priority="1896" operator="lessThan">
      <formula>0</formula>
    </cfRule>
  </conditionalFormatting>
  <conditionalFormatting sqref="B4:B35">
    <cfRule type="cellIs" dxfId="6126" priority="1895" operator="lessThan">
      <formula>0</formula>
    </cfRule>
  </conditionalFormatting>
  <conditionalFormatting sqref="C4:C35">
    <cfRule type="cellIs" dxfId="6125" priority="1894" operator="lessThan">
      <formula>0</formula>
    </cfRule>
  </conditionalFormatting>
  <conditionalFormatting sqref="F4:F35">
    <cfRule type="cellIs" dxfId="6124" priority="1893" operator="lessThan">
      <formula>0</formula>
    </cfRule>
  </conditionalFormatting>
  <conditionalFormatting sqref="G4:G35">
    <cfRule type="cellIs" dxfId="6123" priority="1892" operator="lessThan">
      <formula>0</formula>
    </cfRule>
  </conditionalFormatting>
  <conditionalFormatting sqref="D4:D35">
    <cfRule type="cellIs" dxfId="6122" priority="1891" operator="lessThan">
      <formula>0</formula>
    </cfRule>
  </conditionalFormatting>
  <conditionalFormatting sqref="D4:D35">
    <cfRule type="cellIs" dxfId="6121" priority="1890" operator="lessThan">
      <formula>0</formula>
    </cfRule>
  </conditionalFormatting>
  <conditionalFormatting sqref="D4:D35">
    <cfRule type="cellIs" dxfId="6120" priority="1889" operator="lessThan">
      <formula>0</formula>
    </cfRule>
  </conditionalFormatting>
  <conditionalFormatting sqref="D4:D35">
    <cfRule type="cellIs" dxfId="6119" priority="1888" operator="lessThan">
      <formula>0</formula>
    </cfRule>
  </conditionalFormatting>
  <conditionalFormatting sqref="D4:D35">
    <cfRule type="cellIs" dxfId="6118" priority="1887" operator="lessThan">
      <formula>0</formula>
    </cfRule>
  </conditionalFormatting>
  <conditionalFormatting sqref="D4:D35">
    <cfRule type="cellIs" dxfId="6117" priority="1886" operator="lessThan">
      <formula>0</formula>
    </cfRule>
  </conditionalFormatting>
  <conditionalFormatting sqref="D4:D35">
    <cfRule type="cellIs" dxfId="6116" priority="1885" operator="lessThan">
      <formula>0</formula>
    </cfRule>
  </conditionalFormatting>
  <conditionalFormatting sqref="D4:D35">
    <cfRule type="cellIs" dxfId="6115" priority="1884" operator="lessThan">
      <formula>0</formula>
    </cfRule>
  </conditionalFormatting>
  <conditionalFormatting sqref="D4:D35">
    <cfRule type="cellIs" dxfId="6114" priority="1883" operator="lessThan">
      <formula>0</formula>
    </cfRule>
  </conditionalFormatting>
  <conditionalFormatting sqref="D4:D35">
    <cfRule type="cellIs" dxfId="6113" priority="1882" operator="lessThan">
      <formula>0</formula>
    </cfRule>
  </conditionalFormatting>
  <conditionalFormatting sqref="D4:D35">
    <cfRule type="cellIs" dxfId="6112" priority="1881" operator="lessThan">
      <formula>0</formula>
    </cfRule>
  </conditionalFormatting>
  <conditionalFormatting sqref="B4:B35">
    <cfRule type="cellIs" dxfId="6111" priority="1880" operator="lessThan">
      <formula>0</formula>
    </cfRule>
  </conditionalFormatting>
  <conditionalFormatting sqref="C4:C35">
    <cfRule type="cellIs" dxfId="6110" priority="1879" operator="lessThan">
      <formula>0</formula>
    </cfRule>
  </conditionalFormatting>
  <conditionalFormatting sqref="F4:F35">
    <cfRule type="cellIs" dxfId="6109" priority="1878" operator="lessThan">
      <formula>0</formula>
    </cfRule>
  </conditionalFormatting>
  <conditionalFormatting sqref="G4:G35">
    <cfRule type="cellIs" dxfId="6108" priority="1877" operator="lessThan">
      <formula>0</formula>
    </cfRule>
  </conditionalFormatting>
  <conditionalFormatting sqref="D4:D35">
    <cfRule type="cellIs" dxfId="6107" priority="1876" operator="lessThan">
      <formula>0</formula>
    </cfRule>
  </conditionalFormatting>
  <conditionalFormatting sqref="D4:D35">
    <cfRule type="cellIs" dxfId="6106" priority="1875" operator="lessThan">
      <formula>0</formula>
    </cfRule>
  </conditionalFormatting>
  <conditionalFormatting sqref="D4:D35">
    <cfRule type="cellIs" dxfId="6105" priority="1874" operator="lessThan">
      <formula>0</formula>
    </cfRule>
  </conditionalFormatting>
  <conditionalFormatting sqref="D4:D35">
    <cfRule type="cellIs" dxfId="6104" priority="1873" operator="lessThan">
      <formula>0</formula>
    </cfRule>
  </conditionalFormatting>
  <conditionalFormatting sqref="D4:D35">
    <cfRule type="cellIs" dxfId="6103" priority="1872" operator="lessThan">
      <formula>0</formula>
    </cfRule>
  </conditionalFormatting>
  <conditionalFormatting sqref="D4:D35">
    <cfRule type="cellIs" dxfId="6102" priority="1871" operator="lessThan">
      <formula>0</formula>
    </cfRule>
  </conditionalFormatting>
  <conditionalFormatting sqref="D4:D35">
    <cfRule type="cellIs" dxfId="6101" priority="1870" operator="lessThan">
      <formula>0</formula>
    </cfRule>
  </conditionalFormatting>
  <conditionalFormatting sqref="D4:D35">
    <cfRule type="cellIs" dxfId="6100" priority="1869" operator="lessThan">
      <formula>0</formula>
    </cfRule>
  </conditionalFormatting>
  <conditionalFormatting sqref="D4:D35">
    <cfRule type="cellIs" dxfId="6099" priority="1868" operator="lessThan">
      <formula>0</formula>
    </cfRule>
  </conditionalFormatting>
  <conditionalFormatting sqref="D4:D35">
    <cfRule type="cellIs" dxfId="6098" priority="1867" operator="lessThan">
      <formula>0</formula>
    </cfRule>
  </conditionalFormatting>
  <conditionalFormatting sqref="D4:D35">
    <cfRule type="cellIs" dxfId="6097" priority="1866" operator="lessThan">
      <formula>0</formula>
    </cfRule>
  </conditionalFormatting>
  <conditionalFormatting sqref="D4:D35">
    <cfRule type="cellIs" dxfId="6096" priority="1865" operator="lessThan">
      <formula>0</formula>
    </cfRule>
  </conditionalFormatting>
  <conditionalFormatting sqref="D4:D35">
    <cfRule type="cellIs" dxfId="6095" priority="1864" operator="lessThan">
      <formula>0</formula>
    </cfRule>
  </conditionalFormatting>
  <conditionalFormatting sqref="D4:D35">
    <cfRule type="cellIs" dxfId="6094" priority="1863" operator="lessThan">
      <formula>0</formula>
    </cfRule>
  </conditionalFormatting>
  <conditionalFormatting sqref="D4:D35">
    <cfRule type="cellIs" dxfId="6093" priority="1862" operator="lessThan">
      <formula>0</formula>
    </cfRule>
  </conditionalFormatting>
  <conditionalFormatting sqref="D4:D35">
    <cfRule type="cellIs" dxfId="6092" priority="1861" operator="lessThan">
      <formula>0</formula>
    </cfRule>
  </conditionalFormatting>
  <conditionalFormatting sqref="D4:D35">
    <cfRule type="cellIs" dxfId="6091" priority="1860" operator="lessThan">
      <formula>0</formula>
    </cfRule>
  </conditionalFormatting>
  <conditionalFormatting sqref="D4:D35">
    <cfRule type="cellIs" dxfId="6090" priority="1859" operator="lessThan">
      <formula>0</formula>
    </cfRule>
  </conditionalFormatting>
  <conditionalFormatting sqref="D4:D35">
    <cfRule type="cellIs" dxfId="6089" priority="1858" operator="lessThan">
      <formula>0</formula>
    </cfRule>
  </conditionalFormatting>
  <conditionalFormatting sqref="D4:D35">
    <cfRule type="cellIs" dxfId="6088" priority="1857" operator="lessThan">
      <formula>0</formula>
    </cfRule>
  </conditionalFormatting>
  <conditionalFormatting sqref="D4:D35">
    <cfRule type="cellIs" dxfId="6087" priority="1856" operator="lessThan">
      <formula>0</formula>
    </cfRule>
  </conditionalFormatting>
  <conditionalFormatting sqref="D4:D35">
    <cfRule type="cellIs" dxfId="6086" priority="1855" operator="lessThan">
      <formula>0</formula>
    </cfRule>
  </conditionalFormatting>
  <conditionalFormatting sqref="D4:D35">
    <cfRule type="cellIs" dxfId="6085" priority="1854" operator="lessThan">
      <formula>0</formula>
    </cfRule>
  </conditionalFormatting>
  <conditionalFormatting sqref="D4:D35">
    <cfRule type="cellIs" dxfId="6084" priority="1853" operator="lessThan">
      <formula>0</formula>
    </cfRule>
  </conditionalFormatting>
  <conditionalFormatting sqref="D4:D35">
    <cfRule type="cellIs" dxfId="6083" priority="1852" operator="lessThan">
      <formula>0</formula>
    </cfRule>
  </conditionalFormatting>
  <conditionalFormatting sqref="D4:D35">
    <cfRule type="cellIs" dxfId="6082" priority="1851" operator="lessThan">
      <formula>0</formula>
    </cfRule>
  </conditionalFormatting>
  <conditionalFormatting sqref="D4:D35">
    <cfRule type="cellIs" dxfId="6081" priority="1850" operator="lessThan">
      <formula>0</formula>
    </cfRule>
  </conditionalFormatting>
  <conditionalFormatting sqref="D4:D35">
    <cfRule type="cellIs" dxfId="6080" priority="1849" operator="lessThan">
      <formula>0</formula>
    </cfRule>
  </conditionalFormatting>
  <conditionalFormatting sqref="D4:D35">
    <cfRule type="cellIs" dxfId="6079" priority="1848" operator="lessThan">
      <formula>0</formula>
    </cfRule>
  </conditionalFormatting>
  <conditionalFormatting sqref="D4:D35">
    <cfRule type="cellIs" dxfId="6078" priority="1847" operator="lessThan">
      <formula>0</formula>
    </cfRule>
  </conditionalFormatting>
  <conditionalFormatting sqref="D4:D35">
    <cfRule type="cellIs" dxfId="6077" priority="1846" operator="lessThan">
      <formula>0</formula>
    </cfRule>
  </conditionalFormatting>
  <conditionalFormatting sqref="D4:D35">
    <cfRule type="cellIs" dxfId="6076" priority="1845" operator="lessThan">
      <formula>0</formula>
    </cfRule>
  </conditionalFormatting>
  <conditionalFormatting sqref="D4:D35">
    <cfRule type="cellIs" dxfId="6075" priority="1844" operator="lessThan">
      <formula>0</formula>
    </cfRule>
  </conditionalFormatting>
  <conditionalFormatting sqref="D4:D35">
    <cfRule type="cellIs" dxfId="6074" priority="1843" operator="lessThan">
      <formula>0</formula>
    </cfRule>
  </conditionalFormatting>
  <conditionalFormatting sqref="D4:D35">
    <cfRule type="cellIs" dxfId="6073" priority="1842" operator="lessThan">
      <formula>0</formula>
    </cfRule>
  </conditionalFormatting>
  <conditionalFormatting sqref="D4:D35">
    <cfRule type="cellIs" dxfId="6072" priority="1841" operator="lessThan">
      <formula>0</formula>
    </cfRule>
  </conditionalFormatting>
  <conditionalFormatting sqref="D4:D35">
    <cfRule type="cellIs" dxfId="6071" priority="1840" operator="lessThan">
      <formula>0</formula>
    </cfRule>
  </conditionalFormatting>
  <conditionalFormatting sqref="D4:D35">
    <cfRule type="cellIs" dxfId="6070" priority="1839" operator="lessThan">
      <formula>0</formula>
    </cfRule>
  </conditionalFormatting>
  <conditionalFormatting sqref="D4:D35">
    <cfRule type="cellIs" dxfId="6069" priority="1838" operator="lessThan">
      <formula>0</formula>
    </cfRule>
  </conditionalFormatting>
  <conditionalFormatting sqref="D4:D35">
    <cfRule type="cellIs" dxfId="6068" priority="1837" operator="lessThan">
      <formula>0</formula>
    </cfRule>
  </conditionalFormatting>
  <conditionalFormatting sqref="D4:D35">
    <cfRule type="cellIs" dxfId="6067" priority="1836" operator="lessThan">
      <formula>0</formula>
    </cfRule>
  </conditionalFormatting>
  <conditionalFormatting sqref="D4:D35">
    <cfRule type="cellIs" dxfId="6066" priority="1835" operator="lessThan">
      <formula>0</formula>
    </cfRule>
  </conditionalFormatting>
  <conditionalFormatting sqref="D4:D35">
    <cfRule type="cellIs" dxfId="6065" priority="1834" operator="lessThan">
      <formula>0</formula>
    </cfRule>
  </conditionalFormatting>
  <conditionalFormatting sqref="D4:D35">
    <cfRule type="cellIs" dxfId="6064" priority="1833" operator="lessThan">
      <formula>0</formula>
    </cfRule>
  </conditionalFormatting>
  <conditionalFormatting sqref="D4:D35">
    <cfRule type="cellIs" dxfId="6063" priority="1832" operator="lessThan">
      <formula>0</formula>
    </cfRule>
  </conditionalFormatting>
  <conditionalFormatting sqref="D4:D35">
    <cfRule type="cellIs" dxfId="6062" priority="1831" operator="lessThan">
      <formula>0</formula>
    </cfRule>
  </conditionalFormatting>
  <conditionalFormatting sqref="E4:E35">
    <cfRule type="cellIs" dxfId="6061" priority="1830" operator="lessThan">
      <formula>0</formula>
    </cfRule>
  </conditionalFormatting>
  <conditionalFormatting sqref="E4:E35">
    <cfRule type="cellIs" dxfId="6060" priority="1829" operator="lessThan">
      <formula>0</formula>
    </cfRule>
  </conditionalFormatting>
  <conditionalFormatting sqref="E4:E35">
    <cfRule type="cellIs" dxfId="6059" priority="1828" operator="lessThan">
      <formula>0</formula>
    </cfRule>
  </conditionalFormatting>
  <conditionalFormatting sqref="E4:E35">
    <cfRule type="cellIs" dxfId="6058" priority="1827" operator="lessThan">
      <formula>0</formula>
    </cfRule>
  </conditionalFormatting>
  <conditionalFormatting sqref="E4:E35">
    <cfRule type="cellIs" dxfId="6057" priority="1826" operator="lessThan">
      <formula>0</formula>
    </cfRule>
  </conditionalFormatting>
  <conditionalFormatting sqref="E4:E35">
    <cfRule type="cellIs" dxfId="6056" priority="1825" operator="lessThan">
      <formula>0</formula>
    </cfRule>
  </conditionalFormatting>
  <conditionalFormatting sqref="E4:E35">
    <cfRule type="cellIs" dxfId="6055" priority="1824" operator="lessThan">
      <formula>0</formula>
    </cfRule>
  </conditionalFormatting>
  <conditionalFormatting sqref="E4:E35">
    <cfRule type="cellIs" dxfId="6054" priority="1823" operator="lessThan">
      <formula>0</formula>
    </cfRule>
  </conditionalFormatting>
  <conditionalFormatting sqref="E4:E35">
    <cfRule type="cellIs" dxfId="6053" priority="1822" operator="lessThan">
      <formula>0</formula>
    </cfRule>
  </conditionalFormatting>
  <conditionalFormatting sqref="E4:E35">
    <cfRule type="cellIs" dxfId="6052" priority="1821" operator="lessThan">
      <formula>0</formula>
    </cfRule>
  </conditionalFormatting>
  <conditionalFormatting sqref="E4:E35">
    <cfRule type="cellIs" dxfId="6051" priority="1820" operator="lessThan">
      <formula>0</formula>
    </cfRule>
  </conditionalFormatting>
  <conditionalFormatting sqref="E4:E35">
    <cfRule type="cellIs" dxfId="6050" priority="1819" operator="lessThan">
      <formula>0</formula>
    </cfRule>
  </conditionalFormatting>
  <conditionalFormatting sqref="E4:E35">
    <cfRule type="cellIs" dxfId="6049" priority="1818" operator="lessThan">
      <formula>0</formula>
    </cfRule>
  </conditionalFormatting>
  <conditionalFormatting sqref="E4:E35">
    <cfRule type="cellIs" dxfId="6048" priority="1817" operator="lessThan">
      <formula>0</formula>
    </cfRule>
  </conditionalFormatting>
  <conditionalFormatting sqref="E4:E35">
    <cfRule type="cellIs" dxfId="6047" priority="1816" operator="lessThan">
      <formula>0</formula>
    </cfRule>
  </conditionalFormatting>
  <conditionalFormatting sqref="E4:E35">
    <cfRule type="cellIs" dxfId="6046" priority="1815" operator="lessThan">
      <formula>0</formula>
    </cfRule>
  </conditionalFormatting>
  <conditionalFormatting sqref="E4:E35">
    <cfRule type="cellIs" dxfId="6045" priority="1814" operator="lessThan">
      <formula>0</formula>
    </cfRule>
  </conditionalFormatting>
  <conditionalFormatting sqref="E4:E35">
    <cfRule type="cellIs" dxfId="6044" priority="1813" operator="lessThan">
      <formula>0</formula>
    </cfRule>
  </conditionalFormatting>
  <conditionalFormatting sqref="E4:E35">
    <cfRule type="cellIs" dxfId="6043" priority="1812" operator="lessThan">
      <formula>0</formula>
    </cfRule>
  </conditionalFormatting>
  <conditionalFormatting sqref="E4:E35">
    <cfRule type="cellIs" dxfId="6042" priority="1811" operator="lessThan">
      <formula>0</formula>
    </cfRule>
  </conditionalFormatting>
  <conditionalFormatting sqref="E4:E35">
    <cfRule type="cellIs" dxfId="6041" priority="1810" operator="lessThan">
      <formula>0</formula>
    </cfRule>
  </conditionalFormatting>
  <conditionalFormatting sqref="E4:E35">
    <cfRule type="cellIs" dxfId="6040" priority="1809" operator="lessThan">
      <formula>0</formula>
    </cfRule>
  </conditionalFormatting>
  <conditionalFormatting sqref="E4:E35">
    <cfRule type="cellIs" dxfId="6039" priority="1808" operator="lessThan">
      <formula>0</formula>
    </cfRule>
  </conditionalFormatting>
  <conditionalFormatting sqref="E4:E35">
    <cfRule type="cellIs" dxfId="6038" priority="1807" operator="lessThan">
      <formula>0</formula>
    </cfRule>
  </conditionalFormatting>
  <conditionalFormatting sqref="E4:E35">
    <cfRule type="cellIs" dxfId="6037" priority="1806" operator="lessThan">
      <formula>0</formula>
    </cfRule>
  </conditionalFormatting>
  <conditionalFormatting sqref="B4:B35">
    <cfRule type="cellIs" dxfId="6036" priority="1805" operator="lessThan">
      <formula>0</formula>
    </cfRule>
  </conditionalFormatting>
  <conditionalFormatting sqref="C4:C35">
    <cfRule type="cellIs" dxfId="6035" priority="1804" operator="lessThan">
      <formula>0</formula>
    </cfRule>
  </conditionalFormatting>
  <conditionalFormatting sqref="E4:E35">
    <cfRule type="cellIs" dxfId="6034" priority="1803" operator="lessThan">
      <formula>0</formula>
    </cfRule>
  </conditionalFormatting>
  <conditionalFormatting sqref="F4:F35">
    <cfRule type="cellIs" dxfId="6033" priority="1802" operator="lessThan">
      <formula>0</formula>
    </cfRule>
  </conditionalFormatting>
  <conditionalFormatting sqref="G4:G35">
    <cfRule type="cellIs" dxfId="6032" priority="1801" operator="lessThan">
      <formula>0</formula>
    </cfRule>
  </conditionalFormatting>
  <conditionalFormatting sqref="D4:D35">
    <cfRule type="cellIs" dxfId="6031" priority="1800" operator="lessThan">
      <formula>0</formula>
    </cfRule>
  </conditionalFormatting>
  <conditionalFormatting sqref="D5:D35">
    <cfRule type="cellIs" dxfId="6030" priority="1799" operator="lessThan">
      <formula>0</formula>
    </cfRule>
  </conditionalFormatting>
  <conditionalFormatting sqref="D5:D35">
    <cfRule type="cellIs" dxfId="6029" priority="1798" operator="lessThan">
      <formula>0</formula>
    </cfRule>
  </conditionalFormatting>
  <conditionalFormatting sqref="D16:D35">
    <cfRule type="cellIs" dxfId="6028" priority="1797" operator="lessThan">
      <formula>0</formula>
    </cfRule>
  </conditionalFormatting>
  <conditionalFormatting sqref="D16:D35">
    <cfRule type="cellIs" dxfId="6027" priority="1796" operator="lessThan">
      <formula>0</formula>
    </cfRule>
  </conditionalFormatting>
  <conditionalFormatting sqref="D16:D35">
    <cfRule type="cellIs" dxfId="6026" priority="1795" operator="lessThan">
      <formula>0</formula>
    </cfRule>
  </conditionalFormatting>
  <conditionalFormatting sqref="D16:D35">
    <cfRule type="cellIs" dxfId="6025" priority="1794" operator="lessThan">
      <formula>0</formula>
    </cfRule>
  </conditionalFormatting>
  <conditionalFormatting sqref="D16:D35">
    <cfRule type="cellIs" dxfId="6024" priority="1793" operator="lessThan">
      <formula>0</formula>
    </cfRule>
  </conditionalFormatting>
  <conditionalFormatting sqref="D23:D35">
    <cfRule type="cellIs" dxfId="6023" priority="1792" operator="lessThan">
      <formula>0</formula>
    </cfRule>
  </conditionalFormatting>
  <conditionalFormatting sqref="D29:D35">
    <cfRule type="cellIs" dxfId="6022" priority="1791" operator="lessThan">
      <formula>0</formula>
    </cfRule>
  </conditionalFormatting>
  <conditionalFormatting sqref="D4:D35">
    <cfRule type="cellIs" dxfId="6021" priority="1790" operator="lessThan">
      <formula>0</formula>
    </cfRule>
  </conditionalFormatting>
  <conditionalFormatting sqref="D4:D35">
    <cfRule type="cellIs" dxfId="6020" priority="1789" operator="lessThan">
      <formula>0</formula>
    </cfRule>
  </conditionalFormatting>
  <conditionalFormatting sqref="D9:D35">
    <cfRule type="cellIs" dxfId="6019" priority="1788" operator="lessThan">
      <formula>0</formula>
    </cfRule>
  </conditionalFormatting>
  <conditionalFormatting sqref="D9:D35">
    <cfRule type="cellIs" dxfId="6018" priority="1787" operator="lessThan">
      <formula>0</formula>
    </cfRule>
  </conditionalFormatting>
  <conditionalFormatting sqref="D9:D35">
    <cfRule type="cellIs" dxfId="6017" priority="1786" operator="lessThan">
      <formula>0</formula>
    </cfRule>
  </conditionalFormatting>
  <conditionalFormatting sqref="D9:D35">
    <cfRule type="cellIs" dxfId="6016" priority="1785" operator="lessThan">
      <formula>0</formula>
    </cfRule>
  </conditionalFormatting>
  <conditionalFormatting sqref="D9:D35">
    <cfRule type="cellIs" dxfId="6015" priority="1784" operator="lessThan">
      <formula>0</formula>
    </cfRule>
  </conditionalFormatting>
  <conditionalFormatting sqref="D9:D35">
    <cfRule type="cellIs" dxfId="6014" priority="1783" operator="lessThan">
      <formula>0</formula>
    </cfRule>
  </conditionalFormatting>
  <conditionalFormatting sqref="D23:D35">
    <cfRule type="cellIs" dxfId="6013" priority="1782" operator="lessThan">
      <formula>0</formula>
    </cfRule>
  </conditionalFormatting>
  <conditionalFormatting sqref="D29:D35">
    <cfRule type="cellIs" dxfId="6012" priority="1781" operator="lessThan">
      <formula>0</formula>
    </cfRule>
  </conditionalFormatting>
  <conditionalFormatting sqref="D9:D35">
    <cfRule type="cellIs" dxfId="6011" priority="1780" operator="lessThan">
      <formula>0</formula>
    </cfRule>
  </conditionalFormatting>
  <conditionalFormatting sqref="D4:D35">
    <cfRule type="cellIs" dxfId="6010" priority="1779" operator="lessThan">
      <formula>0</formula>
    </cfRule>
  </conditionalFormatting>
  <conditionalFormatting sqref="D4:D35">
    <cfRule type="cellIs" dxfId="6009" priority="1778" operator="lessThan">
      <formula>0</formula>
    </cfRule>
  </conditionalFormatting>
  <conditionalFormatting sqref="D12:D35">
    <cfRule type="cellIs" dxfId="6008" priority="1777" operator="lessThan">
      <formula>0</formula>
    </cfRule>
  </conditionalFormatting>
  <conditionalFormatting sqref="D4:D35">
    <cfRule type="cellIs" dxfId="6007" priority="1776" operator="lessThan">
      <formula>0</formula>
    </cfRule>
  </conditionalFormatting>
  <conditionalFormatting sqref="D4:D35">
    <cfRule type="cellIs" dxfId="6006" priority="1775" operator="lessThan">
      <formula>0</formula>
    </cfRule>
  </conditionalFormatting>
  <conditionalFormatting sqref="D4:D35">
    <cfRule type="cellIs" dxfId="6005" priority="1774" operator="lessThan">
      <formula>0</formula>
    </cfRule>
  </conditionalFormatting>
  <conditionalFormatting sqref="D4:D35">
    <cfRule type="cellIs" dxfId="6004" priority="1773" operator="lessThan">
      <formula>0</formula>
    </cfRule>
  </conditionalFormatting>
  <conditionalFormatting sqref="D4:D35">
    <cfRule type="cellIs" dxfId="6003" priority="1772" operator="lessThan">
      <formula>0</formula>
    </cfRule>
  </conditionalFormatting>
  <conditionalFormatting sqref="D4:D35">
    <cfRule type="cellIs" dxfId="6002" priority="1771" operator="lessThan">
      <formula>0</formula>
    </cfRule>
  </conditionalFormatting>
  <conditionalFormatting sqref="D4:D35">
    <cfRule type="cellIs" dxfId="6001" priority="1770" operator="lessThan">
      <formula>0</formula>
    </cfRule>
  </conditionalFormatting>
  <conditionalFormatting sqref="D4:D35">
    <cfRule type="cellIs" dxfId="6000" priority="1769" operator="lessThan">
      <formula>0</formula>
    </cfRule>
  </conditionalFormatting>
  <conditionalFormatting sqref="D4:D35">
    <cfRule type="cellIs" dxfId="5999" priority="1768" operator="lessThan">
      <formula>0</formula>
    </cfRule>
  </conditionalFormatting>
  <conditionalFormatting sqref="D4:D35">
    <cfRule type="cellIs" dxfId="5998" priority="1767" operator="lessThan">
      <formula>0</formula>
    </cfRule>
  </conditionalFormatting>
  <conditionalFormatting sqref="D4:D35">
    <cfRule type="cellIs" dxfId="5997" priority="1766" operator="lessThan">
      <formula>0</formula>
    </cfRule>
  </conditionalFormatting>
  <conditionalFormatting sqref="D4:D35">
    <cfRule type="cellIs" dxfId="5996" priority="1765" operator="lessThan">
      <formula>0</formula>
    </cfRule>
  </conditionalFormatting>
  <conditionalFormatting sqref="D4:D35">
    <cfRule type="cellIs" dxfId="5995" priority="1764" operator="lessThan">
      <formula>0</formula>
    </cfRule>
  </conditionalFormatting>
  <conditionalFormatting sqref="D4:D35">
    <cfRule type="cellIs" dxfId="5994" priority="1763" operator="lessThan">
      <formula>0</formula>
    </cfRule>
  </conditionalFormatting>
  <conditionalFormatting sqref="D4:D35">
    <cfRule type="cellIs" dxfId="5993" priority="1762" operator="lessThan">
      <formula>0</formula>
    </cfRule>
  </conditionalFormatting>
  <conditionalFormatting sqref="D4:D35">
    <cfRule type="cellIs" dxfId="5992" priority="1761" operator="lessThan">
      <formula>0</formula>
    </cfRule>
  </conditionalFormatting>
  <conditionalFormatting sqref="D4:D35">
    <cfRule type="cellIs" dxfId="5991" priority="1760" operator="lessThan">
      <formula>0</formula>
    </cfRule>
  </conditionalFormatting>
  <conditionalFormatting sqref="D4:D35">
    <cfRule type="cellIs" dxfId="5990" priority="1759" operator="lessThan">
      <formula>0</formula>
    </cfRule>
  </conditionalFormatting>
  <conditionalFormatting sqref="D4:D35">
    <cfRule type="cellIs" dxfId="5989" priority="1758" operator="lessThan">
      <formula>0</formula>
    </cfRule>
  </conditionalFormatting>
  <conditionalFormatting sqref="D4:D35">
    <cfRule type="cellIs" dxfId="5988" priority="1757" operator="lessThan">
      <formula>0</formula>
    </cfRule>
  </conditionalFormatting>
  <conditionalFormatting sqref="D4:D35">
    <cfRule type="cellIs" dxfId="5987" priority="1756" operator="lessThan">
      <formula>0</formula>
    </cfRule>
  </conditionalFormatting>
  <conditionalFormatting sqref="D4:D35">
    <cfRule type="cellIs" dxfId="5986" priority="1755" operator="lessThan">
      <formula>0</formula>
    </cfRule>
  </conditionalFormatting>
  <conditionalFormatting sqref="D4:D35">
    <cfRule type="cellIs" dxfId="5985" priority="1754" operator="lessThan">
      <formula>0</formula>
    </cfRule>
  </conditionalFormatting>
  <conditionalFormatting sqref="D4:D35">
    <cfRule type="cellIs" dxfId="5984" priority="1753" operator="lessThan">
      <formula>0</formula>
    </cfRule>
  </conditionalFormatting>
  <conditionalFormatting sqref="D4:D35">
    <cfRule type="cellIs" dxfId="5983" priority="1752" operator="lessThan">
      <formula>0</formula>
    </cfRule>
  </conditionalFormatting>
  <conditionalFormatting sqref="D4:D35">
    <cfRule type="cellIs" dxfId="5982" priority="1751" operator="lessThan">
      <formula>0</formula>
    </cfRule>
  </conditionalFormatting>
  <conditionalFormatting sqref="D4:D35">
    <cfRule type="cellIs" dxfId="5981" priority="1750" operator="lessThan">
      <formula>0</formula>
    </cfRule>
  </conditionalFormatting>
  <conditionalFormatting sqref="D4:D35">
    <cfRule type="cellIs" dxfId="5980" priority="1749" operator="lessThan">
      <formula>0</formula>
    </cfRule>
  </conditionalFormatting>
  <conditionalFormatting sqref="D4:D35">
    <cfRule type="cellIs" dxfId="5979" priority="1748" operator="lessThan">
      <formula>0</formula>
    </cfRule>
  </conditionalFormatting>
  <conditionalFormatting sqref="D4:D35">
    <cfRule type="cellIs" dxfId="5978" priority="1747" operator="lessThan">
      <formula>0</formula>
    </cfRule>
  </conditionalFormatting>
  <conditionalFormatting sqref="D4:D35">
    <cfRule type="cellIs" dxfId="5977" priority="1746" operator="lessThan">
      <formula>0</formula>
    </cfRule>
  </conditionalFormatting>
  <conditionalFormatting sqref="D4:D35">
    <cfRule type="cellIs" dxfId="5976" priority="1745" operator="lessThan">
      <formula>0</formula>
    </cfRule>
  </conditionalFormatting>
  <conditionalFormatting sqref="D4:D35">
    <cfRule type="cellIs" dxfId="5975" priority="1744" operator="lessThan">
      <formula>0</formula>
    </cfRule>
  </conditionalFormatting>
  <conditionalFormatting sqref="D4:D35">
    <cfRule type="cellIs" dxfId="5974" priority="1743" operator="lessThan">
      <formula>0</formula>
    </cfRule>
  </conditionalFormatting>
  <conditionalFormatting sqref="D4:D35">
    <cfRule type="cellIs" dxfId="5973" priority="1742" operator="lessThan">
      <formula>0</formula>
    </cfRule>
  </conditionalFormatting>
  <conditionalFormatting sqref="D4:D35">
    <cfRule type="cellIs" dxfId="5972" priority="1741" operator="lessThan">
      <formula>0</formula>
    </cfRule>
  </conditionalFormatting>
  <conditionalFormatting sqref="D4:D35">
    <cfRule type="cellIs" dxfId="5971" priority="1740" operator="lessThan">
      <formula>0</formula>
    </cfRule>
  </conditionalFormatting>
  <conditionalFormatting sqref="D4:D35">
    <cfRule type="cellIs" dxfId="5970" priority="1739" operator="lessThan">
      <formula>0</formula>
    </cfRule>
  </conditionalFormatting>
  <conditionalFormatting sqref="D4:D35">
    <cfRule type="cellIs" dxfId="5969" priority="1738" operator="lessThan">
      <formula>0</formula>
    </cfRule>
  </conditionalFormatting>
  <conditionalFormatting sqref="D4:D35">
    <cfRule type="cellIs" dxfId="5968" priority="1737" operator="lessThan">
      <formula>0</formula>
    </cfRule>
  </conditionalFormatting>
  <conditionalFormatting sqref="D4:D35">
    <cfRule type="cellIs" dxfId="5967" priority="1736" operator="lessThan">
      <formula>0</formula>
    </cfRule>
  </conditionalFormatting>
  <conditionalFormatting sqref="D4:D35">
    <cfRule type="cellIs" dxfId="5966" priority="1735" operator="lessThan">
      <formula>0</formula>
    </cfRule>
  </conditionalFormatting>
  <conditionalFormatting sqref="D4:D35">
    <cfRule type="cellIs" dxfId="5965" priority="1734" operator="lessThan">
      <formula>0</formula>
    </cfRule>
  </conditionalFormatting>
  <conditionalFormatting sqref="D23:D35">
    <cfRule type="cellIs" dxfId="5964" priority="1733" operator="lessThan">
      <formula>0</formula>
    </cfRule>
  </conditionalFormatting>
  <conditionalFormatting sqref="D29:D35">
    <cfRule type="cellIs" dxfId="5963" priority="1732" operator="lessThan">
      <formula>0</formula>
    </cfRule>
  </conditionalFormatting>
  <conditionalFormatting sqref="D4:D35">
    <cfRule type="cellIs" dxfId="5962" priority="1731" operator="lessThan">
      <formula>0</formula>
    </cfRule>
  </conditionalFormatting>
  <conditionalFormatting sqref="D4:D35">
    <cfRule type="cellIs" dxfId="5961" priority="1730" operator="lessThan">
      <formula>0</formula>
    </cfRule>
  </conditionalFormatting>
  <conditionalFormatting sqref="D4:D35">
    <cfRule type="cellIs" dxfId="5960" priority="1729" operator="lessThan">
      <formula>0</formula>
    </cfRule>
  </conditionalFormatting>
  <conditionalFormatting sqref="D4:D35">
    <cfRule type="cellIs" dxfId="5959" priority="1728" operator="lessThan">
      <formula>0</formula>
    </cfRule>
  </conditionalFormatting>
  <conditionalFormatting sqref="D4:D35">
    <cfRule type="cellIs" dxfId="5958" priority="1727" operator="lessThan">
      <formula>0</formula>
    </cfRule>
  </conditionalFormatting>
  <conditionalFormatting sqref="D5">
    <cfRule type="cellIs" dxfId="5957" priority="1726" operator="lessThan">
      <formula>0</formula>
    </cfRule>
  </conditionalFormatting>
  <conditionalFormatting sqref="D4:D35">
    <cfRule type="cellIs" dxfId="5956" priority="1725" operator="lessThan">
      <formula>0</formula>
    </cfRule>
  </conditionalFormatting>
  <conditionalFormatting sqref="D4:D35">
    <cfRule type="cellIs" dxfId="5955" priority="1724" operator="lessThan">
      <formula>0</formula>
    </cfRule>
  </conditionalFormatting>
  <conditionalFormatting sqref="D8:D35">
    <cfRule type="cellIs" dxfId="5954" priority="1723" operator="lessThan">
      <formula>0</formula>
    </cfRule>
  </conditionalFormatting>
  <conditionalFormatting sqref="D8:D35">
    <cfRule type="cellIs" dxfId="5953" priority="1722" operator="lessThan">
      <formula>0</formula>
    </cfRule>
  </conditionalFormatting>
  <conditionalFormatting sqref="D16:D35">
    <cfRule type="cellIs" dxfId="5952" priority="1721" operator="lessThan">
      <formula>0</formula>
    </cfRule>
  </conditionalFormatting>
  <conditionalFormatting sqref="D16:D35">
    <cfRule type="cellIs" dxfId="5951" priority="1720" operator="lessThan">
      <formula>0</formula>
    </cfRule>
  </conditionalFormatting>
  <conditionalFormatting sqref="D16:D35">
    <cfRule type="cellIs" dxfId="5950" priority="1719" operator="lessThan">
      <formula>0</formula>
    </cfRule>
  </conditionalFormatting>
  <conditionalFormatting sqref="D16:D35">
    <cfRule type="cellIs" dxfId="5949" priority="1718" operator="lessThan">
      <formula>0</formula>
    </cfRule>
  </conditionalFormatting>
  <conditionalFormatting sqref="D16:D35">
    <cfRule type="cellIs" dxfId="5948" priority="1717" operator="lessThan">
      <formula>0</formula>
    </cfRule>
  </conditionalFormatting>
  <conditionalFormatting sqref="D23:D35">
    <cfRule type="cellIs" dxfId="5947" priority="1716" operator="lessThan">
      <formula>0</formula>
    </cfRule>
  </conditionalFormatting>
  <conditionalFormatting sqref="D29:D35">
    <cfRule type="cellIs" dxfId="5946" priority="1715" operator="lessThan">
      <formula>0</formula>
    </cfRule>
  </conditionalFormatting>
  <conditionalFormatting sqref="D9:D35">
    <cfRule type="cellIs" dxfId="5945" priority="1714" operator="lessThan">
      <formula>0</formula>
    </cfRule>
  </conditionalFormatting>
  <conditionalFormatting sqref="D9:D35">
    <cfRule type="cellIs" dxfId="5944" priority="1713" operator="lessThan">
      <formula>0</formula>
    </cfRule>
  </conditionalFormatting>
  <conditionalFormatting sqref="D9:D35">
    <cfRule type="cellIs" dxfId="5943" priority="1712" operator="lessThan">
      <formula>0</formula>
    </cfRule>
  </conditionalFormatting>
  <conditionalFormatting sqref="D9:D35">
    <cfRule type="cellIs" dxfId="5942" priority="1711" operator="lessThan">
      <formula>0</formula>
    </cfRule>
  </conditionalFormatting>
  <conditionalFormatting sqref="D9:D35">
    <cfRule type="cellIs" dxfId="5941" priority="1710" operator="lessThan">
      <formula>0</formula>
    </cfRule>
  </conditionalFormatting>
  <conditionalFormatting sqref="D9:D35">
    <cfRule type="cellIs" dxfId="5940" priority="1709" operator="lessThan">
      <formula>0</formula>
    </cfRule>
  </conditionalFormatting>
  <conditionalFormatting sqref="D23:D35">
    <cfRule type="cellIs" dxfId="5939" priority="1708" operator="lessThan">
      <formula>0</formula>
    </cfRule>
  </conditionalFormatting>
  <conditionalFormatting sqref="D29:D35">
    <cfRule type="cellIs" dxfId="5938" priority="1707" operator="lessThan">
      <formula>0</formula>
    </cfRule>
  </conditionalFormatting>
  <conditionalFormatting sqref="D9:D35">
    <cfRule type="cellIs" dxfId="5937" priority="1706" operator="lessThan">
      <formula>0</formula>
    </cfRule>
  </conditionalFormatting>
  <conditionalFormatting sqref="D4:D35">
    <cfRule type="cellIs" dxfId="5936" priority="1705" operator="lessThan">
      <formula>0</formula>
    </cfRule>
  </conditionalFormatting>
  <conditionalFormatting sqref="D4:D35">
    <cfRule type="cellIs" dxfId="5935" priority="1704" operator="lessThan">
      <formula>0</formula>
    </cfRule>
  </conditionalFormatting>
  <conditionalFormatting sqref="D4:D35">
    <cfRule type="cellIs" dxfId="5934" priority="1703" operator="lessThan">
      <formula>0</formula>
    </cfRule>
  </conditionalFormatting>
  <conditionalFormatting sqref="D4:D35">
    <cfRule type="cellIs" dxfId="5933" priority="1702" operator="lessThan">
      <formula>0</formula>
    </cfRule>
  </conditionalFormatting>
  <conditionalFormatting sqref="D4:D35">
    <cfRule type="cellIs" dxfId="5932" priority="1701" operator="lessThan">
      <formula>0</formula>
    </cfRule>
  </conditionalFormatting>
  <conditionalFormatting sqref="D4:D35">
    <cfRule type="cellIs" dxfId="5931" priority="1700" operator="lessThan">
      <formula>0</formula>
    </cfRule>
  </conditionalFormatting>
  <conditionalFormatting sqref="D4:D35">
    <cfRule type="cellIs" dxfId="5930" priority="1699" operator="lessThan">
      <formula>0</formula>
    </cfRule>
  </conditionalFormatting>
  <conditionalFormatting sqref="D4:D35">
    <cfRule type="cellIs" dxfId="5929" priority="1698" operator="lessThan">
      <formula>0</formula>
    </cfRule>
  </conditionalFormatting>
  <conditionalFormatting sqref="D4:D35">
    <cfRule type="cellIs" dxfId="5928" priority="1697" operator="lessThan">
      <formula>0</formula>
    </cfRule>
  </conditionalFormatting>
  <conditionalFormatting sqref="D4:D35">
    <cfRule type="cellIs" dxfId="5927" priority="1696" operator="lessThan">
      <formula>0</formula>
    </cfRule>
  </conditionalFormatting>
  <conditionalFormatting sqref="D4:D35">
    <cfRule type="cellIs" dxfId="5926" priority="1695" operator="lessThan">
      <formula>0</formula>
    </cfRule>
  </conditionalFormatting>
  <conditionalFormatting sqref="D4:D35">
    <cfRule type="cellIs" dxfId="5925" priority="1694" operator="lessThan">
      <formula>0</formula>
    </cfRule>
  </conditionalFormatting>
  <conditionalFormatting sqref="D4:D35">
    <cfRule type="cellIs" dxfId="5924" priority="1693" operator="lessThan">
      <formula>0</formula>
    </cfRule>
  </conditionalFormatting>
  <conditionalFormatting sqref="D4:D35">
    <cfRule type="cellIs" dxfId="5923" priority="1692" operator="lessThan">
      <formula>0</formula>
    </cfRule>
  </conditionalFormatting>
  <conditionalFormatting sqref="D4:D35">
    <cfRule type="cellIs" dxfId="5922" priority="1691" operator="lessThan">
      <formula>0</formula>
    </cfRule>
  </conditionalFormatting>
  <conditionalFormatting sqref="D4:D35">
    <cfRule type="cellIs" dxfId="5921" priority="1690" operator="lessThan">
      <formula>0</formula>
    </cfRule>
  </conditionalFormatting>
  <conditionalFormatting sqref="D4:D35">
    <cfRule type="cellIs" dxfId="5920" priority="1689" operator="lessThan">
      <formula>0</formula>
    </cfRule>
  </conditionalFormatting>
  <conditionalFormatting sqref="D4:D35">
    <cfRule type="cellIs" dxfId="5919" priority="1688" operator="lessThan">
      <formula>0</formula>
    </cfRule>
  </conditionalFormatting>
  <conditionalFormatting sqref="D4:D35">
    <cfRule type="cellIs" dxfId="5918" priority="1687" operator="lessThan">
      <formula>0</formula>
    </cfRule>
  </conditionalFormatting>
  <conditionalFormatting sqref="D4:D35">
    <cfRule type="cellIs" dxfId="5917" priority="1686" operator="lessThan">
      <formula>0</formula>
    </cfRule>
  </conditionalFormatting>
  <conditionalFormatting sqref="D4:D35">
    <cfRule type="cellIs" dxfId="5916" priority="1685" operator="lessThan">
      <formula>0</formula>
    </cfRule>
  </conditionalFormatting>
  <conditionalFormatting sqref="D4:D35">
    <cfRule type="cellIs" dxfId="5915" priority="1684" operator="lessThan">
      <formula>0</formula>
    </cfRule>
  </conditionalFormatting>
  <conditionalFormatting sqref="D4:D35">
    <cfRule type="cellIs" dxfId="5914" priority="1683" operator="lessThan">
      <formula>0</formula>
    </cfRule>
  </conditionalFormatting>
  <conditionalFormatting sqref="D4:D35">
    <cfRule type="cellIs" dxfId="5913" priority="1682" operator="lessThan">
      <formula>0</formula>
    </cfRule>
  </conditionalFormatting>
  <conditionalFormatting sqref="D4:D35">
    <cfRule type="cellIs" dxfId="5912" priority="1681" operator="lessThan">
      <formula>0</formula>
    </cfRule>
  </conditionalFormatting>
  <conditionalFormatting sqref="D4:D35">
    <cfRule type="cellIs" dxfId="5911" priority="1680" operator="lessThan">
      <formula>0</formula>
    </cfRule>
  </conditionalFormatting>
  <conditionalFormatting sqref="D4:D35">
    <cfRule type="cellIs" dxfId="5910" priority="1679" operator="lessThan">
      <formula>0</formula>
    </cfRule>
  </conditionalFormatting>
  <conditionalFormatting sqref="D4:D35">
    <cfRule type="cellIs" dxfId="5909" priority="1678" operator="lessThan">
      <formula>0</formula>
    </cfRule>
  </conditionalFormatting>
  <conditionalFormatting sqref="D4:D35">
    <cfRule type="cellIs" dxfId="5908" priority="1677" operator="lessThan">
      <formula>0</formula>
    </cfRule>
  </conditionalFormatting>
  <conditionalFormatting sqref="D4:D35">
    <cfRule type="cellIs" dxfId="5907" priority="1676" operator="lessThan">
      <formula>0</formula>
    </cfRule>
  </conditionalFormatting>
  <conditionalFormatting sqref="D30">
    <cfRule type="cellIs" dxfId="5906" priority="1675" operator="lessThan">
      <formula>0</formula>
    </cfRule>
  </conditionalFormatting>
  <conditionalFormatting sqref="D4:D35">
    <cfRule type="cellIs" dxfId="5905" priority="1674" operator="lessThan">
      <formula>0</formula>
    </cfRule>
  </conditionalFormatting>
  <conditionalFormatting sqref="D4:D35">
    <cfRule type="cellIs" dxfId="5904" priority="1673" operator="lessThan">
      <formula>0</formula>
    </cfRule>
  </conditionalFormatting>
  <conditionalFormatting sqref="D4:D35">
    <cfRule type="cellIs" dxfId="5903" priority="1672" operator="lessThan">
      <formula>0</formula>
    </cfRule>
  </conditionalFormatting>
  <conditionalFormatting sqref="D4:D35">
    <cfRule type="cellIs" dxfId="5902" priority="1671" operator="lessThan">
      <formula>0</formula>
    </cfRule>
  </conditionalFormatting>
  <conditionalFormatting sqref="D4:D35">
    <cfRule type="cellIs" dxfId="5901" priority="1670" operator="lessThan">
      <formula>0</formula>
    </cfRule>
  </conditionalFormatting>
  <conditionalFormatting sqref="D4:D35">
    <cfRule type="cellIs" dxfId="5900" priority="1669" operator="lessThan">
      <formula>0</formula>
    </cfRule>
  </conditionalFormatting>
  <conditionalFormatting sqref="D4:D35">
    <cfRule type="cellIs" dxfId="5899" priority="1668" operator="lessThan">
      <formula>0</formula>
    </cfRule>
  </conditionalFormatting>
  <conditionalFormatting sqref="D4:D35">
    <cfRule type="cellIs" dxfId="5898" priority="1667" operator="lessThan">
      <formula>0</formula>
    </cfRule>
  </conditionalFormatting>
  <conditionalFormatting sqref="D4:D35">
    <cfRule type="cellIs" dxfId="5897" priority="1666" operator="lessThan">
      <formula>0</formula>
    </cfRule>
  </conditionalFormatting>
  <conditionalFormatting sqref="D4:D35">
    <cfRule type="cellIs" dxfId="5896" priority="1665" operator="lessThan">
      <formula>0</formula>
    </cfRule>
  </conditionalFormatting>
  <conditionalFormatting sqref="D4:D35">
    <cfRule type="cellIs" dxfId="5895" priority="1664" operator="lessThan">
      <formula>0</formula>
    </cfRule>
  </conditionalFormatting>
  <conditionalFormatting sqref="D4:D35">
    <cfRule type="cellIs" dxfId="5894" priority="1663" operator="lessThan">
      <formula>0</formula>
    </cfRule>
  </conditionalFormatting>
  <conditionalFormatting sqref="D4:D35">
    <cfRule type="cellIs" dxfId="5893" priority="1662" operator="lessThan">
      <formula>0</formula>
    </cfRule>
  </conditionalFormatting>
  <conditionalFormatting sqref="D4:D35">
    <cfRule type="cellIs" dxfId="5892" priority="1661" operator="lessThan">
      <formula>0</formula>
    </cfRule>
  </conditionalFormatting>
  <conditionalFormatting sqref="D4:D35">
    <cfRule type="cellIs" dxfId="5891" priority="1660" operator="lessThan">
      <formula>0</formula>
    </cfRule>
  </conditionalFormatting>
  <conditionalFormatting sqref="D4:D35">
    <cfRule type="cellIs" dxfId="5890" priority="1659" operator="lessThan">
      <formula>0</formula>
    </cfRule>
  </conditionalFormatting>
  <conditionalFormatting sqref="D4:D35">
    <cfRule type="cellIs" dxfId="5889" priority="1658" operator="lessThan">
      <formula>0</formula>
    </cfRule>
  </conditionalFormatting>
  <conditionalFormatting sqref="D4:D35">
    <cfRule type="cellIs" dxfId="5888" priority="1657" operator="lessThan">
      <formula>0</formula>
    </cfRule>
  </conditionalFormatting>
  <conditionalFormatting sqref="D4:D35">
    <cfRule type="cellIs" dxfId="5887" priority="1656" operator="lessThan">
      <formula>0</formula>
    </cfRule>
  </conditionalFormatting>
  <conditionalFormatting sqref="D4:D35">
    <cfRule type="cellIs" dxfId="5886" priority="1655" operator="lessThan">
      <formula>0</formula>
    </cfRule>
  </conditionalFormatting>
  <conditionalFormatting sqref="D4:D35">
    <cfRule type="cellIs" dxfId="5885" priority="1654" operator="lessThan">
      <formula>0</formula>
    </cfRule>
  </conditionalFormatting>
  <conditionalFormatting sqref="D4:D35">
    <cfRule type="cellIs" dxfId="5884" priority="1653" operator="lessThan">
      <formula>0</formula>
    </cfRule>
  </conditionalFormatting>
  <conditionalFormatting sqref="D4:D35">
    <cfRule type="cellIs" dxfId="5883" priority="1652" operator="lessThan">
      <formula>0</formula>
    </cfRule>
  </conditionalFormatting>
  <conditionalFormatting sqref="D4:D35">
    <cfRule type="cellIs" dxfId="5882" priority="1651" operator="lessThan">
      <formula>0</formula>
    </cfRule>
  </conditionalFormatting>
  <conditionalFormatting sqref="D4:D35">
    <cfRule type="cellIs" dxfId="5881" priority="1650" operator="lessThan">
      <formula>0</formula>
    </cfRule>
  </conditionalFormatting>
  <conditionalFormatting sqref="D4:D35">
    <cfRule type="cellIs" dxfId="5880" priority="1649" operator="lessThan">
      <formula>0</formula>
    </cfRule>
  </conditionalFormatting>
  <conditionalFormatting sqref="D4:D35">
    <cfRule type="cellIs" dxfId="5879" priority="1648" operator="lessThan">
      <formula>0</formula>
    </cfRule>
  </conditionalFormatting>
  <conditionalFormatting sqref="D4:D35">
    <cfRule type="cellIs" dxfId="5878" priority="1647" operator="lessThan">
      <formula>0</formula>
    </cfRule>
  </conditionalFormatting>
  <conditionalFormatting sqref="D4:D35">
    <cfRule type="cellIs" dxfId="5877" priority="1646" operator="lessThan">
      <formula>0</formula>
    </cfRule>
  </conditionalFormatting>
  <conditionalFormatting sqref="D4:D35">
    <cfRule type="cellIs" dxfId="5876" priority="1645" operator="lessThan">
      <formula>0</formula>
    </cfRule>
  </conditionalFormatting>
  <conditionalFormatting sqref="D4:D35">
    <cfRule type="cellIs" dxfId="5875" priority="1644" operator="lessThan">
      <formula>0</formula>
    </cfRule>
  </conditionalFormatting>
  <conditionalFormatting sqref="D4:D35">
    <cfRule type="cellIs" dxfId="5874" priority="1643" operator="lessThan">
      <formula>0</formula>
    </cfRule>
  </conditionalFormatting>
  <conditionalFormatting sqref="D4:D35">
    <cfRule type="cellIs" dxfId="5873" priority="1642" operator="lessThan">
      <formula>0</formula>
    </cfRule>
  </conditionalFormatting>
  <conditionalFormatting sqref="D4:D35">
    <cfRule type="cellIs" dxfId="5872" priority="1641" operator="lessThan">
      <formula>0</formula>
    </cfRule>
  </conditionalFormatting>
  <conditionalFormatting sqref="D4:D35">
    <cfRule type="cellIs" dxfId="5871" priority="1640" operator="lessThan">
      <formula>0</formula>
    </cfRule>
  </conditionalFormatting>
  <conditionalFormatting sqref="D4:D35">
    <cfRule type="cellIs" dxfId="5870" priority="1639" operator="lessThan">
      <formula>0</formula>
    </cfRule>
  </conditionalFormatting>
  <conditionalFormatting sqref="D4:D35">
    <cfRule type="cellIs" dxfId="5869" priority="1638" operator="lessThan">
      <formula>0</formula>
    </cfRule>
  </conditionalFormatting>
  <conditionalFormatting sqref="D4:D35">
    <cfRule type="cellIs" dxfId="5868" priority="1637" operator="lessThan">
      <formula>0</formula>
    </cfRule>
  </conditionalFormatting>
  <conditionalFormatting sqref="D4:D35">
    <cfRule type="cellIs" dxfId="5867" priority="1636" operator="lessThan">
      <formula>0</formula>
    </cfRule>
  </conditionalFormatting>
  <conditionalFormatting sqref="D4:D35">
    <cfRule type="cellIs" dxfId="5866" priority="1635" operator="lessThan">
      <formula>0</formula>
    </cfRule>
  </conditionalFormatting>
  <conditionalFormatting sqref="D4:D35">
    <cfRule type="cellIs" dxfId="5865" priority="1634" operator="lessThan">
      <formula>0</formula>
    </cfRule>
  </conditionalFormatting>
  <conditionalFormatting sqref="D4:D35">
    <cfRule type="cellIs" dxfId="5864" priority="1633" operator="lessThan">
      <formula>0</formula>
    </cfRule>
  </conditionalFormatting>
  <conditionalFormatting sqref="D4:D35">
    <cfRule type="cellIs" dxfId="5863" priority="1632" operator="lessThan">
      <formula>0</formula>
    </cfRule>
  </conditionalFormatting>
  <conditionalFormatting sqref="D4:D35">
    <cfRule type="cellIs" dxfId="5862" priority="1631" operator="lessThan">
      <formula>0</formula>
    </cfRule>
  </conditionalFormatting>
  <conditionalFormatting sqref="D4:D35">
    <cfRule type="cellIs" dxfId="5861" priority="1630" operator="lessThan">
      <formula>0</formula>
    </cfRule>
  </conditionalFormatting>
  <conditionalFormatting sqref="D4:D35">
    <cfRule type="cellIs" dxfId="5860" priority="1629" operator="lessThan">
      <formula>0</formula>
    </cfRule>
  </conditionalFormatting>
  <conditionalFormatting sqref="D4:D35">
    <cfRule type="cellIs" dxfId="5859" priority="1628" operator="lessThan">
      <formula>0</formula>
    </cfRule>
  </conditionalFormatting>
  <conditionalFormatting sqref="D4:D35">
    <cfRule type="cellIs" dxfId="5858" priority="1627" operator="lessThan">
      <formula>0</formula>
    </cfRule>
  </conditionalFormatting>
  <conditionalFormatting sqref="D4:D35">
    <cfRule type="cellIs" dxfId="5857" priority="1626" operator="lessThan">
      <formula>0</formula>
    </cfRule>
  </conditionalFormatting>
  <conditionalFormatting sqref="D4:D35">
    <cfRule type="cellIs" dxfId="5856" priority="1625" operator="lessThan">
      <formula>0</formula>
    </cfRule>
  </conditionalFormatting>
  <conditionalFormatting sqref="D4:D35">
    <cfRule type="cellIs" dxfId="5855" priority="1624" operator="lessThan">
      <formula>0</formula>
    </cfRule>
  </conditionalFormatting>
  <conditionalFormatting sqref="D4:D35">
    <cfRule type="cellIs" dxfId="5854" priority="1623" operator="lessThan">
      <formula>0</formula>
    </cfRule>
  </conditionalFormatting>
  <conditionalFormatting sqref="D4:D35">
    <cfRule type="cellIs" dxfId="5853" priority="1622" operator="lessThan">
      <formula>0</formula>
    </cfRule>
  </conditionalFormatting>
  <conditionalFormatting sqref="D4:D35">
    <cfRule type="cellIs" dxfId="5852" priority="1621" operator="lessThan">
      <formula>0</formula>
    </cfRule>
  </conditionalFormatting>
  <conditionalFormatting sqref="D4:D35">
    <cfRule type="cellIs" dxfId="5851" priority="1620" operator="lessThan">
      <formula>0</formula>
    </cfRule>
  </conditionalFormatting>
  <conditionalFormatting sqref="D4:D35">
    <cfRule type="cellIs" dxfId="5850" priority="1619" operator="lessThan">
      <formula>0</formula>
    </cfRule>
  </conditionalFormatting>
  <conditionalFormatting sqref="D4:D35">
    <cfRule type="cellIs" dxfId="5849" priority="1618" operator="lessThan">
      <formula>0</formula>
    </cfRule>
  </conditionalFormatting>
  <conditionalFormatting sqref="D4:D35">
    <cfRule type="cellIs" dxfId="5848" priority="1617" operator="lessThan">
      <formula>0</formula>
    </cfRule>
  </conditionalFormatting>
  <conditionalFormatting sqref="D4:D35">
    <cfRule type="cellIs" dxfId="5847" priority="1616" operator="lessThan">
      <formula>0</formula>
    </cfRule>
  </conditionalFormatting>
  <conditionalFormatting sqref="D4:D35">
    <cfRule type="cellIs" dxfId="5846" priority="1615" operator="lessThan">
      <formula>0</formula>
    </cfRule>
  </conditionalFormatting>
  <conditionalFormatting sqref="D4:D35">
    <cfRule type="cellIs" dxfId="5845" priority="1614" operator="lessThan">
      <formula>0</formula>
    </cfRule>
  </conditionalFormatting>
  <conditionalFormatting sqref="D4:D35">
    <cfRule type="cellIs" dxfId="5844" priority="1613" operator="lessThan">
      <formula>0</formula>
    </cfRule>
  </conditionalFormatting>
  <conditionalFormatting sqref="D4:D35">
    <cfRule type="cellIs" dxfId="5843" priority="1612" operator="lessThan">
      <formula>0</formula>
    </cfRule>
  </conditionalFormatting>
  <conditionalFormatting sqref="B4:B35">
    <cfRule type="cellIs" dxfId="5842" priority="1611" operator="lessThan">
      <formula>0</formula>
    </cfRule>
  </conditionalFormatting>
  <conditionalFormatting sqref="C4:C35">
    <cfRule type="cellIs" dxfId="5841" priority="1610" operator="lessThan">
      <formula>0</formula>
    </cfRule>
  </conditionalFormatting>
  <conditionalFormatting sqref="D4:D35">
    <cfRule type="cellIs" dxfId="5840" priority="1609" operator="lessThan">
      <formula>0</formula>
    </cfRule>
  </conditionalFormatting>
  <conditionalFormatting sqref="F4:F35">
    <cfRule type="cellIs" dxfId="5839" priority="1608" operator="lessThan">
      <formula>0</formula>
    </cfRule>
  </conditionalFormatting>
  <conditionalFormatting sqref="G4:G35">
    <cfRule type="cellIs" dxfId="5838" priority="1607" operator="lessThan">
      <formula>0</formula>
    </cfRule>
  </conditionalFormatting>
  <conditionalFormatting sqref="B4:B35">
    <cfRule type="cellIs" dxfId="5837" priority="1606" operator="lessThan">
      <formula>0</formula>
    </cfRule>
  </conditionalFormatting>
  <conditionalFormatting sqref="B4:B35">
    <cfRule type="cellIs" dxfId="5836" priority="1605" operator="lessThan">
      <formula>0</formula>
    </cfRule>
  </conditionalFormatting>
  <conditionalFormatting sqref="B4:B35">
    <cfRule type="cellIs" dxfId="5835" priority="1604" operator="lessThan">
      <formula>0</formula>
    </cfRule>
  </conditionalFormatting>
  <conditionalFormatting sqref="B4:B35">
    <cfRule type="cellIs" dxfId="5834" priority="1603" operator="lessThan">
      <formula>0</formula>
    </cfRule>
  </conditionalFormatting>
  <conditionalFormatting sqref="C4:C35">
    <cfRule type="cellIs" dxfId="5833" priority="1602" operator="lessThan">
      <formula>0</formula>
    </cfRule>
  </conditionalFormatting>
  <conditionalFormatting sqref="C4:C35">
    <cfRule type="cellIs" dxfId="5832" priority="1601" operator="lessThan">
      <formula>0</formula>
    </cfRule>
  </conditionalFormatting>
  <conditionalFormatting sqref="C4:C35">
    <cfRule type="cellIs" dxfId="5831" priority="1600" operator="lessThan">
      <formula>0</formula>
    </cfRule>
  </conditionalFormatting>
  <conditionalFormatting sqref="C4:C35">
    <cfRule type="cellIs" dxfId="5830" priority="1599" operator="lessThan">
      <formula>0</formula>
    </cfRule>
  </conditionalFormatting>
  <conditionalFormatting sqref="D4:D35">
    <cfRule type="cellIs" dxfId="5829" priority="1598" operator="lessThan">
      <formula>0</formula>
    </cfRule>
  </conditionalFormatting>
  <conditionalFormatting sqref="D4:D35">
    <cfRule type="cellIs" dxfId="5828" priority="1597" operator="lessThan">
      <formula>0</formula>
    </cfRule>
  </conditionalFormatting>
  <conditionalFormatting sqref="D4:D35">
    <cfRule type="cellIs" dxfId="5827" priority="1596" operator="lessThan">
      <formula>0</formula>
    </cfRule>
  </conditionalFormatting>
  <conditionalFormatting sqref="F4:F35">
    <cfRule type="cellIs" dxfId="5826" priority="1595" operator="lessThan">
      <formula>0</formula>
    </cfRule>
  </conditionalFormatting>
  <conditionalFormatting sqref="F4:F35">
    <cfRule type="cellIs" dxfId="5825" priority="1594" operator="lessThan">
      <formula>0</formula>
    </cfRule>
  </conditionalFormatting>
  <conditionalFormatting sqref="F4:F35">
    <cfRule type="cellIs" dxfId="5824" priority="1593" operator="lessThan">
      <formula>0</formula>
    </cfRule>
  </conditionalFormatting>
  <conditionalFormatting sqref="G4:G35">
    <cfRule type="cellIs" dxfId="5823" priority="1592" operator="lessThan">
      <formula>0</formula>
    </cfRule>
  </conditionalFormatting>
  <conditionalFormatting sqref="G4:G35">
    <cfRule type="cellIs" dxfId="5822" priority="1591" operator="lessThan">
      <formula>0</formula>
    </cfRule>
  </conditionalFormatting>
  <conditionalFormatting sqref="G4:G35">
    <cfRule type="cellIs" dxfId="5821" priority="1590" operator="lessThan">
      <formula>0</formula>
    </cfRule>
  </conditionalFormatting>
  <conditionalFormatting sqref="E4:E35">
    <cfRule type="cellIs" dxfId="5820" priority="1589" operator="lessThan">
      <formula>0</formula>
    </cfRule>
  </conditionalFormatting>
  <conditionalFormatting sqref="E4:E35">
    <cfRule type="cellIs" dxfId="5819" priority="1588" operator="lessThan">
      <formula>0</formula>
    </cfRule>
  </conditionalFormatting>
  <conditionalFormatting sqref="D4:D35">
    <cfRule type="cellIs" dxfId="5818" priority="1587" operator="lessThan">
      <formula>0</formula>
    </cfRule>
  </conditionalFormatting>
  <conditionalFormatting sqref="E4:E35">
    <cfRule type="cellIs" dxfId="5817" priority="1586" operator="lessThan">
      <formula>0</formula>
    </cfRule>
  </conditionalFormatting>
  <conditionalFormatting sqref="E4:E35">
    <cfRule type="cellIs" dxfId="5816" priority="1585" operator="lessThan">
      <formula>0</formula>
    </cfRule>
  </conditionalFormatting>
  <conditionalFormatting sqref="E4:E35">
    <cfRule type="cellIs" dxfId="5815" priority="1584" operator="lessThan">
      <formula>0</formula>
    </cfRule>
  </conditionalFormatting>
  <conditionalFormatting sqref="E4:E35">
    <cfRule type="cellIs" dxfId="5814" priority="1583" operator="lessThan">
      <formula>0</formula>
    </cfRule>
  </conditionalFormatting>
  <conditionalFormatting sqref="E4:E35">
    <cfRule type="cellIs" dxfId="5813" priority="1582" operator="lessThan">
      <formula>0</formula>
    </cfRule>
  </conditionalFormatting>
  <conditionalFormatting sqref="E4:E35">
    <cfRule type="cellIs" dxfId="5812" priority="1581" operator="lessThan">
      <formula>0</formula>
    </cfRule>
  </conditionalFormatting>
  <conditionalFormatting sqref="E4:E35">
    <cfRule type="cellIs" dxfId="5811" priority="1580" operator="lessThan">
      <formula>0</formula>
    </cfRule>
  </conditionalFormatting>
  <conditionalFormatting sqref="E4:E35">
    <cfRule type="cellIs" dxfId="5810" priority="1579" operator="lessThan">
      <formula>0</formula>
    </cfRule>
  </conditionalFormatting>
  <conditionalFormatting sqref="E4:E35">
    <cfRule type="cellIs" dxfId="5809" priority="1578" operator="lessThan">
      <formula>0</formula>
    </cfRule>
  </conditionalFormatting>
  <conditionalFormatting sqref="E4:E35">
    <cfRule type="cellIs" dxfId="5808" priority="1577" operator="lessThan">
      <formula>0</formula>
    </cfRule>
  </conditionalFormatting>
  <conditionalFormatting sqref="E4:E35">
    <cfRule type="cellIs" dxfId="5807" priority="1576" operator="lessThan">
      <formula>0</formula>
    </cfRule>
  </conditionalFormatting>
  <conditionalFormatting sqref="E4:E35">
    <cfRule type="cellIs" dxfId="5806" priority="1575" operator="lessThan">
      <formula>0</formula>
    </cfRule>
  </conditionalFormatting>
  <conditionalFormatting sqref="B4:B35">
    <cfRule type="cellIs" dxfId="5805" priority="1574" operator="lessThan">
      <formula>0</formula>
    </cfRule>
  </conditionalFormatting>
  <conditionalFormatting sqref="B4:B35">
    <cfRule type="cellIs" dxfId="5804" priority="1573" operator="lessThan">
      <formula>0</formula>
    </cfRule>
  </conditionalFormatting>
  <conditionalFormatting sqref="C4:C35">
    <cfRule type="cellIs" dxfId="5803" priority="1572" operator="lessThan">
      <formula>0</formula>
    </cfRule>
  </conditionalFormatting>
  <conditionalFormatting sqref="C4:C35">
    <cfRule type="cellIs" dxfId="5802" priority="1571" operator="lessThan">
      <formula>0</formula>
    </cfRule>
  </conditionalFormatting>
  <conditionalFormatting sqref="D4:D35">
    <cfRule type="cellIs" dxfId="5801" priority="1570" operator="lessThan">
      <formula>0</formula>
    </cfRule>
  </conditionalFormatting>
  <conditionalFormatting sqref="D4:D35">
    <cfRule type="cellIs" dxfId="5800" priority="1569" operator="lessThan">
      <formula>0</formula>
    </cfRule>
  </conditionalFormatting>
  <conditionalFormatting sqref="D4:D35">
    <cfRule type="cellIs" dxfId="5799" priority="1568" operator="lessThan">
      <formula>0</formula>
    </cfRule>
  </conditionalFormatting>
  <conditionalFormatting sqref="D4:D35">
    <cfRule type="cellIs" dxfId="5798" priority="1567" operator="lessThan">
      <formula>0</formula>
    </cfRule>
  </conditionalFormatting>
  <conditionalFormatting sqref="D4:D35">
    <cfRule type="cellIs" dxfId="5797" priority="1566" operator="lessThan">
      <formula>0</formula>
    </cfRule>
  </conditionalFormatting>
  <conditionalFormatting sqref="D4:D35">
    <cfRule type="cellIs" dxfId="5796" priority="1565" operator="lessThan">
      <formula>0</formula>
    </cfRule>
  </conditionalFormatting>
  <conditionalFormatting sqref="D4:D35">
    <cfRule type="cellIs" dxfId="5795" priority="1564" operator="lessThan">
      <formula>0</formula>
    </cfRule>
  </conditionalFormatting>
  <conditionalFormatting sqref="D4:D35">
    <cfRule type="cellIs" dxfId="5794" priority="1563" operator="lessThan">
      <formula>0</formula>
    </cfRule>
  </conditionalFormatting>
  <conditionalFormatting sqref="D4:D35">
    <cfRule type="cellIs" dxfId="5793" priority="1562" operator="lessThan">
      <formula>0</formula>
    </cfRule>
  </conditionalFormatting>
  <conditionalFormatting sqref="D4:D35">
    <cfRule type="cellIs" dxfId="5792" priority="1561" operator="lessThan">
      <formula>0</formula>
    </cfRule>
  </conditionalFormatting>
  <conditionalFormatting sqref="D4:D35">
    <cfRule type="cellIs" dxfId="5791" priority="1560" operator="lessThan">
      <formula>0</formula>
    </cfRule>
  </conditionalFormatting>
  <conditionalFormatting sqref="D4:D35">
    <cfRule type="cellIs" dxfId="5790" priority="1559" operator="lessThan">
      <formula>0</formula>
    </cfRule>
  </conditionalFormatting>
  <conditionalFormatting sqref="D4:D35">
    <cfRule type="cellIs" dxfId="5789" priority="1558" operator="lessThan">
      <formula>0</formula>
    </cfRule>
  </conditionalFormatting>
  <conditionalFormatting sqref="D4:D35">
    <cfRule type="cellIs" dxfId="5788" priority="1557" operator="lessThan">
      <formula>0</formula>
    </cfRule>
  </conditionalFormatting>
  <conditionalFormatting sqref="E4:E35">
    <cfRule type="cellIs" dxfId="5787" priority="1556" operator="lessThan">
      <formula>0</formula>
    </cfRule>
  </conditionalFormatting>
  <conditionalFormatting sqref="B4:B35">
    <cfRule type="cellIs" dxfId="5786" priority="1555" operator="lessThan">
      <formula>0</formula>
    </cfRule>
  </conditionalFormatting>
  <conditionalFormatting sqref="C4:C35">
    <cfRule type="cellIs" dxfId="5785" priority="1554" operator="lessThan">
      <formula>0</formula>
    </cfRule>
  </conditionalFormatting>
  <conditionalFormatting sqref="D4:D35">
    <cfRule type="cellIs" dxfId="5784" priority="1553" operator="lessThan">
      <formula>0</formula>
    </cfRule>
  </conditionalFormatting>
  <conditionalFormatting sqref="F4:F35">
    <cfRule type="cellIs" dxfId="5783" priority="1552" operator="lessThan">
      <formula>0</formula>
    </cfRule>
  </conditionalFormatting>
  <conditionalFormatting sqref="G4:G35">
    <cfRule type="cellIs" dxfId="5782" priority="1551" operator="lessThan">
      <formula>0</formula>
    </cfRule>
  </conditionalFormatting>
  <conditionalFormatting sqref="B4:B35">
    <cfRule type="cellIs" dxfId="5781" priority="1550" operator="lessThan">
      <formula>0</formula>
    </cfRule>
  </conditionalFormatting>
  <conditionalFormatting sqref="C4:C35">
    <cfRule type="cellIs" dxfId="5780" priority="1549" operator="lessThan">
      <formula>0</formula>
    </cfRule>
  </conditionalFormatting>
  <conditionalFormatting sqref="E4:E35">
    <cfRule type="cellIs" dxfId="5779" priority="1548" operator="lessThan">
      <formula>0</formula>
    </cfRule>
  </conditionalFormatting>
  <conditionalFormatting sqref="D4:D35">
    <cfRule type="cellIs" dxfId="5778" priority="1547" operator="lessThan">
      <formula>0</formula>
    </cfRule>
  </conditionalFormatting>
  <conditionalFormatting sqref="G4:G35">
    <cfRule type="cellIs" dxfId="5777" priority="1546" operator="lessThan">
      <formula>0</formula>
    </cfRule>
  </conditionalFormatting>
  <conditionalFormatting sqref="F4:F35">
    <cfRule type="cellIs" dxfId="5776" priority="1545" operator="lessThan">
      <formula>0</formula>
    </cfRule>
  </conditionalFormatting>
  <conditionalFormatting sqref="B4:B35">
    <cfRule type="cellIs" dxfId="5775" priority="1544" operator="lessThan">
      <formula>0</formula>
    </cfRule>
  </conditionalFormatting>
  <conditionalFormatting sqref="C4:C35">
    <cfRule type="cellIs" dxfId="5774" priority="1543" operator="lessThan">
      <formula>0</formula>
    </cfRule>
  </conditionalFormatting>
  <conditionalFormatting sqref="D4:D35">
    <cfRule type="cellIs" dxfId="5773" priority="1542" operator="lessThan">
      <formula>0</formula>
    </cfRule>
  </conditionalFormatting>
  <conditionalFormatting sqref="G4:G35">
    <cfRule type="cellIs" dxfId="5772" priority="1541" operator="lessThan">
      <formula>0</formula>
    </cfRule>
  </conditionalFormatting>
  <conditionalFormatting sqref="G18">
    <cfRule type="cellIs" dxfId="5771" priority="1540" operator="lessThan">
      <formula>0</formula>
    </cfRule>
  </conditionalFormatting>
  <conditionalFormatting sqref="F4:F35">
    <cfRule type="cellIs" dxfId="5770" priority="1539" operator="lessThan">
      <formula>0</formula>
    </cfRule>
  </conditionalFormatting>
  <conditionalFormatting sqref="B30:B35">
    <cfRule type="cellIs" dxfId="5769" priority="1538" operator="lessThan">
      <formula>0</formula>
    </cfRule>
  </conditionalFormatting>
  <conditionalFormatting sqref="C30:C35">
    <cfRule type="cellIs" dxfId="5768" priority="1537" operator="lessThan">
      <formula>0</formula>
    </cfRule>
  </conditionalFormatting>
  <conditionalFormatting sqref="G30:G35">
    <cfRule type="cellIs" dxfId="5767" priority="1536" operator="lessThan">
      <formula>0</formula>
    </cfRule>
  </conditionalFormatting>
  <conditionalFormatting sqref="F30:F35">
    <cfRule type="cellIs" dxfId="5766" priority="1535" operator="lessThan">
      <formula>0</formula>
    </cfRule>
  </conditionalFormatting>
  <conditionalFormatting sqref="G30:G35">
    <cfRule type="cellIs" dxfId="5765" priority="1534" operator="lessThan">
      <formula>0</formula>
    </cfRule>
  </conditionalFormatting>
  <conditionalFormatting sqref="E33:E35">
    <cfRule type="cellIs" dxfId="5764" priority="1533" operator="lessThan">
      <formula>0</formula>
    </cfRule>
  </conditionalFormatting>
  <conditionalFormatting sqref="E13:E35">
    <cfRule type="cellIs" dxfId="5763" priority="1532" operator="lessThan">
      <formula>0</formula>
    </cfRule>
  </conditionalFormatting>
  <conditionalFormatting sqref="E13:E35">
    <cfRule type="cellIs" dxfId="5762" priority="1528" operator="lessThan">
      <formula>0</formula>
    </cfRule>
  </conditionalFormatting>
  <conditionalFormatting sqref="E13:E35">
    <cfRule type="cellIs" dxfId="5761" priority="1527" operator="lessThan">
      <formula>0</formula>
    </cfRule>
  </conditionalFormatting>
  <conditionalFormatting sqref="E13:E35">
    <cfRule type="cellIs" dxfId="5760" priority="1526" operator="lessThan">
      <formula>0</formula>
    </cfRule>
  </conditionalFormatting>
  <conditionalFormatting sqref="E13:E35">
    <cfRule type="cellIs" dxfId="5759" priority="1525" operator="lessThan">
      <formula>0</formula>
    </cfRule>
  </conditionalFormatting>
  <conditionalFormatting sqref="E13:E35">
    <cfRule type="cellIs" dxfId="5758" priority="1524" operator="lessThan">
      <formula>0</formula>
    </cfRule>
  </conditionalFormatting>
  <conditionalFormatting sqref="E13:E35">
    <cfRule type="cellIs" dxfId="5757" priority="1523" operator="lessThan">
      <formula>0</formula>
    </cfRule>
  </conditionalFormatting>
  <conditionalFormatting sqref="E13:E35">
    <cfRule type="cellIs" dxfId="5756" priority="1522" operator="lessThan">
      <formula>0</formula>
    </cfRule>
  </conditionalFormatting>
  <conditionalFormatting sqref="E13:E35">
    <cfRule type="cellIs" dxfId="5755" priority="1521" operator="lessThan">
      <formula>0</formula>
    </cfRule>
  </conditionalFormatting>
  <conditionalFormatting sqref="E13:E35">
    <cfRule type="cellIs" dxfId="5754" priority="1520" operator="lessThan">
      <formula>0</formula>
    </cfRule>
  </conditionalFormatting>
  <conditionalFormatting sqref="E13:E35">
    <cfRule type="cellIs" dxfId="5753" priority="1519" operator="lessThan">
      <formula>0</formula>
    </cfRule>
  </conditionalFormatting>
  <conditionalFormatting sqref="E13:E35">
    <cfRule type="cellIs" dxfId="5752" priority="1518" operator="lessThan">
      <formula>0</formula>
    </cfRule>
  </conditionalFormatting>
  <conditionalFormatting sqref="E13:E35">
    <cfRule type="cellIs" dxfId="5751" priority="1517" operator="lessThan">
      <formula>0</formula>
    </cfRule>
  </conditionalFormatting>
  <conditionalFormatting sqref="E23:E35">
    <cfRule type="cellIs" dxfId="5750" priority="1516" operator="lessThan">
      <formula>0</formula>
    </cfRule>
  </conditionalFormatting>
  <conditionalFormatting sqref="E13:E35">
    <cfRule type="cellIs" dxfId="5749" priority="1515" operator="lessThan">
      <formula>0</formula>
    </cfRule>
  </conditionalFormatting>
  <conditionalFormatting sqref="E13:E35">
    <cfRule type="cellIs" dxfId="5748" priority="1514" operator="lessThan">
      <formula>0</formula>
    </cfRule>
  </conditionalFormatting>
  <conditionalFormatting sqref="E13:E35">
    <cfRule type="cellIs" dxfId="5747" priority="1513" operator="lessThan">
      <formula>0</formula>
    </cfRule>
  </conditionalFormatting>
  <conditionalFormatting sqref="E13:E35">
    <cfRule type="cellIs" dxfId="5746" priority="1512" operator="lessThan">
      <formula>0</formula>
    </cfRule>
  </conditionalFormatting>
  <conditionalFormatting sqref="E13:E35">
    <cfRule type="cellIs" dxfId="5745" priority="1511" operator="lessThan">
      <formula>0</formula>
    </cfRule>
  </conditionalFormatting>
  <conditionalFormatting sqref="E13:E35">
    <cfRule type="cellIs" dxfId="5744" priority="1510" operator="lessThan">
      <formula>0</formula>
    </cfRule>
  </conditionalFormatting>
  <conditionalFormatting sqref="E13:E35">
    <cfRule type="cellIs" dxfId="5743" priority="1509" operator="lessThan">
      <formula>0</formula>
    </cfRule>
  </conditionalFormatting>
  <conditionalFormatting sqref="E13:E35">
    <cfRule type="cellIs" dxfId="5742" priority="1508" operator="lessThan">
      <formula>0</formula>
    </cfRule>
  </conditionalFormatting>
  <conditionalFormatting sqref="E13:E35">
    <cfRule type="cellIs" dxfId="5741" priority="1507" operator="lessThan">
      <formula>0</formula>
    </cfRule>
  </conditionalFormatting>
  <conditionalFormatting sqref="E13:E35">
    <cfRule type="cellIs" dxfId="5740" priority="1506" operator="lessThan">
      <formula>0</formula>
    </cfRule>
  </conditionalFormatting>
  <conditionalFormatting sqref="E13:E35">
    <cfRule type="cellIs" dxfId="5739" priority="1505" operator="lessThan">
      <formula>0</formula>
    </cfRule>
  </conditionalFormatting>
  <conditionalFormatting sqref="E33">
    <cfRule type="cellIs" dxfId="5738" priority="1504" operator="lessThan">
      <formula>0</formula>
    </cfRule>
  </conditionalFormatting>
  <conditionalFormatting sqref="E13:E35">
    <cfRule type="cellIs" dxfId="5737" priority="1503" operator="lessThan">
      <formula>0</formula>
    </cfRule>
  </conditionalFormatting>
  <conditionalFormatting sqref="E13:E35">
    <cfRule type="cellIs" dxfId="5736" priority="1502" operator="lessThan">
      <formula>0</formula>
    </cfRule>
  </conditionalFormatting>
  <conditionalFormatting sqref="E13:E35">
    <cfRule type="cellIs" dxfId="5735" priority="1501" operator="lessThan">
      <formula>0</formula>
    </cfRule>
  </conditionalFormatting>
  <conditionalFormatting sqref="E16:E35">
    <cfRule type="cellIs" dxfId="5734" priority="1500" operator="lessThan">
      <formula>0</formula>
    </cfRule>
  </conditionalFormatting>
  <conditionalFormatting sqref="E16:E35">
    <cfRule type="cellIs" dxfId="5733" priority="1499" operator="lessThan">
      <formula>0</formula>
    </cfRule>
  </conditionalFormatting>
  <conditionalFormatting sqref="E23:E35">
    <cfRule type="cellIs" dxfId="5732" priority="1498" operator="lessThan">
      <formula>0</formula>
    </cfRule>
  </conditionalFormatting>
  <conditionalFormatting sqref="E13:E35">
    <cfRule type="cellIs" dxfId="5731" priority="1497" operator="lessThan">
      <formula>0</formula>
    </cfRule>
  </conditionalFormatting>
  <conditionalFormatting sqref="E33:E35">
    <cfRule type="cellIs" dxfId="5730" priority="1496" operator="lessThan">
      <formula>0</formula>
    </cfRule>
  </conditionalFormatting>
  <conditionalFormatting sqref="E13:E35">
    <cfRule type="cellIs" dxfId="5729" priority="1495" operator="lessThan">
      <formula>0</formula>
    </cfRule>
  </conditionalFormatting>
  <conditionalFormatting sqref="E13:E35">
    <cfRule type="cellIs" dxfId="5728" priority="1494" operator="lessThan">
      <formula>0</formula>
    </cfRule>
  </conditionalFormatting>
  <conditionalFormatting sqref="E13:E35">
    <cfRule type="cellIs" dxfId="5727" priority="1493" operator="lessThan">
      <formula>0</formula>
    </cfRule>
  </conditionalFormatting>
  <conditionalFormatting sqref="E13:E35">
    <cfRule type="cellIs" dxfId="5726" priority="1492" operator="lessThan">
      <formula>0</formula>
    </cfRule>
  </conditionalFormatting>
  <conditionalFormatting sqref="E13:E35">
    <cfRule type="cellIs" dxfId="5725" priority="1491" operator="lessThan">
      <formula>0</formula>
    </cfRule>
  </conditionalFormatting>
  <conditionalFormatting sqref="E13:E35">
    <cfRule type="cellIs" dxfId="5724" priority="1490" operator="lessThan">
      <formula>0</formula>
    </cfRule>
  </conditionalFormatting>
  <conditionalFormatting sqref="E23:E35">
    <cfRule type="cellIs" dxfId="5723" priority="1489" operator="lessThan">
      <formula>0</formula>
    </cfRule>
  </conditionalFormatting>
  <conditionalFormatting sqref="E13:E35">
    <cfRule type="cellIs" dxfId="5722" priority="1488" operator="lessThan">
      <formula>0</formula>
    </cfRule>
  </conditionalFormatting>
  <conditionalFormatting sqref="E13:E35">
    <cfRule type="cellIs" dxfId="5721" priority="1487" operator="lessThan">
      <formula>0</formula>
    </cfRule>
  </conditionalFormatting>
  <conditionalFormatting sqref="E13:E35">
    <cfRule type="cellIs" dxfId="5720" priority="1486" operator="lessThan">
      <formula>0</formula>
    </cfRule>
  </conditionalFormatting>
  <conditionalFormatting sqref="E13:E35">
    <cfRule type="cellIs" dxfId="5719" priority="1485" operator="lessThan">
      <formula>0</formula>
    </cfRule>
  </conditionalFormatting>
  <conditionalFormatting sqref="E13:E35">
    <cfRule type="cellIs" dxfId="5718" priority="1484" operator="lessThan">
      <formula>0</formula>
    </cfRule>
  </conditionalFormatting>
  <conditionalFormatting sqref="E13:E35">
    <cfRule type="cellIs" dxfId="5717" priority="1483" operator="lessThan">
      <formula>0</formula>
    </cfRule>
  </conditionalFormatting>
  <conditionalFormatting sqref="E13:E35">
    <cfRule type="cellIs" dxfId="5716" priority="1482" operator="lessThan">
      <formula>0</formula>
    </cfRule>
  </conditionalFormatting>
  <conditionalFormatting sqref="E13:E35">
    <cfRule type="cellIs" dxfId="5715" priority="1481" operator="lessThan">
      <formula>0</formula>
    </cfRule>
  </conditionalFormatting>
  <conditionalFormatting sqref="E13:E35">
    <cfRule type="cellIs" dxfId="5714" priority="1480" operator="lessThan">
      <formula>0</formula>
    </cfRule>
  </conditionalFormatting>
  <conditionalFormatting sqref="E13:E35">
    <cfRule type="cellIs" dxfId="5713" priority="1479" operator="lessThan">
      <formula>0</formula>
    </cfRule>
  </conditionalFormatting>
  <conditionalFormatting sqref="E13:E35">
    <cfRule type="cellIs" dxfId="5712" priority="1478" operator="lessThan">
      <formula>0</formula>
    </cfRule>
  </conditionalFormatting>
  <conditionalFormatting sqref="E13:E35">
    <cfRule type="cellIs" dxfId="5711" priority="1477" operator="lessThan">
      <formula>0</formula>
    </cfRule>
  </conditionalFormatting>
  <conditionalFormatting sqref="E13:E35">
    <cfRule type="cellIs" dxfId="5710" priority="1476" operator="lessThan">
      <formula>0</formula>
    </cfRule>
  </conditionalFormatting>
  <conditionalFormatting sqref="E13:E35">
    <cfRule type="cellIs" dxfId="5709" priority="1475" operator="lessThan">
      <formula>0</formula>
    </cfRule>
  </conditionalFormatting>
  <conditionalFormatting sqref="E13:E35">
    <cfRule type="cellIs" dxfId="5708" priority="1474" operator="lessThan">
      <formula>0</formula>
    </cfRule>
  </conditionalFormatting>
  <conditionalFormatting sqref="E13:E35">
    <cfRule type="cellIs" dxfId="5707" priority="1473" operator="lessThan">
      <formula>0</formula>
    </cfRule>
  </conditionalFormatting>
  <conditionalFormatting sqref="E13:E35">
    <cfRule type="cellIs" dxfId="5706" priority="1472" operator="lessThan">
      <formula>0</formula>
    </cfRule>
  </conditionalFormatting>
  <conditionalFormatting sqref="E13:E35">
    <cfRule type="cellIs" dxfId="5705" priority="1471" operator="lessThan">
      <formula>0</formula>
    </cfRule>
  </conditionalFormatting>
  <conditionalFormatting sqref="E13:E35">
    <cfRule type="cellIs" dxfId="5704" priority="1470" operator="lessThan">
      <formula>0</formula>
    </cfRule>
  </conditionalFormatting>
  <conditionalFormatting sqref="E13:E35">
    <cfRule type="cellIs" dxfId="5703" priority="1469" operator="lessThan">
      <formula>0</formula>
    </cfRule>
  </conditionalFormatting>
  <conditionalFormatting sqref="E13:E35">
    <cfRule type="cellIs" dxfId="5702" priority="1468" operator="lessThan">
      <formula>0</formula>
    </cfRule>
  </conditionalFormatting>
  <conditionalFormatting sqref="E13:E35">
    <cfRule type="cellIs" dxfId="5701" priority="1467" operator="lessThan">
      <formula>0</formula>
    </cfRule>
  </conditionalFormatting>
  <conditionalFormatting sqref="E13:E35">
    <cfRule type="cellIs" dxfId="5700" priority="1466" operator="lessThan">
      <formula>0</formula>
    </cfRule>
  </conditionalFormatting>
  <conditionalFormatting sqref="E13:E35">
    <cfRule type="cellIs" dxfId="5699" priority="1465" operator="lessThan">
      <formula>0</formula>
    </cfRule>
  </conditionalFormatting>
  <conditionalFormatting sqref="E13:E35">
    <cfRule type="cellIs" dxfId="5698" priority="1464" operator="lessThan">
      <formula>0</formula>
    </cfRule>
  </conditionalFormatting>
  <conditionalFormatting sqref="E13:E35">
    <cfRule type="cellIs" dxfId="5697" priority="1463" operator="lessThan">
      <formula>0</formula>
    </cfRule>
  </conditionalFormatting>
  <conditionalFormatting sqref="E13:E35">
    <cfRule type="cellIs" dxfId="5696" priority="1462" operator="lessThan">
      <formula>0</formula>
    </cfRule>
  </conditionalFormatting>
  <conditionalFormatting sqref="E13:E35">
    <cfRule type="cellIs" dxfId="5695" priority="1461" operator="lessThan">
      <formula>0</formula>
    </cfRule>
  </conditionalFormatting>
  <conditionalFormatting sqref="E13:E35">
    <cfRule type="cellIs" dxfId="5694" priority="1460" operator="lessThan">
      <formula>0</formula>
    </cfRule>
  </conditionalFormatting>
  <conditionalFormatting sqref="E13:E35">
    <cfRule type="cellIs" dxfId="5693" priority="1459" operator="lessThan">
      <formula>0</formula>
    </cfRule>
  </conditionalFormatting>
  <conditionalFormatting sqref="E13:E35">
    <cfRule type="cellIs" dxfId="5692" priority="1458" operator="lessThan">
      <formula>0</formula>
    </cfRule>
  </conditionalFormatting>
  <conditionalFormatting sqref="E13:E35">
    <cfRule type="cellIs" dxfId="5691" priority="1457" operator="lessThan">
      <formula>0</formula>
    </cfRule>
  </conditionalFormatting>
  <conditionalFormatting sqref="E13:E35">
    <cfRule type="cellIs" dxfId="5690" priority="1456" operator="lessThan">
      <formula>0</formula>
    </cfRule>
  </conditionalFormatting>
  <conditionalFormatting sqref="E13:E35">
    <cfRule type="cellIs" dxfId="5689" priority="1455" operator="lessThan">
      <formula>0</formula>
    </cfRule>
  </conditionalFormatting>
  <conditionalFormatting sqref="E13:E35">
    <cfRule type="cellIs" dxfId="5688" priority="1454" operator="lessThan">
      <formula>0</formula>
    </cfRule>
  </conditionalFormatting>
  <conditionalFormatting sqref="E13:E35">
    <cfRule type="cellIs" dxfId="5687" priority="1453" operator="lessThan">
      <formula>0</formula>
    </cfRule>
  </conditionalFormatting>
  <conditionalFormatting sqref="E13:E35">
    <cfRule type="cellIs" dxfId="5686" priority="1452" operator="lessThan">
      <formula>0</formula>
    </cfRule>
  </conditionalFormatting>
  <conditionalFormatting sqref="E13:E35">
    <cfRule type="cellIs" dxfId="5685" priority="1451" operator="lessThan">
      <formula>0</formula>
    </cfRule>
  </conditionalFormatting>
  <conditionalFormatting sqref="E13:E35">
    <cfRule type="cellIs" dxfId="5684" priority="1450" operator="lessThan">
      <formula>0</formula>
    </cfRule>
  </conditionalFormatting>
  <conditionalFormatting sqref="E13:E35">
    <cfRule type="cellIs" dxfId="5683" priority="1449" operator="lessThan">
      <formula>0</formula>
    </cfRule>
  </conditionalFormatting>
  <conditionalFormatting sqref="E13:E35">
    <cfRule type="cellIs" dxfId="5682" priority="1448" operator="lessThan">
      <formula>0</formula>
    </cfRule>
  </conditionalFormatting>
  <conditionalFormatting sqref="E13:E35">
    <cfRule type="cellIs" dxfId="5681" priority="1447" operator="lessThan">
      <formula>0</formula>
    </cfRule>
  </conditionalFormatting>
  <conditionalFormatting sqref="E13:E35">
    <cfRule type="cellIs" dxfId="5680" priority="1446" operator="lessThan">
      <formula>0</formula>
    </cfRule>
  </conditionalFormatting>
  <conditionalFormatting sqref="E13:E35">
    <cfRule type="cellIs" dxfId="5679" priority="1445" operator="lessThan">
      <formula>0</formula>
    </cfRule>
  </conditionalFormatting>
  <conditionalFormatting sqref="E13:E35">
    <cfRule type="cellIs" dxfId="5678" priority="1444" operator="lessThan">
      <formula>0</formula>
    </cfRule>
  </conditionalFormatting>
  <conditionalFormatting sqref="E13:E35">
    <cfRule type="cellIs" dxfId="5677" priority="1443" operator="lessThan">
      <formula>0</formula>
    </cfRule>
  </conditionalFormatting>
  <conditionalFormatting sqref="E13:E35">
    <cfRule type="cellIs" dxfId="5676" priority="1442" operator="lessThan">
      <formula>0</formula>
    </cfRule>
  </conditionalFormatting>
  <conditionalFormatting sqref="E13:E35">
    <cfRule type="cellIs" dxfId="5675" priority="1441" operator="lessThan">
      <formula>0</formula>
    </cfRule>
  </conditionalFormatting>
  <conditionalFormatting sqref="E13:E35">
    <cfRule type="cellIs" dxfId="5674" priority="1440" operator="lessThan">
      <formula>0</formula>
    </cfRule>
  </conditionalFormatting>
  <conditionalFormatting sqref="E13:E35">
    <cfRule type="cellIs" dxfId="5673" priority="1439" operator="lessThan">
      <formula>0</formula>
    </cfRule>
  </conditionalFormatting>
  <conditionalFormatting sqref="E13:E35">
    <cfRule type="cellIs" dxfId="5672" priority="1438" operator="lessThan">
      <formula>0</formula>
    </cfRule>
  </conditionalFormatting>
  <conditionalFormatting sqref="E13:E35">
    <cfRule type="cellIs" dxfId="5671" priority="1437" operator="lessThan">
      <formula>0</formula>
    </cfRule>
  </conditionalFormatting>
  <conditionalFormatting sqref="E13:E35">
    <cfRule type="cellIs" dxfId="5670" priority="1436" operator="lessThan">
      <formula>0</formula>
    </cfRule>
  </conditionalFormatting>
  <conditionalFormatting sqref="E13:E35">
    <cfRule type="cellIs" dxfId="5669" priority="1435" operator="lessThan">
      <formula>0</formula>
    </cfRule>
  </conditionalFormatting>
  <conditionalFormatting sqref="E13:E35">
    <cfRule type="cellIs" dxfId="5668" priority="1434" operator="lessThan">
      <formula>0</formula>
    </cfRule>
  </conditionalFormatting>
  <conditionalFormatting sqref="E34:E35">
    <cfRule type="cellIs" dxfId="5667" priority="1433" operator="lessThan">
      <formula>0</formula>
    </cfRule>
  </conditionalFormatting>
  <conditionalFormatting sqref="E34:E35">
    <cfRule type="cellIs" dxfId="5666" priority="1432" operator="lessThan">
      <formula>0</formula>
    </cfRule>
  </conditionalFormatting>
  <conditionalFormatting sqref="E34:E35">
    <cfRule type="cellIs" dxfId="5665" priority="1431" operator="lessThan">
      <formula>0</formula>
    </cfRule>
  </conditionalFormatting>
  <conditionalFormatting sqref="E34:E35">
    <cfRule type="cellIs" dxfId="5664" priority="1430" operator="lessThan">
      <formula>0</formula>
    </cfRule>
  </conditionalFormatting>
  <conditionalFormatting sqref="E34:E35">
    <cfRule type="cellIs" dxfId="5663" priority="1429" operator="lessThan">
      <formula>0</formula>
    </cfRule>
  </conditionalFormatting>
  <conditionalFormatting sqref="E34:E35">
    <cfRule type="cellIs" dxfId="5662" priority="1428" operator="lessThan">
      <formula>0</formula>
    </cfRule>
  </conditionalFormatting>
  <conditionalFormatting sqref="E34:E35">
    <cfRule type="cellIs" dxfId="5661" priority="1427" operator="lessThan">
      <formula>0</formula>
    </cfRule>
  </conditionalFormatting>
  <conditionalFormatting sqref="E34:E35">
    <cfRule type="cellIs" dxfId="5660" priority="1426" operator="lessThan">
      <formula>0</formula>
    </cfRule>
  </conditionalFormatting>
  <conditionalFormatting sqref="E34:E35">
    <cfRule type="cellIs" dxfId="5659" priority="1425" operator="lessThan">
      <formula>0</formula>
    </cfRule>
  </conditionalFormatting>
  <conditionalFormatting sqref="E34:E35">
    <cfRule type="cellIs" dxfId="5658" priority="1424" operator="lessThan">
      <formula>0</formula>
    </cfRule>
  </conditionalFormatting>
  <conditionalFormatting sqref="E34:E35">
    <cfRule type="cellIs" dxfId="5657" priority="1423" operator="lessThan">
      <formula>0</formula>
    </cfRule>
  </conditionalFormatting>
  <conditionalFormatting sqref="E34:E35">
    <cfRule type="cellIs" dxfId="5656" priority="1422" operator="lessThan">
      <formula>0</formula>
    </cfRule>
  </conditionalFormatting>
  <conditionalFormatting sqref="E34:E35">
    <cfRule type="cellIs" dxfId="5655" priority="1421" operator="lessThan">
      <formula>0</formula>
    </cfRule>
  </conditionalFormatting>
  <conditionalFormatting sqref="E34:E35">
    <cfRule type="cellIs" dxfId="5654" priority="1420" operator="lessThan">
      <formula>0</formula>
    </cfRule>
  </conditionalFormatting>
  <conditionalFormatting sqref="E34:E35">
    <cfRule type="cellIs" dxfId="5653" priority="1419" operator="lessThan">
      <formula>0</formula>
    </cfRule>
  </conditionalFormatting>
  <conditionalFormatting sqref="E34:E35">
    <cfRule type="cellIs" dxfId="5652" priority="1418" operator="lessThan">
      <formula>0</formula>
    </cfRule>
  </conditionalFormatting>
  <conditionalFormatting sqref="E34:E35">
    <cfRule type="cellIs" dxfId="5651" priority="1417" operator="lessThan">
      <formula>0</formula>
    </cfRule>
  </conditionalFormatting>
  <conditionalFormatting sqref="E34:E35">
    <cfRule type="cellIs" dxfId="5650" priority="1416" operator="lessThan">
      <formula>0</formula>
    </cfRule>
  </conditionalFormatting>
  <conditionalFormatting sqref="E34:E35">
    <cfRule type="cellIs" dxfId="5649" priority="1415" operator="lessThan">
      <formula>0</formula>
    </cfRule>
  </conditionalFormatting>
  <conditionalFormatting sqref="E34:E35">
    <cfRule type="cellIs" dxfId="5648" priority="1414" operator="lessThan">
      <formula>0</formula>
    </cfRule>
  </conditionalFormatting>
  <conditionalFormatting sqref="E34:E35">
    <cfRule type="cellIs" dxfId="5647" priority="1413" operator="lessThan">
      <formula>0</formula>
    </cfRule>
  </conditionalFormatting>
  <conditionalFormatting sqref="E34:E35">
    <cfRule type="cellIs" dxfId="5646" priority="1412" operator="lessThan">
      <formula>0</formula>
    </cfRule>
  </conditionalFormatting>
  <conditionalFormatting sqref="E34:E35">
    <cfRule type="cellIs" dxfId="5645" priority="1411" operator="lessThan">
      <formula>0</formula>
    </cfRule>
  </conditionalFormatting>
  <conditionalFormatting sqref="E34:E35">
    <cfRule type="cellIs" dxfId="5644" priority="1410" operator="lessThan">
      <formula>0</formula>
    </cfRule>
  </conditionalFormatting>
  <conditionalFormatting sqref="E34:E35">
    <cfRule type="cellIs" dxfId="5643" priority="1409" operator="lessThan">
      <formula>0</formula>
    </cfRule>
  </conditionalFormatting>
  <conditionalFormatting sqref="E34:E35">
    <cfRule type="cellIs" dxfId="5642" priority="1408" operator="lessThan">
      <formula>0</formula>
    </cfRule>
  </conditionalFormatting>
  <conditionalFormatting sqref="E34:E35">
    <cfRule type="cellIs" dxfId="5641" priority="1407" operator="lessThan">
      <formula>0</formula>
    </cfRule>
  </conditionalFormatting>
  <conditionalFormatting sqref="E34:E35">
    <cfRule type="cellIs" dxfId="5640" priority="1406" operator="lessThan">
      <formula>0</formula>
    </cfRule>
  </conditionalFormatting>
  <conditionalFormatting sqref="E34:E35">
    <cfRule type="cellIs" dxfId="5639" priority="1405" operator="lessThan">
      <formula>0</formula>
    </cfRule>
  </conditionalFormatting>
  <conditionalFormatting sqref="E34:E35">
    <cfRule type="cellIs" dxfId="5638" priority="1404" operator="lessThan">
      <formula>0</formula>
    </cfRule>
  </conditionalFormatting>
  <conditionalFormatting sqref="E34:E35">
    <cfRule type="cellIs" dxfId="5637" priority="1403" operator="lessThan">
      <formula>0</formula>
    </cfRule>
  </conditionalFormatting>
  <conditionalFormatting sqref="E34:E35">
    <cfRule type="cellIs" dxfId="5636" priority="1402" operator="lessThan">
      <formula>0</formula>
    </cfRule>
  </conditionalFormatting>
  <conditionalFormatting sqref="E34:E35">
    <cfRule type="cellIs" dxfId="5635" priority="1401" operator="lessThan">
      <formula>0</formula>
    </cfRule>
  </conditionalFormatting>
  <conditionalFormatting sqref="E34:E35">
    <cfRule type="cellIs" dxfId="5634" priority="1400" operator="lessThan">
      <formula>0</formula>
    </cfRule>
  </conditionalFormatting>
  <conditionalFormatting sqref="E34:E35">
    <cfRule type="cellIs" dxfId="5633" priority="1399" operator="lessThan">
      <formula>0</formula>
    </cfRule>
  </conditionalFormatting>
  <conditionalFormatting sqref="E34:E35">
    <cfRule type="cellIs" dxfId="5632" priority="1398" operator="lessThan">
      <formula>0</formula>
    </cfRule>
  </conditionalFormatting>
  <conditionalFormatting sqref="E34:E35">
    <cfRule type="cellIs" dxfId="5631" priority="1397" operator="lessThan">
      <formula>0</formula>
    </cfRule>
  </conditionalFormatting>
  <conditionalFormatting sqref="E34:E35">
    <cfRule type="cellIs" dxfId="5630" priority="1396" operator="lessThan">
      <formula>0</formula>
    </cfRule>
  </conditionalFormatting>
  <conditionalFormatting sqref="E34:E35">
    <cfRule type="cellIs" dxfId="5629" priority="1395" operator="lessThan">
      <formula>0</formula>
    </cfRule>
  </conditionalFormatting>
  <conditionalFormatting sqref="E34:E35">
    <cfRule type="cellIs" dxfId="5628" priority="1394" operator="lessThan">
      <formula>0</formula>
    </cfRule>
  </conditionalFormatting>
  <conditionalFormatting sqref="E34:E35">
    <cfRule type="cellIs" dxfId="5627" priority="1393" operator="lessThan">
      <formula>0</formula>
    </cfRule>
  </conditionalFormatting>
  <conditionalFormatting sqref="E34:E35">
    <cfRule type="cellIs" dxfId="5626" priority="1392" operator="lessThan">
      <formula>0</formula>
    </cfRule>
  </conditionalFormatting>
  <conditionalFormatting sqref="E34:E35">
    <cfRule type="cellIs" dxfId="5625" priority="1391" operator="lessThan">
      <formula>0</formula>
    </cfRule>
  </conditionalFormatting>
  <conditionalFormatting sqref="E34:E35">
    <cfRule type="cellIs" dxfId="5624" priority="1390" operator="lessThan">
      <formula>0</formula>
    </cfRule>
  </conditionalFormatting>
  <conditionalFormatting sqref="E34:E35">
    <cfRule type="cellIs" dxfId="5623" priority="1389" operator="lessThan">
      <formula>0</formula>
    </cfRule>
  </conditionalFormatting>
  <conditionalFormatting sqref="E34:E35">
    <cfRule type="cellIs" dxfId="5622" priority="1388" operator="lessThan">
      <formula>0</formula>
    </cfRule>
  </conditionalFormatting>
  <conditionalFormatting sqref="E34:E35">
    <cfRule type="cellIs" dxfId="5621" priority="1387" operator="lessThan">
      <formula>0</formula>
    </cfRule>
  </conditionalFormatting>
  <conditionalFormatting sqref="E34:E35">
    <cfRule type="cellIs" dxfId="5620" priority="1386" operator="lessThan">
      <formula>0</formula>
    </cfRule>
  </conditionalFormatting>
  <conditionalFormatting sqref="E34:E35">
    <cfRule type="cellIs" dxfId="5619" priority="1385" operator="lessThan">
      <formula>0</formula>
    </cfRule>
  </conditionalFormatting>
  <conditionalFormatting sqref="E34:E35">
    <cfRule type="cellIs" dxfId="5618" priority="1384" operator="lessThan">
      <formula>0</formula>
    </cfRule>
  </conditionalFormatting>
  <conditionalFormatting sqref="E34:E35">
    <cfRule type="cellIs" dxfId="5617" priority="1383" operator="lessThan">
      <formula>0</formula>
    </cfRule>
  </conditionalFormatting>
  <conditionalFormatting sqref="E34:E35">
    <cfRule type="cellIs" dxfId="5616" priority="1382" operator="lessThan">
      <formula>0</formula>
    </cfRule>
  </conditionalFormatting>
  <conditionalFormatting sqref="E34:E35">
    <cfRule type="cellIs" dxfId="5615" priority="1381" operator="lessThan">
      <formula>0</formula>
    </cfRule>
  </conditionalFormatting>
  <conditionalFormatting sqref="E34:E35">
    <cfRule type="cellIs" dxfId="5614" priority="1380" operator="lessThan">
      <formula>0</formula>
    </cfRule>
  </conditionalFormatting>
  <conditionalFormatting sqref="E34:E35">
    <cfRule type="cellIs" dxfId="5613" priority="1379" operator="lessThan">
      <formula>0</formula>
    </cfRule>
  </conditionalFormatting>
  <conditionalFormatting sqref="E34:E35">
    <cfRule type="cellIs" dxfId="5612" priority="1378" operator="lessThan">
      <formula>0</formula>
    </cfRule>
  </conditionalFormatting>
  <conditionalFormatting sqref="E34:E35">
    <cfRule type="cellIs" dxfId="5611" priority="1377" operator="lessThan">
      <formula>0</formula>
    </cfRule>
  </conditionalFormatting>
  <conditionalFormatting sqref="E34:E35">
    <cfRule type="cellIs" dxfId="5610" priority="1376" operator="lessThan">
      <formula>0</formula>
    </cfRule>
  </conditionalFormatting>
  <conditionalFormatting sqref="E34:E35">
    <cfRule type="cellIs" dxfId="5609" priority="1375" operator="lessThan">
      <formula>0</formula>
    </cfRule>
  </conditionalFormatting>
  <conditionalFormatting sqref="E34:E35">
    <cfRule type="cellIs" dxfId="5608" priority="1374" operator="lessThan">
      <formula>0</formula>
    </cfRule>
  </conditionalFormatting>
  <conditionalFormatting sqref="E34:E35">
    <cfRule type="cellIs" dxfId="5607" priority="1373" operator="lessThan">
      <formula>0</formula>
    </cfRule>
  </conditionalFormatting>
  <conditionalFormatting sqref="E34:E35">
    <cfRule type="cellIs" dxfId="5606" priority="1372" operator="lessThan">
      <formula>0</formula>
    </cfRule>
  </conditionalFormatting>
  <conditionalFormatting sqref="E34:E35">
    <cfRule type="cellIs" dxfId="5605" priority="1371" operator="lessThan">
      <formula>0</formula>
    </cfRule>
  </conditionalFormatting>
  <conditionalFormatting sqref="E34:E35">
    <cfRule type="cellIs" dxfId="5604" priority="1370" operator="lessThan">
      <formula>0</formula>
    </cfRule>
  </conditionalFormatting>
  <conditionalFormatting sqref="E32">
    <cfRule type="cellIs" dxfId="5603" priority="1369" operator="lessThan">
      <formula>0</formula>
    </cfRule>
  </conditionalFormatting>
  <conditionalFormatting sqref="E32">
    <cfRule type="cellIs" dxfId="5602" priority="1368" operator="lessThan">
      <formula>0</formula>
    </cfRule>
  </conditionalFormatting>
  <conditionalFormatting sqref="E32">
    <cfRule type="cellIs" dxfId="5601" priority="1367" operator="lessThan">
      <formula>0</formula>
    </cfRule>
  </conditionalFormatting>
  <conditionalFormatting sqref="E32">
    <cfRule type="cellIs" dxfId="5600" priority="1366" operator="lessThan">
      <formula>0</formula>
    </cfRule>
  </conditionalFormatting>
  <conditionalFormatting sqref="E32">
    <cfRule type="cellIs" dxfId="5599" priority="1365" operator="lessThan">
      <formula>0</formula>
    </cfRule>
  </conditionalFormatting>
  <conditionalFormatting sqref="E32">
    <cfRule type="cellIs" dxfId="5598" priority="1364" operator="lessThan">
      <formula>0</formula>
    </cfRule>
  </conditionalFormatting>
  <conditionalFormatting sqref="E32">
    <cfRule type="cellIs" dxfId="5597" priority="1363" operator="lessThan">
      <formula>0</formula>
    </cfRule>
  </conditionalFormatting>
  <conditionalFormatting sqref="E32">
    <cfRule type="cellIs" dxfId="5596" priority="1362" operator="lessThan">
      <formula>0</formula>
    </cfRule>
  </conditionalFormatting>
  <conditionalFormatting sqref="E32">
    <cfRule type="cellIs" dxfId="5595" priority="1361" operator="lessThan">
      <formula>0</formula>
    </cfRule>
  </conditionalFormatting>
  <conditionalFormatting sqref="E32">
    <cfRule type="cellIs" dxfId="5594" priority="1360" operator="lessThan">
      <formula>0</formula>
    </cfRule>
  </conditionalFormatting>
  <conditionalFormatting sqref="E32">
    <cfRule type="cellIs" dxfId="5593" priority="1359" operator="lessThan">
      <formula>0</formula>
    </cfRule>
  </conditionalFormatting>
  <conditionalFormatting sqref="E32">
    <cfRule type="cellIs" dxfId="5592" priority="1358" operator="lessThan">
      <formula>0</formula>
    </cfRule>
  </conditionalFormatting>
  <conditionalFormatting sqref="E32">
    <cfRule type="cellIs" dxfId="5591" priority="1357" operator="lessThan">
      <formula>0</formula>
    </cfRule>
  </conditionalFormatting>
  <conditionalFormatting sqref="E32">
    <cfRule type="cellIs" dxfId="5590" priority="1356" operator="lessThan">
      <formula>0</formula>
    </cfRule>
  </conditionalFormatting>
  <conditionalFormatting sqref="E32">
    <cfRule type="cellIs" dxfId="5589" priority="1355" operator="lessThan">
      <formula>0</formula>
    </cfRule>
  </conditionalFormatting>
  <conditionalFormatting sqref="E32">
    <cfRule type="cellIs" dxfId="5588" priority="1354" operator="lessThan">
      <formula>0</formula>
    </cfRule>
  </conditionalFormatting>
  <conditionalFormatting sqref="E32">
    <cfRule type="cellIs" dxfId="5587" priority="1353" operator="lessThan">
      <formula>0</formula>
    </cfRule>
  </conditionalFormatting>
  <conditionalFormatting sqref="E32">
    <cfRule type="cellIs" dxfId="5586" priority="1352" operator="lessThan">
      <formula>0</formula>
    </cfRule>
  </conditionalFormatting>
  <conditionalFormatting sqref="E32">
    <cfRule type="cellIs" dxfId="5585" priority="1351" operator="lessThan">
      <formula>0</formula>
    </cfRule>
  </conditionalFormatting>
  <conditionalFormatting sqref="E32">
    <cfRule type="cellIs" dxfId="5584" priority="1350" operator="lessThan">
      <formula>0</formula>
    </cfRule>
  </conditionalFormatting>
  <conditionalFormatting sqref="E32">
    <cfRule type="cellIs" dxfId="5583" priority="1349" operator="lessThan">
      <formula>0</formula>
    </cfRule>
  </conditionalFormatting>
  <conditionalFormatting sqref="E32">
    <cfRule type="cellIs" dxfId="5582" priority="1348" operator="lessThan">
      <formula>0</formula>
    </cfRule>
  </conditionalFormatting>
  <conditionalFormatting sqref="E32">
    <cfRule type="cellIs" dxfId="5581" priority="1347" operator="lessThan">
      <formula>0</formula>
    </cfRule>
  </conditionalFormatting>
  <conditionalFormatting sqref="E32">
    <cfRule type="cellIs" dxfId="5580" priority="1346" operator="lessThan">
      <formula>0</formula>
    </cfRule>
  </conditionalFormatting>
  <conditionalFormatting sqref="E32">
    <cfRule type="cellIs" dxfId="5579" priority="1345" operator="lessThan">
      <formula>0</formula>
    </cfRule>
  </conditionalFormatting>
  <conditionalFormatting sqref="E32">
    <cfRule type="cellIs" dxfId="5578" priority="1344" operator="lessThan">
      <formula>0</formula>
    </cfRule>
  </conditionalFormatting>
  <conditionalFormatting sqref="E32">
    <cfRule type="cellIs" dxfId="5577" priority="1343" operator="lessThan">
      <formula>0</formula>
    </cfRule>
  </conditionalFormatting>
  <conditionalFormatting sqref="E32">
    <cfRule type="cellIs" dxfId="5576" priority="1342" operator="lessThan">
      <formula>0</formula>
    </cfRule>
  </conditionalFormatting>
  <conditionalFormatting sqref="E32">
    <cfRule type="cellIs" dxfId="5575" priority="1341" operator="lessThan">
      <formula>0</formula>
    </cfRule>
  </conditionalFormatting>
  <conditionalFormatting sqref="E32">
    <cfRule type="cellIs" dxfId="5574" priority="1340" operator="lessThan">
      <formula>0</formula>
    </cfRule>
  </conditionalFormatting>
  <conditionalFormatting sqref="E32">
    <cfRule type="cellIs" dxfId="5573" priority="1339" operator="lessThan">
      <formula>0</formula>
    </cfRule>
  </conditionalFormatting>
  <conditionalFormatting sqref="E32">
    <cfRule type="cellIs" dxfId="5572" priority="1338" operator="lessThan">
      <formula>0</formula>
    </cfRule>
  </conditionalFormatting>
  <conditionalFormatting sqref="E32">
    <cfRule type="cellIs" dxfId="5571" priority="1337" operator="lessThan">
      <formula>0</formula>
    </cfRule>
  </conditionalFormatting>
  <conditionalFormatting sqref="E32">
    <cfRule type="cellIs" dxfId="5570" priority="1336" operator="lessThan">
      <formula>0</formula>
    </cfRule>
  </conditionalFormatting>
  <conditionalFormatting sqref="E32">
    <cfRule type="cellIs" dxfId="5569" priority="1335" operator="lessThan">
      <formula>0</formula>
    </cfRule>
  </conditionalFormatting>
  <conditionalFormatting sqref="E32">
    <cfRule type="cellIs" dxfId="5568" priority="1334" operator="lessThan">
      <formula>0</formula>
    </cfRule>
  </conditionalFormatting>
  <conditionalFormatting sqref="E32">
    <cfRule type="cellIs" dxfId="5567" priority="1333" operator="lessThan">
      <formula>0</formula>
    </cfRule>
  </conditionalFormatting>
  <conditionalFormatting sqref="E32">
    <cfRule type="cellIs" dxfId="5566" priority="1332" operator="lessThan">
      <formula>0</formula>
    </cfRule>
  </conditionalFormatting>
  <conditionalFormatting sqref="E32">
    <cfRule type="cellIs" dxfId="5565" priority="1331" operator="lessThan">
      <formula>0</formula>
    </cfRule>
  </conditionalFormatting>
  <conditionalFormatting sqref="E32">
    <cfRule type="cellIs" dxfId="5564" priority="1330" operator="lessThan">
      <formula>0</formula>
    </cfRule>
  </conditionalFormatting>
  <conditionalFormatting sqref="E32">
    <cfRule type="cellIs" dxfId="5563" priority="1329" operator="lessThan">
      <formula>0</formula>
    </cfRule>
  </conditionalFormatting>
  <conditionalFormatting sqref="E32">
    <cfRule type="cellIs" dxfId="5562" priority="1328" operator="lessThan">
      <formula>0</formula>
    </cfRule>
  </conditionalFormatting>
  <conditionalFormatting sqref="E32">
    <cfRule type="cellIs" dxfId="5561" priority="1327" operator="lessThan">
      <formula>0</formula>
    </cfRule>
  </conditionalFormatting>
  <conditionalFormatting sqref="E32">
    <cfRule type="cellIs" dxfId="5560" priority="1326" operator="lessThan">
      <formula>0</formula>
    </cfRule>
  </conditionalFormatting>
  <conditionalFormatting sqref="E32">
    <cfRule type="cellIs" dxfId="5559" priority="1325" operator="lessThan">
      <formula>0</formula>
    </cfRule>
  </conditionalFormatting>
  <conditionalFormatting sqref="E32">
    <cfRule type="cellIs" dxfId="5558" priority="1324" operator="lessThan">
      <formula>0</formula>
    </cfRule>
  </conditionalFormatting>
  <conditionalFormatting sqref="E32">
    <cfRule type="cellIs" dxfId="5557" priority="1323" operator="lessThan">
      <formula>0</formula>
    </cfRule>
  </conditionalFormatting>
  <conditionalFormatting sqref="E32">
    <cfRule type="cellIs" dxfId="5556" priority="1322" operator="lessThan">
      <formula>0</formula>
    </cfRule>
  </conditionalFormatting>
  <conditionalFormatting sqref="E32">
    <cfRule type="cellIs" dxfId="5555" priority="1321" operator="lessThan">
      <formula>0</formula>
    </cfRule>
  </conditionalFormatting>
  <conditionalFormatting sqref="E32">
    <cfRule type="cellIs" dxfId="5554" priority="1320" operator="lessThan">
      <formula>0</formula>
    </cfRule>
  </conditionalFormatting>
  <conditionalFormatting sqref="E32">
    <cfRule type="cellIs" dxfId="5553" priority="1319" operator="lessThan">
      <formula>0</formula>
    </cfRule>
  </conditionalFormatting>
  <conditionalFormatting sqref="E32">
    <cfRule type="cellIs" dxfId="5552" priority="1318" operator="lessThan">
      <formula>0</formula>
    </cfRule>
  </conditionalFormatting>
  <conditionalFormatting sqref="E32">
    <cfRule type="cellIs" dxfId="5551" priority="1317" operator="lessThan">
      <formula>0</formula>
    </cfRule>
  </conditionalFormatting>
  <conditionalFormatting sqref="E32">
    <cfRule type="cellIs" dxfId="5550" priority="1316" operator="lessThan">
      <formula>0</formula>
    </cfRule>
  </conditionalFormatting>
  <conditionalFormatting sqref="E32">
    <cfRule type="cellIs" dxfId="5549" priority="1315" operator="lessThan">
      <formula>0</formula>
    </cfRule>
  </conditionalFormatting>
  <conditionalFormatting sqref="E32">
    <cfRule type="cellIs" dxfId="5548" priority="1314" operator="lessThan">
      <formula>0</formula>
    </cfRule>
  </conditionalFormatting>
  <conditionalFormatting sqref="E32">
    <cfRule type="cellIs" dxfId="5547" priority="1313" operator="lessThan">
      <formula>0</formula>
    </cfRule>
  </conditionalFormatting>
  <conditionalFormatting sqref="E32">
    <cfRule type="cellIs" dxfId="5546" priority="1312" operator="lessThan">
      <formula>0</formula>
    </cfRule>
  </conditionalFormatting>
  <conditionalFormatting sqref="E32">
    <cfRule type="cellIs" dxfId="5545" priority="1311" operator="lessThan">
      <formula>0</formula>
    </cfRule>
  </conditionalFormatting>
  <conditionalFormatting sqref="E32">
    <cfRule type="cellIs" dxfId="5544" priority="1310" operator="lessThan">
      <formula>0</formula>
    </cfRule>
  </conditionalFormatting>
  <conditionalFormatting sqref="E32">
    <cfRule type="cellIs" dxfId="5543" priority="1309" operator="lessThan">
      <formula>0</formula>
    </cfRule>
  </conditionalFormatting>
  <conditionalFormatting sqref="E32">
    <cfRule type="cellIs" dxfId="5542" priority="1308" operator="lessThan">
      <formula>0</formula>
    </cfRule>
  </conditionalFormatting>
  <conditionalFormatting sqref="E32">
    <cfRule type="cellIs" dxfId="5541" priority="1307" operator="lessThan">
      <formula>0</formula>
    </cfRule>
  </conditionalFormatting>
  <conditionalFormatting sqref="E32">
    <cfRule type="cellIs" dxfId="5540" priority="1306" operator="lessThan">
      <formula>0</formula>
    </cfRule>
  </conditionalFormatting>
  <conditionalFormatting sqref="E32">
    <cfRule type="cellIs" dxfId="5539" priority="1305" operator="lessThan">
      <formula>0</formula>
    </cfRule>
  </conditionalFormatting>
  <conditionalFormatting sqref="E32">
    <cfRule type="cellIs" dxfId="5538" priority="1304" operator="lessThan">
      <formula>0</formula>
    </cfRule>
  </conditionalFormatting>
  <conditionalFormatting sqref="E13:E35">
    <cfRule type="cellIs" dxfId="5537" priority="1303" operator="lessThan">
      <formula>0</formula>
    </cfRule>
  </conditionalFormatting>
  <conditionalFormatting sqref="E13:E35">
    <cfRule type="cellIs" dxfId="5536" priority="1302" operator="lessThan">
      <formula>0</formula>
    </cfRule>
  </conditionalFormatting>
  <conditionalFormatting sqref="E13:E35">
    <cfRule type="cellIs" dxfId="5535" priority="1301" operator="lessThan">
      <formula>0</formula>
    </cfRule>
  </conditionalFormatting>
  <conditionalFormatting sqref="E13:E35">
    <cfRule type="cellIs" dxfId="5534" priority="1300" operator="lessThan">
      <formula>0</formula>
    </cfRule>
  </conditionalFormatting>
  <conditionalFormatting sqref="E13:E35">
    <cfRule type="cellIs" dxfId="5533" priority="1299" operator="lessThan">
      <formula>0</formula>
    </cfRule>
  </conditionalFormatting>
  <conditionalFormatting sqref="E13:E35">
    <cfRule type="cellIs" dxfId="5532" priority="1298" operator="lessThan">
      <formula>0</formula>
    </cfRule>
  </conditionalFormatting>
  <conditionalFormatting sqref="E13:E35">
    <cfRule type="cellIs" dxfId="5531" priority="1297" operator="lessThan">
      <formula>0</formula>
    </cfRule>
  </conditionalFormatting>
  <conditionalFormatting sqref="E13:E35">
    <cfRule type="cellIs" dxfId="5530" priority="1296" operator="lessThan">
      <formula>0</formula>
    </cfRule>
  </conditionalFormatting>
  <conditionalFormatting sqref="E13:E35">
    <cfRule type="cellIs" dxfId="5529" priority="1295" operator="lessThan">
      <formula>0</formula>
    </cfRule>
  </conditionalFormatting>
  <conditionalFormatting sqref="E13:E35">
    <cfRule type="cellIs" dxfId="5528" priority="1294" operator="lessThan">
      <formula>0</formula>
    </cfRule>
  </conditionalFormatting>
  <conditionalFormatting sqref="E13:E35">
    <cfRule type="cellIs" dxfId="5527" priority="1293" operator="lessThan">
      <formula>0</formula>
    </cfRule>
  </conditionalFormatting>
  <conditionalFormatting sqref="E13:E35">
    <cfRule type="cellIs" dxfId="5526" priority="1292" operator="lessThan">
      <formula>0</formula>
    </cfRule>
  </conditionalFormatting>
  <conditionalFormatting sqref="E13:E35">
    <cfRule type="cellIs" dxfId="5525" priority="1291" operator="lessThan">
      <formula>0</formula>
    </cfRule>
  </conditionalFormatting>
  <conditionalFormatting sqref="E13:E35">
    <cfRule type="cellIs" dxfId="5524" priority="1290" operator="lessThan">
      <formula>0</formula>
    </cfRule>
  </conditionalFormatting>
  <conditionalFormatting sqref="E13:E35">
    <cfRule type="cellIs" dxfId="5523" priority="1289" operator="lessThan">
      <formula>0</formula>
    </cfRule>
  </conditionalFormatting>
  <conditionalFormatting sqref="E13:E35">
    <cfRule type="cellIs" dxfId="5522" priority="1288" operator="lessThan">
      <formula>0</formula>
    </cfRule>
  </conditionalFormatting>
  <conditionalFormatting sqref="E13:E35">
    <cfRule type="cellIs" dxfId="5521" priority="1287" operator="lessThan">
      <formula>0</formula>
    </cfRule>
  </conditionalFormatting>
  <conditionalFormatting sqref="E13:E35">
    <cfRule type="cellIs" dxfId="5520" priority="1286" operator="lessThan">
      <formula>0</formula>
    </cfRule>
  </conditionalFormatting>
  <conditionalFormatting sqref="E13:E35">
    <cfRule type="cellIs" dxfId="5519" priority="1285" operator="lessThan">
      <formula>0</formula>
    </cfRule>
  </conditionalFormatting>
  <conditionalFormatting sqref="E13:E35">
    <cfRule type="cellIs" dxfId="5518" priority="1284" operator="lessThan">
      <formula>0</formula>
    </cfRule>
  </conditionalFormatting>
  <conditionalFormatting sqref="E13:E35">
    <cfRule type="cellIs" dxfId="5517" priority="1283" operator="lessThan">
      <formula>0</formula>
    </cfRule>
  </conditionalFormatting>
  <conditionalFormatting sqref="E13:E35">
    <cfRule type="cellIs" dxfId="5516" priority="1282" operator="lessThan">
      <formula>0</formula>
    </cfRule>
  </conditionalFormatting>
  <conditionalFormatting sqref="E13:E35">
    <cfRule type="cellIs" dxfId="5515" priority="1281" operator="lessThan">
      <formula>0</formula>
    </cfRule>
  </conditionalFormatting>
  <conditionalFormatting sqref="E13:E35">
    <cfRule type="cellIs" dxfId="5514" priority="1280" operator="lessThan">
      <formula>0</formula>
    </cfRule>
  </conditionalFormatting>
  <conditionalFormatting sqref="E13:E35">
    <cfRule type="cellIs" dxfId="5513" priority="1279" operator="lessThan">
      <formula>0</formula>
    </cfRule>
  </conditionalFormatting>
  <conditionalFormatting sqref="E13:E35">
    <cfRule type="cellIs" dxfId="5512" priority="1278" operator="lessThan">
      <formula>0</formula>
    </cfRule>
  </conditionalFormatting>
  <conditionalFormatting sqref="E13:E35">
    <cfRule type="cellIs" dxfId="5511" priority="1277" operator="lessThan">
      <formula>0</formula>
    </cfRule>
  </conditionalFormatting>
  <conditionalFormatting sqref="E13:E35">
    <cfRule type="cellIs" dxfId="5510" priority="1276" operator="lessThan">
      <formula>0</formula>
    </cfRule>
  </conditionalFormatting>
  <conditionalFormatting sqref="E13:E35">
    <cfRule type="cellIs" dxfId="5509" priority="1275" operator="lessThan">
      <formula>0</formula>
    </cfRule>
  </conditionalFormatting>
  <conditionalFormatting sqref="E13:E35">
    <cfRule type="cellIs" dxfId="5508" priority="1274" operator="lessThan">
      <formula>0</formula>
    </cfRule>
  </conditionalFormatting>
  <conditionalFormatting sqref="E13:E35">
    <cfRule type="cellIs" dxfId="5507" priority="1273" operator="lessThan">
      <formula>0</formula>
    </cfRule>
  </conditionalFormatting>
  <conditionalFormatting sqref="E13:E35">
    <cfRule type="cellIs" dxfId="5506" priority="1272" operator="lessThan">
      <formula>0</formula>
    </cfRule>
  </conditionalFormatting>
  <conditionalFormatting sqref="E13:E35">
    <cfRule type="cellIs" dxfId="5505" priority="1271" operator="lessThan">
      <formula>0</formula>
    </cfRule>
  </conditionalFormatting>
  <conditionalFormatting sqref="E13:E35">
    <cfRule type="cellIs" dxfId="5504" priority="1270" operator="lessThan">
      <formula>0</formula>
    </cfRule>
  </conditionalFormatting>
  <conditionalFormatting sqref="E13:E35">
    <cfRule type="cellIs" dxfId="5503" priority="1269" operator="lessThan">
      <formula>0</formula>
    </cfRule>
  </conditionalFormatting>
  <conditionalFormatting sqref="E13:E35">
    <cfRule type="cellIs" dxfId="5502" priority="1268" operator="lessThan">
      <formula>0</formula>
    </cfRule>
  </conditionalFormatting>
  <conditionalFormatting sqref="E13:E35">
    <cfRule type="cellIs" dxfId="5501" priority="1267" operator="lessThan">
      <formula>0</formula>
    </cfRule>
  </conditionalFormatting>
  <conditionalFormatting sqref="E13:E35">
    <cfRule type="cellIs" dxfId="5500" priority="1266" operator="lessThan">
      <formula>0</formula>
    </cfRule>
  </conditionalFormatting>
  <conditionalFormatting sqref="E13:E35">
    <cfRule type="cellIs" dxfId="5499" priority="1265" operator="lessThan">
      <formula>0</formula>
    </cfRule>
  </conditionalFormatting>
  <conditionalFormatting sqref="E13:E35">
    <cfRule type="cellIs" dxfId="5498" priority="1264" operator="lessThan">
      <formula>0</formula>
    </cfRule>
  </conditionalFormatting>
  <conditionalFormatting sqref="E13:E35">
    <cfRule type="cellIs" dxfId="5497" priority="1263" operator="lessThan">
      <formula>0</formula>
    </cfRule>
  </conditionalFormatting>
  <conditionalFormatting sqref="E13:E35">
    <cfRule type="cellIs" dxfId="5496" priority="1262" operator="lessThan">
      <formula>0</formula>
    </cfRule>
  </conditionalFormatting>
  <conditionalFormatting sqref="E13:E35">
    <cfRule type="cellIs" dxfId="5495" priority="1261" operator="lessThan">
      <formula>0</formula>
    </cfRule>
  </conditionalFormatting>
  <conditionalFormatting sqref="E13:E35">
    <cfRule type="cellIs" dxfId="5494" priority="1260" operator="lessThan">
      <formula>0</formula>
    </cfRule>
  </conditionalFormatting>
  <conditionalFormatting sqref="E13:E35">
    <cfRule type="cellIs" dxfId="5493" priority="1259" operator="lessThan">
      <formula>0</formula>
    </cfRule>
  </conditionalFormatting>
  <conditionalFormatting sqref="E13:E35">
    <cfRule type="cellIs" dxfId="5492" priority="1258" operator="lessThan">
      <formula>0</formula>
    </cfRule>
  </conditionalFormatting>
  <conditionalFormatting sqref="E13:E35">
    <cfRule type="cellIs" dxfId="5491" priority="1257" operator="lessThan">
      <formula>0</formula>
    </cfRule>
  </conditionalFormatting>
  <conditionalFormatting sqref="E13:E35">
    <cfRule type="cellIs" dxfId="5490" priority="1256" operator="lessThan">
      <formula>0</formula>
    </cfRule>
  </conditionalFormatting>
  <conditionalFormatting sqref="E13:E35">
    <cfRule type="cellIs" dxfId="5489" priority="1255" operator="lessThan">
      <formula>0</formula>
    </cfRule>
  </conditionalFormatting>
  <conditionalFormatting sqref="E13:E35">
    <cfRule type="cellIs" dxfId="5488" priority="1254" operator="lessThan">
      <formula>0</formula>
    </cfRule>
  </conditionalFormatting>
  <conditionalFormatting sqref="E13:E35">
    <cfRule type="cellIs" dxfId="5487" priority="1253" operator="lessThan">
      <formula>0</formula>
    </cfRule>
  </conditionalFormatting>
  <conditionalFormatting sqref="E13:E35">
    <cfRule type="cellIs" dxfId="5486" priority="1252" operator="lessThan">
      <formula>0</formula>
    </cfRule>
  </conditionalFormatting>
  <conditionalFormatting sqref="E13:E35">
    <cfRule type="cellIs" dxfId="5485" priority="1251" operator="lessThan">
      <formula>0</formula>
    </cfRule>
  </conditionalFormatting>
  <conditionalFormatting sqref="E13:E35">
    <cfRule type="cellIs" dxfId="5484" priority="1250" operator="lessThan">
      <formula>0</formula>
    </cfRule>
  </conditionalFormatting>
  <conditionalFormatting sqref="E13:E35">
    <cfRule type="cellIs" dxfId="5483" priority="1249" operator="lessThan">
      <formula>0</formula>
    </cfRule>
  </conditionalFormatting>
  <conditionalFormatting sqref="E13:E35">
    <cfRule type="cellIs" dxfId="5482" priority="1248" operator="lessThan">
      <formula>0</formula>
    </cfRule>
  </conditionalFormatting>
  <conditionalFormatting sqref="E13:E35">
    <cfRule type="cellIs" dxfId="5481" priority="1247" operator="lessThan">
      <formula>0</formula>
    </cfRule>
  </conditionalFormatting>
  <conditionalFormatting sqref="E13:E35">
    <cfRule type="cellIs" dxfId="5480" priority="1246" operator="lessThan">
      <formula>0</formula>
    </cfRule>
  </conditionalFormatting>
  <conditionalFormatting sqref="E13:E35">
    <cfRule type="cellIs" dxfId="5479" priority="1245" operator="lessThan">
      <formula>0</formula>
    </cfRule>
  </conditionalFormatting>
  <conditionalFormatting sqref="E13:E35">
    <cfRule type="cellIs" dxfId="5478" priority="1244" operator="lessThan">
      <formula>0</formula>
    </cfRule>
  </conditionalFormatting>
  <conditionalFormatting sqref="E13:E35">
    <cfRule type="cellIs" dxfId="5477" priority="1243" operator="lessThan">
      <formula>0</formula>
    </cfRule>
  </conditionalFormatting>
  <conditionalFormatting sqref="E13:E35">
    <cfRule type="cellIs" dxfId="5476" priority="1242" operator="lessThan">
      <formula>0</formula>
    </cfRule>
  </conditionalFormatting>
  <conditionalFormatting sqref="E13:E35">
    <cfRule type="cellIs" dxfId="5475" priority="1241" operator="lessThan">
      <formula>0</formula>
    </cfRule>
  </conditionalFormatting>
  <conditionalFormatting sqref="E13:E35">
    <cfRule type="cellIs" dxfId="5474" priority="1240" operator="lessThan">
      <formula>0</formula>
    </cfRule>
  </conditionalFormatting>
  <conditionalFormatting sqref="E13:E35">
    <cfRule type="cellIs" dxfId="5473" priority="1239" operator="lessThan">
      <formula>0</formula>
    </cfRule>
  </conditionalFormatting>
  <conditionalFormatting sqref="E13:E35">
    <cfRule type="cellIs" dxfId="5472" priority="1238" operator="lessThan">
      <formula>0</formula>
    </cfRule>
  </conditionalFormatting>
  <conditionalFormatting sqref="E13:E35">
    <cfRule type="cellIs" dxfId="5471" priority="1237" operator="lessThan">
      <formula>0</formula>
    </cfRule>
  </conditionalFormatting>
  <conditionalFormatting sqref="E13:E35">
    <cfRule type="cellIs" dxfId="5470" priority="1236" operator="lessThan">
      <formula>0</formula>
    </cfRule>
  </conditionalFormatting>
  <conditionalFormatting sqref="E16:E35">
    <cfRule type="cellIs" dxfId="5469" priority="1235" operator="lessThan">
      <formula>0</formula>
    </cfRule>
  </conditionalFormatting>
  <conditionalFormatting sqref="E16:E35">
    <cfRule type="cellIs" dxfId="5468" priority="1234" operator="lessThan">
      <formula>0</formula>
    </cfRule>
  </conditionalFormatting>
  <conditionalFormatting sqref="E16:E35">
    <cfRule type="cellIs" dxfId="5467" priority="1233" operator="lessThan">
      <formula>0</formula>
    </cfRule>
  </conditionalFormatting>
  <conditionalFormatting sqref="E16:E35">
    <cfRule type="cellIs" dxfId="5466" priority="1232" operator="lessThan">
      <formula>0</formula>
    </cfRule>
  </conditionalFormatting>
  <conditionalFormatting sqref="E16:E35">
    <cfRule type="cellIs" dxfId="5465" priority="1231" operator="lessThan">
      <formula>0</formula>
    </cfRule>
  </conditionalFormatting>
  <conditionalFormatting sqref="E23:E35">
    <cfRule type="cellIs" dxfId="5464" priority="1230" operator="lessThan">
      <formula>0</formula>
    </cfRule>
  </conditionalFormatting>
  <conditionalFormatting sqref="E29:E35">
    <cfRule type="cellIs" dxfId="5463" priority="1229" operator="lessThan">
      <formula>0</formula>
    </cfRule>
  </conditionalFormatting>
  <conditionalFormatting sqref="E13:E35">
    <cfRule type="cellIs" dxfId="5462" priority="1228" operator="lessThan">
      <formula>0</formula>
    </cfRule>
  </conditionalFormatting>
  <conditionalFormatting sqref="E13:E35">
    <cfRule type="cellIs" dxfId="5461" priority="1227" operator="lessThan">
      <formula>0</formula>
    </cfRule>
  </conditionalFormatting>
  <conditionalFormatting sqref="E13:E35">
    <cfRule type="cellIs" dxfId="5460" priority="1226" operator="lessThan">
      <formula>0</formula>
    </cfRule>
  </conditionalFormatting>
  <conditionalFormatting sqref="E13:E35">
    <cfRule type="cellIs" dxfId="5459" priority="1225" operator="lessThan">
      <formula>0</formula>
    </cfRule>
  </conditionalFormatting>
  <conditionalFormatting sqref="E13:E35">
    <cfRule type="cellIs" dxfId="5458" priority="1224" operator="lessThan">
      <formula>0</formula>
    </cfRule>
  </conditionalFormatting>
  <conditionalFormatting sqref="E13:E35">
    <cfRule type="cellIs" dxfId="5457" priority="1223" operator="lessThan">
      <formula>0</formula>
    </cfRule>
  </conditionalFormatting>
  <conditionalFormatting sqref="E23:E35">
    <cfRule type="cellIs" dxfId="5456" priority="1222" operator="lessThan">
      <formula>0</formula>
    </cfRule>
  </conditionalFormatting>
  <conditionalFormatting sqref="E29:E35">
    <cfRule type="cellIs" dxfId="5455" priority="1221" operator="lessThan">
      <formula>0</formula>
    </cfRule>
  </conditionalFormatting>
  <conditionalFormatting sqref="E13:E35">
    <cfRule type="cellIs" dxfId="5454" priority="1220" operator="lessThan">
      <formula>0</formula>
    </cfRule>
  </conditionalFormatting>
  <conditionalFormatting sqref="E13:E35">
    <cfRule type="cellIs" dxfId="5453" priority="1219" operator="lessThan">
      <formula>0</formula>
    </cfRule>
  </conditionalFormatting>
  <conditionalFormatting sqref="E13:E35">
    <cfRule type="cellIs" dxfId="5452" priority="1218" operator="lessThan">
      <formula>0</formula>
    </cfRule>
  </conditionalFormatting>
  <conditionalFormatting sqref="E13:E35">
    <cfRule type="cellIs" dxfId="5451" priority="1217" operator="lessThan">
      <formula>0</formula>
    </cfRule>
  </conditionalFormatting>
  <conditionalFormatting sqref="E13:E35">
    <cfRule type="cellIs" dxfId="5450" priority="1216" operator="lessThan">
      <formula>0</formula>
    </cfRule>
  </conditionalFormatting>
  <conditionalFormatting sqref="E13:E35">
    <cfRule type="cellIs" dxfId="5449" priority="1215" operator="lessThan">
      <formula>0</formula>
    </cfRule>
  </conditionalFormatting>
  <conditionalFormatting sqref="E13:E35">
    <cfRule type="cellIs" dxfId="5448" priority="1214" operator="lessThan">
      <formula>0</formula>
    </cfRule>
  </conditionalFormatting>
  <conditionalFormatting sqref="E13:E35">
    <cfRule type="cellIs" dxfId="5447" priority="1213" operator="lessThan">
      <formula>0</formula>
    </cfRule>
  </conditionalFormatting>
  <conditionalFormatting sqref="E23:E35">
    <cfRule type="cellIs" dxfId="5446" priority="1212" operator="lessThan">
      <formula>0</formula>
    </cfRule>
  </conditionalFormatting>
  <conditionalFormatting sqref="E29:E35">
    <cfRule type="cellIs" dxfId="5445" priority="1211" operator="lessThan">
      <formula>0</formula>
    </cfRule>
  </conditionalFormatting>
  <conditionalFormatting sqref="E13:E35">
    <cfRule type="cellIs" dxfId="5444" priority="1210" operator="lessThan">
      <formula>0</formula>
    </cfRule>
  </conditionalFormatting>
  <conditionalFormatting sqref="E13:E35">
    <cfRule type="cellIs" dxfId="5443" priority="1209" operator="lessThan">
      <formula>0</formula>
    </cfRule>
  </conditionalFormatting>
  <conditionalFormatting sqref="E13:E35">
    <cfRule type="cellIs" dxfId="5442" priority="1208" operator="lessThan">
      <formula>0</formula>
    </cfRule>
  </conditionalFormatting>
  <conditionalFormatting sqref="E16:E35">
    <cfRule type="cellIs" dxfId="5441" priority="1207" operator="lessThan">
      <formula>0</formula>
    </cfRule>
  </conditionalFormatting>
  <conditionalFormatting sqref="E16:E35">
    <cfRule type="cellIs" dxfId="5440" priority="1206" operator="lessThan">
      <formula>0</formula>
    </cfRule>
  </conditionalFormatting>
  <conditionalFormatting sqref="E16:E35">
    <cfRule type="cellIs" dxfId="5439" priority="1205" operator="lessThan">
      <formula>0</formula>
    </cfRule>
  </conditionalFormatting>
  <conditionalFormatting sqref="E16:E35">
    <cfRule type="cellIs" dxfId="5438" priority="1204" operator="lessThan">
      <formula>0</formula>
    </cfRule>
  </conditionalFormatting>
  <conditionalFormatting sqref="E16:E35">
    <cfRule type="cellIs" dxfId="5437" priority="1203" operator="lessThan">
      <formula>0</formula>
    </cfRule>
  </conditionalFormatting>
  <conditionalFormatting sqref="E23:E35">
    <cfRule type="cellIs" dxfId="5436" priority="1202" operator="lessThan">
      <formula>0</formula>
    </cfRule>
  </conditionalFormatting>
  <conditionalFormatting sqref="E29:E35">
    <cfRule type="cellIs" dxfId="5435" priority="1201" operator="lessThan">
      <formula>0</formula>
    </cfRule>
  </conditionalFormatting>
  <conditionalFormatting sqref="E13:E35">
    <cfRule type="cellIs" dxfId="5434" priority="1200" operator="lessThan">
      <formula>0</formula>
    </cfRule>
  </conditionalFormatting>
  <conditionalFormatting sqref="E13:E35">
    <cfRule type="cellIs" dxfId="5433" priority="1199" operator="lessThan">
      <formula>0</formula>
    </cfRule>
  </conditionalFormatting>
  <conditionalFormatting sqref="E13:E35">
    <cfRule type="cellIs" dxfId="5432" priority="1198" operator="lessThan">
      <formula>0</formula>
    </cfRule>
  </conditionalFormatting>
  <conditionalFormatting sqref="E13:E35">
    <cfRule type="cellIs" dxfId="5431" priority="1197" operator="lessThan">
      <formula>0</formula>
    </cfRule>
  </conditionalFormatting>
  <conditionalFormatting sqref="E13:E35">
    <cfRule type="cellIs" dxfId="5430" priority="1196" operator="lessThan">
      <formula>0</formula>
    </cfRule>
  </conditionalFormatting>
  <conditionalFormatting sqref="E13:E35">
    <cfRule type="cellIs" dxfId="5429" priority="1195" operator="lessThan">
      <formula>0</formula>
    </cfRule>
  </conditionalFormatting>
  <conditionalFormatting sqref="E23:E35">
    <cfRule type="cellIs" dxfId="5428" priority="1194" operator="lessThan">
      <formula>0</formula>
    </cfRule>
  </conditionalFormatting>
  <conditionalFormatting sqref="E29:E35">
    <cfRule type="cellIs" dxfId="5427" priority="1193" operator="lessThan">
      <formula>0</formula>
    </cfRule>
  </conditionalFormatting>
  <conditionalFormatting sqref="E13:E35">
    <cfRule type="cellIs" dxfId="5426" priority="1192" operator="lessThan">
      <formula>0</formula>
    </cfRule>
  </conditionalFormatting>
  <conditionalFormatting sqref="E13:E35">
    <cfRule type="cellIs" dxfId="5425" priority="1191" operator="lessThan">
      <formula>0</formula>
    </cfRule>
  </conditionalFormatting>
  <conditionalFormatting sqref="E13:E35">
    <cfRule type="cellIs" dxfId="5424" priority="1190" operator="lessThan">
      <formula>0</formula>
    </cfRule>
  </conditionalFormatting>
  <conditionalFormatting sqref="E30">
    <cfRule type="cellIs" dxfId="5423" priority="1189" operator="lessThan">
      <formula>0</formula>
    </cfRule>
  </conditionalFormatting>
  <conditionalFormatting sqref="E13:E35">
    <cfRule type="cellIs" dxfId="5422" priority="1188" operator="lessThan">
      <formula>0</formula>
    </cfRule>
  </conditionalFormatting>
  <conditionalFormatting sqref="E13:E35">
    <cfRule type="cellIs" dxfId="5421" priority="1187" operator="lessThan">
      <formula>0</formula>
    </cfRule>
  </conditionalFormatting>
  <conditionalFormatting sqref="E13:E35">
    <cfRule type="cellIs" dxfId="5420" priority="1186" operator="lessThan">
      <formula>0</formula>
    </cfRule>
  </conditionalFormatting>
  <conditionalFormatting sqref="E13:E35">
    <cfRule type="cellIs" dxfId="5419" priority="1185" operator="lessThan">
      <formula>0</formula>
    </cfRule>
  </conditionalFormatting>
  <conditionalFormatting sqref="B4:B35">
    <cfRule type="cellIs" dxfId="5418" priority="1184" operator="lessThan">
      <formula>0</formula>
    </cfRule>
  </conditionalFormatting>
  <conditionalFormatting sqref="C4:C35">
    <cfRule type="cellIs" dxfId="5417" priority="1183" operator="lessThan">
      <formula>0</formula>
    </cfRule>
  </conditionalFormatting>
  <conditionalFormatting sqref="D4:D35">
    <cfRule type="cellIs" dxfId="5416" priority="1182" operator="lessThan">
      <formula>0</formula>
    </cfRule>
  </conditionalFormatting>
  <conditionalFormatting sqref="F4:F35">
    <cfRule type="cellIs" dxfId="5415" priority="1181" operator="lessThan">
      <formula>0</formula>
    </cfRule>
  </conditionalFormatting>
  <conditionalFormatting sqref="G4:G35">
    <cfRule type="cellIs" dxfId="5414" priority="1180" operator="lessThan">
      <formula>0</formula>
    </cfRule>
  </conditionalFormatting>
  <conditionalFormatting sqref="H4">
    <cfRule type="cellIs" dxfId="5413" priority="1179" operator="lessThan">
      <formula>0</formula>
    </cfRule>
  </conditionalFormatting>
  <conditionalFormatting sqref="I4">
    <cfRule type="cellIs" dxfId="5412" priority="1178" operator="lessThan">
      <formula>0</formula>
    </cfRule>
  </conditionalFormatting>
  <conditionalFormatting sqref="J4">
    <cfRule type="cellIs" dxfId="5411" priority="1177" operator="lessThan">
      <formula>0</formula>
    </cfRule>
  </conditionalFormatting>
  <conditionalFormatting sqref="B4:B35">
    <cfRule type="cellIs" dxfId="5410" priority="1176" operator="lessThan">
      <formula>0</formula>
    </cfRule>
  </conditionalFormatting>
  <conditionalFormatting sqref="B4:B35">
    <cfRule type="cellIs" dxfId="5409" priority="1175" operator="lessThan">
      <formula>0</formula>
    </cfRule>
  </conditionalFormatting>
  <conditionalFormatting sqref="B4:B35">
    <cfRule type="cellIs" dxfId="5408" priority="1174" operator="lessThan">
      <formula>0</formula>
    </cfRule>
  </conditionalFormatting>
  <conditionalFormatting sqref="B4:B35">
    <cfRule type="cellIs" dxfId="5407" priority="1173" operator="lessThan">
      <formula>0</formula>
    </cfRule>
  </conditionalFormatting>
  <conditionalFormatting sqref="C4:C35">
    <cfRule type="cellIs" dxfId="5406" priority="1172" operator="lessThan">
      <formula>0</formula>
    </cfRule>
  </conditionalFormatting>
  <conditionalFormatting sqref="C4:C35">
    <cfRule type="cellIs" dxfId="5405" priority="1171" operator="lessThan">
      <formula>0</formula>
    </cfRule>
  </conditionalFormatting>
  <conditionalFormatting sqref="C4:C35">
    <cfRule type="cellIs" dxfId="5404" priority="1170" operator="lessThan">
      <formula>0</formula>
    </cfRule>
  </conditionalFormatting>
  <conditionalFormatting sqref="C4:C35">
    <cfRule type="cellIs" dxfId="5403" priority="1169" operator="lessThan">
      <formula>0</formula>
    </cfRule>
  </conditionalFormatting>
  <conditionalFormatting sqref="D4:D35">
    <cfRule type="cellIs" dxfId="5402" priority="1168" operator="lessThan">
      <formula>0</formula>
    </cfRule>
  </conditionalFormatting>
  <conditionalFormatting sqref="D4:D35">
    <cfRule type="cellIs" dxfId="5401" priority="1167" operator="lessThan">
      <formula>0</formula>
    </cfRule>
  </conditionalFormatting>
  <conditionalFormatting sqref="D4:D35">
    <cfRule type="cellIs" dxfId="5400" priority="1166" operator="lessThan">
      <formula>0</formula>
    </cfRule>
  </conditionalFormatting>
  <conditionalFormatting sqref="F4:F35">
    <cfRule type="cellIs" dxfId="5399" priority="1165" operator="lessThan">
      <formula>0</formula>
    </cfRule>
  </conditionalFormatting>
  <conditionalFormatting sqref="F4:F35">
    <cfRule type="cellIs" dxfId="5398" priority="1164" operator="lessThan">
      <formula>0</formula>
    </cfRule>
  </conditionalFormatting>
  <conditionalFormatting sqref="F4:F35">
    <cfRule type="cellIs" dxfId="5397" priority="1163" operator="lessThan">
      <formula>0</formula>
    </cfRule>
  </conditionalFormatting>
  <conditionalFormatting sqref="G4:G35">
    <cfRule type="cellIs" dxfId="5396" priority="1162" operator="lessThan">
      <formula>0</formula>
    </cfRule>
  </conditionalFormatting>
  <conditionalFormatting sqref="G4:G35">
    <cfRule type="cellIs" dxfId="5395" priority="1161" operator="lessThan">
      <formula>0</formula>
    </cfRule>
  </conditionalFormatting>
  <conditionalFormatting sqref="G4:G35">
    <cfRule type="cellIs" dxfId="5394" priority="1160" operator="lessThan">
      <formula>0</formula>
    </cfRule>
  </conditionalFormatting>
  <conditionalFormatting sqref="H4">
    <cfRule type="cellIs" dxfId="5393" priority="1159" operator="lessThan">
      <formula>0</formula>
    </cfRule>
  </conditionalFormatting>
  <conditionalFormatting sqref="H4">
    <cfRule type="cellIs" dxfId="5392" priority="1158" operator="lessThan">
      <formula>0</formula>
    </cfRule>
  </conditionalFormatting>
  <conditionalFormatting sqref="H4">
    <cfRule type="cellIs" dxfId="5391" priority="1157" operator="lessThan">
      <formula>0</formula>
    </cfRule>
  </conditionalFormatting>
  <conditionalFormatting sqref="I4">
    <cfRule type="cellIs" dxfId="5390" priority="1156" operator="lessThan">
      <formula>0</formula>
    </cfRule>
  </conditionalFormatting>
  <conditionalFormatting sqref="I4">
    <cfRule type="cellIs" dxfId="5389" priority="1155" operator="lessThan">
      <formula>0</formula>
    </cfRule>
  </conditionalFormatting>
  <conditionalFormatting sqref="I4">
    <cfRule type="cellIs" dxfId="5388" priority="1154" operator="lessThan">
      <formula>0</formula>
    </cfRule>
  </conditionalFormatting>
  <conditionalFormatting sqref="J4">
    <cfRule type="cellIs" dxfId="5387" priority="1153" operator="lessThan">
      <formula>0</formula>
    </cfRule>
  </conditionalFormatting>
  <conditionalFormatting sqref="J4">
    <cfRule type="cellIs" dxfId="5386" priority="1152" operator="lessThan">
      <formula>0</formula>
    </cfRule>
  </conditionalFormatting>
  <conditionalFormatting sqref="J4">
    <cfRule type="cellIs" dxfId="5385" priority="1151" operator="lessThan">
      <formula>0</formula>
    </cfRule>
  </conditionalFormatting>
  <conditionalFormatting sqref="E4:E35">
    <cfRule type="cellIs" dxfId="5384" priority="1150" operator="lessThan">
      <formula>0</formula>
    </cfRule>
  </conditionalFormatting>
  <conditionalFormatting sqref="E4:E35">
    <cfRule type="cellIs" dxfId="5383" priority="1149" operator="lessThan">
      <formula>0</formula>
    </cfRule>
  </conditionalFormatting>
  <conditionalFormatting sqref="D4:D35">
    <cfRule type="cellIs" dxfId="5382" priority="1148" operator="lessThan">
      <formula>0</formula>
    </cfRule>
  </conditionalFormatting>
  <conditionalFormatting sqref="E4:E35">
    <cfRule type="cellIs" dxfId="5381" priority="1147" operator="lessThan">
      <formula>0</formula>
    </cfRule>
  </conditionalFormatting>
  <conditionalFormatting sqref="E4:E35">
    <cfRule type="cellIs" dxfId="5380" priority="1146" operator="lessThan">
      <formula>0</formula>
    </cfRule>
  </conditionalFormatting>
  <conditionalFormatting sqref="E4:E35">
    <cfRule type="cellIs" dxfId="5379" priority="1145" operator="lessThan">
      <formula>0</formula>
    </cfRule>
  </conditionalFormatting>
  <conditionalFormatting sqref="E4:E35">
    <cfRule type="cellIs" dxfId="5378" priority="1144" operator="lessThan">
      <formula>0</formula>
    </cfRule>
  </conditionalFormatting>
  <conditionalFormatting sqref="J4">
    <cfRule type="cellIs" dxfId="5377" priority="1143" operator="lessThan">
      <formula>0</formula>
    </cfRule>
  </conditionalFormatting>
  <conditionalFormatting sqref="E4:E35">
    <cfRule type="cellIs" dxfId="5376" priority="1142" operator="lessThan">
      <formula>0</formula>
    </cfRule>
  </conditionalFormatting>
  <conditionalFormatting sqref="E4:E35">
    <cfRule type="cellIs" dxfId="5375" priority="1141" operator="lessThan">
      <formula>0</formula>
    </cfRule>
  </conditionalFormatting>
  <conditionalFormatting sqref="E4:E35">
    <cfRule type="cellIs" dxfId="5374" priority="1140" operator="lessThan">
      <formula>0</formula>
    </cfRule>
  </conditionalFormatting>
  <conditionalFormatting sqref="E4:E35">
    <cfRule type="cellIs" dxfId="5373" priority="1139" operator="lessThan">
      <formula>0</formula>
    </cfRule>
  </conditionalFormatting>
  <conditionalFormatting sqref="E4:E35">
    <cfRule type="cellIs" dxfId="5372" priority="1138" operator="lessThan">
      <formula>0</formula>
    </cfRule>
  </conditionalFormatting>
  <conditionalFormatting sqref="E4:E35">
    <cfRule type="cellIs" dxfId="5371" priority="1137" operator="lessThan">
      <formula>0</formula>
    </cfRule>
  </conditionalFormatting>
  <conditionalFormatting sqref="E4:E35">
    <cfRule type="cellIs" dxfId="5370" priority="1136" operator="lessThan">
      <formula>0</formula>
    </cfRule>
  </conditionalFormatting>
  <conditionalFormatting sqref="E4:E35">
    <cfRule type="cellIs" dxfId="5369" priority="1135" operator="lessThan">
      <formula>0</formula>
    </cfRule>
  </conditionalFormatting>
  <conditionalFormatting sqref="B4:B35">
    <cfRule type="cellIs" dxfId="5368" priority="1134" operator="lessThan">
      <formula>0</formula>
    </cfRule>
  </conditionalFormatting>
  <conditionalFormatting sqref="B4:B35">
    <cfRule type="cellIs" dxfId="5367" priority="1133" operator="lessThan">
      <formula>0</formula>
    </cfRule>
  </conditionalFormatting>
  <conditionalFormatting sqref="C4:C35">
    <cfRule type="cellIs" dxfId="5366" priority="1132" operator="lessThan">
      <formula>0</formula>
    </cfRule>
  </conditionalFormatting>
  <conditionalFormatting sqref="C4:C35">
    <cfRule type="cellIs" dxfId="5365" priority="1131" operator="lessThan">
      <formula>0</formula>
    </cfRule>
  </conditionalFormatting>
  <conditionalFormatting sqref="D4:D35">
    <cfRule type="cellIs" dxfId="5364" priority="1130" operator="lessThan">
      <formula>0</formula>
    </cfRule>
  </conditionalFormatting>
  <conditionalFormatting sqref="D4:D35">
    <cfRule type="cellIs" dxfId="5363" priority="1129" operator="lessThan">
      <formula>0</formula>
    </cfRule>
  </conditionalFormatting>
  <conditionalFormatting sqref="D4:D35">
    <cfRule type="cellIs" dxfId="5362" priority="1128" operator="lessThan">
      <formula>0</formula>
    </cfRule>
  </conditionalFormatting>
  <conditionalFormatting sqref="D4:D35">
    <cfRule type="cellIs" dxfId="5361" priority="1127" operator="lessThan">
      <formula>0</formula>
    </cfRule>
  </conditionalFormatting>
  <conditionalFormatting sqref="D4:D35">
    <cfRule type="cellIs" dxfId="5360" priority="1126" operator="lessThan">
      <formula>0</formula>
    </cfRule>
  </conditionalFormatting>
  <conditionalFormatting sqref="D4:D35">
    <cfRule type="cellIs" dxfId="5359" priority="1125" operator="lessThan">
      <formula>0</formula>
    </cfRule>
  </conditionalFormatting>
  <conditionalFormatting sqref="D4:D35">
    <cfRule type="cellIs" dxfId="5358" priority="1124" operator="lessThan">
      <formula>0</formula>
    </cfRule>
  </conditionalFormatting>
  <conditionalFormatting sqref="D4:D35">
    <cfRule type="cellIs" dxfId="5357" priority="1123" operator="lessThan">
      <formula>0</formula>
    </cfRule>
  </conditionalFormatting>
  <conditionalFormatting sqref="D4:D35">
    <cfRule type="cellIs" dxfId="5356" priority="1122" operator="lessThan">
      <formula>0</formula>
    </cfRule>
  </conditionalFormatting>
  <conditionalFormatting sqref="D4:D35">
    <cfRule type="cellIs" dxfId="5355" priority="1121" operator="lessThan">
      <formula>0</formula>
    </cfRule>
  </conditionalFormatting>
  <conditionalFormatting sqref="D4:D35">
    <cfRule type="cellIs" dxfId="5354" priority="1120" operator="lessThan">
      <formula>0</formula>
    </cfRule>
  </conditionalFormatting>
  <conditionalFormatting sqref="D4:D35">
    <cfRule type="cellIs" dxfId="5353" priority="1119" operator="lessThan">
      <formula>0</formula>
    </cfRule>
  </conditionalFormatting>
  <conditionalFormatting sqref="D4:D35">
    <cfRule type="cellIs" dxfId="5352" priority="1118" operator="lessThan">
      <formula>0</formula>
    </cfRule>
  </conditionalFormatting>
  <conditionalFormatting sqref="D4:D35">
    <cfRule type="cellIs" dxfId="5351" priority="1117" operator="lessThan">
      <formula>0</formula>
    </cfRule>
  </conditionalFormatting>
  <conditionalFormatting sqref="H4">
    <cfRule type="cellIs" dxfId="5350" priority="1116" operator="lessThan">
      <formula>0</formula>
    </cfRule>
  </conditionalFormatting>
  <conditionalFormatting sqref="H4">
    <cfRule type="cellIs" dxfId="5349" priority="1115" operator="lessThan">
      <formula>0</formula>
    </cfRule>
  </conditionalFormatting>
  <conditionalFormatting sqref="I4">
    <cfRule type="cellIs" dxfId="5348" priority="1114" operator="lessThan">
      <formula>0</formula>
    </cfRule>
  </conditionalFormatting>
  <conditionalFormatting sqref="I4">
    <cfRule type="cellIs" dxfId="5347" priority="1113" operator="lessThan">
      <formula>0</formula>
    </cfRule>
  </conditionalFormatting>
  <conditionalFormatting sqref="E4:E35">
    <cfRule type="cellIs" dxfId="5346" priority="1112" operator="lessThan">
      <formula>0</formula>
    </cfRule>
  </conditionalFormatting>
  <conditionalFormatting sqref="B4:B35">
    <cfRule type="cellIs" dxfId="5345" priority="1111" operator="lessThan">
      <formula>0</formula>
    </cfRule>
  </conditionalFormatting>
  <conditionalFormatting sqref="C4:C35">
    <cfRule type="cellIs" dxfId="5344" priority="1110" operator="lessThan">
      <formula>0</formula>
    </cfRule>
  </conditionalFormatting>
  <conditionalFormatting sqref="D4:D35">
    <cfRule type="cellIs" dxfId="5343" priority="1109" operator="lessThan">
      <formula>0</formula>
    </cfRule>
  </conditionalFormatting>
  <conditionalFormatting sqref="F4:F35">
    <cfRule type="cellIs" dxfId="5342" priority="1108" operator="lessThan">
      <formula>0</formula>
    </cfRule>
  </conditionalFormatting>
  <conditionalFormatting sqref="G4:G35">
    <cfRule type="cellIs" dxfId="5341" priority="1107" operator="lessThan">
      <formula>0</formula>
    </cfRule>
  </conditionalFormatting>
  <conditionalFormatting sqref="D4:D35">
    <cfRule type="cellIs" dxfId="5340" priority="1106" operator="lessThan">
      <formula>0</formula>
    </cfRule>
  </conditionalFormatting>
  <conditionalFormatting sqref="D4:D35">
    <cfRule type="cellIs" dxfId="5339" priority="1105" operator="lessThan">
      <formula>0</formula>
    </cfRule>
  </conditionalFormatting>
  <conditionalFormatting sqref="D4:D35">
    <cfRule type="cellIs" dxfId="5338" priority="1104" operator="lessThan">
      <formula>0</formula>
    </cfRule>
  </conditionalFormatting>
  <conditionalFormatting sqref="D4:D35">
    <cfRule type="cellIs" dxfId="5337" priority="1103" operator="lessThan">
      <formula>0</formula>
    </cfRule>
  </conditionalFormatting>
  <conditionalFormatting sqref="D4:D35">
    <cfRule type="cellIs" dxfId="5336" priority="1102" operator="lessThan">
      <formula>0</formula>
    </cfRule>
  </conditionalFormatting>
  <conditionalFormatting sqref="D4:D35">
    <cfRule type="cellIs" dxfId="5335" priority="1101" operator="lessThan">
      <formula>0</formula>
    </cfRule>
  </conditionalFormatting>
  <conditionalFormatting sqref="D4:D35">
    <cfRule type="cellIs" dxfId="5334" priority="1100" operator="lessThan">
      <formula>0</formula>
    </cfRule>
  </conditionalFormatting>
  <conditionalFormatting sqref="D4:D35">
    <cfRule type="cellIs" dxfId="5333" priority="1099" operator="lessThan">
      <formula>0</formula>
    </cfRule>
  </conditionalFormatting>
  <conditionalFormatting sqref="D4:D35">
    <cfRule type="cellIs" dxfId="5332" priority="1098" operator="lessThan">
      <formula>0</formula>
    </cfRule>
  </conditionalFormatting>
  <conditionalFormatting sqref="D4:D35">
    <cfRule type="cellIs" dxfId="5331" priority="1097" operator="lessThan">
      <formula>0</formula>
    </cfRule>
  </conditionalFormatting>
  <conditionalFormatting sqref="D4:D35">
    <cfRule type="cellIs" dxfId="5330" priority="1096" operator="lessThan">
      <formula>0</formula>
    </cfRule>
  </conditionalFormatting>
  <conditionalFormatting sqref="D4:D35">
    <cfRule type="cellIs" dxfId="5329" priority="1095" operator="lessThan">
      <formula>0</formula>
    </cfRule>
  </conditionalFormatting>
  <conditionalFormatting sqref="D4:D35">
    <cfRule type="cellIs" dxfId="5328" priority="1094" operator="lessThan">
      <formula>0</formula>
    </cfRule>
  </conditionalFormatting>
  <conditionalFormatting sqref="D4:D35">
    <cfRule type="cellIs" dxfId="5327" priority="1093" operator="lessThan">
      <formula>0</formula>
    </cfRule>
  </conditionalFormatting>
  <conditionalFormatting sqref="D4:D35">
    <cfRule type="cellIs" dxfId="5326" priority="1092" operator="lessThan">
      <formula>0</formula>
    </cfRule>
  </conditionalFormatting>
  <conditionalFormatting sqref="D4:D35">
    <cfRule type="cellIs" dxfId="5325" priority="1091" operator="lessThan">
      <formula>0</formula>
    </cfRule>
  </conditionalFormatting>
  <conditionalFormatting sqref="D4:D35">
    <cfRule type="cellIs" dxfId="5324" priority="1090" operator="lessThan">
      <formula>0</formula>
    </cfRule>
  </conditionalFormatting>
  <conditionalFormatting sqref="D4:D35">
    <cfRule type="cellIs" dxfId="5323" priority="1089" operator="lessThan">
      <formula>0</formula>
    </cfRule>
  </conditionalFormatting>
  <conditionalFormatting sqref="D4:D35">
    <cfRule type="cellIs" dxfId="5322" priority="1088" operator="lessThan">
      <formula>0</formula>
    </cfRule>
  </conditionalFormatting>
  <conditionalFormatting sqref="D4:D35">
    <cfRule type="cellIs" dxfId="5321" priority="1087" operator="lessThan">
      <formula>0</formula>
    </cfRule>
  </conditionalFormatting>
  <conditionalFormatting sqref="D4:D35">
    <cfRule type="cellIs" dxfId="5320" priority="1086" operator="lessThan">
      <formula>0</formula>
    </cfRule>
  </conditionalFormatting>
  <conditionalFormatting sqref="D4:D35">
    <cfRule type="cellIs" dxfId="5319" priority="1085" operator="lessThan">
      <formula>0</formula>
    </cfRule>
  </conditionalFormatting>
  <conditionalFormatting sqref="D4:D35">
    <cfRule type="cellIs" dxfId="5318" priority="1084" operator="lessThan">
      <formula>0</formula>
    </cfRule>
  </conditionalFormatting>
  <conditionalFormatting sqref="D4:D35">
    <cfRule type="cellIs" dxfId="5317" priority="1083" operator="lessThan">
      <formula>0</formula>
    </cfRule>
  </conditionalFormatting>
  <conditionalFormatting sqref="D4:D35">
    <cfRule type="cellIs" dxfId="5316" priority="1082" operator="lessThan">
      <formula>0</formula>
    </cfRule>
  </conditionalFormatting>
  <conditionalFormatting sqref="D4:D35">
    <cfRule type="cellIs" dxfId="5315" priority="1081" operator="lessThan">
      <formula>0</formula>
    </cfRule>
  </conditionalFormatting>
  <conditionalFormatting sqref="D4:D35">
    <cfRule type="cellIs" dxfId="5314" priority="1080" operator="lessThan">
      <formula>0</formula>
    </cfRule>
  </conditionalFormatting>
  <conditionalFormatting sqref="D4:D35">
    <cfRule type="cellIs" dxfId="5313" priority="1079" operator="lessThan">
      <formula>0</formula>
    </cfRule>
  </conditionalFormatting>
  <conditionalFormatting sqref="D4:D35">
    <cfRule type="cellIs" dxfId="5312" priority="1078" operator="lessThan">
      <formula>0</formula>
    </cfRule>
  </conditionalFormatting>
  <conditionalFormatting sqref="D4:D35">
    <cfRule type="cellIs" dxfId="5311" priority="1077" operator="lessThan">
      <formula>0</formula>
    </cfRule>
  </conditionalFormatting>
  <conditionalFormatting sqref="D4:D35">
    <cfRule type="cellIs" dxfId="5310" priority="1076" operator="lessThan">
      <formula>0</formula>
    </cfRule>
  </conditionalFormatting>
  <conditionalFormatting sqref="D4:D35">
    <cfRule type="cellIs" dxfId="5309" priority="1075" operator="lessThan">
      <formula>0</formula>
    </cfRule>
  </conditionalFormatting>
  <conditionalFormatting sqref="D4:D35">
    <cfRule type="cellIs" dxfId="5308" priority="1074" operator="lessThan">
      <formula>0</formula>
    </cfRule>
  </conditionalFormatting>
  <conditionalFormatting sqref="D4:D35">
    <cfRule type="cellIs" dxfId="5307" priority="1073" operator="lessThan">
      <formula>0</formula>
    </cfRule>
  </conditionalFormatting>
  <conditionalFormatting sqref="D4:D35">
    <cfRule type="cellIs" dxfId="5306" priority="1072" operator="lessThan">
      <formula>0</formula>
    </cfRule>
  </conditionalFormatting>
  <conditionalFormatting sqref="D4:D35">
    <cfRule type="cellIs" dxfId="5305" priority="1071" operator="lessThan">
      <formula>0</formula>
    </cfRule>
  </conditionalFormatting>
  <conditionalFormatting sqref="D4:D35">
    <cfRule type="cellIs" dxfId="5304" priority="1070" operator="lessThan">
      <formula>0</formula>
    </cfRule>
  </conditionalFormatting>
  <conditionalFormatting sqref="D4:D35">
    <cfRule type="cellIs" dxfId="5303" priority="1069" operator="lessThan">
      <formula>0</formula>
    </cfRule>
  </conditionalFormatting>
  <conditionalFormatting sqref="D4:D35">
    <cfRule type="cellIs" dxfId="5302" priority="1068" operator="lessThan">
      <formula>0</formula>
    </cfRule>
  </conditionalFormatting>
  <conditionalFormatting sqref="D4:D35">
    <cfRule type="cellIs" dxfId="5301" priority="1067" operator="lessThan">
      <formula>0</formula>
    </cfRule>
  </conditionalFormatting>
  <conditionalFormatting sqref="D4:D35">
    <cfRule type="cellIs" dxfId="5300" priority="1066" operator="lessThan">
      <formula>0</formula>
    </cfRule>
  </conditionalFormatting>
  <conditionalFormatting sqref="D4:D35">
    <cfRule type="cellIs" dxfId="5299" priority="1065" operator="lessThan">
      <formula>0</formula>
    </cfRule>
  </conditionalFormatting>
  <conditionalFormatting sqref="D4:D35">
    <cfRule type="cellIs" dxfId="5298" priority="1064" operator="lessThan">
      <formula>0</formula>
    </cfRule>
  </conditionalFormatting>
  <conditionalFormatting sqref="D4:D35">
    <cfRule type="cellIs" dxfId="5297" priority="1063" operator="lessThan">
      <formula>0</formula>
    </cfRule>
  </conditionalFormatting>
  <conditionalFormatting sqref="D4:D35">
    <cfRule type="cellIs" dxfId="5296" priority="1062" operator="lessThan">
      <formula>0</formula>
    </cfRule>
  </conditionalFormatting>
  <conditionalFormatting sqref="D4:D35">
    <cfRule type="cellIs" dxfId="5295" priority="1061" operator="lessThan">
      <formula>0</formula>
    </cfRule>
  </conditionalFormatting>
  <conditionalFormatting sqref="D4:D35">
    <cfRule type="cellIs" dxfId="5294" priority="1060" operator="lessThan">
      <formula>0</formula>
    </cfRule>
  </conditionalFormatting>
  <conditionalFormatting sqref="D4:D35">
    <cfRule type="cellIs" dxfId="5293" priority="1059" operator="lessThan">
      <formula>0</formula>
    </cfRule>
  </conditionalFormatting>
  <conditionalFormatting sqref="D4:D35">
    <cfRule type="cellIs" dxfId="5292" priority="1058" operator="lessThan">
      <formula>0</formula>
    </cfRule>
  </conditionalFormatting>
  <conditionalFormatting sqref="D4:D35">
    <cfRule type="cellIs" dxfId="5291" priority="1057" operator="lessThan">
      <formula>0</formula>
    </cfRule>
  </conditionalFormatting>
  <conditionalFormatting sqref="D4:D35">
    <cfRule type="cellIs" dxfId="5290" priority="1056" operator="lessThan">
      <formula>0</formula>
    </cfRule>
  </conditionalFormatting>
  <conditionalFormatting sqref="D4:D35">
    <cfRule type="cellIs" dxfId="5289" priority="1055" operator="lessThan">
      <formula>0</formula>
    </cfRule>
  </conditionalFormatting>
  <conditionalFormatting sqref="D4:D35">
    <cfRule type="cellIs" dxfId="5288" priority="1054" operator="lessThan">
      <formula>0</formula>
    </cfRule>
  </conditionalFormatting>
  <conditionalFormatting sqref="D4:D35">
    <cfRule type="cellIs" dxfId="5287" priority="1053" operator="lessThan">
      <formula>0</formula>
    </cfRule>
  </conditionalFormatting>
  <conditionalFormatting sqref="D4:D35">
    <cfRule type="cellIs" dxfId="5286" priority="1052" operator="lessThan">
      <formula>0</formula>
    </cfRule>
  </conditionalFormatting>
  <conditionalFormatting sqref="D4:D35">
    <cfRule type="cellIs" dxfId="5285" priority="1051" operator="lessThan">
      <formula>0</formula>
    </cfRule>
  </conditionalFormatting>
  <conditionalFormatting sqref="D4:D35">
    <cfRule type="cellIs" dxfId="5284" priority="1050" operator="lessThan">
      <formula>0</formula>
    </cfRule>
  </conditionalFormatting>
  <conditionalFormatting sqref="D4:D35">
    <cfRule type="cellIs" dxfId="5283" priority="1049" operator="lessThan">
      <formula>0</formula>
    </cfRule>
  </conditionalFormatting>
  <conditionalFormatting sqref="D4:D35">
    <cfRule type="cellIs" dxfId="5282" priority="1048" operator="lessThan">
      <formula>0</formula>
    </cfRule>
  </conditionalFormatting>
  <conditionalFormatting sqref="D4:D35">
    <cfRule type="cellIs" dxfId="5281" priority="1047" operator="lessThan">
      <formula>0</formula>
    </cfRule>
  </conditionalFormatting>
  <conditionalFormatting sqref="D4:D35">
    <cfRule type="cellIs" dxfId="5280" priority="1046" operator="lessThan">
      <formula>0</formula>
    </cfRule>
  </conditionalFormatting>
  <conditionalFormatting sqref="D4:D35">
    <cfRule type="cellIs" dxfId="5279" priority="1045" operator="lessThan">
      <formula>0</formula>
    </cfRule>
  </conditionalFormatting>
  <conditionalFormatting sqref="D4:D35">
    <cfRule type="cellIs" dxfId="5278" priority="1044" operator="lessThan">
      <formula>0</formula>
    </cfRule>
  </conditionalFormatting>
  <conditionalFormatting sqref="D4:D35">
    <cfRule type="cellIs" dxfId="5277" priority="1043" operator="lessThan">
      <formula>0</formula>
    </cfRule>
  </conditionalFormatting>
  <conditionalFormatting sqref="D4:D35">
    <cfRule type="cellIs" dxfId="5276" priority="1042" operator="lessThan">
      <formula>0</formula>
    </cfRule>
  </conditionalFormatting>
  <conditionalFormatting sqref="D4:D35">
    <cfRule type="cellIs" dxfId="5275" priority="1041" operator="lessThan">
      <formula>0</formula>
    </cfRule>
  </conditionalFormatting>
  <conditionalFormatting sqref="D4:D35">
    <cfRule type="cellIs" dxfId="5274" priority="1040" operator="lessThan">
      <formula>0</formula>
    </cfRule>
  </conditionalFormatting>
  <conditionalFormatting sqref="D4:D35">
    <cfRule type="cellIs" dxfId="5273" priority="1039" operator="lessThan">
      <formula>0</formula>
    </cfRule>
  </conditionalFormatting>
  <conditionalFormatting sqref="D4:D35">
    <cfRule type="cellIs" dxfId="5272" priority="1038" operator="lessThan">
      <formula>0</formula>
    </cfRule>
  </conditionalFormatting>
  <conditionalFormatting sqref="D4:D35">
    <cfRule type="cellIs" dxfId="5271" priority="1037" operator="lessThan">
      <formula>0</formula>
    </cfRule>
  </conditionalFormatting>
  <conditionalFormatting sqref="D4:D35">
    <cfRule type="cellIs" dxfId="5270" priority="1036" operator="lessThan">
      <formula>0</formula>
    </cfRule>
  </conditionalFormatting>
  <conditionalFormatting sqref="D4:D35">
    <cfRule type="cellIs" dxfId="5269" priority="1035" operator="lessThan">
      <formula>0</formula>
    </cfRule>
  </conditionalFormatting>
  <conditionalFormatting sqref="D4:D35">
    <cfRule type="cellIs" dxfId="5268" priority="1034" operator="lessThan">
      <formula>0</formula>
    </cfRule>
  </conditionalFormatting>
  <conditionalFormatting sqref="D4:D35">
    <cfRule type="cellIs" dxfId="5267" priority="1033" operator="lessThan">
      <formula>0</formula>
    </cfRule>
  </conditionalFormatting>
  <conditionalFormatting sqref="D4:D35">
    <cfRule type="cellIs" dxfId="5266" priority="1032" operator="lessThan">
      <formula>0</formula>
    </cfRule>
  </conditionalFormatting>
  <conditionalFormatting sqref="D4:D35">
    <cfRule type="cellIs" dxfId="5265" priority="1031" operator="lessThan">
      <formula>0</formula>
    </cfRule>
  </conditionalFormatting>
  <conditionalFormatting sqref="D4:D35">
    <cfRule type="cellIs" dxfId="5264" priority="1030" operator="lessThan">
      <formula>0</formula>
    </cfRule>
  </conditionalFormatting>
  <conditionalFormatting sqref="D4:D35">
    <cfRule type="cellIs" dxfId="5263" priority="1029" operator="lessThan">
      <formula>0</formula>
    </cfRule>
  </conditionalFormatting>
  <conditionalFormatting sqref="D4:D35">
    <cfRule type="cellIs" dxfId="5262" priority="1028" operator="lessThan">
      <formula>0</formula>
    </cfRule>
  </conditionalFormatting>
  <conditionalFormatting sqref="D4:D35">
    <cfRule type="cellIs" dxfId="5261" priority="1027" operator="lessThan">
      <formula>0</formula>
    </cfRule>
  </conditionalFormatting>
  <conditionalFormatting sqref="D4:D35">
    <cfRule type="cellIs" dxfId="5260" priority="1026" operator="lessThan">
      <formula>0</formula>
    </cfRule>
  </conditionalFormatting>
  <conditionalFormatting sqref="D4:D35">
    <cfRule type="cellIs" dxfId="5259" priority="1025" operator="lessThan">
      <formula>0</formula>
    </cfRule>
  </conditionalFormatting>
  <conditionalFormatting sqref="D4:D35">
    <cfRule type="cellIs" dxfId="5258" priority="1024" operator="lessThan">
      <formula>0</formula>
    </cfRule>
  </conditionalFormatting>
  <conditionalFormatting sqref="D4:D35">
    <cfRule type="cellIs" dxfId="5257" priority="1023" operator="lessThan">
      <formula>0</formula>
    </cfRule>
  </conditionalFormatting>
  <conditionalFormatting sqref="D4:D35">
    <cfRule type="cellIs" dxfId="5256" priority="1022" operator="lessThan">
      <formula>0</formula>
    </cfRule>
  </conditionalFormatting>
  <conditionalFormatting sqref="E4:E35">
    <cfRule type="cellIs" dxfId="5255" priority="1021" operator="lessThan">
      <formula>0</formula>
    </cfRule>
  </conditionalFormatting>
  <conditionalFormatting sqref="E4:E35">
    <cfRule type="cellIs" dxfId="5254" priority="1020" operator="lessThan">
      <formula>0</formula>
    </cfRule>
  </conditionalFormatting>
  <conditionalFormatting sqref="E4:E35">
    <cfRule type="cellIs" dxfId="5253" priority="1019" operator="lessThan">
      <formula>0</formula>
    </cfRule>
  </conditionalFormatting>
  <conditionalFormatting sqref="E4:E35">
    <cfRule type="cellIs" dxfId="5252" priority="1018" operator="lessThan">
      <formula>0</formula>
    </cfRule>
  </conditionalFormatting>
  <conditionalFormatting sqref="E4:E35">
    <cfRule type="cellIs" dxfId="5251" priority="1017" operator="lessThan">
      <formula>0</formula>
    </cfRule>
  </conditionalFormatting>
  <conditionalFormatting sqref="E4:E35">
    <cfRule type="cellIs" dxfId="5250" priority="1016" operator="lessThan">
      <formula>0</formula>
    </cfRule>
  </conditionalFormatting>
  <conditionalFormatting sqref="E4:E35">
    <cfRule type="cellIs" dxfId="5249" priority="1015" operator="lessThan">
      <formula>0</formula>
    </cfRule>
  </conditionalFormatting>
  <conditionalFormatting sqref="E4:E35">
    <cfRule type="cellIs" dxfId="5248" priority="1014" operator="lessThan">
      <formula>0</formula>
    </cfRule>
  </conditionalFormatting>
  <conditionalFormatting sqref="E4:E35">
    <cfRule type="cellIs" dxfId="5247" priority="1013" operator="lessThan">
      <formula>0</formula>
    </cfRule>
  </conditionalFormatting>
  <conditionalFormatting sqref="E4:E35">
    <cfRule type="cellIs" dxfId="5246" priority="1012" operator="lessThan">
      <formula>0</formula>
    </cfRule>
  </conditionalFormatting>
  <conditionalFormatting sqref="E4:E35">
    <cfRule type="cellIs" dxfId="5245" priority="1011" operator="lessThan">
      <formula>0</formula>
    </cfRule>
  </conditionalFormatting>
  <conditionalFormatting sqref="E4:E35">
    <cfRule type="cellIs" dxfId="5244" priority="1010" operator="lessThan">
      <formula>0</formula>
    </cfRule>
  </conditionalFormatting>
  <conditionalFormatting sqref="E4:E35">
    <cfRule type="cellIs" dxfId="5243" priority="1009" operator="lessThan">
      <formula>0</formula>
    </cfRule>
  </conditionalFormatting>
  <conditionalFormatting sqref="E4:E35">
    <cfRule type="cellIs" dxfId="5242" priority="1008" operator="lessThan">
      <formula>0</formula>
    </cfRule>
  </conditionalFormatting>
  <conditionalFormatting sqref="E4:E35">
    <cfRule type="cellIs" dxfId="5241" priority="1007" operator="lessThan">
      <formula>0</formula>
    </cfRule>
  </conditionalFormatting>
  <conditionalFormatting sqref="E4:E35">
    <cfRule type="cellIs" dxfId="5240" priority="1006" operator="lessThan">
      <formula>0</formula>
    </cfRule>
  </conditionalFormatting>
  <conditionalFormatting sqref="E4:E35">
    <cfRule type="cellIs" dxfId="5239" priority="1005" operator="lessThan">
      <formula>0</formula>
    </cfRule>
  </conditionalFormatting>
  <conditionalFormatting sqref="E4:E35">
    <cfRule type="cellIs" dxfId="5238" priority="1004" operator="lessThan">
      <formula>0</formula>
    </cfRule>
  </conditionalFormatting>
  <conditionalFormatting sqref="E4:E35">
    <cfRule type="cellIs" dxfId="5237" priority="1003" operator="lessThan">
      <formula>0</formula>
    </cfRule>
  </conditionalFormatting>
  <conditionalFormatting sqref="E4:E35">
    <cfRule type="cellIs" dxfId="5236" priority="1002" operator="lessThan">
      <formula>0</formula>
    </cfRule>
  </conditionalFormatting>
  <conditionalFormatting sqref="E4:E35">
    <cfRule type="cellIs" dxfId="5235" priority="1001" operator="lessThan">
      <formula>0</formula>
    </cfRule>
  </conditionalFormatting>
  <conditionalFormatting sqref="E4:E35">
    <cfRule type="cellIs" dxfId="5234" priority="1000" operator="lessThan">
      <formula>0</formula>
    </cfRule>
  </conditionalFormatting>
  <conditionalFormatting sqref="E4:E35">
    <cfRule type="cellIs" dxfId="5233" priority="999" operator="lessThan">
      <formula>0</formula>
    </cfRule>
  </conditionalFormatting>
  <conditionalFormatting sqref="E4:E35">
    <cfRule type="cellIs" dxfId="5232" priority="998" operator="lessThan">
      <formula>0</formula>
    </cfRule>
  </conditionalFormatting>
  <conditionalFormatting sqref="E4:E35">
    <cfRule type="cellIs" dxfId="5231" priority="997" operator="lessThan">
      <formula>0</formula>
    </cfRule>
  </conditionalFormatting>
  <conditionalFormatting sqref="E4:E35">
    <cfRule type="cellIs" dxfId="5230" priority="996" operator="lessThan">
      <formula>0</formula>
    </cfRule>
  </conditionalFormatting>
  <conditionalFormatting sqref="E4:E35">
    <cfRule type="cellIs" dxfId="5229" priority="995" operator="lessThan">
      <formula>0</formula>
    </cfRule>
  </conditionalFormatting>
  <conditionalFormatting sqref="E4:E35">
    <cfRule type="cellIs" dxfId="5228" priority="994" operator="lessThan">
      <formula>0</formula>
    </cfRule>
  </conditionalFormatting>
  <conditionalFormatting sqref="E4:E35">
    <cfRule type="cellIs" dxfId="5227" priority="993" operator="lessThan">
      <formula>0</formula>
    </cfRule>
  </conditionalFormatting>
  <conditionalFormatting sqref="B6:B29">
    <cfRule type="cellIs" dxfId="5226" priority="992" operator="lessThan">
      <formula>0</formula>
    </cfRule>
  </conditionalFormatting>
  <conditionalFormatting sqref="C6:C29">
    <cfRule type="cellIs" dxfId="5225" priority="991" operator="lessThan">
      <formula>0</formula>
    </cfRule>
  </conditionalFormatting>
  <conditionalFormatting sqref="E6:E35">
    <cfRule type="cellIs" dxfId="5224" priority="990" operator="lessThan">
      <formula>0</formula>
    </cfRule>
  </conditionalFormatting>
  <conditionalFormatting sqref="G6:G29">
    <cfRule type="cellIs" dxfId="5223" priority="989" operator="lessThan">
      <formula>0</formula>
    </cfRule>
  </conditionalFormatting>
  <conditionalFormatting sqref="G18">
    <cfRule type="cellIs" dxfId="5222" priority="988" operator="lessThan">
      <formula>0</formula>
    </cfRule>
  </conditionalFormatting>
  <conditionalFormatting sqref="F6:F29">
    <cfRule type="cellIs" dxfId="5221" priority="987" operator="lessThan">
      <formula>0</formula>
    </cfRule>
  </conditionalFormatting>
  <conditionalFormatting sqref="D13:D35">
    <cfRule type="cellIs" dxfId="5220" priority="986" operator="lessThan">
      <formula>0</formula>
    </cfRule>
  </conditionalFormatting>
  <conditionalFormatting sqref="D13:D35">
    <cfRule type="cellIs" dxfId="5219" priority="985" operator="lessThan">
      <formula>0</formula>
    </cfRule>
  </conditionalFormatting>
  <conditionalFormatting sqref="D13:D35">
    <cfRule type="cellIs" dxfId="5218" priority="984" operator="lessThan">
      <formula>0</formula>
    </cfRule>
  </conditionalFormatting>
  <conditionalFormatting sqref="D13:D35">
    <cfRule type="cellIs" dxfId="5217" priority="983" operator="lessThan">
      <formula>0</formula>
    </cfRule>
  </conditionalFormatting>
  <conditionalFormatting sqref="D13:D35">
    <cfRule type="cellIs" dxfId="5216" priority="982" operator="lessThan">
      <formula>0</formula>
    </cfRule>
  </conditionalFormatting>
  <conditionalFormatting sqref="D13:D35">
    <cfRule type="cellIs" dxfId="5215" priority="981" operator="lessThan">
      <formula>0</formula>
    </cfRule>
  </conditionalFormatting>
  <conditionalFormatting sqref="D13:D35">
    <cfRule type="cellIs" dxfId="5214" priority="980" operator="lessThan">
      <formula>0</formula>
    </cfRule>
  </conditionalFormatting>
  <conditionalFormatting sqref="D23:D35">
    <cfRule type="cellIs" dxfId="5213" priority="979" operator="lessThan">
      <formula>0</formula>
    </cfRule>
  </conditionalFormatting>
  <conditionalFormatting sqref="D13:D35">
    <cfRule type="cellIs" dxfId="5212" priority="978" operator="lessThan">
      <formula>0</formula>
    </cfRule>
  </conditionalFormatting>
  <conditionalFormatting sqref="D13:D35">
    <cfRule type="cellIs" dxfId="5211" priority="977" operator="lessThan">
      <formula>0</formula>
    </cfRule>
  </conditionalFormatting>
  <conditionalFormatting sqref="D13:D35">
    <cfRule type="cellIs" dxfId="5210" priority="976" operator="lessThan">
      <formula>0</formula>
    </cfRule>
  </conditionalFormatting>
  <conditionalFormatting sqref="D13:D35">
    <cfRule type="cellIs" dxfId="5209" priority="975" operator="lessThan">
      <formula>0</formula>
    </cfRule>
  </conditionalFormatting>
  <conditionalFormatting sqref="D13:D35">
    <cfRule type="cellIs" dxfId="5208" priority="974" operator="lessThan">
      <formula>0</formula>
    </cfRule>
  </conditionalFormatting>
  <conditionalFormatting sqref="D13:D35">
    <cfRule type="cellIs" dxfId="5207" priority="973" operator="lessThan">
      <formula>0</formula>
    </cfRule>
  </conditionalFormatting>
  <conditionalFormatting sqref="D13:D35">
    <cfRule type="cellIs" dxfId="5206" priority="972" operator="lessThan">
      <formula>0</formula>
    </cfRule>
  </conditionalFormatting>
  <conditionalFormatting sqref="D23:D35">
    <cfRule type="cellIs" dxfId="5205" priority="971" operator="lessThan">
      <formula>0</formula>
    </cfRule>
  </conditionalFormatting>
  <conditionalFormatting sqref="D13:D35">
    <cfRule type="cellIs" dxfId="5204" priority="970" operator="lessThan">
      <formula>0</formula>
    </cfRule>
  </conditionalFormatting>
  <conditionalFormatting sqref="D13:D35">
    <cfRule type="cellIs" dxfId="5203" priority="969" operator="lessThan">
      <formula>0</formula>
    </cfRule>
  </conditionalFormatting>
  <conditionalFormatting sqref="D13:D35">
    <cfRule type="cellIs" dxfId="5202" priority="968" operator="lessThan">
      <formula>0</formula>
    </cfRule>
  </conditionalFormatting>
  <conditionalFormatting sqref="D13:D35">
    <cfRule type="cellIs" dxfId="5201" priority="967" operator="lessThan">
      <formula>0</formula>
    </cfRule>
  </conditionalFormatting>
  <conditionalFormatting sqref="D13:D35">
    <cfRule type="cellIs" dxfId="5200" priority="966" operator="lessThan">
      <formula>0</formula>
    </cfRule>
  </conditionalFormatting>
  <conditionalFormatting sqref="D13:D35">
    <cfRule type="cellIs" dxfId="5199" priority="965" operator="lessThan">
      <formula>0</formula>
    </cfRule>
  </conditionalFormatting>
  <conditionalFormatting sqref="D13:D35">
    <cfRule type="cellIs" dxfId="5198" priority="964" operator="lessThan">
      <formula>0</formula>
    </cfRule>
  </conditionalFormatting>
  <conditionalFormatting sqref="D13:D35">
    <cfRule type="cellIs" dxfId="5197" priority="963" operator="lessThan">
      <formula>0</formula>
    </cfRule>
  </conditionalFormatting>
  <conditionalFormatting sqref="D13:D35">
    <cfRule type="cellIs" dxfId="5196" priority="962" operator="lessThan">
      <formula>0</formula>
    </cfRule>
  </conditionalFormatting>
  <conditionalFormatting sqref="D23:D35">
    <cfRule type="cellIs" dxfId="5195" priority="961" operator="lessThan">
      <formula>0</formula>
    </cfRule>
  </conditionalFormatting>
  <conditionalFormatting sqref="D13:D35">
    <cfRule type="cellIs" dxfId="5194" priority="960" operator="lessThan">
      <formula>0</formula>
    </cfRule>
  </conditionalFormatting>
  <conditionalFormatting sqref="D13:D35">
    <cfRule type="cellIs" dxfId="5193" priority="959" operator="lessThan">
      <formula>0</formula>
    </cfRule>
  </conditionalFormatting>
  <conditionalFormatting sqref="D13:D35">
    <cfRule type="cellIs" dxfId="5192" priority="958" operator="lessThan">
      <formula>0</formula>
    </cfRule>
  </conditionalFormatting>
  <conditionalFormatting sqref="D13:D35">
    <cfRule type="cellIs" dxfId="5191" priority="957" operator="lessThan">
      <formula>0</formula>
    </cfRule>
  </conditionalFormatting>
  <conditionalFormatting sqref="D13:D35">
    <cfRule type="cellIs" dxfId="5190" priority="956" operator="lessThan">
      <formula>0</formula>
    </cfRule>
  </conditionalFormatting>
  <conditionalFormatting sqref="D13:D35">
    <cfRule type="cellIs" dxfId="5189" priority="955" operator="lessThan">
      <formula>0</formula>
    </cfRule>
  </conditionalFormatting>
  <conditionalFormatting sqref="D13:D35">
    <cfRule type="cellIs" dxfId="5188" priority="954" operator="lessThan">
      <formula>0</formula>
    </cfRule>
  </conditionalFormatting>
  <conditionalFormatting sqref="D13:D35">
    <cfRule type="cellIs" dxfId="5187" priority="953" operator="lessThan">
      <formula>0</formula>
    </cfRule>
  </conditionalFormatting>
  <conditionalFormatting sqref="D13:D35">
    <cfRule type="cellIs" dxfId="5186" priority="952" operator="lessThan">
      <formula>0</formula>
    </cfRule>
  </conditionalFormatting>
  <conditionalFormatting sqref="D13:D35">
    <cfRule type="cellIs" dxfId="5185" priority="951" operator="lessThan">
      <formula>0</formula>
    </cfRule>
  </conditionalFormatting>
  <conditionalFormatting sqref="D23:D35">
    <cfRule type="cellIs" dxfId="5184" priority="950" operator="lessThan">
      <formula>0</formula>
    </cfRule>
  </conditionalFormatting>
  <conditionalFormatting sqref="D13:D35">
    <cfRule type="cellIs" dxfId="5183" priority="949" operator="lessThan">
      <formula>0</formula>
    </cfRule>
  </conditionalFormatting>
  <conditionalFormatting sqref="D13:D35">
    <cfRule type="cellIs" dxfId="5182" priority="948" operator="lessThan">
      <formula>0</formula>
    </cfRule>
  </conditionalFormatting>
  <conditionalFormatting sqref="D13:D35">
    <cfRule type="cellIs" dxfId="5181" priority="947" operator="lessThan">
      <formula>0</formula>
    </cfRule>
  </conditionalFormatting>
  <conditionalFormatting sqref="D13:D35">
    <cfRule type="cellIs" dxfId="5180" priority="946" operator="lessThan">
      <formula>0</formula>
    </cfRule>
  </conditionalFormatting>
  <conditionalFormatting sqref="D13:D35">
    <cfRule type="cellIs" dxfId="5179" priority="945" operator="lessThan">
      <formula>0</formula>
    </cfRule>
  </conditionalFormatting>
  <conditionalFormatting sqref="D13:D35">
    <cfRule type="cellIs" dxfId="5178" priority="944" operator="lessThan">
      <formula>0</formula>
    </cfRule>
  </conditionalFormatting>
  <conditionalFormatting sqref="D13:D35">
    <cfRule type="cellIs" dxfId="5177" priority="943" operator="lessThan">
      <formula>0</formula>
    </cfRule>
  </conditionalFormatting>
  <conditionalFormatting sqref="D23:D35">
    <cfRule type="cellIs" dxfId="5176" priority="942" operator="lessThan">
      <formula>0</formula>
    </cfRule>
  </conditionalFormatting>
  <conditionalFormatting sqref="D13:D35">
    <cfRule type="cellIs" dxfId="5175" priority="941" operator="lessThan">
      <formula>0</formula>
    </cfRule>
  </conditionalFormatting>
  <conditionalFormatting sqref="D13:D35">
    <cfRule type="cellIs" dxfId="5174" priority="940" operator="lessThan">
      <formula>0</formula>
    </cfRule>
  </conditionalFormatting>
  <conditionalFormatting sqref="D13:D35">
    <cfRule type="cellIs" dxfId="5173" priority="939" operator="lessThan">
      <formula>0</formula>
    </cfRule>
  </conditionalFormatting>
  <conditionalFormatting sqref="D13:D35">
    <cfRule type="cellIs" dxfId="5172" priority="938" operator="lessThan">
      <formula>0</formula>
    </cfRule>
  </conditionalFormatting>
  <conditionalFormatting sqref="D13:D35">
    <cfRule type="cellIs" dxfId="5171" priority="937" operator="lessThan">
      <formula>0</formula>
    </cfRule>
  </conditionalFormatting>
  <conditionalFormatting sqref="D13:D35">
    <cfRule type="cellIs" dxfId="5170" priority="936" operator="lessThan">
      <formula>0</formula>
    </cfRule>
  </conditionalFormatting>
  <conditionalFormatting sqref="D13:D35">
    <cfRule type="cellIs" dxfId="5169" priority="935" operator="lessThan">
      <formula>0</formula>
    </cfRule>
  </conditionalFormatting>
  <conditionalFormatting sqref="D13:D35">
    <cfRule type="cellIs" dxfId="5168" priority="934" operator="lessThan">
      <formula>0</formula>
    </cfRule>
  </conditionalFormatting>
  <conditionalFormatting sqref="D13:D35">
    <cfRule type="cellIs" dxfId="5167" priority="933" operator="lessThan">
      <formula>0</formula>
    </cfRule>
  </conditionalFormatting>
  <conditionalFormatting sqref="D13:D35">
    <cfRule type="cellIs" dxfId="5166" priority="932" operator="lessThan">
      <formula>0</formula>
    </cfRule>
  </conditionalFormatting>
  <conditionalFormatting sqref="D13:D35">
    <cfRule type="cellIs" dxfId="5165" priority="931" operator="lessThan">
      <formula>0</formula>
    </cfRule>
  </conditionalFormatting>
  <conditionalFormatting sqref="D13:D35">
    <cfRule type="cellIs" dxfId="5164" priority="930" operator="lessThan">
      <formula>0</formula>
    </cfRule>
  </conditionalFormatting>
  <conditionalFormatting sqref="D13:D35">
    <cfRule type="cellIs" dxfId="5163" priority="929" operator="lessThan">
      <formula>0</formula>
    </cfRule>
  </conditionalFormatting>
  <conditionalFormatting sqref="D13:D35">
    <cfRule type="cellIs" dxfId="5162" priority="928" operator="lessThan">
      <formula>0</formula>
    </cfRule>
  </conditionalFormatting>
  <conditionalFormatting sqref="D13:D35">
    <cfRule type="cellIs" dxfId="5161" priority="927" operator="lessThan">
      <formula>0</formula>
    </cfRule>
  </conditionalFormatting>
  <conditionalFormatting sqref="D13:D35">
    <cfRule type="cellIs" dxfId="5160" priority="926" operator="lessThan">
      <formula>0</formula>
    </cfRule>
  </conditionalFormatting>
  <conditionalFormatting sqref="D13:D35">
    <cfRule type="cellIs" dxfId="5159" priority="925" operator="lessThan">
      <formula>0</formula>
    </cfRule>
  </conditionalFormatting>
  <conditionalFormatting sqref="D13:D35">
    <cfRule type="cellIs" dxfId="5158" priority="924" operator="lessThan">
      <formula>0</formula>
    </cfRule>
  </conditionalFormatting>
  <conditionalFormatting sqref="D13:D35">
    <cfRule type="cellIs" dxfId="5157" priority="923" operator="lessThan">
      <formula>0</formula>
    </cfRule>
  </conditionalFormatting>
  <conditionalFormatting sqref="D13:D35">
    <cfRule type="cellIs" dxfId="5156" priority="922" operator="lessThan">
      <formula>0</formula>
    </cfRule>
  </conditionalFormatting>
  <conditionalFormatting sqref="D13:D35">
    <cfRule type="cellIs" dxfId="5155" priority="921" operator="lessThan">
      <formula>0</formula>
    </cfRule>
  </conditionalFormatting>
  <conditionalFormatting sqref="D13:D35">
    <cfRule type="cellIs" dxfId="5154" priority="920" operator="lessThan">
      <formula>0</formula>
    </cfRule>
  </conditionalFormatting>
  <conditionalFormatting sqref="D13:D35">
    <cfRule type="cellIs" dxfId="5153" priority="919" operator="lessThan">
      <formula>0</formula>
    </cfRule>
  </conditionalFormatting>
  <conditionalFormatting sqref="D13:D35">
    <cfRule type="cellIs" dxfId="5152" priority="918" operator="lessThan">
      <formula>0</formula>
    </cfRule>
  </conditionalFormatting>
  <conditionalFormatting sqref="D13:D35">
    <cfRule type="cellIs" dxfId="5151" priority="917" operator="lessThan">
      <formula>0</formula>
    </cfRule>
  </conditionalFormatting>
  <conditionalFormatting sqref="D13:D35">
    <cfRule type="cellIs" dxfId="5150" priority="916" operator="lessThan">
      <formula>0</formula>
    </cfRule>
  </conditionalFormatting>
  <conditionalFormatting sqref="D13:D35">
    <cfRule type="cellIs" dxfId="5149" priority="915" operator="lessThan">
      <formula>0</formula>
    </cfRule>
  </conditionalFormatting>
  <conditionalFormatting sqref="D13:D35">
    <cfRule type="cellIs" dxfId="5148" priority="914" operator="lessThan">
      <formula>0</formula>
    </cfRule>
  </conditionalFormatting>
  <conditionalFormatting sqref="D13:D35">
    <cfRule type="cellIs" dxfId="5147" priority="913" operator="lessThan">
      <formula>0</formula>
    </cfRule>
  </conditionalFormatting>
  <conditionalFormatting sqref="D13:D35">
    <cfRule type="cellIs" dxfId="5146" priority="912" operator="lessThan">
      <formula>0</formula>
    </cfRule>
  </conditionalFormatting>
  <conditionalFormatting sqref="D13:D35">
    <cfRule type="cellIs" dxfId="5145" priority="911" operator="lessThan">
      <formula>0</formula>
    </cfRule>
  </conditionalFormatting>
  <conditionalFormatting sqref="D13:D35">
    <cfRule type="cellIs" dxfId="5144" priority="910" operator="lessThan">
      <formula>0</formula>
    </cfRule>
  </conditionalFormatting>
  <conditionalFormatting sqref="D13:D35">
    <cfRule type="cellIs" dxfId="5143" priority="909" operator="lessThan">
      <formula>0</formula>
    </cfRule>
  </conditionalFormatting>
  <conditionalFormatting sqref="D13:D35">
    <cfRule type="cellIs" dxfId="5142" priority="908" operator="lessThan">
      <formula>0</formula>
    </cfRule>
  </conditionalFormatting>
  <conditionalFormatting sqref="D13:D35">
    <cfRule type="cellIs" dxfId="5141" priority="907" operator="lessThan">
      <formula>0</formula>
    </cfRule>
  </conditionalFormatting>
  <conditionalFormatting sqref="D13:D35">
    <cfRule type="cellIs" dxfId="5140" priority="906" operator="lessThan">
      <formula>0</formula>
    </cfRule>
  </conditionalFormatting>
  <conditionalFormatting sqref="D13:D35">
    <cfRule type="cellIs" dxfId="5139" priority="905" operator="lessThan">
      <formula>0</formula>
    </cfRule>
  </conditionalFormatting>
  <conditionalFormatting sqref="D13:D35">
    <cfRule type="cellIs" dxfId="5138" priority="904" operator="lessThan">
      <formula>0</formula>
    </cfRule>
  </conditionalFormatting>
  <conditionalFormatting sqref="D13:D35">
    <cfRule type="cellIs" dxfId="5137" priority="903" operator="lessThan">
      <formula>0</formula>
    </cfRule>
  </conditionalFormatting>
  <conditionalFormatting sqref="D13:D35">
    <cfRule type="cellIs" dxfId="5136" priority="902" operator="lessThan">
      <formula>0</formula>
    </cfRule>
  </conditionalFormatting>
  <conditionalFormatting sqref="D13:D35">
    <cfRule type="cellIs" dxfId="5135" priority="901" operator="lessThan">
      <formula>0</formula>
    </cfRule>
  </conditionalFormatting>
  <conditionalFormatting sqref="D13:D35">
    <cfRule type="cellIs" dxfId="5134" priority="900" operator="lessThan">
      <formula>0</formula>
    </cfRule>
  </conditionalFormatting>
  <conditionalFormatting sqref="D13:D35">
    <cfRule type="cellIs" dxfId="5133" priority="899" operator="lessThan">
      <formula>0</formula>
    </cfRule>
  </conditionalFormatting>
  <conditionalFormatting sqref="D13:D35">
    <cfRule type="cellIs" dxfId="5132" priority="898" operator="lessThan">
      <formula>0</formula>
    </cfRule>
  </conditionalFormatting>
  <conditionalFormatting sqref="D13:D35">
    <cfRule type="cellIs" dxfId="5131" priority="897" operator="lessThan">
      <formula>0</formula>
    </cfRule>
  </conditionalFormatting>
  <conditionalFormatting sqref="D13:D35">
    <cfRule type="cellIs" dxfId="5130" priority="896" operator="lessThan">
      <formula>0</formula>
    </cfRule>
  </conditionalFormatting>
  <conditionalFormatting sqref="D13:D35">
    <cfRule type="cellIs" dxfId="5129" priority="895" operator="lessThan">
      <formula>0</formula>
    </cfRule>
  </conditionalFormatting>
  <conditionalFormatting sqref="D23:D35">
    <cfRule type="cellIs" dxfId="5128" priority="894" operator="lessThan">
      <formula>0</formula>
    </cfRule>
  </conditionalFormatting>
  <conditionalFormatting sqref="D13:D35">
    <cfRule type="cellIs" dxfId="5127" priority="893" operator="lessThan">
      <formula>0</formula>
    </cfRule>
  </conditionalFormatting>
  <conditionalFormatting sqref="D13:D35">
    <cfRule type="cellIs" dxfId="5126" priority="892" operator="lessThan">
      <formula>0</formula>
    </cfRule>
  </conditionalFormatting>
  <conditionalFormatting sqref="D13:D35">
    <cfRule type="cellIs" dxfId="5125" priority="891" operator="lessThan">
      <formula>0</formula>
    </cfRule>
  </conditionalFormatting>
  <conditionalFormatting sqref="D13:D35">
    <cfRule type="cellIs" dxfId="5124" priority="890" operator="lessThan">
      <formula>0</formula>
    </cfRule>
  </conditionalFormatting>
  <conditionalFormatting sqref="D13:D35">
    <cfRule type="cellIs" dxfId="5123" priority="889" operator="lessThan">
      <formula>0</formula>
    </cfRule>
  </conditionalFormatting>
  <conditionalFormatting sqref="D13:D35">
    <cfRule type="cellIs" dxfId="5122" priority="888" operator="lessThan">
      <formula>0</formula>
    </cfRule>
  </conditionalFormatting>
  <conditionalFormatting sqref="D13:D35">
    <cfRule type="cellIs" dxfId="5121" priority="887" operator="lessThan">
      <formula>0</formula>
    </cfRule>
  </conditionalFormatting>
  <conditionalFormatting sqref="D13:D35">
    <cfRule type="cellIs" dxfId="5120" priority="886" operator="lessThan">
      <formula>0</formula>
    </cfRule>
  </conditionalFormatting>
  <conditionalFormatting sqref="D13:D35">
    <cfRule type="cellIs" dxfId="5119" priority="885" operator="lessThan">
      <formula>0</formula>
    </cfRule>
  </conditionalFormatting>
  <conditionalFormatting sqref="D13:D35">
    <cfRule type="cellIs" dxfId="5118" priority="884" operator="lessThan">
      <formula>0</formula>
    </cfRule>
  </conditionalFormatting>
  <conditionalFormatting sqref="D13:D35">
    <cfRule type="cellIs" dxfId="5117" priority="883" operator="lessThan">
      <formula>0</formula>
    </cfRule>
  </conditionalFormatting>
  <conditionalFormatting sqref="D13:D35">
    <cfRule type="cellIs" dxfId="5116" priority="882" operator="lessThan">
      <formula>0</formula>
    </cfRule>
  </conditionalFormatting>
  <conditionalFormatting sqref="D13:D35">
    <cfRule type="cellIs" dxfId="5115" priority="881" operator="lessThan">
      <formula>0</formula>
    </cfRule>
  </conditionalFormatting>
  <conditionalFormatting sqref="D13:D35">
    <cfRule type="cellIs" dxfId="5114" priority="880" operator="lessThan">
      <formula>0</formula>
    </cfRule>
  </conditionalFormatting>
  <conditionalFormatting sqref="D16:D35">
    <cfRule type="cellIs" dxfId="5113" priority="879" operator="lessThan">
      <formula>0</formula>
    </cfRule>
  </conditionalFormatting>
  <conditionalFormatting sqref="D16:D35">
    <cfRule type="cellIs" dxfId="5112" priority="878" operator="lessThan">
      <formula>0</formula>
    </cfRule>
  </conditionalFormatting>
  <conditionalFormatting sqref="D23:D35">
    <cfRule type="cellIs" dxfId="5111" priority="877" operator="lessThan">
      <formula>0</formula>
    </cfRule>
  </conditionalFormatting>
  <conditionalFormatting sqref="D13:D35">
    <cfRule type="cellIs" dxfId="5110" priority="876" operator="lessThan">
      <formula>0</formula>
    </cfRule>
  </conditionalFormatting>
  <conditionalFormatting sqref="D13:D35">
    <cfRule type="cellIs" dxfId="5109" priority="875" operator="lessThan">
      <formula>0</formula>
    </cfRule>
  </conditionalFormatting>
  <conditionalFormatting sqref="D13:D35">
    <cfRule type="cellIs" dxfId="5108" priority="874" operator="lessThan">
      <formula>0</formula>
    </cfRule>
  </conditionalFormatting>
  <conditionalFormatting sqref="D13:D35">
    <cfRule type="cellIs" dxfId="5107" priority="873" operator="lessThan">
      <formula>0</formula>
    </cfRule>
  </conditionalFormatting>
  <conditionalFormatting sqref="D13:D35">
    <cfRule type="cellIs" dxfId="5106" priority="872" operator="lessThan">
      <formula>0</formula>
    </cfRule>
  </conditionalFormatting>
  <conditionalFormatting sqref="D13:D35">
    <cfRule type="cellIs" dxfId="5105" priority="871" operator="lessThan">
      <formula>0</formula>
    </cfRule>
  </conditionalFormatting>
  <conditionalFormatting sqref="D13:D35">
    <cfRule type="cellIs" dxfId="5104" priority="870" operator="lessThan">
      <formula>0</formula>
    </cfRule>
  </conditionalFormatting>
  <conditionalFormatting sqref="D23:D35">
    <cfRule type="cellIs" dxfId="5103" priority="869" operator="lessThan">
      <formula>0</formula>
    </cfRule>
  </conditionalFormatting>
  <conditionalFormatting sqref="D13:D35">
    <cfRule type="cellIs" dxfId="5102" priority="868" operator="lessThan">
      <formula>0</formula>
    </cfRule>
  </conditionalFormatting>
  <conditionalFormatting sqref="D13:D35">
    <cfRule type="cellIs" dxfId="5101" priority="867" operator="lessThan">
      <formula>0</formula>
    </cfRule>
  </conditionalFormatting>
  <conditionalFormatting sqref="D13:D35">
    <cfRule type="cellIs" dxfId="5100" priority="866" operator="lessThan">
      <formula>0</formula>
    </cfRule>
  </conditionalFormatting>
  <conditionalFormatting sqref="D13:D35">
    <cfRule type="cellIs" dxfId="5099" priority="865" operator="lessThan">
      <formula>0</formula>
    </cfRule>
  </conditionalFormatting>
  <conditionalFormatting sqref="D13:D35">
    <cfRule type="cellIs" dxfId="5098" priority="864" operator="lessThan">
      <formula>0</formula>
    </cfRule>
  </conditionalFormatting>
  <conditionalFormatting sqref="D13:D35">
    <cfRule type="cellIs" dxfId="5097" priority="863" operator="lessThan">
      <formula>0</formula>
    </cfRule>
  </conditionalFormatting>
  <conditionalFormatting sqref="D13:D35">
    <cfRule type="cellIs" dxfId="5096" priority="862" operator="lessThan">
      <formula>0</formula>
    </cfRule>
  </conditionalFormatting>
  <conditionalFormatting sqref="D13:D35">
    <cfRule type="cellIs" dxfId="5095" priority="861" operator="lessThan">
      <formula>0</formula>
    </cfRule>
  </conditionalFormatting>
  <conditionalFormatting sqref="D13:D35">
    <cfRule type="cellIs" dxfId="5094" priority="860" operator="lessThan">
      <formula>0</formula>
    </cfRule>
  </conditionalFormatting>
  <conditionalFormatting sqref="D13:D35">
    <cfRule type="cellIs" dxfId="5093" priority="859" operator="lessThan">
      <formula>0</formula>
    </cfRule>
  </conditionalFormatting>
  <conditionalFormatting sqref="D13:D35">
    <cfRule type="cellIs" dxfId="5092" priority="858" operator="lessThan">
      <formula>0</formula>
    </cfRule>
  </conditionalFormatting>
  <conditionalFormatting sqref="D13:D35">
    <cfRule type="cellIs" dxfId="5091" priority="857" operator="lessThan">
      <formula>0</formula>
    </cfRule>
  </conditionalFormatting>
  <conditionalFormatting sqref="D13:D35">
    <cfRule type="cellIs" dxfId="5090" priority="856" operator="lessThan">
      <formula>0</formula>
    </cfRule>
  </conditionalFormatting>
  <conditionalFormatting sqref="D13:D35">
    <cfRule type="cellIs" dxfId="5089" priority="855" operator="lessThan">
      <formula>0</formula>
    </cfRule>
  </conditionalFormatting>
  <conditionalFormatting sqref="D13:D35">
    <cfRule type="cellIs" dxfId="5088" priority="854" operator="lessThan">
      <formula>0</formula>
    </cfRule>
  </conditionalFormatting>
  <conditionalFormatting sqref="D13:D35">
    <cfRule type="cellIs" dxfId="5087" priority="853" operator="lessThan">
      <formula>0</formula>
    </cfRule>
  </conditionalFormatting>
  <conditionalFormatting sqref="D13:D35">
    <cfRule type="cellIs" dxfId="5086" priority="852" operator="lessThan">
      <formula>0</formula>
    </cfRule>
  </conditionalFormatting>
  <conditionalFormatting sqref="D13:D35">
    <cfRule type="cellIs" dxfId="5085" priority="851" operator="lessThan">
      <formula>0</formula>
    </cfRule>
  </conditionalFormatting>
  <conditionalFormatting sqref="D13:D35">
    <cfRule type="cellIs" dxfId="5084" priority="850" operator="lessThan">
      <formula>0</formula>
    </cfRule>
  </conditionalFormatting>
  <conditionalFormatting sqref="D13:D35">
    <cfRule type="cellIs" dxfId="5083" priority="849" operator="lessThan">
      <formula>0</formula>
    </cfRule>
  </conditionalFormatting>
  <conditionalFormatting sqref="D13:D35">
    <cfRule type="cellIs" dxfId="5082" priority="848" operator="lessThan">
      <formula>0</formula>
    </cfRule>
  </conditionalFormatting>
  <conditionalFormatting sqref="D13:D35">
    <cfRule type="cellIs" dxfId="5081" priority="847" operator="lessThan">
      <formula>0</formula>
    </cfRule>
  </conditionalFormatting>
  <conditionalFormatting sqref="D13:D35">
    <cfRule type="cellIs" dxfId="5080" priority="846" operator="lessThan">
      <formula>0</formula>
    </cfRule>
  </conditionalFormatting>
  <conditionalFormatting sqref="D13:D35">
    <cfRule type="cellIs" dxfId="5079" priority="845" operator="lessThan">
      <formula>0</formula>
    </cfRule>
  </conditionalFormatting>
  <conditionalFormatting sqref="D13:D35">
    <cfRule type="cellIs" dxfId="5078" priority="844" operator="lessThan">
      <formula>0</formula>
    </cfRule>
  </conditionalFormatting>
  <conditionalFormatting sqref="D13:D35">
    <cfRule type="cellIs" dxfId="5077" priority="843" operator="lessThan">
      <formula>0</formula>
    </cfRule>
  </conditionalFormatting>
  <conditionalFormatting sqref="D13:D35">
    <cfRule type="cellIs" dxfId="5076" priority="842" operator="lessThan">
      <formula>0</formula>
    </cfRule>
  </conditionalFormatting>
  <conditionalFormatting sqref="D13:D35">
    <cfRule type="cellIs" dxfId="5075" priority="841" operator="lessThan">
      <formula>0</formula>
    </cfRule>
  </conditionalFormatting>
  <conditionalFormatting sqref="D13:D35">
    <cfRule type="cellIs" dxfId="5074" priority="840" operator="lessThan">
      <formula>0</formula>
    </cfRule>
  </conditionalFormatting>
  <conditionalFormatting sqref="D13:D35">
    <cfRule type="cellIs" dxfId="5073" priority="839" operator="lessThan">
      <formula>0</formula>
    </cfRule>
  </conditionalFormatting>
  <conditionalFormatting sqref="D13:D35">
    <cfRule type="cellIs" dxfId="5072" priority="838" operator="lessThan">
      <formula>0</formula>
    </cfRule>
  </conditionalFormatting>
  <conditionalFormatting sqref="D13:D35">
    <cfRule type="cellIs" dxfId="5071" priority="837" operator="lessThan">
      <formula>0</formula>
    </cfRule>
  </conditionalFormatting>
  <conditionalFormatting sqref="D13:D35">
    <cfRule type="cellIs" dxfId="5070" priority="836" operator="lessThan">
      <formula>0</formula>
    </cfRule>
  </conditionalFormatting>
  <conditionalFormatting sqref="D13:D35">
    <cfRule type="cellIs" dxfId="5069" priority="835" operator="lessThan">
      <formula>0</formula>
    </cfRule>
  </conditionalFormatting>
  <conditionalFormatting sqref="D13:D35">
    <cfRule type="cellIs" dxfId="5068" priority="834" operator="lessThan">
      <formula>0</formula>
    </cfRule>
  </conditionalFormatting>
  <conditionalFormatting sqref="D13:D35">
    <cfRule type="cellIs" dxfId="5067" priority="833" operator="lessThan">
      <formula>0</formula>
    </cfRule>
  </conditionalFormatting>
  <conditionalFormatting sqref="D13:D35">
    <cfRule type="cellIs" dxfId="5066" priority="832" operator="lessThan">
      <formula>0</formula>
    </cfRule>
  </conditionalFormatting>
  <conditionalFormatting sqref="D13:D35">
    <cfRule type="cellIs" dxfId="5065" priority="831" operator="lessThan">
      <formula>0</formula>
    </cfRule>
  </conditionalFormatting>
  <conditionalFormatting sqref="D13:D35">
    <cfRule type="cellIs" dxfId="5064" priority="830" operator="lessThan">
      <formula>0</formula>
    </cfRule>
  </conditionalFormatting>
  <conditionalFormatting sqref="D13:D35">
    <cfRule type="cellIs" dxfId="5063" priority="829" operator="lessThan">
      <formula>0</formula>
    </cfRule>
  </conditionalFormatting>
  <conditionalFormatting sqref="D13:D35">
    <cfRule type="cellIs" dxfId="5062" priority="828" operator="lessThan">
      <formula>0</formula>
    </cfRule>
  </conditionalFormatting>
  <conditionalFormatting sqref="D13:D35">
    <cfRule type="cellIs" dxfId="5061" priority="827" operator="lessThan">
      <formula>0</formula>
    </cfRule>
  </conditionalFormatting>
  <conditionalFormatting sqref="D13:D35">
    <cfRule type="cellIs" dxfId="5060" priority="826" operator="lessThan">
      <formula>0</formula>
    </cfRule>
  </conditionalFormatting>
  <conditionalFormatting sqref="D13:D35">
    <cfRule type="cellIs" dxfId="5059" priority="825" operator="lessThan">
      <formula>0</formula>
    </cfRule>
  </conditionalFormatting>
  <conditionalFormatting sqref="D13:D35">
    <cfRule type="cellIs" dxfId="5058" priority="824" operator="lessThan">
      <formula>0</formula>
    </cfRule>
  </conditionalFormatting>
  <conditionalFormatting sqref="D13:D35">
    <cfRule type="cellIs" dxfId="5057" priority="823" operator="lessThan">
      <formula>0</formula>
    </cfRule>
  </conditionalFormatting>
  <conditionalFormatting sqref="D13:D35">
    <cfRule type="cellIs" dxfId="5056" priority="822" operator="lessThan">
      <formula>0</formula>
    </cfRule>
  </conditionalFormatting>
  <conditionalFormatting sqref="D13:D35">
    <cfRule type="cellIs" dxfId="5055" priority="821" operator="lessThan">
      <formula>0</formula>
    </cfRule>
  </conditionalFormatting>
  <conditionalFormatting sqref="D13:D35">
    <cfRule type="cellIs" dxfId="5054" priority="820" operator="lessThan">
      <formula>0</formula>
    </cfRule>
  </conditionalFormatting>
  <conditionalFormatting sqref="D13:D35">
    <cfRule type="cellIs" dxfId="5053" priority="819" operator="lessThan">
      <formula>0</formula>
    </cfRule>
  </conditionalFormatting>
  <conditionalFormatting sqref="D13:D35">
    <cfRule type="cellIs" dxfId="5052" priority="818" operator="lessThan">
      <formula>0</formula>
    </cfRule>
  </conditionalFormatting>
  <conditionalFormatting sqref="D13:D35">
    <cfRule type="cellIs" dxfId="5051" priority="817" operator="lessThan">
      <formula>0</formula>
    </cfRule>
  </conditionalFormatting>
  <conditionalFormatting sqref="D13:D35">
    <cfRule type="cellIs" dxfId="5050" priority="816" operator="lessThan">
      <formula>0</formula>
    </cfRule>
  </conditionalFormatting>
  <conditionalFormatting sqref="D13:D35">
    <cfRule type="cellIs" dxfId="5049" priority="815" operator="lessThan">
      <formula>0</formula>
    </cfRule>
  </conditionalFormatting>
  <conditionalFormatting sqref="D13:D35">
    <cfRule type="cellIs" dxfId="5048" priority="814" operator="lessThan">
      <formula>0</formula>
    </cfRule>
  </conditionalFormatting>
  <conditionalFormatting sqref="D13:D35">
    <cfRule type="cellIs" dxfId="5047" priority="813" operator="lessThan">
      <formula>0</formula>
    </cfRule>
  </conditionalFormatting>
  <conditionalFormatting sqref="D13:D35">
    <cfRule type="cellIs" dxfId="5046" priority="812" operator="lessThan">
      <formula>0</formula>
    </cfRule>
  </conditionalFormatting>
  <conditionalFormatting sqref="D13:D35">
    <cfRule type="cellIs" dxfId="5045" priority="811" operator="lessThan">
      <formula>0</formula>
    </cfRule>
  </conditionalFormatting>
  <conditionalFormatting sqref="D13:D35">
    <cfRule type="cellIs" dxfId="5044" priority="810" operator="lessThan">
      <formula>0</formula>
    </cfRule>
  </conditionalFormatting>
  <conditionalFormatting sqref="D13:D35">
    <cfRule type="cellIs" dxfId="5043" priority="809" operator="lessThan">
      <formula>0</formula>
    </cfRule>
  </conditionalFormatting>
  <conditionalFormatting sqref="D13:D35">
    <cfRule type="cellIs" dxfId="5042" priority="808" operator="lessThan">
      <formula>0</formula>
    </cfRule>
  </conditionalFormatting>
  <conditionalFormatting sqref="D13:D35">
    <cfRule type="cellIs" dxfId="5041" priority="807" operator="lessThan">
      <formula>0</formula>
    </cfRule>
  </conditionalFormatting>
  <conditionalFormatting sqref="D13:D35">
    <cfRule type="cellIs" dxfId="5040" priority="806" operator="lessThan">
      <formula>0</formula>
    </cfRule>
  </conditionalFormatting>
  <conditionalFormatting sqref="D13:D35">
    <cfRule type="cellIs" dxfId="5039" priority="805" operator="lessThan">
      <formula>0</formula>
    </cfRule>
  </conditionalFormatting>
  <conditionalFormatting sqref="D13:D35">
    <cfRule type="cellIs" dxfId="5038" priority="804" operator="lessThan">
      <formula>0</formula>
    </cfRule>
  </conditionalFormatting>
  <conditionalFormatting sqref="D13:D35">
    <cfRule type="cellIs" dxfId="5037" priority="803" operator="lessThan">
      <formula>0</formula>
    </cfRule>
  </conditionalFormatting>
  <conditionalFormatting sqref="D13:D35">
    <cfRule type="cellIs" dxfId="5036" priority="802" operator="lessThan">
      <formula>0</formula>
    </cfRule>
  </conditionalFormatting>
  <conditionalFormatting sqref="D13:D35">
    <cfRule type="cellIs" dxfId="5035" priority="801" operator="lessThan">
      <formula>0</formula>
    </cfRule>
  </conditionalFormatting>
  <conditionalFormatting sqref="D13:D35">
    <cfRule type="cellIs" dxfId="5034" priority="800" operator="lessThan">
      <formula>0</formula>
    </cfRule>
  </conditionalFormatting>
  <conditionalFormatting sqref="D13:D35">
    <cfRule type="cellIs" dxfId="5033" priority="799" operator="lessThan">
      <formula>0</formula>
    </cfRule>
  </conditionalFormatting>
  <conditionalFormatting sqref="D13:D35">
    <cfRule type="cellIs" dxfId="5032" priority="798" operator="lessThan">
      <formula>0</formula>
    </cfRule>
  </conditionalFormatting>
  <conditionalFormatting sqref="D13:D35">
    <cfRule type="cellIs" dxfId="5031" priority="797" operator="lessThan">
      <formula>0</formula>
    </cfRule>
  </conditionalFormatting>
  <conditionalFormatting sqref="D13:D35">
    <cfRule type="cellIs" dxfId="5030" priority="796" operator="lessThan">
      <formula>0</formula>
    </cfRule>
  </conditionalFormatting>
  <conditionalFormatting sqref="D13:D35">
    <cfRule type="cellIs" dxfId="5029" priority="795" operator="lessThan">
      <formula>0</formula>
    </cfRule>
  </conditionalFormatting>
  <conditionalFormatting sqref="D13:D35">
    <cfRule type="cellIs" dxfId="5028" priority="794" operator="lessThan">
      <formula>0</formula>
    </cfRule>
  </conditionalFormatting>
  <conditionalFormatting sqref="D13:D35">
    <cfRule type="cellIs" dxfId="5027" priority="793" operator="lessThan">
      <formula>0</formula>
    </cfRule>
  </conditionalFormatting>
  <conditionalFormatting sqref="D13:D35">
    <cfRule type="cellIs" dxfId="5026" priority="792" operator="lessThan">
      <formula>0</formula>
    </cfRule>
  </conditionalFormatting>
  <conditionalFormatting sqref="D13:D35">
    <cfRule type="cellIs" dxfId="5025" priority="791" operator="lessThan">
      <formula>0</formula>
    </cfRule>
  </conditionalFormatting>
  <conditionalFormatting sqref="D13:D35">
    <cfRule type="cellIs" dxfId="5024" priority="790" operator="lessThan">
      <formula>0</formula>
    </cfRule>
  </conditionalFormatting>
  <conditionalFormatting sqref="D13:D35">
    <cfRule type="cellIs" dxfId="5023" priority="789" operator="lessThan">
      <formula>0</formula>
    </cfRule>
  </conditionalFormatting>
  <conditionalFormatting sqref="D13:D35">
    <cfRule type="cellIs" dxfId="5022" priority="788" operator="lessThan">
      <formula>0</formula>
    </cfRule>
  </conditionalFormatting>
  <conditionalFormatting sqref="D13:D35">
    <cfRule type="cellIs" dxfId="5021" priority="787" operator="lessThan">
      <formula>0</formula>
    </cfRule>
  </conditionalFormatting>
  <conditionalFormatting sqref="D13:D35">
    <cfRule type="cellIs" dxfId="5020" priority="786" operator="lessThan">
      <formula>0</formula>
    </cfRule>
  </conditionalFormatting>
  <conditionalFormatting sqref="D13:D35">
    <cfRule type="cellIs" dxfId="5019" priority="785" operator="lessThan">
      <formula>0</formula>
    </cfRule>
  </conditionalFormatting>
  <conditionalFormatting sqref="D13:D35">
    <cfRule type="cellIs" dxfId="5018" priority="784" operator="lessThan">
      <formula>0</formula>
    </cfRule>
  </conditionalFormatting>
  <conditionalFormatting sqref="D13:D35">
    <cfRule type="cellIs" dxfId="5017" priority="783" operator="lessThan">
      <formula>0</formula>
    </cfRule>
  </conditionalFormatting>
  <conditionalFormatting sqref="D13:D35">
    <cfRule type="cellIs" dxfId="5016" priority="782" operator="lessThan">
      <formula>0</formula>
    </cfRule>
  </conditionalFormatting>
  <conditionalFormatting sqref="D13:D35">
    <cfRule type="cellIs" dxfId="5015" priority="781" operator="lessThan">
      <formula>0</formula>
    </cfRule>
  </conditionalFormatting>
  <conditionalFormatting sqref="D13:D35">
    <cfRule type="cellIs" dxfId="5014" priority="780" operator="lessThan">
      <formula>0</formula>
    </cfRule>
  </conditionalFormatting>
  <conditionalFormatting sqref="D13:D35">
    <cfRule type="cellIs" dxfId="5013" priority="779" operator="lessThan">
      <formula>0</formula>
    </cfRule>
  </conditionalFormatting>
  <conditionalFormatting sqref="D13:D35">
    <cfRule type="cellIs" dxfId="5012" priority="778" operator="lessThan">
      <formula>0</formula>
    </cfRule>
  </conditionalFormatting>
  <conditionalFormatting sqref="D13:D35">
    <cfRule type="cellIs" dxfId="5011" priority="777" operator="lessThan">
      <formula>0</formula>
    </cfRule>
  </conditionalFormatting>
  <conditionalFormatting sqref="D13:D35">
    <cfRule type="cellIs" dxfId="5010" priority="776" operator="lessThan">
      <formula>0</formula>
    </cfRule>
  </conditionalFormatting>
  <conditionalFormatting sqref="D13:D35">
    <cfRule type="cellIs" dxfId="5009" priority="775" operator="lessThan">
      <formula>0</formula>
    </cfRule>
  </conditionalFormatting>
  <conditionalFormatting sqref="D13:D35">
    <cfRule type="cellIs" dxfId="5008" priority="774" operator="lessThan">
      <formula>0</formula>
    </cfRule>
  </conditionalFormatting>
  <conditionalFormatting sqref="D13:D35">
    <cfRule type="cellIs" dxfId="5007" priority="773" operator="lessThan">
      <formula>0</formula>
    </cfRule>
  </conditionalFormatting>
  <conditionalFormatting sqref="D13:D35">
    <cfRule type="cellIs" dxfId="5006" priority="772" operator="lessThan">
      <formula>0</formula>
    </cfRule>
  </conditionalFormatting>
  <conditionalFormatting sqref="D13:D35">
    <cfRule type="cellIs" dxfId="5005" priority="771" operator="lessThan">
      <formula>0</formula>
    </cfRule>
  </conditionalFormatting>
  <conditionalFormatting sqref="D13:D35">
    <cfRule type="cellIs" dxfId="5004" priority="770" operator="lessThan">
      <formula>0</formula>
    </cfRule>
  </conditionalFormatting>
  <conditionalFormatting sqref="D13:D35">
    <cfRule type="cellIs" dxfId="5003" priority="769" operator="lessThan">
      <formula>0</formula>
    </cfRule>
  </conditionalFormatting>
  <conditionalFormatting sqref="D13:D35">
    <cfRule type="cellIs" dxfId="5002" priority="768" operator="lessThan">
      <formula>0</formula>
    </cfRule>
  </conditionalFormatting>
  <conditionalFormatting sqref="D13:D35">
    <cfRule type="cellIs" dxfId="5001" priority="767" operator="lessThan">
      <formula>0</formula>
    </cfRule>
  </conditionalFormatting>
  <conditionalFormatting sqref="D13:D35">
    <cfRule type="cellIs" dxfId="5000" priority="766" operator="lessThan">
      <formula>0</formula>
    </cfRule>
  </conditionalFormatting>
  <conditionalFormatting sqref="D13:D35">
    <cfRule type="cellIs" dxfId="4999" priority="765" operator="lessThan">
      <formula>0</formula>
    </cfRule>
  </conditionalFormatting>
  <conditionalFormatting sqref="D13:D35">
    <cfRule type="cellIs" dxfId="4998" priority="764" operator="lessThan">
      <formula>0</formula>
    </cfRule>
  </conditionalFormatting>
  <conditionalFormatting sqref="D13:D35">
    <cfRule type="cellIs" dxfId="4997" priority="763" operator="lessThan">
      <formula>0</formula>
    </cfRule>
  </conditionalFormatting>
  <conditionalFormatting sqref="D13:D35">
    <cfRule type="cellIs" dxfId="4996" priority="762" operator="lessThan">
      <formula>0</formula>
    </cfRule>
  </conditionalFormatting>
  <conditionalFormatting sqref="D13:D35">
    <cfRule type="cellIs" dxfId="4995" priority="761" operator="lessThan">
      <formula>0</formula>
    </cfRule>
  </conditionalFormatting>
  <conditionalFormatting sqref="D13:D35">
    <cfRule type="cellIs" dxfId="4994" priority="760" operator="lessThan">
      <formula>0</formula>
    </cfRule>
  </conditionalFormatting>
  <conditionalFormatting sqref="D13:D35">
    <cfRule type="cellIs" dxfId="4993" priority="759" operator="lessThan">
      <formula>0</formula>
    </cfRule>
  </conditionalFormatting>
  <conditionalFormatting sqref="D13:D35">
    <cfRule type="cellIs" dxfId="4992" priority="758" operator="lessThan">
      <formula>0</formula>
    </cfRule>
  </conditionalFormatting>
  <conditionalFormatting sqref="D13:D35">
    <cfRule type="cellIs" dxfId="4991" priority="757" operator="lessThan">
      <formula>0</formula>
    </cfRule>
  </conditionalFormatting>
  <conditionalFormatting sqref="D13:D35">
    <cfRule type="cellIs" dxfId="4990" priority="756" operator="lessThan">
      <formula>0</formula>
    </cfRule>
  </conditionalFormatting>
  <conditionalFormatting sqref="D13:D35">
    <cfRule type="cellIs" dxfId="4989" priority="755" operator="lessThan">
      <formula>0</formula>
    </cfRule>
  </conditionalFormatting>
  <conditionalFormatting sqref="D13:D35">
    <cfRule type="cellIs" dxfId="4988" priority="754" operator="lessThan">
      <formula>0</formula>
    </cfRule>
  </conditionalFormatting>
  <conditionalFormatting sqref="D13:D35">
    <cfRule type="cellIs" dxfId="4987" priority="753" operator="lessThan">
      <formula>0</formula>
    </cfRule>
  </conditionalFormatting>
  <conditionalFormatting sqref="D13:D35">
    <cfRule type="cellIs" dxfId="4986" priority="752" operator="lessThan">
      <formula>0</formula>
    </cfRule>
  </conditionalFormatting>
  <conditionalFormatting sqref="D13:D35">
    <cfRule type="cellIs" dxfId="4985" priority="751" operator="lessThan">
      <formula>0</formula>
    </cfRule>
  </conditionalFormatting>
  <conditionalFormatting sqref="D13:D35">
    <cfRule type="cellIs" dxfId="4984" priority="750" operator="lessThan">
      <formula>0</formula>
    </cfRule>
  </conditionalFormatting>
  <conditionalFormatting sqref="D13:D35">
    <cfRule type="cellIs" dxfId="4983" priority="749" operator="lessThan">
      <formula>0</formula>
    </cfRule>
  </conditionalFormatting>
  <conditionalFormatting sqref="D13:D35">
    <cfRule type="cellIs" dxfId="4982" priority="748" operator="lessThan">
      <formula>0</formula>
    </cfRule>
  </conditionalFormatting>
  <conditionalFormatting sqref="D13:D35">
    <cfRule type="cellIs" dxfId="4981" priority="747" operator="lessThan">
      <formula>0</formula>
    </cfRule>
  </conditionalFormatting>
  <conditionalFormatting sqref="D13:D35">
    <cfRule type="cellIs" dxfId="4980" priority="746" operator="lessThan">
      <formula>0</formula>
    </cfRule>
  </conditionalFormatting>
  <conditionalFormatting sqref="D16:D35">
    <cfRule type="cellIs" dxfId="4979" priority="745" operator="lessThan">
      <formula>0</formula>
    </cfRule>
  </conditionalFormatting>
  <conditionalFormatting sqref="D16:D35">
    <cfRule type="cellIs" dxfId="4978" priority="744" operator="lessThan">
      <formula>0</formula>
    </cfRule>
  </conditionalFormatting>
  <conditionalFormatting sqref="D16:D35">
    <cfRule type="cellIs" dxfId="4977" priority="743" operator="lessThan">
      <formula>0</formula>
    </cfRule>
  </conditionalFormatting>
  <conditionalFormatting sqref="D16:D35">
    <cfRule type="cellIs" dxfId="4976" priority="742" operator="lessThan">
      <formula>0</formula>
    </cfRule>
  </conditionalFormatting>
  <conditionalFormatting sqref="D16:D35">
    <cfRule type="cellIs" dxfId="4975" priority="741" operator="lessThan">
      <formula>0</formula>
    </cfRule>
  </conditionalFormatting>
  <conditionalFormatting sqref="D23:D35">
    <cfRule type="cellIs" dxfId="4974" priority="740" operator="lessThan">
      <formula>0</formula>
    </cfRule>
  </conditionalFormatting>
  <conditionalFormatting sqref="D29">
    <cfRule type="cellIs" dxfId="4973" priority="739" operator="lessThan">
      <formula>0</formula>
    </cfRule>
  </conditionalFormatting>
  <conditionalFormatting sqref="D13:D35">
    <cfRule type="cellIs" dxfId="4972" priority="738" operator="lessThan">
      <formula>0</formula>
    </cfRule>
  </conditionalFormatting>
  <conditionalFormatting sqref="D13:D35">
    <cfRule type="cellIs" dxfId="4971" priority="737" operator="lessThan">
      <formula>0</formula>
    </cfRule>
  </conditionalFormatting>
  <conditionalFormatting sqref="D13:D35">
    <cfRule type="cellIs" dxfId="4970" priority="736" operator="lessThan">
      <formula>0</formula>
    </cfRule>
  </conditionalFormatting>
  <conditionalFormatting sqref="D13:D35">
    <cfRule type="cellIs" dxfId="4969" priority="735" operator="lessThan">
      <formula>0</formula>
    </cfRule>
  </conditionalFormatting>
  <conditionalFormatting sqref="D13:D35">
    <cfRule type="cellIs" dxfId="4968" priority="734" operator="lessThan">
      <formula>0</formula>
    </cfRule>
  </conditionalFormatting>
  <conditionalFormatting sqref="D13:D35">
    <cfRule type="cellIs" dxfId="4967" priority="733" operator="lessThan">
      <formula>0</formula>
    </cfRule>
  </conditionalFormatting>
  <conditionalFormatting sqref="D23:D35">
    <cfRule type="cellIs" dxfId="4966" priority="732" operator="lessThan">
      <formula>0</formula>
    </cfRule>
  </conditionalFormatting>
  <conditionalFormatting sqref="D29">
    <cfRule type="cellIs" dxfId="4965" priority="731" operator="lessThan">
      <formula>0</formula>
    </cfRule>
  </conditionalFormatting>
  <conditionalFormatting sqref="D13:D35">
    <cfRule type="cellIs" dxfId="4964" priority="730" operator="lessThan">
      <formula>0</formula>
    </cfRule>
  </conditionalFormatting>
  <conditionalFormatting sqref="D13:D35">
    <cfRule type="cellIs" dxfId="4963" priority="729" operator="lessThan">
      <formula>0</formula>
    </cfRule>
  </conditionalFormatting>
  <conditionalFormatting sqref="D13:D35">
    <cfRule type="cellIs" dxfId="4962" priority="728" operator="lessThan">
      <formula>0</formula>
    </cfRule>
  </conditionalFormatting>
  <conditionalFormatting sqref="D13:D35">
    <cfRule type="cellIs" dxfId="4961" priority="727" operator="lessThan">
      <formula>0</formula>
    </cfRule>
  </conditionalFormatting>
  <conditionalFormatting sqref="D13:D35">
    <cfRule type="cellIs" dxfId="4960" priority="726" operator="lessThan">
      <formula>0</formula>
    </cfRule>
  </conditionalFormatting>
  <conditionalFormatting sqref="D13:D35">
    <cfRule type="cellIs" dxfId="4959" priority="725" operator="lessThan">
      <formula>0</formula>
    </cfRule>
  </conditionalFormatting>
  <conditionalFormatting sqref="D13:D35">
    <cfRule type="cellIs" dxfId="4958" priority="724" operator="lessThan">
      <formula>0</formula>
    </cfRule>
  </conditionalFormatting>
  <conditionalFormatting sqref="D13:D35">
    <cfRule type="cellIs" dxfId="4957" priority="723" operator="lessThan">
      <formula>0</formula>
    </cfRule>
  </conditionalFormatting>
  <conditionalFormatting sqref="D23:D35">
    <cfRule type="cellIs" dxfId="4956" priority="722" operator="lessThan">
      <formula>0</formula>
    </cfRule>
  </conditionalFormatting>
  <conditionalFormatting sqref="D29">
    <cfRule type="cellIs" dxfId="4955" priority="721" operator="lessThan">
      <formula>0</formula>
    </cfRule>
  </conditionalFormatting>
  <conditionalFormatting sqref="D13:D35">
    <cfRule type="cellIs" dxfId="4954" priority="720" operator="lessThan">
      <formula>0</formula>
    </cfRule>
  </conditionalFormatting>
  <conditionalFormatting sqref="D13:D35">
    <cfRule type="cellIs" dxfId="4953" priority="719" operator="lessThan">
      <formula>0</formula>
    </cfRule>
  </conditionalFormatting>
  <conditionalFormatting sqref="D13:D35">
    <cfRule type="cellIs" dxfId="4952" priority="718" operator="lessThan">
      <formula>0</formula>
    </cfRule>
  </conditionalFormatting>
  <conditionalFormatting sqref="D16:D35">
    <cfRule type="cellIs" dxfId="4951" priority="717" operator="lessThan">
      <formula>0</formula>
    </cfRule>
  </conditionalFormatting>
  <conditionalFormatting sqref="D16:D35">
    <cfRule type="cellIs" dxfId="4950" priority="716" operator="lessThan">
      <formula>0</formula>
    </cfRule>
  </conditionalFormatting>
  <conditionalFormatting sqref="D16:D35">
    <cfRule type="cellIs" dxfId="4949" priority="715" operator="lessThan">
      <formula>0</formula>
    </cfRule>
  </conditionalFormatting>
  <conditionalFormatting sqref="D16:D35">
    <cfRule type="cellIs" dxfId="4948" priority="714" operator="lessThan">
      <formula>0</formula>
    </cfRule>
  </conditionalFormatting>
  <conditionalFormatting sqref="D16:D35">
    <cfRule type="cellIs" dxfId="4947" priority="713" operator="lessThan">
      <formula>0</formula>
    </cfRule>
  </conditionalFormatting>
  <conditionalFormatting sqref="D23:D35">
    <cfRule type="cellIs" dxfId="4946" priority="712" operator="lessThan">
      <formula>0</formula>
    </cfRule>
  </conditionalFormatting>
  <conditionalFormatting sqref="D29">
    <cfRule type="cellIs" dxfId="4945" priority="711" operator="lessThan">
      <formula>0</formula>
    </cfRule>
  </conditionalFormatting>
  <conditionalFormatting sqref="D13:D35">
    <cfRule type="cellIs" dxfId="4944" priority="710" operator="lessThan">
      <formula>0</formula>
    </cfRule>
  </conditionalFormatting>
  <conditionalFormatting sqref="D13:D35">
    <cfRule type="cellIs" dxfId="4943" priority="709" operator="lessThan">
      <formula>0</formula>
    </cfRule>
  </conditionalFormatting>
  <conditionalFormatting sqref="D13:D35">
    <cfRule type="cellIs" dxfId="4942" priority="708" operator="lessThan">
      <formula>0</formula>
    </cfRule>
  </conditionalFormatting>
  <conditionalFormatting sqref="D13:D35">
    <cfRule type="cellIs" dxfId="4941" priority="707" operator="lessThan">
      <formula>0</formula>
    </cfRule>
  </conditionalFormatting>
  <conditionalFormatting sqref="D13:D35">
    <cfRule type="cellIs" dxfId="4940" priority="706" operator="lessThan">
      <formula>0</formula>
    </cfRule>
  </conditionalFormatting>
  <conditionalFormatting sqref="D13:D35">
    <cfRule type="cellIs" dxfId="4939" priority="705" operator="lessThan">
      <formula>0</formula>
    </cfRule>
  </conditionalFormatting>
  <conditionalFormatting sqref="D23:D35">
    <cfRule type="cellIs" dxfId="4938" priority="704" operator="lessThan">
      <formula>0</formula>
    </cfRule>
  </conditionalFormatting>
  <conditionalFormatting sqref="D29">
    <cfRule type="cellIs" dxfId="4937" priority="703" operator="lessThan">
      <formula>0</formula>
    </cfRule>
  </conditionalFormatting>
  <conditionalFormatting sqref="D13:D35">
    <cfRule type="cellIs" dxfId="4936" priority="702" operator="lessThan">
      <formula>0</formula>
    </cfRule>
  </conditionalFormatting>
  <conditionalFormatting sqref="D13:D35">
    <cfRule type="cellIs" dxfId="4935" priority="701" operator="lessThan">
      <formula>0</formula>
    </cfRule>
  </conditionalFormatting>
  <conditionalFormatting sqref="D13:D35">
    <cfRule type="cellIs" dxfId="4934" priority="700" operator="lessThan">
      <formula>0</formula>
    </cfRule>
  </conditionalFormatting>
  <conditionalFormatting sqref="D13:D35">
    <cfRule type="cellIs" dxfId="4933" priority="699" operator="lessThan">
      <formula>0</formula>
    </cfRule>
  </conditionalFormatting>
  <conditionalFormatting sqref="D13:D35">
    <cfRule type="cellIs" dxfId="4932" priority="698" operator="lessThan">
      <formula>0</formula>
    </cfRule>
  </conditionalFormatting>
  <conditionalFormatting sqref="D13:D35">
    <cfRule type="cellIs" dxfId="4931" priority="697" operator="lessThan">
      <formula>0</formula>
    </cfRule>
  </conditionalFormatting>
  <conditionalFormatting sqref="D13:D35">
    <cfRule type="cellIs" dxfId="4930" priority="696" operator="lessThan">
      <formula>0</formula>
    </cfRule>
  </conditionalFormatting>
  <conditionalFormatting sqref="D13:D35">
    <cfRule type="cellIs" dxfId="4929" priority="695" operator="lessThan">
      <formula>0</formula>
    </cfRule>
  </conditionalFormatting>
  <conditionalFormatting sqref="G33">
    <cfRule type="cellIs" dxfId="4928" priority="694" operator="lessThan">
      <formula>0</formula>
    </cfRule>
  </conditionalFormatting>
  <conditionalFormatting sqref="G33">
    <cfRule type="cellIs" dxfId="4927" priority="693" operator="lessThan">
      <formula>0</formula>
    </cfRule>
  </conditionalFormatting>
  <conditionalFormatting sqref="G33">
    <cfRule type="cellIs" dxfId="4926" priority="692" operator="lessThan">
      <formula>0</formula>
    </cfRule>
  </conditionalFormatting>
  <conditionalFormatting sqref="G33">
    <cfRule type="cellIs" dxfId="4925" priority="691" operator="lessThan">
      <formula>0</formula>
    </cfRule>
  </conditionalFormatting>
  <conditionalFormatting sqref="G33">
    <cfRule type="cellIs" dxfId="4924" priority="690" operator="lessThan">
      <formula>0</formula>
    </cfRule>
  </conditionalFormatting>
  <conditionalFormatting sqref="B4:B35">
    <cfRule type="cellIs" dxfId="4923" priority="689" operator="lessThan">
      <formula>0</formula>
    </cfRule>
  </conditionalFormatting>
  <conditionalFormatting sqref="C4:C35">
    <cfRule type="cellIs" dxfId="4922" priority="688" operator="lessThan">
      <formula>0</formula>
    </cfRule>
  </conditionalFormatting>
  <conditionalFormatting sqref="D4:D35">
    <cfRule type="cellIs" dxfId="4921" priority="687" operator="lessThan">
      <formula>0</formula>
    </cfRule>
  </conditionalFormatting>
  <conditionalFormatting sqref="F4:F35">
    <cfRule type="cellIs" dxfId="4920" priority="686" operator="lessThan">
      <formula>0</formula>
    </cfRule>
  </conditionalFormatting>
  <conditionalFormatting sqref="G4:G35">
    <cfRule type="cellIs" dxfId="4919" priority="685" operator="lessThan">
      <formula>0</formula>
    </cfRule>
  </conditionalFormatting>
  <conditionalFormatting sqref="B4:B35">
    <cfRule type="cellIs" dxfId="4918" priority="684" operator="lessThan">
      <formula>0</formula>
    </cfRule>
  </conditionalFormatting>
  <conditionalFormatting sqref="B4:B35">
    <cfRule type="cellIs" dxfId="4917" priority="683" operator="lessThan">
      <formula>0</formula>
    </cfRule>
  </conditionalFormatting>
  <conditionalFormatting sqref="B4:B35">
    <cfRule type="cellIs" dxfId="4916" priority="682" operator="lessThan">
      <formula>0</formula>
    </cfRule>
  </conditionalFormatting>
  <conditionalFormatting sqref="B4:B35">
    <cfRule type="cellIs" dxfId="4915" priority="681" operator="lessThan">
      <formula>0</formula>
    </cfRule>
  </conditionalFormatting>
  <conditionalFormatting sqref="C4:C35">
    <cfRule type="cellIs" dxfId="4914" priority="680" operator="lessThan">
      <formula>0</formula>
    </cfRule>
  </conditionalFormatting>
  <conditionalFormatting sqref="C4:C35">
    <cfRule type="cellIs" dxfId="4913" priority="679" operator="lessThan">
      <formula>0</formula>
    </cfRule>
  </conditionalFormatting>
  <conditionalFormatting sqref="C4:C35">
    <cfRule type="cellIs" dxfId="4912" priority="678" operator="lessThan">
      <formula>0</formula>
    </cfRule>
  </conditionalFormatting>
  <conditionalFormatting sqref="C4:C35">
    <cfRule type="cellIs" dxfId="4911" priority="677" operator="lessThan">
      <formula>0</formula>
    </cfRule>
  </conditionalFormatting>
  <conditionalFormatting sqref="D4:D35">
    <cfRule type="cellIs" dxfId="4910" priority="676" operator="lessThan">
      <formula>0</formula>
    </cfRule>
  </conditionalFormatting>
  <conditionalFormatting sqref="D4:D35">
    <cfRule type="cellIs" dxfId="4909" priority="675" operator="lessThan">
      <formula>0</formula>
    </cfRule>
  </conditionalFormatting>
  <conditionalFormatting sqref="D4:D35">
    <cfRule type="cellIs" dxfId="4908" priority="674" operator="lessThan">
      <formula>0</formula>
    </cfRule>
  </conditionalFormatting>
  <conditionalFormatting sqref="F4:F35">
    <cfRule type="cellIs" dxfId="4907" priority="673" operator="lessThan">
      <formula>0</formula>
    </cfRule>
  </conditionalFormatting>
  <conditionalFormatting sqref="F4:F35">
    <cfRule type="cellIs" dxfId="4906" priority="672" operator="lessThan">
      <formula>0</formula>
    </cfRule>
  </conditionalFormatting>
  <conditionalFormatting sqref="F4:F35">
    <cfRule type="cellIs" dxfId="4905" priority="671" operator="lessThan">
      <formula>0</formula>
    </cfRule>
  </conditionalFormatting>
  <conditionalFormatting sqref="G4:G35">
    <cfRule type="cellIs" dxfId="4904" priority="670" operator="lessThan">
      <formula>0</formula>
    </cfRule>
  </conditionalFormatting>
  <conditionalFormatting sqref="G4:G35">
    <cfRule type="cellIs" dxfId="4903" priority="669" operator="lessThan">
      <formula>0</formula>
    </cfRule>
  </conditionalFormatting>
  <conditionalFormatting sqref="G4:G35">
    <cfRule type="cellIs" dxfId="4902" priority="668" operator="lessThan">
      <formula>0</formula>
    </cfRule>
  </conditionalFormatting>
  <conditionalFormatting sqref="E4:E35">
    <cfRule type="cellIs" dxfId="4901" priority="667" operator="lessThan">
      <formula>0</formula>
    </cfRule>
  </conditionalFormatting>
  <conditionalFormatting sqref="E4:E35">
    <cfRule type="cellIs" dxfId="4900" priority="666" operator="lessThan">
      <formula>0</formula>
    </cfRule>
  </conditionalFormatting>
  <conditionalFormatting sqref="D4:D35">
    <cfRule type="cellIs" dxfId="4899" priority="665" operator="lessThan">
      <formula>0</formula>
    </cfRule>
  </conditionalFormatting>
  <conditionalFormatting sqref="E4:E35">
    <cfRule type="cellIs" dxfId="4898" priority="664" operator="lessThan">
      <formula>0</formula>
    </cfRule>
  </conditionalFormatting>
  <conditionalFormatting sqref="E4:E35">
    <cfRule type="cellIs" dxfId="4897" priority="663" operator="lessThan">
      <formula>0</formula>
    </cfRule>
  </conditionalFormatting>
  <conditionalFormatting sqref="E4:E35">
    <cfRule type="cellIs" dxfId="4896" priority="662" operator="lessThan">
      <formula>0</formula>
    </cfRule>
  </conditionalFormatting>
  <conditionalFormatting sqref="E4:E35">
    <cfRule type="cellIs" dxfId="4895" priority="661" operator="lessThan">
      <formula>0</formula>
    </cfRule>
  </conditionalFormatting>
  <conditionalFormatting sqref="E4:E35">
    <cfRule type="cellIs" dxfId="4894" priority="660" operator="lessThan">
      <formula>0</formula>
    </cfRule>
  </conditionalFormatting>
  <conditionalFormatting sqref="E4:E35">
    <cfRule type="cellIs" dxfId="4893" priority="659" operator="lessThan">
      <formula>0</formula>
    </cfRule>
  </conditionalFormatting>
  <conditionalFormatting sqref="E4:E35">
    <cfRule type="cellIs" dxfId="4892" priority="658" operator="lessThan">
      <formula>0</formula>
    </cfRule>
  </conditionalFormatting>
  <conditionalFormatting sqref="E4:E35">
    <cfRule type="cellIs" dxfId="4891" priority="657" operator="lessThan">
      <formula>0</formula>
    </cfRule>
  </conditionalFormatting>
  <conditionalFormatting sqref="E4:E35">
    <cfRule type="cellIs" dxfId="4890" priority="656" operator="lessThan">
      <formula>0</formula>
    </cfRule>
  </conditionalFormatting>
  <conditionalFormatting sqref="E4:E35">
    <cfRule type="cellIs" dxfId="4889" priority="655" operator="lessThan">
      <formula>0</formula>
    </cfRule>
  </conditionalFormatting>
  <conditionalFormatting sqref="E4:E35">
    <cfRule type="cellIs" dxfId="4888" priority="654" operator="lessThan">
      <formula>0</formula>
    </cfRule>
  </conditionalFormatting>
  <conditionalFormatting sqref="E4:E35">
    <cfRule type="cellIs" dxfId="4887" priority="653" operator="lessThan">
      <formula>0</formula>
    </cfRule>
  </conditionalFormatting>
  <conditionalFormatting sqref="B4:B35">
    <cfRule type="cellIs" dxfId="4886" priority="652" operator="lessThan">
      <formula>0</formula>
    </cfRule>
  </conditionalFormatting>
  <conditionalFormatting sqref="B4:B35">
    <cfRule type="cellIs" dxfId="4885" priority="651" operator="lessThan">
      <formula>0</formula>
    </cfRule>
  </conditionalFormatting>
  <conditionalFormatting sqref="C4:C35">
    <cfRule type="cellIs" dxfId="4884" priority="650" operator="lessThan">
      <formula>0</formula>
    </cfRule>
  </conditionalFormatting>
  <conditionalFormatting sqref="C4:C35">
    <cfRule type="cellIs" dxfId="4883" priority="649" operator="lessThan">
      <formula>0</formula>
    </cfRule>
  </conditionalFormatting>
  <conditionalFormatting sqref="D4:D35">
    <cfRule type="cellIs" dxfId="4882" priority="648" operator="lessThan">
      <formula>0</formula>
    </cfRule>
  </conditionalFormatting>
  <conditionalFormatting sqref="D4:D35">
    <cfRule type="cellIs" dxfId="4881" priority="647" operator="lessThan">
      <formula>0</formula>
    </cfRule>
  </conditionalFormatting>
  <conditionalFormatting sqref="D4:D35">
    <cfRule type="cellIs" dxfId="4880" priority="646" operator="lessThan">
      <formula>0</formula>
    </cfRule>
  </conditionalFormatting>
  <conditionalFormatting sqref="D4:D35">
    <cfRule type="cellIs" dxfId="4879" priority="645" operator="lessThan">
      <formula>0</formula>
    </cfRule>
  </conditionalFormatting>
  <conditionalFormatting sqref="D4:D35">
    <cfRule type="cellIs" dxfId="4878" priority="644" operator="lessThan">
      <formula>0</formula>
    </cfRule>
  </conditionalFormatting>
  <conditionalFormatting sqref="D4:D35">
    <cfRule type="cellIs" dxfId="4877" priority="643" operator="lessThan">
      <formula>0</formula>
    </cfRule>
  </conditionalFormatting>
  <conditionalFormatting sqref="D4:D35">
    <cfRule type="cellIs" dxfId="4876" priority="642" operator="lessThan">
      <formula>0</formula>
    </cfRule>
  </conditionalFormatting>
  <conditionalFormatting sqref="D4:D35">
    <cfRule type="cellIs" dxfId="4875" priority="641" operator="lessThan">
      <formula>0</formula>
    </cfRule>
  </conditionalFormatting>
  <conditionalFormatting sqref="D4:D35">
    <cfRule type="cellIs" dxfId="4874" priority="640" operator="lessThan">
      <formula>0</formula>
    </cfRule>
  </conditionalFormatting>
  <conditionalFormatting sqref="D4:D35">
    <cfRule type="cellIs" dxfId="4873" priority="639" operator="lessThan">
      <formula>0</formula>
    </cfRule>
  </conditionalFormatting>
  <conditionalFormatting sqref="D4:D35">
    <cfRule type="cellIs" dxfId="4872" priority="638" operator="lessThan">
      <formula>0</formula>
    </cfRule>
  </conditionalFormatting>
  <conditionalFormatting sqref="D4:D35">
    <cfRule type="cellIs" dxfId="4871" priority="637" operator="lessThan">
      <formula>0</formula>
    </cfRule>
  </conditionalFormatting>
  <conditionalFormatting sqref="D4:D35">
    <cfRule type="cellIs" dxfId="4870" priority="636" operator="lessThan">
      <formula>0</formula>
    </cfRule>
  </conditionalFormatting>
  <conditionalFormatting sqref="D4:D35">
    <cfRule type="cellIs" dxfId="4869" priority="635" operator="lessThan">
      <formula>0</formula>
    </cfRule>
  </conditionalFormatting>
  <conditionalFormatting sqref="E4:E35">
    <cfRule type="cellIs" dxfId="4868" priority="634" operator="lessThan">
      <formula>0</formula>
    </cfRule>
  </conditionalFormatting>
  <conditionalFormatting sqref="B4:B35">
    <cfRule type="cellIs" dxfId="4867" priority="633" operator="lessThan">
      <formula>0</formula>
    </cfRule>
  </conditionalFormatting>
  <conditionalFormatting sqref="C4:C35">
    <cfRule type="cellIs" dxfId="4866" priority="632" operator="lessThan">
      <formula>0</formula>
    </cfRule>
  </conditionalFormatting>
  <conditionalFormatting sqref="D4:D35">
    <cfRule type="cellIs" dxfId="4865" priority="631" operator="lessThan">
      <formula>0</formula>
    </cfRule>
  </conditionalFormatting>
  <conditionalFormatting sqref="F4:F35">
    <cfRule type="cellIs" dxfId="4864" priority="630" operator="lessThan">
      <formula>0</formula>
    </cfRule>
  </conditionalFormatting>
  <conditionalFormatting sqref="G4:G35">
    <cfRule type="cellIs" dxfId="4863" priority="629" operator="lessThan">
      <formula>0</formula>
    </cfRule>
  </conditionalFormatting>
  <conditionalFormatting sqref="D4:D35">
    <cfRule type="cellIs" dxfId="4862" priority="628" operator="lessThan">
      <formula>0</formula>
    </cfRule>
  </conditionalFormatting>
  <conditionalFormatting sqref="D4:D35">
    <cfRule type="cellIs" dxfId="4861" priority="627" operator="lessThan">
      <formula>0</formula>
    </cfRule>
  </conditionalFormatting>
  <conditionalFormatting sqref="D4:D35">
    <cfRule type="cellIs" dxfId="4860" priority="626" operator="lessThan">
      <formula>0</formula>
    </cfRule>
  </conditionalFormatting>
  <conditionalFormatting sqref="D4:D35">
    <cfRule type="cellIs" dxfId="4859" priority="625" operator="lessThan">
      <formula>0</formula>
    </cfRule>
  </conditionalFormatting>
  <conditionalFormatting sqref="D4:D35">
    <cfRule type="cellIs" dxfId="4858" priority="624" operator="lessThan">
      <formula>0</formula>
    </cfRule>
  </conditionalFormatting>
  <conditionalFormatting sqref="D4:D35">
    <cfRule type="cellIs" dxfId="4857" priority="623" operator="lessThan">
      <formula>0</formula>
    </cfRule>
  </conditionalFormatting>
  <conditionalFormatting sqref="D4:D35">
    <cfRule type="cellIs" dxfId="4856" priority="622" operator="lessThan">
      <formula>0</formula>
    </cfRule>
  </conditionalFormatting>
  <conditionalFormatting sqref="D4:D35">
    <cfRule type="cellIs" dxfId="4855" priority="621" operator="lessThan">
      <formula>0</formula>
    </cfRule>
  </conditionalFormatting>
  <conditionalFormatting sqref="D4:D35">
    <cfRule type="cellIs" dxfId="4854" priority="620" operator="lessThan">
      <formula>0</formula>
    </cfRule>
  </conditionalFormatting>
  <conditionalFormatting sqref="D4:D35">
    <cfRule type="cellIs" dxfId="4853" priority="619" operator="lessThan">
      <formula>0</formula>
    </cfRule>
  </conditionalFormatting>
  <conditionalFormatting sqref="D4:D35">
    <cfRule type="cellIs" dxfId="4852" priority="618" operator="lessThan">
      <formula>0</formula>
    </cfRule>
  </conditionalFormatting>
  <conditionalFormatting sqref="D4:D35">
    <cfRule type="cellIs" dxfId="4851" priority="617" operator="lessThan">
      <formula>0</formula>
    </cfRule>
  </conditionalFormatting>
  <conditionalFormatting sqref="D4:D35">
    <cfRule type="cellIs" dxfId="4850" priority="616" operator="lessThan">
      <formula>0</formula>
    </cfRule>
  </conditionalFormatting>
  <conditionalFormatting sqref="D4:D35">
    <cfRule type="cellIs" dxfId="4849" priority="615" operator="lessThan">
      <formula>0</formula>
    </cfRule>
  </conditionalFormatting>
  <conditionalFormatting sqref="D4:D35">
    <cfRule type="cellIs" dxfId="4848" priority="614" operator="lessThan">
      <formula>0</formula>
    </cfRule>
  </conditionalFormatting>
  <conditionalFormatting sqref="D4:D35">
    <cfRule type="cellIs" dxfId="4847" priority="613" operator="lessThan">
      <formula>0</formula>
    </cfRule>
  </conditionalFormatting>
  <conditionalFormatting sqref="D4:D35">
    <cfRule type="cellIs" dxfId="4846" priority="612" operator="lessThan">
      <formula>0</formula>
    </cfRule>
  </conditionalFormatting>
  <conditionalFormatting sqref="D4:D35">
    <cfRule type="cellIs" dxfId="4845" priority="611" operator="lessThan">
      <formula>0</formula>
    </cfRule>
  </conditionalFormatting>
  <conditionalFormatting sqref="D4:D35">
    <cfRule type="cellIs" dxfId="4844" priority="610" operator="lessThan">
      <formula>0</formula>
    </cfRule>
  </conditionalFormatting>
  <conditionalFormatting sqref="D4:D35">
    <cfRule type="cellIs" dxfId="4843" priority="609" operator="lessThan">
      <formula>0</formula>
    </cfRule>
  </conditionalFormatting>
  <conditionalFormatting sqref="D4:D35">
    <cfRule type="cellIs" dxfId="4842" priority="608" operator="lessThan">
      <formula>0</formula>
    </cfRule>
  </conditionalFormatting>
  <conditionalFormatting sqref="D4:D35">
    <cfRule type="cellIs" dxfId="4841" priority="607" operator="lessThan">
      <formula>0</formula>
    </cfRule>
  </conditionalFormatting>
  <conditionalFormatting sqref="D4:D35">
    <cfRule type="cellIs" dxfId="4840" priority="606" operator="lessThan">
      <formula>0</formula>
    </cfRule>
  </conditionalFormatting>
  <conditionalFormatting sqref="D4:D35">
    <cfRule type="cellIs" dxfId="4839" priority="605" operator="lessThan">
      <formula>0</formula>
    </cfRule>
  </conditionalFormatting>
  <conditionalFormatting sqref="D4:D35">
    <cfRule type="cellIs" dxfId="4838" priority="604" operator="lessThan">
      <formula>0</formula>
    </cfRule>
  </conditionalFormatting>
  <conditionalFormatting sqref="D4:D35">
    <cfRule type="cellIs" dxfId="4837" priority="603" operator="lessThan">
      <formula>0</formula>
    </cfRule>
  </conditionalFormatting>
  <conditionalFormatting sqref="D4:D35">
    <cfRule type="cellIs" dxfId="4836" priority="602" operator="lessThan">
      <formula>0</formula>
    </cfRule>
  </conditionalFormatting>
  <conditionalFormatting sqref="D4:D35">
    <cfRule type="cellIs" dxfId="4835" priority="601" operator="lessThan">
      <formula>0</formula>
    </cfRule>
  </conditionalFormatting>
  <conditionalFormatting sqref="D4:D35">
    <cfRule type="cellIs" dxfId="4834" priority="600" operator="lessThan">
      <formula>0</formula>
    </cfRule>
  </conditionalFormatting>
  <conditionalFormatting sqref="D4:D35">
    <cfRule type="cellIs" dxfId="4833" priority="599" operator="lessThan">
      <formula>0</formula>
    </cfRule>
  </conditionalFormatting>
  <conditionalFormatting sqref="D4:D35">
    <cfRule type="cellIs" dxfId="4832" priority="598" operator="lessThan">
      <formula>0</formula>
    </cfRule>
  </conditionalFormatting>
  <conditionalFormatting sqref="D4:D35">
    <cfRule type="cellIs" dxfId="4831" priority="597" operator="lessThan">
      <formula>0</formula>
    </cfRule>
  </conditionalFormatting>
  <conditionalFormatting sqref="D4:D35">
    <cfRule type="cellIs" dxfId="4830" priority="596" operator="lessThan">
      <formula>0</formula>
    </cfRule>
  </conditionalFormatting>
  <conditionalFormatting sqref="D4:D35">
    <cfRule type="cellIs" dxfId="4829" priority="595" operator="lessThan">
      <formula>0</formula>
    </cfRule>
  </conditionalFormatting>
  <conditionalFormatting sqref="D4:D35">
    <cfRule type="cellIs" dxfId="4828" priority="594" operator="lessThan">
      <formula>0</formula>
    </cfRule>
  </conditionalFormatting>
  <conditionalFormatting sqref="D4:D35">
    <cfRule type="cellIs" dxfId="4827" priority="593" operator="lessThan">
      <formula>0</formula>
    </cfRule>
  </conditionalFormatting>
  <conditionalFormatting sqref="D4:D35">
    <cfRule type="cellIs" dxfId="4826" priority="592" operator="lessThan">
      <formula>0</formula>
    </cfRule>
  </conditionalFormatting>
  <conditionalFormatting sqref="D4:D35">
    <cfRule type="cellIs" dxfId="4825" priority="591" operator="lessThan">
      <formula>0</formula>
    </cfRule>
  </conditionalFormatting>
  <conditionalFormatting sqref="D4:D35">
    <cfRule type="cellIs" dxfId="4824" priority="590" operator="lessThan">
      <formula>0</formula>
    </cfRule>
  </conditionalFormatting>
  <conditionalFormatting sqref="D4:D35">
    <cfRule type="cellIs" dxfId="4823" priority="589" operator="lessThan">
      <formula>0</formula>
    </cfRule>
  </conditionalFormatting>
  <conditionalFormatting sqref="D4:D35">
    <cfRule type="cellIs" dxfId="4822" priority="588" operator="lessThan">
      <formula>0</formula>
    </cfRule>
  </conditionalFormatting>
  <conditionalFormatting sqref="D4:D35">
    <cfRule type="cellIs" dxfId="4821" priority="587" operator="lessThan">
      <formula>0</formula>
    </cfRule>
  </conditionalFormatting>
  <conditionalFormatting sqref="D4:D35">
    <cfRule type="cellIs" dxfId="4820" priority="586" operator="lessThan">
      <formula>0</formula>
    </cfRule>
  </conditionalFormatting>
  <conditionalFormatting sqref="D4:D35">
    <cfRule type="cellIs" dxfId="4819" priority="585" operator="lessThan">
      <formula>0</formula>
    </cfRule>
  </conditionalFormatting>
  <conditionalFormatting sqref="D4:D35">
    <cfRule type="cellIs" dxfId="4818" priority="584" operator="lessThan">
      <formula>0</formula>
    </cfRule>
  </conditionalFormatting>
  <conditionalFormatting sqref="D4:D35">
    <cfRule type="cellIs" dxfId="4817" priority="583" operator="lessThan">
      <formula>0</formula>
    </cfRule>
  </conditionalFormatting>
  <conditionalFormatting sqref="D4:D35">
    <cfRule type="cellIs" dxfId="4816" priority="582" operator="lessThan">
      <formula>0</formula>
    </cfRule>
  </conditionalFormatting>
  <conditionalFormatting sqref="D4:D35">
    <cfRule type="cellIs" dxfId="4815" priority="581" operator="lessThan">
      <formula>0</formula>
    </cfRule>
  </conditionalFormatting>
  <conditionalFormatting sqref="D4:D35">
    <cfRule type="cellIs" dxfId="4814" priority="580" operator="lessThan">
      <formula>0</formula>
    </cfRule>
  </conditionalFormatting>
  <conditionalFormatting sqref="D4:D35">
    <cfRule type="cellIs" dxfId="4813" priority="579" operator="lessThan">
      <formula>0</formula>
    </cfRule>
  </conditionalFormatting>
  <conditionalFormatting sqref="D4:D35">
    <cfRule type="cellIs" dxfId="4812" priority="578" operator="lessThan">
      <formula>0</formula>
    </cfRule>
  </conditionalFormatting>
  <conditionalFormatting sqref="D4:D35">
    <cfRule type="cellIs" dxfId="4811" priority="577" operator="lessThan">
      <formula>0</formula>
    </cfRule>
  </conditionalFormatting>
  <conditionalFormatting sqref="D4:D35">
    <cfRule type="cellIs" dxfId="4810" priority="576" operator="lessThan">
      <formula>0</formula>
    </cfRule>
  </conditionalFormatting>
  <conditionalFormatting sqref="D4:D35">
    <cfRule type="cellIs" dxfId="4809" priority="575" operator="lessThan">
      <formula>0</formula>
    </cfRule>
  </conditionalFormatting>
  <conditionalFormatting sqref="D4:D35">
    <cfRule type="cellIs" dxfId="4808" priority="574" operator="lessThan">
      <formula>0</formula>
    </cfRule>
  </conditionalFormatting>
  <conditionalFormatting sqref="D4:D35">
    <cfRule type="cellIs" dxfId="4807" priority="573" operator="lessThan">
      <formula>0</formula>
    </cfRule>
  </conditionalFormatting>
  <conditionalFormatting sqref="D4:D35">
    <cfRule type="cellIs" dxfId="4806" priority="572" operator="lessThan">
      <formula>0</formula>
    </cfRule>
  </conditionalFormatting>
  <conditionalFormatting sqref="D4:D35">
    <cfRule type="cellIs" dxfId="4805" priority="571" operator="lessThan">
      <formula>0</formula>
    </cfRule>
  </conditionalFormatting>
  <conditionalFormatting sqref="D4:D35">
    <cfRule type="cellIs" dxfId="4804" priority="570" operator="lessThan">
      <formula>0</formula>
    </cfRule>
  </conditionalFormatting>
  <conditionalFormatting sqref="D4:D35">
    <cfRule type="cellIs" dxfId="4803" priority="569" operator="lessThan">
      <formula>0</formula>
    </cfRule>
  </conditionalFormatting>
  <conditionalFormatting sqref="D4:D35">
    <cfRule type="cellIs" dxfId="4802" priority="568" operator="lessThan">
      <formula>0</formula>
    </cfRule>
  </conditionalFormatting>
  <conditionalFormatting sqref="D4:D35">
    <cfRule type="cellIs" dxfId="4801" priority="567" operator="lessThan">
      <formula>0</formula>
    </cfRule>
  </conditionalFormatting>
  <conditionalFormatting sqref="D4:D35">
    <cfRule type="cellIs" dxfId="4800" priority="566" operator="lessThan">
      <formula>0</formula>
    </cfRule>
  </conditionalFormatting>
  <conditionalFormatting sqref="D4:D35">
    <cfRule type="cellIs" dxfId="4799" priority="565" operator="lessThan">
      <formula>0</formula>
    </cfRule>
  </conditionalFormatting>
  <conditionalFormatting sqref="D4:D35">
    <cfRule type="cellIs" dxfId="4798" priority="564" operator="lessThan">
      <formula>0</formula>
    </cfRule>
  </conditionalFormatting>
  <conditionalFormatting sqref="D4:D35">
    <cfRule type="cellIs" dxfId="4797" priority="563" operator="lessThan">
      <formula>0</formula>
    </cfRule>
  </conditionalFormatting>
  <conditionalFormatting sqref="D4:D35">
    <cfRule type="cellIs" dxfId="4796" priority="562" operator="lessThan">
      <formula>0</formula>
    </cfRule>
  </conditionalFormatting>
  <conditionalFormatting sqref="D4:D35">
    <cfRule type="cellIs" dxfId="4795" priority="561" operator="lessThan">
      <formula>0</formula>
    </cfRule>
  </conditionalFormatting>
  <conditionalFormatting sqref="D4:D35">
    <cfRule type="cellIs" dxfId="4794" priority="560" operator="lessThan">
      <formula>0</formula>
    </cfRule>
  </conditionalFormatting>
  <conditionalFormatting sqref="D4:D35">
    <cfRule type="cellIs" dxfId="4793" priority="559" operator="lessThan">
      <formula>0</formula>
    </cfRule>
  </conditionalFormatting>
  <conditionalFormatting sqref="D4:D35">
    <cfRule type="cellIs" dxfId="4792" priority="558" operator="lessThan">
      <formula>0</formula>
    </cfRule>
  </conditionalFormatting>
  <conditionalFormatting sqref="D4:D35">
    <cfRule type="cellIs" dxfId="4791" priority="557" operator="lessThan">
      <formula>0</formula>
    </cfRule>
  </conditionalFormatting>
  <conditionalFormatting sqref="D4:D35">
    <cfRule type="cellIs" dxfId="4790" priority="556" operator="lessThan">
      <formula>0</formula>
    </cfRule>
  </conditionalFormatting>
  <conditionalFormatting sqref="D4:D35">
    <cfRule type="cellIs" dxfId="4789" priority="555" operator="lessThan">
      <formula>0</formula>
    </cfRule>
  </conditionalFormatting>
  <conditionalFormatting sqref="D4:D35">
    <cfRule type="cellIs" dxfId="4788" priority="554" operator="lessThan">
      <formula>0</formula>
    </cfRule>
  </conditionalFormatting>
  <conditionalFormatting sqref="D4:D35">
    <cfRule type="cellIs" dxfId="4787" priority="553" operator="lessThan">
      <formula>0</formula>
    </cfRule>
  </conditionalFormatting>
  <conditionalFormatting sqref="D4:D35">
    <cfRule type="cellIs" dxfId="4786" priority="552" operator="lessThan">
      <formula>0</formula>
    </cfRule>
  </conditionalFormatting>
  <conditionalFormatting sqref="D4:D35">
    <cfRule type="cellIs" dxfId="4785" priority="551" operator="lessThan">
      <formula>0</formula>
    </cfRule>
  </conditionalFormatting>
  <conditionalFormatting sqref="D4:D35">
    <cfRule type="cellIs" dxfId="4784" priority="550" operator="lessThan">
      <formula>0</formula>
    </cfRule>
  </conditionalFormatting>
  <conditionalFormatting sqref="D4:D35">
    <cfRule type="cellIs" dxfId="4783" priority="549" operator="lessThan">
      <formula>0</formula>
    </cfRule>
  </conditionalFormatting>
  <conditionalFormatting sqref="D4:D35">
    <cfRule type="cellIs" dxfId="4782" priority="548" operator="lessThan">
      <formula>0</formula>
    </cfRule>
  </conditionalFormatting>
  <conditionalFormatting sqref="D4:D35">
    <cfRule type="cellIs" dxfId="4781" priority="547" operator="lessThan">
      <formula>0</formula>
    </cfRule>
  </conditionalFormatting>
  <conditionalFormatting sqref="D4:D35">
    <cfRule type="cellIs" dxfId="4780" priority="546" operator="lessThan">
      <formula>0</formula>
    </cfRule>
  </conditionalFormatting>
  <conditionalFormatting sqref="D4:D35">
    <cfRule type="cellIs" dxfId="4779" priority="545" operator="lessThan">
      <formula>0</formula>
    </cfRule>
  </conditionalFormatting>
  <conditionalFormatting sqref="D4:D35">
    <cfRule type="cellIs" dxfId="4778" priority="544" operator="lessThan">
      <formula>0</formula>
    </cfRule>
  </conditionalFormatting>
  <conditionalFormatting sqref="E4:E35">
    <cfRule type="cellIs" dxfId="4777" priority="543" operator="lessThan">
      <formula>0</formula>
    </cfRule>
  </conditionalFormatting>
  <conditionalFormatting sqref="E4:E35">
    <cfRule type="cellIs" dxfId="4776" priority="542" operator="lessThan">
      <formula>0</formula>
    </cfRule>
  </conditionalFormatting>
  <conditionalFormatting sqref="E4:E35">
    <cfRule type="cellIs" dxfId="4775" priority="541" operator="lessThan">
      <formula>0</formula>
    </cfRule>
  </conditionalFormatting>
  <conditionalFormatting sqref="E4:E35">
    <cfRule type="cellIs" dxfId="4774" priority="540" operator="lessThan">
      <formula>0</formula>
    </cfRule>
  </conditionalFormatting>
  <conditionalFormatting sqref="E4:E35">
    <cfRule type="cellIs" dxfId="4773" priority="539" operator="lessThan">
      <formula>0</formula>
    </cfRule>
  </conditionalFormatting>
  <conditionalFormatting sqref="E4:E35">
    <cfRule type="cellIs" dxfId="4772" priority="538" operator="lessThan">
      <formula>0</formula>
    </cfRule>
  </conditionalFormatting>
  <conditionalFormatting sqref="E4:E35">
    <cfRule type="cellIs" dxfId="4771" priority="537" operator="lessThan">
      <formula>0</formula>
    </cfRule>
  </conditionalFormatting>
  <conditionalFormatting sqref="E4:E35">
    <cfRule type="cellIs" dxfId="4770" priority="536" operator="lessThan">
      <formula>0</formula>
    </cfRule>
  </conditionalFormatting>
  <conditionalFormatting sqref="E4:E35">
    <cfRule type="cellIs" dxfId="4769" priority="535" operator="lessThan">
      <formula>0</formula>
    </cfRule>
  </conditionalFormatting>
  <conditionalFormatting sqref="E4:E35">
    <cfRule type="cellIs" dxfId="4768" priority="534" operator="lessThan">
      <formula>0</formula>
    </cfRule>
  </conditionalFormatting>
  <conditionalFormatting sqref="E4:E35">
    <cfRule type="cellIs" dxfId="4767" priority="533" operator="lessThan">
      <formula>0</formula>
    </cfRule>
  </conditionalFormatting>
  <conditionalFormatting sqref="E4:E35">
    <cfRule type="cellIs" dxfId="4766" priority="532" operator="lessThan">
      <formula>0</formula>
    </cfRule>
  </conditionalFormatting>
  <conditionalFormatting sqref="E4:E35">
    <cfRule type="cellIs" dxfId="4765" priority="531" operator="lessThan">
      <formula>0</formula>
    </cfRule>
  </conditionalFormatting>
  <conditionalFormatting sqref="E4:E35">
    <cfRule type="cellIs" dxfId="4764" priority="530" operator="lessThan">
      <formula>0</formula>
    </cfRule>
  </conditionalFormatting>
  <conditionalFormatting sqref="E4:E35">
    <cfRule type="cellIs" dxfId="4763" priority="529" operator="lessThan">
      <formula>0</formula>
    </cfRule>
  </conditionalFormatting>
  <conditionalFormatting sqref="E4:E35">
    <cfRule type="cellIs" dxfId="4762" priority="528" operator="lessThan">
      <formula>0</formula>
    </cfRule>
  </conditionalFormatting>
  <conditionalFormatting sqref="E4:E35">
    <cfRule type="cellIs" dxfId="4761" priority="527" operator="lessThan">
      <formula>0</formula>
    </cfRule>
  </conditionalFormatting>
  <conditionalFormatting sqref="E4:E35">
    <cfRule type="cellIs" dxfId="4760" priority="526" operator="lessThan">
      <formula>0</formula>
    </cfRule>
  </conditionalFormatting>
  <conditionalFormatting sqref="E4:E35">
    <cfRule type="cellIs" dxfId="4759" priority="525" operator="lessThan">
      <formula>0</formula>
    </cfRule>
  </conditionalFormatting>
  <conditionalFormatting sqref="E4:E35">
    <cfRule type="cellIs" dxfId="4758" priority="524" operator="lessThan">
      <formula>0</formula>
    </cfRule>
  </conditionalFormatting>
  <conditionalFormatting sqref="E4:E35">
    <cfRule type="cellIs" dxfId="4757" priority="523" operator="lessThan">
      <formula>0</formula>
    </cfRule>
  </conditionalFormatting>
  <conditionalFormatting sqref="E4:E35">
    <cfRule type="cellIs" dxfId="4756" priority="522" operator="lessThan">
      <formula>0</formula>
    </cfRule>
  </conditionalFormatting>
  <conditionalFormatting sqref="E4:E35">
    <cfRule type="cellIs" dxfId="4755" priority="521" operator="lessThan">
      <formula>0</formula>
    </cfRule>
  </conditionalFormatting>
  <conditionalFormatting sqref="E4:E35">
    <cfRule type="cellIs" dxfId="4754" priority="520" operator="lessThan">
      <formula>0</formula>
    </cfRule>
  </conditionalFormatting>
  <conditionalFormatting sqref="B4:B35">
    <cfRule type="cellIs" dxfId="4753" priority="519" operator="lessThan">
      <formula>0</formula>
    </cfRule>
  </conditionalFormatting>
  <conditionalFormatting sqref="C4:C35">
    <cfRule type="cellIs" dxfId="4752" priority="518" operator="lessThan">
      <formula>0</formula>
    </cfRule>
  </conditionalFormatting>
  <conditionalFormatting sqref="D4:D35">
    <cfRule type="cellIs" dxfId="4751" priority="517" operator="lessThan">
      <formula>0</formula>
    </cfRule>
  </conditionalFormatting>
  <conditionalFormatting sqref="F4:F35">
    <cfRule type="cellIs" dxfId="4750" priority="516" operator="lessThan">
      <formula>0</formula>
    </cfRule>
  </conditionalFormatting>
  <conditionalFormatting sqref="G4:G35">
    <cfRule type="cellIs" dxfId="4749" priority="515" operator="lessThan">
      <formula>0</formula>
    </cfRule>
  </conditionalFormatting>
  <conditionalFormatting sqref="B4:B35">
    <cfRule type="cellIs" dxfId="4748" priority="514" operator="lessThan">
      <formula>0</formula>
    </cfRule>
  </conditionalFormatting>
  <conditionalFormatting sqref="B4:B35">
    <cfRule type="cellIs" dxfId="4747" priority="513" operator="lessThan">
      <formula>0</formula>
    </cfRule>
  </conditionalFormatting>
  <conditionalFormatting sqref="B4:B35">
    <cfRule type="cellIs" dxfId="4746" priority="512" operator="lessThan">
      <formula>0</formula>
    </cfRule>
  </conditionalFormatting>
  <conditionalFormatting sqref="B4:B35">
    <cfRule type="cellIs" dxfId="4745" priority="511" operator="lessThan">
      <formula>0</formula>
    </cfRule>
  </conditionalFormatting>
  <conditionalFormatting sqref="C4:C35">
    <cfRule type="cellIs" dxfId="4744" priority="510" operator="lessThan">
      <formula>0</formula>
    </cfRule>
  </conditionalFormatting>
  <conditionalFormatting sqref="C4:C35">
    <cfRule type="cellIs" dxfId="4743" priority="509" operator="lessThan">
      <formula>0</formula>
    </cfRule>
  </conditionalFormatting>
  <conditionalFormatting sqref="C4:C35">
    <cfRule type="cellIs" dxfId="4742" priority="508" operator="lessThan">
      <formula>0</formula>
    </cfRule>
  </conditionalFormatting>
  <conditionalFormatting sqref="C4:C35">
    <cfRule type="cellIs" dxfId="4741" priority="507" operator="lessThan">
      <formula>0</formula>
    </cfRule>
  </conditionalFormatting>
  <conditionalFormatting sqref="D4:D35">
    <cfRule type="cellIs" dxfId="4740" priority="506" operator="lessThan">
      <formula>0</formula>
    </cfRule>
  </conditionalFormatting>
  <conditionalFormatting sqref="D4:D35">
    <cfRule type="cellIs" dxfId="4739" priority="505" operator="lessThan">
      <formula>0</formula>
    </cfRule>
  </conditionalFormatting>
  <conditionalFormatting sqref="D4:D35">
    <cfRule type="cellIs" dxfId="4738" priority="504" operator="lessThan">
      <formula>0</formula>
    </cfRule>
  </conditionalFormatting>
  <conditionalFormatting sqref="F4:F35">
    <cfRule type="cellIs" dxfId="4737" priority="503" operator="lessThan">
      <formula>0</formula>
    </cfRule>
  </conditionalFormatting>
  <conditionalFormatting sqref="F4:F35">
    <cfRule type="cellIs" dxfId="4736" priority="502" operator="lessThan">
      <formula>0</formula>
    </cfRule>
  </conditionalFormatting>
  <conditionalFormatting sqref="F4:F35">
    <cfRule type="cellIs" dxfId="4735" priority="501" operator="lessThan">
      <formula>0</formula>
    </cfRule>
  </conditionalFormatting>
  <conditionalFormatting sqref="G4:G35">
    <cfRule type="cellIs" dxfId="4734" priority="500" operator="lessThan">
      <formula>0</formula>
    </cfRule>
  </conditionalFormatting>
  <conditionalFormatting sqref="G4:G35">
    <cfRule type="cellIs" dxfId="4733" priority="499" operator="lessThan">
      <formula>0</formula>
    </cfRule>
  </conditionalFormatting>
  <conditionalFormatting sqref="G4:G35">
    <cfRule type="cellIs" dxfId="4732" priority="498" operator="lessThan">
      <formula>0</formula>
    </cfRule>
  </conditionalFormatting>
  <conditionalFormatting sqref="E4:E35">
    <cfRule type="cellIs" dxfId="4731" priority="497" operator="lessThan">
      <formula>0</formula>
    </cfRule>
  </conditionalFormatting>
  <conditionalFormatting sqref="E4:E35">
    <cfRule type="cellIs" dxfId="4730" priority="496" operator="lessThan">
      <formula>0</formula>
    </cfRule>
  </conditionalFormatting>
  <conditionalFormatting sqref="D4:D35">
    <cfRule type="cellIs" dxfId="4729" priority="495" operator="lessThan">
      <formula>0</formula>
    </cfRule>
  </conditionalFormatting>
  <conditionalFormatting sqref="E4:E35">
    <cfRule type="cellIs" dxfId="4728" priority="494" operator="lessThan">
      <formula>0</formula>
    </cfRule>
  </conditionalFormatting>
  <conditionalFormatting sqref="E4:E35">
    <cfRule type="cellIs" dxfId="4727" priority="493" operator="lessThan">
      <formula>0</formula>
    </cfRule>
  </conditionalFormatting>
  <conditionalFormatting sqref="E4:E35">
    <cfRule type="cellIs" dxfId="4726" priority="492" operator="lessThan">
      <formula>0</formula>
    </cfRule>
  </conditionalFormatting>
  <conditionalFormatting sqref="E4:E35">
    <cfRule type="cellIs" dxfId="4725" priority="491" operator="lessThan">
      <formula>0</formula>
    </cfRule>
  </conditionalFormatting>
  <conditionalFormatting sqref="E4:E35">
    <cfRule type="cellIs" dxfId="4724" priority="490" operator="lessThan">
      <formula>0</formula>
    </cfRule>
  </conditionalFormatting>
  <conditionalFormatting sqref="E4:E35">
    <cfRule type="cellIs" dxfId="4723" priority="489" operator="lessThan">
      <formula>0</formula>
    </cfRule>
  </conditionalFormatting>
  <conditionalFormatting sqref="E4:E35">
    <cfRule type="cellIs" dxfId="4722" priority="488" operator="lessThan">
      <formula>0</formula>
    </cfRule>
  </conditionalFormatting>
  <conditionalFormatting sqref="E4:E35">
    <cfRule type="cellIs" dxfId="4721" priority="487" operator="lessThan">
      <formula>0</formula>
    </cfRule>
  </conditionalFormatting>
  <conditionalFormatting sqref="E4:E35">
    <cfRule type="cellIs" dxfId="4720" priority="486" operator="lessThan">
      <formula>0</formula>
    </cfRule>
  </conditionalFormatting>
  <conditionalFormatting sqref="E4:E35">
    <cfRule type="cellIs" dxfId="4719" priority="485" operator="lessThan">
      <formula>0</formula>
    </cfRule>
  </conditionalFormatting>
  <conditionalFormatting sqref="E4:E35">
    <cfRule type="cellIs" dxfId="4718" priority="484" operator="lessThan">
      <formula>0</formula>
    </cfRule>
  </conditionalFormatting>
  <conditionalFormatting sqref="E4:E35">
    <cfRule type="cellIs" dxfId="4717" priority="483" operator="lessThan">
      <formula>0</formula>
    </cfRule>
  </conditionalFormatting>
  <conditionalFormatting sqref="B4:B35">
    <cfRule type="cellIs" dxfId="4716" priority="482" operator="lessThan">
      <formula>0</formula>
    </cfRule>
  </conditionalFormatting>
  <conditionalFormatting sqref="B4:B35">
    <cfRule type="cellIs" dxfId="4715" priority="481" operator="lessThan">
      <formula>0</formula>
    </cfRule>
  </conditionalFormatting>
  <conditionalFormatting sqref="C4:C35">
    <cfRule type="cellIs" dxfId="4714" priority="480" operator="lessThan">
      <formula>0</formula>
    </cfRule>
  </conditionalFormatting>
  <conditionalFormatting sqref="C4:C35">
    <cfRule type="cellIs" dxfId="4713" priority="479" operator="lessThan">
      <formula>0</formula>
    </cfRule>
  </conditionalFormatting>
  <conditionalFormatting sqref="D4:D35">
    <cfRule type="cellIs" dxfId="4712" priority="478" operator="lessThan">
      <formula>0</formula>
    </cfRule>
  </conditionalFormatting>
  <conditionalFormatting sqref="D4:D35">
    <cfRule type="cellIs" dxfId="4711" priority="477" operator="lessThan">
      <formula>0</formula>
    </cfRule>
  </conditionalFormatting>
  <conditionalFormatting sqref="D4:D35">
    <cfRule type="cellIs" dxfId="4710" priority="476" operator="lessThan">
      <formula>0</formula>
    </cfRule>
  </conditionalFormatting>
  <conditionalFormatting sqref="D4:D35">
    <cfRule type="cellIs" dxfId="4709" priority="475" operator="lessThan">
      <formula>0</formula>
    </cfRule>
  </conditionalFormatting>
  <conditionalFormatting sqref="D4:D35">
    <cfRule type="cellIs" dxfId="4708" priority="474" operator="lessThan">
      <formula>0</formula>
    </cfRule>
  </conditionalFormatting>
  <conditionalFormatting sqref="D4:D35">
    <cfRule type="cellIs" dxfId="4707" priority="473" operator="lessThan">
      <formula>0</formula>
    </cfRule>
  </conditionalFormatting>
  <conditionalFormatting sqref="D4:D35">
    <cfRule type="cellIs" dxfId="4706" priority="472" operator="lessThan">
      <formula>0</formula>
    </cfRule>
  </conditionalFormatting>
  <conditionalFormatting sqref="D4:D35">
    <cfRule type="cellIs" dxfId="4705" priority="471" operator="lessThan">
      <formula>0</formula>
    </cfRule>
  </conditionalFormatting>
  <conditionalFormatting sqref="D4:D35">
    <cfRule type="cellIs" dxfId="4704" priority="470" operator="lessThan">
      <formula>0</formula>
    </cfRule>
  </conditionalFormatting>
  <conditionalFormatting sqref="D4:D35">
    <cfRule type="cellIs" dxfId="4703" priority="469" operator="lessThan">
      <formula>0</formula>
    </cfRule>
  </conditionalFormatting>
  <conditionalFormatting sqref="D4:D35">
    <cfRule type="cellIs" dxfId="4702" priority="468" operator="lessThan">
      <formula>0</formula>
    </cfRule>
  </conditionalFormatting>
  <conditionalFormatting sqref="D4:D35">
    <cfRule type="cellIs" dxfId="4701" priority="467" operator="lessThan">
      <formula>0</formula>
    </cfRule>
  </conditionalFormatting>
  <conditionalFormatting sqref="D4:D35">
    <cfRule type="cellIs" dxfId="4700" priority="466" operator="lessThan">
      <formula>0</formula>
    </cfRule>
  </conditionalFormatting>
  <conditionalFormatting sqref="D4:D35">
    <cfRule type="cellIs" dxfId="4699" priority="465" operator="lessThan">
      <formula>0</formula>
    </cfRule>
  </conditionalFormatting>
  <conditionalFormatting sqref="E4:E35">
    <cfRule type="cellIs" dxfId="4698" priority="464" operator="lessThan">
      <formula>0</formula>
    </cfRule>
  </conditionalFormatting>
  <conditionalFormatting sqref="B4:B35">
    <cfRule type="cellIs" dxfId="4697" priority="463" operator="lessThan">
      <formula>0</formula>
    </cfRule>
  </conditionalFormatting>
  <conditionalFormatting sqref="C4:C35">
    <cfRule type="cellIs" dxfId="4696" priority="462" operator="lessThan">
      <formula>0</formula>
    </cfRule>
  </conditionalFormatting>
  <conditionalFormatting sqref="D4:D35">
    <cfRule type="cellIs" dxfId="4695" priority="461" operator="lessThan">
      <formula>0</formula>
    </cfRule>
  </conditionalFormatting>
  <conditionalFormatting sqref="F4:F35">
    <cfRule type="cellIs" dxfId="4694" priority="460" operator="lessThan">
      <formula>0</formula>
    </cfRule>
  </conditionalFormatting>
  <conditionalFormatting sqref="G4:G35">
    <cfRule type="cellIs" dxfId="4693" priority="459" operator="lessThan">
      <formula>0</formula>
    </cfRule>
  </conditionalFormatting>
  <conditionalFormatting sqref="D4:D35">
    <cfRule type="cellIs" dxfId="4692" priority="458" operator="lessThan">
      <formula>0</formula>
    </cfRule>
  </conditionalFormatting>
  <conditionalFormatting sqref="D4:D35">
    <cfRule type="cellIs" dxfId="4691" priority="457" operator="lessThan">
      <formula>0</formula>
    </cfRule>
  </conditionalFormatting>
  <conditionalFormatting sqref="D4:D35">
    <cfRule type="cellIs" dxfId="4690" priority="456" operator="lessThan">
      <formula>0</formula>
    </cfRule>
  </conditionalFormatting>
  <conditionalFormatting sqref="D4:D35">
    <cfRule type="cellIs" dxfId="4689" priority="455" operator="lessThan">
      <formula>0</formula>
    </cfRule>
  </conditionalFormatting>
  <conditionalFormatting sqref="D4:D35">
    <cfRule type="cellIs" dxfId="4688" priority="454" operator="lessThan">
      <formula>0</formula>
    </cfRule>
  </conditionalFormatting>
  <conditionalFormatting sqref="D4:D35">
    <cfRule type="cellIs" dxfId="4687" priority="453" operator="lessThan">
      <formula>0</formula>
    </cfRule>
  </conditionalFormatting>
  <conditionalFormatting sqref="D4:D35">
    <cfRule type="cellIs" dxfId="4686" priority="452" operator="lessThan">
      <formula>0</formula>
    </cfRule>
  </conditionalFormatting>
  <conditionalFormatting sqref="D4:D35">
    <cfRule type="cellIs" dxfId="4685" priority="451" operator="lessThan">
      <formula>0</formula>
    </cfRule>
  </conditionalFormatting>
  <conditionalFormatting sqref="D4:D35">
    <cfRule type="cellIs" dxfId="4684" priority="450" operator="lessThan">
      <formula>0</formula>
    </cfRule>
  </conditionalFormatting>
  <conditionalFormatting sqref="D4:D35">
    <cfRule type="cellIs" dxfId="4683" priority="449" operator="lessThan">
      <formula>0</formula>
    </cfRule>
  </conditionalFormatting>
  <conditionalFormatting sqref="D4:D35">
    <cfRule type="cellIs" dxfId="4682" priority="448" operator="lessThan">
      <formula>0</formula>
    </cfRule>
  </conditionalFormatting>
  <conditionalFormatting sqref="D4:D35">
    <cfRule type="cellIs" dxfId="4681" priority="447" operator="lessThan">
      <formula>0</formula>
    </cfRule>
  </conditionalFormatting>
  <conditionalFormatting sqref="D4:D35">
    <cfRule type="cellIs" dxfId="4680" priority="446" operator="lessThan">
      <formula>0</formula>
    </cfRule>
  </conditionalFormatting>
  <conditionalFormatting sqref="D4:D35">
    <cfRule type="cellIs" dxfId="4679" priority="445" operator="lessThan">
      <formula>0</formula>
    </cfRule>
  </conditionalFormatting>
  <conditionalFormatting sqref="D4:D35">
    <cfRule type="cellIs" dxfId="4678" priority="444" operator="lessThan">
      <formula>0</formula>
    </cfRule>
  </conditionalFormatting>
  <conditionalFormatting sqref="D4:D35">
    <cfRule type="cellIs" dxfId="4677" priority="443" operator="lessThan">
      <formula>0</formula>
    </cfRule>
  </conditionalFormatting>
  <conditionalFormatting sqref="D4:D35">
    <cfRule type="cellIs" dxfId="4676" priority="442" operator="lessThan">
      <formula>0</formula>
    </cfRule>
  </conditionalFormatting>
  <conditionalFormatting sqref="D4:D35">
    <cfRule type="cellIs" dxfId="4675" priority="441" operator="lessThan">
      <formula>0</formula>
    </cfRule>
  </conditionalFormatting>
  <conditionalFormatting sqref="D4:D35">
    <cfRule type="cellIs" dxfId="4674" priority="440" operator="lessThan">
      <formula>0</formula>
    </cfRule>
  </conditionalFormatting>
  <conditionalFormatting sqref="D4:D35">
    <cfRule type="cellIs" dxfId="4673" priority="439" operator="lessThan">
      <formula>0</formula>
    </cfRule>
  </conditionalFormatting>
  <conditionalFormatting sqref="D4:D35">
    <cfRule type="cellIs" dxfId="4672" priority="438" operator="lessThan">
      <formula>0</formula>
    </cfRule>
  </conditionalFormatting>
  <conditionalFormatting sqref="D4:D35">
    <cfRule type="cellIs" dxfId="4671" priority="437" operator="lessThan">
      <formula>0</formula>
    </cfRule>
  </conditionalFormatting>
  <conditionalFormatting sqref="D4:D35">
    <cfRule type="cellIs" dxfId="4670" priority="436" operator="lessThan">
      <formula>0</formula>
    </cfRule>
  </conditionalFormatting>
  <conditionalFormatting sqref="D4:D35">
    <cfRule type="cellIs" dxfId="4669" priority="435" operator="lessThan">
      <formula>0</formula>
    </cfRule>
  </conditionalFormatting>
  <conditionalFormatting sqref="D4:D35">
    <cfRule type="cellIs" dxfId="4668" priority="434" operator="lessThan">
      <formula>0</formula>
    </cfRule>
  </conditionalFormatting>
  <conditionalFormatting sqref="D4:D35">
    <cfRule type="cellIs" dxfId="4667" priority="433" operator="lessThan">
      <formula>0</formula>
    </cfRule>
  </conditionalFormatting>
  <conditionalFormatting sqref="D4:D35">
    <cfRule type="cellIs" dxfId="4666" priority="432" operator="lessThan">
      <formula>0</formula>
    </cfRule>
  </conditionalFormatting>
  <conditionalFormatting sqref="D4:D35">
    <cfRule type="cellIs" dxfId="4665" priority="431" operator="lessThan">
      <formula>0</formula>
    </cfRule>
  </conditionalFormatting>
  <conditionalFormatting sqref="D4:D35">
    <cfRule type="cellIs" dxfId="4664" priority="430" operator="lessThan">
      <formula>0</formula>
    </cfRule>
  </conditionalFormatting>
  <conditionalFormatting sqref="D4:D35">
    <cfRule type="cellIs" dxfId="4663" priority="429" operator="lessThan">
      <formula>0</formula>
    </cfRule>
  </conditionalFormatting>
  <conditionalFormatting sqref="D4:D35">
    <cfRule type="cellIs" dxfId="4662" priority="428" operator="lessThan">
      <formula>0</formula>
    </cfRule>
  </conditionalFormatting>
  <conditionalFormatting sqref="D4:D35">
    <cfRule type="cellIs" dxfId="4661" priority="427" operator="lessThan">
      <formula>0</formula>
    </cfRule>
  </conditionalFormatting>
  <conditionalFormatting sqref="D4:D35">
    <cfRule type="cellIs" dxfId="4660" priority="426" operator="lessThan">
      <formula>0</formula>
    </cfRule>
  </conditionalFormatting>
  <conditionalFormatting sqref="D4:D35">
    <cfRule type="cellIs" dxfId="4659" priority="425" operator="lessThan">
      <formula>0</formula>
    </cfRule>
  </conditionalFormatting>
  <conditionalFormatting sqref="D4:D35">
    <cfRule type="cellIs" dxfId="4658" priority="424" operator="lessThan">
      <formula>0</formula>
    </cfRule>
  </conditionalFormatting>
  <conditionalFormatting sqref="D4:D35">
    <cfRule type="cellIs" dxfId="4657" priority="423" operator="lessThan">
      <formula>0</formula>
    </cfRule>
  </conditionalFormatting>
  <conditionalFormatting sqref="D4:D35">
    <cfRule type="cellIs" dxfId="4656" priority="422" operator="lessThan">
      <formula>0</formula>
    </cfRule>
  </conditionalFormatting>
  <conditionalFormatting sqref="D4:D35">
    <cfRule type="cellIs" dxfId="4655" priority="421" operator="lessThan">
      <formula>0</formula>
    </cfRule>
  </conditionalFormatting>
  <conditionalFormatting sqref="D4:D35">
    <cfRule type="cellIs" dxfId="4654" priority="420" operator="lessThan">
      <formula>0</formula>
    </cfRule>
  </conditionalFormatting>
  <conditionalFormatting sqref="D4:D35">
    <cfRule type="cellIs" dxfId="4653" priority="419" operator="lessThan">
      <formula>0</formula>
    </cfRule>
  </conditionalFormatting>
  <conditionalFormatting sqref="D4:D35">
    <cfRule type="cellIs" dxfId="4652" priority="418" operator="lessThan">
      <formula>0</formula>
    </cfRule>
  </conditionalFormatting>
  <conditionalFormatting sqref="D4:D35">
    <cfRule type="cellIs" dxfId="4651" priority="417" operator="lessThan">
      <formula>0</formula>
    </cfRule>
  </conditionalFormatting>
  <conditionalFormatting sqref="D4:D35">
    <cfRule type="cellIs" dxfId="4650" priority="416" operator="lessThan">
      <formula>0</formula>
    </cfRule>
  </conditionalFormatting>
  <conditionalFormatting sqref="D4:D35">
    <cfRule type="cellIs" dxfId="4649" priority="415" operator="lessThan">
      <formula>0</formula>
    </cfRule>
  </conditionalFormatting>
  <conditionalFormatting sqref="D4:D35">
    <cfRule type="cellIs" dxfId="4648" priority="414" operator="lessThan">
      <formula>0</formula>
    </cfRule>
  </conditionalFormatting>
  <conditionalFormatting sqref="D4:D35">
    <cfRule type="cellIs" dxfId="4647" priority="413" operator="lessThan">
      <formula>0</formula>
    </cfRule>
  </conditionalFormatting>
  <conditionalFormatting sqref="D4:D35">
    <cfRule type="cellIs" dxfId="4646" priority="412" operator="lessThan">
      <formula>0</formula>
    </cfRule>
  </conditionalFormatting>
  <conditionalFormatting sqref="D4:D35">
    <cfRule type="cellIs" dxfId="4645" priority="411" operator="lessThan">
      <formula>0</formula>
    </cfRule>
  </conditionalFormatting>
  <conditionalFormatting sqref="D4:D35">
    <cfRule type="cellIs" dxfId="4644" priority="410" operator="lessThan">
      <formula>0</formula>
    </cfRule>
  </conditionalFormatting>
  <conditionalFormatting sqref="D4:D35">
    <cfRule type="cellIs" dxfId="4643" priority="409" operator="lessThan">
      <formula>0</formula>
    </cfRule>
  </conditionalFormatting>
  <conditionalFormatting sqref="D4:D35">
    <cfRule type="cellIs" dxfId="4642" priority="408" operator="lessThan">
      <formula>0</formula>
    </cfRule>
  </conditionalFormatting>
  <conditionalFormatting sqref="D4:D35">
    <cfRule type="cellIs" dxfId="4641" priority="407" operator="lessThan">
      <formula>0</formula>
    </cfRule>
  </conditionalFormatting>
  <conditionalFormatting sqref="D4:D35">
    <cfRule type="cellIs" dxfId="4640" priority="406" operator="lessThan">
      <formula>0</formula>
    </cfRule>
  </conditionalFormatting>
  <conditionalFormatting sqref="D4:D35">
    <cfRule type="cellIs" dxfId="4639" priority="405" operator="lessThan">
      <formula>0</formula>
    </cfRule>
  </conditionalFormatting>
  <conditionalFormatting sqref="D4:D35">
    <cfRule type="cellIs" dxfId="4638" priority="404" operator="lessThan">
      <formula>0</formula>
    </cfRule>
  </conditionalFormatting>
  <conditionalFormatting sqref="D4:D35">
    <cfRule type="cellIs" dxfId="4637" priority="403" operator="lessThan">
      <formula>0</formula>
    </cfRule>
  </conditionalFormatting>
  <conditionalFormatting sqref="D4:D35">
    <cfRule type="cellIs" dxfId="4636" priority="402" operator="lessThan">
      <formula>0</formula>
    </cfRule>
  </conditionalFormatting>
  <conditionalFormatting sqref="D4:D35">
    <cfRule type="cellIs" dxfId="4635" priority="401" operator="lessThan">
      <formula>0</formula>
    </cfRule>
  </conditionalFormatting>
  <conditionalFormatting sqref="D4:D35">
    <cfRule type="cellIs" dxfId="4634" priority="400" operator="lessThan">
      <formula>0</formula>
    </cfRule>
  </conditionalFormatting>
  <conditionalFormatting sqref="D4:D35">
    <cfRule type="cellIs" dxfId="4633" priority="399" operator="lessThan">
      <formula>0</formula>
    </cfRule>
  </conditionalFormatting>
  <conditionalFormatting sqref="D4:D35">
    <cfRule type="cellIs" dxfId="4632" priority="398" operator="lessThan">
      <formula>0</formula>
    </cfRule>
  </conditionalFormatting>
  <conditionalFormatting sqref="D4:D35">
    <cfRule type="cellIs" dxfId="4631" priority="397" operator="lessThan">
      <formula>0</formula>
    </cfRule>
  </conditionalFormatting>
  <conditionalFormatting sqref="D4:D35">
    <cfRule type="cellIs" dxfId="4630" priority="396" operator="lessThan">
      <formula>0</formula>
    </cfRule>
  </conditionalFormatting>
  <conditionalFormatting sqref="D4:D35">
    <cfRule type="cellIs" dxfId="4629" priority="395" operator="lessThan">
      <formula>0</formula>
    </cfRule>
  </conditionalFormatting>
  <conditionalFormatting sqref="D4:D35">
    <cfRule type="cellIs" dxfId="4628" priority="394" operator="lessThan">
      <formula>0</formula>
    </cfRule>
  </conditionalFormatting>
  <conditionalFormatting sqref="D4:D35">
    <cfRule type="cellIs" dxfId="4627" priority="393" operator="lessThan">
      <formula>0</formula>
    </cfRule>
  </conditionalFormatting>
  <conditionalFormatting sqref="D4:D35">
    <cfRule type="cellIs" dxfId="4626" priority="392" operator="lessThan">
      <formula>0</formula>
    </cfRule>
  </conditionalFormatting>
  <conditionalFormatting sqref="D4:D35">
    <cfRule type="cellIs" dxfId="4625" priority="391" operator="lessThan">
      <formula>0</formula>
    </cfRule>
  </conditionalFormatting>
  <conditionalFormatting sqref="D4:D35">
    <cfRule type="cellIs" dxfId="4624" priority="390" operator="lessThan">
      <formula>0</formula>
    </cfRule>
  </conditionalFormatting>
  <conditionalFormatting sqref="D4:D35">
    <cfRule type="cellIs" dxfId="4623" priority="389" operator="lessThan">
      <formula>0</formula>
    </cfRule>
  </conditionalFormatting>
  <conditionalFormatting sqref="D4:D35">
    <cfRule type="cellIs" dxfId="4622" priority="388" operator="lessThan">
      <formula>0</formula>
    </cfRule>
  </conditionalFormatting>
  <conditionalFormatting sqref="D4:D35">
    <cfRule type="cellIs" dxfId="4621" priority="387" operator="lessThan">
      <formula>0</formula>
    </cfRule>
  </conditionalFormatting>
  <conditionalFormatting sqref="D4:D35">
    <cfRule type="cellIs" dxfId="4620" priority="386" operator="lessThan">
      <formula>0</formula>
    </cfRule>
  </conditionalFormatting>
  <conditionalFormatting sqref="D4:D35">
    <cfRule type="cellIs" dxfId="4619" priority="385" operator="lessThan">
      <formula>0</formula>
    </cfRule>
  </conditionalFormatting>
  <conditionalFormatting sqref="D4:D35">
    <cfRule type="cellIs" dxfId="4618" priority="384" operator="lessThan">
      <formula>0</formula>
    </cfRule>
  </conditionalFormatting>
  <conditionalFormatting sqref="D4:D35">
    <cfRule type="cellIs" dxfId="4617" priority="383" operator="lessThan">
      <formula>0</formula>
    </cfRule>
  </conditionalFormatting>
  <conditionalFormatting sqref="D4:D35">
    <cfRule type="cellIs" dxfId="4616" priority="382" operator="lessThan">
      <formula>0</formula>
    </cfRule>
  </conditionalFormatting>
  <conditionalFormatting sqref="D4:D35">
    <cfRule type="cellIs" dxfId="4615" priority="381" operator="lessThan">
      <formula>0</formula>
    </cfRule>
  </conditionalFormatting>
  <conditionalFormatting sqref="D4:D35">
    <cfRule type="cellIs" dxfId="4614" priority="380" operator="lessThan">
      <formula>0</formula>
    </cfRule>
  </conditionalFormatting>
  <conditionalFormatting sqref="D4:D35">
    <cfRule type="cellIs" dxfId="4613" priority="379" operator="lessThan">
      <formula>0</formula>
    </cfRule>
  </conditionalFormatting>
  <conditionalFormatting sqref="D4:D35">
    <cfRule type="cellIs" dxfId="4612" priority="378" operator="lessThan">
      <formula>0</formula>
    </cfRule>
  </conditionalFormatting>
  <conditionalFormatting sqref="D4:D35">
    <cfRule type="cellIs" dxfId="4611" priority="377" operator="lessThan">
      <formula>0</formula>
    </cfRule>
  </conditionalFormatting>
  <conditionalFormatting sqref="D4:D35">
    <cfRule type="cellIs" dxfId="4610" priority="376" operator="lessThan">
      <formula>0</formula>
    </cfRule>
  </conditionalFormatting>
  <conditionalFormatting sqref="D4:D35">
    <cfRule type="cellIs" dxfId="4609" priority="375" operator="lessThan">
      <formula>0</formula>
    </cfRule>
  </conditionalFormatting>
  <conditionalFormatting sqref="D4:D35">
    <cfRule type="cellIs" dxfId="4608" priority="374" operator="lessThan">
      <formula>0</formula>
    </cfRule>
  </conditionalFormatting>
  <conditionalFormatting sqref="E4:E35">
    <cfRule type="cellIs" dxfId="4607" priority="373" operator="lessThan">
      <formula>0</formula>
    </cfRule>
  </conditionalFormatting>
  <conditionalFormatting sqref="E4:E35">
    <cfRule type="cellIs" dxfId="4606" priority="372" operator="lessThan">
      <formula>0</formula>
    </cfRule>
  </conditionalFormatting>
  <conditionalFormatting sqref="E4:E35">
    <cfRule type="cellIs" dxfId="4605" priority="371" operator="lessThan">
      <formula>0</formula>
    </cfRule>
  </conditionalFormatting>
  <conditionalFormatting sqref="E4:E35">
    <cfRule type="cellIs" dxfId="4604" priority="370" operator="lessThan">
      <formula>0</formula>
    </cfRule>
  </conditionalFormatting>
  <conditionalFormatting sqref="E4:E35">
    <cfRule type="cellIs" dxfId="4603" priority="369" operator="lessThan">
      <formula>0</formula>
    </cfRule>
  </conditionalFormatting>
  <conditionalFormatting sqref="E4:E35">
    <cfRule type="cellIs" dxfId="4602" priority="368" operator="lessThan">
      <formula>0</formula>
    </cfRule>
  </conditionalFormatting>
  <conditionalFormatting sqref="E4:E35">
    <cfRule type="cellIs" dxfId="4601" priority="367" operator="lessThan">
      <formula>0</formula>
    </cfRule>
  </conditionalFormatting>
  <conditionalFormatting sqref="E4:E35">
    <cfRule type="cellIs" dxfId="4600" priority="366" operator="lessThan">
      <formula>0</formula>
    </cfRule>
  </conditionalFormatting>
  <conditionalFormatting sqref="E4:E35">
    <cfRule type="cellIs" dxfId="4599" priority="365" operator="lessThan">
      <formula>0</formula>
    </cfRule>
  </conditionalFormatting>
  <conditionalFormatting sqref="E4:E35">
    <cfRule type="cellIs" dxfId="4598" priority="364" operator="lessThan">
      <formula>0</formula>
    </cfRule>
  </conditionalFormatting>
  <conditionalFormatting sqref="E4:E35">
    <cfRule type="cellIs" dxfId="4597" priority="363" operator="lessThan">
      <formula>0</formula>
    </cfRule>
  </conditionalFormatting>
  <conditionalFormatting sqref="E4:E35">
    <cfRule type="cellIs" dxfId="4596" priority="362" operator="lessThan">
      <formula>0</formula>
    </cfRule>
  </conditionalFormatting>
  <conditionalFormatting sqref="E4:E35">
    <cfRule type="cellIs" dxfId="4595" priority="361" operator="lessThan">
      <formula>0</formula>
    </cfRule>
  </conditionalFormatting>
  <conditionalFormatting sqref="E4:E35">
    <cfRule type="cellIs" dxfId="4594" priority="360" operator="lessThan">
      <formula>0</formula>
    </cfRule>
  </conditionalFormatting>
  <conditionalFormatting sqref="E4:E35">
    <cfRule type="cellIs" dxfId="4593" priority="359" operator="lessThan">
      <formula>0</formula>
    </cfRule>
  </conditionalFormatting>
  <conditionalFormatting sqref="E4:E35">
    <cfRule type="cellIs" dxfId="4592" priority="358" operator="lessThan">
      <formula>0</formula>
    </cfRule>
  </conditionalFormatting>
  <conditionalFormatting sqref="E4:E35">
    <cfRule type="cellIs" dxfId="4591" priority="357" operator="lessThan">
      <formula>0</formula>
    </cfRule>
  </conditionalFormatting>
  <conditionalFormatting sqref="E4:E35">
    <cfRule type="cellIs" dxfId="4590" priority="356" operator="lessThan">
      <formula>0</formula>
    </cfRule>
  </conditionalFormatting>
  <conditionalFormatting sqref="E4:E35">
    <cfRule type="cellIs" dxfId="4589" priority="355" operator="lessThan">
      <formula>0</formula>
    </cfRule>
  </conditionalFormatting>
  <conditionalFormatting sqref="E4:E35">
    <cfRule type="cellIs" dxfId="4588" priority="354" operator="lessThan">
      <formula>0</formula>
    </cfRule>
  </conditionalFormatting>
  <conditionalFormatting sqref="E4:E35">
    <cfRule type="cellIs" dxfId="4587" priority="353" operator="lessThan">
      <formula>0</formula>
    </cfRule>
  </conditionalFormatting>
  <conditionalFormatting sqref="E4:E35">
    <cfRule type="cellIs" dxfId="4586" priority="352" operator="lessThan">
      <formula>0</formula>
    </cfRule>
  </conditionalFormatting>
  <conditionalFormatting sqref="E4:E35">
    <cfRule type="cellIs" dxfId="4585" priority="351" operator="lessThan">
      <formula>0</formula>
    </cfRule>
  </conditionalFormatting>
  <conditionalFormatting sqref="E4:E35">
    <cfRule type="cellIs" dxfId="4584" priority="350" operator="lessThan">
      <formula>0</formula>
    </cfRule>
  </conditionalFormatting>
  <conditionalFormatting sqref="E4:E35">
    <cfRule type="cellIs" dxfId="4583" priority="349" operator="lessThan">
      <formula>0</formula>
    </cfRule>
  </conditionalFormatting>
  <conditionalFormatting sqref="E4:E35">
    <cfRule type="cellIs" dxfId="4582" priority="348" operator="lessThan">
      <formula>0</formula>
    </cfRule>
  </conditionalFormatting>
  <conditionalFormatting sqref="E4:E35">
    <cfRule type="cellIs" dxfId="4581" priority="347" operator="lessThan">
      <formula>0</formula>
    </cfRule>
  </conditionalFormatting>
  <conditionalFormatting sqref="E4:E35">
    <cfRule type="cellIs" dxfId="4580" priority="346" operator="lessThan">
      <formula>0</formula>
    </cfRule>
  </conditionalFormatting>
  <conditionalFormatting sqref="E4:E35">
    <cfRule type="cellIs" dxfId="4579" priority="345" operator="lessThan">
      <formula>0</formula>
    </cfRule>
  </conditionalFormatting>
  <conditionalFormatting sqref="B11:B25">
    <cfRule type="cellIs" dxfId="4578" priority="344" operator="lessThan">
      <formula>0</formula>
    </cfRule>
  </conditionalFormatting>
  <conditionalFormatting sqref="C11:C25">
    <cfRule type="cellIs" dxfId="4577" priority="343" operator="lessThan">
      <formula>0</formula>
    </cfRule>
  </conditionalFormatting>
  <conditionalFormatting sqref="E11:E35">
    <cfRule type="cellIs" dxfId="4576" priority="342" operator="lessThan">
      <formula>0</formula>
    </cfRule>
  </conditionalFormatting>
  <conditionalFormatting sqref="G11:G24">
    <cfRule type="cellIs" dxfId="4575" priority="341" operator="lessThan">
      <formula>0</formula>
    </cfRule>
  </conditionalFormatting>
  <conditionalFormatting sqref="F11:F24">
    <cfRule type="cellIs" dxfId="4574" priority="340" operator="lessThan">
      <formula>0</formula>
    </cfRule>
  </conditionalFormatting>
  <conditionalFormatting sqref="G11:G25">
    <cfRule type="cellIs" dxfId="4573" priority="339" operator="lessThan">
      <formula>0</formula>
    </cfRule>
  </conditionalFormatting>
  <conditionalFormatting sqref="F11:F25">
    <cfRule type="cellIs" dxfId="4572" priority="338" operator="lessThan">
      <formula>0</formula>
    </cfRule>
  </conditionalFormatting>
  <conditionalFormatting sqref="B26:B33">
    <cfRule type="cellIs" dxfId="4571" priority="337" operator="lessThan">
      <formula>0</formula>
    </cfRule>
  </conditionalFormatting>
  <conditionalFormatting sqref="C26:C33">
    <cfRule type="cellIs" dxfId="4570" priority="336" operator="lessThan">
      <formula>0</formula>
    </cfRule>
  </conditionalFormatting>
  <conditionalFormatting sqref="E26:E33">
    <cfRule type="cellIs" dxfId="4569" priority="335" operator="lessThan">
      <formula>0</formula>
    </cfRule>
  </conditionalFormatting>
  <conditionalFormatting sqref="G26:G33">
    <cfRule type="cellIs" dxfId="4568" priority="334" operator="lessThan">
      <formula>0</formula>
    </cfRule>
  </conditionalFormatting>
  <conditionalFormatting sqref="F26:F33">
    <cfRule type="cellIs" dxfId="4567" priority="333" operator="lessThan">
      <formula>0</formula>
    </cfRule>
  </conditionalFormatting>
  <conditionalFormatting sqref="F4:F35">
    <cfRule type="cellIs" dxfId="4566" priority="332" operator="lessThan">
      <formula>0</formula>
    </cfRule>
  </conditionalFormatting>
  <conditionalFormatting sqref="F4:F35">
    <cfRule type="cellIs" dxfId="4565" priority="331" operator="lessThan">
      <formula>0</formula>
    </cfRule>
  </conditionalFormatting>
  <conditionalFormatting sqref="F4:F35">
    <cfRule type="cellIs" dxfId="4564" priority="330" operator="lessThan">
      <formula>0</formula>
    </cfRule>
  </conditionalFormatting>
  <conditionalFormatting sqref="F4:F35">
    <cfRule type="cellIs" dxfId="4563" priority="329" operator="lessThan">
      <formula>0</formula>
    </cfRule>
  </conditionalFormatting>
  <conditionalFormatting sqref="F4:F35">
    <cfRule type="cellIs" dxfId="4562" priority="328" operator="lessThan">
      <formula>0</formula>
    </cfRule>
  </conditionalFormatting>
  <conditionalFormatting sqref="F4:F35">
    <cfRule type="cellIs" dxfId="4561" priority="327" operator="lessThan">
      <formula>0</formula>
    </cfRule>
  </conditionalFormatting>
  <conditionalFormatting sqref="F4:F35">
    <cfRule type="cellIs" dxfId="4560" priority="326" operator="lessThan">
      <formula>0</formula>
    </cfRule>
  </conditionalFormatting>
  <conditionalFormatting sqref="F4:F35">
    <cfRule type="cellIs" dxfId="4559" priority="325" operator="lessThan">
      <formula>0</formula>
    </cfRule>
  </conditionalFormatting>
  <conditionalFormatting sqref="F4:F35">
    <cfRule type="cellIs" dxfId="4558" priority="324" operator="lessThan">
      <formula>0</formula>
    </cfRule>
  </conditionalFormatting>
  <conditionalFormatting sqref="F4:F35">
    <cfRule type="cellIs" dxfId="4557" priority="323" operator="lessThan">
      <formula>0</formula>
    </cfRule>
  </conditionalFormatting>
  <conditionalFormatting sqref="F4:F35">
    <cfRule type="cellIs" dxfId="4556" priority="322" operator="lessThan">
      <formula>0</formula>
    </cfRule>
  </conditionalFormatting>
  <conditionalFormatting sqref="F4:F35">
    <cfRule type="cellIs" dxfId="4555" priority="321" operator="lessThan">
      <formula>0</formula>
    </cfRule>
  </conditionalFormatting>
  <conditionalFormatting sqref="F5:F10">
    <cfRule type="cellIs" dxfId="4554" priority="320" operator="lessThan">
      <formula>0</formula>
    </cfRule>
  </conditionalFormatting>
  <conditionalFormatting sqref="F5:F10">
    <cfRule type="cellIs" dxfId="4553" priority="319" operator="lessThan">
      <formula>0</formula>
    </cfRule>
  </conditionalFormatting>
  <conditionalFormatting sqref="F4:F35">
    <cfRule type="cellIs" dxfId="4552" priority="318" operator="lessThan">
      <formula>0</formula>
    </cfRule>
  </conditionalFormatting>
  <conditionalFormatting sqref="F4:F35">
    <cfRule type="cellIs" dxfId="4551" priority="317" operator="lessThan">
      <formula>0</formula>
    </cfRule>
  </conditionalFormatting>
  <conditionalFormatting sqref="F4:F35">
    <cfRule type="cellIs" dxfId="4550" priority="316" operator="lessThan">
      <formula>0</formula>
    </cfRule>
  </conditionalFormatting>
  <conditionalFormatting sqref="F4:F35">
    <cfRule type="cellIs" dxfId="4549" priority="315" operator="lessThan">
      <formula>0</formula>
    </cfRule>
  </conditionalFormatting>
  <conditionalFormatting sqref="F4:F35">
    <cfRule type="cellIs" dxfId="4548" priority="314" operator="lessThan">
      <formula>0</formula>
    </cfRule>
  </conditionalFormatting>
  <conditionalFormatting sqref="F5">
    <cfRule type="cellIs" dxfId="4547" priority="313" operator="lessThan">
      <formula>0</formula>
    </cfRule>
  </conditionalFormatting>
  <conditionalFormatting sqref="F4:F35">
    <cfRule type="cellIs" dxfId="4546" priority="312" operator="lessThan">
      <formula>0</formula>
    </cfRule>
  </conditionalFormatting>
  <conditionalFormatting sqref="F4:F35">
    <cfRule type="cellIs" dxfId="4545" priority="311" operator="lessThan">
      <formula>0</formula>
    </cfRule>
  </conditionalFormatting>
  <conditionalFormatting sqref="F4:F35">
    <cfRule type="cellIs" dxfId="4544" priority="310" operator="lessThan">
      <formula>0</formula>
    </cfRule>
  </conditionalFormatting>
  <conditionalFormatting sqref="F4:F35">
    <cfRule type="cellIs" dxfId="4543" priority="309" operator="lessThan">
      <formula>0</formula>
    </cfRule>
  </conditionalFormatting>
  <conditionalFormatting sqref="F4:F35">
    <cfRule type="cellIs" dxfId="4542" priority="308" operator="lessThan">
      <formula>0</formula>
    </cfRule>
  </conditionalFormatting>
  <conditionalFormatting sqref="F4:F35">
    <cfRule type="cellIs" dxfId="4541" priority="307" operator="lessThan">
      <formula>0</formula>
    </cfRule>
  </conditionalFormatting>
  <conditionalFormatting sqref="F4:F35">
    <cfRule type="cellIs" dxfId="4540" priority="306" operator="lessThan">
      <formula>0</formula>
    </cfRule>
  </conditionalFormatting>
  <conditionalFormatting sqref="F4:F35">
    <cfRule type="cellIs" dxfId="4539" priority="305" operator="lessThan">
      <formula>0</formula>
    </cfRule>
  </conditionalFormatting>
  <conditionalFormatting sqref="F4:F35">
    <cfRule type="cellIs" dxfId="4538" priority="304" operator="lessThan">
      <formula>0</formula>
    </cfRule>
  </conditionalFormatting>
  <conditionalFormatting sqref="F4:F35">
    <cfRule type="cellIs" dxfId="4537" priority="303" operator="lessThan">
      <formula>0</formula>
    </cfRule>
  </conditionalFormatting>
  <conditionalFormatting sqref="F4:F35">
    <cfRule type="cellIs" dxfId="4536" priority="302" operator="lessThan">
      <formula>0</formula>
    </cfRule>
  </conditionalFormatting>
  <conditionalFormatting sqref="F4:F35">
    <cfRule type="cellIs" dxfId="4535" priority="301" operator="lessThan">
      <formula>0</formula>
    </cfRule>
  </conditionalFormatting>
  <conditionalFormatting sqref="F4:F35">
    <cfRule type="cellIs" dxfId="4534" priority="300" operator="lessThan">
      <formula>0</formula>
    </cfRule>
  </conditionalFormatting>
  <conditionalFormatting sqref="F4:F35">
    <cfRule type="cellIs" dxfId="4533" priority="299" operator="lessThan">
      <formula>0</formula>
    </cfRule>
  </conditionalFormatting>
  <conditionalFormatting sqref="F4:F35">
    <cfRule type="cellIs" dxfId="4532" priority="298" operator="lessThan">
      <formula>0</formula>
    </cfRule>
  </conditionalFormatting>
  <conditionalFormatting sqref="F4:F35">
    <cfRule type="cellIs" dxfId="4531" priority="297" operator="lessThan">
      <formula>0</formula>
    </cfRule>
  </conditionalFormatting>
  <conditionalFormatting sqref="F4:F35">
    <cfRule type="cellIs" dxfId="4530" priority="296" operator="lessThan">
      <formula>0</formula>
    </cfRule>
  </conditionalFormatting>
  <conditionalFormatting sqref="F4:F35">
    <cfRule type="cellIs" dxfId="4529" priority="295" operator="lessThan">
      <formula>0</formula>
    </cfRule>
  </conditionalFormatting>
  <conditionalFormatting sqref="F4:F35">
    <cfRule type="cellIs" dxfId="4528" priority="294" operator="lessThan">
      <formula>0</formula>
    </cfRule>
  </conditionalFormatting>
  <conditionalFormatting sqref="F4:F35">
    <cfRule type="cellIs" dxfId="4527" priority="293" operator="lessThan">
      <formula>0</formula>
    </cfRule>
  </conditionalFormatting>
  <conditionalFormatting sqref="F4:F35">
    <cfRule type="cellIs" dxfId="4526" priority="292" operator="lessThan">
      <formula>0</formula>
    </cfRule>
  </conditionalFormatting>
  <conditionalFormatting sqref="F4:F35">
    <cfRule type="cellIs" dxfId="4525" priority="291" operator="lessThan">
      <formula>0</formula>
    </cfRule>
  </conditionalFormatting>
  <conditionalFormatting sqref="F4:F35">
    <cfRule type="cellIs" dxfId="4524" priority="290" operator="lessThan">
      <formula>0</formula>
    </cfRule>
  </conditionalFormatting>
  <conditionalFormatting sqref="F4:F35">
    <cfRule type="cellIs" dxfId="4523" priority="289" operator="lessThan">
      <formula>0</formula>
    </cfRule>
  </conditionalFormatting>
  <conditionalFormatting sqref="F4:F35">
    <cfRule type="cellIs" dxfId="4522" priority="288" operator="lessThan">
      <formula>0</formula>
    </cfRule>
  </conditionalFormatting>
  <conditionalFormatting sqref="F4:F35">
    <cfRule type="cellIs" dxfId="4521" priority="287" operator="lessThan">
      <formula>0</formula>
    </cfRule>
  </conditionalFormatting>
  <conditionalFormatting sqref="F4:F35">
    <cfRule type="cellIs" dxfId="4520" priority="286" operator="lessThan">
      <formula>0</formula>
    </cfRule>
  </conditionalFormatting>
  <conditionalFormatting sqref="F4:F35">
    <cfRule type="cellIs" dxfId="4519" priority="285" operator="lessThan">
      <formula>0</formula>
    </cfRule>
  </conditionalFormatting>
  <conditionalFormatting sqref="F4:F35">
    <cfRule type="cellIs" dxfId="4518" priority="284" operator="lessThan">
      <formula>0</formula>
    </cfRule>
  </conditionalFormatting>
  <conditionalFormatting sqref="F4:F35">
    <cfRule type="cellIs" dxfId="4517" priority="283" operator="lessThan">
      <formula>0</formula>
    </cfRule>
  </conditionalFormatting>
  <conditionalFormatting sqref="F4:F35">
    <cfRule type="cellIs" dxfId="4516" priority="282" operator="lessThan">
      <formula>0</formula>
    </cfRule>
  </conditionalFormatting>
  <conditionalFormatting sqref="F4:F35">
    <cfRule type="cellIs" dxfId="4515" priority="281" operator="lessThan">
      <formula>0</formula>
    </cfRule>
  </conditionalFormatting>
  <conditionalFormatting sqref="F4:F35">
    <cfRule type="cellIs" dxfId="4514" priority="280" operator="lessThan">
      <formula>0</formula>
    </cfRule>
  </conditionalFormatting>
  <conditionalFormatting sqref="F4:F35">
    <cfRule type="cellIs" dxfId="4513" priority="279" operator="lessThan">
      <formula>0</formula>
    </cfRule>
  </conditionalFormatting>
  <conditionalFormatting sqref="F4:F35">
    <cfRule type="cellIs" dxfId="4512" priority="278" operator="lessThan">
      <formula>0</formula>
    </cfRule>
  </conditionalFormatting>
  <conditionalFormatting sqref="F4:F35">
    <cfRule type="cellIs" dxfId="4511" priority="277" operator="lessThan">
      <formula>0</formula>
    </cfRule>
  </conditionalFormatting>
  <conditionalFormatting sqref="F4:F35">
    <cfRule type="cellIs" dxfId="4510" priority="276" operator="lessThan">
      <formula>0</formula>
    </cfRule>
  </conditionalFormatting>
  <conditionalFormatting sqref="F4:F35">
    <cfRule type="cellIs" dxfId="4509" priority="275" operator="lessThan">
      <formula>0</formula>
    </cfRule>
  </conditionalFormatting>
  <conditionalFormatting sqref="F4:F35">
    <cfRule type="cellIs" dxfId="4508" priority="274" operator="lessThan">
      <formula>0</formula>
    </cfRule>
  </conditionalFormatting>
  <conditionalFormatting sqref="F6:F10">
    <cfRule type="cellIs" dxfId="4507" priority="273" operator="lessThan">
      <formula>0</formula>
    </cfRule>
  </conditionalFormatting>
  <conditionalFormatting sqref="F4:F35">
    <cfRule type="cellIs" dxfId="4506" priority="272" operator="lessThan">
      <formula>0</formula>
    </cfRule>
  </conditionalFormatting>
  <conditionalFormatting sqref="F4:F35">
    <cfRule type="cellIs" dxfId="4505" priority="271" operator="lessThan">
      <formula>0</formula>
    </cfRule>
  </conditionalFormatting>
  <conditionalFormatting sqref="F4:F35">
    <cfRule type="cellIs" dxfId="4504" priority="270" operator="lessThan">
      <formula>0</formula>
    </cfRule>
  </conditionalFormatting>
  <conditionalFormatting sqref="F4:F35">
    <cfRule type="cellIs" dxfId="4503" priority="269" operator="lessThan">
      <formula>0</formula>
    </cfRule>
  </conditionalFormatting>
  <conditionalFormatting sqref="F4:F35">
    <cfRule type="cellIs" dxfId="4502" priority="268" operator="lessThan">
      <formula>0</formula>
    </cfRule>
  </conditionalFormatting>
  <conditionalFormatting sqref="F4:F35">
    <cfRule type="cellIs" dxfId="4501" priority="267" operator="lessThan">
      <formula>0</formula>
    </cfRule>
  </conditionalFormatting>
  <conditionalFormatting sqref="F4:F35">
    <cfRule type="cellIs" dxfId="4500" priority="266" operator="lessThan">
      <formula>0</formula>
    </cfRule>
  </conditionalFormatting>
  <conditionalFormatting sqref="F4:F35">
    <cfRule type="cellIs" dxfId="4499" priority="265" operator="lessThan">
      <formula>0</formula>
    </cfRule>
  </conditionalFormatting>
  <conditionalFormatting sqref="F4:F35">
    <cfRule type="cellIs" dxfId="4498" priority="264" operator="lessThan">
      <formula>0</formula>
    </cfRule>
  </conditionalFormatting>
  <conditionalFormatting sqref="F4:F35">
    <cfRule type="cellIs" dxfId="4497" priority="263" operator="lessThan">
      <formula>0</formula>
    </cfRule>
  </conditionalFormatting>
  <conditionalFormatting sqref="E9:E35">
    <cfRule type="cellIs" dxfId="4496" priority="262" operator="lessThan">
      <formula>0</formula>
    </cfRule>
  </conditionalFormatting>
  <conditionalFormatting sqref="E9:E35">
    <cfRule type="cellIs" dxfId="4495" priority="261" operator="lessThan">
      <formula>0</formula>
    </cfRule>
  </conditionalFormatting>
  <conditionalFormatting sqref="E9:E35">
    <cfRule type="cellIs" dxfId="4494" priority="260" operator="lessThan">
      <formula>0</formula>
    </cfRule>
  </conditionalFormatting>
  <conditionalFormatting sqref="E9:E35">
    <cfRule type="cellIs" dxfId="4493" priority="259" operator="lessThan">
      <formula>0</formula>
    </cfRule>
  </conditionalFormatting>
  <conditionalFormatting sqref="E9:E35">
    <cfRule type="cellIs" dxfId="4492" priority="258" operator="lessThan">
      <formula>0</formula>
    </cfRule>
  </conditionalFormatting>
  <conditionalFormatting sqref="E9:E35">
    <cfRule type="cellIs" dxfId="4491" priority="257" operator="lessThan">
      <formula>0</formula>
    </cfRule>
  </conditionalFormatting>
  <conditionalFormatting sqref="E9:E35">
    <cfRule type="cellIs" dxfId="4490" priority="256" operator="lessThan">
      <formula>0</formula>
    </cfRule>
  </conditionalFormatting>
  <conditionalFormatting sqref="E9:E35">
    <cfRule type="cellIs" dxfId="4489" priority="255" operator="lessThan">
      <formula>0</formula>
    </cfRule>
  </conditionalFormatting>
  <conditionalFormatting sqref="E9:E35">
    <cfRule type="cellIs" dxfId="4488" priority="254" operator="lessThan">
      <formula>0</formula>
    </cfRule>
  </conditionalFormatting>
  <conditionalFormatting sqref="E9:E35">
    <cfRule type="cellIs" dxfId="4487" priority="253" operator="lessThan">
      <formula>0</formula>
    </cfRule>
  </conditionalFormatting>
  <conditionalFormatting sqref="E9:E35">
    <cfRule type="cellIs" dxfId="4486" priority="252" operator="lessThan">
      <formula>0</formula>
    </cfRule>
  </conditionalFormatting>
  <conditionalFormatting sqref="E9:E35">
    <cfRule type="cellIs" dxfId="4485" priority="251" operator="lessThan">
      <formula>0</formula>
    </cfRule>
  </conditionalFormatting>
  <conditionalFormatting sqref="E9:E35">
    <cfRule type="cellIs" dxfId="4484" priority="250" operator="lessThan">
      <formula>0</formula>
    </cfRule>
  </conditionalFormatting>
  <conditionalFormatting sqref="E9:E35">
    <cfRule type="cellIs" dxfId="4483" priority="249" operator="lessThan">
      <formula>0</formula>
    </cfRule>
  </conditionalFormatting>
  <conditionalFormatting sqref="E9:E35">
    <cfRule type="cellIs" dxfId="4482" priority="248" operator="lessThan">
      <formula>0</formula>
    </cfRule>
  </conditionalFormatting>
  <conditionalFormatting sqref="E9:E35">
    <cfRule type="cellIs" dxfId="4481" priority="247" operator="lessThan">
      <formula>0</formula>
    </cfRule>
  </conditionalFormatting>
  <conditionalFormatting sqref="E9:E35">
    <cfRule type="cellIs" dxfId="4480" priority="246" operator="lessThan">
      <formula>0</formula>
    </cfRule>
  </conditionalFormatting>
  <conditionalFormatting sqref="E9:E35">
    <cfRule type="cellIs" dxfId="4479" priority="245" operator="lessThan">
      <formula>0</formula>
    </cfRule>
  </conditionalFormatting>
  <conditionalFormatting sqref="E9:E35">
    <cfRule type="cellIs" dxfId="4478" priority="244" operator="lessThan">
      <formula>0</formula>
    </cfRule>
  </conditionalFormatting>
  <conditionalFormatting sqref="E9:E35">
    <cfRule type="cellIs" dxfId="4477" priority="243" operator="lessThan">
      <formula>0</formula>
    </cfRule>
  </conditionalFormatting>
  <conditionalFormatting sqref="E9:E35">
    <cfRule type="cellIs" dxfId="4476" priority="242" operator="lessThan">
      <formula>0</formula>
    </cfRule>
  </conditionalFormatting>
  <conditionalFormatting sqref="E9:E35">
    <cfRule type="cellIs" dxfId="4475" priority="241" operator="lessThan">
      <formula>0</formula>
    </cfRule>
  </conditionalFormatting>
  <conditionalFormatting sqref="E9:E35">
    <cfRule type="cellIs" dxfId="4474" priority="240" operator="lessThan">
      <formula>0</formula>
    </cfRule>
  </conditionalFormatting>
  <conditionalFormatting sqref="E9:E35">
    <cfRule type="cellIs" dxfId="4473" priority="239" operator="lessThan">
      <formula>0</formula>
    </cfRule>
  </conditionalFormatting>
  <conditionalFormatting sqref="E9:E35">
    <cfRule type="cellIs" dxfId="4472" priority="238" operator="lessThan">
      <formula>0</formula>
    </cfRule>
  </conditionalFormatting>
  <conditionalFormatting sqref="E9:E35">
    <cfRule type="cellIs" dxfId="4471" priority="237" operator="lessThan">
      <formula>0</formula>
    </cfRule>
  </conditionalFormatting>
  <conditionalFormatting sqref="E9:E35">
    <cfRule type="cellIs" dxfId="4470" priority="236" operator="lessThan">
      <formula>0</formula>
    </cfRule>
  </conditionalFormatting>
  <conditionalFormatting sqref="E9:E35">
    <cfRule type="cellIs" dxfId="4469" priority="235" operator="lessThan">
      <formula>0</formula>
    </cfRule>
  </conditionalFormatting>
  <conditionalFormatting sqref="E9:E35">
    <cfRule type="cellIs" dxfId="4468" priority="234" operator="lessThan">
      <formula>0</formula>
    </cfRule>
  </conditionalFormatting>
  <conditionalFormatting sqref="E9:E35">
    <cfRule type="cellIs" dxfId="4467" priority="233" operator="lessThan">
      <formula>0</formula>
    </cfRule>
  </conditionalFormatting>
  <conditionalFormatting sqref="E9:E35">
    <cfRule type="cellIs" dxfId="4466" priority="232" operator="lessThan">
      <formula>0</formula>
    </cfRule>
  </conditionalFormatting>
  <conditionalFormatting sqref="E9:E35">
    <cfRule type="cellIs" dxfId="4465" priority="231" operator="lessThan">
      <formula>0</formula>
    </cfRule>
  </conditionalFormatting>
  <conditionalFormatting sqref="E9:E35">
    <cfRule type="cellIs" dxfId="4464" priority="230" operator="lessThan">
      <formula>0</formula>
    </cfRule>
  </conditionalFormatting>
  <conditionalFormatting sqref="E9:E35">
    <cfRule type="cellIs" dxfId="4463" priority="229" operator="lessThan">
      <formula>0</formula>
    </cfRule>
  </conditionalFormatting>
  <conditionalFormatting sqref="E9:E35">
    <cfRule type="cellIs" dxfId="4462" priority="228" operator="lessThan">
      <formula>0</formula>
    </cfRule>
  </conditionalFormatting>
  <conditionalFormatting sqref="E9:E35">
    <cfRule type="cellIs" dxfId="4461" priority="227" operator="lessThan">
      <formula>0</formula>
    </cfRule>
  </conditionalFormatting>
  <conditionalFormatting sqref="E9:E35">
    <cfRule type="cellIs" dxfId="4460" priority="226" operator="lessThan">
      <formula>0</formula>
    </cfRule>
  </conditionalFormatting>
  <conditionalFormatting sqref="E9:E35">
    <cfRule type="cellIs" dxfId="4459" priority="225" operator="lessThan">
      <formula>0</formula>
    </cfRule>
  </conditionalFormatting>
  <conditionalFormatting sqref="E9:E35">
    <cfRule type="cellIs" dxfId="4458" priority="224" operator="lessThan">
      <formula>0</formula>
    </cfRule>
  </conditionalFormatting>
  <conditionalFormatting sqref="E9:E35">
    <cfRule type="cellIs" dxfId="4457" priority="223" operator="lessThan">
      <formula>0</formula>
    </cfRule>
  </conditionalFormatting>
  <conditionalFormatting sqref="E9:E35">
    <cfRule type="cellIs" dxfId="4456" priority="222" operator="lessThan">
      <formula>0</formula>
    </cfRule>
  </conditionalFormatting>
  <conditionalFormatting sqref="E9:E35">
    <cfRule type="cellIs" dxfId="4455" priority="221" operator="lessThan">
      <formula>0</formula>
    </cfRule>
  </conditionalFormatting>
  <conditionalFormatting sqref="E9:E35">
    <cfRule type="cellIs" dxfId="4454" priority="220" operator="lessThan">
      <formula>0</formula>
    </cfRule>
  </conditionalFormatting>
  <conditionalFormatting sqref="E9:E35">
    <cfRule type="cellIs" dxfId="4453" priority="219" operator="lessThan">
      <formula>0</formula>
    </cfRule>
  </conditionalFormatting>
  <conditionalFormatting sqref="E9:E35">
    <cfRule type="cellIs" dxfId="4452" priority="218" operator="lessThan">
      <formula>0</formula>
    </cfRule>
  </conditionalFormatting>
  <conditionalFormatting sqref="E9:E35">
    <cfRule type="cellIs" dxfId="4451" priority="217" operator="lessThan">
      <formula>0</formula>
    </cfRule>
  </conditionalFormatting>
  <conditionalFormatting sqref="E9:E35">
    <cfRule type="cellIs" dxfId="4450" priority="216" operator="lessThan">
      <formula>0</formula>
    </cfRule>
  </conditionalFormatting>
  <conditionalFormatting sqref="E9:E35">
    <cfRule type="cellIs" dxfId="4449" priority="215" operator="lessThan">
      <formula>0</formula>
    </cfRule>
  </conditionalFormatting>
  <conditionalFormatting sqref="E9:E35">
    <cfRule type="cellIs" dxfId="4448" priority="214" operator="lessThan">
      <formula>0</formula>
    </cfRule>
  </conditionalFormatting>
  <conditionalFormatting sqref="E9:E35">
    <cfRule type="cellIs" dxfId="4447" priority="213" operator="lessThan">
      <formula>0</formula>
    </cfRule>
  </conditionalFormatting>
  <conditionalFormatting sqref="E9:E35">
    <cfRule type="cellIs" dxfId="4446" priority="212" operator="lessThan">
      <formula>0</formula>
    </cfRule>
  </conditionalFormatting>
  <conditionalFormatting sqref="E9:E35">
    <cfRule type="cellIs" dxfId="4445" priority="211" operator="lessThan">
      <formula>0</formula>
    </cfRule>
  </conditionalFormatting>
  <conditionalFormatting sqref="E9:E35">
    <cfRule type="cellIs" dxfId="4444" priority="210" operator="lessThan">
      <formula>0</formula>
    </cfRule>
  </conditionalFormatting>
  <conditionalFormatting sqref="E9:E35">
    <cfRule type="cellIs" dxfId="4443" priority="209" operator="lessThan">
      <formula>0</formula>
    </cfRule>
  </conditionalFormatting>
  <conditionalFormatting sqref="E9:E35">
    <cfRule type="cellIs" dxfId="4442" priority="208" operator="lessThan">
      <formula>0</formula>
    </cfRule>
  </conditionalFormatting>
  <conditionalFormatting sqref="E9:E35">
    <cfRule type="cellIs" dxfId="4441" priority="207" operator="lessThan">
      <formula>0</formula>
    </cfRule>
  </conditionalFormatting>
  <conditionalFormatting sqref="E9:E35">
    <cfRule type="cellIs" dxfId="4440" priority="206" operator="lessThan">
      <formula>0</formula>
    </cfRule>
  </conditionalFormatting>
  <conditionalFormatting sqref="E9:E35">
    <cfRule type="cellIs" dxfId="4439" priority="205" operator="lessThan">
      <formula>0</formula>
    </cfRule>
  </conditionalFormatting>
  <conditionalFormatting sqref="E9:E35">
    <cfRule type="cellIs" dxfId="4438" priority="204" operator="lessThan">
      <formula>0</formula>
    </cfRule>
  </conditionalFormatting>
  <conditionalFormatting sqref="E9:E35">
    <cfRule type="cellIs" dxfId="4437" priority="203" operator="lessThan">
      <formula>0</formula>
    </cfRule>
  </conditionalFormatting>
  <conditionalFormatting sqref="E9:E35">
    <cfRule type="cellIs" dxfId="4436" priority="202" operator="lessThan">
      <formula>0</formula>
    </cfRule>
  </conditionalFormatting>
  <conditionalFormatting sqref="E9:E35">
    <cfRule type="cellIs" dxfId="4435" priority="201" operator="lessThan">
      <formula>0</formula>
    </cfRule>
  </conditionalFormatting>
  <conditionalFormatting sqref="E9:E35">
    <cfRule type="cellIs" dxfId="4434" priority="200" operator="lessThan">
      <formula>0</formula>
    </cfRule>
  </conditionalFormatting>
  <conditionalFormatting sqref="E9:E35">
    <cfRule type="cellIs" dxfId="4433" priority="199" operator="lessThan">
      <formula>0</formula>
    </cfRule>
  </conditionalFormatting>
  <conditionalFormatting sqref="E9:E35">
    <cfRule type="cellIs" dxfId="4432" priority="198" operator="lessThan">
      <formula>0</formula>
    </cfRule>
  </conditionalFormatting>
  <conditionalFormatting sqref="E9:E35">
    <cfRule type="cellIs" dxfId="4431" priority="197" operator="lessThan">
      <formula>0</formula>
    </cfRule>
  </conditionalFormatting>
  <conditionalFormatting sqref="E9:E35">
    <cfRule type="cellIs" dxfId="4430" priority="196" operator="lessThan">
      <formula>0</formula>
    </cfRule>
  </conditionalFormatting>
  <conditionalFormatting sqref="E9:E35">
    <cfRule type="cellIs" dxfId="4429" priority="195" operator="lessThan">
      <formula>0</formula>
    </cfRule>
  </conditionalFormatting>
  <conditionalFormatting sqref="E9:E35">
    <cfRule type="cellIs" dxfId="4428" priority="194" operator="lessThan">
      <formula>0</formula>
    </cfRule>
  </conditionalFormatting>
  <conditionalFormatting sqref="E9:E35">
    <cfRule type="cellIs" dxfId="4427" priority="193" operator="lessThan">
      <formula>0</formula>
    </cfRule>
  </conditionalFormatting>
  <conditionalFormatting sqref="E9:E35">
    <cfRule type="cellIs" dxfId="4426" priority="192" operator="lessThan">
      <formula>0</formula>
    </cfRule>
  </conditionalFormatting>
  <conditionalFormatting sqref="E9:E35">
    <cfRule type="cellIs" dxfId="4425" priority="191" operator="lessThan">
      <formula>0</formula>
    </cfRule>
  </conditionalFormatting>
  <conditionalFormatting sqref="E9:E35">
    <cfRule type="cellIs" dxfId="4424" priority="190" operator="lessThan">
      <formula>0</formula>
    </cfRule>
  </conditionalFormatting>
  <conditionalFormatting sqref="E9:E35">
    <cfRule type="cellIs" dxfId="4423" priority="189" operator="lessThan">
      <formula>0</formula>
    </cfRule>
  </conditionalFormatting>
  <conditionalFormatting sqref="E9:E35">
    <cfRule type="cellIs" dxfId="4422" priority="188" operator="lessThan">
      <formula>0</formula>
    </cfRule>
  </conditionalFormatting>
  <conditionalFormatting sqref="E9:E35">
    <cfRule type="cellIs" dxfId="4421" priority="187" operator="lessThan">
      <formula>0</formula>
    </cfRule>
  </conditionalFormatting>
  <conditionalFormatting sqref="E9:E35">
    <cfRule type="cellIs" dxfId="4420" priority="186" operator="lessThan">
      <formula>0</formula>
    </cfRule>
  </conditionalFormatting>
  <conditionalFormatting sqref="E9:E35">
    <cfRule type="cellIs" dxfId="4419" priority="185" operator="lessThan">
      <formula>0</formula>
    </cfRule>
  </conditionalFormatting>
  <conditionalFormatting sqref="E9:E35">
    <cfRule type="cellIs" dxfId="4418" priority="184" operator="lessThan">
      <formula>0</formula>
    </cfRule>
  </conditionalFormatting>
  <conditionalFormatting sqref="E9:E35">
    <cfRule type="cellIs" dxfId="4417" priority="183" operator="lessThan">
      <formula>0</formula>
    </cfRule>
  </conditionalFormatting>
  <conditionalFormatting sqref="E9:E35">
    <cfRule type="cellIs" dxfId="4416" priority="182" operator="lessThan">
      <formula>0</formula>
    </cfRule>
  </conditionalFormatting>
  <conditionalFormatting sqref="E9:E35">
    <cfRule type="cellIs" dxfId="4415" priority="181" operator="lessThan">
      <formula>0</formula>
    </cfRule>
  </conditionalFormatting>
  <conditionalFormatting sqref="E9:E35">
    <cfRule type="cellIs" dxfId="4414" priority="180" operator="lessThan">
      <formula>0</formula>
    </cfRule>
  </conditionalFormatting>
  <conditionalFormatting sqref="E9:E35">
    <cfRule type="cellIs" dxfId="4413" priority="179" operator="lessThan">
      <formula>0</formula>
    </cfRule>
  </conditionalFormatting>
  <conditionalFormatting sqref="E9:E35">
    <cfRule type="cellIs" dxfId="4412" priority="178" operator="lessThan">
      <formula>0</formula>
    </cfRule>
  </conditionalFormatting>
  <conditionalFormatting sqref="E9:E35">
    <cfRule type="cellIs" dxfId="4411" priority="177" operator="lessThan">
      <formula>0</formula>
    </cfRule>
  </conditionalFormatting>
  <conditionalFormatting sqref="E9:E35">
    <cfRule type="cellIs" dxfId="4410" priority="176" operator="lessThan">
      <formula>0</formula>
    </cfRule>
  </conditionalFormatting>
  <conditionalFormatting sqref="E9:E35">
    <cfRule type="cellIs" dxfId="4409" priority="175" operator="lessThan">
      <formula>0</formula>
    </cfRule>
  </conditionalFormatting>
  <conditionalFormatting sqref="E9:E35">
    <cfRule type="cellIs" dxfId="4408" priority="174" operator="lessThan">
      <formula>0</formula>
    </cfRule>
  </conditionalFormatting>
  <conditionalFormatting sqref="E9:E35">
    <cfRule type="cellIs" dxfId="4407" priority="173" operator="lessThan">
      <formula>0</formula>
    </cfRule>
  </conditionalFormatting>
  <conditionalFormatting sqref="E9:E35">
    <cfRule type="cellIs" dxfId="4406" priority="172" operator="lessThan">
      <formula>0</formula>
    </cfRule>
  </conditionalFormatting>
  <conditionalFormatting sqref="E9:E35">
    <cfRule type="cellIs" dxfId="4405" priority="171" operator="lessThan">
      <formula>0</formula>
    </cfRule>
  </conditionalFormatting>
  <conditionalFormatting sqref="E9:E35">
    <cfRule type="cellIs" dxfId="4404" priority="170" operator="lessThan">
      <formula>0</formula>
    </cfRule>
  </conditionalFormatting>
  <conditionalFormatting sqref="E9:E35">
    <cfRule type="cellIs" dxfId="4403" priority="169" operator="lessThan">
      <formula>0</formula>
    </cfRule>
  </conditionalFormatting>
  <conditionalFormatting sqref="E9:E35">
    <cfRule type="cellIs" dxfId="4402" priority="168" operator="lessThan">
      <formula>0</formula>
    </cfRule>
  </conditionalFormatting>
  <conditionalFormatting sqref="E9:E35">
    <cfRule type="cellIs" dxfId="4401" priority="167" operator="lessThan">
      <formula>0</formula>
    </cfRule>
  </conditionalFormatting>
  <conditionalFormatting sqref="E9:E35">
    <cfRule type="cellIs" dxfId="4400" priority="166" operator="lessThan">
      <formula>0</formula>
    </cfRule>
  </conditionalFormatting>
  <conditionalFormatting sqref="E9:E35">
    <cfRule type="cellIs" dxfId="4399" priority="165" operator="lessThan">
      <formula>0</formula>
    </cfRule>
  </conditionalFormatting>
  <conditionalFormatting sqref="E9:E35">
    <cfRule type="cellIs" dxfId="4398" priority="164" operator="lessThan">
      <formula>0</formula>
    </cfRule>
  </conditionalFormatting>
  <conditionalFormatting sqref="E9:E35">
    <cfRule type="cellIs" dxfId="4397" priority="163" operator="lessThan">
      <formula>0</formula>
    </cfRule>
  </conditionalFormatting>
  <conditionalFormatting sqref="E9:E35">
    <cfRule type="cellIs" dxfId="4396" priority="162" operator="lessThan">
      <formula>0</formula>
    </cfRule>
  </conditionalFormatting>
  <conditionalFormatting sqref="E9:E35">
    <cfRule type="cellIs" dxfId="4395" priority="161" operator="lessThan">
      <formula>0</formula>
    </cfRule>
  </conditionalFormatting>
  <conditionalFormatting sqref="E9:E35">
    <cfRule type="cellIs" dxfId="4394" priority="160" operator="lessThan">
      <formula>0</formula>
    </cfRule>
  </conditionalFormatting>
  <conditionalFormatting sqref="E9:E35">
    <cfRule type="cellIs" dxfId="4393" priority="159" operator="lessThan">
      <formula>0</formula>
    </cfRule>
  </conditionalFormatting>
  <conditionalFormatting sqref="E9:E35">
    <cfRule type="cellIs" dxfId="4392" priority="158" operator="lessThan">
      <formula>0</formula>
    </cfRule>
  </conditionalFormatting>
  <conditionalFormatting sqref="E9:E35">
    <cfRule type="cellIs" dxfId="4391" priority="157" operator="lessThan">
      <formula>0</formula>
    </cfRule>
  </conditionalFormatting>
  <conditionalFormatting sqref="E9:E35">
    <cfRule type="cellIs" dxfId="4390" priority="156" operator="lessThan">
      <formula>0</formula>
    </cfRule>
  </conditionalFormatting>
  <conditionalFormatting sqref="E9:E35">
    <cfRule type="cellIs" dxfId="4389" priority="155" operator="lessThan">
      <formula>0</formula>
    </cfRule>
  </conditionalFormatting>
  <conditionalFormatting sqref="E9:E35">
    <cfRule type="cellIs" dxfId="4388" priority="154" operator="lessThan">
      <formula>0</formula>
    </cfRule>
  </conditionalFormatting>
  <conditionalFormatting sqref="E9:E35">
    <cfRule type="cellIs" dxfId="4387" priority="153" operator="lessThan">
      <formula>0</formula>
    </cfRule>
  </conditionalFormatting>
  <conditionalFormatting sqref="E9:E35">
    <cfRule type="cellIs" dxfId="4386" priority="152" operator="lessThan">
      <formula>0</formula>
    </cfRule>
  </conditionalFormatting>
  <conditionalFormatting sqref="E9:E35">
    <cfRule type="cellIs" dxfId="4385" priority="151" operator="lessThan">
      <formula>0</formula>
    </cfRule>
  </conditionalFormatting>
  <conditionalFormatting sqref="E9:E35">
    <cfRule type="cellIs" dxfId="4384" priority="150" operator="lessThan">
      <formula>0</formula>
    </cfRule>
  </conditionalFormatting>
  <conditionalFormatting sqref="E9:E35">
    <cfRule type="cellIs" dxfId="4383" priority="149" operator="lessThan">
      <formula>0</formula>
    </cfRule>
  </conditionalFormatting>
  <conditionalFormatting sqref="E9:E35">
    <cfRule type="cellIs" dxfId="4382" priority="148" operator="lessThan">
      <formula>0</formula>
    </cfRule>
  </conditionalFormatting>
  <conditionalFormatting sqref="E9:E35">
    <cfRule type="cellIs" dxfId="4381" priority="147" operator="lessThan">
      <formula>0</formula>
    </cfRule>
  </conditionalFormatting>
  <conditionalFormatting sqref="E9:E35">
    <cfRule type="cellIs" dxfId="4380" priority="146" operator="lessThan">
      <formula>0</formula>
    </cfRule>
  </conditionalFormatting>
  <conditionalFormatting sqref="E9:E35">
    <cfRule type="cellIs" dxfId="4379" priority="145" operator="lessThan">
      <formula>0</formula>
    </cfRule>
  </conditionalFormatting>
  <conditionalFormatting sqref="E9:E35">
    <cfRule type="cellIs" dxfId="4378" priority="144" operator="lessThan">
      <formula>0</formula>
    </cfRule>
  </conditionalFormatting>
  <conditionalFormatting sqref="E9:E35">
    <cfRule type="cellIs" dxfId="4377" priority="143" operator="lessThan">
      <formula>0</formula>
    </cfRule>
  </conditionalFormatting>
  <conditionalFormatting sqref="E9:E35">
    <cfRule type="cellIs" dxfId="4376" priority="142" operator="lessThan">
      <formula>0</formula>
    </cfRule>
  </conditionalFormatting>
  <conditionalFormatting sqref="E9:E35">
    <cfRule type="cellIs" dxfId="4375" priority="141" operator="lessThan">
      <formula>0</formula>
    </cfRule>
  </conditionalFormatting>
  <conditionalFormatting sqref="E9:E35">
    <cfRule type="cellIs" dxfId="4374" priority="140" operator="lessThan">
      <formula>0</formula>
    </cfRule>
  </conditionalFormatting>
  <conditionalFormatting sqref="E9:E35">
    <cfRule type="cellIs" dxfId="4373" priority="139" operator="lessThan">
      <formula>0</formula>
    </cfRule>
  </conditionalFormatting>
  <conditionalFormatting sqref="E9:E35">
    <cfRule type="cellIs" dxfId="4372" priority="138" operator="lessThan">
      <formula>0</formula>
    </cfRule>
  </conditionalFormatting>
  <conditionalFormatting sqref="E9:E35">
    <cfRule type="cellIs" dxfId="4371" priority="137" operator="lessThan">
      <formula>0</formula>
    </cfRule>
  </conditionalFormatting>
  <conditionalFormatting sqref="E9:E35">
    <cfRule type="cellIs" dxfId="4370" priority="136" operator="lessThan">
      <formula>0</formula>
    </cfRule>
  </conditionalFormatting>
  <conditionalFormatting sqref="E9:E35">
    <cfRule type="cellIs" dxfId="4369" priority="135" operator="lessThan">
      <formula>0</formula>
    </cfRule>
  </conditionalFormatting>
  <conditionalFormatting sqref="E9:E35">
    <cfRule type="cellIs" dxfId="4368" priority="134" operator="lessThan">
      <formula>0</formula>
    </cfRule>
  </conditionalFormatting>
  <conditionalFormatting sqref="E9:E35">
    <cfRule type="cellIs" dxfId="4367" priority="133" operator="lessThan">
      <formula>0</formula>
    </cfRule>
  </conditionalFormatting>
  <conditionalFormatting sqref="E9:E35">
    <cfRule type="cellIs" dxfId="4366" priority="132" operator="lessThan">
      <formula>0</formula>
    </cfRule>
  </conditionalFormatting>
  <conditionalFormatting sqref="E9:E35">
    <cfRule type="cellIs" dxfId="4365" priority="131" operator="lessThan">
      <formula>0</formula>
    </cfRule>
  </conditionalFormatting>
  <conditionalFormatting sqref="E9:E35">
    <cfRule type="cellIs" dxfId="4364" priority="130" operator="lessThan">
      <formula>0</formula>
    </cfRule>
  </conditionalFormatting>
  <conditionalFormatting sqref="E9:E35">
    <cfRule type="cellIs" dxfId="4363" priority="129" operator="lessThan">
      <formula>0</formula>
    </cfRule>
  </conditionalFormatting>
  <conditionalFormatting sqref="E9:E35">
    <cfRule type="cellIs" dxfId="4362" priority="128" operator="lessThan">
      <formula>0</formula>
    </cfRule>
  </conditionalFormatting>
  <conditionalFormatting sqref="E9:E35">
    <cfRule type="cellIs" dxfId="4361" priority="127" operator="lessThan">
      <formula>0</formula>
    </cfRule>
  </conditionalFormatting>
  <conditionalFormatting sqref="E9:E35">
    <cfRule type="cellIs" dxfId="4360" priority="126" operator="lessThan">
      <formula>0</formula>
    </cfRule>
  </conditionalFormatting>
  <conditionalFormatting sqref="E9:E35">
    <cfRule type="cellIs" dxfId="4359" priority="125" operator="lessThan">
      <formula>0</formula>
    </cfRule>
  </conditionalFormatting>
  <conditionalFormatting sqref="E9:E35">
    <cfRule type="cellIs" dxfId="4358" priority="124" operator="lessThan">
      <formula>0</formula>
    </cfRule>
  </conditionalFormatting>
  <conditionalFormatting sqref="E9:E35">
    <cfRule type="cellIs" dxfId="4357" priority="123" operator="lessThan">
      <formula>0</formula>
    </cfRule>
  </conditionalFormatting>
  <conditionalFormatting sqref="E9:E35">
    <cfRule type="cellIs" dxfId="4356" priority="122" operator="lessThan">
      <formula>0</formula>
    </cfRule>
  </conditionalFormatting>
  <conditionalFormatting sqref="E9:E35">
    <cfRule type="cellIs" dxfId="4355" priority="121" operator="lessThan">
      <formula>0</formula>
    </cfRule>
  </conditionalFormatting>
  <conditionalFormatting sqref="E9:E35">
    <cfRule type="cellIs" dxfId="4354" priority="120" operator="lessThan">
      <formula>0</formula>
    </cfRule>
  </conditionalFormatting>
  <conditionalFormatting sqref="E9:E35">
    <cfRule type="cellIs" dxfId="4353" priority="119" operator="lessThan">
      <formula>0</formula>
    </cfRule>
  </conditionalFormatting>
  <conditionalFormatting sqref="E9:E35">
    <cfRule type="cellIs" dxfId="4352" priority="118" operator="lessThan">
      <formula>0</formula>
    </cfRule>
  </conditionalFormatting>
  <conditionalFormatting sqref="E9:E35">
    <cfRule type="cellIs" dxfId="4351" priority="117" operator="lessThan">
      <formula>0</formula>
    </cfRule>
  </conditionalFormatting>
  <conditionalFormatting sqref="E9:E35">
    <cfRule type="cellIs" dxfId="4350" priority="116" operator="lessThan">
      <formula>0</formula>
    </cfRule>
  </conditionalFormatting>
  <conditionalFormatting sqref="E9:E35">
    <cfRule type="cellIs" dxfId="4349" priority="115" operator="lessThan">
      <formula>0</formula>
    </cfRule>
  </conditionalFormatting>
  <conditionalFormatting sqref="E9:E35">
    <cfRule type="cellIs" dxfId="4348" priority="114" operator="lessThan">
      <formula>0</formula>
    </cfRule>
  </conditionalFormatting>
  <conditionalFormatting sqref="E9:E35">
    <cfRule type="cellIs" dxfId="4347" priority="113" operator="lessThan">
      <formula>0</formula>
    </cfRule>
  </conditionalFormatting>
  <conditionalFormatting sqref="E9:E35">
    <cfRule type="cellIs" dxfId="4346" priority="112" operator="lessThan">
      <formula>0</formula>
    </cfRule>
  </conditionalFormatting>
  <conditionalFormatting sqref="E9:E35">
    <cfRule type="cellIs" dxfId="4345" priority="111" operator="lessThan">
      <formula>0</formula>
    </cfRule>
  </conditionalFormatting>
  <conditionalFormatting sqref="E9:E35">
    <cfRule type="cellIs" dxfId="4344" priority="110" operator="lessThan">
      <formula>0</formula>
    </cfRule>
  </conditionalFormatting>
  <conditionalFormatting sqref="E9:E35">
    <cfRule type="cellIs" dxfId="4343" priority="109" operator="lessThan">
      <formula>0</formula>
    </cfRule>
  </conditionalFormatting>
  <conditionalFormatting sqref="E9:E35">
    <cfRule type="cellIs" dxfId="4342" priority="108" operator="lessThan">
      <formula>0</formula>
    </cfRule>
  </conditionalFormatting>
  <conditionalFormatting sqref="E9:E35">
    <cfRule type="cellIs" dxfId="4341" priority="107" operator="lessThan">
      <formula>0</formula>
    </cfRule>
  </conditionalFormatting>
  <conditionalFormatting sqref="E9:E35">
    <cfRule type="cellIs" dxfId="4340" priority="106" operator="lessThan">
      <formula>0</formula>
    </cfRule>
  </conditionalFormatting>
  <conditionalFormatting sqref="E9:E35">
    <cfRule type="cellIs" dxfId="4339" priority="105" operator="lessThan">
      <formula>0</formula>
    </cfRule>
  </conditionalFormatting>
  <conditionalFormatting sqref="E9:E35">
    <cfRule type="cellIs" dxfId="4338" priority="104" operator="lessThan">
      <formula>0</formula>
    </cfRule>
  </conditionalFormatting>
  <conditionalFormatting sqref="E9:E35">
    <cfRule type="cellIs" dxfId="4337" priority="103" operator="lessThan">
      <formula>0</formula>
    </cfRule>
  </conditionalFormatting>
  <conditionalFormatting sqref="E9:E35">
    <cfRule type="cellIs" dxfId="4336" priority="102" operator="lessThan">
      <formula>0</formula>
    </cfRule>
  </conditionalFormatting>
  <conditionalFormatting sqref="E9:E35">
    <cfRule type="cellIs" dxfId="4335" priority="101" operator="lessThan">
      <formula>0</formula>
    </cfRule>
  </conditionalFormatting>
  <conditionalFormatting sqref="E9:E35">
    <cfRule type="cellIs" dxfId="4334" priority="100" operator="lessThan">
      <formula>0</formula>
    </cfRule>
  </conditionalFormatting>
  <conditionalFormatting sqref="E9:E35">
    <cfRule type="cellIs" dxfId="4333" priority="99" operator="lessThan">
      <formula>0</formula>
    </cfRule>
  </conditionalFormatting>
  <conditionalFormatting sqref="E9:E35">
    <cfRule type="cellIs" dxfId="4332" priority="98" operator="lessThan">
      <formula>0</formula>
    </cfRule>
  </conditionalFormatting>
  <conditionalFormatting sqref="E9:E35">
    <cfRule type="cellIs" dxfId="4331" priority="97" operator="lessThan">
      <formula>0</formula>
    </cfRule>
  </conditionalFormatting>
  <conditionalFormatting sqref="E9:E35">
    <cfRule type="cellIs" dxfId="4330" priority="96" operator="lessThan">
      <formula>0</formula>
    </cfRule>
  </conditionalFormatting>
  <conditionalFormatting sqref="E9:E35">
    <cfRule type="cellIs" dxfId="4329" priority="95" operator="lessThan">
      <formula>0</formula>
    </cfRule>
  </conditionalFormatting>
  <conditionalFormatting sqref="E9:E35">
    <cfRule type="cellIs" dxfId="4328" priority="94" operator="lessThan">
      <formula>0</formula>
    </cfRule>
  </conditionalFormatting>
  <conditionalFormatting sqref="E9:E35">
    <cfRule type="cellIs" dxfId="4327" priority="93" operator="lessThan">
      <formula>0</formula>
    </cfRule>
  </conditionalFormatting>
  <conditionalFormatting sqref="E9:E35">
    <cfRule type="cellIs" dxfId="4326" priority="92" operator="lessThan">
      <formula>0</formula>
    </cfRule>
  </conditionalFormatting>
  <conditionalFormatting sqref="E9:E35">
    <cfRule type="cellIs" dxfId="4325" priority="91" operator="lessThan">
      <formula>0</formula>
    </cfRule>
  </conditionalFormatting>
  <conditionalFormatting sqref="E9:E35">
    <cfRule type="cellIs" dxfId="4324" priority="90" operator="lessThan">
      <formula>0</formula>
    </cfRule>
  </conditionalFormatting>
  <conditionalFormatting sqref="E9:E35">
    <cfRule type="cellIs" dxfId="4323" priority="89" operator="lessThan">
      <formula>0</formula>
    </cfRule>
  </conditionalFormatting>
  <conditionalFormatting sqref="E9:E35">
    <cfRule type="cellIs" dxfId="4322" priority="88" operator="lessThan">
      <formula>0</formula>
    </cfRule>
  </conditionalFormatting>
  <conditionalFormatting sqref="E9:E35">
    <cfRule type="cellIs" dxfId="4321" priority="87" operator="lessThan">
      <formula>0</formula>
    </cfRule>
  </conditionalFormatting>
  <conditionalFormatting sqref="E9:E35">
    <cfRule type="cellIs" dxfId="4320" priority="86" operator="lessThan">
      <formula>0</formula>
    </cfRule>
  </conditionalFormatting>
  <conditionalFormatting sqref="E9:E35">
    <cfRule type="cellIs" dxfId="4319" priority="85" operator="lessThan">
      <formula>0</formula>
    </cfRule>
  </conditionalFormatting>
  <conditionalFormatting sqref="E9:E35">
    <cfRule type="cellIs" dxfId="4318" priority="84" operator="lessThan">
      <formula>0</formula>
    </cfRule>
  </conditionalFormatting>
  <conditionalFormatting sqref="E9:E35">
    <cfRule type="cellIs" dxfId="4317" priority="83" operator="lessThan">
      <formula>0</formula>
    </cfRule>
  </conditionalFormatting>
  <conditionalFormatting sqref="E9:E35">
    <cfRule type="cellIs" dxfId="4316" priority="82" operator="lessThan">
      <formula>0</formula>
    </cfRule>
  </conditionalFormatting>
  <conditionalFormatting sqref="E9:E35">
    <cfRule type="cellIs" dxfId="4315" priority="81" operator="lessThan">
      <formula>0</formula>
    </cfRule>
  </conditionalFormatting>
  <conditionalFormatting sqref="E9:E35">
    <cfRule type="cellIs" dxfId="4314" priority="80" operator="lessThan">
      <formula>0</formula>
    </cfRule>
  </conditionalFormatting>
  <conditionalFormatting sqref="E9:E35">
    <cfRule type="cellIs" dxfId="4313" priority="79" operator="lessThan">
      <formula>0</formula>
    </cfRule>
  </conditionalFormatting>
  <conditionalFormatting sqref="E9:E35">
    <cfRule type="cellIs" dxfId="4312" priority="78" operator="lessThan">
      <formula>0</formula>
    </cfRule>
  </conditionalFormatting>
  <conditionalFormatting sqref="E9:E35">
    <cfRule type="cellIs" dxfId="4311" priority="77" operator="lessThan">
      <formula>0</formula>
    </cfRule>
  </conditionalFormatting>
  <conditionalFormatting sqref="D9:D35">
    <cfRule type="cellIs" dxfId="4310" priority="76" operator="lessThan">
      <formula>0</formula>
    </cfRule>
  </conditionalFormatting>
  <conditionalFormatting sqref="D9:D35">
    <cfRule type="cellIs" dxfId="4309" priority="75" operator="lessThan">
      <formula>0</formula>
    </cfRule>
  </conditionalFormatting>
  <conditionalFormatting sqref="D9:D35">
    <cfRule type="cellIs" dxfId="4308" priority="74" operator="lessThan">
      <formula>0</formula>
    </cfRule>
  </conditionalFormatting>
  <conditionalFormatting sqref="D9:D35">
    <cfRule type="cellIs" dxfId="4307" priority="73" operator="lessThan">
      <formula>0</formula>
    </cfRule>
  </conditionalFormatting>
  <conditionalFormatting sqref="D9:D35">
    <cfRule type="cellIs" dxfId="4306" priority="72" operator="lessThan">
      <formula>0</formula>
    </cfRule>
  </conditionalFormatting>
  <conditionalFormatting sqref="D9:D35">
    <cfRule type="cellIs" dxfId="4305" priority="71" operator="lessThan">
      <formula>0</formula>
    </cfRule>
  </conditionalFormatting>
  <conditionalFormatting sqref="D9:D35">
    <cfRule type="cellIs" dxfId="4304" priority="70" operator="lessThan">
      <formula>0</formula>
    </cfRule>
  </conditionalFormatting>
  <conditionalFormatting sqref="D9:D35">
    <cfRule type="cellIs" dxfId="4303" priority="69" operator="lessThan">
      <formula>0</formula>
    </cfRule>
  </conditionalFormatting>
  <conditionalFormatting sqref="D9:D35">
    <cfRule type="cellIs" dxfId="4302" priority="68" operator="lessThan">
      <formula>0</formula>
    </cfRule>
  </conditionalFormatting>
  <conditionalFormatting sqref="D9:D35">
    <cfRule type="cellIs" dxfId="4301" priority="67" operator="lessThan">
      <formula>0</formula>
    </cfRule>
  </conditionalFormatting>
  <conditionalFormatting sqref="D9:D35">
    <cfRule type="cellIs" dxfId="4300" priority="66" operator="lessThan">
      <formula>0</formula>
    </cfRule>
  </conditionalFormatting>
  <conditionalFormatting sqref="D9:D35">
    <cfRule type="cellIs" dxfId="4299" priority="65" operator="lessThan">
      <formula>0</formula>
    </cfRule>
  </conditionalFormatting>
  <conditionalFormatting sqref="D9:D35">
    <cfRule type="cellIs" dxfId="4298" priority="64" operator="lessThan">
      <formula>0</formula>
    </cfRule>
  </conditionalFormatting>
  <conditionalFormatting sqref="D9:D35">
    <cfRule type="cellIs" dxfId="4297" priority="63" operator="lessThan">
      <formula>0</formula>
    </cfRule>
  </conditionalFormatting>
  <conditionalFormatting sqref="D9:D35">
    <cfRule type="cellIs" dxfId="4296" priority="62" operator="lessThan">
      <formula>0</formula>
    </cfRule>
  </conditionalFormatting>
  <conditionalFormatting sqref="D9:D35">
    <cfRule type="cellIs" dxfId="4295" priority="61" operator="lessThan">
      <formula>0</formula>
    </cfRule>
  </conditionalFormatting>
  <conditionalFormatting sqref="D9:D35">
    <cfRule type="cellIs" dxfId="4294" priority="60" operator="lessThan">
      <formula>0</formula>
    </cfRule>
  </conditionalFormatting>
  <conditionalFormatting sqref="D9:D35">
    <cfRule type="cellIs" dxfId="4293" priority="59" operator="lessThan">
      <formula>0</formula>
    </cfRule>
  </conditionalFormatting>
  <conditionalFormatting sqref="D9:D35">
    <cfRule type="cellIs" dxfId="4292" priority="58" operator="lessThan">
      <formula>0</formula>
    </cfRule>
  </conditionalFormatting>
  <conditionalFormatting sqref="D9:D35">
    <cfRule type="cellIs" dxfId="4291" priority="57" operator="lessThan">
      <formula>0</formula>
    </cfRule>
  </conditionalFormatting>
  <conditionalFormatting sqref="D9:D35">
    <cfRule type="cellIs" dxfId="4290" priority="56" operator="lessThan">
      <formula>0</formula>
    </cfRule>
  </conditionalFormatting>
  <conditionalFormatting sqref="D9:D35">
    <cfRule type="cellIs" dxfId="4289" priority="55" operator="lessThan">
      <formula>0</formula>
    </cfRule>
  </conditionalFormatting>
  <conditionalFormatting sqref="D9:D35">
    <cfRule type="cellIs" dxfId="4288" priority="54" operator="lessThan">
      <formula>0</formula>
    </cfRule>
  </conditionalFormatting>
  <conditionalFormatting sqref="D9:D35">
    <cfRule type="cellIs" dxfId="4287" priority="53" operator="lessThan">
      <formula>0</formula>
    </cfRule>
  </conditionalFormatting>
  <conditionalFormatting sqref="D9:D35">
    <cfRule type="cellIs" dxfId="4286" priority="52" operator="lessThan">
      <formula>0</formula>
    </cfRule>
  </conditionalFormatting>
  <conditionalFormatting sqref="D9:D35">
    <cfRule type="cellIs" dxfId="4285" priority="51" operator="lessThan">
      <formula>0</formula>
    </cfRule>
  </conditionalFormatting>
  <conditionalFormatting sqref="D9:D35">
    <cfRule type="cellIs" dxfId="4284" priority="50" operator="lessThan">
      <formula>0</formula>
    </cfRule>
  </conditionalFormatting>
  <conditionalFormatting sqref="D9:D35">
    <cfRule type="cellIs" dxfId="4283" priority="49" operator="lessThan">
      <formula>0</formula>
    </cfRule>
  </conditionalFormatting>
  <conditionalFormatting sqref="D9:D35">
    <cfRule type="cellIs" dxfId="4282" priority="48" operator="lessThan">
      <formula>0</formula>
    </cfRule>
  </conditionalFormatting>
  <conditionalFormatting sqref="D9:D35">
    <cfRule type="cellIs" dxfId="4281" priority="47" operator="lessThan">
      <formula>0</formula>
    </cfRule>
  </conditionalFormatting>
  <conditionalFormatting sqref="D9:D35">
    <cfRule type="cellIs" dxfId="4280" priority="46" operator="lessThan">
      <formula>0</formula>
    </cfRule>
  </conditionalFormatting>
  <conditionalFormatting sqref="D9:D35">
    <cfRule type="cellIs" dxfId="4279" priority="45" operator="lessThan">
      <formula>0</formula>
    </cfRule>
  </conditionalFormatting>
  <conditionalFormatting sqref="D9:D35">
    <cfRule type="cellIs" dxfId="4278" priority="44" operator="lessThan">
      <formula>0</formula>
    </cfRule>
  </conditionalFormatting>
  <conditionalFormatting sqref="D9:D35">
    <cfRule type="cellIs" dxfId="4277" priority="43" operator="lessThan">
      <formula>0</formula>
    </cfRule>
  </conditionalFormatting>
  <conditionalFormatting sqref="D9:D35">
    <cfRule type="cellIs" dxfId="4276" priority="42" operator="lessThan">
      <formula>0</formula>
    </cfRule>
  </conditionalFormatting>
  <conditionalFormatting sqref="D9:D35">
    <cfRule type="cellIs" dxfId="4275" priority="41" operator="lessThan">
      <formula>0</formula>
    </cfRule>
  </conditionalFormatting>
  <conditionalFormatting sqref="D9:D35">
    <cfRule type="cellIs" dxfId="4274" priority="40" operator="lessThan">
      <formula>0</formula>
    </cfRule>
  </conditionalFormatting>
  <conditionalFormatting sqref="D9:D35">
    <cfRule type="cellIs" dxfId="4273" priority="39" operator="lessThan">
      <formula>0</formula>
    </cfRule>
  </conditionalFormatting>
  <conditionalFormatting sqref="D9:D35">
    <cfRule type="cellIs" dxfId="4272" priority="38" operator="lessThan">
      <formula>0</formula>
    </cfRule>
  </conditionalFormatting>
  <conditionalFormatting sqref="D9:D35">
    <cfRule type="cellIs" dxfId="4271" priority="37" operator="lessThan">
      <formula>0</formula>
    </cfRule>
  </conditionalFormatting>
  <conditionalFormatting sqref="D9:D35">
    <cfRule type="cellIs" dxfId="4270" priority="36" operator="lessThan">
      <formula>0</formula>
    </cfRule>
  </conditionalFormatting>
  <conditionalFormatting sqref="D9:D35">
    <cfRule type="cellIs" dxfId="4269" priority="35" operator="lessThan">
      <formula>0</formula>
    </cfRule>
  </conditionalFormatting>
  <conditionalFormatting sqref="D9:D35">
    <cfRule type="cellIs" dxfId="4268" priority="34" operator="lessThan">
      <formula>0</formula>
    </cfRule>
  </conditionalFormatting>
  <conditionalFormatting sqref="D9:D35">
    <cfRule type="cellIs" dxfId="4267" priority="33" operator="lessThan">
      <formula>0</formula>
    </cfRule>
  </conditionalFormatting>
  <conditionalFormatting sqref="D9:D35">
    <cfRule type="cellIs" dxfId="4266" priority="32" operator="lessThan">
      <formula>0</formula>
    </cfRule>
  </conditionalFormatting>
  <conditionalFormatting sqref="D9:D35">
    <cfRule type="cellIs" dxfId="4265" priority="31" operator="lessThan">
      <formula>0</formula>
    </cfRule>
  </conditionalFormatting>
  <conditionalFormatting sqref="D9:D35">
    <cfRule type="cellIs" dxfId="4264" priority="30" operator="lessThan">
      <formula>0</formula>
    </cfRule>
  </conditionalFormatting>
  <conditionalFormatting sqref="D9:D35">
    <cfRule type="cellIs" dxfId="4263" priority="29" operator="lessThan">
      <formula>0</formula>
    </cfRule>
  </conditionalFormatting>
  <conditionalFormatting sqref="D9:D35">
    <cfRule type="cellIs" dxfId="4262" priority="28" operator="lessThan">
      <formula>0</formula>
    </cfRule>
  </conditionalFormatting>
  <conditionalFormatting sqref="D9:D35">
    <cfRule type="cellIs" dxfId="4261" priority="27" operator="lessThan">
      <formula>0</formula>
    </cfRule>
  </conditionalFormatting>
  <conditionalFormatting sqref="D9:D35">
    <cfRule type="cellIs" dxfId="4260" priority="26" operator="lessThan">
      <formula>0</formula>
    </cfRule>
  </conditionalFormatting>
  <conditionalFormatting sqref="D9:D35">
    <cfRule type="cellIs" dxfId="4259" priority="25" operator="lessThan">
      <formula>0</formula>
    </cfRule>
  </conditionalFormatting>
  <conditionalFormatting sqref="D9:D35">
    <cfRule type="cellIs" dxfId="4258" priority="24" operator="lessThan">
      <formula>0</formula>
    </cfRule>
  </conditionalFormatting>
  <conditionalFormatting sqref="D9:D35">
    <cfRule type="cellIs" dxfId="4257" priority="23" operator="lessThan">
      <formula>0</formula>
    </cfRule>
  </conditionalFormatting>
  <conditionalFormatting sqref="D9:D35">
    <cfRule type="cellIs" dxfId="4256" priority="22" operator="lessThan">
      <formula>0</formula>
    </cfRule>
  </conditionalFormatting>
  <conditionalFormatting sqref="D9:D35">
    <cfRule type="cellIs" dxfId="4255" priority="21" operator="lessThan">
      <formula>0</formula>
    </cfRule>
  </conditionalFormatting>
  <conditionalFormatting sqref="D9:D35">
    <cfRule type="cellIs" dxfId="4254" priority="20" operator="lessThan">
      <formula>0</formula>
    </cfRule>
  </conditionalFormatting>
  <conditionalFormatting sqref="D9:D35">
    <cfRule type="cellIs" dxfId="4253" priority="19" operator="lessThan">
      <formula>0</formula>
    </cfRule>
  </conditionalFormatting>
  <conditionalFormatting sqref="D9:D35">
    <cfRule type="cellIs" dxfId="4252" priority="18" operator="lessThan">
      <formula>0</formula>
    </cfRule>
  </conditionalFormatting>
  <conditionalFormatting sqref="D9:D35">
    <cfRule type="cellIs" dxfId="4251" priority="17" operator="lessThan">
      <formula>0</formula>
    </cfRule>
  </conditionalFormatting>
  <conditionalFormatting sqref="D9:D35">
    <cfRule type="cellIs" dxfId="4250" priority="16" operator="lessThan">
      <formula>0</formula>
    </cfRule>
  </conditionalFormatting>
  <conditionalFormatting sqref="D9:D35">
    <cfRule type="cellIs" dxfId="4249" priority="15" operator="lessThan">
      <formula>0</formula>
    </cfRule>
  </conditionalFormatting>
  <conditionalFormatting sqref="D9:D35">
    <cfRule type="cellIs" dxfId="4248" priority="14" operator="lessThan">
      <formula>0</formula>
    </cfRule>
  </conditionalFormatting>
  <conditionalFormatting sqref="D9:D35">
    <cfRule type="cellIs" dxfId="4247" priority="13" operator="lessThan">
      <formula>0</formula>
    </cfRule>
  </conditionalFormatting>
  <conditionalFormatting sqref="D9:D35">
    <cfRule type="cellIs" dxfId="4246" priority="12" operator="lessThan">
      <formula>0</formula>
    </cfRule>
  </conditionalFormatting>
  <conditionalFormatting sqref="D9:D35">
    <cfRule type="cellIs" dxfId="4245" priority="11" operator="lessThan">
      <formula>0</formula>
    </cfRule>
  </conditionalFormatting>
  <conditionalFormatting sqref="D9:D35">
    <cfRule type="cellIs" dxfId="4244" priority="10" operator="lessThan">
      <formula>0</formula>
    </cfRule>
  </conditionalFormatting>
  <conditionalFormatting sqref="D9:D35">
    <cfRule type="cellIs" dxfId="4243" priority="9" operator="lessThan">
      <formula>0</formula>
    </cfRule>
  </conditionalFormatting>
  <conditionalFormatting sqref="D9:D35">
    <cfRule type="cellIs" dxfId="4242" priority="8" operator="lessThan">
      <formula>0</formula>
    </cfRule>
  </conditionalFormatting>
  <conditionalFormatting sqref="D9:D35">
    <cfRule type="cellIs" dxfId="4241" priority="7" operator="lessThan">
      <formula>0</formula>
    </cfRule>
  </conditionalFormatting>
  <conditionalFormatting sqref="D9:D35">
    <cfRule type="cellIs" dxfId="4240" priority="6" operator="lessThan">
      <formula>0</formula>
    </cfRule>
  </conditionalFormatting>
  <conditionalFormatting sqref="D9:D35">
    <cfRule type="cellIs" dxfId="4239" priority="5" operator="lessThan">
      <formula>0</formula>
    </cfRule>
  </conditionalFormatting>
  <conditionalFormatting sqref="D9:D35">
    <cfRule type="cellIs" dxfId="4238" priority="4" operator="lessThan">
      <formula>0</formula>
    </cfRule>
  </conditionalFormatting>
  <conditionalFormatting sqref="D9:D35">
    <cfRule type="cellIs" dxfId="4237" priority="3" operator="lessThan">
      <formula>0</formula>
    </cfRule>
  </conditionalFormatting>
  <conditionalFormatting sqref="D9:D35">
    <cfRule type="cellIs" dxfId="4236" priority="2" operator="lessThan">
      <formula>0</formula>
    </cfRule>
  </conditionalFormatting>
  <conditionalFormatting sqref="D9:D35">
    <cfRule type="cellIs" dxfId="4235" priority="1"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I61"/>
  <sheetViews>
    <sheetView zoomScale="70" zoomScaleNormal="70" zoomScaleSheetLayoutView="85" workbookViewId="0">
      <selection activeCell="F26" sqref="F26"/>
    </sheetView>
  </sheetViews>
  <sheetFormatPr defaultColWidth="9.140625" defaultRowHeight="12.95"/>
  <cols>
    <col min="1" max="1" width="0.7109375" style="1" customWidth="1"/>
    <col min="2" max="2" width="7.7109375" style="2" customWidth="1"/>
    <col min="3" max="3" width="16" style="3" customWidth="1"/>
    <col min="4" max="4" width="8.28515625" style="4" customWidth="1"/>
    <col min="5" max="5" width="0.85546875" style="4" customWidth="1"/>
    <col min="6" max="6" width="9.140625" style="1" customWidth="1"/>
    <col min="7" max="7" width="0.85546875" style="1" customWidth="1"/>
    <col min="8" max="8" width="9.85546875" style="1" customWidth="1"/>
    <col min="9" max="9" width="2.7109375" style="1" customWidth="1"/>
    <col min="10" max="10" width="9.42578125" style="1" customWidth="1"/>
    <col min="11" max="11" width="2.140625" style="1" customWidth="1"/>
    <col min="12" max="12" width="14" style="2" customWidth="1"/>
    <col min="13" max="13" width="16.28515625" style="3" customWidth="1"/>
    <col min="14" max="14" width="9.5703125" style="1" customWidth="1"/>
    <col min="15" max="15" width="1.140625" style="1" customWidth="1"/>
    <col min="16" max="16" width="6.42578125" style="1" customWidth="1"/>
    <col min="17" max="17" width="1" style="1" customWidth="1"/>
    <col min="18" max="18" width="7.140625" style="1" customWidth="1"/>
    <col min="19" max="19" width="2.5703125" style="1" customWidth="1"/>
    <col min="20" max="20" width="5.28515625" style="1" customWidth="1"/>
    <col min="21" max="21" width="2.7109375" style="1" customWidth="1"/>
    <col min="22" max="22" width="7.7109375" style="1" customWidth="1"/>
    <col min="23" max="23" width="9.140625" style="3"/>
    <col min="24" max="24" width="7" style="1" customWidth="1"/>
    <col min="25" max="25" width="0.85546875" style="1" customWidth="1"/>
    <col min="26" max="26" width="4.42578125" style="1" customWidth="1"/>
    <col min="27" max="27" width="12.140625" style="1" customWidth="1"/>
    <col min="28" max="28" width="2.7109375" style="1" customWidth="1"/>
    <col min="29" max="16384" width="9.140625" style="1"/>
  </cols>
  <sheetData>
    <row r="1" spans="1:29" ht="3" customHeight="1" thickBot="1">
      <c r="L1" s="2">
        <v>0</v>
      </c>
    </row>
    <row r="2" spans="1:29" ht="31.5" customHeight="1" thickBot="1">
      <c r="C2" s="5" t="s">
        <v>31</v>
      </c>
      <c r="D2" s="750">
        <f ca="1">TODAY()-1</f>
        <v>44776</v>
      </c>
      <c r="E2" s="751"/>
      <c r="F2" s="751"/>
      <c r="G2" s="751"/>
      <c r="H2" s="751"/>
      <c r="I2" s="751"/>
      <c r="J2" s="751"/>
      <c r="K2" s="751"/>
      <c r="L2" s="752"/>
      <c r="O2" s="5" t="s">
        <v>32</v>
      </c>
      <c r="P2" s="753" t="s">
        <v>33</v>
      </c>
      <c r="Q2" s="754"/>
      <c r="R2" s="754"/>
      <c r="S2" s="754"/>
      <c r="T2" s="754"/>
      <c r="U2" s="754"/>
      <c r="V2" s="754"/>
      <c r="W2" s="754"/>
      <c r="X2" s="754"/>
      <c r="Y2" s="754"/>
      <c r="Z2" s="755"/>
    </row>
    <row r="3" spans="1:29" ht="13.5" thickBot="1"/>
    <row r="4" spans="1:29" ht="18.600000000000001" thickBot="1">
      <c r="B4" s="756" t="s">
        <v>34</v>
      </c>
      <c r="C4" s="757"/>
      <c r="D4" s="757"/>
      <c r="E4" s="757"/>
      <c r="F4" s="757"/>
      <c r="G4" s="757"/>
      <c r="H4" s="758"/>
      <c r="I4" s="6"/>
      <c r="J4" s="7"/>
      <c r="L4" s="759" t="s">
        <v>35</v>
      </c>
      <c r="M4" s="757"/>
      <c r="N4" s="757"/>
      <c r="O4" s="757"/>
      <c r="P4" s="758"/>
      <c r="Q4" s="6"/>
      <c r="R4" s="6"/>
      <c r="S4" s="6"/>
      <c r="T4" s="8"/>
      <c r="V4" s="2" t="s">
        <v>36</v>
      </c>
    </row>
    <row r="5" spans="1:29" ht="6.75" customHeight="1">
      <c r="J5" s="9"/>
      <c r="T5" s="9"/>
      <c r="V5" s="2"/>
    </row>
    <row r="6" spans="1:29">
      <c r="B6" s="2" t="s">
        <v>37</v>
      </c>
      <c r="D6" s="10">
        <f ca="1">D2</f>
        <v>44776</v>
      </c>
      <c r="F6" s="10">
        <f ca="1">D2-1</f>
        <v>44775</v>
      </c>
      <c r="H6" s="10">
        <f ca="1">F6-1</f>
        <v>44774</v>
      </c>
      <c r="J6" s="1" t="s">
        <v>38</v>
      </c>
      <c r="L6" s="2" t="s">
        <v>39</v>
      </c>
      <c r="T6" s="9"/>
      <c r="V6" s="2"/>
      <c r="W6" s="3" t="s">
        <v>40</v>
      </c>
      <c r="X6" s="690" t="s">
        <v>41</v>
      </c>
      <c r="Y6" s="311"/>
      <c r="Z6" s="690" t="s">
        <v>42</v>
      </c>
      <c r="AA6" s="1" t="s">
        <v>43</v>
      </c>
      <c r="AC6" s="4"/>
    </row>
    <row r="7" spans="1:29" ht="3" customHeight="1">
      <c r="A7" s="1" t="s">
        <v>27</v>
      </c>
      <c r="J7" s="9"/>
      <c r="T7" s="9"/>
      <c r="V7" s="2"/>
      <c r="X7" s="311"/>
      <c r="Y7" s="311"/>
      <c r="Z7" s="311"/>
      <c r="AA7" s="4"/>
      <c r="AB7" s="4"/>
      <c r="AC7" s="4"/>
    </row>
    <row r="8" spans="1:29">
      <c r="B8" s="1" t="s">
        <v>44</v>
      </c>
      <c r="C8" s="3" t="s">
        <v>45</v>
      </c>
      <c r="D8" s="12">
        <f ca="1">VLOOKUP($D$2,'Current month'!$A$3:$EE$33,3,FALSE)</f>
        <v>24234</v>
      </c>
      <c r="F8" s="12">
        <f ca="1">VLOOKUP($F$6,'Current month'!$A$3:$EE$33,3,FALSE)</f>
        <v>22549</v>
      </c>
      <c r="G8" s="13"/>
      <c r="H8" s="12">
        <f ca="1">VLOOKUP($H$6,'Current month'!$A$3:$EE$33,3,FALSE)</f>
        <v>22189</v>
      </c>
      <c r="I8" s="14"/>
      <c r="J8" s="15" t="s">
        <v>46</v>
      </c>
      <c r="M8" s="3" t="s">
        <v>47</v>
      </c>
      <c r="N8" s="12">
        <f ca="1">VLOOKUP($D$2,'Current month'!$A$3:$EE$33,73,FALSE)</f>
        <v>661100</v>
      </c>
      <c r="O8" s="4"/>
      <c r="P8" s="16"/>
      <c r="R8" s="760" t="s">
        <v>48</v>
      </c>
      <c r="S8" s="760"/>
      <c r="T8" s="761"/>
      <c r="V8" s="2"/>
      <c r="W8" s="3" t="s">
        <v>49</v>
      </c>
      <c r="X8" s="312">
        <v>15.9</v>
      </c>
      <c r="Y8" s="313">
        <v>12.5</v>
      </c>
      <c r="Z8" s="312"/>
    </row>
    <row r="9" spans="1:29" ht="3" customHeight="1">
      <c r="D9" s="18"/>
      <c r="J9" s="9"/>
      <c r="N9" s="3">
        <v>84</v>
      </c>
      <c r="O9" s="4"/>
      <c r="T9" s="9"/>
      <c r="V9" s="2"/>
      <c r="X9" s="313">
        <v>7.5</v>
      </c>
      <c r="Y9" s="313"/>
      <c r="Z9" s="313">
        <v>0</v>
      </c>
    </row>
    <row r="10" spans="1:29">
      <c r="C10" s="3" t="s">
        <v>50</v>
      </c>
      <c r="D10" s="690" t="s">
        <v>41</v>
      </c>
      <c r="F10" s="4"/>
      <c r="G10" s="4"/>
      <c r="J10" s="9"/>
      <c r="L10" s="2" t="s">
        <v>51</v>
      </c>
      <c r="M10" s="3" t="s">
        <v>52</v>
      </c>
      <c r="N10" s="690"/>
      <c r="O10" s="311"/>
      <c r="P10" s="690" t="s">
        <v>42</v>
      </c>
      <c r="Q10" s="4"/>
      <c r="R10" s="312">
        <v>0</v>
      </c>
      <c r="S10" s="749">
        <v>72</v>
      </c>
      <c r="T10" s="749"/>
      <c r="V10" s="2"/>
      <c r="W10" s="3" t="s">
        <v>53</v>
      </c>
      <c r="X10" s="316">
        <v>13</v>
      </c>
      <c r="Y10" s="313"/>
      <c r="Z10" s="316"/>
    </row>
    <row r="11" spans="1:29" ht="3" customHeight="1">
      <c r="D11" s="311"/>
      <c r="F11" s="4"/>
      <c r="G11" s="4"/>
      <c r="J11" s="9"/>
      <c r="L11" s="2" t="s">
        <v>51</v>
      </c>
      <c r="M11" s="3" t="s">
        <v>54</v>
      </c>
      <c r="N11" s="690" t="s">
        <v>41</v>
      </c>
      <c r="O11" s="311"/>
      <c r="P11" s="690" t="s">
        <v>41</v>
      </c>
      <c r="Q11" s="4"/>
      <c r="R11" s="313"/>
      <c r="S11" s="311"/>
      <c r="T11" s="314"/>
      <c r="X11" s="313"/>
      <c r="Y11" s="313"/>
      <c r="Z11" s="313">
        <v>11</v>
      </c>
    </row>
    <row r="12" spans="1:29">
      <c r="C12" s="3" t="s">
        <v>55</v>
      </c>
      <c r="D12" s="690" t="s">
        <v>41</v>
      </c>
      <c r="F12" s="4"/>
      <c r="G12" s="4"/>
      <c r="J12" s="9"/>
      <c r="L12" s="2" t="s">
        <v>56</v>
      </c>
      <c r="M12" s="3" t="s">
        <v>52</v>
      </c>
      <c r="N12" s="690" t="s">
        <v>42</v>
      </c>
      <c r="O12" s="311"/>
      <c r="P12" s="690" t="s">
        <v>42</v>
      </c>
      <c r="R12" s="312">
        <v>0</v>
      </c>
      <c r="S12" s="749">
        <v>0</v>
      </c>
      <c r="T12" s="749"/>
      <c r="V12" s="1" t="s">
        <v>57</v>
      </c>
      <c r="X12" s="312">
        <f>+X8-X10</f>
        <v>2.9000000000000004</v>
      </c>
      <c r="Y12" s="313"/>
      <c r="Z12" s="312">
        <f>+Z8-Z10</f>
        <v>0</v>
      </c>
    </row>
    <row r="13" spans="1:29" ht="3" customHeight="1" thickBot="1">
      <c r="F13" s="4"/>
      <c r="G13" s="4"/>
      <c r="J13" s="9"/>
      <c r="L13" s="2" t="s">
        <v>51</v>
      </c>
      <c r="M13" s="3" t="s">
        <v>58</v>
      </c>
      <c r="N13" s="690" t="s">
        <v>41</v>
      </c>
      <c r="O13" s="311"/>
      <c r="P13" s="690" t="s">
        <v>41</v>
      </c>
      <c r="R13" s="313"/>
      <c r="S13" s="313"/>
      <c r="T13" s="315"/>
    </row>
    <row r="14" spans="1:29" ht="13.5" thickBot="1">
      <c r="C14" s="3" t="s">
        <v>59</v>
      </c>
      <c r="D14" s="12">
        <f ca="1">VLOOKUP($D$2,'Current month'!A3:EE33,77,FALSE)</f>
        <v>854250</v>
      </c>
      <c r="E14" s="19"/>
      <c r="F14" s="1" t="s">
        <v>60</v>
      </c>
      <c r="J14" s="9"/>
      <c r="L14" s="2" t="s">
        <v>61</v>
      </c>
      <c r="M14" s="3" t="s">
        <v>52</v>
      </c>
      <c r="N14" s="690" t="s">
        <v>42</v>
      </c>
      <c r="O14" s="311"/>
      <c r="P14" s="690" t="s">
        <v>42</v>
      </c>
      <c r="R14" s="312">
        <v>0</v>
      </c>
      <c r="S14" s="762">
        <v>0</v>
      </c>
      <c r="T14" s="763"/>
      <c r="V14" s="753" t="s">
        <v>62</v>
      </c>
      <c r="W14" s="754"/>
      <c r="X14" s="754"/>
      <c r="Y14" s="754"/>
      <c r="Z14" s="755"/>
    </row>
    <row r="15" spans="1:29" ht="3" customHeight="1">
      <c r="D15" s="19"/>
      <c r="E15" s="19"/>
      <c r="H15" s="1">
        <v>22948</v>
      </c>
      <c r="J15" s="9"/>
      <c r="L15" s="2" t="s">
        <v>51</v>
      </c>
      <c r="M15" s="3" t="s">
        <v>52</v>
      </c>
      <c r="N15" s="690" t="s">
        <v>41</v>
      </c>
      <c r="O15" s="311"/>
      <c r="P15" s="690" t="s">
        <v>41</v>
      </c>
      <c r="R15" s="313"/>
      <c r="S15" s="313"/>
      <c r="T15" s="315"/>
    </row>
    <row r="16" spans="1:29">
      <c r="J16" s="9"/>
      <c r="L16" s="2" t="s">
        <v>63</v>
      </c>
      <c r="M16" s="3" t="s">
        <v>52</v>
      </c>
      <c r="N16" s="690" t="s">
        <v>42</v>
      </c>
      <c r="O16" s="311"/>
      <c r="P16" s="690" t="s">
        <v>42</v>
      </c>
      <c r="R16" s="312">
        <v>0</v>
      </c>
      <c r="S16" s="762">
        <v>0</v>
      </c>
      <c r="T16" s="763"/>
      <c r="V16" s="2" t="s">
        <v>64</v>
      </c>
      <c r="Z16" s="1" t="s">
        <v>65</v>
      </c>
    </row>
    <row r="17" spans="2:35" ht="3" customHeight="1">
      <c r="J17" s="9"/>
      <c r="L17" s="2" t="s">
        <v>63</v>
      </c>
      <c r="M17" s="3" t="s">
        <v>52</v>
      </c>
      <c r="N17" s="690" t="s">
        <v>41</v>
      </c>
      <c r="O17" s="311"/>
      <c r="P17" s="690" t="s">
        <v>41</v>
      </c>
      <c r="R17" s="313">
        <v>0</v>
      </c>
      <c r="S17" s="313"/>
      <c r="T17" s="315"/>
      <c r="V17" s="2"/>
    </row>
    <row r="18" spans="2:35">
      <c r="B18" s="2" t="s">
        <v>66</v>
      </c>
      <c r="F18" s="10">
        <f ca="1">D2-1</f>
        <v>44775</v>
      </c>
      <c r="H18" s="10">
        <f ca="1">F18-1</f>
        <v>44774</v>
      </c>
      <c r="J18" s="9"/>
      <c r="L18" s="2" t="s">
        <v>67</v>
      </c>
      <c r="M18" s="3" t="s">
        <v>52</v>
      </c>
      <c r="N18" s="690" t="s">
        <v>42</v>
      </c>
      <c r="O18" s="311"/>
      <c r="P18" s="690" t="s">
        <v>41</v>
      </c>
      <c r="R18" s="312">
        <v>0</v>
      </c>
      <c r="S18" s="762">
        <v>70</v>
      </c>
      <c r="T18" s="763"/>
      <c r="V18" s="1" t="s">
        <v>68</v>
      </c>
      <c r="X18" s="762" t="s">
        <v>41</v>
      </c>
      <c r="Y18" s="764"/>
      <c r="Z18" s="763"/>
    </row>
    <row r="19" spans="2:35" ht="3" customHeight="1">
      <c r="D19" s="4">
        <v>658</v>
      </c>
      <c r="J19" s="9"/>
      <c r="L19" s="2" t="s">
        <v>63</v>
      </c>
      <c r="M19" s="3" t="s">
        <v>52</v>
      </c>
      <c r="N19" s="690" t="s">
        <v>41</v>
      </c>
      <c r="O19" s="311"/>
      <c r="P19" s="690" t="s">
        <v>41</v>
      </c>
      <c r="R19" s="313"/>
      <c r="S19" s="313"/>
      <c r="T19" s="315"/>
      <c r="X19" s="311"/>
      <c r="Y19" s="311"/>
      <c r="Z19" s="313"/>
    </row>
    <row r="20" spans="2:35">
      <c r="C20" s="3" t="s">
        <v>69</v>
      </c>
      <c r="D20" s="12">
        <f ca="1">VLOOKUP($D$2,'Current month'!A3:EE33,72,FALSE)</f>
        <v>211</v>
      </c>
      <c r="F20" s="12">
        <f ca="1">VLOOKUP(F18,'Current month'!$A$3:$EE$33,72,FALSE)</f>
        <v>156</v>
      </c>
      <c r="H20" s="12">
        <f ca="1">VLOOKUP(H18,'Current month'!$A$3:$EE$33,72,FALSE)</f>
        <v>204</v>
      </c>
      <c r="J20" s="20"/>
      <c r="L20" s="2" t="s">
        <v>70</v>
      </c>
      <c r="M20" s="3" t="s">
        <v>52</v>
      </c>
      <c r="N20" s="690" t="s">
        <v>42</v>
      </c>
      <c r="O20" s="311"/>
      <c r="P20" s="690" t="s">
        <v>41</v>
      </c>
      <c r="R20" s="312">
        <v>0</v>
      </c>
      <c r="S20" s="762">
        <v>70</v>
      </c>
      <c r="T20" s="763"/>
      <c r="V20" s="1" t="s">
        <v>71</v>
      </c>
      <c r="X20" s="762" t="s">
        <v>41</v>
      </c>
      <c r="Y20" s="764"/>
      <c r="Z20" s="763"/>
    </row>
    <row r="21" spans="2:35" ht="3" customHeight="1">
      <c r="J21" s="9"/>
      <c r="L21" s="2" t="s">
        <v>63</v>
      </c>
      <c r="M21" s="3" t="s">
        <v>52</v>
      </c>
      <c r="N21" s="690" t="s">
        <v>41</v>
      </c>
      <c r="O21" s="311"/>
      <c r="P21" s="690" t="s">
        <v>41</v>
      </c>
      <c r="R21" s="313"/>
      <c r="S21" s="313"/>
      <c r="T21" s="315"/>
      <c r="X21" s="311"/>
      <c r="Y21" s="311"/>
      <c r="Z21" s="313"/>
      <c r="AI21" s="354"/>
    </row>
    <row r="22" spans="2:35">
      <c r="C22" s="3" t="s">
        <v>72</v>
      </c>
      <c r="D22" s="12">
        <f ca="1">VLOOKUP($D$2,'Current month'!$A3:EE33,22,FALSE)</f>
        <v>1616</v>
      </c>
      <c r="F22" s="12">
        <f ca="1">VLOOKUP($F$18,'Current month'!$A3:EG33,22,FALSE)</f>
        <v>1061</v>
      </c>
      <c r="H22" s="12">
        <f ca="1">VLOOKUP($H$18,'Current month'!$A3:EI33,22,FALSE)</f>
        <v>565</v>
      </c>
      <c r="L22" s="2" t="s">
        <v>73</v>
      </c>
      <c r="M22" s="3" t="s">
        <v>52</v>
      </c>
      <c r="N22" s="690" t="s">
        <v>42</v>
      </c>
      <c r="O22" s="311"/>
      <c r="P22" s="690" t="s">
        <v>42</v>
      </c>
      <c r="R22" s="312">
        <v>0</v>
      </c>
      <c r="S22" s="762">
        <v>0</v>
      </c>
      <c r="T22" s="763"/>
      <c r="V22" s="1" t="s">
        <v>74</v>
      </c>
      <c r="X22" s="749" t="s">
        <v>41</v>
      </c>
      <c r="Y22" s="749"/>
      <c r="Z22" s="749"/>
    </row>
    <row r="23" spans="2:35" ht="3" customHeight="1">
      <c r="M23" s="3" t="s">
        <v>52</v>
      </c>
      <c r="N23" s="690" t="s">
        <v>41</v>
      </c>
      <c r="O23" s="311"/>
      <c r="P23" s="690" t="s">
        <v>41</v>
      </c>
      <c r="R23" s="313">
        <v>65</v>
      </c>
      <c r="S23" s="313"/>
      <c r="T23" s="315"/>
      <c r="X23" s="311"/>
      <c r="Y23" s="311"/>
      <c r="Z23" s="313"/>
    </row>
    <row r="24" spans="2:35">
      <c r="C24" s="3" t="s">
        <v>75</v>
      </c>
      <c r="D24" s="12">
        <f ca="1">VLOOKUP($D$2,'Current month'!$A$3:EE33,64,FALSE)</f>
        <v>7</v>
      </c>
      <c r="F24" s="12">
        <f ca="1">VLOOKUP($F$18,'Current month'!$A$3:$EE$33,64,FALSE)</f>
        <v>4</v>
      </c>
      <c r="H24" s="12">
        <f ca="1">VLOOKUP($H$18,'Current month'!$A$3:$EE$33,64,FALSE)</f>
        <v>6</v>
      </c>
      <c r="L24" s="2" t="s">
        <v>76</v>
      </c>
      <c r="M24" s="3" t="s">
        <v>52</v>
      </c>
      <c r="N24" s="690" t="s">
        <v>42</v>
      </c>
      <c r="O24" s="311"/>
      <c r="P24" s="690" t="s">
        <v>41</v>
      </c>
      <c r="R24" s="312">
        <v>0</v>
      </c>
      <c r="S24" s="762">
        <v>65</v>
      </c>
      <c r="T24" s="763"/>
      <c r="V24" s="1" t="s">
        <v>77</v>
      </c>
      <c r="X24" s="762" t="s">
        <v>41</v>
      </c>
      <c r="Y24" s="764"/>
      <c r="Z24" s="763"/>
    </row>
    <row r="25" spans="2:35" ht="3" customHeight="1">
      <c r="T25" s="9"/>
      <c r="X25" s="313"/>
      <c r="Y25" s="311"/>
      <c r="Z25" s="313"/>
    </row>
    <row r="26" spans="2:35">
      <c r="C26" s="3" t="s">
        <v>78</v>
      </c>
      <c r="D26" s="12">
        <f ca="1">VLOOKUP($D$2,'Current month'!$A$3:$EE$33,71,FALSE)</f>
        <v>19</v>
      </c>
      <c r="E26" s="12"/>
      <c r="F26" s="12">
        <f ca="1">VLOOKUP($F$18,'Current month'!$A$3:$EE$33,71,FALSE)</f>
        <v>24</v>
      </c>
      <c r="G26" s="12"/>
      <c r="H26" s="12">
        <f ca="1">VLOOKUP($H$18,'Current month'!$A$3:$EE$33,71,FALSE)</f>
        <v>26</v>
      </c>
      <c r="L26" s="21" t="s">
        <v>79</v>
      </c>
      <c r="M26" s="22">
        <v>55</v>
      </c>
      <c r="T26" s="9"/>
      <c r="V26" s="1" t="s">
        <v>80</v>
      </c>
      <c r="X26" s="762" t="s">
        <v>41</v>
      </c>
      <c r="Y26" s="764"/>
      <c r="Z26" s="763"/>
    </row>
    <row r="27" spans="2:35" ht="3" customHeight="1">
      <c r="C27" s="3" t="s">
        <v>81</v>
      </c>
      <c r="N27" s="1">
        <v>11.8</v>
      </c>
      <c r="T27" s="9"/>
      <c r="X27" s="313"/>
      <c r="Y27" s="311"/>
      <c r="Z27" s="313"/>
    </row>
    <row r="28" spans="2:35">
      <c r="C28" s="3" t="s">
        <v>81</v>
      </c>
      <c r="D28" s="12">
        <f ca="1">VLOOKUP($D$2,'Current month'!$A$3:$EE$33,34,FALSE)</f>
        <v>470</v>
      </c>
      <c r="F28" s="12">
        <f ca="1">VLOOKUP($F$18,'Current month'!$A$3:$EE$33,34,FALSE)</f>
        <v>470</v>
      </c>
      <c r="H28" s="12">
        <f ca="1">VLOOKUP($H$18,'Current month'!$A$3:$EE$33,34,FALSE)</f>
        <v>470</v>
      </c>
      <c r="L28" s="2" t="s">
        <v>82</v>
      </c>
      <c r="M28" s="2"/>
      <c r="N28" s="2"/>
      <c r="T28" s="691"/>
      <c r="V28" s="1" t="s">
        <v>83</v>
      </c>
      <c r="X28" s="762" t="s">
        <v>41</v>
      </c>
      <c r="Y28" s="764"/>
      <c r="Z28" s="763"/>
    </row>
    <row r="29" spans="2:35" ht="3" customHeight="1">
      <c r="J29" s="9"/>
      <c r="T29" s="691"/>
      <c r="X29" s="311"/>
      <c r="Y29" s="311"/>
      <c r="Z29" s="313"/>
    </row>
    <row r="30" spans="2:35">
      <c r="C30" s="3" t="s">
        <v>84</v>
      </c>
      <c r="D30" s="690" t="s">
        <v>85</v>
      </c>
      <c r="E30" s="311"/>
      <c r="F30" s="690" t="s">
        <v>41</v>
      </c>
      <c r="G30" s="311"/>
      <c r="H30" s="690" t="s">
        <v>41</v>
      </c>
      <c r="I30" s="4"/>
      <c r="J30" s="691"/>
      <c r="M30" s="3" t="s">
        <v>86</v>
      </c>
      <c r="N30" s="11" t="s">
        <v>87</v>
      </c>
      <c r="O30" s="23"/>
      <c r="Q30" s="4"/>
      <c r="R30" s="4"/>
      <c r="S30" s="4"/>
      <c r="T30" s="9"/>
      <c r="V30" s="1" t="s">
        <v>88</v>
      </c>
      <c r="X30" s="762" t="s">
        <v>41</v>
      </c>
      <c r="Y30" s="764"/>
      <c r="Z30" s="763"/>
      <c r="AB30" s="1" t="s">
        <v>89</v>
      </c>
    </row>
    <row r="31" spans="2:35" ht="3" customHeight="1">
      <c r="F31" s="4"/>
      <c r="G31" s="4"/>
      <c r="H31" s="4"/>
      <c r="I31" s="4"/>
      <c r="J31" s="691"/>
      <c r="N31" s="4"/>
      <c r="O31" s="4"/>
      <c r="Q31" s="4"/>
      <c r="R31" s="4"/>
      <c r="S31" s="4"/>
      <c r="T31" s="9"/>
      <c r="X31" s="311"/>
      <c r="Y31" s="311"/>
      <c r="Z31" s="313"/>
    </row>
    <row r="32" spans="2:35">
      <c r="C32" s="3" t="s">
        <v>90</v>
      </c>
      <c r="D32" s="12">
        <f ca="1">VLOOKUP($D$2,'Current month'!$A$3:$EE$33,23,FALSE)</f>
        <v>2328838</v>
      </c>
      <c r="F32" s="17">
        <f ca="1">D32%*400</f>
        <v>9315352</v>
      </c>
      <c r="H32" s="1" t="s">
        <v>91</v>
      </c>
      <c r="I32" s="1" t="s">
        <v>92</v>
      </c>
      <c r="J32" s="9"/>
      <c r="M32" s="3" t="s">
        <v>93</v>
      </c>
      <c r="N32" s="17">
        <v>3.8</v>
      </c>
      <c r="P32" s="1" t="s">
        <v>94</v>
      </c>
      <c r="R32" s="1" t="s">
        <v>95</v>
      </c>
      <c r="T32" s="24"/>
      <c r="V32" s="1" t="s">
        <v>96</v>
      </c>
      <c r="X32" s="762" t="s">
        <v>41</v>
      </c>
      <c r="Y32" s="764"/>
      <c r="Z32" s="763"/>
    </row>
    <row r="33" spans="2:29" ht="3" customHeight="1">
      <c r="J33" s="9"/>
      <c r="T33" s="9"/>
      <c r="X33" s="311"/>
      <c r="Y33" s="311"/>
      <c r="Z33" s="313"/>
    </row>
    <row r="34" spans="2:29">
      <c r="B34" s="2" t="s">
        <v>97</v>
      </c>
      <c r="F34" s="10">
        <f ca="1">D2-1</f>
        <v>44775</v>
      </c>
      <c r="H34" s="10">
        <f ca="1">D2-2</f>
        <v>44774</v>
      </c>
      <c r="J34" s="9"/>
      <c r="M34" s="3" t="s">
        <v>98</v>
      </c>
      <c r="N34" s="25"/>
      <c r="O34" s="26"/>
      <c r="P34" s="27"/>
      <c r="Q34" s="28"/>
      <c r="R34" s="28"/>
      <c r="S34" s="28"/>
      <c r="T34" s="9"/>
      <c r="V34" s="1" t="s">
        <v>99</v>
      </c>
      <c r="X34" s="762" t="s">
        <v>41</v>
      </c>
      <c r="Y34" s="764"/>
      <c r="Z34" s="763"/>
    </row>
    <row r="35" spans="2:29" ht="3" customHeight="1">
      <c r="J35" s="9"/>
      <c r="N35" s="29">
        <v>40693</v>
      </c>
      <c r="O35" s="29"/>
      <c r="T35" s="9"/>
      <c r="X35" s="311"/>
      <c r="Y35" s="311"/>
      <c r="Z35" s="313"/>
    </row>
    <row r="36" spans="2:29">
      <c r="C36" s="3" t="s">
        <v>100</v>
      </c>
      <c r="D36" s="12">
        <f ca="1">VLOOKUP($D$2,'Current month'!$A$3:$EE$33,81,FALSE)</f>
        <v>-230</v>
      </c>
      <c r="F36" s="12">
        <f ca="1">VLOOKUP($F$34,'Current month'!$A$3:$EE$33,81,FALSE)</f>
        <v>-180</v>
      </c>
      <c r="H36" s="12">
        <f ca="1">VLOOKUP($H$34,'Current month'!$A$3:$EE$33,81,FALSE)</f>
        <v>-230</v>
      </c>
      <c r="J36" s="9"/>
      <c r="M36" s="3" t="s">
        <v>101</v>
      </c>
      <c r="N36" s="871">
        <v>1</v>
      </c>
      <c r="O36" s="872"/>
      <c r="P36" s="873"/>
      <c r="T36" s="9"/>
      <c r="V36" s="1" t="s">
        <v>102</v>
      </c>
      <c r="X36" s="762" t="s">
        <v>41</v>
      </c>
      <c r="Y36" s="764"/>
      <c r="Z36" s="763"/>
    </row>
    <row r="37" spans="2:29" ht="3" customHeight="1">
      <c r="D37" s="4">
        <v>700</v>
      </c>
      <c r="J37" s="9"/>
      <c r="T37" s="9"/>
      <c r="X37" s="311"/>
      <c r="Y37" s="313"/>
      <c r="Z37" s="313"/>
    </row>
    <row r="38" spans="2:29">
      <c r="C38" s="3" t="s">
        <v>103</v>
      </c>
      <c r="D38" s="12">
        <f ca="1">VLOOKUP($D$2,'Current month'!$A$3:$EE$33,103,FALSE)</f>
        <v>36012</v>
      </c>
      <c r="F38" s="12">
        <f ca="1">VLOOKUP($F$34,'Current month'!$A$3:$EE$33,103,FALSE)</f>
        <v>36003</v>
      </c>
      <c r="H38" s="12">
        <f ca="1">VLOOKUP($H$34,'Current month'!$A$3:$EE$33,103,FALSE)</f>
        <v>35995</v>
      </c>
      <c r="I38" s="4"/>
      <c r="J38" s="9"/>
      <c r="L38" s="2" t="s">
        <v>104</v>
      </c>
      <c r="V38" s="1" t="s">
        <v>105</v>
      </c>
      <c r="X38" s="762" t="s">
        <v>41</v>
      </c>
      <c r="Y38" s="764"/>
      <c r="Z38" s="763"/>
    </row>
    <row r="39" spans="2:29" ht="3" customHeight="1">
      <c r="G39" s="4"/>
      <c r="J39" s="9"/>
      <c r="X39" s="4"/>
      <c r="Y39" s="4"/>
    </row>
    <row r="40" spans="2:29">
      <c r="C40" s="3" t="s">
        <v>106</v>
      </c>
      <c r="D40" s="690" t="s">
        <v>41</v>
      </c>
      <c r="F40" s="12">
        <f ca="1">VLOOKUP($D$2,'Current month'!$A$3:$EE$33,83,FALSE)</f>
        <v>69</v>
      </c>
      <c r="G40" s="2"/>
      <c r="H40" s="1" t="s">
        <v>107</v>
      </c>
      <c r="J40" s="9"/>
      <c r="L40" s="1" t="s">
        <v>108</v>
      </c>
      <c r="M40" s="3" t="s">
        <v>109</v>
      </c>
      <c r="N40" s="690" t="s">
        <v>110</v>
      </c>
      <c r="P40" s="1" t="s">
        <v>111</v>
      </c>
      <c r="R40" s="690" t="s">
        <v>110</v>
      </c>
      <c r="T40" s="9"/>
      <c r="V40" s="1" t="s">
        <v>112</v>
      </c>
      <c r="X40" s="762" t="s">
        <v>41</v>
      </c>
      <c r="Y40" s="764"/>
      <c r="Z40" s="763"/>
    </row>
    <row r="41" spans="2:29" ht="3" customHeight="1">
      <c r="D41" s="311"/>
      <c r="F41" s="4"/>
      <c r="J41" s="9"/>
      <c r="N41" s="313"/>
      <c r="R41" s="313"/>
      <c r="T41" s="9"/>
    </row>
    <row r="42" spans="2:29">
      <c r="C42" s="3" t="s">
        <v>113</v>
      </c>
      <c r="D42" s="690" t="s">
        <v>41</v>
      </c>
      <c r="E42" s="2"/>
      <c r="F42" s="12">
        <f ca="1">VLOOKUP($D$2,'Current month'!$A$3:$EE$33,85,FALSE)</f>
        <v>19718.480566335173</v>
      </c>
      <c r="H42" s="1" t="s">
        <v>107</v>
      </c>
      <c r="L42" s="1" t="s">
        <v>114</v>
      </c>
      <c r="M42" s="3" t="s">
        <v>109</v>
      </c>
      <c r="N42" s="690" t="s">
        <v>115</v>
      </c>
      <c r="P42" s="1" t="s">
        <v>111</v>
      </c>
      <c r="R42" s="690" t="s">
        <v>85</v>
      </c>
      <c r="T42" s="691"/>
      <c r="V42" s="2" t="s">
        <v>116</v>
      </c>
      <c r="Z42" s="1" t="s">
        <v>117</v>
      </c>
    </row>
    <row r="43" spans="2:29" ht="3" customHeight="1">
      <c r="D43" s="311"/>
      <c r="J43" s="9"/>
      <c r="N43" s="313"/>
      <c r="R43" s="313"/>
      <c r="T43" s="691"/>
    </row>
    <row r="44" spans="2:29">
      <c r="C44" s="3" t="s">
        <v>118</v>
      </c>
      <c r="D44" s="690" t="s">
        <v>41</v>
      </c>
      <c r="F44" s="12">
        <f ca="1">VLOOKUP($D$2,'Current month'!$A$3:$EE$33,87,FALSE)</f>
        <v>0</v>
      </c>
      <c r="G44" s="3"/>
      <c r="H44" s="1" t="s">
        <v>107</v>
      </c>
      <c r="J44" s="9"/>
      <c r="L44" s="1" t="s">
        <v>119</v>
      </c>
      <c r="M44" s="3" t="s">
        <v>109</v>
      </c>
      <c r="N44" s="690" t="s">
        <v>115</v>
      </c>
      <c r="P44" s="1" t="s">
        <v>111</v>
      </c>
      <c r="R44" s="690" t="s">
        <v>115</v>
      </c>
      <c r="S44" s="4"/>
      <c r="T44" s="691"/>
    </row>
    <row r="45" spans="2:29">
      <c r="D45" s="3"/>
      <c r="E45" s="3"/>
      <c r="F45" s="3"/>
      <c r="G45" s="3"/>
      <c r="J45" s="9"/>
      <c r="L45" s="1" t="s">
        <v>120</v>
      </c>
      <c r="M45" s="3" t="s">
        <v>109</v>
      </c>
      <c r="N45" s="690" t="s">
        <v>115</v>
      </c>
      <c r="P45" s="1" t="s">
        <v>111</v>
      </c>
      <c r="R45" s="690" t="s">
        <v>115</v>
      </c>
      <c r="S45" s="4"/>
      <c r="T45" s="691"/>
      <c r="V45" s="1" t="s">
        <v>121</v>
      </c>
      <c r="X45" s="749" t="s">
        <v>41</v>
      </c>
      <c r="Y45" s="749"/>
      <c r="Z45" s="749"/>
    </row>
    <row r="46" spans="2:29">
      <c r="C46" s="3" t="s">
        <v>122</v>
      </c>
      <c r="D46" s="12">
        <f ca="1">VLOOKUP($D$2,'Current month'!$A$3:$EE$33,89,FALSE)</f>
        <v>3925</v>
      </c>
      <c r="F46" s="1" t="s">
        <v>123</v>
      </c>
      <c r="H46" s="3" t="s">
        <v>124</v>
      </c>
      <c r="I46" s="1" t="s">
        <v>125</v>
      </c>
      <c r="J46" s="9"/>
      <c r="L46" s="1" t="s">
        <v>126</v>
      </c>
      <c r="M46" s="3" t="s">
        <v>109</v>
      </c>
      <c r="N46" s="690" t="s">
        <v>115</v>
      </c>
      <c r="P46" s="1" t="s">
        <v>111</v>
      </c>
      <c r="R46" s="690" t="s">
        <v>115</v>
      </c>
      <c r="S46" s="4"/>
      <c r="T46" s="9"/>
      <c r="V46" s="348" t="s">
        <v>127</v>
      </c>
      <c r="X46" s="762" t="s">
        <v>41</v>
      </c>
      <c r="Y46" s="764"/>
      <c r="Z46" s="763"/>
      <c r="AA46" s="30"/>
    </row>
    <row r="47" spans="2:29">
      <c r="D47" s="3"/>
      <c r="E47" s="3"/>
      <c r="F47" s="3"/>
      <c r="G47" s="3"/>
      <c r="J47" s="9"/>
      <c r="L47" s="1" t="s">
        <v>128</v>
      </c>
      <c r="M47" s="3" t="s">
        <v>109</v>
      </c>
      <c r="N47" s="690" t="s">
        <v>115</v>
      </c>
      <c r="P47" s="1" t="s">
        <v>111</v>
      </c>
      <c r="R47" s="690" t="s">
        <v>85</v>
      </c>
      <c r="S47" s="4"/>
      <c r="T47" s="9"/>
      <c r="V47" s="16" t="s">
        <v>129</v>
      </c>
      <c r="X47" s="762" t="s">
        <v>41</v>
      </c>
      <c r="Y47" s="764"/>
      <c r="Z47" s="763"/>
    </row>
    <row r="48" spans="2:29">
      <c r="C48" s="772" t="s">
        <v>130</v>
      </c>
      <c r="D48" s="3" t="s">
        <v>131</v>
      </c>
      <c r="E48" s="3"/>
      <c r="F48" s="3" t="s">
        <v>132</v>
      </c>
      <c r="G48" s="3"/>
      <c r="H48" s="3" t="s">
        <v>133</v>
      </c>
      <c r="J48" s="9"/>
      <c r="L48" s="1" t="s">
        <v>134</v>
      </c>
      <c r="M48" s="3" t="s">
        <v>109</v>
      </c>
      <c r="N48" s="690" t="s">
        <v>115</v>
      </c>
      <c r="P48" s="1" t="s">
        <v>111</v>
      </c>
      <c r="R48" s="690" t="s">
        <v>85</v>
      </c>
      <c r="T48" s="9"/>
      <c r="V48" s="16" t="s">
        <v>135</v>
      </c>
      <c r="X48" s="762" t="s">
        <v>41</v>
      </c>
      <c r="Y48" s="764"/>
      <c r="Z48" s="763"/>
      <c r="AC48" s="1" t="s">
        <v>136</v>
      </c>
    </row>
    <row r="49" spans="2:30">
      <c r="C49" s="772"/>
      <c r="D49" s="333">
        <f ca="1">VLOOKUP($D$2,'Current month'!$A$3:$ES$33,139,FALSE)</f>
        <v>0</v>
      </c>
      <c r="F49" s="333">
        <f ca="1">VLOOKUP($D$2,'Current month'!$A$3:$ES$33,140,FALSE)</f>
        <v>0</v>
      </c>
      <c r="H49" s="12">
        <f ca="1">VLOOKUP($D$2,'Current month'!$A$3:$ES$33,141,FALSE)</f>
        <v>0</v>
      </c>
      <c r="J49" s="9"/>
      <c r="L49" s="1" t="s">
        <v>137</v>
      </c>
      <c r="M49" s="3" t="s">
        <v>109</v>
      </c>
      <c r="N49" s="690" t="s">
        <v>115</v>
      </c>
      <c r="P49" s="1" t="s">
        <v>111</v>
      </c>
      <c r="R49" s="690" t="s">
        <v>115</v>
      </c>
      <c r="T49" s="9"/>
      <c r="V49" s="16" t="s">
        <v>96</v>
      </c>
      <c r="X49" s="762" t="s">
        <v>41</v>
      </c>
      <c r="Y49" s="764"/>
      <c r="Z49" s="763"/>
    </row>
    <row r="50" spans="2:30" ht="13.5" customHeight="1">
      <c r="J50" s="9"/>
      <c r="L50" s="1" t="s">
        <v>138</v>
      </c>
      <c r="M50" s="3" t="s">
        <v>109</v>
      </c>
      <c r="N50" s="690" t="s">
        <v>115</v>
      </c>
      <c r="P50" s="1" t="s">
        <v>111</v>
      </c>
      <c r="R50" s="690" t="s">
        <v>115</v>
      </c>
      <c r="T50" s="9"/>
      <c r="V50" s="16" t="s">
        <v>99</v>
      </c>
      <c r="X50" s="762" t="s">
        <v>41</v>
      </c>
      <c r="Y50" s="764"/>
      <c r="Z50" s="763"/>
    </row>
    <row r="51" spans="2:30">
      <c r="C51" s="3" t="s">
        <v>139</v>
      </c>
      <c r="J51" s="9"/>
      <c r="L51" s="1" t="s">
        <v>140</v>
      </c>
      <c r="M51" s="3" t="s">
        <v>109</v>
      </c>
      <c r="N51" s="690" t="s">
        <v>115</v>
      </c>
      <c r="P51" s="1" t="s">
        <v>111</v>
      </c>
      <c r="R51" s="690" t="s">
        <v>85</v>
      </c>
      <c r="T51" s="9"/>
    </row>
    <row r="52" spans="2:30" ht="13.5" customHeight="1">
      <c r="J52" s="9"/>
      <c r="T52" s="9"/>
      <c r="AD52" s="30"/>
    </row>
    <row r="53" spans="2:30" ht="14.25" customHeight="1">
      <c r="B53" s="31" t="s">
        <v>141</v>
      </c>
      <c r="C53" s="32"/>
      <c r="D53" s="32"/>
      <c r="E53" s="32"/>
      <c r="F53" s="32"/>
      <c r="G53" s="32"/>
      <c r="H53" s="32"/>
      <c r="I53" s="33"/>
      <c r="J53" s="9"/>
      <c r="L53" s="34" t="s">
        <v>141</v>
      </c>
      <c r="M53" s="35"/>
      <c r="N53" s="36"/>
      <c r="O53" s="36"/>
      <c r="P53" s="36"/>
      <c r="Q53" s="36"/>
      <c r="R53" s="36"/>
      <c r="S53" s="37"/>
      <c r="T53" s="9"/>
      <c r="V53" s="34" t="s">
        <v>141</v>
      </c>
      <c r="W53" s="35"/>
      <c r="X53" s="36"/>
      <c r="Y53" s="36"/>
      <c r="Z53" s="36"/>
      <c r="AA53" s="37"/>
    </row>
    <row r="54" spans="2:30" ht="15.75" customHeight="1">
      <c r="B54" s="765" t="s">
        <v>142</v>
      </c>
      <c r="C54" s="765"/>
      <c r="D54" s="765"/>
      <c r="E54" s="765"/>
      <c r="F54" s="765"/>
      <c r="G54" s="765"/>
      <c r="H54" s="765"/>
      <c r="I54" s="765"/>
      <c r="J54" s="9"/>
      <c r="L54" s="766"/>
      <c r="M54" s="767"/>
      <c r="N54" s="767"/>
      <c r="O54" s="767"/>
      <c r="P54" s="767"/>
      <c r="Q54" s="767"/>
      <c r="R54" s="767"/>
      <c r="S54" s="768"/>
      <c r="T54" s="9"/>
      <c r="V54" s="766" t="s">
        <v>143</v>
      </c>
      <c r="W54" s="767"/>
      <c r="X54" s="767"/>
      <c r="Y54" s="767"/>
      <c r="Z54" s="767"/>
      <c r="AA54" s="768"/>
    </row>
    <row r="55" spans="2:30" ht="12.6">
      <c r="B55" s="765"/>
      <c r="C55" s="765"/>
      <c r="D55" s="765"/>
      <c r="E55" s="765"/>
      <c r="F55" s="765"/>
      <c r="G55" s="765"/>
      <c r="H55" s="765"/>
      <c r="I55" s="765"/>
      <c r="J55" s="9"/>
      <c r="L55" s="766"/>
      <c r="M55" s="767"/>
      <c r="N55" s="767"/>
      <c r="O55" s="767"/>
      <c r="P55" s="767"/>
      <c r="Q55" s="767"/>
      <c r="R55" s="767"/>
      <c r="S55" s="768"/>
      <c r="T55" s="9"/>
      <c r="V55" s="766"/>
      <c r="W55" s="767"/>
      <c r="X55" s="767"/>
      <c r="Y55" s="767"/>
      <c r="Z55" s="767"/>
      <c r="AA55" s="768"/>
    </row>
    <row r="56" spans="2:30" ht="12.6">
      <c r="B56" s="765"/>
      <c r="C56" s="765"/>
      <c r="D56" s="765"/>
      <c r="E56" s="765"/>
      <c r="F56" s="765"/>
      <c r="G56" s="765"/>
      <c r="H56" s="765"/>
      <c r="I56" s="765"/>
      <c r="J56" s="9"/>
      <c r="L56" s="766"/>
      <c r="M56" s="767"/>
      <c r="N56" s="767"/>
      <c r="O56" s="767"/>
      <c r="P56" s="767"/>
      <c r="Q56" s="767"/>
      <c r="R56" s="767"/>
      <c r="S56" s="768"/>
      <c r="T56" s="9"/>
      <c r="V56" s="766"/>
      <c r="W56" s="767"/>
      <c r="X56" s="767"/>
      <c r="Y56" s="767"/>
      <c r="Z56" s="767"/>
      <c r="AA56" s="768"/>
    </row>
    <row r="57" spans="2:30" ht="12.6">
      <c r="B57" s="765"/>
      <c r="C57" s="765"/>
      <c r="D57" s="765"/>
      <c r="E57" s="765"/>
      <c r="F57" s="765"/>
      <c r="G57" s="765"/>
      <c r="H57" s="765"/>
      <c r="I57" s="765"/>
      <c r="J57" s="9"/>
      <c r="L57" s="766"/>
      <c r="M57" s="767"/>
      <c r="N57" s="767"/>
      <c r="O57" s="767"/>
      <c r="P57" s="767"/>
      <c r="Q57" s="767"/>
      <c r="R57" s="767"/>
      <c r="S57" s="768"/>
      <c r="T57" s="9"/>
      <c r="V57" s="766"/>
      <c r="W57" s="767"/>
      <c r="X57" s="767"/>
      <c r="Y57" s="767"/>
      <c r="Z57" s="767"/>
      <c r="AA57" s="768"/>
    </row>
    <row r="58" spans="2:30" ht="12.6">
      <c r="B58" s="765"/>
      <c r="C58" s="765"/>
      <c r="D58" s="765"/>
      <c r="E58" s="765"/>
      <c r="F58" s="765"/>
      <c r="G58" s="765"/>
      <c r="H58" s="765"/>
      <c r="I58" s="765"/>
      <c r="J58" s="9"/>
      <c r="L58" s="766"/>
      <c r="M58" s="767"/>
      <c r="N58" s="767"/>
      <c r="O58" s="767"/>
      <c r="P58" s="767"/>
      <c r="Q58" s="767"/>
      <c r="R58" s="767"/>
      <c r="S58" s="768"/>
      <c r="T58" s="9"/>
      <c r="V58" s="766"/>
      <c r="W58" s="767"/>
      <c r="X58" s="767"/>
      <c r="Y58" s="767"/>
      <c r="Z58" s="767"/>
      <c r="AA58" s="768"/>
    </row>
    <row r="59" spans="2:30" ht="12.6">
      <c r="B59" s="765"/>
      <c r="C59" s="765"/>
      <c r="D59" s="765"/>
      <c r="E59" s="765"/>
      <c r="F59" s="765"/>
      <c r="G59" s="765"/>
      <c r="H59" s="765"/>
      <c r="I59" s="765"/>
      <c r="J59" s="9"/>
      <c r="L59" s="766"/>
      <c r="M59" s="767"/>
      <c r="N59" s="767"/>
      <c r="O59" s="767"/>
      <c r="P59" s="767"/>
      <c r="Q59" s="767"/>
      <c r="R59" s="767"/>
      <c r="S59" s="768"/>
      <c r="T59" s="9"/>
      <c r="V59" s="766"/>
      <c r="W59" s="767"/>
      <c r="X59" s="767"/>
      <c r="Y59" s="767"/>
      <c r="Z59" s="767"/>
      <c r="AA59" s="768"/>
    </row>
    <row r="60" spans="2:30" ht="12.6">
      <c r="B60" s="765"/>
      <c r="C60" s="765"/>
      <c r="D60" s="765"/>
      <c r="E60" s="765"/>
      <c r="F60" s="765"/>
      <c r="G60" s="765"/>
      <c r="H60" s="765"/>
      <c r="I60" s="765"/>
      <c r="J60" s="9"/>
      <c r="L60" s="769"/>
      <c r="M60" s="770"/>
      <c r="N60" s="770"/>
      <c r="O60" s="770"/>
      <c r="P60" s="770"/>
      <c r="Q60" s="770"/>
      <c r="R60" s="770"/>
      <c r="S60" s="771"/>
      <c r="T60" s="9"/>
      <c r="V60" s="769"/>
      <c r="W60" s="770"/>
      <c r="X60" s="770"/>
      <c r="Y60" s="770"/>
      <c r="Z60" s="770"/>
      <c r="AA60" s="771"/>
    </row>
    <row r="61" spans="2:30" ht="9" customHeight="1"/>
  </sheetData>
  <mergeCells count="37">
    <mergeCell ref="X38:Z38"/>
    <mergeCell ref="X40:Z40"/>
    <mergeCell ref="B54:I60"/>
    <mergeCell ref="L54:S60"/>
    <mergeCell ref="V54:AA60"/>
    <mergeCell ref="X46:Z46"/>
    <mergeCell ref="X48:Z48"/>
    <mergeCell ref="X50:Z50"/>
    <mergeCell ref="C48:C49"/>
    <mergeCell ref="X47:Z47"/>
    <mergeCell ref="X49:Z49"/>
    <mergeCell ref="X45:Z45"/>
    <mergeCell ref="N36:P36"/>
    <mergeCell ref="X36:Z36"/>
    <mergeCell ref="S20:T20"/>
    <mergeCell ref="X20:Z20"/>
    <mergeCell ref="S22:T22"/>
    <mergeCell ref="X22:Z22"/>
    <mergeCell ref="S24:T24"/>
    <mergeCell ref="X26:Z26"/>
    <mergeCell ref="X28:Z28"/>
    <mergeCell ref="X30:Z30"/>
    <mergeCell ref="X32:Z32"/>
    <mergeCell ref="X34:Z34"/>
    <mergeCell ref="X24:Z24"/>
    <mergeCell ref="S12:T12"/>
    <mergeCell ref="S14:T14"/>
    <mergeCell ref="V14:Z14"/>
    <mergeCell ref="S16:T16"/>
    <mergeCell ref="S18:T18"/>
    <mergeCell ref="X18:Z18"/>
    <mergeCell ref="S10:T10"/>
    <mergeCell ref="D2:L2"/>
    <mergeCell ref="P2:Z2"/>
    <mergeCell ref="B4:H4"/>
    <mergeCell ref="L4:P4"/>
    <mergeCell ref="R8:T8"/>
  </mergeCells>
  <conditionalFormatting sqref="H41 F44 D42 D44 AB7 AC4:AC10 O31:P33 O35:P35 O28:P29 G33:G39 O37:P37 AA4:AA7 Q28:S37 D40:E41 I8:I17 N27:S27 N29:N37 P30 Q8:Q11 S17 L26 I19:I21 N18:P24 N14:Q17 X4:Z10 AA9:AB10 R15:S15 R13 R8:R9 S9 D46:F46 N8:P13 D29:G32 S11 I29:I40 D22 F22 H22 D33:F38 F40:F42 D24 D28 F24 H24 F28 H28:H31 H33:H38 D8:H21 F6:H6 D6 X42 X26:X39 X18:X24 X45:X50 D26:H26 N40:S51">
    <cfRule type="cellIs" dxfId="4234" priority="9" stopIfTrue="1" operator="equal">
      <formula>"O.O.O"</formula>
    </cfRule>
  </conditionalFormatting>
  <conditionalFormatting sqref="X50:Z50 X47:X49 X42:Z42 X25:Z25 X24 X27:Z27 X26 X29:Z29 X28 X31:Z31 X30 X33:Z33 X32 X35:Z35 X34 X37:Z37 X36 X39:Z39 X38 X18:Z23 X45:Z46">
    <cfRule type="cellIs" dxfId="4233" priority="8" operator="equal">
      <formula>"TO CHECK"</formula>
    </cfRule>
  </conditionalFormatting>
  <conditionalFormatting sqref="D49">
    <cfRule type="cellIs" dxfId="4232" priority="5" stopIfTrue="1" operator="equal">
      <formula>"O.O.O"</formula>
    </cfRule>
  </conditionalFormatting>
  <conditionalFormatting sqref="F49">
    <cfRule type="cellIs" dxfId="4231" priority="4" stopIfTrue="1" operator="equal">
      <formula>"O.O.O"</formula>
    </cfRule>
  </conditionalFormatting>
  <conditionalFormatting sqref="H49">
    <cfRule type="cellIs" dxfId="4230" priority="3" stopIfTrue="1" operator="equal">
      <formula>"O.O.O"</formula>
    </cfRule>
  </conditionalFormatting>
  <conditionalFormatting sqref="X40">
    <cfRule type="cellIs" dxfId="4229" priority="2" stopIfTrue="1" operator="equal">
      <formula>"O.O.O"</formula>
    </cfRule>
  </conditionalFormatting>
  <conditionalFormatting sqref="X40">
    <cfRule type="cellIs" dxfId="4228" priority="1" operator="equal">
      <formula>"TO CHECK"</formula>
    </cfRule>
  </conditionalFormatting>
  <dataValidations count="8">
    <dataValidation type="list" allowBlank="1" showInputMessage="1" showErrorMessage="1" sqref="R48:R49 R40 R42 R51" xr:uid="{00000000-0002-0000-0100-000000000000}">
      <formula1>"Low , 1st, 2nd, O.O.O"</formula1>
    </dataValidation>
    <dataValidation type="list" allowBlank="1" showInputMessage="1" showErrorMessage="1" sqref="N40 N44:N51 N42 R44:R47 R50" xr:uid="{00000000-0002-0000-0100-000001000000}">
      <formula1>"Low , 1st, 2nd"</formula1>
    </dataValidation>
    <dataValidation type="list" allowBlank="1" showInputMessage="1" showErrorMessage="1" sqref="X18:Z18 X20:Z20 X22:Z22 X46:X50 X36 X45:Z45 X24 X26 X28 X30 X32 X34 X38 X40" xr:uid="{00000000-0002-0000-0100-000002000000}">
      <formula1>"OK, O.O.O, TO CHECK"</formula1>
    </dataValidation>
    <dataValidation type="list" allowBlank="1" showInputMessage="1" showErrorMessage="1" sqref="N10 P10 N12 N14 N16 N18 N20 N22 N24 P24 P22 P20 P18 P16 P14 P12 Z6" xr:uid="{00000000-0002-0000-0100-000003000000}">
      <formula1>"OK, O.O.O, OFF"</formula1>
    </dataValidation>
    <dataValidation type="list" allowBlank="1" showInputMessage="1" showErrorMessage="1" sqref="N30:N31 O31" xr:uid="{00000000-0002-0000-0100-000004000000}">
      <formula1>"Operational, O.O.O"</formula1>
    </dataValidation>
    <dataValidation type="list" allowBlank="1" showInputMessage="1" showErrorMessage="1" sqref="D13:E13 D11" xr:uid="{00000000-0002-0000-0100-000005000000}">
      <formula1>"Operational,Out of Order"</formula1>
    </dataValidation>
    <dataValidation type="list" allowBlank="1" showInputMessage="1" showErrorMessage="1" sqref="D44 G39 D40:E41 F41 J31 P15 X19:Y19 X21:Y21 X23:Y23 S11:T11 AB7:AC7 P11 D10 D42 T43:T45 D12 I38 S45:S47 X6:X7 D30:I31 P13 Y7:Z7 N23 O10:O24 N11 N13 N15 N17 N19 N21 P23 P21 P19 P17 X37 X33:Y33 X31:Y31 X29:Y29 Y27 Y25 X35:Y35" xr:uid="{00000000-0002-0000-0100-000006000000}">
      <formula1>"OK, O.O.O"</formula1>
    </dataValidation>
    <dataValidation type="list" allowBlank="1" showInputMessage="1" showErrorMessage="1" sqref="P2:Z2" xr:uid="{00000000-0002-0000-0100-000007000000}">
      <formula1>"Michael, Daniel, Rai"</formula1>
    </dataValidation>
  </dataValidations>
  <pageMargins left="0.75" right="0.75" top="1.88" bottom="0.5" header="0.45" footer="0.25"/>
  <pageSetup scale="68" orientation="landscape" r:id="rId1"/>
  <headerFooter alignWithMargins="0">
    <oddHeader>&amp;C&amp;G</oddHeader>
    <oddFooter>&amp;REngineering Department</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P802"/>
  <sheetViews>
    <sheetView topLeftCell="A705" zoomScaleNormal="100" workbookViewId="0">
      <selection activeCell="C705" sqref="C705"/>
    </sheetView>
  </sheetViews>
  <sheetFormatPr defaultColWidth="9.140625" defaultRowHeight="14.45"/>
  <cols>
    <col min="1" max="1" width="9.140625" style="412" customWidth="1"/>
    <col min="2" max="2" width="9.42578125" style="413" customWidth="1"/>
    <col min="3" max="4" width="8.5703125" style="413" customWidth="1"/>
    <col min="5" max="5" width="12.5703125" style="413" bestFit="1" customWidth="1"/>
    <col min="6" max="6" width="8.7109375" style="413" customWidth="1"/>
    <col min="7" max="7" width="9.28515625" style="413" customWidth="1"/>
    <col min="8" max="8" width="9.42578125" style="413" customWidth="1"/>
    <col min="9" max="9" width="9.5703125" style="413" customWidth="1"/>
    <col min="10" max="10" width="14.5703125" style="413" hidden="1" customWidth="1"/>
    <col min="11" max="11" width="12.140625" style="362" bestFit="1" customWidth="1"/>
    <col min="12" max="12" width="9.42578125" style="362" customWidth="1"/>
    <col min="13" max="13" width="8.42578125" style="362" customWidth="1"/>
    <col min="14" max="14" width="11.5703125" style="362" hidden="1" customWidth="1"/>
    <col min="15" max="15" width="24.28515625" style="362" bestFit="1" customWidth="1"/>
    <col min="16" max="16" width="9.140625" style="362" customWidth="1"/>
    <col min="17" max="17" width="10.5703125" style="362" bestFit="1" customWidth="1"/>
    <col min="18" max="18" width="4.85546875" style="362" bestFit="1" customWidth="1"/>
    <col min="19" max="19" width="5.140625" style="362" customWidth="1"/>
    <col min="20" max="20" width="4.28515625" style="362" customWidth="1"/>
    <col min="21" max="21" width="4.42578125" style="362" customWidth="1"/>
    <col min="22" max="22" width="4.5703125" style="362" customWidth="1"/>
    <col min="23" max="23" width="48" style="362" customWidth="1"/>
    <col min="24" max="24" width="9.140625" style="362"/>
    <col min="25" max="25" width="9.140625" style="412"/>
    <col min="26" max="27" width="11.5703125" style="413" customWidth="1"/>
    <col min="28" max="28" width="14.28515625" style="413" customWidth="1"/>
    <col min="29" max="32" width="11.5703125" style="413" customWidth="1"/>
    <col min="33" max="33" width="0" style="362" hidden="1" customWidth="1"/>
    <col min="34" max="34" width="13.5703125" style="362" hidden="1" customWidth="1"/>
    <col min="35" max="35" width="11.42578125" style="362" hidden="1" customWidth="1"/>
    <col min="36" max="36" width="11.7109375" style="362" hidden="1" customWidth="1"/>
    <col min="37" max="37" width="13.5703125" style="362" hidden="1" customWidth="1"/>
    <col min="38" max="39" width="0" style="362" hidden="1" customWidth="1"/>
    <col min="40" max="16384" width="9.140625" style="362"/>
  </cols>
  <sheetData>
    <row r="1" spans="1:37">
      <c r="A1" s="814" t="s">
        <v>144</v>
      </c>
      <c r="B1" s="814"/>
      <c r="C1" s="814"/>
      <c r="D1" s="814"/>
      <c r="E1" s="814"/>
      <c r="F1" s="814"/>
      <c r="G1" s="814"/>
      <c r="H1" s="814"/>
      <c r="I1" s="814"/>
      <c r="J1" s="814"/>
      <c r="K1" s="814"/>
      <c r="L1" s="814"/>
      <c r="M1" s="814"/>
      <c r="N1" s="814"/>
      <c r="O1" s="814"/>
      <c r="P1" s="814"/>
      <c r="Q1" s="814"/>
      <c r="R1" s="814"/>
      <c r="S1" s="814"/>
      <c r="T1" s="814"/>
      <c r="U1" s="814"/>
      <c r="V1" s="814"/>
      <c r="W1" s="814"/>
      <c r="X1" s="814"/>
      <c r="Y1" s="814"/>
      <c r="Z1" s="814"/>
      <c r="AA1" s="814"/>
      <c r="AB1" s="814"/>
      <c r="AC1" s="814"/>
      <c r="AD1" s="814"/>
      <c r="AE1" s="814"/>
      <c r="AF1" s="814"/>
    </row>
    <row r="2" spans="1:37" ht="30.75" customHeight="1">
      <c r="A2" s="787" t="s">
        <v>14</v>
      </c>
      <c r="B2" s="799" t="s">
        <v>145</v>
      </c>
      <c r="C2" s="800"/>
      <c r="D2" s="801"/>
      <c r="E2" s="697"/>
      <c r="F2" s="697"/>
      <c r="G2" s="697"/>
      <c r="H2" s="697"/>
      <c r="I2" s="697"/>
      <c r="J2" s="697"/>
      <c r="K2" s="799" t="s">
        <v>146</v>
      </c>
      <c r="L2" s="800"/>
      <c r="M2" s="801"/>
      <c r="N2" s="787" t="s">
        <v>147</v>
      </c>
      <c r="O2" s="802" t="s">
        <v>148</v>
      </c>
      <c r="P2" s="698"/>
      <c r="Q2" s="776" t="s">
        <v>149</v>
      </c>
      <c r="R2" s="776" t="s">
        <v>150</v>
      </c>
      <c r="Y2" s="807" t="s">
        <v>14</v>
      </c>
      <c r="Z2" s="805" t="s">
        <v>151</v>
      </c>
      <c r="AA2" s="790"/>
      <c r="AB2" s="809"/>
      <c r="AC2" s="805" t="s">
        <v>152</v>
      </c>
      <c r="AD2" s="806"/>
      <c r="AE2" s="805" t="s">
        <v>153</v>
      </c>
      <c r="AF2" s="806"/>
      <c r="AH2" s="799" t="s">
        <v>154</v>
      </c>
      <c r="AI2" s="800"/>
      <c r="AJ2" s="801"/>
      <c r="AK2" s="802" t="s">
        <v>155</v>
      </c>
    </row>
    <row r="3" spans="1:37">
      <c r="A3" s="788"/>
      <c r="B3" s="363" t="s">
        <v>156</v>
      </c>
      <c r="C3" s="364" t="s">
        <v>157</v>
      </c>
      <c r="D3" s="365" t="s">
        <v>158</v>
      </c>
      <c r="E3" s="366"/>
      <c r="F3" s="366"/>
      <c r="G3" s="366"/>
      <c r="H3" s="366"/>
      <c r="I3" s="366"/>
      <c r="J3" s="366"/>
      <c r="K3" s="363" t="s">
        <v>156</v>
      </c>
      <c r="L3" s="364" t="s">
        <v>157</v>
      </c>
      <c r="M3" s="365" t="s">
        <v>158</v>
      </c>
      <c r="N3" s="788"/>
      <c r="O3" s="803"/>
      <c r="P3" s="705"/>
      <c r="Q3" s="810"/>
      <c r="R3" s="810"/>
      <c r="Y3" s="808"/>
      <c r="Z3" s="363" t="s">
        <v>145</v>
      </c>
      <c r="AA3" s="366" t="s">
        <v>159</v>
      </c>
      <c r="AB3" s="367" t="s">
        <v>160</v>
      </c>
      <c r="AC3" s="363" t="s">
        <v>145</v>
      </c>
      <c r="AD3" s="365" t="s">
        <v>160</v>
      </c>
      <c r="AE3" s="363" t="s">
        <v>145</v>
      </c>
      <c r="AF3" s="365" t="s">
        <v>160</v>
      </c>
      <c r="AH3" s="363" t="s">
        <v>156</v>
      </c>
      <c r="AI3" s="364" t="s">
        <v>157</v>
      </c>
      <c r="AJ3" s="365" t="s">
        <v>158</v>
      </c>
      <c r="AK3" s="803"/>
    </row>
    <row r="4" spans="1:37">
      <c r="A4" s="368">
        <v>43831</v>
      </c>
      <c r="B4" s="369">
        <v>21899</v>
      </c>
      <c r="C4" s="370">
        <v>943.75</v>
      </c>
      <c r="D4" s="371">
        <v>310</v>
      </c>
      <c r="E4" s="497"/>
      <c r="F4" s="497"/>
      <c r="G4" s="497"/>
      <c r="H4" s="497"/>
      <c r="I4" s="497"/>
      <c r="J4" s="497"/>
      <c r="K4" s="369">
        <f>B4*6.21</f>
        <v>135992.79</v>
      </c>
      <c r="L4" s="370">
        <f>C4*55.95</f>
        <v>52802.8125</v>
      </c>
      <c r="M4" s="371">
        <f>D4*68.44</f>
        <v>21216.399999999998</v>
      </c>
      <c r="N4" s="372">
        <v>27.6</v>
      </c>
      <c r="O4" s="373">
        <f>K4+L4+M4</f>
        <v>210012.0025</v>
      </c>
      <c r="P4" s="373"/>
      <c r="Q4" s="374">
        <v>248</v>
      </c>
      <c r="R4" s="375">
        <v>0.6</v>
      </c>
      <c r="Y4" s="376">
        <v>43831</v>
      </c>
      <c r="Z4" s="377">
        <v>1160</v>
      </c>
      <c r="AA4" s="378">
        <f t="shared" ref="AA4:AA34" si="0">Z4/B4</f>
        <v>5.2970455271930228E-2</v>
      </c>
      <c r="AB4" s="379">
        <f>Z4*6.21</f>
        <v>7203.6</v>
      </c>
      <c r="AC4" s="369">
        <v>43.75</v>
      </c>
      <c r="AD4" s="371">
        <f>AC4*55.95</f>
        <v>2447.8125</v>
      </c>
      <c r="AE4" s="369">
        <v>25</v>
      </c>
      <c r="AF4" s="371">
        <f>AE4*55.95</f>
        <v>1398.75</v>
      </c>
      <c r="AH4" s="380">
        <f t="shared" ref="AH4:AH32" si="1">$K$40-K4</f>
        <v>40422.292258064495</v>
      </c>
      <c r="AI4" s="381">
        <f t="shared" ref="AI4:AI32" si="2">$L$40-L4</f>
        <v>1996.602822580644</v>
      </c>
      <c r="AJ4" s="382">
        <f t="shared" ref="AJ4:AJ28" si="3">$M$40-M4</f>
        <v>1611.6516129032279</v>
      </c>
      <c r="AK4" s="383">
        <f>AH4+AI4+AJ4</f>
        <v>44030.546693548371</v>
      </c>
    </row>
    <row r="5" spans="1:37">
      <c r="A5" s="384">
        <v>43832</v>
      </c>
      <c r="B5" s="385">
        <v>25743</v>
      </c>
      <c r="C5" s="386">
        <v>975</v>
      </c>
      <c r="D5" s="387">
        <v>340</v>
      </c>
      <c r="E5" s="498"/>
      <c r="F5" s="498"/>
      <c r="G5" s="498"/>
      <c r="H5" s="498"/>
      <c r="I5" s="498"/>
      <c r="J5" s="498"/>
      <c r="K5" s="385">
        <f t="shared" ref="K5:K34" si="4">B5*6.21</f>
        <v>159864.03</v>
      </c>
      <c r="L5" s="386">
        <f t="shared" ref="L5:L34" si="5">C5*55.95</f>
        <v>54551.25</v>
      </c>
      <c r="M5" s="387">
        <f t="shared" ref="M5:M34" si="6">D5*68.44</f>
        <v>23269.599999999999</v>
      </c>
      <c r="N5" s="388">
        <v>26.9</v>
      </c>
      <c r="O5" s="389">
        <f t="shared" ref="O5:O34" si="7">K5+L5+M5</f>
        <v>237684.88</v>
      </c>
      <c r="P5" s="389"/>
      <c r="Q5" s="390">
        <v>228</v>
      </c>
      <c r="R5" s="391">
        <v>0.59</v>
      </c>
      <c r="Y5" s="392">
        <v>43832</v>
      </c>
      <c r="Z5" s="385">
        <v>665</v>
      </c>
      <c r="AA5" s="393">
        <f t="shared" si="0"/>
        <v>2.5832265081769803E-2</v>
      </c>
      <c r="AB5" s="371">
        <f t="shared" ref="AB5:AB33" si="8">Z5*6.21</f>
        <v>4129.6499999999996</v>
      </c>
      <c r="AC5" s="385">
        <v>37.5</v>
      </c>
      <c r="AD5" s="387">
        <f t="shared" ref="AD5:AF34" si="9">AC5*55.95</f>
        <v>2098.125</v>
      </c>
      <c r="AE5" s="385">
        <v>31.25</v>
      </c>
      <c r="AF5" s="387">
        <f t="shared" si="9"/>
        <v>1748.4375</v>
      </c>
      <c r="AH5" s="380">
        <f t="shared" si="1"/>
        <v>16551.052258064505</v>
      </c>
      <c r="AI5" s="381">
        <f t="shared" si="2"/>
        <v>248.16532258064399</v>
      </c>
      <c r="AJ5" s="382">
        <f t="shared" si="3"/>
        <v>-441.54838709677279</v>
      </c>
      <c r="AK5" s="394">
        <f t="shared" ref="AK5:AK12" si="10">AH5+AI5+AJ5</f>
        <v>16357.669193548376</v>
      </c>
    </row>
    <row r="6" spans="1:37">
      <c r="A6" s="384">
        <v>43833</v>
      </c>
      <c r="B6" s="385">
        <v>28432</v>
      </c>
      <c r="C6" s="386">
        <v>1093.75</v>
      </c>
      <c r="D6" s="387">
        <v>350</v>
      </c>
      <c r="E6" s="498"/>
      <c r="F6" s="498"/>
      <c r="G6" s="498"/>
      <c r="H6" s="498"/>
      <c r="I6" s="498"/>
      <c r="J6" s="498"/>
      <c r="K6" s="385">
        <f t="shared" si="4"/>
        <v>176562.72</v>
      </c>
      <c r="L6" s="386">
        <f t="shared" si="5"/>
        <v>61195.3125</v>
      </c>
      <c r="M6" s="387">
        <f t="shared" si="6"/>
        <v>23954</v>
      </c>
      <c r="N6" s="388">
        <v>26</v>
      </c>
      <c r="O6" s="389">
        <f t="shared" si="7"/>
        <v>261712.0325</v>
      </c>
      <c r="P6" s="389"/>
      <c r="Q6" s="390">
        <v>238</v>
      </c>
      <c r="R6" s="391">
        <v>0.64</v>
      </c>
      <c r="Y6" s="392">
        <v>43833</v>
      </c>
      <c r="Z6" s="385">
        <v>771</v>
      </c>
      <c r="AA6" s="393">
        <f t="shared" si="0"/>
        <v>2.7117332583005065E-2</v>
      </c>
      <c r="AB6" s="371">
        <f t="shared" si="8"/>
        <v>4787.91</v>
      </c>
      <c r="AC6" s="385">
        <v>31.25</v>
      </c>
      <c r="AD6" s="387">
        <f t="shared" si="9"/>
        <v>1748.4375</v>
      </c>
      <c r="AE6" s="385">
        <v>25</v>
      </c>
      <c r="AF6" s="387">
        <f t="shared" si="9"/>
        <v>1398.75</v>
      </c>
      <c r="AH6" s="380">
        <f t="shared" si="1"/>
        <v>-147.63774193549762</v>
      </c>
      <c r="AI6" s="381">
        <f t="shared" si="2"/>
        <v>-6395.897177419356</v>
      </c>
      <c r="AJ6" s="382">
        <f t="shared" si="3"/>
        <v>-1125.9483870967742</v>
      </c>
      <c r="AK6" s="394">
        <f t="shared" si="10"/>
        <v>-7669.4833064516279</v>
      </c>
    </row>
    <row r="7" spans="1:37">
      <c r="A7" s="384">
        <v>43834</v>
      </c>
      <c r="B7" s="385">
        <v>28412</v>
      </c>
      <c r="C7" s="386">
        <v>906.25</v>
      </c>
      <c r="D7" s="387">
        <v>390</v>
      </c>
      <c r="E7" s="498"/>
      <c r="F7" s="498"/>
      <c r="G7" s="498"/>
      <c r="H7" s="498"/>
      <c r="I7" s="498"/>
      <c r="J7" s="498"/>
      <c r="K7" s="385">
        <f t="shared" si="4"/>
        <v>176438.52</v>
      </c>
      <c r="L7" s="386">
        <f t="shared" si="5"/>
        <v>50704.6875</v>
      </c>
      <c r="M7" s="387">
        <f t="shared" si="6"/>
        <v>26691.599999999999</v>
      </c>
      <c r="N7" s="388">
        <v>25.4</v>
      </c>
      <c r="O7" s="389">
        <f t="shared" si="7"/>
        <v>253834.8075</v>
      </c>
      <c r="P7" s="389"/>
      <c r="Q7" s="390">
        <v>236</v>
      </c>
      <c r="R7" s="391">
        <v>0.62</v>
      </c>
      <c r="Y7" s="392">
        <v>43834</v>
      </c>
      <c r="Z7" s="385">
        <v>1020</v>
      </c>
      <c r="AA7" s="393">
        <f t="shared" si="0"/>
        <v>3.5900323806842181E-2</v>
      </c>
      <c r="AB7" s="371">
        <f t="shared" si="8"/>
        <v>6334.2</v>
      </c>
      <c r="AC7" s="385">
        <v>37.5</v>
      </c>
      <c r="AD7" s="387">
        <f t="shared" si="9"/>
        <v>2098.125</v>
      </c>
      <c r="AE7" s="385">
        <v>43.75</v>
      </c>
      <c r="AF7" s="387">
        <f t="shared" si="9"/>
        <v>2447.8125</v>
      </c>
      <c r="AH7" s="380">
        <f t="shared" si="1"/>
        <v>-23.437741935485974</v>
      </c>
      <c r="AI7" s="381">
        <f t="shared" si="2"/>
        <v>4094.727822580644</v>
      </c>
      <c r="AJ7" s="382">
        <f t="shared" si="3"/>
        <v>-3863.5483870967728</v>
      </c>
      <c r="AK7" s="394">
        <f t="shared" si="10"/>
        <v>207.74169354838523</v>
      </c>
    </row>
    <row r="8" spans="1:37">
      <c r="A8" s="384">
        <v>43835</v>
      </c>
      <c r="B8" s="385">
        <v>25504</v>
      </c>
      <c r="C8" s="386">
        <v>1112.5</v>
      </c>
      <c r="D8" s="387">
        <v>300</v>
      </c>
      <c r="E8" s="498"/>
      <c r="F8" s="498"/>
      <c r="G8" s="498"/>
      <c r="H8" s="498"/>
      <c r="I8" s="498"/>
      <c r="J8" s="498"/>
      <c r="K8" s="385">
        <f t="shared" si="4"/>
        <v>158379.84</v>
      </c>
      <c r="L8" s="386">
        <f t="shared" si="5"/>
        <v>62244.375</v>
      </c>
      <c r="M8" s="387">
        <f t="shared" si="6"/>
        <v>20532</v>
      </c>
      <c r="N8" s="388">
        <v>25</v>
      </c>
      <c r="O8" s="389">
        <f t="shared" si="7"/>
        <v>241156.215</v>
      </c>
      <c r="P8" s="389"/>
      <c r="Q8" s="390">
        <v>200</v>
      </c>
      <c r="R8" s="391">
        <v>0.55000000000000004</v>
      </c>
      <c r="Y8" s="392">
        <v>43835</v>
      </c>
      <c r="Z8" s="385">
        <v>784</v>
      </c>
      <c r="AA8" s="393">
        <f t="shared" si="0"/>
        <v>3.0740276035131745E-2</v>
      </c>
      <c r="AB8" s="371">
        <f t="shared" si="8"/>
        <v>4868.6400000000003</v>
      </c>
      <c r="AC8" s="385">
        <v>37.5</v>
      </c>
      <c r="AD8" s="387">
        <f t="shared" si="9"/>
        <v>2098.125</v>
      </c>
      <c r="AE8" s="385">
        <v>31.25</v>
      </c>
      <c r="AF8" s="387">
        <f t="shared" si="9"/>
        <v>1748.4375</v>
      </c>
      <c r="AH8" s="380">
        <f t="shared" si="1"/>
        <v>18035.242258064507</v>
      </c>
      <c r="AI8" s="381">
        <f t="shared" si="2"/>
        <v>-7444.959677419356</v>
      </c>
      <c r="AJ8" s="382">
        <f t="shared" si="3"/>
        <v>2296.0516129032258</v>
      </c>
      <c r="AK8" s="394">
        <f t="shared" si="10"/>
        <v>12886.334193548377</v>
      </c>
    </row>
    <row r="9" spans="1:37">
      <c r="A9" s="384">
        <v>43836</v>
      </c>
      <c r="B9" s="385">
        <v>28181</v>
      </c>
      <c r="C9" s="386">
        <v>681.25</v>
      </c>
      <c r="D9" s="387">
        <v>340</v>
      </c>
      <c r="E9" s="498"/>
      <c r="F9" s="498"/>
      <c r="G9" s="498"/>
      <c r="H9" s="498"/>
      <c r="I9" s="498"/>
      <c r="J9" s="498"/>
      <c r="K9" s="385">
        <f t="shared" si="4"/>
        <v>175004.01</v>
      </c>
      <c r="L9" s="386">
        <f t="shared" si="5"/>
        <v>38115.9375</v>
      </c>
      <c r="M9" s="387">
        <f t="shared" si="6"/>
        <v>23269.599999999999</v>
      </c>
      <c r="N9" s="388">
        <v>26.3</v>
      </c>
      <c r="O9" s="389">
        <f t="shared" si="7"/>
        <v>236389.54750000002</v>
      </c>
      <c r="P9" s="389"/>
      <c r="Q9" s="390">
        <v>177</v>
      </c>
      <c r="R9" s="391">
        <v>0.47</v>
      </c>
      <c r="Y9" s="392">
        <v>43836</v>
      </c>
      <c r="Z9" s="385">
        <v>898</v>
      </c>
      <c r="AA9" s="393">
        <f t="shared" si="0"/>
        <v>3.1865441254746107E-2</v>
      </c>
      <c r="AB9" s="371">
        <f t="shared" si="8"/>
        <v>5576.58</v>
      </c>
      <c r="AC9" s="385">
        <v>31.25</v>
      </c>
      <c r="AD9" s="387">
        <f t="shared" si="9"/>
        <v>1748.4375</v>
      </c>
      <c r="AE9" s="385">
        <v>50</v>
      </c>
      <c r="AF9" s="387">
        <f t="shared" si="9"/>
        <v>2797.5</v>
      </c>
      <c r="AH9" s="380">
        <f t="shared" si="1"/>
        <v>1411.0722580644942</v>
      </c>
      <c r="AI9" s="381">
        <f t="shared" si="2"/>
        <v>16683.477822580644</v>
      </c>
      <c r="AJ9" s="382">
        <f t="shared" si="3"/>
        <v>-441.54838709677279</v>
      </c>
      <c r="AK9" s="394">
        <f t="shared" si="10"/>
        <v>17653.001693548365</v>
      </c>
    </row>
    <row r="10" spans="1:37">
      <c r="A10" s="384">
        <v>43837</v>
      </c>
      <c r="B10" s="385">
        <v>28155</v>
      </c>
      <c r="C10" s="386">
        <v>1250</v>
      </c>
      <c r="D10" s="387">
        <v>340</v>
      </c>
      <c r="E10" s="498"/>
      <c r="F10" s="498"/>
      <c r="G10" s="498"/>
      <c r="H10" s="498"/>
      <c r="I10" s="498"/>
      <c r="J10" s="498"/>
      <c r="K10" s="385">
        <f t="shared" si="4"/>
        <v>174842.55</v>
      </c>
      <c r="L10" s="386">
        <f t="shared" si="5"/>
        <v>69937.5</v>
      </c>
      <c r="M10" s="387">
        <f t="shared" si="6"/>
        <v>23269.599999999999</v>
      </c>
      <c r="N10" s="388">
        <v>27.5</v>
      </c>
      <c r="O10" s="389">
        <f t="shared" si="7"/>
        <v>268049.64999999997</v>
      </c>
      <c r="P10" s="389"/>
      <c r="Q10" s="390">
        <v>189</v>
      </c>
      <c r="R10" s="391">
        <v>0.51</v>
      </c>
      <c r="Y10" s="392">
        <v>43837</v>
      </c>
      <c r="Z10" s="385">
        <v>971</v>
      </c>
      <c r="AA10" s="393">
        <f t="shared" si="0"/>
        <v>3.4487657609660806E-2</v>
      </c>
      <c r="AB10" s="371">
        <f t="shared" si="8"/>
        <v>6029.91</v>
      </c>
      <c r="AC10" s="385">
        <v>56.25</v>
      </c>
      <c r="AD10" s="387">
        <f t="shared" si="9"/>
        <v>3147.1875</v>
      </c>
      <c r="AE10" s="385">
        <v>37.5</v>
      </c>
      <c r="AF10" s="387">
        <f t="shared" si="9"/>
        <v>2098.125</v>
      </c>
      <c r="AH10" s="380">
        <f t="shared" si="1"/>
        <v>1572.5322580645152</v>
      </c>
      <c r="AI10" s="381">
        <f t="shared" si="2"/>
        <v>-15138.084677419356</v>
      </c>
      <c r="AJ10" s="382">
        <f t="shared" si="3"/>
        <v>-441.54838709677279</v>
      </c>
      <c r="AK10" s="394">
        <f t="shared" si="10"/>
        <v>-14007.100806451614</v>
      </c>
    </row>
    <row r="11" spans="1:37">
      <c r="A11" s="384">
        <v>43838</v>
      </c>
      <c r="B11" s="385">
        <v>29552</v>
      </c>
      <c r="C11" s="386">
        <v>962.5</v>
      </c>
      <c r="D11" s="387">
        <v>330</v>
      </c>
      <c r="E11" s="498"/>
      <c r="F11" s="498"/>
      <c r="G11" s="498"/>
      <c r="H11" s="498"/>
      <c r="I11" s="498"/>
      <c r="J11" s="498"/>
      <c r="K11" s="385">
        <f t="shared" si="4"/>
        <v>183517.92</v>
      </c>
      <c r="L11" s="386">
        <f t="shared" si="5"/>
        <v>53851.875</v>
      </c>
      <c r="M11" s="387">
        <f t="shared" si="6"/>
        <v>22585.200000000001</v>
      </c>
      <c r="N11" s="388">
        <v>26.9</v>
      </c>
      <c r="O11" s="389">
        <f t="shared" si="7"/>
        <v>259954.99500000002</v>
      </c>
      <c r="P11" s="389"/>
      <c r="Q11" s="390">
        <v>245</v>
      </c>
      <c r="R11" s="391">
        <v>0.67</v>
      </c>
      <c r="Y11" s="392">
        <v>43838</v>
      </c>
      <c r="Z11" s="385">
        <v>791</v>
      </c>
      <c r="AA11" s="393">
        <f t="shared" si="0"/>
        <v>2.6766377910124525E-2</v>
      </c>
      <c r="AB11" s="371">
        <f t="shared" si="8"/>
        <v>4912.1099999999997</v>
      </c>
      <c r="AC11" s="385">
        <v>37.5</v>
      </c>
      <c r="AD11" s="387">
        <f t="shared" si="9"/>
        <v>2098.125</v>
      </c>
      <c r="AE11" s="385">
        <v>50</v>
      </c>
      <c r="AF11" s="387">
        <f t="shared" si="9"/>
        <v>2797.5</v>
      </c>
      <c r="AH11" s="380">
        <f t="shared" si="1"/>
        <v>-7102.8377419355093</v>
      </c>
      <c r="AI11" s="381">
        <f t="shared" si="2"/>
        <v>947.54032258064399</v>
      </c>
      <c r="AJ11" s="382">
        <f t="shared" si="3"/>
        <v>242.85161290322503</v>
      </c>
      <c r="AK11" s="394">
        <f t="shared" si="10"/>
        <v>-5912.4458064516402</v>
      </c>
    </row>
    <row r="12" spans="1:37">
      <c r="A12" s="384">
        <v>43839</v>
      </c>
      <c r="B12" s="385">
        <v>24412</v>
      </c>
      <c r="C12" s="386">
        <v>893.75</v>
      </c>
      <c r="D12" s="387">
        <v>330</v>
      </c>
      <c r="E12" s="498"/>
      <c r="F12" s="498"/>
      <c r="G12" s="498"/>
      <c r="H12" s="498"/>
      <c r="I12" s="498"/>
      <c r="J12" s="498"/>
      <c r="K12" s="385">
        <f t="shared" si="4"/>
        <v>151598.51999999999</v>
      </c>
      <c r="L12" s="386">
        <f t="shared" si="5"/>
        <v>50005.3125</v>
      </c>
      <c r="M12" s="387">
        <f t="shared" si="6"/>
        <v>22585.200000000001</v>
      </c>
      <c r="N12" s="388">
        <v>26.3</v>
      </c>
      <c r="O12" s="389">
        <f t="shared" si="7"/>
        <v>224189.0325</v>
      </c>
      <c r="P12" s="389"/>
      <c r="Q12" s="390">
        <v>295</v>
      </c>
      <c r="R12" s="391">
        <v>0.79</v>
      </c>
      <c r="Y12" s="392">
        <v>43839</v>
      </c>
      <c r="Z12" s="385">
        <v>805</v>
      </c>
      <c r="AA12" s="393">
        <f t="shared" si="0"/>
        <v>3.297558577748648E-2</v>
      </c>
      <c r="AB12" s="371">
        <f t="shared" si="8"/>
        <v>4999.05</v>
      </c>
      <c r="AC12" s="385">
        <v>31.25</v>
      </c>
      <c r="AD12" s="387">
        <f t="shared" si="9"/>
        <v>1748.4375</v>
      </c>
      <c r="AE12" s="385">
        <v>43.75</v>
      </c>
      <c r="AF12" s="387">
        <f t="shared" si="9"/>
        <v>2447.8125</v>
      </c>
      <c r="AH12" s="380">
        <f t="shared" si="1"/>
        <v>24816.562258064514</v>
      </c>
      <c r="AI12" s="381">
        <f t="shared" si="2"/>
        <v>4794.102822580644</v>
      </c>
      <c r="AJ12" s="382">
        <f t="shared" si="3"/>
        <v>242.85161290322503</v>
      </c>
      <c r="AK12" s="394">
        <f t="shared" si="10"/>
        <v>29853.516693548383</v>
      </c>
    </row>
    <row r="13" spans="1:37">
      <c r="A13" s="384">
        <v>43840</v>
      </c>
      <c r="B13" s="385">
        <v>28640</v>
      </c>
      <c r="C13" s="386">
        <v>1312.5</v>
      </c>
      <c r="D13" s="387">
        <v>370</v>
      </c>
      <c r="E13" s="498"/>
      <c r="F13" s="498"/>
      <c r="G13" s="498"/>
      <c r="H13" s="498"/>
      <c r="I13" s="498"/>
      <c r="J13" s="498"/>
      <c r="K13" s="385">
        <f t="shared" si="4"/>
        <v>177854.4</v>
      </c>
      <c r="L13" s="386">
        <f t="shared" si="5"/>
        <v>73434.375</v>
      </c>
      <c r="M13" s="387">
        <f t="shared" si="6"/>
        <v>25322.799999999999</v>
      </c>
      <c r="N13" s="388">
        <v>26</v>
      </c>
      <c r="O13" s="389">
        <f t="shared" si="7"/>
        <v>276611.57500000001</v>
      </c>
      <c r="P13" s="389"/>
      <c r="Q13" s="390">
        <v>333</v>
      </c>
      <c r="R13" s="391">
        <v>0.89</v>
      </c>
      <c r="Y13" s="392">
        <v>43840</v>
      </c>
      <c r="Z13" s="385">
        <v>866</v>
      </c>
      <c r="AA13" s="393">
        <f t="shared" si="0"/>
        <v>3.0237430167597765E-2</v>
      </c>
      <c r="AB13" s="371">
        <f t="shared" si="8"/>
        <v>5377.86</v>
      </c>
      <c r="AC13" s="385">
        <v>56.25</v>
      </c>
      <c r="AD13" s="387">
        <f t="shared" si="9"/>
        <v>3147.1875</v>
      </c>
      <c r="AE13" s="385">
        <v>56.25</v>
      </c>
      <c r="AF13" s="387">
        <f t="shared" si="9"/>
        <v>3147.1875</v>
      </c>
      <c r="AH13" s="380">
        <f t="shared" si="1"/>
        <v>-1439.3177419354906</v>
      </c>
      <c r="AI13" s="381">
        <f t="shared" si="2"/>
        <v>-18634.959677419356</v>
      </c>
      <c r="AJ13" s="382">
        <f t="shared" si="3"/>
        <v>-2494.7483870967735</v>
      </c>
      <c r="AK13" s="394">
        <f>AH13+AI13+AJ13</f>
        <v>-22569.02580645162</v>
      </c>
    </row>
    <row r="14" spans="1:37">
      <c r="A14" s="384">
        <v>43841</v>
      </c>
      <c r="B14" s="385">
        <v>29594</v>
      </c>
      <c r="C14" s="386">
        <v>925</v>
      </c>
      <c r="D14" s="387">
        <v>330</v>
      </c>
      <c r="E14" s="498"/>
      <c r="F14" s="498"/>
      <c r="G14" s="498"/>
      <c r="H14" s="498"/>
      <c r="I14" s="498"/>
      <c r="J14" s="498"/>
      <c r="K14" s="385">
        <f t="shared" si="4"/>
        <v>183778.74</v>
      </c>
      <c r="L14" s="386">
        <f t="shared" si="5"/>
        <v>51753.75</v>
      </c>
      <c r="M14" s="387">
        <f t="shared" si="6"/>
        <v>22585.200000000001</v>
      </c>
      <c r="N14" s="388">
        <v>26</v>
      </c>
      <c r="O14" s="389">
        <f t="shared" si="7"/>
        <v>258117.69</v>
      </c>
      <c r="P14" s="389"/>
      <c r="Q14" s="390">
        <v>248</v>
      </c>
      <c r="R14" s="391">
        <v>0.87</v>
      </c>
      <c r="Y14" s="392">
        <v>43841</v>
      </c>
      <c r="Z14" s="385">
        <v>920</v>
      </c>
      <c r="AA14" s="393">
        <f t="shared" si="0"/>
        <v>3.1087382577549505E-2</v>
      </c>
      <c r="AB14" s="371">
        <f t="shared" si="8"/>
        <v>5713.2</v>
      </c>
      <c r="AC14" s="385">
        <v>37.5</v>
      </c>
      <c r="AD14" s="387">
        <f t="shared" si="9"/>
        <v>2098.125</v>
      </c>
      <c r="AE14" s="385">
        <v>50</v>
      </c>
      <c r="AF14" s="387">
        <f t="shared" si="9"/>
        <v>2797.5</v>
      </c>
      <c r="AH14" s="380">
        <f t="shared" si="1"/>
        <v>-7363.6577419354871</v>
      </c>
      <c r="AI14" s="381">
        <f t="shared" si="2"/>
        <v>3045.665322580644</v>
      </c>
      <c r="AJ14" s="382">
        <f t="shared" si="3"/>
        <v>242.85161290322503</v>
      </c>
      <c r="AK14" s="394">
        <f t="shared" ref="AK14:AK32" si="11">AH14+AI14+AJ14</f>
        <v>-4075.1408064516181</v>
      </c>
    </row>
    <row r="15" spans="1:37">
      <c r="A15" s="384">
        <v>43842</v>
      </c>
      <c r="B15" s="385">
        <v>30793</v>
      </c>
      <c r="C15" s="386">
        <v>1131.25</v>
      </c>
      <c r="D15" s="387">
        <v>410</v>
      </c>
      <c r="E15" s="498"/>
      <c r="F15" s="498"/>
      <c r="G15" s="498"/>
      <c r="H15" s="498"/>
      <c r="I15" s="498"/>
      <c r="J15" s="498"/>
      <c r="K15" s="385">
        <f t="shared" si="4"/>
        <v>191224.53</v>
      </c>
      <c r="L15" s="386">
        <f t="shared" si="5"/>
        <v>63293.4375</v>
      </c>
      <c r="M15" s="387">
        <f t="shared" si="6"/>
        <v>28060.399999999998</v>
      </c>
      <c r="N15" s="388">
        <v>27.6</v>
      </c>
      <c r="O15" s="389">
        <f t="shared" si="7"/>
        <v>282578.36749999999</v>
      </c>
      <c r="P15" s="389"/>
      <c r="Q15" s="390">
        <v>333</v>
      </c>
      <c r="R15" s="391">
        <v>0.84</v>
      </c>
      <c r="Y15" s="392">
        <v>43842</v>
      </c>
      <c r="Z15" s="385">
        <v>1147</v>
      </c>
      <c r="AA15" s="393">
        <f t="shared" si="0"/>
        <v>3.724872535965966E-2</v>
      </c>
      <c r="AB15" s="371">
        <f t="shared" si="8"/>
        <v>7122.87</v>
      </c>
      <c r="AC15" s="385">
        <v>31.25</v>
      </c>
      <c r="AD15" s="387">
        <f t="shared" si="9"/>
        <v>1748.4375</v>
      </c>
      <c r="AE15" s="385">
        <v>68.75</v>
      </c>
      <c r="AF15" s="387">
        <f t="shared" si="9"/>
        <v>3846.5625</v>
      </c>
      <c r="AH15" s="380">
        <f t="shared" si="1"/>
        <v>-14809.447741935495</v>
      </c>
      <c r="AI15" s="381">
        <f t="shared" si="2"/>
        <v>-8494.022177419356</v>
      </c>
      <c r="AJ15" s="382">
        <f t="shared" si="3"/>
        <v>-5232.3483870967721</v>
      </c>
      <c r="AK15" s="394">
        <f t="shared" si="11"/>
        <v>-28535.818306451623</v>
      </c>
    </row>
    <row r="16" spans="1:37">
      <c r="A16" s="384">
        <v>43843</v>
      </c>
      <c r="B16" s="385">
        <v>30902</v>
      </c>
      <c r="C16" s="386">
        <v>931.25</v>
      </c>
      <c r="D16" s="387">
        <v>330</v>
      </c>
      <c r="E16" s="498"/>
      <c r="F16" s="498"/>
      <c r="G16" s="498"/>
      <c r="H16" s="498"/>
      <c r="I16" s="498"/>
      <c r="J16" s="498"/>
      <c r="K16" s="385">
        <f t="shared" si="4"/>
        <v>191901.42</v>
      </c>
      <c r="L16" s="386">
        <f t="shared" si="5"/>
        <v>52103.4375</v>
      </c>
      <c r="M16" s="387">
        <f t="shared" si="6"/>
        <v>22585.200000000001</v>
      </c>
      <c r="N16" s="388">
        <v>27.1</v>
      </c>
      <c r="O16" s="389">
        <f t="shared" si="7"/>
        <v>266590.0575</v>
      </c>
      <c r="P16" s="389"/>
      <c r="Q16" s="390">
        <v>314</v>
      </c>
      <c r="R16" s="391">
        <v>0.83</v>
      </c>
      <c r="Y16" s="392">
        <v>43843</v>
      </c>
      <c r="Z16" s="385">
        <v>810</v>
      </c>
      <c r="AA16" s="393">
        <f t="shared" si="0"/>
        <v>2.6211895670183161E-2</v>
      </c>
      <c r="AB16" s="371">
        <f t="shared" si="8"/>
        <v>5030.1000000000004</v>
      </c>
      <c r="AC16" s="385">
        <v>37.5</v>
      </c>
      <c r="AD16" s="387">
        <f t="shared" si="9"/>
        <v>2098.125</v>
      </c>
      <c r="AE16" s="385">
        <v>43.75</v>
      </c>
      <c r="AF16" s="387">
        <f t="shared" si="9"/>
        <v>2447.8125</v>
      </c>
      <c r="AH16" s="380">
        <f t="shared" si="1"/>
        <v>-15486.337741935509</v>
      </c>
      <c r="AI16" s="381">
        <f t="shared" si="2"/>
        <v>2695.977822580644</v>
      </c>
      <c r="AJ16" s="382">
        <f t="shared" si="3"/>
        <v>242.85161290322503</v>
      </c>
      <c r="AK16" s="394">
        <f t="shared" si="11"/>
        <v>-12547.50830645164</v>
      </c>
    </row>
    <row r="17" spans="1:37">
      <c r="A17" s="384">
        <v>43844</v>
      </c>
      <c r="B17" s="385">
        <v>33160</v>
      </c>
      <c r="C17" s="386">
        <v>1006.25</v>
      </c>
      <c r="D17" s="387">
        <v>340</v>
      </c>
      <c r="E17" s="498"/>
      <c r="F17" s="498"/>
      <c r="G17" s="498"/>
      <c r="H17" s="498"/>
      <c r="I17" s="498"/>
      <c r="J17" s="498"/>
      <c r="K17" s="385">
        <f t="shared" si="4"/>
        <v>205923.6</v>
      </c>
      <c r="L17" s="386">
        <f t="shared" si="5"/>
        <v>56299.6875</v>
      </c>
      <c r="M17" s="387">
        <f t="shared" si="6"/>
        <v>23269.599999999999</v>
      </c>
      <c r="N17" s="388">
        <v>28.2</v>
      </c>
      <c r="O17" s="389">
        <f t="shared" si="7"/>
        <v>285492.88749999995</v>
      </c>
      <c r="P17" s="389"/>
      <c r="Q17" s="390">
        <v>320</v>
      </c>
      <c r="R17" s="391">
        <v>0.85</v>
      </c>
      <c r="Y17" s="392">
        <v>43844</v>
      </c>
      <c r="Z17" s="385">
        <v>1041</v>
      </c>
      <c r="AA17" s="393">
        <f t="shared" si="0"/>
        <v>3.1393244873341372E-2</v>
      </c>
      <c r="AB17" s="371">
        <f t="shared" si="8"/>
        <v>6464.61</v>
      </c>
      <c r="AC17" s="385">
        <v>43.75</v>
      </c>
      <c r="AD17" s="387">
        <f t="shared" si="9"/>
        <v>2447.8125</v>
      </c>
      <c r="AE17" s="385">
        <v>43.75</v>
      </c>
      <c r="AF17" s="387">
        <f t="shared" si="9"/>
        <v>2447.8125</v>
      </c>
      <c r="AH17" s="380">
        <f t="shared" si="1"/>
        <v>-29508.517741935502</v>
      </c>
      <c r="AI17" s="381">
        <f t="shared" si="2"/>
        <v>-1500.272177419356</v>
      </c>
      <c r="AJ17" s="382">
        <f t="shared" si="3"/>
        <v>-441.54838709677279</v>
      </c>
      <c r="AK17" s="394">
        <f t="shared" si="11"/>
        <v>-31450.338306451631</v>
      </c>
    </row>
    <row r="18" spans="1:37">
      <c r="A18" s="384">
        <v>43845</v>
      </c>
      <c r="B18" s="385">
        <v>33388</v>
      </c>
      <c r="C18" s="386">
        <v>1050</v>
      </c>
      <c r="D18" s="387">
        <v>340</v>
      </c>
      <c r="E18" s="498"/>
      <c r="F18" s="498"/>
      <c r="G18" s="498"/>
      <c r="H18" s="498"/>
      <c r="I18" s="498"/>
      <c r="J18" s="498"/>
      <c r="K18" s="385">
        <f t="shared" si="4"/>
        <v>207339.48</v>
      </c>
      <c r="L18" s="386">
        <f t="shared" si="5"/>
        <v>58747.5</v>
      </c>
      <c r="M18" s="387">
        <f t="shared" si="6"/>
        <v>23269.599999999999</v>
      </c>
      <c r="N18" s="388">
        <v>27.9</v>
      </c>
      <c r="O18" s="389">
        <f t="shared" si="7"/>
        <v>289356.57999999996</v>
      </c>
      <c r="P18" s="389"/>
      <c r="Q18" s="390">
        <v>311</v>
      </c>
      <c r="R18" s="391">
        <v>0.82</v>
      </c>
      <c r="Y18" s="392">
        <v>43845</v>
      </c>
      <c r="Z18" s="385">
        <v>1134</v>
      </c>
      <c r="AA18" s="393">
        <f t="shared" si="0"/>
        <v>3.3964298550377379E-2</v>
      </c>
      <c r="AB18" s="371">
        <f t="shared" si="8"/>
        <v>7042.14</v>
      </c>
      <c r="AC18" s="385">
        <v>43.75</v>
      </c>
      <c r="AD18" s="387">
        <f t="shared" si="9"/>
        <v>2447.8125</v>
      </c>
      <c r="AE18" s="385">
        <v>50</v>
      </c>
      <c r="AF18" s="387">
        <f t="shared" si="9"/>
        <v>2797.5</v>
      </c>
      <c r="AH18" s="380">
        <f t="shared" si="1"/>
        <v>-30924.397741935507</v>
      </c>
      <c r="AI18" s="381">
        <f t="shared" si="2"/>
        <v>-3948.084677419356</v>
      </c>
      <c r="AJ18" s="382">
        <f t="shared" si="3"/>
        <v>-441.54838709677279</v>
      </c>
      <c r="AK18" s="394">
        <f t="shared" si="11"/>
        <v>-35314.030806451636</v>
      </c>
    </row>
    <row r="19" spans="1:37">
      <c r="A19" s="384">
        <v>43846</v>
      </c>
      <c r="B19" s="385">
        <v>31485</v>
      </c>
      <c r="C19" s="386">
        <v>1112.5</v>
      </c>
      <c r="D19" s="387">
        <v>320</v>
      </c>
      <c r="E19" s="498"/>
      <c r="F19" s="498"/>
      <c r="G19" s="498"/>
      <c r="H19" s="498"/>
      <c r="I19" s="498"/>
      <c r="J19" s="498"/>
      <c r="K19" s="385">
        <f t="shared" si="4"/>
        <v>195521.85</v>
      </c>
      <c r="L19" s="386">
        <f t="shared" si="5"/>
        <v>62244.375</v>
      </c>
      <c r="M19" s="387">
        <f t="shared" si="6"/>
        <v>21900.799999999999</v>
      </c>
      <c r="N19" s="388">
        <v>27.2</v>
      </c>
      <c r="O19" s="389">
        <f t="shared" si="7"/>
        <v>279667.02500000002</v>
      </c>
      <c r="P19" s="389"/>
      <c r="Q19" s="390">
        <v>283</v>
      </c>
      <c r="R19" s="391">
        <v>0.77</v>
      </c>
      <c r="Y19" s="392">
        <v>43846</v>
      </c>
      <c r="Z19" s="385">
        <v>993</v>
      </c>
      <c r="AA19" s="393">
        <f t="shared" si="0"/>
        <v>3.1538828013339688E-2</v>
      </c>
      <c r="AB19" s="371">
        <f t="shared" si="8"/>
        <v>6166.53</v>
      </c>
      <c r="AC19" s="385">
        <v>37.5</v>
      </c>
      <c r="AD19" s="387">
        <f t="shared" si="9"/>
        <v>2098.125</v>
      </c>
      <c r="AE19" s="385">
        <v>50</v>
      </c>
      <c r="AF19" s="387">
        <f t="shared" si="9"/>
        <v>2797.5</v>
      </c>
      <c r="AH19" s="380">
        <f t="shared" si="1"/>
        <v>-19106.767741935502</v>
      </c>
      <c r="AI19" s="381">
        <f t="shared" si="2"/>
        <v>-7444.959677419356</v>
      </c>
      <c r="AJ19" s="382">
        <f t="shared" si="3"/>
        <v>927.25161290322649</v>
      </c>
      <c r="AK19" s="394">
        <f t="shared" si="11"/>
        <v>-25624.475806451632</v>
      </c>
    </row>
    <row r="20" spans="1:37">
      <c r="A20" s="384">
        <v>43847</v>
      </c>
      <c r="B20" s="385">
        <v>32798</v>
      </c>
      <c r="C20" s="386">
        <v>806.25</v>
      </c>
      <c r="D20" s="387">
        <v>270</v>
      </c>
      <c r="E20" s="498"/>
      <c r="F20" s="498"/>
      <c r="G20" s="498"/>
      <c r="H20" s="498"/>
      <c r="I20" s="498"/>
      <c r="J20" s="498"/>
      <c r="K20" s="385">
        <f t="shared" si="4"/>
        <v>203675.58</v>
      </c>
      <c r="L20" s="386">
        <f t="shared" si="5"/>
        <v>45109.6875</v>
      </c>
      <c r="M20" s="387">
        <f t="shared" si="6"/>
        <v>18478.8</v>
      </c>
      <c r="N20" s="388">
        <v>27.9</v>
      </c>
      <c r="O20" s="389">
        <f t="shared" si="7"/>
        <v>267264.0675</v>
      </c>
      <c r="P20" s="389"/>
      <c r="Q20" s="390">
        <v>293</v>
      </c>
      <c r="R20" s="391">
        <v>0.83</v>
      </c>
      <c r="Y20" s="392">
        <v>43847</v>
      </c>
      <c r="Z20" s="385">
        <v>1932</v>
      </c>
      <c r="AA20" s="393">
        <f t="shared" si="0"/>
        <v>5.890603085553997E-2</v>
      </c>
      <c r="AB20" s="371">
        <f t="shared" si="8"/>
        <v>11997.72</v>
      </c>
      <c r="AC20" s="385">
        <v>37.5</v>
      </c>
      <c r="AD20" s="387">
        <f t="shared" si="9"/>
        <v>2098.125</v>
      </c>
      <c r="AE20" s="385">
        <v>43.75</v>
      </c>
      <c r="AF20" s="387">
        <f t="shared" si="9"/>
        <v>2447.8125</v>
      </c>
      <c r="AH20" s="380">
        <f t="shared" si="1"/>
        <v>-27260.497741935484</v>
      </c>
      <c r="AI20" s="381">
        <f t="shared" si="2"/>
        <v>9689.727822580644</v>
      </c>
      <c r="AJ20" s="382">
        <f t="shared" si="3"/>
        <v>4349.2516129032265</v>
      </c>
      <c r="AK20" s="394">
        <f t="shared" si="11"/>
        <v>-13221.518306451613</v>
      </c>
    </row>
    <row r="21" spans="1:37">
      <c r="A21" s="384">
        <v>43848</v>
      </c>
      <c r="B21" s="385">
        <v>31648</v>
      </c>
      <c r="C21" s="386">
        <v>1037.5</v>
      </c>
      <c r="D21" s="387">
        <v>350</v>
      </c>
      <c r="E21" s="498"/>
      <c r="F21" s="498"/>
      <c r="G21" s="498"/>
      <c r="H21" s="498"/>
      <c r="I21" s="498"/>
      <c r="J21" s="498"/>
      <c r="K21" s="385">
        <f t="shared" si="4"/>
        <v>196534.08</v>
      </c>
      <c r="L21" s="386">
        <f t="shared" si="5"/>
        <v>58048.125</v>
      </c>
      <c r="M21" s="387">
        <f t="shared" si="6"/>
        <v>23954</v>
      </c>
      <c r="N21" s="388">
        <v>28.1</v>
      </c>
      <c r="O21" s="389">
        <f t="shared" si="7"/>
        <v>278536.20499999996</v>
      </c>
      <c r="P21" s="389"/>
      <c r="Q21" s="390">
        <v>272</v>
      </c>
      <c r="R21" s="391">
        <v>0.8</v>
      </c>
      <c r="Y21" s="392">
        <v>43848</v>
      </c>
      <c r="Z21" s="385">
        <v>1675</v>
      </c>
      <c r="AA21" s="393">
        <f t="shared" si="0"/>
        <v>5.292593528816987E-2</v>
      </c>
      <c r="AB21" s="371">
        <f t="shared" si="8"/>
        <v>10401.75</v>
      </c>
      <c r="AC21" s="385">
        <v>37.5</v>
      </c>
      <c r="AD21" s="387">
        <f t="shared" si="9"/>
        <v>2098.125</v>
      </c>
      <c r="AE21" s="385">
        <v>50</v>
      </c>
      <c r="AF21" s="387">
        <f t="shared" si="9"/>
        <v>2797.5</v>
      </c>
      <c r="AH21" s="380">
        <f t="shared" si="1"/>
        <v>-20118.997741935484</v>
      </c>
      <c r="AI21" s="381">
        <f t="shared" si="2"/>
        <v>-3248.709677419356</v>
      </c>
      <c r="AJ21" s="382">
        <f t="shared" si="3"/>
        <v>-1125.9483870967742</v>
      </c>
      <c r="AK21" s="394">
        <f t="shared" si="11"/>
        <v>-24493.655806451614</v>
      </c>
    </row>
    <row r="22" spans="1:37">
      <c r="A22" s="384">
        <v>43849</v>
      </c>
      <c r="B22" s="385">
        <v>31633</v>
      </c>
      <c r="C22" s="386">
        <v>1025</v>
      </c>
      <c r="D22" s="387">
        <v>330</v>
      </c>
      <c r="E22" s="498"/>
      <c r="F22" s="498"/>
      <c r="G22" s="498"/>
      <c r="H22" s="498"/>
      <c r="I22" s="498"/>
      <c r="J22" s="498"/>
      <c r="K22" s="385">
        <f t="shared" si="4"/>
        <v>196440.93</v>
      </c>
      <c r="L22" s="386">
        <f t="shared" si="5"/>
        <v>57348.75</v>
      </c>
      <c r="M22" s="387">
        <f t="shared" si="6"/>
        <v>22585.200000000001</v>
      </c>
      <c r="N22" s="388">
        <v>28.2</v>
      </c>
      <c r="O22" s="389">
        <f t="shared" si="7"/>
        <v>276374.88</v>
      </c>
      <c r="P22" s="389"/>
      <c r="Q22" s="390">
        <v>254</v>
      </c>
      <c r="R22" s="391">
        <v>0.76</v>
      </c>
      <c r="Y22" s="392">
        <v>43849</v>
      </c>
      <c r="Z22" s="385">
        <v>1676</v>
      </c>
      <c r="AA22" s="393">
        <f t="shared" si="0"/>
        <v>5.2982644706477414E-2</v>
      </c>
      <c r="AB22" s="371">
        <f t="shared" si="8"/>
        <v>10407.959999999999</v>
      </c>
      <c r="AC22" s="385">
        <v>31.25</v>
      </c>
      <c r="AD22" s="387">
        <f t="shared" si="9"/>
        <v>1748.4375</v>
      </c>
      <c r="AE22" s="385">
        <v>43.75</v>
      </c>
      <c r="AF22" s="387">
        <f t="shared" si="9"/>
        <v>2447.8125</v>
      </c>
      <c r="AH22" s="380">
        <f t="shared" si="1"/>
        <v>-20025.847741935489</v>
      </c>
      <c r="AI22" s="381">
        <f t="shared" si="2"/>
        <v>-2549.334677419356</v>
      </c>
      <c r="AJ22" s="382">
        <f t="shared" si="3"/>
        <v>242.85161290322503</v>
      </c>
      <c r="AK22" s="394">
        <f t="shared" si="11"/>
        <v>-22332.33080645162</v>
      </c>
    </row>
    <row r="23" spans="1:37">
      <c r="A23" s="384">
        <v>43850</v>
      </c>
      <c r="B23" s="385">
        <v>31001</v>
      </c>
      <c r="C23" s="386">
        <v>931.25</v>
      </c>
      <c r="D23" s="387">
        <v>360</v>
      </c>
      <c r="E23" s="498"/>
      <c r="F23" s="498"/>
      <c r="G23" s="498"/>
      <c r="H23" s="498"/>
      <c r="I23" s="498"/>
      <c r="J23" s="498"/>
      <c r="K23" s="385">
        <f t="shared" si="4"/>
        <v>192516.21</v>
      </c>
      <c r="L23" s="386">
        <f t="shared" si="5"/>
        <v>52103.4375</v>
      </c>
      <c r="M23" s="387">
        <f t="shared" si="6"/>
        <v>24638.399999999998</v>
      </c>
      <c r="N23" s="388">
        <v>28.7</v>
      </c>
      <c r="O23" s="389">
        <f t="shared" si="7"/>
        <v>269258.04749999999</v>
      </c>
      <c r="P23" s="389"/>
      <c r="Q23" s="390">
        <v>246</v>
      </c>
      <c r="R23" s="395">
        <v>0.72</v>
      </c>
      <c r="Y23" s="392">
        <v>43850</v>
      </c>
      <c r="Z23" s="385">
        <v>3228</v>
      </c>
      <c r="AA23" s="393">
        <f t="shared" si="0"/>
        <v>0.10412567336537532</v>
      </c>
      <c r="AB23" s="371">
        <f t="shared" si="8"/>
        <v>20045.88</v>
      </c>
      <c r="AC23" s="385">
        <v>37.5</v>
      </c>
      <c r="AD23" s="387">
        <f t="shared" si="9"/>
        <v>2098.125</v>
      </c>
      <c r="AE23" s="385">
        <v>37.5</v>
      </c>
      <c r="AF23" s="387">
        <f t="shared" si="9"/>
        <v>2098.125</v>
      </c>
      <c r="AH23" s="380">
        <f t="shared" si="1"/>
        <v>-16101.127741935488</v>
      </c>
      <c r="AI23" s="381">
        <f t="shared" si="2"/>
        <v>2695.977822580644</v>
      </c>
      <c r="AJ23" s="382">
        <f t="shared" si="3"/>
        <v>-1810.3483870967721</v>
      </c>
      <c r="AK23" s="394">
        <f t="shared" si="11"/>
        <v>-15215.498306451616</v>
      </c>
    </row>
    <row r="24" spans="1:37">
      <c r="A24" s="384">
        <v>43851</v>
      </c>
      <c r="B24" s="385">
        <v>29351</v>
      </c>
      <c r="C24" s="386">
        <v>862.5</v>
      </c>
      <c r="D24" s="387">
        <v>350</v>
      </c>
      <c r="E24" s="498"/>
      <c r="F24" s="498"/>
      <c r="G24" s="498"/>
      <c r="H24" s="498"/>
      <c r="I24" s="498"/>
      <c r="J24" s="498"/>
      <c r="K24" s="385">
        <f t="shared" si="4"/>
        <v>182269.71</v>
      </c>
      <c r="L24" s="386">
        <f t="shared" si="5"/>
        <v>48256.875</v>
      </c>
      <c r="M24" s="387">
        <f t="shared" si="6"/>
        <v>23954</v>
      </c>
      <c r="N24" s="388">
        <v>26.7</v>
      </c>
      <c r="O24" s="389">
        <f t="shared" si="7"/>
        <v>254480.58499999999</v>
      </c>
      <c r="P24" s="389"/>
      <c r="Q24" s="390">
        <v>221</v>
      </c>
      <c r="R24" s="391">
        <v>0.66</v>
      </c>
      <c r="Y24" s="392">
        <v>43851</v>
      </c>
      <c r="Z24" s="385">
        <v>2262</v>
      </c>
      <c r="AA24" s="393">
        <f t="shared" si="0"/>
        <v>7.7067220878334633E-2</v>
      </c>
      <c r="AB24" s="371">
        <f t="shared" si="8"/>
        <v>14047.02</v>
      </c>
      <c r="AC24" s="385">
        <v>37.5</v>
      </c>
      <c r="AD24" s="387">
        <f t="shared" si="9"/>
        <v>2098.125</v>
      </c>
      <c r="AE24" s="385">
        <v>62.5</v>
      </c>
      <c r="AF24" s="387">
        <f t="shared" si="9"/>
        <v>3496.875</v>
      </c>
      <c r="AH24" s="380">
        <f t="shared" si="1"/>
        <v>-5854.6277419354883</v>
      </c>
      <c r="AI24" s="381">
        <f t="shared" si="2"/>
        <v>6542.540322580644</v>
      </c>
      <c r="AJ24" s="382">
        <f t="shared" si="3"/>
        <v>-1125.9483870967742</v>
      </c>
      <c r="AK24" s="394">
        <f t="shared" si="11"/>
        <v>-438.03580645161856</v>
      </c>
    </row>
    <row r="25" spans="1:37">
      <c r="A25" s="384">
        <v>43852</v>
      </c>
      <c r="B25" s="385">
        <v>26701</v>
      </c>
      <c r="C25" s="386">
        <v>1106.25</v>
      </c>
      <c r="D25" s="387">
        <v>314</v>
      </c>
      <c r="E25" s="498"/>
      <c r="F25" s="498"/>
      <c r="G25" s="498"/>
      <c r="H25" s="498"/>
      <c r="I25" s="498"/>
      <c r="J25" s="498"/>
      <c r="K25" s="385">
        <f t="shared" si="4"/>
        <v>165813.21</v>
      </c>
      <c r="L25" s="386">
        <f t="shared" si="5"/>
        <v>61894.6875</v>
      </c>
      <c r="M25" s="387">
        <f t="shared" si="6"/>
        <v>21490.16</v>
      </c>
      <c r="N25" s="388">
        <v>25.7</v>
      </c>
      <c r="O25" s="389">
        <f t="shared" si="7"/>
        <v>249198.0575</v>
      </c>
      <c r="P25" s="389"/>
      <c r="Q25" s="390">
        <v>225</v>
      </c>
      <c r="R25" s="391">
        <v>0.68</v>
      </c>
      <c r="Y25" s="392">
        <v>43852</v>
      </c>
      <c r="Z25" s="385">
        <v>2398</v>
      </c>
      <c r="AA25" s="393">
        <f t="shared" si="0"/>
        <v>8.9809370435564209E-2</v>
      </c>
      <c r="AB25" s="371">
        <f t="shared" si="8"/>
        <v>14891.58</v>
      </c>
      <c r="AC25" s="385">
        <v>31.25</v>
      </c>
      <c r="AD25" s="387">
        <f t="shared" si="9"/>
        <v>1748.4375</v>
      </c>
      <c r="AE25" s="385">
        <v>37.5</v>
      </c>
      <c r="AF25" s="387">
        <f t="shared" si="9"/>
        <v>2098.125</v>
      </c>
      <c r="AH25" s="380">
        <f t="shared" si="1"/>
        <v>10601.872258064512</v>
      </c>
      <c r="AI25" s="381">
        <f t="shared" si="2"/>
        <v>-7095.272177419356</v>
      </c>
      <c r="AJ25" s="382">
        <f t="shared" si="3"/>
        <v>1337.8916129032259</v>
      </c>
      <c r="AK25" s="394">
        <f t="shared" si="11"/>
        <v>4844.4916935483816</v>
      </c>
    </row>
    <row r="26" spans="1:37">
      <c r="A26" s="384">
        <v>43853</v>
      </c>
      <c r="B26" s="385">
        <v>27578</v>
      </c>
      <c r="C26" s="386">
        <v>981.25</v>
      </c>
      <c r="D26" s="387">
        <v>326</v>
      </c>
      <c r="E26" s="498"/>
      <c r="F26" s="498"/>
      <c r="G26" s="498"/>
      <c r="H26" s="498"/>
      <c r="I26" s="498"/>
      <c r="J26" s="498"/>
      <c r="K26" s="385">
        <f t="shared" si="4"/>
        <v>171259.38</v>
      </c>
      <c r="L26" s="386">
        <f t="shared" si="5"/>
        <v>54900.9375</v>
      </c>
      <c r="M26" s="387">
        <f t="shared" si="6"/>
        <v>22311.439999999999</v>
      </c>
      <c r="N26" s="388">
        <v>28.5</v>
      </c>
      <c r="O26" s="389">
        <f t="shared" si="7"/>
        <v>248471.75750000001</v>
      </c>
      <c r="P26" s="389"/>
      <c r="Q26" s="390">
        <v>265</v>
      </c>
      <c r="R26" s="391">
        <v>0.73</v>
      </c>
      <c r="Y26" s="392">
        <v>43853</v>
      </c>
      <c r="Z26" s="385">
        <v>1922</v>
      </c>
      <c r="AA26" s="393">
        <f t="shared" si="0"/>
        <v>6.9693233737036772E-2</v>
      </c>
      <c r="AB26" s="371">
        <f t="shared" si="8"/>
        <v>11935.62</v>
      </c>
      <c r="AC26" s="385">
        <v>31.25</v>
      </c>
      <c r="AD26" s="387">
        <f t="shared" si="9"/>
        <v>1748.4375</v>
      </c>
      <c r="AE26" s="385">
        <v>50</v>
      </c>
      <c r="AF26" s="387">
        <f t="shared" si="9"/>
        <v>2797.5</v>
      </c>
      <c r="AH26" s="380">
        <f t="shared" si="1"/>
        <v>5155.7022580644989</v>
      </c>
      <c r="AI26" s="381">
        <f t="shared" si="2"/>
        <v>-101.52217741935601</v>
      </c>
      <c r="AJ26" s="382">
        <f t="shared" si="3"/>
        <v>516.61161290322707</v>
      </c>
      <c r="AK26" s="394">
        <f t="shared" si="11"/>
        <v>5570.7916935483699</v>
      </c>
    </row>
    <row r="27" spans="1:37">
      <c r="A27" s="384">
        <v>43854</v>
      </c>
      <c r="B27" s="385">
        <v>29917</v>
      </c>
      <c r="C27" s="386">
        <v>881.25</v>
      </c>
      <c r="D27" s="387">
        <v>340</v>
      </c>
      <c r="E27" s="498"/>
      <c r="F27" s="498"/>
      <c r="G27" s="498"/>
      <c r="H27" s="498"/>
      <c r="I27" s="498"/>
      <c r="J27" s="498"/>
      <c r="K27" s="385">
        <f t="shared" si="4"/>
        <v>185784.57</v>
      </c>
      <c r="L27" s="386">
        <f t="shared" si="5"/>
        <v>49305.9375</v>
      </c>
      <c r="M27" s="387">
        <f t="shared" si="6"/>
        <v>23269.599999999999</v>
      </c>
      <c r="N27" s="388">
        <v>27</v>
      </c>
      <c r="O27" s="389">
        <f t="shared" si="7"/>
        <v>258360.10750000001</v>
      </c>
      <c r="P27" s="389"/>
      <c r="Q27" s="390">
        <v>265</v>
      </c>
      <c r="R27" s="391">
        <v>0.73</v>
      </c>
      <c r="Y27" s="392">
        <v>43854</v>
      </c>
      <c r="Z27" s="385">
        <v>1175</v>
      </c>
      <c r="AA27" s="393">
        <f t="shared" si="0"/>
        <v>3.927532840859712E-2</v>
      </c>
      <c r="AB27" s="371">
        <f t="shared" si="8"/>
        <v>7296.75</v>
      </c>
      <c r="AC27" s="385">
        <v>37.5</v>
      </c>
      <c r="AD27" s="387">
        <f t="shared" si="9"/>
        <v>2098.125</v>
      </c>
      <c r="AE27" s="385">
        <v>50</v>
      </c>
      <c r="AF27" s="387">
        <f t="shared" si="9"/>
        <v>2797.5</v>
      </c>
      <c r="AH27" s="380">
        <f t="shared" si="1"/>
        <v>-9369.4877419355034</v>
      </c>
      <c r="AI27" s="381">
        <f t="shared" si="2"/>
        <v>5493.477822580644</v>
      </c>
      <c r="AJ27" s="382">
        <f t="shared" si="3"/>
        <v>-441.54838709677279</v>
      </c>
      <c r="AK27" s="396">
        <f t="shared" si="11"/>
        <v>-4317.5583064516322</v>
      </c>
    </row>
    <row r="28" spans="1:37">
      <c r="A28" s="384">
        <v>43855</v>
      </c>
      <c r="B28" s="385">
        <v>26788</v>
      </c>
      <c r="C28" s="386">
        <v>931.25</v>
      </c>
      <c r="D28" s="387">
        <v>350</v>
      </c>
      <c r="E28" s="498"/>
      <c r="F28" s="498"/>
      <c r="G28" s="498"/>
      <c r="H28" s="498"/>
      <c r="I28" s="498"/>
      <c r="J28" s="498"/>
      <c r="K28" s="385">
        <f t="shared" si="4"/>
        <v>166353.48000000001</v>
      </c>
      <c r="L28" s="386">
        <f t="shared" si="5"/>
        <v>52103.4375</v>
      </c>
      <c r="M28" s="387">
        <f t="shared" si="6"/>
        <v>23954</v>
      </c>
      <c r="N28" s="388">
        <v>26.3</v>
      </c>
      <c r="O28" s="389">
        <f t="shared" si="7"/>
        <v>242410.91750000001</v>
      </c>
      <c r="P28" s="389"/>
      <c r="Q28" s="390">
        <v>303</v>
      </c>
      <c r="R28" s="391">
        <v>0.79</v>
      </c>
      <c r="Y28" s="392">
        <v>43855</v>
      </c>
      <c r="Z28" s="385">
        <v>809</v>
      </c>
      <c r="AA28" s="393">
        <f t="shared" si="0"/>
        <v>3.0200089592354786E-2</v>
      </c>
      <c r="AB28" s="371">
        <f t="shared" si="8"/>
        <v>5023.8900000000003</v>
      </c>
      <c r="AC28" s="385">
        <v>31.25</v>
      </c>
      <c r="AD28" s="387">
        <f t="shared" si="9"/>
        <v>1748.4375</v>
      </c>
      <c r="AE28" s="385">
        <v>62.5</v>
      </c>
      <c r="AF28" s="387">
        <f t="shared" si="9"/>
        <v>3496.875</v>
      </c>
      <c r="AH28" s="380">
        <f t="shared" si="1"/>
        <v>10061.602258064493</v>
      </c>
      <c r="AI28" s="381">
        <f t="shared" si="2"/>
        <v>2695.977822580644</v>
      </c>
      <c r="AJ28" s="382">
        <f t="shared" si="3"/>
        <v>-1125.9483870967742</v>
      </c>
      <c r="AK28" s="396">
        <f t="shared" si="11"/>
        <v>11631.631693548363</v>
      </c>
    </row>
    <row r="29" spans="1:37">
      <c r="A29" s="384">
        <v>43856</v>
      </c>
      <c r="B29" s="385">
        <v>24415</v>
      </c>
      <c r="C29" s="386">
        <v>950</v>
      </c>
      <c r="D29" s="387">
        <v>320</v>
      </c>
      <c r="E29" s="498"/>
      <c r="F29" s="498"/>
      <c r="G29" s="498"/>
      <c r="H29" s="498"/>
      <c r="I29" s="498"/>
      <c r="J29" s="498"/>
      <c r="K29" s="385">
        <f t="shared" si="4"/>
        <v>151617.15</v>
      </c>
      <c r="L29" s="386">
        <f t="shared" si="5"/>
        <v>53152.5</v>
      </c>
      <c r="M29" s="387">
        <f t="shared" si="6"/>
        <v>21900.799999999999</v>
      </c>
      <c r="N29" s="388">
        <v>26</v>
      </c>
      <c r="O29" s="389">
        <f t="shared" si="7"/>
        <v>226670.44999999998</v>
      </c>
      <c r="P29" s="389"/>
      <c r="Q29" s="390">
        <v>283</v>
      </c>
      <c r="R29" s="391">
        <v>0.74</v>
      </c>
      <c r="Y29" s="392">
        <v>43856</v>
      </c>
      <c r="Z29" s="385">
        <v>550</v>
      </c>
      <c r="AA29" s="393">
        <f t="shared" si="0"/>
        <v>2.252713495801761E-2</v>
      </c>
      <c r="AB29" s="371">
        <f t="shared" si="8"/>
        <v>3415.5</v>
      </c>
      <c r="AC29" s="385">
        <v>31.25</v>
      </c>
      <c r="AD29" s="387">
        <f t="shared" si="9"/>
        <v>1748.4375</v>
      </c>
      <c r="AE29" s="385">
        <v>43.75</v>
      </c>
      <c r="AF29" s="387">
        <f t="shared" si="9"/>
        <v>2447.8125</v>
      </c>
      <c r="AH29" s="380">
        <f t="shared" si="1"/>
        <v>24797.932258064509</v>
      </c>
      <c r="AI29" s="381">
        <f t="shared" si="2"/>
        <v>1646.915322580644</v>
      </c>
      <c r="AJ29" s="371"/>
      <c r="AK29" s="396">
        <f t="shared" si="11"/>
        <v>26444.847580645153</v>
      </c>
    </row>
    <row r="30" spans="1:37">
      <c r="A30" s="384">
        <v>43857</v>
      </c>
      <c r="B30" s="385">
        <v>25231</v>
      </c>
      <c r="C30" s="386">
        <v>943.75</v>
      </c>
      <c r="D30" s="387">
        <v>330</v>
      </c>
      <c r="E30" s="498"/>
      <c r="F30" s="498"/>
      <c r="G30" s="498"/>
      <c r="H30" s="498"/>
      <c r="I30" s="498"/>
      <c r="J30" s="498"/>
      <c r="K30" s="385">
        <f t="shared" si="4"/>
        <v>156684.51</v>
      </c>
      <c r="L30" s="386">
        <f t="shared" si="5"/>
        <v>52802.8125</v>
      </c>
      <c r="M30" s="387">
        <f t="shared" si="6"/>
        <v>22585.200000000001</v>
      </c>
      <c r="N30" s="388">
        <v>25.2</v>
      </c>
      <c r="O30" s="389">
        <f t="shared" si="7"/>
        <v>232072.52250000002</v>
      </c>
      <c r="P30" s="389"/>
      <c r="Q30" s="390">
        <v>276</v>
      </c>
      <c r="R30" s="391">
        <v>0.74</v>
      </c>
      <c r="Y30" s="392">
        <v>43857</v>
      </c>
      <c r="Z30" s="385">
        <v>2096</v>
      </c>
      <c r="AA30" s="393">
        <f t="shared" si="0"/>
        <v>8.3072410923070827E-2</v>
      </c>
      <c r="AB30" s="371">
        <f t="shared" si="8"/>
        <v>13016.16</v>
      </c>
      <c r="AC30" s="385">
        <v>37.5</v>
      </c>
      <c r="AD30" s="387">
        <f t="shared" si="9"/>
        <v>2098.125</v>
      </c>
      <c r="AE30" s="385">
        <v>50</v>
      </c>
      <c r="AF30" s="387">
        <f t="shared" si="9"/>
        <v>2797.5</v>
      </c>
      <c r="AH30" s="380">
        <f t="shared" si="1"/>
        <v>19730.572258064494</v>
      </c>
      <c r="AI30" s="381">
        <f t="shared" si="2"/>
        <v>1996.602822580644</v>
      </c>
      <c r="AJ30" s="371"/>
      <c r="AK30" s="396">
        <f t="shared" si="11"/>
        <v>21727.175080645138</v>
      </c>
    </row>
    <row r="31" spans="1:37">
      <c r="A31" s="384">
        <v>43858</v>
      </c>
      <c r="B31" s="385">
        <v>24760</v>
      </c>
      <c r="C31" s="386">
        <v>962.5</v>
      </c>
      <c r="D31" s="387">
        <v>310</v>
      </c>
      <c r="E31" s="498"/>
      <c r="F31" s="498"/>
      <c r="G31" s="498"/>
      <c r="H31" s="498"/>
      <c r="I31" s="498"/>
      <c r="J31" s="498"/>
      <c r="K31" s="385">
        <f t="shared" si="4"/>
        <v>153759.6</v>
      </c>
      <c r="L31" s="386">
        <f t="shared" si="5"/>
        <v>53851.875</v>
      </c>
      <c r="M31" s="387">
        <f t="shared" si="6"/>
        <v>21216.399999999998</v>
      </c>
      <c r="N31" s="388">
        <v>25</v>
      </c>
      <c r="O31" s="389">
        <f t="shared" si="7"/>
        <v>228827.875</v>
      </c>
      <c r="P31" s="389"/>
      <c r="Q31" s="390">
        <v>258</v>
      </c>
      <c r="R31" s="391">
        <v>0.72</v>
      </c>
      <c r="Y31" s="392">
        <v>43858</v>
      </c>
      <c r="Z31" s="385">
        <v>830</v>
      </c>
      <c r="AA31" s="393">
        <f t="shared" si="0"/>
        <v>3.3521809369951534E-2</v>
      </c>
      <c r="AB31" s="371">
        <f t="shared" si="8"/>
        <v>5154.3</v>
      </c>
      <c r="AC31" s="385">
        <v>37.5</v>
      </c>
      <c r="AD31" s="387">
        <f t="shared" si="9"/>
        <v>2098.125</v>
      </c>
      <c r="AE31" s="385">
        <v>50</v>
      </c>
      <c r="AF31" s="387">
        <f t="shared" si="9"/>
        <v>2797.5</v>
      </c>
      <c r="AH31" s="380">
        <f t="shared" si="1"/>
        <v>22655.482258064498</v>
      </c>
      <c r="AI31" s="381">
        <f t="shared" si="2"/>
        <v>947.54032258064399</v>
      </c>
      <c r="AJ31" s="371"/>
      <c r="AK31" s="396">
        <f t="shared" si="11"/>
        <v>23603.022580645142</v>
      </c>
    </row>
    <row r="32" spans="1:37">
      <c r="A32" s="384">
        <v>43859</v>
      </c>
      <c r="B32" s="385">
        <v>25450</v>
      </c>
      <c r="C32" s="386">
        <v>912.5</v>
      </c>
      <c r="D32" s="387">
        <v>330</v>
      </c>
      <c r="E32" s="498"/>
      <c r="F32" s="498"/>
      <c r="G32" s="498"/>
      <c r="H32" s="498"/>
      <c r="I32" s="498"/>
      <c r="J32" s="498"/>
      <c r="K32" s="385">
        <f t="shared" si="4"/>
        <v>158044.5</v>
      </c>
      <c r="L32" s="386">
        <f t="shared" si="5"/>
        <v>51054.375</v>
      </c>
      <c r="M32" s="387">
        <f t="shared" si="6"/>
        <v>22585.200000000001</v>
      </c>
      <c r="N32" s="388">
        <v>24.7</v>
      </c>
      <c r="O32" s="389">
        <f t="shared" si="7"/>
        <v>231684.07500000001</v>
      </c>
      <c r="P32" s="389"/>
      <c r="Q32" s="390">
        <v>255</v>
      </c>
      <c r="R32" s="391">
        <v>0.72</v>
      </c>
      <c r="Y32" s="392">
        <v>43859</v>
      </c>
      <c r="Z32" s="385">
        <v>648</v>
      </c>
      <c r="AA32" s="393">
        <f t="shared" si="0"/>
        <v>2.5461689587426325E-2</v>
      </c>
      <c r="AB32" s="371">
        <f t="shared" si="8"/>
        <v>4024.08</v>
      </c>
      <c r="AC32" s="385">
        <v>31.25</v>
      </c>
      <c r="AD32" s="387">
        <f t="shared" si="9"/>
        <v>1748.4375</v>
      </c>
      <c r="AE32" s="385">
        <v>37.5</v>
      </c>
      <c r="AF32" s="387">
        <f t="shared" si="9"/>
        <v>2098.125</v>
      </c>
      <c r="AH32" s="380">
        <f t="shared" si="1"/>
        <v>18370.582258064504</v>
      </c>
      <c r="AI32" s="381">
        <f t="shared" si="2"/>
        <v>3745.040322580644</v>
      </c>
      <c r="AJ32" s="371"/>
      <c r="AK32" s="396">
        <f t="shared" si="11"/>
        <v>22115.622580645148</v>
      </c>
    </row>
    <row r="33" spans="1:38">
      <c r="A33" s="384">
        <v>43860</v>
      </c>
      <c r="B33" s="385">
        <v>26859</v>
      </c>
      <c r="C33" s="386">
        <v>875</v>
      </c>
      <c r="D33" s="387">
        <v>320</v>
      </c>
      <c r="E33" s="498"/>
      <c r="F33" s="498"/>
      <c r="G33" s="498"/>
      <c r="H33" s="498"/>
      <c r="I33" s="498"/>
      <c r="J33" s="498"/>
      <c r="K33" s="385">
        <f t="shared" si="4"/>
        <v>166794.38999999998</v>
      </c>
      <c r="L33" s="386">
        <f t="shared" si="5"/>
        <v>48956.25</v>
      </c>
      <c r="M33" s="387">
        <f t="shared" si="6"/>
        <v>21900.799999999999</v>
      </c>
      <c r="N33" s="388">
        <v>26</v>
      </c>
      <c r="O33" s="389">
        <f t="shared" si="7"/>
        <v>237651.43999999997</v>
      </c>
      <c r="P33" s="389"/>
      <c r="Q33" s="390">
        <v>231</v>
      </c>
      <c r="R33" s="391">
        <v>0.63</v>
      </c>
      <c r="Y33" s="392">
        <v>43860</v>
      </c>
      <c r="Z33" s="385">
        <v>1349</v>
      </c>
      <c r="AA33" s="393">
        <f t="shared" si="0"/>
        <v>5.0225250381622545E-2</v>
      </c>
      <c r="AB33" s="371">
        <f t="shared" si="8"/>
        <v>8377.2899999999991</v>
      </c>
      <c r="AC33" s="385">
        <v>87.5</v>
      </c>
      <c r="AD33" s="387">
        <f t="shared" si="9"/>
        <v>4895.625</v>
      </c>
      <c r="AE33" s="385">
        <v>43.75</v>
      </c>
      <c r="AF33" s="387">
        <f t="shared" si="9"/>
        <v>2447.8125</v>
      </c>
      <c r="AH33" s="397">
        <f>SUM(AH4:AH32)</f>
        <v>-10460.444516129384</v>
      </c>
      <c r="AI33" s="397">
        <f>SUM(AI4:AI32)</f>
        <v>-12036.018145161324</v>
      </c>
      <c r="AJ33" s="397">
        <f>SUM(AJ4:AJ32)</f>
        <v>-8301.1096774193393</v>
      </c>
      <c r="AK33" s="397">
        <f>SUM(AK4:AK32)</f>
        <v>-30797.572338710001</v>
      </c>
    </row>
    <row r="34" spans="1:38">
      <c r="A34" s="398">
        <v>43861</v>
      </c>
      <c r="B34" s="399">
        <v>28273</v>
      </c>
      <c r="C34" s="400">
        <v>868.75</v>
      </c>
      <c r="D34" s="401">
        <v>270</v>
      </c>
      <c r="E34" s="499"/>
      <c r="F34" s="499"/>
      <c r="G34" s="499"/>
      <c r="H34" s="499"/>
      <c r="I34" s="499"/>
      <c r="J34" s="499"/>
      <c r="K34" s="399">
        <f t="shared" si="4"/>
        <v>175575.33</v>
      </c>
      <c r="L34" s="400">
        <f t="shared" si="5"/>
        <v>48606.5625</v>
      </c>
      <c r="M34" s="401">
        <f t="shared" si="6"/>
        <v>18478.8</v>
      </c>
      <c r="N34" s="402">
        <v>26</v>
      </c>
      <c r="O34" s="403">
        <f t="shared" si="7"/>
        <v>242660.69249999998</v>
      </c>
      <c r="P34" s="403"/>
      <c r="Q34" s="404">
        <v>195</v>
      </c>
      <c r="R34" s="405">
        <v>0.65</v>
      </c>
      <c r="Y34" s="406">
        <v>43861</v>
      </c>
      <c r="Z34" s="399">
        <v>1136</v>
      </c>
      <c r="AA34" s="407">
        <f t="shared" si="0"/>
        <v>4.0179676723375655E-2</v>
      </c>
      <c r="AB34" s="408">
        <f>Z34*6.21</f>
        <v>7054.56</v>
      </c>
      <c r="AC34" s="399">
        <v>31.25</v>
      </c>
      <c r="AD34" s="401">
        <f t="shared" si="9"/>
        <v>1748.4375</v>
      </c>
      <c r="AE34" s="399">
        <v>43.75</v>
      </c>
      <c r="AF34" s="401">
        <f t="shared" si="9"/>
        <v>2447.8125</v>
      </c>
    </row>
    <row r="35" spans="1:38">
      <c r="A35" s="409" t="s">
        <v>161</v>
      </c>
      <c r="B35" s="410">
        <f>SUM(B4:B34)</f>
        <v>880655</v>
      </c>
      <c r="C35" s="410">
        <f t="shared" ref="C35:O35" si="12">SUM(C4:C34)</f>
        <v>30362.5</v>
      </c>
      <c r="D35" s="410">
        <f t="shared" si="12"/>
        <v>10340</v>
      </c>
      <c r="E35" s="410"/>
      <c r="F35" s="410"/>
      <c r="G35" s="410"/>
      <c r="H35" s="410"/>
      <c r="I35" s="410"/>
      <c r="J35" s="410"/>
      <c r="K35" s="410">
        <f t="shared" si="12"/>
        <v>5468867.5499999998</v>
      </c>
      <c r="L35" s="410">
        <f t="shared" si="12"/>
        <v>1698781.875</v>
      </c>
      <c r="M35" s="410">
        <f t="shared" si="12"/>
        <v>707669.6</v>
      </c>
      <c r="N35" s="410"/>
      <c r="O35" s="410">
        <f t="shared" si="12"/>
        <v>7875319.0250000022</v>
      </c>
      <c r="P35" s="410"/>
      <c r="Q35" s="410"/>
      <c r="Y35" s="409" t="s">
        <v>161</v>
      </c>
      <c r="Z35" s="410">
        <f>SUM(Z4:Z34)</f>
        <v>38462</v>
      </c>
      <c r="AA35" s="410"/>
      <c r="AB35" s="410">
        <f>SUM(AB4:AB34)</f>
        <v>238849.02</v>
      </c>
      <c r="AC35" s="410">
        <f>SUM(AC4:AC34)</f>
        <v>1200</v>
      </c>
      <c r="AD35" s="410">
        <f>SUM(AD4:AD34)</f>
        <v>67140</v>
      </c>
      <c r="AE35" s="410">
        <f>SUM(AE4:AE34)</f>
        <v>1406.25</v>
      </c>
      <c r="AF35" s="410">
        <f>SUM(AF4:AF34)</f>
        <v>78679.6875</v>
      </c>
    </row>
    <row r="36" spans="1:38">
      <c r="A36" s="706"/>
      <c r="B36" s="411"/>
      <c r="C36" s="411"/>
      <c r="D36" s="411"/>
      <c r="E36" s="411"/>
      <c r="F36" s="411"/>
      <c r="G36" s="411"/>
      <c r="H36" s="411"/>
      <c r="I36" s="411"/>
      <c r="J36" s="411"/>
      <c r="K36" s="411"/>
      <c r="L36" s="411"/>
      <c r="M36" s="411"/>
      <c r="N36" s="411"/>
      <c r="O36" s="411"/>
      <c r="P36" s="411"/>
      <c r="Y36" s="706"/>
      <c r="Z36" s="411"/>
      <c r="AA36" s="411"/>
      <c r="AB36" s="411"/>
      <c r="AC36" s="411"/>
      <c r="AD36" s="411"/>
      <c r="AE36" s="411"/>
      <c r="AF36" s="411"/>
    </row>
    <row r="38" spans="1:38">
      <c r="A38" s="706"/>
      <c r="B38" s="799" t="s">
        <v>145</v>
      </c>
      <c r="C38" s="800"/>
      <c r="D38" s="801"/>
      <c r="E38" s="697"/>
      <c r="F38" s="697"/>
      <c r="G38" s="697"/>
      <c r="H38" s="697"/>
      <c r="I38" s="697"/>
      <c r="J38" s="697"/>
      <c r="K38" s="799" t="s">
        <v>146</v>
      </c>
      <c r="L38" s="800"/>
      <c r="M38" s="801"/>
      <c r="N38" s="787" t="s">
        <v>147</v>
      </c>
      <c r="O38" s="802" t="s">
        <v>162</v>
      </c>
      <c r="P38" s="698"/>
      <c r="Q38" s="776" t="s">
        <v>149</v>
      </c>
      <c r="R38" s="776" t="s">
        <v>150</v>
      </c>
      <c r="Y38" s="706"/>
      <c r="Z38" s="805" t="s">
        <v>151</v>
      </c>
      <c r="AA38" s="790"/>
      <c r="AB38" s="809"/>
      <c r="AC38" s="805" t="s">
        <v>152</v>
      </c>
      <c r="AD38" s="806"/>
      <c r="AE38" s="805" t="s">
        <v>153</v>
      </c>
      <c r="AF38" s="806"/>
    </row>
    <row r="39" spans="1:38">
      <c r="B39" s="363" t="s">
        <v>156</v>
      </c>
      <c r="C39" s="364" t="s">
        <v>157</v>
      </c>
      <c r="D39" s="365" t="s">
        <v>158</v>
      </c>
      <c r="E39" s="366"/>
      <c r="F39" s="366"/>
      <c r="G39" s="366"/>
      <c r="H39" s="366"/>
      <c r="I39" s="366"/>
      <c r="J39" s="366"/>
      <c r="K39" s="363" t="s">
        <v>156</v>
      </c>
      <c r="L39" s="364" t="s">
        <v>157</v>
      </c>
      <c r="M39" s="365" t="s">
        <v>158</v>
      </c>
      <c r="N39" s="788"/>
      <c r="O39" s="803"/>
      <c r="P39" s="705"/>
      <c r="Q39" s="810"/>
      <c r="R39" s="810"/>
      <c r="Z39" s="363" t="s">
        <v>145</v>
      </c>
      <c r="AA39" s="366"/>
      <c r="AB39" s="367" t="s">
        <v>160</v>
      </c>
      <c r="AC39" s="363" t="s">
        <v>145</v>
      </c>
      <c r="AD39" s="365" t="s">
        <v>160</v>
      </c>
      <c r="AE39" s="363" t="s">
        <v>145</v>
      </c>
      <c r="AF39" s="365" t="s">
        <v>160</v>
      </c>
    </row>
    <row r="40" spans="1:38">
      <c r="A40" s="414" t="s">
        <v>163</v>
      </c>
      <c r="B40" s="415">
        <f t="shared" ref="B40:M40" si="13">B35/31</f>
        <v>28408.225806451614</v>
      </c>
      <c r="C40" s="416">
        <f t="shared" si="13"/>
        <v>979.43548387096769</v>
      </c>
      <c r="D40" s="417">
        <f t="shared" si="13"/>
        <v>333.54838709677421</v>
      </c>
      <c r="E40" s="420"/>
      <c r="F40" s="420"/>
      <c r="G40" s="420"/>
      <c r="H40" s="420"/>
      <c r="I40" s="420"/>
      <c r="J40" s="420"/>
      <c r="K40" s="415">
        <f t="shared" si="13"/>
        <v>176415.0822580645</v>
      </c>
      <c r="L40" s="416">
        <f t="shared" si="13"/>
        <v>54799.415322580644</v>
      </c>
      <c r="M40" s="417">
        <f t="shared" si="13"/>
        <v>22828.051612903226</v>
      </c>
      <c r="N40" s="418">
        <f>AVERAGE(N4:N34)</f>
        <v>26.706451612903233</v>
      </c>
      <c r="O40" s="418">
        <f>O35/31</f>
        <v>254042.54919354845</v>
      </c>
      <c r="P40" s="418"/>
      <c r="Q40" s="418">
        <f>AVERAGE(Q4:Q34)</f>
        <v>259.35483870967744</v>
      </c>
      <c r="R40" s="419">
        <f>AVERAGE(R4:R34)</f>
        <v>0.71645161290322545</v>
      </c>
      <c r="Y40" s="414" t="s">
        <v>163</v>
      </c>
      <c r="Z40" s="415">
        <f>Z35/31</f>
        <v>1240.7096774193549</v>
      </c>
      <c r="AA40" s="420"/>
      <c r="AB40" s="417">
        <f>AB35/31</f>
        <v>7704.8070967741933</v>
      </c>
      <c r="AC40" s="415">
        <f>AC35/31</f>
        <v>38.70967741935484</v>
      </c>
      <c r="AD40" s="417">
        <f>AD35/31</f>
        <v>2165.8064516129034</v>
      </c>
      <c r="AE40" s="415">
        <f>AE35/31</f>
        <v>45.362903225806448</v>
      </c>
      <c r="AF40" s="417">
        <f>AF35/31</f>
        <v>2538.0544354838707</v>
      </c>
    </row>
    <row r="43" spans="1:38" ht="15" customHeight="1">
      <c r="A43" s="787" t="s">
        <v>14</v>
      </c>
      <c r="B43" s="799" t="s">
        <v>145</v>
      </c>
      <c r="C43" s="800"/>
      <c r="D43" s="801"/>
      <c r="E43" s="697"/>
      <c r="F43" s="697"/>
      <c r="G43" s="697"/>
      <c r="H43" s="697"/>
      <c r="I43" s="697"/>
      <c r="J43" s="697"/>
      <c r="K43" s="799" t="s">
        <v>146</v>
      </c>
      <c r="L43" s="800"/>
      <c r="M43" s="801"/>
      <c r="N43" s="787" t="s">
        <v>147</v>
      </c>
      <c r="O43" s="802" t="s">
        <v>148</v>
      </c>
      <c r="P43" s="698"/>
      <c r="Q43" s="698" t="s">
        <v>149</v>
      </c>
      <c r="R43" s="698" t="s">
        <v>150</v>
      </c>
      <c r="Y43" s="807" t="s">
        <v>14</v>
      </c>
      <c r="Z43" s="805" t="s">
        <v>151</v>
      </c>
      <c r="AA43" s="790"/>
      <c r="AB43" s="809"/>
      <c r="AC43" s="805" t="s">
        <v>152</v>
      </c>
      <c r="AD43" s="806"/>
      <c r="AE43" s="805" t="s">
        <v>153</v>
      </c>
      <c r="AF43" s="806"/>
      <c r="AG43" s="412"/>
      <c r="AH43" s="799" t="s">
        <v>154</v>
      </c>
      <c r="AI43" s="800"/>
      <c r="AJ43" s="801"/>
      <c r="AK43" s="802" t="s">
        <v>155</v>
      </c>
      <c r="AL43" s="413"/>
    </row>
    <row r="44" spans="1:38">
      <c r="A44" s="788"/>
      <c r="B44" s="363" t="s">
        <v>156</v>
      </c>
      <c r="C44" s="364" t="s">
        <v>157</v>
      </c>
      <c r="D44" s="365" t="s">
        <v>158</v>
      </c>
      <c r="E44" s="366"/>
      <c r="F44" s="366"/>
      <c r="G44" s="366"/>
      <c r="H44" s="366"/>
      <c r="I44" s="366"/>
      <c r="J44" s="366"/>
      <c r="K44" s="363" t="s">
        <v>156</v>
      </c>
      <c r="L44" s="364" t="s">
        <v>157</v>
      </c>
      <c r="M44" s="365" t="s">
        <v>158</v>
      </c>
      <c r="N44" s="788"/>
      <c r="O44" s="803"/>
      <c r="P44" s="705"/>
      <c r="Q44" s="705"/>
      <c r="R44" s="705"/>
      <c r="Y44" s="808"/>
      <c r="Z44" s="363" t="s">
        <v>145</v>
      </c>
      <c r="AA44" s="366" t="s">
        <v>159</v>
      </c>
      <c r="AB44" s="367" t="s">
        <v>160</v>
      </c>
      <c r="AC44" s="363" t="s">
        <v>145</v>
      </c>
      <c r="AD44" s="365" t="s">
        <v>160</v>
      </c>
      <c r="AE44" s="363" t="s">
        <v>145</v>
      </c>
      <c r="AF44" s="365" t="s">
        <v>160</v>
      </c>
      <c r="AG44" s="412"/>
      <c r="AH44" s="363" t="s">
        <v>156</v>
      </c>
      <c r="AI44" s="364" t="s">
        <v>157</v>
      </c>
      <c r="AJ44" s="365" t="s">
        <v>158</v>
      </c>
      <c r="AK44" s="803"/>
      <c r="AL44" s="413"/>
    </row>
    <row r="45" spans="1:38">
      <c r="A45" s="368">
        <v>43862</v>
      </c>
      <c r="B45" s="421">
        <v>27980</v>
      </c>
      <c r="C45" s="370">
        <v>975</v>
      </c>
      <c r="D45" s="371">
        <v>270</v>
      </c>
      <c r="E45" s="497"/>
      <c r="F45" s="497"/>
      <c r="G45" s="497"/>
      <c r="H45" s="497"/>
      <c r="I45" s="497"/>
      <c r="J45" s="497"/>
      <c r="K45" s="369">
        <f>B45*6.21</f>
        <v>173755.8</v>
      </c>
      <c r="L45" s="370">
        <f>C45*55.95</f>
        <v>54551.25</v>
      </c>
      <c r="M45" s="371">
        <f>D45*68.44</f>
        <v>18478.8</v>
      </c>
      <c r="N45" s="422">
        <v>27.3</v>
      </c>
      <c r="O45" s="423">
        <f>K45+L45+M45</f>
        <v>246785.84999999998</v>
      </c>
      <c r="P45" s="373"/>
      <c r="Q45" s="374">
        <v>209</v>
      </c>
      <c r="R45" s="375">
        <v>0.65</v>
      </c>
      <c r="Y45" s="368">
        <v>43862</v>
      </c>
      <c r="Z45" s="424">
        <v>704</v>
      </c>
      <c r="AA45" s="378">
        <f t="shared" ref="AA45:AA73" si="14">Z45/B45</f>
        <v>2.516082916368835E-2</v>
      </c>
      <c r="AB45" s="425">
        <f t="shared" ref="AB45:AB73" si="15">Z45*6.21</f>
        <v>4371.84</v>
      </c>
      <c r="AC45" s="380">
        <v>31.25</v>
      </c>
      <c r="AD45" s="382">
        <f>AC45*55.95</f>
        <v>1748.4375</v>
      </c>
      <c r="AE45" s="380">
        <v>43.75</v>
      </c>
      <c r="AF45" s="382">
        <f>AE45*55.95</f>
        <v>2447.8125</v>
      </c>
      <c r="AG45" s="426"/>
      <c r="AH45" s="380">
        <f>$K$40-K45</f>
        <v>2659.2822580645152</v>
      </c>
      <c r="AI45" s="381">
        <f>$L$40-L45</f>
        <v>248.16532258064399</v>
      </c>
      <c r="AJ45" s="382">
        <f t="shared" ref="AJ45:AJ55" si="16">$M$40-M45</f>
        <v>4349.2516129032265</v>
      </c>
      <c r="AK45" s="383">
        <f>AH45+AI45+AJ45</f>
        <v>7256.6991935483857</v>
      </c>
      <c r="AL45" s="413"/>
    </row>
    <row r="46" spans="1:38">
      <c r="A46" s="368">
        <v>43863</v>
      </c>
      <c r="B46" s="427">
        <v>28575</v>
      </c>
      <c r="C46" s="386">
        <v>825</v>
      </c>
      <c r="D46" s="387">
        <v>290</v>
      </c>
      <c r="E46" s="498"/>
      <c r="F46" s="498"/>
      <c r="G46" s="498"/>
      <c r="H46" s="498"/>
      <c r="I46" s="498"/>
      <c r="J46" s="498"/>
      <c r="K46" s="385">
        <f t="shared" ref="K46:K73" si="17">B46*6.21</f>
        <v>177450.75</v>
      </c>
      <c r="L46" s="386">
        <f t="shared" ref="L46:L73" si="18">C46*55.95</f>
        <v>46158.75</v>
      </c>
      <c r="M46" s="387">
        <f t="shared" ref="M46:M73" si="19">D46*68.44</f>
        <v>19847.599999999999</v>
      </c>
      <c r="N46" s="428">
        <v>27</v>
      </c>
      <c r="O46" s="396">
        <f t="shared" ref="O46:O73" si="20">K46+L46+M46</f>
        <v>243457.1</v>
      </c>
      <c r="P46" s="389"/>
      <c r="Q46" s="390">
        <v>169</v>
      </c>
      <c r="R46" s="391">
        <v>0.56000000000000005</v>
      </c>
      <c r="Y46" s="368">
        <v>43863</v>
      </c>
      <c r="Z46" s="429">
        <v>816</v>
      </c>
      <c r="AA46" s="393">
        <f t="shared" si="14"/>
        <v>2.8556430446194225E-2</v>
      </c>
      <c r="AB46" s="382">
        <f t="shared" si="15"/>
        <v>5067.3599999999997</v>
      </c>
      <c r="AC46" s="429">
        <v>25</v>
      </c>
      <c r="AD46" s="430">
        <f t="shared" ref="AD46:AD73" si="21">AC46*55.95</f>
        <v>1398.75</v>
      </c>
      <c r="AE46" s="429">
        <v>43.75</v>
      </c>
      <c r="AF46" s="430">
        <f t="shared" ref="AF46:AF73" si="22">AE46*55.95</f>
        <v>2447.8125</v>
      </c>
      <c r="AG46" s="426"/>
      <c r="AH46" s="380">
        <f>$K$40-K46</f>
        <v>-1035.6677419354965</v>
      </c>
      <c r="AI46" s="381">
        <f>$L$40-L46</f>
        <v>8640.665322580644</v>
      </c>
      <c r="AJ46" s="382">
        <f t="shared" si="16"/>
        <v>2980.4516129032272</v>
      </c>
      <c r="AK46" s="394">
        <f t="shared" ref="AK46:AK73" si="23">AH46+AI46+AJ46</f>
        <v>10585.449193548375</v>
      </c>
      <c r="AL46" s="413"/>
    </row>
    <row r="47" spans="1:38">
      <c r="A47" s="368">
        <v>43864</v>
      </c>
      <c r="B47" s="427">
        <v>29882</v>
      </c>
      <c r="C47" s="386">
        <v>787.5</v>
      </c>
      <c r="D47" s="387">
        <v>270</v>
      </c>
      <c r="E47" s="498"/>
      <c r="F47" s="498"/>
      <c r="G47" s="498"/>
      <c r="H47" s="498"/>
      <c r="I47" s="498"/>
      <c r="J47" s="498"/>
      <c r="K47" s="385">
        <f t="shared" si="17"/>
        <v>185567.22</v>
      </c>
      <c r="L47" s="386">
        <f t="shared" si="18"/>
        <v>44060.625</v>
      </c>
      <c r="M47" s="387">
        <f t="shared" si="19"/>
        <v>18478.8</v>
      </c>
      <c r="N47" s="428">
        <v>27.7</v>
      </c>
      <c r="O47" s="396">
        <f t="shared" si="20"/>
        <v>248106.64499999999</v>
      </c>
      <c r="P47" s="389"/>
      <c r="Q47" s="390">
        <v>181</v>
      </c>
      <c r="R47" s="391">
        <v>0.59</v>
      </c>
      <c r="Y47" s="368">
        <v>43864</v>
      </c>
      <c r="Z47" s="429">
        <v>2059</v>
      </c>
      <c r="AA47" s="393">
        <f t="shared" si="14"/>
        <v>6.8904357138076439E-2</v>
      </c>
      <c r="AB47" s="382">
        <f t="shared" si="15"/>
        <v>12786.39</v>
      </c>
      <c r="AC47" s="429">
        <v>25</v>
      </c>
      <c r="AD47" s="430">
        <f t="shared" si="21"/>
        <v>1398.75</v>
      </c>
      <c r="AE47" s="429">
        <v>50</v>
      </c>
      <c r="AF47" s="430">
        <f t="shared" si="22"/>
        <v>2797.5</v>
      </c>
      <c r="AG47" s="426"/>
      <c r="AH47" s="380">
        <f>$K$40-K47</f>
        <v>-9152.1377419354976</v>
      </c>
      <c r="AI47" s="381">
        <f>$L$40-L47</f>
        <v>10738.790322580644</v>
      </c>
      <c r="AJ47" s="382">
        <f t="shared" si="16"/>
        <v>4349.2516129032265</v>
      </c>
      <c r="AK47" s="394">
        <f t="shared" si="23"/>
        <v>5935.9041935483729</v>
      </c>
      <c r="AL47" s="413"/>
    </row>
    <row r="48" spans="1:38">
      <c r="A48" s="368">
        <v>43865</v>
      </c>
      <c r="B48" s="427">
        <v>28520</v>
      </c>
      <c r="C48" s="386">
        <v>781.25</v>
      </c>
      <c r="D48" s="387">
        <v>300</v>
      </c>
      <c r="E48" s="498"/>
      <c r="F48" s="498"/>
      <c r="G48" s="498"/>
      <c r="H48" s="498"/>
      <c r="I48" s="498"/>
      <c r="J48" s="498"/>
      <c r="K48" s="385">
        <f t="shared" si="17"/>
        <v>177109.2</v>
      </c>
      <c r="L48" s="386">
        <f t="shared" si="18"/>
        <v>43710.9375</v>
      </c>
      <c r="M48" s="387">
        <f t="shared" si="19"/>
        <v>20532</v>
      </c>
      <c r="N48" s="428">
        <v>26.2</v>
      </c>
      <c r="O48" s="396">
        <f t="shared" si="20"/>
        <v>241352.13750000001</v>
      </c>
      <c r="P48" s="389"/>
      <c r="Q48" s="390">
        <v>199</v>
      </c>
      <c r="R48" s="391">
        <v>0.64</v>
      </c>
      <c r="Y48" s="368">
        <v>43865</v>
      </c>
      <c r="Z48" s="429">
        <v>1922</v>
      </c>
      <c r="AA48" s="393">
        <f t="shared" si="14"/>
        <v>6.7391304347826086E-2</v>
      </c>
      <c r="AB48" s="382">
        <f t="shared" si="15"/>
        <v>11935.62</v>
      </c>
      <c r="AC48" s="429">
        <v>25</v>
      </c>
      <c r="AD48" s="430">
        <f t="shared" si="21"/>
        <v>1398.75</v>
      </c>
      <c r="AE48" s="429">
        <v>43.75</v>
      </c>
      <c r="AF48" s="430">
        <f t="shared" si="22"/>
        <v>2447.8125</v>
      </c>
      <c r="AG48" s="426"/>
      <c r="AH48" s="380">
        <f>$K$40-K48</f>
        <v>-694.11774193550809</v>
      </c>
      <c r="AI48" s="381">
        <f>$L$40-L48</f>
        <v>11088.477822580644</v>
      </c>
      <c r="AJ48" s="382">
        <f t="shared" si="16"/>
        <v>2296.0516129032258</v>
      </c>
      <c r="AK48" s="394">
        <f t="shared" si="23"/>
        <v>12690.411693548362</v>
      </c>
      <c r="AL48" s="413"/>
    </row>
    <row r="49" spans="1:38">
      <c r="A49" s="368">
        <v>43866</v>
      </c>
      <c r="B49" s="427">
        <v>27431</v>
      </c>
      <c r="C49" s="386">
        <v>818.75</v>
      </c>
      <c r="D49" s="387">
        <v>350</v>
      </c>
      <c r="E49" s="498"/>
      <c r="F49" s="498"/>
      <c r="G49" s="498"/>
      <c r="H49" s="498"/>
      <c r="I49" s="498"/>
      <c r="J49" s="498"/>
      <c r="K49" s="385">
        <f t="shared" si="17"/>
        <v>170346.51</v>
      </c>
      <c r="L49" s="386">
        <f t="shared" si="18"/>
        <v>45809.0625</v>
      </c>
      <c r="M49" s="387">
        <f t="shared" si="19"/>
        <v>23954</v>
      </c>
      <c r="N49" s="428">
        <v>27.4</v>
      </c>
      <c r="O49" s="396">
        <f t="shared" si="20"/>
        <v>240109.57250000001</v>
      </c>
      <c r="P49" s="389"/>
      <c r="Q49" s="390">
        <v>182</v>
      </c>
      <c r="R49" s="391">
        <v>0.57999999999999996</v>
      </c>
      <c r="Y49" s="368">
        <v>43866</v>
      </c>
      <c r="Z49" s="429">
        <v>2009</v>
      </c>
      <c r="AA49" s="393">
        <f t="shared" si="14"/>
        <v>7.3238307024898835E-2</v>
      </c>
      <c r="AB49" s="382">
        <f t="shared" si="15"/>
        <v>12475.89</v>
      </c>
      <c r="AC49" s="429">
        <v>25</v>
      </c>
      <c r="AD49" s="430">
        <f t="shared" si="21"/>
        <v>1398.75</v>
      </c>
      <c r="AE49" s="429">
        <v>43.75</v>
      </c>
      <c r="AF49" s="430">
        <f t="shared" si="22"/>
        <v>2447.8125</v>
      </c>
      <c r="AG49" s="426"/>
      <c r="AH49" s="380">
        <f>$K$40-K49</f>
        <v>6068.5722580644942</v>
      </c>
      <c r="AI49" s="381">
        <f>$L$40-L49</f>
        <v>8990.352822580644</v>
      </c>
      <c r="AJ49" s="382">
        <f t="shared" si="16"/>
        <v>-1125.9483870967742</v>
      </c>
      <c r="AK49" s="394">
        <f t="shared" si="23"/>
        <v>13932.976693548364</v>
      </c>
      <c r="AL49" s="413"/>
    </row>
    <row r="50" spans="1:38">
      <c r="A50" s="368">
        <v>43867</v>
      </c>
      <c r="B50" s="427">
        <v>27753</v>
      </c>
      <c r="C50" s="386">
        <v>856.25</v>
      </c>
      <c r="D50" s="387">
        <v>310</v>
      </c>
      <c r="E50" s="498"/>
      <c r="F50" s="498"/>
      <c r="G50" s="498"/>
      <c r="H50" s="498"/>
      <c r="I50" s="498"/>
      <c r="J50" s="498"/>
      <c r="K50" s="385">
        <f t="shared" si="17"/>
        <v>172346.13</v>
      </c>
      <c r="L50" s="386">
        <f t="shared" si="18"/>
        <v>47907.1875</v>
      </c>
      <c r="M50" s="387">
        <f t="shared" si="19"/>
        <v>21216.399999999998</v>
      </c>
      <c r="N50" s="428">
        <v>27.4</v>
      </c>
      <c r="O50" s="396">
        <f t="shared" si="20"/>
        <v>241469.7175</v>
      </c>
      <c r="P50" s="389"/>
      <c r="Q50" s="390">
        <v>189</v>
      </c>
      <c r="R50" s="391">
        <v>0.59</v>
      </c>
      <c r="Y50" s="368">
        <v>43867</v>
      </c>
      <c r="Z50" s="429">
        <v>587</v>
      </c>
      <c r="AA50" s="393">
        <f t="shared" si="14"/>
        <v>2.1150866572983099E-2</v>
      </c>
      <c r="AB50" s="382">
        <f t="shared" si="15"/>
        <v>3645.27</v>
      </c>
      <c r="AC50" s="429">
        <v>25</v>
      </c>
      <c r="AD50" s="430">
        <f t="shared" si="21"/>
        <v>1398.75</v>
      </c>
      <c r="AE50" s="429">
        <v>43.75</v>
      </c>
      <c r="AF50" s="430">
        <f t="shared" si="22"/>
        <v>2447.8125</v>
      </c>
      <c r="AG50" s="426"/>
      <c r="AH50" s="380">
        <f t="shared" ref="AH50:AH73" si="24">$K$40-K50</f>
        <v>4068.9522580644989</v>
      </c>
      <c r="AI50" s="381">
        <f t="shared" ref="AI50:AI73" si="25">$L$40-L50</f>
        <v>6892.227822580644</v>
      </c>
      <c r="AJ50" s="382">
        <f t="shared" si="16"/>
        <v>1611.6516129032279</v>
      </c>
      <c r="AK50" s="394">
        <f t="shared" si="23"/>
        <v>12572.831693548371</v>
      </c>
      <c r="AL50" s="413"/>
    </row>
    <row r="51" spans="1:38">
      <c r="A51" s="368">
        <v>43868</v>
      </c>
      <c r="B51" s="427">
        <v>26949</v>
      </c>
      <c r="C51" s="386">
        <v>893.75</v>
      </c>
      <c r="D51" s="387">
        <v>290</v>
      </c>
      <c r="E51" s="498"/>
      <c r="F51" s="498"/>
      <c r="G51" s="498"/>
      <c r="H51" s="498"/>
      <c r="I51" s="498"/>
      <c r="J51" s="498"/>
      <c r="K51" s="385">
        <f t="shared" si="17"/>
        <v>167353.29</v>
      </c>
      <c r="L51" s="386">
        <f t="shared" si="18"/>
        <v>50005.3125</v>
      </c>
      <c r="M51" s="387">
        <f t="shared" si="19"/>
        <v>19847.599999999999</v>
      </c>
      <c r="N51" s="428">
        <v>26.9</v>
      </c>
      <c r="O51" s="396">
        <f t="shared" si="20"/>
        <v>237206.20250000001</v>
      </c>
      <c r="P51" s="389"/>
      <c r="Q51" s="390">
        <v>177</v>
      </c>
      <c r="R51" s="391">
        <v>0.56000000000000005</v>
      </c>
      <c r="Y51" s="368">
        <v>43868</v>
      </c>
      <c r="Z51" s="429">
        <v>611</v>
      </c>
      <c r="AA51" s="393">
        <f t="shared" si="14"/>
        <v>2.2672455378678243E-2</v>
      </c>
      <c r="AB51" s="382">
        <f t="shared" si="15"/>
        <v>3794.31</v>
      </c>
      <c r="AC51" s="429">
        <v>31.25</v>
      </c>
      <c r="AD51" s="430">
        <f t="shared" si="21"/>
        <v>1748.4375</v>
      </c>
      <c r="AE51" s="429">
        <v>37.5</v>
      </c>
      <c r="AF51" s="430">
        <f t="shared" si="22"/>
        <v>2098.125</v>
      </c>
      <c r="AG51" s="426"/>
      <c r="AH51" s="380">
        <f t="shared" si="24"/>
        <v>9061.7922580644954</v>
      </c>
      <c r="AI51" s="381">
        <f t="shared" si="25"/>
        <v>4794.102822580644</v>
      </c>
      <c r="AJ51" s="382">
        <f t="shared" si="16"/>
        <v>2980.4516129032272</v>
      </c>
      <c r="AK51" s="394">
        <f t="shared" si="23"/>
        <v>16836.346693548367</v>
      </c>
      <c r="AL51" s="413"/>
    </row>
    <row r="52" spans="1:38">
      <c r="A52" s="368">
        <v>43869</v>
      </c>
      <c r="B52" s="427">
        <v>27034</v>
      </c>
      <c r="C52" s="386">
        <v>768.75</v>
      </c>
      <c r="D52" s="387">
        <v>320</v>
      </c>
      <c r="E52" s="498"/>
      <c r="F52" s="498"/>
      <c r="G52" s="498"/>
      <c r="H52" s="498"/>
      <c r="I52" s="498"/>
      <c r="J52" s="498"/>
      <c r="K52" s="385">
        <f t="shared" si="17"/>
        <v>167881.13999999998</v>
      </c>
      <c r="L52" s="386">
        <f t="shared" si="18"/>
        <v>43011.5625</v>
      </c>
      <c r="M52" s="387">
        <f t="shared" si="19"/>
        <v>21900.799999999999</v>
      </c>
      <c r="N52" s="428">
        <v>26.9</v>
      </c>
      <c r="O52" s="396">
        <f t="shared" si="20"/>
        <v>232793.50249999997</v>
      </c>
      <c r="P52" s="389"/>
      <c r="Q52" s="390">
        <v>170</v>
      </c>
      <c r="R52" s="391">
        <v>0.52</v>
      </c>
      <c r="Y52" s="368">
        <v>43869</v>
      </c>
      <c r="Z52" s="429">
        <v>635</v>
      </c>
      <c r="AA52" s="393">
        <f t="shared" si="14"/>
        <v>2.3488939853517792E-2</v>
      </c>
      <c r="AB52" s="382">
        <f t="shared" si="15"/>
        <v>3943.35</v>
      </c>
      <c r="AC52" s="429">
        <v>25</v>
      </c>
      <c r="AD52" s="430">
        <f t="shared" si="21"/>
        <v>1398.75</v>
      </c>
      <c r="AE52" s="429">
        <v>31.25</v>
      </c>
      <c r="AF52" s="430">
        <f t="shared" si="22"/>
        <v>1748.4375</v>
      </c>
      <c r="AG52" s="426"/>
      <c r="AH52" s="380">
        <f t="shared" si="24"/>
        <v>8533.9422580645187</v>
      </c>
      <c r="AI52" s="381">
        <f t="shared" si="25"/>
        <v>11787.852822580644</v>
      </c>
      <c r="AJ52" s="382">
        <f t="shared" si="16"/>
        <v>927.25161290322649</v>
      </c>
      <c r="AK52" s="394">
        <f t="shared" si="23"/>
        <v>21249.046693548389</v>
      </c>
      <c r="AL52" s="413"/>
    </row>
    <row r="53" spans="1:38">
      <c r="A53" s="368">
        <v>43870</v>
      </c>
      <c r="B53" s="427">
        <v>24570</v>
      </c>
      <c r="C53" s="386">
        <v>775</v>
      </c>
      <c r="D53" s="387">
        <v>300</v>
      </c>
      <c r="E53" s="498"/>
      <c r="F53" s="498"/>
      <c r="G53" s="498"/>
      <c r="H53" s="498"/>
      <c r="I53" s="498"/>
      <c r="J53" s="498"/>
      <c r="K53" s="385">
        <f t="shared" si="17"/>
        <v>152579.70000000001</v>
      </c>
      <c r="L53" s="386">
        <f t="shared" si="18"/>
        <v>43361.25</v>
      </c>
      <c r="M53" s="387">
        <f t="shared" si="19"/>
        <v>20532</v>
      </c>
      <c r="N53" s="428">
        <v>26.7</v>
      </c>
      <c r="O53" s="396">
        <f t="shared" si="20"/>
        <v>216472.95</v>
      </c>
      <c r="P53" s="389"/>
      <c r="Q53" s="390">
        <v>171</v>
      </c>
      <c r="R53" s="391">
        <v>0.51</v>
      </c>
      <c r="Y53" s="368">
        <v>43870</v>
      </c>
      <c r="Z53" s="429">
        <v>611</v>
      </c>
      <c r="AA53" s="393">
        <f t="shared" si="14"/>
        <v>2.4867724867724868E-2</v>
      </c>
      <c r="AB53" s="382">
        <f t="shared" si="15"/>
        <v>3794.31</v>
      </c>
      <c r="AC53" s="429">
        <v>31.25</v>
      </c>
      <c r="AD53" s="430">
        <f t="shared" si="21"/>
        <v>1748.4375</v>
      </c>
      <c r="AE53" s="429">
        <v>31.25</v>
      </c>
      <c r="AF53" s="430">
        <f t="shared" si="22"/>
        <v>1748.4375</v>
      </c>
      <c r="AG53" s="426"/>
      <c r="AH53" s="380">
        <f t="shared" si="24"/>
        <v>23835.382258064492</v>
      </c>
      <c r="AI53" s="381">
        <f t="shared" si="25"/>
        <v>11438.165322580644</v>
      </c>
      <c r="AJ53" s="382">
        <f t="shared" si="16"/>
        <v>2296.0516129032258</v>
      </c>
      <c r="AK53" s="394">
        <f t="shared" si="23"/>
        <v>37569.599193548362</v>
      </c>
      <c r="AL53" s="413"/>
    </row>
    <row r="54" spans="1:38">
      <c r="A54" s="368">
        <v>43871</v>
      </c>
      <c r="B54" s="427">
        <v>25702</v>
      </c>
      <c r="C54" s="386">
        <v>743.75</v>
      </c>
      <c r="D54" s="387">
        <v>270</v>
      </c>
      <c r="E54" s="498"/>
      <c r="F54" s="498"/>
      <c r="G54" s="498"/>
      <c r="H54" s="498"/>
      <c r="I54" s="498"/>
      <c r="J54" s="498"/>
      <c r="K54" s="385">
        <f t="shared" si="17"/>
        <v>159609.42000000001</v>
      </c>
      <c r="L54" s="386">
        <f t="shared" si="18"/>
        <v>41612.8125</v>
      </c>
      <c r="M54" s="387">
        <f t="shared" si="19"/>
        <v>18478.8</v>
      </c>
      <c r="N54" s="428">
        <v>26.1</v>
      </c>
      <c r="O54" s="396">
        <f t="shared" si="20"/>
        <v>219701.0325</v>
      </c>
      <c r="P54" s="389"/>
      <c r="Q54" s="390">
        <v>150</v>
      </c>
      <c r="R54" s="391">
        <v>0.47</v>
      </c>
      <c r="Y54" s="368">
        <v>43871</v>
      </c>
      <c r="Z54" s="429">
        <v>508</v>
      </c>
      <c r="AA54" s="393">
        <f t="shared" si="14"/>
        <v>1.976499883277566E-2</v>
      </c>
      <c r="AB54" s="382">
        <f t="shared" si="15"/>
        <v>3154.68</v>
      </c>
      <c r="AC54" s="429">
        <v>25</v>
      </c>
      <c r="AD54" s="430">
        <f t="shared" si="21"/>
        <v>1398.75</v>
      </c>
      <c r="AE54" s="429">
        <v>25</v>
      </c>
      <c r="AF54" s="430">
        <f t="shared" si="22"/>
        <v>1398.75</v>
      </c>
      <c r="AG54" s="426"/>
      <c r="AH54" s="380">
        <f t="shared" si="24"/>
        <v>16805.662258064491</v>
      </c>
      <c r="AI54" s="381">
        <f t="shared" si="25"/>
        <v>13186.602822580644</v>
      </c>
      <c r="AJ54" s="382">
        <f t="shared" si="16"/>
        <v>4349.2516129032265</v>
      </c>
      <c r="AK54" s="394">
        <f>AH54+AI54+AJ54</f>
        <v>34341.516693548358</v>
      </c>
      <c r="AL54" s="413"/>
    </row>
    <row r="55" spans="1:38">
      <c r="A55" s="368">
        <v>43872</v>
      </c>
      <c r="B55" s="427">
        <v>25512</v>
      </c>
      <c r="C55" s="386">
        <v>787.5</v>
      </c>
      <c r="D55" s="387">
        <v>300</v>
      </c>
      <c r="E55" s="498"/>
      <c r="F55" s="498"/>
      <c r="G55" s="498"/>
      <c r="H55" s="498"/>
      <c r="I55" s="498"/>
      <c r="J55" s="498"/>
      <c r="K55" s="385">
        <f t="shared" si="17"/>
        <v>158429.51999999999</v>
      </c>
      <c r="L55" s="386">
        <f t="shared" si="18"/>
        <v>44060.625</v>
      </c>
      <c r="M55" s="387">
        <f t="shared" si="19"/>
        <v>20532</v>
      </c>
      <c r="N55" s="428">
        <v>26.9</v>
      </c>
      <c r="O55" s="396">
        <f t="shared" si="20"/>
        <v>223022.14499999999</v>
      </c>
      <c r="P55" s="389"/>
      <c r="Q55" s="390">
        <v>145</v>
      </c>
      <c r="R55" s="391">
        <v>0.47</v>
      </c>
      <c r="Y55" s="368">
        <v>43872</v>
      </c>
      <c r="Z55" s="429">
        <v>722</v>
      </c>
      <c r="AA55" s="393">
        <f t="shared" si="14"/>
        <v>2.8300407651301349E-2</v>
      </c>
      <c r="AB55" s="382">
        <f t="shared" si="15"/>
        <v>4483.62</v>
      </c>
      <c r="AC55" s="429">
        <v>25</v>
      </c>
      <c r="AD55" s="430">
        <f t="shared" si="21"/>
        <v>1398.75</v>
      </c>
      <c r="AE55" s="429">
        <v>0</v>
      </c>
      <c r="AF55" s="430">
        <f t="shared" si="22"/>
        <v>0</v>
      </c>
      <c r="AG55" s="426"/>
      <c r="AH55" s="380">
        <f t="shared" si="24"/>
        <v>17985.562258064514</v>
      </c>
      <c r="AI55" s="381">
        <f t="shared" si="25"/>
        <v>10738.790322580644</v>
      </c>
      <c r="AJ55" s="382">
        <f t="shared" si="16"/>
        <v>2296.0516129032258</v>
      </c>
      <c r="AK55" s="394">
        <f t="shared" si="23"/>
        <v>31020.404193548384</v>
      </c>
      <c r="AL55" s="413"/>
    </row>
    <row r="56" spans="1:38">
      <c r="A56" s="368">
        <v>43873</v>
      </c>
      <c r="B56" s="427">
        <v>27320</v>
      </c>
      <c r="C56" s="386">
        <v>800</v>
      </c>
      <c r="D56" s="387">
        <v>260</v>
      </c>
      <c r="E56" s="498"/>
      <c r="F56" s="498"/>
      <c r="G56" s="498"/>
      <c r="H56" s="498"/>
      <c r="I56" s="498"/>
      <c r="J56" s="498"/>
      <c r="K56" s="385">
        <f t="shared" si="17"/>
        <v>169657.2</v>
      </c>
      <c r="L56" s="386">
        <f t="shared" si="18"/>
        <v>44760</v>
      </c>
      <c r="M56" s="387">
        <f t="shared" si="19"/>
        <v>17794.399999999998</v>
      </c>
      <c r="N56" s="428">
        <v>27.6</v>
      </c>
      <c r="O56" s="396">
        <f t="shared" si="20"/>
        <v>232211.6</v>
      </c>
      <c r="P56" s="389"/>
      <c r="Q56" s="390">
        <v>160</v>
      </c>
      <c r="R56" s="391">
        <v>0.5</v>
      </c>
      <c r="Y56" s="368">
        <v>43873</v>
      </c>
      <c r="Z56" s="385">
        <v>1305</v>
      </c>
      <c r="AA56" s="393">
        <f t="shared" si="14"/>
        <v>4.7767203513909222E-2</v>
      </c>
      <c r="AB56" s="371">
        <f t="shared" si="15"/>
        <v>8104.05</v>
      </c>
      <c r="AC56" s="385">
        <v>31.25</v>
      </c>
      <c r="AD56" s="387">
        <f t="shared" si="21"/>
        <v>1748.4375</v>
      </c>
      <c r="AE56" s="429">
        <v>0</v>
      </c>
      <c r="AF56" s="430">
        <f t="shared" si="22"/>
        <v>0</v>
      </c>
      <c r="AG56" s="412"/>
      <c r="AH56" s="380">
        <f t="shared" si="24"/>
        <v>6757.8822580644919</v>
      </c>
      <c r="AI56" s="381">
        <f t="shared" si="25"/>
        <v>10039.415322580644</v>
      </c>
      <c r="AJ56" s="382">
        <f t="shared" ref="AJ56:AJ69" si="26">$M$40-M56</f>
        <v>5033.6516129032279</v>
      </c>
      <c r="AK56" s="394">
        <f t="shared" si="23"/>
        <v>21830.949193548364</v>
      </c>
      <c r="AL56" s="413"/>
    </row>
    <row r="57" spans="1:38">
      <c r="A57" s="368">
        <v>43874</v>
      </c>
      <c r="B57" s="427">
        <v>27697</v>
      </c>
      <c r="C57" s="386">
        <v>768.75</v>
      </c>
      <c r="D57" s="387">
        <v>290</v>
      </c>
      <c r="E57" s="498"/>
      <c r="F57" s="498"/>
      <c r="G57" s="498"/>
      <c r="H57" s="498"/>
      <c r="I57" s="498"/>
      <c r="J57" s="498"/>
      <c r="K57" s="385">
        <f t="shared" si="17"/>
        <v>171998.37</v>
      </c>
      <c r="L57" s="386">
        <f t="shared" si="18"/>
        <v>43011.5625</v>
      </c>
      <c r="M57" s="387">
        <f t="shared" si="19"/>
        <v>19847.599999999999</v>
      </c>
      <c r="N57" s="428">
        <v>27.9</v>
      </c>
      <c r="O57" s="396">
        <f t="shared" si="20"/>
        <v>234857.5325</v>
      </c>
      <c r="P57" s="460"/>
      <c r="Q57" s="431">
        <v>192</v>
      </c>
      <c r="R57" s="432">
        <v>0.59</v>
      </c>
      <c r="Y57" s="368">
        <v>43874</v>
      </c>
      <c r="Z57" s="385">
        <v>628</v>
      </c>
      <c r="AA57" s="393">
        <f t="shared" si="14"/>
        <v>2.2673935805321874E-2</v>
      </c>
      <c r="AB57" s="371">
        <f t="shared" si="15"/>
        <v>3899.88</v>
      </c>
      <c r="AC57" s="385">
        <v>25</v>
      </c>
      <c r="AD57" s="387">
        <f t="shared" si="21"/>
        <v>1398.75</v>
      </c>
      <c r="AE57" s="429">
        <v>0</v>
      </c>
      <c r="AF57" s="430">
        <f t="shared" si="22"/>
        <v>0</v>
      </c>
      <c r="AG57" s="412"/>
      <c r="AH57" s="380">
        <f t="shared" si="24"/>
        <v>4416.7122580645082</v>
      </c>
      <c r="AI57" s="381">
        <f t="shared" si="25"/>
        <v>11787.852822580644</v>
      </c>
      <c r="AJ57" s="382">
        <f t="shared" si="26"/>
        <v>2980.4516129032272</v>
      </c>
      <c r="AK57" s="394">
        <f t="shared" si="23"/>
        <v>19185.016693548379</v>
      </c>
      <c r="AL57" s="413"/>
    </row>
    <row r="58" spans="1:38">
      <c r="A58" s="368">
        <v>43875</v>
      </c>
      <c r="B58" s="427">
        <v>29003</v>
      </c>
      <c r="C58" s="386">
        <v>818.75</v>
      </c>
      <c r="D58" s="387">
        <v>270</v>
      </c>
      <c r="E58" s="498"/>
      <c r="F58" s="498"/>
      <c r="G58" s="498"/>
      <c r="H58" s="498"/>
      <c r="I58" s="498"/>
      <c r="J58" s="498"/>
      <c r="K58" s="385">
        <f t="shared" si="17"/>
        <v>180108.63</v>
      </c>
      <c r="L58" s="386">
        <f t="shared" si="18"/>
        <v>45809.0625</v>
      </c>
      <c r="M58" s="387">
        <f t="shared" si="19"/>
        <v>18478.8</v>
      </c>
      <c r="N58" s="428">
        <v>27.1</v>
      </c>
      <c r="O58" s="396">
        <f t="shared" si="20"/>
        <v>244396.49249999999</v>
      </c>
      <c r="P58" s="389"/>
      <c r="Q58" s="390">
        <v>230</v>
      </c>
      <c r="R58" s="391">
        <v>0.65</v>
      </c>
      <c r="Y58" s="368">
        <v>43875</v>
      </c>
      <c r="Z58" s="385">
        <v>650</v>
      </c>
      <c r="AA58" s="393">
        <f t="shared" si="14"/>
        <v>2.2411474675033616E-2</v>
      </c>
      <c r="AB58" s="371">
        <f t="shared" si="15"/>
        <v>4036.5</v>
      </c>
      <c r="AC58" s="385">
        <v>25</v>
      </c>
      <c r="AD58" s="387">
        <f t="shared" si="21"/>
        <v>1398.75</v>
      </c>
      <c r="AE58" s="429">
        <v>31.25</v>
      </c>
      <c r="AF58" s="430">
        <f t="shared" si="22"/>
        <v>1748.4375</v>
      </c>
      <c r="AG58" s="412"/>
      <c r="AH58" s="380">
        <f t="shared" si="24"/>
        <v>-3693.5477419355011</v>
      </c>
      <c r="AI58" s="381">
        <f t="shared" si="25"/>
        <v>8990.352822580644</v>
      </c>
      <c r="AJ58" s="382">
        <f t="shared" si="26"/>
        <v>4349.2516129032265</v>
      </c>
      <c r="AK58" s="394">
        <f t="shared" si="23"/>
        <v>9646.0566935483694</v>
      </c>
      <c r="AL58" s="413"/>
    </row>
    <row r="59" spans="1:38">
      <c r="A59" s="368">
        <v>43876</v>
      </c>
      <c r="B59" s="427">
        <v>27631</v>
      </c>
      <c r="C59" s="386">
        <v>856.25</v>
      </c>
      <c r="D59" s="387">
        <v>270</v>
      </c>
      <c r="E59" s="498"/>
      <c r="F59" s="498"/>
      <c r="G59" s="498"/>
      <c r="H59" s="498"/>
      <c r="I59" s="498"/>
      <c r="J59" s="498"/>
      <c r="K59" s="385">
        <f t="shared" si="17"/>
        <v>171588.51</v>
      </c>
      <c r="L59" s="386">
        <f t="shared" si="18"/>
        <v>47907.1875</v>
      </c>
      <c r="M59" s="387">
        <f t="shared" si="19"/>
        <v>18478.8</v>
      </c>
      <c r="N59" s="428">
        <v>27.5</v>
      </c>
      <c r="O59" s="396">
        <f t="shared" si="20"/>
        <v>237974.4975</v>
      </c>
      <c r="P59" s="389"/>
      <c r="Q59" s="390">
        <v>264</v>
      </c>
      <c r="R59" s="391">
        <v>0.72</v>
      </c>
      <c r="Y59" s="368">
        <v>43876</v>
      </c>
      <c r="Z59" s="385">
        <v>685</v>
      </c>
      <c r="AA59" s="393">
        <f t="shared" si="14"/>
        <v>2.4790995620860626E-2</v>
      </c>
      <c r="AB59" s="371">
        <f t="shared" si="15"/>
        <v>4253.8500000000004</v>
      </c>
      <c r="AC59" s="385">
        <v>31.25</v>
      </c>
      <c r="AD59" s="387">
        <f t="shared" si="21"/>
        <v>1748.4375</v>
      </c>
      <c r="AE59" s="429">
        <v>31.25</v>
      </c>
      <c r="AF59" s="430">
        <f t="shared" si="22"/>
        <v>1748.4375</v>
      </c>
      <c r="AG59" s="412"/>
      <c r="AH59" s="380">
        <f t="shared" si="24"/>
        <v>4826.5722580644942</v>
      </c>
      <c r="AI59" s="381">
        <f t="shared" si="25"/>
        <v>6892.227822580644</v>
      </c>
      <c r="AJ59" s="382">
        <f t="shared" si="26"/>
        <v>4349.2516129032265</v>
      </c>
      <c r="AK59" s="394">
        <f t="shared" si="23"/>
        <v>16068.051693548365</v>
      </c>
      <c r="AL59" s="413"/>
    </row>
    <row r="60" spans="1:38">
      <c r="A60" s="368">
        <v>43877</v>
      </c>
      <c r="B60" s="427">
        <v>29317</v>
      </c>
      <c r="C60" s="386">
        <v>775</v>
      </c>
      <c r="D60" s="387">
        <v>300</v>
      </c>
      <c r="E60" s="498"/>
      <c r="F60" s="498"/>
      <c r="G60" s="498"/>
      <c r="H60" s="498"/>
      <c r="I60" s="498"/>
      <c r="J60" s="498"/>
      <c r="K60" s="385">
        <f t="shared" si="17"/>
        <v>182058.57</v>
      </c>
      <c r="L60" s="386">
        <f t="shared" si="18"/>
        <v>43361.25</v>
      </c>
      <c r="M60" s="387">
        <f t="shared" si="19"/>
        <v>20532</v>
      </c>
      <c r="N60" s="428">
        <v>27.4</v>
      </c>
      <c r="O60" s="396">
        <f t="shared" si="20"/>
        <v>245951.82</v>
      </c>
      <c r="P60" s="389"/>
      <c r="Q60" s="390">
        <v>239</v>
      </c>
      <c r="R60" s="391">
        <v>0.62</v>
      </c>
      <c r="Y60" s="368">
        <v>43877</v>
      </c>
      <c r="Z60" s="385">
        <v>782</v>
      </c>
      <c r="AA60" s="393">
        <f t="shared" si="14"/>
        <v>2.6673943445782309E-2</v>
      </c>
      <c r="AB60" s="371">
        <f t="shared" si="15"/>
        <v>4856.22</v>
      </c>
      <c r="AC60" s="385">
        <v>25</v>
      </c>
      <c r="AD60" s="387">
        <f t="shared" si="21"/>
        <v>1398.75</v>
      </c>
      <c r="AE60" s="429">
        <v>37.5</v>
      </c>
      <c r="AF60" s="430">
        <f t="shared" si="22"/>
        <v>2098.125</v>
      </c>
      <c r="AG60" s="412"/>
      <c r="AH60" s="380">
        <f t="shared" si="24"/>
        <v>-5643.4877419355034</v>
      </c>
      <c r="AI60" s="381">
        <f t="shared" si="25"/>
        <v>11438.165322580644</v>
      </c>
      <c r="AJ60" s="382">
        <f t="shared" si="26"/>
        <v>2296.0516129032258</v>
      </c>
      <c r="AK60" s="394">
        <f t="shared" si="23"/>
        <v>8090.7291935483663</v>
      </c>
      <c r="AL60" s="413"/>
    </row>
    <row r="61" spans="1:38">
      <c r="A61" s="368">
        <v>43878</v>
      </c>
      <c r="B61" s="427">
        <v>27087</v>
      </c>
      <c r="C61" s="386">
        <v>850</v>
      </c>
      <c r="D61" s="387">
        <v>320</v>
      </c>
      <c r="E61" s="498"/>
      <c r="F61" s="498"/>
      <c r="G61" s="498"/>
      <c r="H61" s="498"/>
      <c r="I61" s="498"/>
      <c r="J61" s="498"/>
      <c r="K61" s="385">
        <f t="shared" si="17"/>
        <v>168210.27</v>
      </c>
      <c r="L61" s="386">
        <f t="shared" si="18"/>
        <v>47557.5</v>
      </c>
      <c r="M61" s="387">
        <f t="shared" si="19"/>
        <v>21900.799999999999</v>
      </c>
      <c r="N61" s="428">
        <v>26.4</v>
      </c>
      <c r="O61" s="396">
        <f t="shared" si="20"/>
        <v>237668.56999999998</v>
      </c>
      <c r="P61" s="389"/>
      <c r="Q61" s="390">
        <v>245</v>
      </c>
      <c r="R61" s="391">
        <v>0.62</v>
      </c>
      <c r="Y61" s="368">
        <v>43878</v>
      </c>
      <c r="Z61" s="385">
        <v>461</v>
      </c>
      <c r="AA61" s="393">
        <f t="shared" si="14"/>
        <v>1.7019234319046037E-2</v>
      </c>
      <c r="AB61" s="371">
        <f t="shared" si="15"/>
        <v>2862.81</v>
      </c>
      <c r="AC61" s="385">
        <v>25</v>
      </c>
      <c r="AD61" s="387">
        <f t="shared" si="21"/>
        <v>1398.75</v>
      </c>
      <c r="AE61" s="429">
        <v>31.25</v>
      </c>
      <c r="AF61" s="430">
        <f t="shared" si="22"/>
        <v>1748.4375</v>
      </c>
      <c r="AG61" s="412"/>
      <c r="AH61" s="380">
        <f t="shared" si="24"/>
        <v>8204.812258064514</v>
      </c>
      <c r="AI61" s="381">
        <f t="shared" si="25"/>
        <v>7241.915322580644</v>
      </c>
      <c r="AJ61" s="382">
        <f t="shared" si="26"/>
        <v>927.25161290322649</v>
      </c>
      <c r="AK61" s="394">
        <f t="shared" si="23"/>
        <v>16373.979193548385</v>
      </c>
      <c r="AL61" s="413"/>
    </row>
    <row r="62" spans="1:38">
      <c r="A62" s="368">
        <v>43879</v>
      </c>
      <c r="B62" s="427">
        <v>28769</v>
      </c>
      <c r="C62" s="386">
        <v>962.5</v>
      </c>
      <c r="D62" s="387">
        <v>290</v>
      </c>
      <c r="E62" s="498"/>
      <c r="F62" s="498"/>
      <c r="G62" s="498"/>
      <c r="H62" s="498"/>
      <c r="I62" s="498"/>
      <c r="J62" s="498"/>
      <c r="K62" s="385">
        <f t="shared" si="17"/>
        <v>178655.49</v>
      </c>
      <c r="L62" s="386">
        <f t="shared" si="18"/>
        <v>53851.875</v>
      </c>
      <c r="M62" s="387">
        <f t="shared" si="19"/>
        <v>19847.599999999999</v>
      </c>
      <c r="N62" s="428">
        <v>26.8</v>
      </c>
      <c r="O62" s="396">
        <f t="shared" si="20"/>
        <v>252354.965</v>
      </c>
      <c r="P62" s="389"/>
      <c r="Q62" s="390">
        <v>249</v>
      </c>
      <c r="R62" s="391">
        <v>0.64</v>
      </c>
      <c r="Y62" s="368">
        <v>43879</v>
      </c>
      <c r="Z62" s="385">
        <v>815</v>
      </c>
      <c r="AA62" s="393">
        <f t="shared" si="14"/>
        <v>2.8329104244151693E-2</v>
      </c>
      <c r="AB62" s="371">
        <f t="shared" si="15"/>
        <v>5061.1499999999996</v>
      </c>
      <c r="AC62" s="385">
        <v>37.5</v>
      </c>
      <c r="AD62" s="387">
        <f t="shared" si="21"/>
        <v>2098.125</v>
      </c>
      <c r="AE62" s="429">
        <v>37.5</v>
      </c>
      <c r="AF62" s="430">
        <f t="shared" si="22"/>
        <v>2098.125</v>
      </c>
      <c r="AG62" s="412"/>
      <c r="AH62" s="380">
        <f t="shared" si="24"/>
        <v>-2240.4077419354871</v>
      </c>
      <c r="AI62" s="381">
        <f t="shared" si="25"/>
        <v>947.54032258064399</v>
      </c>
      <c r="AJ62" s="382">
        <f t="shared" si="26"/>
        <v>2980.4516129032272</v>
      </c>
      <c r="AK62" s="394">
        <f t="shared" si="23"/>
        <v>1687.5841935483841</v>
      </c>
      <c r="AL62" s="413"/>
    </row>
    <row r="63" spans="1:38">
      <c r="A63" s="368">
        <v>43880</v>
      </c>
      <c r="B63" s="427">
        <v>28028</v>
      </c>
      <c r="C63" s="386">
        <v>925</v>
      </c>
      <c r="D63" s="387">
        <v>300</v>
      </c>
      <c r="E63" s="498"/>
      <c r="F63" s="498"/>
      <c r="G63" s="498"/>
      <c r="H63" s="498"/>
      <c r="I63" s="498"/>
      <c r="J63" s="498"/>
      <c r="K63" s="385">
        <f t="shared" si="17"/>
        <v>174053.88</v>
      </c>
      <c r="L63" s="386">
        <f t="shared" si="18"/>
        <v>51753.75</v>
      </c>
      <c r="M63" s="387">
        <f t="shared" si="19"/>
        <v>20532</v>
      </c>
      <c r="N63" s="428">
        <v>27.1</v>
      </c>
      <c r="O63" s="396">
        <f t="shared" si="20"/>
        <v>246339.63</v>
      </c>
      <c r="P63" s="389"/>
      <c r="Q63" s="390">
        <v>254</v>
      </c>
      <c r="R63" s="391">
        <v>0.65</v>
      </c>
      <c r="Y63" s="368">
        <v>43880</v>
      </c>
      <c r="Z63" s="385">
        <v>726</v>
      </c>
      <c r="AA63" s="393">
        <f t="shared" si="14"/>
        <v>2.5902668759811617E-2</v>
      </c>
      <c r="AB63" s="371">
        <f t="shared" si="15"/>
        <v>4508.46</v>
      </c>
      <c r="AC63" s="385">
        <v>31.25</v>
      </c>
      <c r="AD63" s="387">
        <f t="shared" si="21"/>
        <v>1748.4375</v>
      </c>
      <c r="AE63" s="429">
        <v>31.25</v>
      </c>
      <c r="AF63" s="430">
        <f t="shared" si="22"/>
        <v>1748.4375</v>
      </c>
      <c r="AG63" s="412"/>
      <c r="AH63" s="380">
        <f t="shared" si="24"/>
        <v>2361.2022580644989</v>
      </c>
      <c r="AI63" s="381">
        <f t="shared" si="25"/>
        <v>3045.665322580644</v>
      </c>
      <c r="AJ63" s="382">
        <f t="shared" si="26"/>
        <v>2296.0516129032258</v>
      </c>
      <c r="AK63" s="394">
        <f t="shared" si="23"/>
        <v>7702.9191935483686</v>
      </c>
      <c r="AL63" s="413"/>
    </row>
    <row r="64" spans="1:38">
      <c r="A64" s="368">
        <v>43881</v>
      </c>
      <c r="B64" s="427">
        <v>27944</v>
      </c>
      <c r="C64" s="386">
        <v>875</v>
      </c>
      <c r="D64" s="387">
        <v>320</v>
      </c>
      <c r="E64" s="498"/>
      <c r="F64" s="498"/>
      <c r="G64" s="498"/>
      <c r="H64" s="498"/>
      <c r="I64" s="498"/>
      <c r="J64" s="498"/>
      <c r="K64" s="385">
        <f t="shared" si="17"/>
        <v>173532.24</v>
      </c>
      <c r="L64" s="386">
        <f t="shared" si="18"/>
        <v>48956.25</v>
      </c>
      <c r="M64" s="387">
        <f t="shared" si="19"/>
        <v>21900.799999999999</v>
      </c>
      <c r="N64" s="428">
        <v>26.9</v>
      </c>
      <c r="O64" s="396">
        <f t="shared" si="20"/>
        <v>244389.28999999998</v>
      </c>
      <c r="P64" s="389"/>
      <c r="Q64" s="390">
        <v>274</v>
      </c>
      <c r="R64" s="395">
        <v>0.68</v>
      </c>
      <c r="Y64" s="368">
        <v>43881</v>
      </c>
      <c r="Z64" s="385">
        <v>563</v>
      </c>
      <c r="AA64" s="393">
        <f t="shared" si="14"/>
        <v>2.0147437732608072E-2</v>
      </c>
      <c r="AB64" s="371">
        <f t="shared" si="15"/>
        <v>3496.23</v>
      </c>
      <c r="AC64" s="385">
        <v>31.25</v>
      </c>
      <c r="AD64" s="387">
        <f t="shared" si="21"/>
        <v>1748.4375</v>
      </c>
      <c r="AE64" s="429">
        <v>31.25</v>
      </c>
      <c r="AF64" s="430">
        <f t="shared" si="22"/>
        <v>1748.4375</v>
      </c>
      <c r="AG64" s="412"/>
      <c r="AH64" s="380">
        <f t="shared" si="24"/>
        <v>2882.8422580645129</v>
      </c>
      <c r="AI64" s="381">
        <f t="shared" si="25"/>
        <v>5843.165322580644</v>
      </c>
      <c r="AJ64" s="382">
        <f t="shared" si="26"/>
        <v>927.25161290322649</v>
      </c>
      <c r="AK64" s="394">
        <f t="shared" si="23"/>
        <v>9653.2591935483833</v>
      </c>
      <c r="AL64" s="413"/>
    </row>
    <row r="65" spans="1:42">
      <c r="A65" s="368">
        <v>43882</v>
      </c>
      <c r="B65" s="427">
        <v>28472</v>
      </c>
      <c r="C65" s="386">
        <v>993.75</v>
      </c>
      <c r="D65" s="387">
        <v>320</v>
      </c>
      <c r="E65" s="498"/>
      <c r="F65" s="498"/>
      <c r="G65" s="498"/>
      <c r="H65" s="498"/>
      <c r="I65" s="498"/>
      <c r="J65" s="498"/>
      <c r="K65" s="385">
        <f t="shared" si="17"/>
        <v>176811.12</v>
      </c>
      <c r="L65" s="386">
        <f t="shared" si="18"/>
        <v>55600.3125</v>
      </c>
      <c r="M65" s="387">
        <f t="shared" si="19"/>
        <v>21900.799999999999</v>
      </c>
      <c r="N65" s="428">
        <v>27</v>
      </c>
      <c r="O65" s="396">
        <f t="shared" si="20"/>
        <v>254312.23249999998</v>
      </c>
      <c r="P65" s="389"/>
      <c r="Q65" s="390">
        <v>277</v>
      </c>
      <c r="R65" s="391">
        <v>0.68</v>
      </c>
      <c r="Y65" s="368">
        <v>43882</v>
      </c>
      <c r="Z65" s="385">
        <v>599</v>
      </c>
      <c r="AA65" s="393">
        <f t="shared" si="14"/>
        <v>2.1038212981174486E-2</v>
      </c>
      <c r="AB65" s="371">
        <f t="shared" si="15"/>
        <v>3719.79</v>
      </c>
      <c r="AC65" s="385">
        <v>43.75</v>
      </c>
      <c r="AD65" s="387">
        <f t="shared" si="21"/>
        <v>2447.8125</v>
      </c>
      <c r="AE65" s="429">
        <v>31.25</v>
      </c>
      <c r="AF65" s="430">
        <f t="shared" si="22"/>
        <v>1748.4375</v>
      </c>
      <c r="AG65" s="412"/>
      <c r="AH65" s="380">
        <f t="shared" si="24"/>
        <v>-396.03774193549179</v>
      </c>
      <c r="AI65" s="381">
        <f t="shared" si="25"/>
        <v>-800.89717741935601</v>
      </c>
      <c r="AJ65" s="382">
        <f t="shared" si="26"/>
        <v>927.25161290322649</v>
      </c>
      <c r="AK65" s="394">
        <f t="shared" si="23"/>
        <v>-269.68330645162132</v>
      </c>
      <c r="AL65" s="413"/>
    </row>
    <row r="66" spans="1:42">
      <c r="A66" s="368">
        <v>43883</v>
      </c>
      <c r="B66" s="427">
        <v>28480</v>
      </c>
      <c r="C66" s="386">
        <v>793.75</v>
      </c>
      <c r="D66" s="387">
        <v>340</v>
      </c>
      <c r="E66" s="498"/>
      <c r="F66" s="498"/>
      <c r="G66" s="498"/>
      <c r="H66" s="498"/>
      <c r="I66" s="498"/>
      <c r="J66" s="498"/>
      <c r="K66" s="385">
        <f t="shared" si="17"/>
        <v>176860.79999999999</v>
      </c>
      <c r="L66" s="386">
        <f t="shared" si="18"/>
        <v>44410.3125</v>
      </c>
      <c r="M66" s="387">
        <f t="shared" si="19"/>
        <v>23269.599999999999</v>
      </c>
      <c r="N66" s="428">
        <v>26.7</v>
      </c>
      <c r="O66" s="396">
        <f t="shared" si="20"/>
        <v>244540.71249999999</v>
      </c>
      <c r="P66" s="389"/>
      <c r="Q66" s="390">
        <v>269</v>
      </c>
      <c r="R66" s="391">
        <v>0.71</v>
      </c>
      <c r="Y66" s="368">
        <v>43883</v>
      </c>
      <c r="Z66" s="385">
        <v>470</v>
      </c>
      <c r="AA66" s="393">
        <f t="shared" si="14"/>
        <v>1.6502808988764044E-2</v>
      </c>
      <c r="AB66" s="371">
        <f t="shared" si="15"/>
        <v>2918.7</v>
      </c>
      <c r="AC66" s="385">
        <v>31.25</v>
      </c>
      <c r="AD66" s="387">
        <f t="shared" si="21"/>
        <v>1748.4375</v>
      </c>
      <c r="AE66" s="429">
        <v>25</v>
      </c>
      <c r="AF66" s="430">
        <f t="shared" si="22"/>
        <v>1398.75</v>
      </c>
      <c r="AG66" s="412"/>
      <c r="AH66" s="380">
        <f t="shared" si="24"/>
        <v>-445.71774193548481</v>
      </c>
      <c r="AI66" s="381">
        <f t="shared" si="25"/>
        <v>10389.102822580644</v>
      </c>
      <c r="AJ66" s="382">
        <f t="shared" si="26"/>
        <v>-441.54838709677279</v>
      </c>
      <c r="AK66" s="394">
        <f t="shared" si="23"/>
        <v>9501.8366935483864</v>
      </c>
      <c r="AL66" s="413"/>
    </row>
    <row r="67" spans="1:42">
      <c r="A67" s="368">
        <v>43884</v>
      </c>
      <c r="B67" s="427">
        <v>28167</v>
      </c>
      <c r="C67" s="386">
        <v>681.25</v>
      </c>
      <c r="D67" s="387">
        <v>330</v>
      </c>
      <c r="E67" s="498"/>
      <c r="F67" s="498"/>
      <c r="G67" s="498"/>
      <c r="H67" s="498"/>
      <c r="I67" s="498"/>
      <c r="J67" s="498"/>
      <c r="K67" s="385">
        <f t="shared" si="17"/>
        <v>174917.07</v>
      </c>
      <c r="L67" s="386">
        <f t="shared" si="18"/>
        <v>38115.9375</v>
      </c>
      <c r="M67" s="387">
        <f t="shared" si="19"/>
        <v>22585.200000000001</v>
      </c>
      <c r="N67" s="428">
        <v>26.3</v>
      </c>
      <c r="O67" s="396">
        <f t="shared" si="20"/>
        <v>235618.20750000002</v>
      </c>
      <c r="P67" s="389"/>
      <c r="Q67" s="390">
        <v>185</v>
      </c>
      <c r="R67" s="391">
        <v>0.56000000000000005</v>
      </c>
      <c r="Y67" s="368">
        <v>43884</v>
      </c>
      <c r="Z67" s="385">
        <v>597</v>
      </c>
      <c r="AA67" s="393">
        <f t="shared" si="14"/>
        <v>2.1195015443604217E-2</v>
      </c>
      <c r="AB67" s="371">
        <f t="shared" si="15"/>
        <v>3707.37</v>
      </c>
      <c r="AC67" s="385">
        <v>31.25</v>
      </c>
      <c r="AD67" s="387">
        <f t="shared" si="21"/>
        <v>1748.4375</v>
      </c>
      <c r="AE67" s="429">
        <v>31.25</v>
      </c>
      <c r="AF67" s="430">
        <f t="shared" si="22"/>
        <v>1748.4375</v>
      </c>
      <c r="AG67" s="412"/>
      <c r="AH67" s="380">
        <f t="shared" si="24"/>
        <v>1498.0122580644966</v>
      </c>
      <c r="AI67" s="381">
        <f t="shared" si="25"/>
        <v>16683.477822580644</v>
      </c>
      <c r="AJ67" s="382">
        <f t="shared" si="26"/>
        <v>242.85161290322503</v>
      </c>
      <c r="AK67" s="394">
        <f t="shared" si="23"/>
        <v>18424.341693548366</v>
      </c>
      <c r="AL67" s="413"/>
    </row>
    <row r="68" spans="1:42">
      <c r="A68" s="368">
        <v>43885</v>
      </c>
      <c r="B68" s="427">
        <v>27839</v>
      </c>
      <c r="C68" s="386">
        <v>900</v>
      </c>
      <c r="D68" s="387">
        <v>350</v>
      </c>
      <c r="E68" s="498"/>
      <c r="F68" s="498"/>
      <c r="G68" s="498"/>
      <c r="H68" s="498"/>
      <c r="I68" s="498"/>
      <c r="J68" s="498"/>
      <c r="K68" s="385">
        <f t="shared" si="17"/>
        <v>172880.19</v>
      </c>
      <c r="L68" s="386">
        <f t="shared" si="18"/>
        <v>50355</v>
      </c>
      <c r="M68" s="387">
        <f t="shared" si="19"/>
        <v>23954</v>
      </c>
      <c r="N68" s="428">
        <v>25.5</v>
      </c>
      <c r="O68" s="396">
        <f t="shared" si="20"/>
        <v>247189.19</v>
      </c>
      <c r="P68" s="389"/>
      <c r="Q68" s="390">
        <v>216</v>
      </c>
      <c r="R68" s="391">
        <v>0.66</v>
      </c>
      <c r="Y68" s="368">
        <v>43885</v>
      </c>
      <c r="Z68" s="385">
        <v>579</v>
      </c>
      <c r="AA68" s="393">
        <f t="shared" si="14"/>
        <v>2.0798160853478933E-2</v>
      </c>
      <c r="AB68" s="371">
        <f t="shared" si="15"/>
        <v>3595.59</v>
      </c>
      <c r="AC68" s="385">
        <v>31.25</v>
      </c>
      <c r="AD68" s="387">
        <f t="shared" si="21"/>
        <v>1748.4375</v>
      </c>
      <c r="AE68" s="429">
        <v>31.25</v>
      </c>
      <c r="AF68" s="387">
        <f t="shared" si="22"/>
        <v>1748.4375</v>
      </c>
      <c r="AG68" s="412"/>
      <c r="AH68" s="380">
        <f t="shared" si="24"/>
        <v>3534.8922580645012</v>
      </c>
      <c r="AI68" s="381">
        <f t="shared" si="25"/>
        <v>4444.415322580644</v>
      </c>
      <c r="AJ68" s="382">
        <f t="shared" si="26"/>
        <v>-1125.9483870967742</v>
      </c>
      <c r="AK68" s="396">
        <f t="shared" si="23"/>
        <v>6853.359193548371</v>
      </c>
      <c r="AL68" s="413"/>
    </row>
    <row r="69" spans="1:42">
      <c r="A69" s="368">
        <v>43886</v>
      </c>
      <c r="B69" s="427">
        <v>28350</v>
      </c>
      <c r="C69" s="386">
        <v>956.25</v>
      </c>
      <c r="D69" s="387">
        <v>370</v>
      </c>
      <c r="E69" s="498"/>
      <c r="F69" s="498"/>
      <c r="G69" s="498"/>
      <c r="H69" s="498"/>
      <c r="I69" s="498"/>
      <c r="J69" s="498"/>
      <c r="K69" s="385">
        <f t="shared" si="17"/>
        <v>176053.5</v>
      </c>
      <c r="L69" s="386">
        <f t="shared" si="18"/>
        <v>53502.1875</v>
      </c>
      <c r="M69" s="387">
        <f t="shared" si="19"/>
        <v>25322.799999999999</v>
      </c>
      <c r="N69" s="428">
        <v>27</v>
      </c>
      <c r="O69" s="396">
        <f t="shared" si="20"/>
        <v>254878.48749999999</v>
      </c>
      <c r="P69" s="460"/>
      <c r="Q69" s="431">
        <v>203</v>
      </c>
      <c r="R69" s="391">
        <v>0.63</v>
      </c>
      <c r="Y69" s="368">
        <v>43886</v>
      </c>
      <c r="Z69" s="385">
        <v>702</v>
      </c>
      <c r="AA69" s="393">
        <f t="shared" si="14"/>
        <v>2.4761904761904763E-2</v>
      </c>
      <c r="AB69" s="371">
        <f t="shared" si="15"/>
        <v>4359.42</v>
      </c>
      <c r="AC69" s="385">
        <v>31.25</v>
      </c>
      <c r="AD69" s="387">
        <f t="shared" si="21"/>
        <v>1748.4375</v>
      </c>
      <c r="AE69" s="429">
        <v>31.25</v>
      </c>
      <c r="AF69" s="387">
        <f t="shared" si="22"/>
        <v>1748.4375</v>
      </c>
      <c r="AG69" s="412"/>
      <c r="AH69" s="380">
        <f t="shared" si="24"/>
        <v>361.58225806450355</v>
      </c>
      <c r="AI69" s="381">
        <f t="shared" si="25"/>
        <v>1297.227822580644</v>
      </c>
      <c r="AJ69" s="382">
        <f t="shared" si="26"/>
        <v>-2494.7483870967735</v>
      </c>
      <c r="AK69" s="396">
        <f t="shared" si="23"/>
        <v>-835.93830645162598</v>
      </c>
      <c r="AL69" s="413"/>
    </row>
    <row r="70" spans="1:42">
      <c r="A70" s="368">
        <v>43887</v>
      </c>
      <c r="B70" s="427">
        <v>27097</v>
      </c>
      <c r="C70" s="386">
        <v>743.75</v>
      </c>
      <c r="D70" s="387">
        <v>300</v>
      </c>
      <c r="E70" s="498"/>
      <c r="F70" s="498"/>
      <c r="G70" s="498"/>
      <c r="H70" s="498"/>
      <c r="I70" s="498"/>
      <c r="J70" s="498"/>
      <c r="K70" s="385">
        <f t="shared" si="17"/>
        <v>168272.37</v>
      </c>
      <c r="L70" s="386">
        <f t="shared" si="18"/>
        <v>41612.8125</v>
      </c>
      <c r="M70" s="387">
        <f t="shared" si="19"/>
        <v>20532</v>
      </c>
      <c r="N70" s="428">
        <v>25.5</v>
      </c>
      <c r="O70" s="396">
        <f t="shared" si="20"/>
        <v>230417.1825</v>
      </c>
      <c r="P70" s="389"/>
      <c r="Q70" s="390">
        <v>197</v>
      </c>
      <c r="R70" s="391">
        <v>0.61</v>
      </c>
      <c r="Y70" s="368">
        <v>43887</v>
      </c>
      <c r="Z70" s="385">
        <v>935</v>
      </c>
      <c r="AA70" s="393">
        <f t="shared" si="14"/>
        <v>3.4505664833745432E-2</v>
      </c>
      <c r="AB70" s="371">
        <f t="shared" si="15"/>
        <v>5806.35</v>
      </c>
      <c r="AC70" s="385">
        <v>31.25</v>
      </c>
      <c r="AD70" s="387">
        <f t="shared" si="21"/>
        <v>1748.4375</v>
      </c>
      <c r="AE70" s="429">
        <v>31.25</v>
      </c>
      <c r="AF70" s="387">
        <f t="shared" si="22"/>
        <v>1748.4375</v>
      </c>
      <c r="AG70" s="412"/>
      <c r="AH70" s="380">
        <f t="shared" si="24"/>
        <v>8142.7122580645082</v>
      </c>
      <c r="AI70" s="381">
        <f t="shared" si="25"/>
        <v>13186.602822580644</v>
      </c>
      <c r="AJ70" s="371"/>
      <c r="AK70" s="396">
        <f t="shared" si="23"/>
        <v>21329.315080645152</v>
      </c>
      <c r="AL70" s="413"/>
    </row>
    <row r="71" spans="1:42">
      <c r="A71" s="368">
        <v>43888</v>
      </c>
      <c r="B71" s="427">
        <v>25523</v>
      </c>
      <c r="C71" s="386">
        <v>993.75</v>
      </c>
      <c r="D71" s="387">
        <v>310</v>
      </c>
      <c r="E71" s="498"/>
      <c r="F71" s="498"/>
      <c r="G71" s="498"/>
      <c r="H71" s="498"/>
      <c r="I71" s="498"/>
      <c r="J71" s="498"/>
      <c r="K71" s="385">
        <f t="shared" si="17"/>
        <v>158497.82999999999</v>
      </c>
      <c r="L71" s="386">
        <f t="shared" si="18"/>
        <v>55600.3125</v>
      </c>
      <c r="M71" s="387">
        <f t="shared" si="19"/>
        <v>21216.399999999998</v>
      </c>
      <c r="N71" s="428">
        <v>25.5</v>
      </c>
      <c r="O71" s="396">
        <f t="shared" si="20"/>
        <v>235314.54249999998</v>
      </c>
      <c r="P71" s="389"/>
      <c r="Q71" s="390">
        <v>171</v>
      </c>
      <c r="R71" s="391">
        <v>0.53</v>
      </c>
      <c r="Y71" s="368">
        <v>43888</v>
      </c>
      <c r="Z71" s="385">
        <v>576</v>
      </c>
      <c r="AA71" s="393">
        <f t="shared" si="14"/>
        <v>2.2567879951416368E-2</v>
      </c>
      <c r="AB71" s="371">
        <f t="shared" si="15"/>
        <v>3576.96</v>
      </c>
      <c r="AC71" s="385">
        <v>37.5</v>
      </c>
      <c r="AD71" s="387">
        <f t="shared" si="21"/>
        <v>2098.125</v>
      </c>
      <c r="AE71" s="429">
        <v>37.5</v>
      </c>
      <c r="AF71" s="387">
        <f t="shared" si="22"/>
        <v>2098.125</v>
      </c>
      <c r="AG71" s="412"/>
      <c r="AH71" s="380">
        <f t="shared" si="24"/>
        <v>17917.252258064516</v>
      </c>
      <c r="AI71" s="381">
        <f t="shared" si="25"/>
        <v>-800.89717741935601</v>
      </c>
      <c r="AJ71" s="371"/>
      <c r="AK71" s="396">
        <f t="shared" si="23"/>
        <v>17116.35508064516</v>
      </c>
      <c r="AL71" s="413"/>
    </row>
    <row r="72" spans="1:42">
      <c r="A72" s="368">
        <v>43889</v>
      </c>
      <c r="B72" s="427">
        <v>27164</v>
      </c>
      <c r="C72" s="386">
        <v>862.5</v>
      </c>
      <c r="D72" s="387">
        <v>270</v>
      </c>
      <c r="E72" s="498"/>
      <c r="F72" s="498"/>
      <c r="G72" s="498"/>
      <c r="H72" s="498"/>
      <c r="I72" s="498"/>
      <c r="J72" s="498"/>
      <c r="K72" s="385">
        <f t="shared" si="17"/>
        <v>168688.44</v>
      </c>
      <c r="L72" s="386">
        <f t="shared" si="18"/>
        <v>48256.875</v>
      </c>
      <c r="M72" s="387">
        <f t="shared" si="19"/>
        <v>18478.8</v>
      </c>
      <c r="N72" s="428">
        <v>28</v>
      </c>
      <c r="O72" s="396">
        <f t="shared" si="20"/>
        <v>235424.11499999999</v>
      </c>
      <c r="P72" s="389"/>
      <c r="Q72" s="390">
        <v>162</v>
      </c>
      <c r="R72" s="391">
        <v>0.47</v>
      </c>
      <c r="Y72" s="368">
        <v>43889</v>
      </c>
      <c r="Z72" s="385">
        <v>1006</v>
      </c>
      <c r="AA72" s="393">
        <f t="shared" si="14"/>
        <v>3.7034310116330439E-2</v>
      </c>
      <c r="AB72" s="371">
        <f t="shared" si="15"/>
        <v>6247.26</v>
      </c>
      <c r="AC72" s="385">
        <v>31.25</v>
      </c>
      <c r="AD72" s="387">
        <f t="shared" si="21"/>
        <v>1748.4375</v>
      </c>
      <c r="AE72" s="429">
        <v>25</v>
      </c>
      <c r="AF72" s="387">
        <f t="shared" si="22"/>
        <v>1398.75</v>
      </c>
      <c r="AG72" s="412"/>
      <c r="AH72" s="380">
        <f t="shared" si="24"/>
        <v>7726.6422580645012</v>
      </c>
      <c r="AI72" s="381">
        <f t="shared" si="25"/>
        <v>6542.540322580644</v>
      </c>
      <c r="AJ72" s="371"/>
      <c r="AK72" s="396">
        <f t="shared" si="23"/>
        <v>14269.182580645145</v>
      </c>
      <c r="AL72" s="413"/>
    </row>
    <row r="73" spans="1:42">
      <c r="A73" s="368">
        <v>43890</v>
      </c>
      <c r="B73" s="427">
        <v>24304</v>
      </c>
      <c r="C73" s="386">
        <v>1006.25</v>
      </c>
      <c r="D73" s="387">
        <v>290</v>
      </c>
      <c r="E73" s="498"/>
      <c r="F73" s="498"/>
      <c r="G73" s="498"/>
      <c r="H73" s="498"/>
      <c r="I73" s="498"/>
      <c r="J73" s="498"/>
      <c r="K73" s="385">
        <f t="shared" si="17"/>
        <v>150927.84</v>
      </c>
      <c r="L73" s="386">
        <f t="shared" si="18"/>
        <v>56299.6875</v>
      </c>
      <c r="M73" s="387">
        <f t="shared" si="19"/>
        <v>19847.599999999999</v>
      </c>
      <c r="N73" s="428">
        <v>28</v>
      </c>
      <c r="O73" s="396">
        <f t="shared" si="20"/>
        <v>227075.1275</v>
      </c>
      <c r="P73" s="389"/>
      <c r="Q73" s="390">
        <v>158</v>
      </c>
      <c r="R73" s="391">
        <v>0.46</v>
      </c>
      <c r="Y73" s="368">
        <v>43890</v>
      </c>
      <c r="Z73" s="385">
        <v>639</v>
      </c>
      <c r="AA73" s="393">
        <f t="shared" si="14"/>
        <v>2.6291968400263332E-2</v>
      </c>
      <c r="AB73" s="371">
        <f t="shared" si="15"/>
        <v>3968.19</v>
      </c>
      <c r="AC73" s="385">
        <v>31.25</v>
      </c>
      <c r="AD73" s="387">
        <f t="shared" si="21"/>
        <v>1748.4375</v>
      </c>
      <c r="AE73" s="429">
        <v>37.5</v>
      </c>
      <c r="AF73" s="387">
        <f t="shared" si="22"/>
        <v>2098.125</v>
      </c>
      <c r="AG73" s="412"/>
      <c r="AH73" s="380">
        <f t="shared" si="24"/>
        <v>25487.242258064507</v>
      </c>
      <c r="AI73" s="381">
        <f t="shared" si="25"/>
        <v>-1500.272177419356</v>
      </c>
      <c r="AJ73" s="371"/>
      <c r="AK73" s="396">
        <f t="shared" si="23"/>
        <v>23986.970080645151</v>
      </c>
      <c r="AL73" s="413"/>
    </row>
    <row r="74" spans="1:42">
      <c r="A74" s="409" t="s">
        <v>161</v>
      </c>
      <c r="B74" s="410">
        <f>SUM(B45:B73)</f>
        <v>798100</v>
      </c>
      <c r="C74" s="410">
        <f>SUM(C43:C73)</f>
        <v>24575</v>
      </c>
      <c r="D74" s="410">
        <f>SUM(D45:D73)</f>
        <v>8770</v>
      </c>
      <c r="E74" s="410"/>
      <c r="F74" s="410"/>
      <c r="G74" s="410"/>
      <c r="H74" s="410"/>
      <c r="I74" s="410"/>
      <c r="J74" s="410"/>
      <c r="K74" s="410">
        <f>SUM(K45:K73)</f>
        <v>4956201</v>
      </c>
      <c r="L74" s="410">
        <f>SUM(L45:L73)</f>
        <v>1374971.25</v>
      </c>
      <c r="M74" s="410">
        <f>SUM(M45:M73)</f>
        <v>600218.79999999993</v>
      </c>
      <c r="N74" s="410"/>
      <c r="O74" s="410">
        <f>SUM(O43:O73)</f>
        <v>6931391.0500000017</v>
      </c>
      <c r="P74" s="410"/>
      <c r="Q74" s="410"/>
      <c r="Y74" s="409" t="s">
        <v>161</v>
      </c>
      <c r="Z74" s="410">
        <f>SUM(Z45:Z73)</f>
        <v>23902</v>
      </c>
      <c r="AA74" s="410"/>
      <c r="AB74" s="410">
        <f>SUM(AB45:AB73)</f>
        <v>148431.41999999998</v>
      </c>
      <c r="AC74" s="410">
        <f>SUM(AC45:AC73)</f>
        <v>856.25</v>
      </c>
      <c r="AD74" s="410">
        <f>SUM(AD45:AD73)</f>
        <v>47907.1875</v>
      </c>
      <c r="AE74" s="410">
        <f>SUM(AE45:AE73)</f>
        <v>906.25</v>
      </c>
      <c r="AF74" s="410">
        <f>SUM(AF45:AF73)</f>
        <v>50704.6875</v>
      </c>
      <c r="AG74" s="412"/>
      <c r="AH74" s="397">
        <f>SUM(AH45:AH73)</f>
        <v>159836.3854838706</v>
      </c>
      <c r="AI74" s="397">
        <f>SUM(AI45:AI73)</f>
        <v>214211.79435483852</v>
      </c>
      <c r="AJ74" s="397">
        <f>SUM(AJ45:AJ73)</f>
        <v>50557.290322580651</v>
      </c>
      <c r="AK74" s="397">
        <f>SUM(AK45:AK73)</f>
        <v>424605.47016129002</v>
      </c>
      <c r="AL74" s="812" t="s">
        <v>164</v>
      </c>
      <c r="AM74" s="813"/>
      <c r="AN74" s="813"/>
      <c r="AO74" s="813"/>
      <c r="AP74" s="813"/>
    </row>
    <row r="75" spans="1:42">
      <c r="A75" s="706"/>
      <c r="B75" s="411"/>
      <c r="C75" s="411"/>
      <c r="D75" s="411"/>
      <c r="E75" s="411"/>
      <c r="F75" s="411"/>
      <c r="G75" s="411"/>
      <c r="H75" s="411"/>
      <c r="I75" s="411"/>
      <c r="J75" s="411"/>
      <c r="K75" s="411"/>
      <c r="L75" s="411"/>
      <c r="M75" s="411"/>
      <c r="N75" s="411"/>
      <c r="O75" s="411"/>
      <c r="P75" s="411"/>
      <c r="Y75" s="706"/>
      <c r="Z75" s="411"/>
      <c r="AA75" s="411"/>
      <c r="AB75" s="411"/>
      <c r="AC75" s="411"/>
      <c r="AD75" s="411"/>
      <c r="AE75" s="411"/>
      <c r="AF75" s="411"/>
    </row>
    <row r="77" spans="1:42">
      <c r="A77" s="706"/>
      <c r="B77" s="799" t="s">
        <v>145</v>
      </c>
      <c r="C77" s="800"/>
      <c r="D77" s="801"/>
      <c r="E77" s="697"/>
      <c r="F77" s="697"/>
      <c r="G77" s="697"/>
      <c r="H77" s="697"/>
      <c r="I77" s="697"/>
      <c r="J77" s="697"/>
      <c r="K77" s="799" t="s">
        <v>146</v>
      </c>
      <c r="L77" s="800"/>
      <c r="M77" s="801"/>
      <c r="N77" s="787" t="s">
        <v>147</v>
      </c>
      <c r="O77" s="802" t="s">
        <v>162</v>
      </c>
      <c r="P77" s="698"/>
      <c r="Q77" s="776" t="s">
        <v>149</v>
      </c>
      <c r="R77" s="776" t="s">
        <v>150</v>
      </c>
      <c r="Y77" s="706"/>
      <c r="Z77" s="805" t="s">
        <v>151</v>
      </c>
      <c r="AA77" s="790"/>
      <c r="AB77" s="809"/>
      <c r="AC77" s="805" t="s">
        <v>152</v>
      </c>
      <c r="AD77" s="806"/>
      <c r="AE77" s="805" t="s">
        <v>153</v>
      </c>
      <c r="AF77" s="806"/>
    </row>
    <row r="78" spans="1:42">
      <c r="B78" s="363" t="s">
        <v>156</v>
      </c>
      <c r="C78" s="364" t="s">
        <v>157</v>
      </c>
      <c r="D78" s="365" t="s">
        <v>158</v>
      </c>
      <c r="E78" s="366"/>
      <c r="F78" s="366"/>
      <c r="G78" s="366"/>
      <c r="H78" s="366"/>
      <c r="I78" s="366"/>
      <c r="J78" s="366"/>
      <c r="K78" s="363" t="s">
        <v>156</v>
      </c>
      <c r="L78" s="364" t="s">
        <v>157</v>
      </c>
      <c r="M78" s="365" t="s">
        <v>158</v>
      </c>
      <c r="N78" s="788"/>
      <c r="O78" s="803"/>
      <c r="P78" s="705"/>
      <c r="Q78" s="810"/>
      <c r="R78" s="810"/>
      <c r="Z78" s="363" t="s">
        <v>145</v>
      </c>
      <c r="AA78" s="366"/>
      <c r="AB78" s="367" t="s">
        <v>160</v>
      </c>
      <c r="AC78" s="363" t="s">
        <v>145</v>
      </c>
      <c r="AD78" s="365" t="s">
        <v>160</v>
      </c>
      <c r="AE78" s="363" t="s">
        <v>145</v>
      </c>
      <c r="AF78" s="365" t="s">
        <v>160</v>
      </c>
    </row>
    <row r="79" spans="1:42">
      <c r="A79" s="414" t="s">
        <v>163</v>
      </c>
      <c r="B79" s="415">
        <f t="shared" ref="B79:M79" si="27">B74/29</f>
        <v>27520.689655172413</v>
      </c>
      <c r="C79" s="416">
        <f t="shared" si="27"/>
        <v>847.41379310344826</v>
      </c>
      <c r="D79" s="417">
        <f t="shared" si="27"/>
        <v>302.41379310344826</v>
      </c>
      <c r="E79" s="420"/>
      <c r="F79" s="420"/>
      <c r="G79" s="420"/>
      <c r="H79" s="420"/>
      <c r="I79" s="420"/>
      <c r="J79" s="420"/>
      <c r="K79" s="415">
        <f t="shared" si="27"/>
        <v>170903.4827586207</v>
      </c>
      <c r="L79" s="416">
        <f t="shared" si="27"/>
        <v>47412.801724137928</v>
      </c>
      <c r="M79" s="417">
        <f t="shared" si="27"/>
        <v>20697.199999999997</v>
      </c>
      <c r="N79" s="418">
        <f>AVERAGE(N43:N73)</f>
        <v>26.92068965517241</v>
      </c>
      <c r="O79" s="418">
        <f>O74/29</f>
        <v>239013.48448275868</v>
      </c>
      <c r="P79" s="418"/>
      <c r="Q79" s="418">
        <f>AVERAGE(Q43:Q73)</f>
        <v>203</v>
      </c>
      <c r="R79" s="419">
        <f>AVERAGE(R43:R73)</f>
        <v>0.59034482758620688</v>
      </c>
      <c r="Y79" s="414" t="s">
        <v>163</v>
      </c>
      <c r="Z79" s="415">
        <f>Z74/31</f>
        <v>771.0322580645161</v>
      </c>
      <c r="AA79" s="420"/>
      <c r="AB79" s="417">
        <f>AB74/31</f>
        <v>4788.1103225806446</v>
      </c>
      <c r="AC79" s="415">
        <f>AC74/31</f>
        <v>27.620967741935484</v>
      </c>
      <c r="AD79" s="417">
        <f>AD74/31</f>
        <v>1545.3931451612902</v>
      </c>
      <c r="AE79" s="415">
        <f>AE74/31</f>
        <v>29.233870967741936</v>
      </c>
      <c r="AF79" s="417">
        <f>AF74/31</f>
        <v>1635.6350806451612</v>
      </c>
    </row>
    <row r="82" spans="1:38" ht="29.1">
      <c r="A82" s="815" t="s">
        <v>14</v>
      </c>
      <c r="B82" s="815" t="s">
        <v>145</v>
      </c>
      <c r="C82" s="815"/>
      <c r="D82" s="815"/>
      <c r="E82" s="699"/>
      <c r="F82" s="699"/>
      <c r="G82" s="699"/>
      <c r="H82" s="699"/>
      <c r="I82" s="699"/>
      <c r="J82" s="699"/>
      <c r="K82" s="815" t="s">
        <v>146</v>
      </c>
      <c r="L82" s="815"/>
      <c r="M82" s="815"/>
      <c r="N82" s="815" t="s">
        <v>147</v>
      </c>
      <c r="O82" s="816" t="s">
        <v>148</v>
      </c>
      <c r="P82" s="700"/>
      <c r="Q82" s="700" t="s">
        <v>149</v>
      </c>
      <c r="R82" s="700" t="s">
        <v>150</v>
      </c>
      <c r="S82" s="811" t="s">
        <v>165</v>
      </c>
      <c r="T82" s="707"/>
      <c r="U82" s="707"/>
      <c r="V82" s="707"/>
      <c r="W82" s="707"/>
      <c r="Y82" s="807" t="s">
        <v>14</v>
      </c>
      <c r="Z82" s="805" t="s">
        <v>151</v>
      </c>
      <c r="AA82" s="790"/>
      <c r="AB82" s="809"/>
      <c r="AC82" s="805" t="s">
        <v>152</v>
      </c>
      <c r="AD82" s="806"/>
      <c r="AE82" s="805" t="s">
        <v>153</v>
      </c>
      <c r="AF82" s="806"/>
      <c r="AG82" s="412"/>
      <c r="AH82" s="799" t="s">
        <v>154</v>
      </c>
      <c r="AI82" s="800"/>
      <c r="AJ82" s="801"/>
      <c r="AK82" s="802" t="s">
        <v>155</v>
      </c>
      <c r="AL82" s="802" t="s">
        <v>166</v>
      </c>
    </row>
    <row r="83" spans="1:38">
      <c r="A83" s="815"/>
      <c r="B83" s="699" t="s">
        <v>156</v>
      </c>
      <c r="C83" s="699" t="s">
        <v>157</v>
      </c>
      <c r="D83" s="699" t="s">
        <v>158</v>
      </c>
      <c r="E83" s="699"/>
      <c r="F83" s="699"/>
      <c r="G83" s="699"/>
      <c r="H83" s="699"/>
      <c r="I83" s="699"/>
      <c r="J83" s="699"/>
      <c r="K83" s="699" t="s">
        <v>156</v>
      </c>
      <c r="L83" s="699" t="s">
        <v>157</v>
      </c>
      <c r="M83" s="699" t="s">
        <v>158</v>
      </c>
      <c r="N83" s="815"/>
      <c r="O83" s="816"/>
      <c r="P83" s="700"/>
      <c r="Q83" s="700"/>
      <c r="R83" s="700"/>
      <c r="S83" s="811"/>
      <c r="T83" s="707"/>
      <c r="U83" s="707"/>
      <c r="V83" s="707"/>
      <c r="W83" s="707"/>
      <c r="Y83" s="808"/>
      <c r="Z83" s="363" t="s">
        <v>145</v>
      </c>
      <c r="AA83" s="366" t="s">
        <v>159</v>
      </c>
      <c r="AB83" s="367" t="s">
        <v>160</v>
      </c>
      <c r="AC83" s="363" t="s">
        <v>145</v>
      </c>
      <c r="AD83" s="365" t="s">
        <v>160</v>
      </c>
      <c r="AE83" s="363" t="s">
        <v>145</v>
      </c>
      <c r="AF83" s="365" t="s">
        <v>160</v>
      </c>
      <c r="AG83" s="412"/>
      <c r="AH83" s="363" t="s">
        <v>156</v>
      </c>
      <c r="AI83" s="364" t="s">
        <v>157</v>
      </c>
      <c r="AJ83" s="365" t="s">
        <v>158</v>
      </c>
      <c r="AK83" s="803"/>
      <c r="AL83" s="803"/>
    </row>
    <row r="84" spans="1:38">
      <c r="A84" s="433">
        <v>43891</v>
      </c>
      <c r="B84" s="434">
        <v>27611</v>
      </c>
      <c r="C84" s="386">
        <v>912.5</v>
      </c>
      <c r="D84" s="386">
        <v>270</v>
      </c>
      <c r="E84" s="386"/>
      <c r="F84" s="386"/>
      <c r="G84" s="386"/>
      <c r="H84" s="386"/>
      <c r="I84" s="386"/>
      <c r="J84" s="386"/>
      <c r="K84" s="386">
        <f t="shared" ref="K84:K114" si="28">B84*6.21</f>
        <v>171464.31</v>
      </c>
      <c r="L84" s="386">
        <f t="shared" ref="L84:L114" si="29">C84*55.95</f>
        <v>51054.375</v>
      </c>
      <c r="M84" s="386">
        <f t="shared" ref="M84:M114" si="30" xml:space="preserve"> (D84-(S84*25))*34+S84*2500</f>
        <v>19080</v>
      </c>
      <c r="N84" s="435">
        <v>26.5</v>
      </c>
      <c r="O84" s="436">
        <f t="shared" ref="O84:O114" si="31">K84+L84+M84</f>
        <v>241598.685</v>
      </c>
      <c r="P84" s="436"/>
      <c r="Q84" s="437">
        <v>145</v>
      </c>
      <c r="R84" s="438">
        <v>0.41349999999999998</v>
      </c>
      <c r="S84" s="439">
        <v>6</v>
      </c>
      <c r="T84" s="458"/>
      <c r="U84" s="458"/>
      <c r="V84" s="458"/>
      <c r="W84" s="458"/>
      <c r="Y84" s="368">
        <v>43891</v>
      </c>
      <c r="Z84" s="429">
        <v>735</v>
      </c>
      <c r="AA84" s="393">
        <f t="shared" ref="AA84:AA114" si="32">Z84/B84</f>
        <v>2.6619825431893087E-2</v>
      </c>
      <c r="AB84" s="382">
        <f t="shared" ref="AB84:AB113" si="33">Z84*6.21</f>
        <v>4564.3500000000004</v>
      </c>
      <c r="AC84" s="429">
        <v>87.5</v>
      </c>
      <c r="AD84" s="430">
        <f t="shared" ref="AD84:AD113" si="34">AC84*55.95</f>
        <v>4895.625</v>
      </c>
      <c r="AE84" s="429">
        <v>31.25</v>
      </c>
      <c r="AF84" s="430">
        <f t="shared" ref="AF84:AF113" si="35">AE84*55.95</f>
        <v>1748.4375</v>
      </c>
      <c r="AG84" s="426"/>
      <c r="AH84" s="380">
        <f>$K$40-K84</f>
        <v>4950.7722580645059</v>
      </c>
      <c r="AI84" s="381">
        <f>$L$40-L84</f>
        <v>3745.040322580644</v>
      </c>
      <c r="AJ84" s="382">
        <f t="shared" ref="AJ84:AJ93" si="36">$M$40-M84</f>
        <v>3748.0516129032258</v>
      </c>
      <c r="AK84" s="394">
        <f t="shared" ref="AK84:AK91" si="37">AH84+AI84+AJ84</f>
        <v>12443.864193548376</v>
      </c>
      <c r="AL84" s="440">
        <v>0</v>
      </c>
    </row>
    <row r="85" spans="1:38">
      <c r="A85" s="433">
        <v>43892</v>
      </c>
      <c r="B85" s="434">
        <v>27589</v>
      </c>
      <c r="C85" s="386">
        <v>937.5</v>
      </c>
      <c r="D85" s="386">
        <v>260</v>
      </c>
      <c r="E85" s="386"/>
      <c r="F85" s="386"/>
      <c r="G85" s="386"/>
      <c r="H85" s="386"/>
      <c r="I85" s="386"/>
      <c r="J85" s="386"/>
      <c r="K85" s="386">
        <f t="shared" si="28"/>
        <v>171327.69</v>
      </c>
      <c r="L85" s="386">
        <f t="shared" si="29"/>
        <v>52453.125</v>
      </c>
      <c r="M85" s="386">
        <f t="shared" si="30"/>
        <v>18740</v>
      </c>
      <c r="N85" s="435">
        <v>27.5</v>
      </c>
      <c r="O85" s="436">
        <f t="shared" si="31"/>
        <v>242520.815</v>
      </c>
      <c r="P85" s="436"/>
      <c r="Q85" s="437">
        <v>139</v>
      </c>
      <c r="R85" s="438">
        <v>0.41349999999999998</v>
      </c>
      <c r="S85" s="439">
        <v>6</v>
      </c>
      <c r="T85" s="458"/>
      <c r="U85" s="458"/>
      <c r="V85" s="458"/>
      <c r="W85" s="458"/>
      <c r="Y85" s="368">
        <v>43892</v>
      </c>
      <c r="Z85" s="429">
        <v>879</v>
      </c>
      <c r="AA85" s="393">
        <f t="shared" si="32"/>
        <v>3.1860524121932653E-2</v>
      </c>
      <c r="AB85" s="382">
        <f t="shared" si="33"/>
        <v>5458.59</v>
      </c>
      <c r="AC85" s="429">
        <v>68.75</v>
      </c>
      <c r="AD85" s="430">
        <f t="shared" si="34"/>
        <v>3846.5625</v>
      </c>
      <c r="AE85" s="429">
        <v>37.5</v>
      </c>
      <c r="AF85" s="430">
        <f t="shared" si="35"/>
        <v>2098.125</v>
      </c>
      <c r="AG85" s="426"/>
      <c r="AH85" s="380">
        <f>$K$40-K85</f>
        <v>5087.3922580645012</v>
      </c>
      <c r="AI85" s="381">
        <f>$L$40-L85</f>
        <v>2346.290322580644</v>
      </c>
      <c r="AJ85" s="382">
        <f t="shared" si="36"/>
        <v>4088.0516129032258</v>
      </c>
      <c r="AK85" s="394">
        <f t="shared" si="37"/>
        <v>11521.734193548371</v>
      </c>
      <c r="AL85" s="440">
        <v>10</v>
      </c>
    </row>
    <row r="86" spans="1:38">
      <c r="A86" s="433">
        <v>43893</v>
      </c>
      <c r="B86" s="434">
        <v>25508</v>
      </c>
      <c r="C86" s="386">
        <v>675</v>
      </c>
      <c r="D86" s="386">
        <v>250</v>
      </c>
      <c r="E86" s="386"/>
      <c r="F86" s="386"/>
      <c r="G86" s="386"/>
      <c r="H86" s="386"/>
      <c r="I86" s="386"/>
      <c r="J86" s="386"/>
      <c r="K86" s="386">
        <f t="shared" si="28"/>
        <v>158404.68</v>
      </c>
      <c r="L86" s="386">
        <f t="shared" si="29"/>
        <v>37766.25</v>
      </c>
      <c r="M86" s="386">
        <f t="shared" si="30"/>
        <v>18400</v>
      </c>
      <c r="N86" s="435">
        <v>27.5</v>
      </c>
      <c r="O86" s="436">
        <f t="shared" si="31"/>
        <v>214570.93</v>
      </c>
      <c r="P86" s="436"/>
      <c r="Q86" s="437">
        <v>147</v>
      </c>
      <c r="R86" s="438">
        <v>0.43609999999999999</v>
      </c>
      <c r="S86" s="439">
        <v>6</v>
      </c>
      <c r="T86" s="458"/>
      <c r="U86" s="458"/>
      <c r="V86" s="458"/>
      <c r="W86" s="458"/>
      <c r="Y86" s="368">
        <v>43893</v>
      </c>
      <c r="Z86" s="429">
        <v>574</v>
      </c>
      <c r="AA86" s="393">
        <f t="shared" si="32"/>
        <v>2.2502744237102086E-2</v>
      </c>
      <c r="AB86" s="382">
        <f t="shared" si="33"/>
        <v>3564.54</v>
      </c>
      <c r="AC86" s="429">
        <v>62.5</v>
      </c>
      <c r="AD86" s="430">
        <f t="shared" si="34"/>
        <v>3496.875</v>
      </c>
      <c r="AE86" s="429">
        <v>31.25</v>
      </c>
      <c r="AF86" s="430">
        <f t="shared" si="35"/>
        <v>1748.4375</v>
      </c>
      <c r="AG86" s="426"/>
      <c r="AH86" s="380">
        <f>$K$40-K86</f>
        <v>18010.402258064511</v>
      </c>
      <c r="AI86" s="381">
        <f>$L$40-L86</f>
        <v>17033.165322580644</v>
      </c>
      <c r="AJ86" s="382">
        <f t="shared" si="36"/>
        <v>4428.0516129032258</v>
      </c>
      <c r="AK86" s="394">
        <f t="shared" si="37"/>
        <v>39471.61919354838</v>
      </c>
      <c r="AL86" s="440">
        <v>6</v>
      </c>
    </row>
    <row r="87" spans="1:38">
      <c r="A87" s="433">
        <v>43894</v>
      </c>
      <c r="B87" s="434">
        <v>27693</v>
      </c>
      <c r="C87" s="386">
        <v>800</v>
      </c>
      <c r="D87" s="386">
        <v>270</v>
      </c>
      <c r="E87" s="386"/>
      <c r="F87" s="386"/>
      <c r="G87" s="386"/>
      <c r="H87" s="386"/>
      <c r="I87" s="386"/>
      <c r="J87" s="386"/>
      <c r="K87" s="386">
        <f t="shared" si="28"/>
        <v>171973.53</v>
      </c>
      <c r="L87" s="386">
        <f t="shared" si="29"/>
        <v>44760</v>
      </c>
      <c r="M87" s="386">
        <f t="shared" si="30"/>
        <v>15780</v>
      </c>
      <c r="N87" s="435">
        <v>27.5</v>
      </c>
      <c r="O87" s="436">
        <f t="shared" si="31"/>
        <v>232513.53</v>
      </c>
      <c r="P87" s="436"/>
      <c r="Q87" s="437">
        <v>159</v>
      </c>
      <c r="R87" s="438">
        <v>0.47370000000000001</v>
      </c>
      <c r="S87" s="439">
        <v>4</v>
      </c>
      <c r="T87" s="458"/>
      <c r="U87" s="458"/>
      <c r="V87" s="458"/>
      <c r="W87" s="458"/>
      <c r="Y87" s="368">
        <v>43894</v>
      </c>
      <c r="Z87" s="429">
        <v>589</v>
      </c>
      <c r="AA87" s="393">
        <f t="shared" si="32"/>
        <v>2.1268912721626405E-2</v>
      </c>
      <c r="AB87" s="382">
        <f t="shared" si="33"/>
        <v>3657.69</v>
      </c>
      <c r="AC87" s="429">
        <v>56.25</v>
      </c>
      <c r="AD87" s="430">
        <f t="shared" si="34"/>
        <v>3147.1875</v>
      </c>
      <c r="AE87" s="429">
        <v>31.25</v>
      </c>
      <c r="AF87" s="430">
        <f t="shared" si="35"/>
        <v>1748.4375</v>
      </c>
      <c r="AG87" s="426"/>
      <c r="AH87" s="380">
        <f>$K$40-K87</f>
        <v>4441.5522580645047</v>
      </c>
      <c r="AI87" s="381">
        <f>$L$40-L87</f>
        <v>10039.415322580644</v>
      </c>
      <c r="AJ87" s="382">
        <f t="shared" si="36"/>
        <v>7048.0516129032258</v>
      </c>
      <c r="AK87" s="394">
        <f t="shared" si="37"/>
        <v>21529.019193548374</v>
      </c>
      <c r="AL87" s="440">
        <v>5</v>
      </c>
    </row>
    <row r="88" spans="1:38">
      <c r="A88" s="433">
        <v>43895</v>
      </c>
      <c r="B88" s="434">
        <v>27619</v>
      </c>
      <c r="C88" s="386">
        <v>781.25</v>
      </c>
      <c r="D88" s="386">
        <v>260</v>
      </c>
      <c r="E88" s="386"/>
      <c r="F88" s="386"/>
      <c r="G88" s="386"/>
      <c r="H88" s="386"/>
      <c r="I88" s="386"/>
      <c r="J88" s="386"/>
      <c r="K88" s="386">
        <f t="shared" si="28"/>
        <v>171513.99</v>
      </c>
      <c r="L88" s="386">
        <f t="shared" si="29"/>
        <v>43710.9375</v>
      </c>
      <c r="M88" s="386">
        <f t="shared" si="30"/>
        <v>10490</v>
      </c>
      <c r="N88" s="435">
        <v>28</v>
      </c>
      <c r="O88" s="436">
        <f t="shared" si="31"/>
        <v>225714.92749999999</v>
      </c>
      <c r="P88" s="436"/>
      <c r="Q88" s="437">
        <v>152</v>
      </c>
      <c r="R88" s="438">
        <v>0.4662</v>
      </c>
      <c r="S88" s="439">
        <v>1</v>
      </c>
      <c r="T88" s="458"/>
      <c r="U88" s="458"/>
      <c r="V88" s="458"/>
      <c r="W88" s="458"/>
      <c r="Y88" s="368">
        <v>43895</v>
      </c>
      <c r="Z88" s="429">
        <v>659</v>
      </c>
      <c r="AA88" s="393">
        <f t="shared" si="32"/>
        <v>2.3860385966182701E-2</v>
      </c>
      <c r="AB88" s="382">
        <f t="shared" si="33"/>
        <v>4092.39</v>
      </c>
      <c r="AC88" s="429">
        <v>62.5</v>
      </c>
      <c r="AD88" s="430">
        <f t="shared" si="34"/>
        <v>3496.875</v>
      </c>
      <c r="AE88" s="429">
        <v>31.25</v>
      </c>
      <c r="AF88" s="430">
        <f t="shared" si="35"/>
        <v>1748.4375</v>
      </c>
      <c r="AG88" s="426"/>
      <c r="AH88" s="380">
        <f t="shared" ref="AH88:AH114" si="38">$K$40-K88</f>
        <v>4901.0922580645129</v>
      </c>
      <c r="AI88" s="381">
        <f t="shared" ref="AI88:AI114" si="39">$L$40-L88</f>
        <v>11088.477822580644</v>
      </c>
      <c r="AJ88" s="382">
        <f t="shared" si="36"/>
        <v>12338.051612903226</v>
      </c>
      <c r="AK88" s="394">
        <f t="shared" si="37"/>
        <v>28327.621693548383</v>
      </c>
      <c r="AL88" s="440">
        <v>0</v>
      </c>
    </row>
    <row r="89" spans="1:38">
      <c r="A89" s="433">
        <v>43896</v>
      </c>
      <c r="B89" s="434">
        <v>27538</v>
      </c>
      <c r="C89" s="386">
        <v>731.25</v>
      </c>
      <c r="D89" s="386">
        <v>260</v>
      </c>
      <c r="E89" s="386"/>
      <c r="F89" s="386"/>
      <c r="G89" s="386"/>
      <c r="H89" s="386"/>
      <c r="I89" s="386"/>
      <c r="J89" s="386"/>
      <c r="K89" s="386">
        <f t="shared" si="28"/>
        <v>171010.98</v>
      </c>
      <c r="L89" s="386">
        <f t="shared" si="29"/>
        <v>40913.4375</v>
      </c>
      <c r="M89" s="386">
        <f t="shared" si="30"/>
        <v>22040</v>
      </c>
      <c r="N89" s="435">
        <v>27.5</v>
      </c>
      <c r="O89" s="436">
        <f t="shared" si="31"/>
        <v>233964.41750000001</v>
      </c>
      <c r="P89" s="436"/>
      <c r="Q89" s="437">
        <v>132</v>
      </c>
      <c r="R89" s="438">
        <v>0.41349999999999998</v>
      </c>
      <c r="S89" s="439">
        <v>8</v>
      </c>
      <c r="T89" s="458"/>
      <c r="U89" s="458"/>
      <c r="V89" s="458"/>
      <c r="W89" s="458"/>
      <c r="Y89" s="368">
        <v>43896</v>
      </c>
      <c r="Z89" s="429">
        <v>665</v>
      </c>
      <c r="AA89" s="393">
        <f t="shared" si="32"/>
        <v>2.4148449415353331E-2</v>
      </c>
      <c r="AB89" s="382">
        <f t="shared" si="33"/>
        <v>4129.6499999999996</v>
      </c>
      <c r="AC89" s="429">
        <v>56.25</v>
      </c>
      <c r="AD89" s="430">
        <f t="shared" si="34"/>
        <v>3147.1875</v>
      </c>
      <c r="AE89" s="429">
        <v>31.25</v>
      </c>
      <c r="AF89" s="430">
        <f t="shared" si="35"/>
        <v>1748.4375</v>
      </c>
      <c r="AG89" s="426"/>
      <c r="AH89" s="380">
        <f t="shared" si="38"/>
        <v>5404.1022580644931</v>
      </c>
      <c r="AI89" s="381">
        <f t="shared" si="39"/>
        <v>13885.977822580644</v>
      </c>
      <c r="AJ89" s="382">
        <f t="shared" si="36"/>
        <v>788.05161290322576</v>
      </c>
      <c r="AK89" s="394">
        <f t="shared" si="37"/>
        <v>20078.131693548363</v>
      </c>
      <c r="AL89" s="440">
        <v>12</v>
      </c>
    </row>
    <row r="90" spans="1:38">
      <c r="A90" s="433">
        <v>43897</v>
      </c>
      <c r="B90" s="434">
        <v>25344</v>
      </c>
      <c r="C90" s="386">
        <v>750</v>
      </c>
      <c r="D90" s="386">
        <v>230</v>
      </c>
      <c r="E90" s="386"/>
      <c r="F90" s="386"/>
      <c r="G90" s="386"/>
      <c r="H90" s="386"/>
      <c r="I90" s="386"/>
      <c r="J90" s="386"/>
      <c r="K90" s="386">
        <f t="shared" si="28"/>
        <v>157386.23999999999</v>
      </c>
      <c r="L90" s="386">
        <f t="shared" si="29"/>
        <v>41962.5</v>
      </c>
      <c r="M90" s="386">
        <f t="shared" si="30"/>
        <v>14420</v>
      </c>
      <c r="N90" s="435">
        <v>27</v>
      </c>
      <c r="O90" s="436">
        <f t="shared" si="31"/>
        <v>213768.74</v>
      </c>
      <c r="P90" s="436"/>
      <c r="Q90" s="437">
        <v>114</v>
      </c>
      <c r="R90" s="438">
        <v>0.34589999999999999</v>
      </c>
      <c r="S90" s="439">
        <v>4</v>
      </c>
      <c r="T90" s="458"/>
      <c r="U90" s="458"/>
      <c r="V90" s="458"/>
      <c r="W90" s="458"/>
      <c r="Y90" s="368">
        <v>43897</v>
      </c>
      <c r="Z90" s="429">
        <v>527</v>
      </c>
      <c r="AA90" s="393">
        <f t="shared" si="32"/>
        <v>2.0793876262626264E-2</v>
      </c>
      <c r="AB90" s="382">
        <f t="shared" si="33"/>
        <v>3272.67</v>
      </c>
      <c r="AC90" s="429">
        <v>50</v>
      </c>
      <c r="AD90" s="430">
        <f t="shared" si="34"/>
        <v>2797.5</v>
      </c>
      <c r="AE90" s="429">
        <v>18.75</v>
      </c>
      <c r="AF90" s="430">
        <f t="shared" si="35"/>
        <v>1049.0625</v>
      </c>
      <c r="AG90" s="426"/>
      <c r="AH90" s="380">
        <f t="shared" si="38"/>
        <v>19028.842258064513</v>
      </c>
      <c r="AI90" s="381">
        <f t="shared" si="39"/>
        <v>12836.915322580644</v>
      </c>
      <c r="AJ90" s="382">
        <f t="shared" si="36"/>
        <v>8408.0516129032258</v>
      </c>
      <c r="AK90" s="394">
        <f t="shared" si="37"/>
        <v>40273.809193548383</v>
      </c>
      <c r="AL90" s="440">
        <v>0</v>
      </c>
    </row>
    <row r="91" spans="1:38">
      <c r="A91" s="433">
        <v>43898</v>
      </c>
      <c r="B91" s="434">
        <v>22854</v>
      </c>
      <c r="C91" s="386">
        <v>787.5</v>
      </c>
      <c r="D91" s="386">
        <v>210</v>
      </c>
      <c r="E91" s="386"/>
      <c r="F91" s="386"/>
      <c r="G91" s="386"/>
      <c r="H91" s="386"/>
      <c r="I91" s="386"/>
      <c r="J91" s="386"/>
      <c r="K91" s="386">
        <f t="shared" si="28"/>
        <v>141923.34</v>
      </c>
      <c r="L91" s="386">
        <f t="shared" si="29"/>
        <v>44060.625</v>
      </c>
      <c r="M91" s="386">
        <f t="shared" si="30"/>
        <v>7140</v>
      </c>
      <c r="N91" s="435">
        <v>25.5</v>
      </c>
      <c r="O91" s="436">
        <f t="shared" si="31"/>
        <v>193123.965</v>
      </c>
      <c r="P91" s="436"/>
      <c r="Q91" s="437">
        <v>116</v>
      </c>
      <c r="R91" s="438">
        <v>0.33079999999999998</v>
      </c>
      <c r="S91" s="439">
        <v>0</v>
      </c>
      <c r="T91" s="458"/>
      <c r="U91" s="458"/>
      <c r="V91" s="458"/>
      <c r="W91" s="458"/>
      <c r="Y91" s="368">
        <v>43898</v>
      </c>
      <c r="Z91" s="429">
        <v>575</v>
      </c>
      <c r="AA91" s="393">
        <f t="shared" si="32"/>
        <v>2.5159709460050757E-2</v>
      </c>
      <c r="AB91" s="382">
        <f t="shared" si="33"/>
        <v>3570.75</v>
      </c>
      <c r="AC91" s="429">
        <v>50</v>
      </c>
      <c r="AD91" s="430">
        <f t="shared" si="34"/>
        <v>2797.5</v>
      </c>
      <c r="AE91" s="429">
        <v>37.5</v>
      </c>
      <c r="AF91" s="430">
        <f t="shared" si="35"/>
        <v>2098.125</v>
      </c>
      <c r="AG91" s="426"/>
      <c r="AH91" s="380">
        <f t="shared" si="38"/>
        <v>34491.742258064507</v>
      </c>
      <c r="AI91" s="381">
        <f t="shared" si="39"/>
        <v>10738.790322580644</v>
      </c>
      <c r="AJ91" s="382">
        <f t="shared" si="36"/>
        <v>15688.051612903226</v>
      </c>
      <c r="AK91" s="394">
        <f t="shared" si="37"/>
        <v>60918.584193548377</v>
      </c>
      <c r="AL91" s="440">
        <v>0</v>
      </c>
    </row>
    <row r="92" spans="1:38">
      <c r="A92" s="433">
        <v>43899</v>
      </c>
      <c r="B92" s="434">
        <v>22501</v>
      </c>
      <c r="C92" s="386">
        <v>775</v>
      </c>
      <c r="D92" s="386">
        <v>240</v>
      </c>
      <c r="E92" s="386"/>
      <c r="F92" s="386"/>
      <c r="G92" s="386"/>
      <c r="H92" s="386"/>
      <c r="I92" s="386"/>
      <c r="J92" s="386"/>
      <c r="K92" s="386">
        <f t="shared" si="28"/>
        <v>139731.21</v>
      </c>
      <c r="L92" s="386">
        <f t="shared" si="29"/>
        <v>43361.25</v>
      </c>
      <c r="M92" s="386">
        <f t="shared" si="30"/>
        <v>13110</v>
      </c>
      <c r="N92" s="435">
        <v>27</v>
      </c>
      <c r="O92" s="436">
        <f t="shared" si="31"/>
        <v>196202.46</v>
      </c>
      <c r="P92" s="436"/>
      <c r="Q92" s="437">
        <v>113</v>
      </c>
      <c r="R92" s="438">
        <v>0.30830000000000002</v>
      </c>
      <c r="S92" s="439">
        <v>3</v>
      </c>
      <c r="T92" s="458"/>
      <c r="U92" s="458"/>
      <c r="V92" s="458"/>
      <c r="W92" s="458"/>
      <c r="Y92" s="368">
        <v>43899</v>
      </c>
      <c r="Z92" s="429">
        <v>532</v>
      </c>
      <c r="AA92" s="393">
        <f t="shared" si="32"/>
        <v>2.3643393626949914E-2</v>
      </c>
      <c r="AB92" s="382">
        <f t="shared" si="33"/>
        <v>3303.72</v>
      </c>
      <c r="AC92" s="429">
        <v>62.5</v>
      </c>
      <c r="AD92" s="430">
        <f t="shared" si="34"/>
        <v>3496.875</v>
      </c>
      <c r="AE92" s="429">
        <v>37.5</v>
      </c>
      <c r="AF92" s="430">
        <f t="shared" si="35"/>
        <v>2098.125</v>
      </c>
      <c r="AG92" s="426"/>
      <c r="AH92" s="380">
        <f t="shared" si="38"/>
        <v>36683.872258064512</v>
      </c>
      <c r="AI92" s="381">
        <f t="shared" si="39"/>
        <v>11438.165322580644</v>
      </c>
      <c r="AJ92" s="382">
        <f t="shared" si="36"/>
        <v>9718.0516129032258</v>
      </c>
      <c r="AK92" s="394">
        <f>AH92+AI92+AJ92</f>
        <v>57840.089193548381</v>
      </c>
      <c r="AL92" s="440">
        <v>5</v>
      </c>
    </row>
    <row r="93" spans="1:38">
      <c r="A93" s="433">
        <v>43900</v>
      </c>
      <c r="B93" s="434">
        <v>22947</v>
      </c>
      <c r="C93" s="386">
        <v>743.75</v>
      </c>
      <c r="D93" s="386">
        <v>290</v>
      </c>
      <c r="E93" s="386"/>
      <c r="F93" s="386"/>
      <c r="G93" s="386"/>
      <c r="H93" s="386"/>
      <c r="I93" s="386"/>
      <c r="J93" s="386"/>
      <c r="K93" s="386">
        <f t="shared" si="28"/>
        <v>142500.87</v>
      </c>
      <c r="L93" s="386">
        <f t="shared" si="29"/>
        <v>41612.8125</v>
      </c>
      <c r="M93" s="386">
        <f t="shared" si="30"/>
        <v>19760</v>
      </c>
      <c r="N93" s="435">
        <v>27.5</v>
      </c>
      <c r="O93" s="436">
        <f t="shared" si="31"/>
        <v>203873.6825</v>
      </c>
      <c r="P93" s="436"/>
      <c r="Q93" s="437">
        <v>107</v>
      </c>
      <c r="R93" s="438">
        <v>0.30830000000000002</v>
      </c>
      <c r="S93" s="439">
        <v>6</v>
      </c>
      <c r="T93" s="458"/>
      <c r="U93" s="458"/>
      <c r="V93" s="458"/>
      <c r="W93" s="458"/>
      <c r="Y93" s="368">
        <v>43900</v>
      </c>
      <c r="Z93" s="429">
        <v>526</v>
      </c>
      <c r="AA93" s="393">
        <f t="shared" si="32"/>
        <v>2.2922386368588486E-2</v>
      </c>
      <c r="AB93" s="382">
        <f t="shared" si="33"/>
        <v>3266.46</v>
      </c>
      <c r="AC93" s="429">
        <v>62.5</v>
      </c>
      <c r="AD93" s="430">
        <f t="shared" si="34"/>
        <v>3496.875</v>
      </c>
      <c r="AE93" s="429">
        <v>31.25</v>
      </c>
      <c r="AF93" s="430">
        <f t="shared" si="35"/>
        <v>1748.4375</v>
      </c>
      <c r="AG93" s="426"/>
      <c r="AH93" s="380">
        <f t="shared" si="38"/>
        <v>33914.212258064508</v>
      </c>
      <c r="AI93" s="381">
        <f t="shared" si="39"/>
        <v>13186.602822580644</v>
      </c>
      <c r="AJ93" s="382">
        <f t="shared" si="36"/>
        <v>3068.0516129032258</v>
      </c>
      <c r="AK93" s="394">
        <f t="shared" ref="AK93:AK114" si="40">AH93+AI93+AJ93</f>
        <v>50168.866693548378</v>
      </c>
      <c r="AL93" s="440">
        <v>5</v>
      </c>
    </row>
    <row r="94" spans="1:38">
      <c r="A94" s="433">
        <v>43901</v>
      </c>
      <c r="B94" s="434">
        <v>23588</v>
      </c>
      <c r="C94" s="386">
        <v>737.5</v>
      </c>
      <c r="D94" s="386">
        <v>260</v>
      </c>
      <c r="E94" s="386"/>
      <c r="F94" s="386"/>
      <c r="G94" s="386"/>
      <c r="H94" s="386"/>
      <c r="I94" s="386"/>
      <c r="J94" s="386"/>
      <c r="K94" s="386">
        <f t="shared" si="28"/>
        <v>146481.48000000001</v>
      </c>
      <c r="L94" s="386">
        <f t="shared" si="29"/>
        <v>41263.125</v>
      </c>
      <c r="M94" s="386">
        <f t="shared" si="30"/>
        <v>15440</v>
      </c>
      <c r="N94" s="435">
        <v>27</v>
      </c>
      <c r="O94" s="436">
        <f t="shared" si="31"/>
        <v>203184.60500000001</v>
      </c>
      <c r="P94" s="436"/>
      <c r="Q94" s="437">
        <v>104</v>
      </c>
      <c r="R94" s="438">
        <v>0.29320000000000002</v>
      </c>
      <c r="S94" s="439">
        <v>4</v>
      </c>
      <c r="T94" s="458"/>
      <c r="U94" s="458"/>
      <c r="V94" s="458"/>
      <c r="W94" s="458"/>
      <c r="Y94" s="368">
        <v>43901</v>
      </c>
      <c r="Z94" s="385">
        <v>690</v>
      </c>
      <c r="AA94" s="393">
        <f t="shared" si="32"/>
        <v>2.9252162116330336E-2</v>
      </c>
      <c r="AB94" s="371">
        <f t="shared" si="33"/>
        <v>4284.8999999999996</v>
      </c>
      <c r="AC94" s="385">
        <v>43.75</v>
      </c>
      <c r="AD94" s="387">
        <f t="shared" si="34"/>
        <v>2447.8125</v>
      </c>
      <c r="AE94" s="429">
        <v>37.5</v>
      </c>
      <c r="AF94" s="430">
        <f t="shared" si="35"/>
        <v>2098.125</v>
      </c>
      <c r="AG94" s="412"/>
      <c r="AH94" s="380">
        <f t="shared" si="38"/>
        <v>29933.602258064493</v>
      </c>
      <c r="AI94" s="381">
        <f t="shared" si="39"/>
        <v>13536.290322580644</v>
      </c>
      <c r="AJ94" s="382">
        <f t="shared" ref="AJ94:AJ114" si="41">$M$40-M94</f>
        <v>7388.0516129032258</v>
      </c>
      <c r="AK94" s="394">
        <f t="shared" si="40"/>
        <v>50857.944193548363</v>
      </c>
      <c r="AL94" s="440">
        <v>9</v>
      </c>
    </row>
    <row r="95" spans="1:38">
      <c r="A95" s="433">
        <v>43902</v>
      </c>
      <c r="B95" s="434">
        <v>22972</v>
      </c>
      <c r="C95" s="386">
        <v>750</v>
      </c>
      <c r="D95" s="386">
        <v>200</v>
      </c>
      <c r="E95" s="386"/>
      <c r="F95" s="386"/>
      <c r="G95" s="386"/>
      <c r="H95" s="386"/>
      <c r="I95" s="386"/>
      <c r="J95" s="386"/>
      <c r="K95" s="386">
        <f t="shared" si="28"/>
        <v>142656.12</v>
      </c>
      <c r="L95" s="386">
        <f t="shared" si="29"/>
        <v>41962.5</v>
      </c>
      <c r="M95" s="386">
        <f t="shared" si="30"/>
        <v>13400</v>
      </c>
      <c r="N95" s="435">
        <v>25.5</v>
      </c>
      <c r="O95" s="436">
        <f t="shared" si="31"/>
        <v>198018.62</v>
      </c>
      <c r="P95" s="436"/>
      <c r="Q95" s="437">
        <v>114</v>
      </c>
      <c r="R95" s="438">
        <v>0.33079999999999998</v>
      </c>
      <c r="S95" s="439">
        <v>4</v>
      </c>
      <c r="T95" s="458"/>
      <c r="U95" s="458"/>
      <c r="V95" s="458"/>
      <c r="W95" s="458"/>
      <c r="Y95" s="368">
        <v>43902</v>
      </c>
      <c r="Z95" s="385">
        <v>482</v>
      </c>
      <c r="AA95" s="393">
        <f t="shared" si="32"/>
        <v>2.0982065122758142E-2</v>
      </c>
      <c r="AB95" s="371">
        <f t="shared" si="33"/>
        <v>2993.22</v>
      </c>
      <c r="AC95" s="385">
        <v>56.25</v>
      </c>
      <c r="AD95" s="387">
        <f t="shared" si="34"/>
        <v>3147.1875</v>
      </c>
      <c r="AE95" s="429">
        <v>25</v>
      </c>
      <c r="AF95" s="430">
        <f t="shared" si="35"/>
        <v>1398.75</v>
      </c>
      <c r="AG95" s="412"/>
      <c r="AH95" s="380">
        <f t="shared" si="38"/>
        <v>33758.962258064508</v>
      </c>
      <c r="AI95" s="381">
        <f t="shared" si="39"/>
        <v>12836.915322580644</v>
      </c>
      <c r="AJ95" s="382">
        <f t="shared" si="41"/>
        <v>9428.0516129032258</v>
      </c>
      <c r="AK95" s="394">
        <f t="shared" si="40"/>
        <v>56023.929193548378</v>
      </c>
      <c r="AL95" s="440">
        <v>0</v>
      </c>
    </row>
    <row r="96" spans="1:38">
      <c r="A96" s="433">
        <v>43903</v>
      </c>
      <c r="B96" s="434">
        <v>20096</v>
      </c>
      <c r="C96" s="386">
        <v>787.5</v>
      </c>
      <c r="D96" s="386">
        <v>200</v>
      </c>
      <c r="E96" s="386"/>
      <c r="F96" s="386"/>
      <c r="G96" s="386"/>
      <c r="H96" s="386"/>
      <c r="I96" s="386"/>
      <c r="J96" s="386"/>
      <c r="K96" s="386">
        <f t="shared" si="28"/>
        <v>124796.16</v>
      </c>
      <c r="L96" s="386">
        <f t="shared" si="29"/>
        <v>44060.625</v>
      </c>
      <c r="M96" s="386">
        <f t="shared" si="30"/>
        <v>8450</v>
      </c>
      <c r="N96" s="435"/>
      <c r="O96" s="436">
        <f t="shared" si="31"/>
        <v>177306.785</v>
      </c>
      <c r="P96" s="436"/>
      <c r="Q96" s="437">
        <v>96</v>
      </c>
      <c r="R96" s="438">
        <v>0.2782</v>
      </c>
      <c r="S96" s="439">
        <v>1</v>
      </c>
      <c r="T96" s="458"/>
      <c r="U96" s="458"/>
      <c r="V96" s="458"/>
      <c r="W96" s="458"/>
      <c r="Y96" s="368">
        <v>43903</v>
      </c>
      <c r="Z96" s="385">
        <v>474</v>
      </c>
      <c r="AA96" s="393">
        <f t="shared" si="32"/>
        <v>2.3586783439490448E-2</v>
      </c>
      <c r="AB96" s="371">
        <f t="shared" si="33"/>
        <v>2943.54</v>
      </c>
      <c r="AC96" s="385">
        <v>56.25</v>
      </c>
      <c r="AD96" s="387">
        <f t="shared" si="34"/>
        <v>3147.1875</v>
      </c>
      <c r="AE96" s="429">
        <v>43.75</v>
      </c>
      <c r="AF96" s="430">
        <f t="shared" si="35"/>
        <v>2447.8125</v>
      </c>
      <c r="AG96" s="412"/>
      <c r="AH96" s="380">
        <f t="shared" si="38"/>
        <v>51618.9222580645</v>
      </c>
      <c r="AI96" s="381">
        <f t="shared" si="39"/>
        <v>10738.790322580644</v>
      </c>
      <c r="AJ96" s="382">
        <f t="shared" si="41"/>
        <v>14378.051612903226</v>
      </c>
      <c r="AK96" s="394">
        <f t="shared" si="40"/>
        <v>76735.76419354837</v>
      </c>
      <c r="AL96" s="440">
        <v>0</v>
      </c>
    </row>
    <row r="97" spans="1:38">
      <c r="A97" s="433">
        <v>43904</v>
      </c>
      <c r="B97" s="434">
        <v>20405</v>
      </c>
      <c r="C97" s="386">
        <v>812.5</v>
      </c>
      <c r="D97" s="386">
        <v>220</v>
      </c>
      <c r="E97" s="386"/>
      <c r="F97" s="386"/>
      <c r="G97" s="386"/>
      <c r="H97" s="386"/>
      <c r="I97" s="386"/>
      <c r="J97" s="386"/>
      <c r="K97" s="386">
        <f t="shared" si="28"/>
        <v>126715.05</v>
      </c>
      <c r="L97" s="386">
        <f t="shared" si="29"/>
        <v>45459.375</v>
      </c>
      <c r="M97" s="386">
        <f t="shared" si="30"/>
        <v>7480</v>
      </c>
      <c r="N97" s="435"/>
      <c r="O97" s="436">
        <f t="shared" si="31"/>
        <v>179654.42499999999</v>
      </c>
      <c r="P97" s="436"/>
      <c r="Q97" s="437">
        <v>78</v>
      </c>
      <c r="R97" s="438">
        <v>0.20300000000000001</v>
      </c>
      <c r="S97" s="439">
        <v>0</v>
      </c>
      <c r="T97" s="458"/>
      <c r="U97" s="458"/>
      <c r="V97" s="458"/>
      <c r="W97" s="458"/>
      <c r="Y97" s="368">
        <v>43904</v>
      </c>
      <c r="Z97" s="385">
        <v>558</v>
      </c>
      <c r="AA97" s="393">
        <f t="shared" si="32"/>
        <v>2.7346238666993383E-2</v>
      </c>
      <c r="AB97" s="371">
        <f t="shared" si="33"/>
        <v>3465.18</v>
      </c>
      <c r="AC97" s="385">
        <v>68.75</v>
      </c>
      <c r="AD97" s="387">
        <f t="shared" si="34"/>
        <v>3846.5625</v>
      </c>
      <c r="AE97" s="429">
        <v>31.25</v>
      </c>
      <c r="AF97" s="430">
        <f t="shared" si="35"/>
        <v>1748.4375</v>
      </c>
      <c r="AG97" s="412"/>
      <c r="AH97" s="380">
        <f t="shared" si="38"/>
        <v>49700.032258064501</v>
      </c>
      <c r="AI97" s="381">
        <f t="shared" si="39"/>
        <v>9340.040322580644</v>
      </c>
      <c r="AJ97" s="382">
        <f t="shared" si="41"/>
        <v>15348.051612903226</v>
      </c>
      <c r="AK97" s="394">
        <f t="shared" si="40"/>
        <v>74388.12419354837</v>
      </c>
      <c r="AL97" s="440">
        <v>0</v>
      </c>
    </row>
    <row r="98" spans="1:38">
      <c r="A98" s="433">
        <v>43905</v>
      </c>
      <c r="B98" s="434">
        <v>21058</v>
      </c>
      <c r="C98" s="386">
        <v>712.5</v>
      </c>
      <c r="D98" s="386">
        <v>200</v>
      </c>
      <c r="E98" s="386"/>
      <c r="F98" s="386"/>
      <c r="G98" s="386"/>
      <c r="H98" s="386"/>
      <c r="I98" s="386"/>
      <c r="J98" s="386"/>
      <c r="K98" s="386">
        <f t="shared" si="28"/>
        <v>130770.18</v>
      </c>
      <c r="L98" s="386">
        <f t="shared" si="29"/>
        <v>39864.375</v>
      </c>
      <c r="M98" s="386">
        <f t="shared" si="30"/>
        <v>20000</v>
      </c>
      <c r="N98" s="435"/>
      <c r="O98" s="436">
        <f t="shared" si="31"/>
        <v>190634.55499999999</v>
      </c>
      <c r="P98" s="436"/>
      <c r="Q98" s="437">
        <v>63</v>
      </c>
      <c r="R98" s="438">
        <v>0.16539999999999999</v>
      </c>
      <c r="S98" s="439">
        <v>8</v>
      </c>
      <c r="T98" s="458"/>
      <c r="U98" s="458"/>
      <c r="V98" s="458"/>
      <c r="W98" s="458"/>
      <c r="Y98" s="368">
        <v>43905</v>
      </c>
      <c r="Z98" s="385">
        <v>510</v>
      </c>
      <c r="AA98" s="393">
        <f t="shared" si="32"/>
        <v>2.4218824199829042E-2</v>
      </c>
      <c r="AB98" s="371">
        <f t="shared" si="33"/>
        <v>3167.1</v>
      </c>
      <c r="AC98" s="385">
        <v>50</v>
      </c>
      <c r="AD98" s="387">
        <f t="shared" si="34"/>
        <v>2797.5</v>
      </c>
      <c r="AE98" s="429">
        <v>37.5</v>
      </c>
      <c r="AF98" s="430">
        <f t="shared" si="35"/>
        <v>2098.125</v>
      </c>
      <c r="AG98" s="412"/>
      <c r="AH98" s="380">
        <f t="shared" si="38"/>
        <v>45644.902258064511</v>
      </c>
      <c r="AI98" s="381">
        <f t="shared" si="39"/>
        <v>14935.040322580644</v>
      </c>
      <c r="AJ98" s="382">
        <f t="shared" si="41"/>
        <v>2828.0516129032258</v>
      </c>
      <c r="AK98" s="394">
        <f t="shared" si="40"/>
        <v>63407.99419354838</v>
      </c>
      <c r="AL98" s="440">
        <v>8</v>
      </c>
    </row>
    <row r="99" spans="1:38">
      <c r="A99" s="433">
        <v>43906</v>
      </c>
      <c r="B99" s="434">
        <v>19521</v>
      </c>
      <c r="C99" s="386">
        <v>612.5</v>
      </c>
      <c r="D99" s="386">
        <v>220</v>
      </c>
      <c r="E99" s="386"/>
      <c r="F99" s="386"/>
      <c r="G99" s="386"/>
      <c r="H99" s="386"/>
      <c r="I99" s="386"/>
      <c r="J99" s="386"/>
      <c r="K99" s="386">
        <f t="shared" si="28"/>
        <v>121225.41</v>
      </c>
      <c r="L99" s="386">
        <f t="shared" si="29"/>
        <v>34269.375</v>
      </c>
      <c r="M99" s="386">
        <f t="shared" si="30"/>
        <v>12430</v>
      </c>
      <c r="N99" s="435"/>
      <c r="O99" s="436">
        <f t="shared" si="31"/>
        <v>167924.785</v>
      </c>
      <c r="P99" s="436"/>
      <c r="Q99" s="437">
        <v>57</v>
      </c>
      <c r="R99" s="438">
        <v>0.1429</v>
      </c>
      <c r="S99" s="439">
        <v>3</v>
      </c>
      <c r="T99" s="458"/>
      <c r="U99" s="458"/>
      <c r="V99" s="458"/>
      <c r="W99" s="458"/>
      <c r="Y99" s="368">
        <v>43906</v>
      </c>
      <c r="Z99" s="385">
        <v>531</v>
      </c>
      <c r="AA99" s="393">
        <f t="shared" si="32"/>
        <v>2.7201475334255418E-2</v>
      </c>
      <c r="AB99" s="371">
        <f t="shared" si="33"/>
        <v>3297.5099999999998</v>
      </c>
      <c r="AC99" s="385">
        <v>43.75</v>
      </c>
      <c r="AD99" s="387">
        <f t="shared" si="34"/>
        <v>2447.8125</v>
      </c>
      <c r="AE99" s="429">
        <v>31.25</v>
      </c>
      <c r="AF99" s="430">
        <f t="shared" si="35"/>
        <v>1748.4375</v>
      </c>
      <c r="AG99" s="412"/>
      <c r="AH99" s="380">
        <f t="shared" si="38"/>
        <v>55189.6722580645</v>
      </c>
      <c r="AI99" s="381">
        <f t="shared" si="39"/>
        <v>20530.040322580644</v>
      </c>
      <c r="AJ99" s="382">
        <f t="shared" si="41"/>
        <v>10398.051612903226</v>
      </c>
      <c r="AK99" s="394">
        <f t="shared" si="40"/>
        <v>86117.764193548355</v>
      </c>
      <c r="AL99" s="440">
        <v>5</v>
      </c>
    </row>
    <row r="100" spans="1:38">
      <c r="A100" s="433">
        <v>43907</v>
      </c>
      <c r="B100" s="434">
        <v>17042</v>
      </c>
      <c r="C100" s="386">
        <v>643.75</v>
      </c>
      <c r="D100" s="386">
        <v>230</v>
      </c>
      <c r="E100" s="386"/>
      <c r="F100" s="386"/>
      <c r="G100" s="386"/>
      <c r="H100" s="386"/>
      <c r="I100" s="386"/>
      <c r="J100" s="386"/>
      <c r="K100" s="386">
        <f t="shared" si="28"/>
        <v>105830.81999999999</v>
      </c>
      <c r="L100" s="386">
        <f t="shared" si="29"/>
        <v>36017.8125</v>
      </c>
      <c r="M100" s="386">
        <f t="shared" si="30"/>
        <v>11120</v>
      </c>
      <c r="N100" s="435"/>
      <c r="O100" s="436">
        <f t="shared" si="31"/>
        <v>152968.63250000001</v>
      </c>
      <c r="P100" s="436"/>
      <c r="Q100" s="437">
        <v>45</v>
      </c>
      <c r="R100" s="438">
        <v>0.1128</v>
      </c>
      <c r="S100" s="439">
        <v>2</v>
      </c>
      <c r="T100" s="458"/>
      <c r="U100" s="458"/>
      <c r="V100" s="458"/>
      <c r="W100" s="458"/>
      <c r="Y100" s="368">
        <v>43907</v>
      </c>
      <c r="Z100" s="385">
        <v>310</v>
      </c>
      <c r="AA100" s="393">
        <f t="shared" si="32"/>
        <v>1.8190353244924306E-2</v>
      </c>
      <c r="AB100" s="371">
        <f t="shared" si="33"/>
        <v>1925.1</v>
      </c>
      <c r="AC100" s="385">
        <v>50</v>
      </c>
      <c r="AD100" s="387">
        <f t="shared" si="34"/>
        <v>2797.5</v>
      </c>
      <c r="AE100" s="429">
        <v>31.25</v>
      </c>
      <c r="AF100" s="430">
        <f t="shared" si="35"/>
        <v>1748.4375</v>
      </c>
      <c r="AG100" s="412"/>
      <c r="AH100" s="380">
        <f t="shared" si="38"/>
        <v>70584.262258064511</v>
      </c>
      <c r="AI100" s="381">
        <f t="shared" si="39"/>
        <v>18781.602822580644</v>
      </c>
      <c r="AJ100" s="382">
        <f t="shared" si="41"/>
        <v>11708.051612903226</v>
      </c>
      <c r="AK100" s="394">
        <f t="shared" si="40"/>
        <v>101073.91669354838</v>
      </c>
      <c r="AL100" s="440">
        <v>0</v>
      </c>
    </row>
    <row r="101" spans="1:38">
      <c r="A101" s="433">
        <v>43908</v>
      </c>
      <c r="B101" s="441">
        <v>15784</v>
      </c>
      <c r="C101" s="386">
        <v>556.25</v>
      </c>
      <c r="D101" s="386">
        <v>210</v>
      </c>
      <c r="E101" s="386"/>
      <c r="F101" s="386"/>
      <c r="G101" s="386"/>
      <c r="H101" s="386"/>
      <c r="I101" s="386"/>
      <c r="J101" s="386"/>
      <c r="K101" s="386">
        <f t="shared" si="28"/>
        <v>98018.64</v>
      </c>
      <c r="L101" s="386">
        <f t="shared" si="29"/>
        <v>31122.1875</v>
      </c>
      <c r="M101" s="386">
        <f t="shared" si="30"/>
        <v>7140</v>
      </c>
      <c r="N101" s="435"/>
      <c r="O101" s="436">
        <f t="shared" si="31"/>
        <v>136280.82750000001</v>
      </c>
      <c r="P101" s="436"/>
      <c r="Q101" s="437">
        <v>53</v>
      </c>
      <c r="R101" s="438">
        <v>0.15040000000000001</v>
      </c>
      <c r="S101" s="439">
        <v>0</v>
      </c>
      <c r="T101" s="458"/>
      <c r="U101" s="458"/>
      <c r="V101" s="458"/>
      <c r="W101" s="458"/>
      <c r="Y101" s="368">
        <v>43908</v>
      </c>
      <c r="Z101" s="385">
        <v>395</v>
      </c>
      <c r="AA101" s="393">
        <f t="shared" si="32"/>
        <v>2.5025342118601114E-2</v>
      </c>
      <c r="AB101" s="371">
        <f t="shared" si="33"/>
        <v>2452.9499999999998</v>
      </c>
      <c r="AC101" s="385">
        <v>25</v>
      </c>
      <c r="AD101" s="387">
        <f t="shared" si="34"/>
        <v>1398.75</v>
      </c>
      <c r="AE101" s="429">
        <v>25</v>
      </c>
      <c r="AF101" s="430">
        <f t="shared" si="35"/>
        <v>1398.75</v>
      </c>
      <c r="AG101" s="412"/>
      <c r="AH101" s="380">
        <f t="shared" si="38"/>
        <v>78396.442258064504</v>
      </c>
      <c r="AI101" s="381">
        <f t="shared" si="39"/>
        <v>23677.227822580644</v>
      </c>
      <c r="AJ101" s="382">
        <f t="shared" si="41"/>
        <v>15688.051612903226</v>
      </c>
      <c r="AK101" s="394">
        <f t="shared" si="40"/>
        <v>117761.72169354837</v>
      </c>
      <c r="AL101" s="440"/>
    </row>
    <row r="102" spans="1:38">
      <c r="A102" s="433">
        <v>43909</v>
      </c>
      <c r="B102" s="441">
        <v>15382</v>
      </c>
      <c r="C102" s="386">
        <v>450</v>
      </c>
      <c r="D102" s="386">
        <v>120</v>
      </c>
      <c r="E102" s="386"/>
      <c r="F102" s="386"/>
      <c r="G102" s="386"/>
      <c r="H102" s="386"/>
      <c r="I102" s="386"/>
      <c r="J102" s="386"/>
      <c r="K102" s="386">
        <f t="shared" si="28"/>
        <v>95522.22</v>
      </c>
      <c r="L102" s="386">
        <f t="shared" si="29"/>
        <v>25177.5</v>
      </c>
      <c r="M102" s="386">
        <f t="shared" si="30"/>
        <v>4080</v>
      </c>
      <c r="N102" s="435"/>
      <c r="O102" s="436">
        <f t="shared" si="31"/>
        <v>124779.72</v>
      </c>
      <c r="P102" s="436"/>
      <c r="Q102" s="437">
        <v>49</v>
      </c>
      <c r="R102" s="442">
        <v>0.1429</v>
      </c>
      <c r="S102" s="439">
        <v>0</v>
      </c>
      <c r="T102" s="458"/>
      <c r="U102" s="458"/>
      <c r="V102" s="458"/>
      <c r="W102" s="458"/>
      <c r="Y102" s="368">
        <v>43909</v>
      </c>
      <c r="Z102" s="385">
        <v>461</v>
      </c>
      <c r="AA102" s="393">
        <f t="shared" si="32"/>
        <v>2.9970094916135743E-2</v>
      </c>
      <c r="AB102" s="371">
        <f t="shared" si="33"/>
        <v>2862.81</v>
      </c>
      <c r="AC102" s="385">
        <v>25</v>
      </c>
      <c r="AD102" s="387">
        <f t="shared" si="34"/>
        <v>1398.75</v>
      </c>
      <c r="AE102" s="429"/>
      <c r="AF102" s="430">
        <f t="shared" si="35"/>
        <v>0</v>
      </c>
      <c r="AG102" s="412"/>
      <c r="AH102" s="380">
        <f t="shared" si="38"/>
        <v>80892.862258064502</v>
      </c>
      <c r="AI102" s="381">
        <f t="shared" si="39"/>
        <v>29621.915322580644</v>
      </c>
      <c r="AJ102" s="382">
        <f t="shared" si="41"/>
        <v>18748.051612903226</v>
      </c>
      <c r="AK102" s="394">
        <f t="shared" si="40"/>
        <v>129262.82919354836</v>
      </c>
      <c r="AL102" s="440"/>
    </row>
    <row r="103" spans="1:38">
      <c r="A103" s="433">
        <v>43910</v>
      </c>
      <c r="B103" s="441">
        <v>14092</v>
      </c>
      <c r="C103" s="386">
        <v>393.75</v>
      </c>
      <c r="D103" s="386">
        <v>190</v>
      </c>
      <c r="E103" s="386"/>
      <c r="F103" s="386"/>
      <c r="G103" s="386"/>
      <c r="H103" s="386"/>
      <c r="I103" s="386"/>
      <c r="J103" s="386"/>
      <c r="K103" s="386">
        <f t="shared" si="28"/>
        <v>87511.319999999992</v>
      </c>
      <c r="L103" s="386">
        <f t="shared" si="29"/>
        <v>22030.3125</v>
      </c>
      <c r="M103" s="386">
        <f t="shared" si="30"/>
        <v>6460</v>
      </c>
      <c r="N103" s="435"/>
      <c r="O103" s="436">
        <f t="shared" si="31"/>
        <v>116001.63249999999</v>
      </c>
      <c r="P103" s="436"/>
      <c r="Q103" s="437">
        <v>38</v>
      </c>
      <c r="R103" s="438">
        <v>0.1128</v>
      </c>
      <c r="S103" s="439">
        <v>0</v>
      </c>
      <c r="T103" s="458"/>
      <c r="U103" s="458"/>
      <c r="V103" s="458"/>
      <c r="W103" s="458"/>
      <c r="Y103" s="368">
        <v>43910</v>
      </c>
      <c r="Z103" s="385">
        <v>256</v>
      </c>
      <c r="AA103" s="393">
        <f t="shared" si="32"/>
        <v>1.8166335509508941E-2</v>
      </c>
      <c r="AB103" s="371">
        <f t="shared" si="33"/>
        <v>1589.76</v>
      </c>
      <c r="AC103" s="385">
        <v>43.75</v>
      </c>
      <c r="AD103" s="387">
        <f t="shared" si="34"/>
        <v>2447.8125</v>
      </c>
      <c r="AE103" s="429"/>
      <c r="AF103" s="430">
        <f t="shared" si="35"/>
        <v>0</v>
      </c>
      <c r="AG103" s="412"/>
      <c r="AH103" s="380">
        <f t="shared" si="38"/>
        <v>88903.762258064511</v>
      </c>
      <c r="AI103" s="381">
        <f t="shared" si="39"/>
        <v>32769.102822580644</v>
      </c>
      <c r="AJ103" s="382">
        <f t="shared" si="41"/>
        <v>16368.051612903226</v>
      </c>
      <c r="AK103" s="394">
        <f t="shared" si="40"/>
        <v>138040.91669354838</v>
      </c>
      <c r="AL103" s="440"/>
    </row>
    <row r="104" spans="1:38">
      <c r="A104" s="433">
        <v>43911</v>
      </c>
      <c r="B104" s="441">
        <v>13020</v>
      </c>
      <c r="C104" s="386">
        <v>412.5</v>
      </c>
      <c r="D104" s="386">
        <v>160</v>
      </c>
      <c r="E104" s="386"/>
      <c r="F104" s="386"/>
      <c r="G104" s="386"/>
      <c r="H104" s="386"/>
      <c r="I104" s="386"/>
      <c r="J104" s="386"/>
      <c r="K104" s="386">
        <f t="shared" si="28"/>
        <v>80854.2</v>
      </c>
      <c r="L104" s="386">
        <f t="shared" si="29"/>
        <v>23079.375</v>
      </c>
      <c r="M104" s="386">
        <f t="shared" si="30"/>
        <v>5440</v>
      </c>
      <c r="N104" s="435"/>
      <c r="O104" s="436">
        <f t="shared" si="31"/>
        <v>109373.575</v>
      </c>
      <c r="P104" s="436"/>
      <c r="Q104" s="437">
        <v>50</v>
      </c>
      <c r="R104" s="438">
        <v>0.218</v>
      </c>
      <c r="S104" s="439">
        <v>0</v>
      </c>
      <c r="T104" s="458"/>
      <c r="U104" s="458"/>
      <c r="V104" s="458"/>
      <c r="W104" s="458"/>
      <c r="Y104" s="368">
        <v>43911</v>
      </c>
      <c r="Z104" s="385">
        <v>150</v>
      </c>
      <c r="AA104" s="393">
        <f t="shared" si="32"/>
        <v>1.1520737327188941E-2</v>
      </c>
      <c r="AB104" s="371">
        <f t="shared" si="33"/>
        <v>931.5</v>
      </c>
      <c r="AC104" s="385">
        <v>18.75</v>
      </c>
      <c r="AD104" s="387">
        <f t="shared" si="34"/>
        <v>1049.0625</v>
      </c>
      <c r="AE104" s="429"/>
      <c r="AF104" s="430">
        <f t="shared" si="35"/>
        <v>0</v>
      </c>
      <c r="AG104" s="412"/>
      <c r="AH104" s="380">
        <f t="shared" si="38"/>
        <v>95560.882258064506</v>
      </c>
      <c r="AI104" s="381">
        <f t="shared" si="39"/>
        <v>31720.040322580644</v>
      </c>
      <c r="AJ104" s="382">
        <f t="shared" si="41"/>
        <v>17388.051612903226</v>
      </c>
      <c r="AK104" s="394">
        <f t="shared" si="40"/>
        <v>144668.97419354838</v>
      </c>
      <c r="AL104" s="440"/>
    </row>
    <row r="105" spans="1:38">
      <c r="A105" s="433">
        <v>43912</v>
      </c>
      <c r="B105" s="441">
        <v>12650</v>
      </c>
      <c r="C105" s="386">
        <v>212.5</v>
      </c>
      <c r="D105" s="386">
        <v>120</v>
      </c>
      <c r="E105" s="386"/>
      <c r="F105" s="386"/>
      <c r="G105" s="386"/>
      <c r="H105" s="386"/>
      <c r="I105" s="386"/>
      <c r="J105" s="386"/>
      <c r="K105" s="386">
        <f t="shared" si="28"/>
        <v>78556.5</v>
      </c>
      <c r="L105" s="386">
        <f t="shared" si="29"/>
        <v>11889.375</v>
      </c>
      <c r="M105" s="386">
        <f t="shared" si="30"/>
        <v>4080</v>
      </c>
      <c r="N105" s="435"/>
      <c r="O105" s="436">
        <f t="shared" si="31"/>
        <v>94525.875</v>
      </c>
      <c r="P105" s="436"/>
      <c r="Q105" s="437">
        <v>39</v>
      </c>
      <c r="R105" s="438">
        <v>0.188</v>
      </c>
      <c r="S105" s="439">
        <v>0</v>
      </c>
      <c r="T105" s="458"/>
      <c r="U105" s="458"/>
      <c r="V105" s="458"/>
      <c r="W105" s="458"/>
      <c r="Y105" s="368">
        <v>43912</v>
      </c>
      <c r="Z105" s="385">
        <v>211</v>
      </c>
      <c r="AA105" s="393">
        <f t="shared" si="32"/>
        <v>1.6679841897233202E-2</v>
      </c>
      <c r="AB105" s="371">
        <f t="shared" si="33"/>
        <v>1310.31</v>
      </c>
      <c r="AC105" s="385">
        <v>25</v>
      </c>
      <c r="AD105" s="387">
        <f t="shared" si="34"/>
        <v>1398.75</v>
      </c>
      <c r="AE105" s="429"/>
      <c r="AF105" s="430">
        <f t="shared" si="35"/>
        <v>0</v>
      </c>
      <c r="AG105" s="412"/>
      <c r="AH105" s="380">
        <f t="shared" si="38"/>
        <v>97858.582258064504</v>
      </c>
      <c r="AI105" s="381">
        <f t="shared" si="39"/>
        <v>42910.040322580644</v>
      </c>
      <c r="AJ105" s="382">
        <f t="shared" si="41"/>
        <v>18748.051612903226</v>
      </c>
      <c r="AK105" s="394">
        <f t="shared" si="40"/>
        <v>159516.67419354836</v>
      </c>
      <c r="AL105" s="440"/>
    </row>
    <row r="106" spans="1:38">
      <c r="A106" s="433">
        <v>43913</v>
      </c>
      <c r="B106" s="441">
        <v>10312</v>
      </c>
      <c r="C106" s="386">
        <v>131.25</v>
      </c>
      <c r="D106" s="386">
        <v>330</v>
      </c>
      <c r="E106" s="386"/>
      <c r="F106" s="386"/>
      <c r="G106" s="386"/>
      <c r="H106" s="386"/>
      <c r="I106" s="386"/>
      <c r="J106" s="386"/>
      <c r="K106" s="386">
        <f t="shared" si="28"/>
        <v>64037.52</v>
      </c>
      <c r="L106" s="386">
        <f t="shared" si="29"/>
        <v>7343.4375</v>
      </c>
      <c r="M106" s="386">
        <f t="shared" si="30"/>
        <v>11220</v>
      </c>
      <c r="N106" s="386"/>
      <c r="O106" s="436">
        <f t="shared" si="31"/>
        <v>82600.95749999999</v>
      </c>
      <c r="P106" s="436"/>
      <c r="Q106" s="437">
        <v>38</v>
      </c>
      <c r="R106" s="438">
        <v>0.18049999999999999</v>
      </c>
      <c r="S106" s="439">
        <v>0</v>
      </c>
      <c r="T106" s="458"/>
      <c r="U106" s="458"/>
      <c r="V106" s="458"/>
      <c r="W106" s="458"/>
      <c r="Y106" s="368">
        <v>43913</v>
      </c>
      <c r="Z106" s="385">
        <v>103</v>
      </c>
      <c r="AA106" s="393">
        <f t="shared" si="32"/>
        <v>9.9883630721489518E-3</v>
      </c>
      <c r="AB106" s="371">
        <f t="shared" si="33"/>
        <v>639.63</v>
      </c>
      <c r="AC106" s="385">
        <v>12.5</v>
      </c>
      <c r="AD106" s="387">
        <f t="shared" si="34"/>
        <v>699.375</v>
      </c>
      <c r="AE106" s="429"/>
      <c r="AF106" s="387">
        <f t="shared" si="35"/>
        <v>0</v>
      </c>
      <c r="AG106" s="412"/>
      <c r="AH106" s="380">
        <f t="shared" si="38"/>
        <v>112377.56225806451</v>
      </c>
      <c r="AI106" s="381">
        <f t="shared" si="39"/>
        <v>47455.977822580644</v>
      </c>
      <c r="AJ106" s="382">
        <f t="shared" si="41"/>
        <v>11608.051612903226</v>
      </c>
      <c r="AK106" s="396">
        <f t="shared" si="40"/>
        <v>171441.59169354837</v>
      </c>
      <c r="AL106" s="440"/>
    </row>
    <row r="107" spans="1:38">
      <c r="A107" s="433">
        <v>43914</v>
      </c>
      <c r="B107" s="441">
        <v>9360</v>
      </c>
      <c r="C107" s="386">
        <v>81.25</v>
      </c>
      <c r="D107" s="386">
        <v>280</v>
      </c>
      <c r="E107" s="386"/>
      <c r="F107" s="386"/>
      <c r="G107" s="386"/>
      <c r="H107" s="386"/>
      <c r="I107" s="386"/>
      <c r="J107" s="386"/>
      <c r="K107" s="386">
        <f t="shared" si="28"/>
        <v>58125.599999999999</v>
      </c>
      <c r="L107" s="386">
        <f t="shared" si="29"/>
        <v>4545.9375</v>
      </c>
      <c r="M107" s="386">
        <f t="shared" si="30"/>
        <v>9520</v>
      </c>
      <c r="N107" s="386"/>
      <c r="O107" s="436">
        <f t="shared" si="31"/>
        <v>72191.537500000006</v>
      </c>
      <c r="P107" s="436"/>
      <c r="Q107" s="437">
        <v>38</v>
      </c>
      <c r="R107" s="438">
        <v>0.18049999999999999</v>
      </c>
      <c r="S107" s="439">
        <v>0</v>
      </c>
      <c r="T107" s="458"/>
      <c r="U107" s="458"/>
      <c r="V107" s="458"/>
      <c r="W107" s="458"/>
      <c r="Y107" s="368">
        <v>43914</v>
      </c>
      <c r="Z107" s="385">
        <v>169</v>
      </c>
      <c r="AA107" s="393">
        <f t="shared" si="32"/>
        <v>1.8055555555555554E-2</v>
      </c>
      <c r="AB107" s="371">
        <f t="shared" si="33"/>
        <v>1049.49</v>
      </c>
      <c r="AC107" s="385">
        <v>0</v>
      </c>
      <c r="AD107" s="387">
        <f t="shared" si="34"/>
        <v>0</v>
      </c>
      <c r="AE107" s="429"/>
      <c r="AF107" s="387">
        <f t="shared" si="35"/>
        <v>0</v>
      </c>
      <c r="AG107" s="412"/>
      <c r="AH107" s="380">
        <f t="shared" si="38"/>
        <v>118289.4822580645</v>
      </c>
      <c r="AI107" s="381">
        <f t="shared" si="39"/>
        <v>50253.477822580644</v>
      </c>
      <c r="AJ107" s="382">
        <f t="shared" si="41"/>
        <v>13308.051612903226</v>
      </c>
      <c r="AK107" s="396">
        <f t="shared" si="40"/>
        <v>181851.01169354835</v>
      </c>
      <c r="AL107" s="440"/>
    </row>
    <row r="108" spans="1:38">
      <c r="A108" s="433">
        <v>43915</v>
      </c>
      <c r="B108" s="441">
        <v>8838</v>
      </c>
      <c r="C108" s="386">
        <v>68.75</v>
      </c>
      <c r="D108" s="386">
        <v>40</v>
      </c>
      <c r="E108" s="386"/>
      <c r="F108" s="386"/>
      <c r="G108" s="386"/>
      <c r="H108" s="386"/>
      <c r="I108" s="386"/>
      <c r="J108" s="386"/>
      <c r="K108" s="386">
        <f t="shared" si="28"/>
        <v>54883.98</v>
      </c>
      <c r="L108" s="386">
        <f t="shared" si="29"/>
        <v>3846.5625</v>
      </c>
      <c r="M108" s="386">
        <f t="shared" si="30"/>
        <v>1360</v>
      </c>
      <c r="N108" s="386"/>
      <c r="O108" s="436">
        <f t="shared" si="31"/>
        <v>60090.542500000003</v>
      </c>
      <c r="P108" s="436"/>
      <c r="Q108" s="437">
        <v>38</v>
      </c>
      <c r="R108" s="438">
        <v>0.18049999999999999</v>
      </c>
      <c r="S108" s="439">
        <v>0</v>
      </c>
      <c r="T108" s="458"/>
      <c r="U108" s="458"/>
      <c r="V108" s="458"/>
      <c r="W108" s="458"/>
      <c r="Y108" s="368">
        <v>43915</v>
      </c>
      <c r="Z108" s="385">
        <v>0</v>
      </c>
      <c r="AA108" s="393">
        <f t="shared" si="32"/>
        <v>0</v>
      </c>
      <c r="AB108" s="371">
        <f t="shared" si="33"/>
        <v>0</v>
      </c>
      <c r="AC108" s="385">
        <v>0</v>
      </c>
      <c r="AD108" s="387">
        <f t="shared" si="34"/>
        <v>0</v>
      </c>
      <c r="AE108" s="385"/>
      <c r="AF108" s="387">
        <f t="shared" si="35"/>
        <v>0</v>
      </c>
      <c r="AG108" s="412"/>
      <c r="AH108" s="380">
        <f t="shared" si="38"/>
        <v>121531.10225806449</v>
      </c>
      <c r="AI108" s="381">
        <f t="shared" si="39"/>
        <v>50952.852822580644</v>
      </c>
      <c r="AJ108" s="382">
        <f t="shared" si="41"/>
        <v>21468.051612903226</v>
      </c>
      <c r="AK108" s="396">
        <f t="shared" si="40"/>
        <v>193952.00669354835</v>
      </c>
      <c r="AL108" s="440"/>
    </row>
    <row r="109" spans="1:38">
      <c r="A109" s="433">
        <v>43916</v>
      </c>
      <c r="B109" s="441">
        <v>9354</v>
      </c>
      <c r="C109" s="386">
        <v>87.5</v>
      </c>
      <c r="D109" s="386">
        <v>20</v>
      </c>
      <c r="E109" s="386"/>
      <c r="F109" s="386"/>
      <c r="G109" s="386"/>
      <c r="H109" s="386"/>
      <c r="I109" s="386"/>
      <c r="J109" s="386"/>
      <c r="K109" s="386">
        <f t="shared" si="28"/>
        <v>58088.34</v>
      </c>
      <c r="L109" s="386">
        <f t="shared" si="29"/>
        <v>4895.625</v>
      </c>
      <c r="M109" s="386">
        <f t="shared" si="30"/>
        <v>680</v>
      </c>
      <c r="N109" s="386"/>
      <c r="O109" s="436">
        <f t="shared" si="31"/>
        <v>63663.964999999997</v>
      </c>
      <c r="P109" s="436"/>
      <c r="Q109" s="437">
        <v>38</v>
      </c>
      <c r="R109" s="438">
        <v>0.18049999999999999</v>
      </c>
      <c r="S109" s="439">
        <v>0</v>
      </c>
      <c r="T109" s="458"/>
      <c r="U109" s="458"/>
      <c r="V109" s="458"/>
      <c r="W109" s="458"/>
      <c r="Y109" s="368">
        <v>43916</v>
      </c>
      <c r="Z109" s="429">
        <v>265</v>
      </c>
      <c r="AA109" s="393">
        <f t="shared" si="32"/>
        <v>2.8330126149240967E-2</v>
      </c>
      <c r="AB109" s="371">
        <f t="shared" si="33"/>
        <v>1645.65</v>
      </c>
      <c r="AC109" s="385">
        <v>0</v>
      </c>
      <c r="AD109" s="387">
        <f t="shared" si="34"/>
        <v>0</v>
      </c>
      <c r="AE109" s="385"/>
      <c r="AF109" s="387">
        <f t="shared" si="35"/>
        <v>0</v>
      </c>
      <c r="AG109" s="412"/>
      <c r="AH109" s="380">
        <f t="shared" si="38"/>
        <v>118326.74225806451</v>
      </c>
      <c r="AI109" s="381">
        <f t="shared" si="39"/>
        <v>49903.790322580644</v>
      </c>
      <c r="AJ109" s="382">
        <f t="shared" si="41"/>
        <v>22148.051612903226</v>
      </c>
      <c r="AK109" s="396">
        <f t="shared" si="40"/>
        <v>190378.58419354836</v>
      </c>
      <c r="AL109" s="440"/>
    </row>
    <row r="110" spans="1:38">
      <c r="A110" s="433">
        <v>43917</v>
      </c>
      <c r="B110" s="441">
        <v>9634</v>
      </c>
      <c r="C110" s="386">
        <v>87.5</v>
      </c>
      <c r="D110" s="386">
        <v>60</v>
      </c>
      <c r="E110" s="386"/>
      <c r="F110" s="386"/>
      <c r="G110" s="386"/>
      <c r="H110" s="386"/>
      <c r="I110" s="386"/>
      <c r="J110" s="386"/>
      <c r="K110" s="386">
        <f t="shared" si="28"/>
        <v>59827.14</v>
      </c>
      <c r="L110" s="386">
        <f t="shared" si="29"/>
        <v>4895.625</v>
      </c>
      <c r="M110" s="386">
        <f t="shared" si="30"/>
        <v>2040</v>
      </c>
      <c r="N110" s="386"/>
      <c r="O110" s="436">
        <f t="shared" si="31"/>
        <v>66762.764999999999</v>
      </c>
      <c r="P110" s="436"/>
      <c r="Q110" s="437">
        <v>38</v>
      </c>
      <c r="R110" s="438">
        <v>0.18049999999999999</v>
      </c>
      <c r="S110" s="439">
        <v>0</v>
      </c>
      <c r="T110" s="458"/>
      <c r="U110" s="458"/>
      <c r="V110" s="458"/>
      <c r="W110" s="458"/>
      <c r="Y110" s="368">
        <v>43917</v>
      </c>
      <c r="Z110" s="429">
        <v>153</v>
      </c>
      <c r="AA110" s="393">
        <f t="shared" si="32"/>
        <v>1.5881253892464191E-2</v>
      </c>
      <c r="AB110" s="371">
        <f t="shared" si="33"/>
        <v>950.13</v>
      </c>
      <c r="AC110" s="385">
        <v>0</v>
      </c>
      <c r="AD110" s="387">
        <f t="shared" si="34"/>
        <v>0</v>
      </c>
      <c r="AE110" s="385"/>
      <c r="AF110" s="387">
        <f t="shared" si="35"/>
        <v>0</v>
      </c>
      <c r="AG110" s="412"/>
      <c r="AH110" s="380">
        <f t="shared" si="38"/>
        <v>116587.9422580645</v>
      </c>
      <c r="AI110" s="381">
        <f t="shared" si="39"/>
        <v>49903.790322580644</v>
      </c>
      <c r="AJ110" s="382">
        <f t="shared" si="41"/>
        <v>20788.051612903226</v>
      </c>
      <c r="AK110" s="396">
        <f t="shared" si="40"/>
        <v>187279.78419354837</v>
      </c>
      <c r="AL110" s="440"/>
    </row>
    <row r="111" spans="1:38">
      <c r="A111" s="433">
        <v>43918</v>
      </c>
      <c r="B111" s="441">
        <v>8230</v>
      </c>
      <c r="C111" s="386">
        <v>87.5</v>
      </c>
      <c r="D111" s="386">
        <v>30</v>
      </c>
      <c r="E111" s="386"/>
      <c r="F111" s="386"/>
      <c r="G111" s="386"/>
      <c r="H111" s="386"/>
      <c r="I111" s="386"/>
      <c r="J111" s="386"/>
      <c r="K111" s="386">
        <f t="shared" si="28"/>
        <v>51108.3</v>
      </c>
      <c r="L111" s="386">
        <f t="shared" si="29"/>
        <v>4895.625</v>
      </c>
      <c r="M111" s="386">
        <f t="shared" si="30"/>
        <v>1020</v>
      </c>
      <c r="N111" s="386"/>
      <c r="O111" s="436">
        <f t="shared" si="31"/>
        <v>57023.925000000003</v>
      </c>
      <c r="P111" s="436"/>
      <c r="Q111" s="437">
        <v>38</v>
      </c>
      <c r="R111" s="438">
        <v>0.18049999999999999</v>
      </c>
      <c r="S111" s="439">
        <v>0</v>
      </c>
      <c r="T111" s="458"/>
      <c r="U111" s="458"/>
      <c r="V111" s="458"/>
      <c r="W111" s="458"/>
      <c r="Y111" s="368">
        <v>43918</v>
      </c>
      <c r="Z111" s="429">
        <v>131</v>
      </c>
      <c r="AA111" s="393">
        <f t="shared" si="32"/>
        <v>1.591737545565006E-2</v>
      </c>
      <c r="AB111" s="371">
        <f t="shared" si="33"/>
        <v>813.51</v>
      </c>
      <c r="AC111" s="385">
        <v>0</v>
      </c>
      <c r="AD111" s="387">
        <f t="shared" si="34"/>
        <v>0</v>
      </c>
      <c r="AE111" s="385"/>
      <c r="AF111" s="387">
        <f t="shared" si="35"/>
        <v>0</v>
      </c>
      <c r="AG111" s="412"/>
      <c r="AH111" s="380">
        <f t="shared" si="38"/>
        <v>125306.7822580645</v>
      </c>
      <c r="AI111" s="381">
        <f t="shared" si="39"/>
        <v>49903.790322580644</v>
      </c>
      <c r="AJ111" s="382">
        <f t="shared" si="41"/>
        <v>21808.051612903226</v>
      </c>
      <c r="AK111" s="396">
        <f t="shared" si="40"/>
        <v>197018.62419354837</v>
      </c>
      <c r="AL111" s="440"/>
    </row>
    <row r="112" spans="1:38">
      <c r="A112" s="433">
        <v>43919</v>
      </c>
      <c r="B112" s="441">
        <v>9230</v>
      </c>
      <c r="C112" s="386">
        <v>143.75</v>
      </c>
      <c r="D112" s="386">
        <v>50</v>
      </c>
      <c r="E112" s="386"/>
      <c r="F112" s="386"/>
      <c r="G112" s="386"/>
      <c r="H112" s="386"/>
      <c r="I112" s="386"/>
      <c r="J112" s="386"/>
      <c r="K112" s="386">
        <f>B112*6.21</f>
        <v>57318.3</v>
      </c>
      <c r="L112" s="386">
        <f t="shared" si="29"/>
        <v>8042.8125</v>
      </c>
      <c r="M112" s="386">
        <f t="shared" si="30"/>
        <v>1700</v>
      </c>
      <c r="N112" s="386"/>
      <c r="O112" s="436">
        <f t="shared" si="31"/>
        <v>67061.112500000003</v>
      </c>
      <c r="P112" s="436"/>
      <c r="Q112" s="437">
        <v>38</v>
      </c>
      <c r="R112" s="438">
        <v>0.18049999999999999</v>
      </c>
      <c r="S112" s="439">
        <v>0</v>
      </c>
      <c r="T112" s="458"/>
      <c r="U112" s="458"/>
      <c r="V112" s="458"/>
      <c r="W112" s="458"/>
      <c r="Y112" s="368">
        <v>43919</v>
      </c>
      <c r="Z112" s="429">
        <v>191</v>
      </c>
      <c r="AA112" s="393">
        <f t="shared" si="32"/>
        <v>2.0693391115926326E-2</v>
      </c>
      <c r="AB112" s="371">
        <f t="shared" si="33"/>
        <v>1186.1099999999999</v>
      </c>
      <c r="AC112" s="385">
        <v>25</v>
      </c>
      <c r="AD112" s="387">
        <f t="shared" si="34"/>
        <v>1398.75</v>
      </c>
      <c r="AE112" s="385"/>
      <c r="AF112" s="387">
        <f t="shared" si="35"/>
        <v>0</v>
      </c>
      <c r="AG112" s="412"/>
      <c r="AH112" s="380">
        <f t="shared" si="38"/>
        <v>119096.7822580645</v>
      </c>
      <c r="AI112" s="381">
        <f t="shared" si="39"/>
        <v>46756.602822580644</v>
      </c>
      <c r="AJ112" s="382">
        <f t="shared" si="41"/>
        <v>21128.051612903226</v>
      </c>
      <c r="AK112" s="396">
        <f t="shared" si="40"/>
        <v>186981.43669354837</v>
      </c>
      <c r="AL112" s="440"/>
    </row>
    <row r="113" spans="1:38">
      <c r="A113" s="433">
        <v>43920</v>
      </c>
      <c r="B113" s="441">
        <v>9752</v>
      </c>
      <c r="C113" s="386">
        <v>56</v>
      </c>
      <c r="D113" s="386">
        <v>30</v>
      </c>
      <c r="E113" s="386"/>
      <c r="F113" s="386"/>
      <c r="G113" s="386"/>
      <c r="H113" s="386"/>
      <c r="I113" s="386"/>
      <c r="J113" s="386"/>
      <c r="K113" s="386">
        <f t="shared" si="28"/>
        <v>60559.92</v>
      </c>
      <c r="L113" s="386">
        <f t="shared" si="29"/>
        <v>3133.2000000000003</v>
      </c>
      <c r="M113" s="386">
        <f t="shared" si="30"/>
        <v>1020</v>
      </c>
      <c r="N113" s="386"/>
      <c r="O113" s="436">
        <f t="shared" si="31"/>
        <v>64713.119999999995</v>
      </c>
      <c r="P113" s="436"/>
      <c r="Q113" s="437">
        <v>38</v>
      </c>
      <c r="R113" s="438">
        <v>0.18049999999999999</v>
      </c>
      <c r="S113" s="439">
        <v>0</v>
      </c>
      <c r="T113" s="458"/>
      <c r="U113" s="458"/>
      <c r="V113" s="458"/>
      <c r="W113" s="458"/>
      <c r="Y113" s="368">
        <v>43920</v>
      </c>
      <c r="Z113" s="429">
        <v>80</v>
      </c>
      <c r="AA113" s="393">
        <f t="shared" si="32"/>
        <v>8.2034454470877767E-3</v>
      </c>
      <c r="AB113" s="371">
        <f t="shared" si="33"/>
        <v>496.8</v>
      </c>
      <c r="AC113" s="385">
        <v>0</v>
      </c>
      <c r="AD113" s="387">
        <f t="shared" si="34"/>
        <v>0</v>
      </c>
      <c r="AE113" s="385"/>
      <c r="AF113" s="387">
        <f t="shared" si="35"/>
        <v>0</v>
      </c>
      <c r="AG113" s="412"/>
      <c r="AH113" s="380">
        <f t="shared" si="38"/>
        <v>115855.16225806451</v>
      </c>
      <c r="AI113" s="381">
        <f t="shared" si="39"/>
        <v>51666.215322580647</v>
      </c>
      <c r="AJ113" s="382">
        <f t="shared" si="41"/>
        <v>21808.051612903226</v>
      </c>
      <c r="AK113" s="396">
        <f t="shared" si="40"/>
        <v>189329.42919354836</v>
      </c>
      <c r="AL113" s="440"/>
    </row>
    <row r="114" spans="1:38">
      <c r="A114" s="433">
        <v>43921</v>
      </c>
      <c r="B114" s="441">
        <v>8984</v>
      </c>
      <c r="C114" s="386">
        <v>37.5</v>
      </c>
      <c r="D114" s="386">
        <v>30</v>
      </c>
      <c r="E114" s="386"/>
      <c r="F114" s="386"/>
      <c r="G114" s="386"/>
      <c r="H114" s="386"/>
      <c r="I114" s="386"/>
      <c r="J114" s="386"/>
      <c r="K114" s="386">
        <f t="shared" si="28"/>
        <v>55790.64</v>
      </c>
      <c r="L114" s="386">
        <f t="shared" si="29"/>
        <v>2098.125</v>
      </c>
      <c r="M114" s="386">
        <f t="shared" si="30"/>
        <v>1020</v>
      </c>
      <c r="N114" s="386"/>
      <c r="O114" s="436">
        <f t="shared" si="31"/>
        <v>58908.764999999999</v>
      </c>
      <c r="P114" s="436"/>
      <c r="Q114" s="437">
        <v>38</v>
      </c>
      <c r="R114" s="438">
        <v>0.18049999999999999</v>
      </c>
      <c r="S114" s="439">
        <v>0</v>
      </c>
      <c r="T114" s="458"/>
      <c r="U114" s="458"/>
      <c r="V114" s="458"/>
      <c r="W114" s="458"/>
      <c r="Y114" s="368">
        <v>43921</v>
      </c>
      <c r="Z114" s="429">
        <v>118</v>
      </c>
      <c r="AA114" s="393">
        <f t="shared" si="32"/>
        <v>1.313446126447017E-2</v>
      </c>
      <c r="AB114" s="371">
        <f>Z114*6.21</f>
        <v>732.78</v>
      </c>
      <c r="AC114" s="385">
        <v>0</v>
      </c>
      <c r="AD114" s="387"/>
      <c r="AE114" s="385"/>
      <c r="AF114" s="387"/>
      <c r="AG114" s="412"/>
      <c r="AH114" s="380">
        <f t="shared" si="38"/>
        <v>120624.4422580645</v>
      </c>
      <c r="AI114" s="381">
        <f t="shared" si="39"/>
        <v>52701.290322580644</v>
      </c>
      <c r="AJ114" s="382">
        <f t="shared" si="41"/>
        <v>21808.051612903226</v>
      </c>
      <c r="AK114" s="396">
        <f t="shared" si="40"/>
        <v>195133.78419354837</v>
      </c>
      <c r="AL114" s="440"/>
    </row>
    <row r="115" spans="1:38">
      <c r="A115" s="443" t="s">
        <v>161</v>
      </c>
      <c r="B115" s="444">
        <f t="shared" ref="B115:M115" si="42">SUM(B84:B114)</f>
        <v>556508</v>
      </c>
      <c r="C115" s="444">
        <f t="shared" si="42"/>
        <v>15756</v>
      </c>
      <c r="D115" s="444">
        <f t="shared" si="42"/>
        <v>5740</v>
      </c>
      <c r="E115" s="444"/>
      <c r="F115" s="444"/>
      <c r="G115" s="444"/>
      <c r="H115" s="444"/>
      <c r="I115" s="444"/>
      <c r="J115" s="444"/>
      <c r="K115" s="444">
        <f t="shared" si="42"/>
        <v>3455914.68</v>
      </c>
      <c r="L115" s="444">
        <f t="shared" si="42"/>
        <v>881548.2</v>
      </c>
      <c r="M115" s="444">
        <f t="shared" si="42"/>
        <v>304060</v>
      </c>
      <c r="N115" s="444"/>
      <c r="O115" s="444">
        <f>SUM(O84:O113)</f>
        <v>4582614.1150000002</v>
      </c>
      <c r="P115" s="444"/>
      <c r="Q115" s="437"/>
      <c r="R115" s="438"/>
      <c r="S115" s="439"/>
      <c r="T115" s="458"/>
      <c r="U115" s="458"/>
      <c r="V115" s="458"/>
      <c r="W115" s="458"/>
      <c r="Y115" s="409" t="s">
        <v>161</v>
      </c>
      <c r="Z115" s="410">
        <f t="shared" ref="Z115:AE115" si="43">SUM(Z84:Z114)</f>
        <v>12499</v>
      </c>
      <c r="AA115" s="410">
        <f t="shared" si="43"/>
        <v>0.64512443345809856</v>
      </c>
      <c r="AB115" s="410">
        <f t="shared" si="43"/>
        <v>77618.789999999994</v>
      </c>
      <c r="AC115" s="410">
        <f t="shared" si="43"/>
        <v>1162.5</v>
      </c>
      <c r="AD115" s="410">
        <f t="shared" si="43"/>
        <v>65041.875</v>
      </c>
      <c r="AE115" s="410">
        <f t="shared" si="43"/>
        <v>581.25</v>
      </c>
      <c r="AF115" s="410">
        <f>SUM(AF84:AF114)</f>
        <v>32520.9375</v>
      </c>
      <c r="AG115" s="412"/>
      <c r="AH115" s="397">
        <f>SUM(AH84:AH111)</f>
        <v>1657376.4832258059</v>
      </c>
      <c r="AI115" s="397">
        <f>SUM(AI84:AI111)</f>
        <v>666109.56653225794</v>
      </c>
      <c r="AJ115" s="397">
        <f>SUM(AJ84:AJ111)</f>
        <v>338865.44516129029</v>
      </c>
      <c r="AK115" s="397">
        <f>SUM(AK84:AK111)</f>
        <v>2662351.4949193541</v>
      </c>
      <c r="AL115" s="440"/>
    </row>
    <row r="118" spans="1:38">
      <c r="A118" s="706"/>
      <c r="B118" s="799" t="s">
        <v>145</v>
      </c>
      <c r="C118" s="800"/>
      <c r="D118" s="801"/>
      <c r="E118" s="697"/>
      <c r="F118" s="697"/>
      <c r="G118" s="697"/>
      <c r="H118" s="697"/>
      <c r="I118" s="697"/>
      <c r="J118" s="697"/>
      <c r="K118" s="799" t="s">
        <v>146</v>
      </c>
      <c r="L118" s="800"/>
      <c r="M118" s="801"/>
      <c r="N118" s="787" t="s">
        <v>147</v>
      </c>
      <c r="O118" s="802" t="s">
        <v>162</v>
      </c>
      <c r="P118" s="698"/>
      <c r="Q118" s="776" t="s">
        <v>149</v>
      </c>
      <c r="R118" s="776" t="s">
        <v>150</v>
      </c>
      <c r="Y118" s="706"/>
      <c r="Z118" s="805" t="s">
        <v>151</v>
      </c>
      <c r="AA118" s="790"/>
      <c r="AB118" s="809"/>
      <c r="AC118" s="805" t="s">
        <v>152</v>
      </c>
      <c r="AD118" s="806"/>
      <c r="AE118" s="805" t="s">
        <v>153</v>
      </c>
      <c r="AF118" s="806"/>
    </row>
    <row r="119" spans="1:38">
      <c r="B119" s="363" t="s">
        <v>156</v>
      </c>
      <c r="C119" s="364" t="s">
        <v>157</v>
      </c>
      <c r="D119" s="365" t="s">
        <v>158</v>
      </c>
      <c r="E119" s="366"/>
      <c r="F119" s="366"/>
      <c r="G119" s="366"/>
      <c r="H119" s="366"/>
      <c r="I119" s="366"/>
      <c r="J119" s="366"/>
      <c r="K119" s="363" t="s">
        <v>156</v>
      </c>
      <c r="L119" s="364" t="s">
        <v>157</v>
      </c>
      <c r="M119" s="365" t="s">
        <v>158</v>
      </c>
      <c r="N119" s="788"/>
      <c r="O119" s="803"/>
      <c r="P119" s="705"/>
      <c r="Q119" s="810"/>
      <c r="R119" s="810"/>
      <c r="Z119" s="363" t="s">
        <v>145</v>
      </c>
      <c r="AA119" s="366"/>
      <c r="AB119" s="367" t="s">
        <v>160</v>
      </c>
      <c r="AC119" s="363" t="s">
        <v>145</v>
      </c>
      <c r="AD119" s="365" t="s">
        <v>160</v>
      </c>
      <c r="AE119" s="363" t="s">
        <v>145</v>
      </c>
      <c r="AF119" s="365" t="s">
        <v>160</v>
      </c>
    </row>
    <row r="120" spans="1:38">
      <c r="A120" s="414" t="s">
        <v>163</v>
      </c>
      <c r="B120" s="415">
        <f>AVERAGE(B84:B113)</f>
        <v>18250.8</v>
      </c>
      <c r="C120" s="415">
        <f>AVERAGE(C84:C113)</f>
        <v>523.95000000000005</v>
      </c>
      <c r="D120" s="415">
        <f>AVERAGE(D84:D113)</f>
        <v>190.33333333333334</v>
      </c>
      <c r="E120" s="415"/>
      <c r="F120" s="415"/>
      <c r="G120" s="415"/>
      <c r="H120" s="415"/>
      <c r="I120" s="415"/>
      <c r="J120" s="415"/>
      <c r="K120" s="445">
        <f>B120*6.21</f>
        <v>113337.46799999999</v>
      </c>
      <c r="L120" s="446">
        <f>C120*55.95</f>
        <v>29315.002500000002</v>
      </c>
      <c r="M120" s="447">
        <f>D120*68.44</f>
        <v>13026.413333333334</v>
      </c>
      <c r="N120" s="418">
        <f>AVERAGE(N84:N113)</f>
        <v>27</v>
      </c>
      <c r="O120" s="418">
        <f>K120+L120+M120</f>
        <v>155678.88383333333</v>
      </c>
      <c r="P120" s="418"/>
      <c r="Q120" s="418">
        <f>AVERAGE(Q84:Q113)</f>
        <v>80.466666666666669</v>
      </c>
      <c r="R120" s="419">
        <f>AVERAGE(R84:R113)</f>
        <v>0.25640666666666673</v>
      </c>
      <c r="Y120" s="414" t="s">
        <v>163</v>
      </c>
      <c r="Z120" s="415">
        <f>AVERAGE(Z84:Z113)</f>
        <v>412.7</v>
      </c>
      <c r="AA120" s="420"/>
      <c r="AB120" s="448">
        <f>Z120*6.21</f>
        <v>2562.8669999999997</v>
      </c>
      <c r="AC120" s="415">
        <f>AVERAGE(AC84:AC113)</f>
        <v>38.75</v>
      </c>
      <c r="AD120" s="387">
        <f>AC120*55.95</f>
        <v>2168.0625</v>
      </c>
      <c r="AE120" s="415">
        <f>AVERAGE(AE84:AE113)</f>
        <v>32.291666666666664</v>
      </c>
      <c r="AF120" s="387">
        <f>AE120*55.95</f>
        <v>1806.71875</v>
      </c>
    </row>
    <row r="124" spans="1:38">
      <c r="A124" s="362"/>
      <c r="B124" s="412" t="s">
        <v>167</v>
      </c>
      <c r="C124" s="412" t="s">
        <v>168</v>
      </c>
      <c r="D124" s="412" t="s">
        <v>169</v>
      </c>
      <c r="E124" s="412"/>
      <c r="F124" s="412"/>
      <c r="G124" s="412"/>
      <c r="H124" s="412"/>
      <c r="I124" s="412"/>
      <c r="J124" s="412"/>
      <c r="K124" s="412" t="s">
        <v>170</v>
      </c>
      <c r="L124" s="412" t="s">
        <v>171</v>
      </c>
      <c r="M124" s="412" t="s">
        <v>172</v>
      </c>
      <c r="Y124" s="362"/>
      <c r="Z124" s="412"/>
      <c r="AG124" s="413"/>
    </row>
    <row r="125" spans="1:38">
      <c r="A125" s="362" t="s">
        <v>173</v>
      </c>
      <c r="B125" s="412">
        <v>30</v>
      </c>
      <c r="C125" s="413">
        <v>31</v>
      </c>
      <c r="D125" s="413">
        <v>30</v>
      </c>
      <c r="K125" s="413">
        <v>31</v>
      </c>
      <c r="L125" s="413">
        <v>31</v>
      </c>
      <c r="M125" s="413">
        <v>30</v>
      </c>
      <c r="Y125" s="362"/>
      <c r="Z125" s="412"/>
      <c r="AG125" s="413"/>
    </row>
    <row r="126" spans="1:38">
      <c r="A126" s="412" t="s">
        <v>156</v>
      </c>
      <c r="B126" s="449">
        <f>B125*$K$114</f>
        <v>1673719.2</v>
      </c>
      <c r="C126" s="449">
        <f>C125*$K$114</f>
        <v>1729509.84</v>
      </c>
      <c r="D126" s="449">
        <f>D125*$K$114</f>
        <v>1673719.2</v>
      </c>
      <c r="E126" s="449"/>
      <c r="F126" s="449"/>
      <c r="G126" s="449"/>
      <c r="H126" s="449"/>
      <c r="I126" s="449"/>
      <c r="J126" s="449"/>
      <c r="K126" s="449">
        <f>K125*$K$114</f>
        <v>1729509.84</v>
      </c>
      <c r="L126" s="449">
        <f>L125*$K$114</f>
        <v>1729509.84</v>
      </c>
      <c r="M126" s="449">
        <f>M125*$K$114</f>
        <v>1673719.2</v>
      </c>
    </row>
    <row r="127" spans="1:38">
      <c r="A127" s="412" t="s">
        <v>158</v>
      </c>
      <c r="B127" s="449">
        <f>B125*$M$114</f>
        <v>30600</v>
      </c>
      <c r="C127" s="449">
        <f>C125*$M$114</f>
        <v>31620</v>
      </c>
      <c r="D127" s="449">
        <f>D125*$M$114</f>
        <v>30600</v>
      </c>
      <c r="E127" s="449"/>
      <c r="F127" s="449"/>
      <c r="G127" s="449"/>
      <c r="H127" s="449"/>
      <c r="I127" s="449"/>
      <c r="J127" s="449"/>
      <c r="K127" s="449">
        <f>K125*$M$114</f>
        <v>31620</v>
      </c>
      <c r="L127" s="449">
        <f>L125*$M$114</f>
        <v>31620</v>
      </c>
      <c r="M127" s="449">
        <f>M125*$M$114</f>
        <v>30600</v>
      </c>
    </row>
    <row r="128" spans="1:38">
      <c r="A128" s="412" t="s">
        <v>174</v>
      </c>
      <c r="B128" s="449">
        <f>B125*$L$114</f>
        <v>62943.75</v>
      </c>
      <c r="C128" s="449">
        <f>C125*$L$114</f>
        <v>65041.875</v>
      </c>
      <c r="D128" s="449">
        <f>D125*$L$114</f>
        <v>62943.75</v>
      </c>
      <c r="E128" s="449"/>
      <c r="F128" s="449"/>
      <c r="G128" s="449"/>
      <c r="H128" s="449"/>
      <c r="I128" s="449"/>
      <c r="J128" s="449"/>
      <c r="K128" s="449">
        <f>K125*$L$114</f>
        <v>65041.875</v>
      </c>
      <c r="L128" s="449">
        <f>L125*$L$114</f>
        <v>65041.875</v>
      </c>
      <c r="M128" s="449">
        <f>M125*$L$114</f>
        <v>62943.75</v>
      </c>
    </row>
    <row r="132" spans="1:38" ht="29.1">
      <c r="A132" s="778" t="s">
        <v>14</v>
      </c>
      <c r="B132" s="780" t="s">
        <v>145</v>
      </c>
      <c r="C132" s="781"/>
      <c r="D132" s="782"/>
      <c r="E132" s="702"/>
      <c r="F132" s="702"/>
      <c r="G132" s="702"/>
      <c r="H132" s="702"/>
      <c r="I132" s="702"/>
      <c r="J132" s="702"/>
      <c r="K132" s="780" t="s">
        <v>146</v>
      </c>
      <c r="L132" s="781"/>
      <c r="M132" s="782"/>
      <c r="N132" s="778" t="s">
        <v>147</v>
      </c>
      <c r="O132" s="783" t="s">
        <v>148</v>
      </c>
      <c r="P132" s="783" t="s">
        <v>175</v>
      </c>
      <c r="Q132" s="700" t="s">
        <v>149</v>
      </c>
      <c r="R132" s="700" t="s">
        <v>150</v>
      </c>
      <c r="S132" s="785" t="s">
        <v>165</v>
      </c>
      <c r="T132" s="703"/>
      <c r="U132" s="703"/>
      <c r="V132" s="703"/>
      <c r="W132" s="785" t="s">
        <v>176</v>
      </c>
      <c r="Y132" s="787" t="s">
        <v>14</v>
      </c>
      <c r="Z132" s="789" t="s">
        <v>151</v>
      </c>
      <c r="AA132" s="790"/>
      <c r="AB132" s="791"/>
      <c r="AC132" s="789" t="s">
        <v>152</v>
      </c>
      <c r="AD132" s="791"/>
      <c r="AE132" s="789"/>
      <c r="AF132" s="791"/>
      <c r="AG132" s="412"/>
      <c r="AH132" s="773" t="s">
        <v>154</v>
      </c>
      <c r="AI132" s="774"/>
      <c r="AJ132" s="775"/>
      <c r="AK132" s="776" t="s">
        <v>155</v>
      </c>
      <c r="AL132" s="776" t="s">
        <v>166</v>
      </c>
    </row>
    <row r="133" spans="1:38">
      <c r="A133" s="779"/>
      <c r="B133" s="699" t="s">
        <v>156</v>
      </c>
      <c r="C133" s="699" t="s">
        <v>157</v>
      </c>
      <c r="D133" s="699" t="s">
        <v>158</v>
      </c>
      <c r="E133" s="699"/>
      <c r="F133" s="699"/>
      <c r="G133" s="699"/>
      <c r="H133" s="699"/>
      <c r="I133" s="699"/>
      <c r="J133" s="699"/>
      <c r="K133" s="699" t="s">
        <v>156</v>
      </c>
      <c r="L133" s="699" t="s">
        <v>157</v>
      </c>
      <c r="M133" s="699" t="s">
        <v>158</v>
      </c>
      <c r="N133" s="779"/>
      <c r="O133" s="784"/>
      <c r="P133" s="784"/>
      <c r="Q133" s="700"/>
      <c r="R133" s="700"/>
      <c r="S133" s="786"/>
      <c r="T133" s="704"/>
      <c r="U133" s="704"/>
      <c r="V133" s="704"/>
      <c r="W133" s="786"/>
      <c r="Y133" s="788"/>
      <c r="Z133" s="363" t="s">
        <v>145</v>
      </c>
      <c r="AA133" s="366" t="s">
        <v>159</v>
      </c>
      <c r="AB133" s="367" t="s">
        <v>160</v>
      </c>
      <c r="AC133" s="363" t="s">
        <v>145</v>
      </c>
      <c r="AD133" s="365" t="s">
        <v>160</v>
      </c>
      <c r="AE133" s="363" t="s">
        <v>145</v>
      </c>
      <c r="AF133" s="365" t="s">
        <v>160</v>
      </c>
      <c r="AG133" s="412"/>
      <c r="AH133" s="363" t="s">
        <v>156</v>
      </c>
      <c r="AI133" s="364" t="s">
        <v>157</v>
      </c>
      <c r="AJ133" s="365" t="s">
        <v>158</v>
      </c>
      <c r="AK133" s="777"/>
      <c r="AL133" s="777"/>
    </row>
    <row r="134" spans="1:38">
      <c r="A134" s="433">
        <v>43922</v>
      </c>
      <c r="B134" s="386">
        <v>8405</v>
      </c>
      <c r="C134" s="386">
        <v>50</v>
      </c>
      <c r="D134" s="386">
        <v>50</v>
      </c>
      <c r="E134" s="386"/>
      <c r="F134" s="386"/>
      <c r="G134" s="386"/>
      <c r="H134" s="386"/>
      <c r="I134" s="386"/>
      <c r="J134" s="386"/>
      <c r="K134" s="386">
        <v>52195.05</v>
      </c>
      <c r="L134" s="386">
        <v>2797.5</v>
      </c>
      <c r="M134" s="386">
        <v>1700</v>
      </c>
      <c r="N134" s="435">
        <v>26.5</v>
      </c>
      <c r="O134" s="436">
        <v>56692.55</v>
      </c>
      <c r="P134" s="461">
        <v>0.94268730372364284</v>
      </c>
      <c r="Q134" s="437">
        <v>24</v>
      </c>
      <c r="R134" s="438">
        <v>0.18049999999999999</v>
      </c>
      <c r="S134" s="439">
        <v>0</v>
      </c>
      <c r="T134" s="439"/>
      <c r="U134" s="439"/>
      <c r="V134" s="439"/>
      <c r="W134" s="462" t="s">
        <v>177</v>
      </c>
      <c r="Y134" s="368">
        <f>A134</f>
        <v>43922</v>
      </c>
      <c r="Z134" s="429">
        <v>132</v>
      </c>
      <c r="AA134" s="393">
        <v>1.570493753718025E-2</v>
      </c>
      <c r="AB134" s="382">
        <v>819.72</v>
      </c>
      <c r="AC134" s="429">
        <v>0</v>
      </c>
      <c r="AD134" s="430">
        <v>0</v>
      </c>
      <c r="AE134" s="429"/>
      <c r="AF134" s="430">
        <v>0</v>
      </c>
      <c r="AG134" s="426"/>
      <c r="AH134" s="380">
        <f>$K$40-K134</f>
        <v>124220.0322580645</v>
      </c>
      <c r="AI134" s="381">
        <f>$L$40-L134</f>
        <v>52001.915322580644</v>
      </c>
      <c r="AJ134" s="382">
        <f t="shared" ref="AJ134:AJ143" si="44">$M$40-M134</f>
        <v>21128.051612903226</v>
      </c>
      <c r="AK134" s="394">
        <f t="shared" ref="AK134:AK141" si="45">AH134+AI134+AJ134</f>
        <v>197349.99919354837</v>
      </c>
      <c r="AL134" s="440">
        <v>0</v>
      </c>
    </row>
    <row r="135" spans="1:38">
      <c r="A135" s="433">
        <v>43923</v>
      </c>
      <c r="B135" s="386">
        <v>7738</v>
      </c>
      <c r="C135" s="386">
        <v>56.25</v>
      </c>
      <c r="D135" s="386">
        <v>5</v>
      </c>
      <c r="E135" s="386"/>
      <c r="F135" s="386"/>
      <c r="G135" s="386"/>
      <c r="H135" s="386"/>
      <c r="I135" s="386"/>
      <c r="J135" s="386"/>
      <c r="K135" s="386">
        <v>48052.98</v>
      </c>
      <c r="L135" s="386">
        <v>3147.1875</v>
      </c>
      <c r="M135" s="386">
        <v>170</v>
      </c>
      <c r="N135" s="435">
        <v>27.5</v>
      </c>
      <c r="O135" s="436">
        <v>51370.167500000003</v>
      </c>
      <c r="P135" s="461">
        <v>0.93873589712483319</v>
      </c>
      <c r="Q135" s="437">
        <v>24</v>
      </c>
      <c r="R135" s="438">
        <v>0.18049999999999999</v>
      </c>
      <c r="S135" s="439">
        <v>0</v>
      </c>
      <c r="T135" s="439"/>
      <c r="U135" s="439"/>
      <c r="V135" s="439"/>
      <c r="W135" s="462"/>
      <c r="Y135" s="368">
        <f t="shared" ref="Y135:Y163" si="46">A135</f>
        <v>43923</v>
      </c>
      <c r="Z135" s="429">
        <v>0</v>
      </c>
      <c r="AA135" s="393">
        <v>0</v>
      </c>
      <c r="AB135" s="382">
        <v>0</v>
      </c>
      <c r="AC135" s="429">
        <v>0</v>
      </c>
      <c r="AD135" s="430">
        <v>0</v>
      </c>
      <c r="AE135" s="429"/>
      <c r="AF135" s="430">
        <v>0</v>
      </c>
      <c r="AG135" s="426"/>
      <c r="AH135" s="380">
        <f>$K$40-K135</f>
        <v>128362.10225806449</v>
      </c>
      <c r="AI135" s="381">
        <f>$L$40-L135</f>
        <v>51652.227822580644</v>
      </c>
      <c r="AJ135" s="382">
        <f t="shared" si="44"/>
        <v>22658.051612903226</v>
      </c>
      <c r="AK135" s="394">
        <f t="shared" si="45"/>
        <v>202672.38169354835</v>
      </c>
      <c r="AL135" s="440">
        <v>10</v>
      </c>
    </row>
    <row r="136" spans="1:38">
      <c r="A136" s="433">
        <v>43924</v>
      </c>
      <c r="B136" s="386">
        <v>7942</v>
      </c>
      <c r="C136" s="386">
        <v>62.5</v>
      </c>
      <c r="D136" s="386">
        <v>35</v>
      </c>
      <c r="E136" s="386"/>
      <c r="F136" s="386"/>
      <c r="G136" s="386"/>
      <c r="H136" s="386"/>
      <c r="I136" s="386"/>
      <c r="J136" s="386"/>
      <c r="K136" s="386">
        <v>49319.82</v>
      </c>
      <c r="L136" s="386">
        <v>3496.875</v>
      </c>
      <c r="M136" s="386">
        <v>1190</v>
      </c>
      <c r="N136" s="435">
        <v>28.5</v>
      </c>
      <c r="O136" s="436">
        <v>54006.695</v>
      </c>
      <c r="P136" s="461">
        <v>0.92758701238028496</v>
      </c>
      <c r="Q136" s="437">
        <v>24</v>
      </c>
      <c r="R136" s="438">
        <v>0.18049999999999999</v>
      </c>
      <c r="S136" s="439">
        <v>0</v>
      </c>
      <c r="T136" s="439"/>
      <c r="U136" s="439"/>
      <c r="V136" s="439"/>
      <c r="W136" s="462" t="s">
        <v>178</v>
      </c>
      <c r="Y136" s="368">
        <f t="shared" si="46"/>
        <v>43924</v>
      </c>
      <c r="Z136" s="429">
        <v>0</v>
      </c>
      <c r="AA136" s="393">
        <v>0</v>
      </c>
      <c r="AB136" s="382">
        <v>0</v>
      </c>
      <c r="AC136" s="429">
        <v>0</v>
      </c>
      <c r="AD136" s="430">
        <v>0</v>
      </c>
      <c r="AE136" s="429"/>
      <c r="AF136" s="430">
        <v>0</v>
      </c>
      <c r="AG136" s="426"/>
      <c r="AH136" s="380">
        <f>$K$40-K136</f>
        <v>127095.2622580645</v>
      </c>
      <c r="AI136" s="381">
        <f>$L$40-L136</f>
        <v>51302.540322580644</v>
      </c>
      <c r="AJ136" s="382">
        <f t="shared" si="44"/>
        <v>21638.051612903226</v>
      </c>
      <c r="AK136" s="394">
        <f t="shared" si="45"/>
        <v>200035.85419354835</v>
      </c>
      <c r="AL136" s="440">
        <v>6</v>
      </c>
    </row>
    <row r="137" spans="1:38">
      <c r="A137" s="433">
        <v>43925</v>
      </c>
      <c r="B137" s="386">
        <v>7504</v>
      </c>
      <c r="C137" s="386">
        <v>56.25</v>
      </c>
      <c r="D137" s="386">
        <v>30</v>
      </c>
      <c r="E137" s="386"/>
      <c r="F137" s="386"/>
      <c r="G137" s="386"/>
      <c r="H137" s="386"/>
      <c r="I137" s="386"/>
      <c r="J137" s="386"/>
      <c r="K137" s="386">
        <v>46599.839999999997</v>
      </c>
      <c r="L137" s="386">
        <v>3147.1875</v>
      </c>
      <c r="M137" s="386">
        <v>1020</v>
      </c>
      <c r="N137" s="435">
        <v>29.5</v>
      </c>
      <c r="O137" s="436">
        <v>50767.027499999997</v>
      </c>
      <c r="P137" s="461">
        <v>0.93519441674975079</v>
      </c>
      <c r="Q137" s="437">
        <v>23</v>
      </c>
      <c r="R137" s="438">
        <v>0.18049999999999999</v>
      </c>
      <c r="S137" s="439">
        <v>0</v>
      </c>
      <c r="T137" s="439"/>
      <c r="U137" s="439"/>
      <c r="V137" s="439"/>
      <c r="W137" s="462"/>
      <c r="Y137" s="368">
        <f t="shared" si="46"/>
        <v>43925</v>
      </c>
      <c r="Z137" s="429">
        <v>0</v>
      </c>
      <c r="AA137" s="393">
        <v>0</v>
      </c>
      <c r="AB137" s="382">
        <v>0</v>
      </c>
      <c r="AC137" s="429">
        <v>0</v>
      </c>
      <c r="AD137" s="430">
        <v>0</v>
      </c>
      <c r="AE137" s="429"/>
      <c r="AF137" s="430">
        <v>0</v>
      </c>
      <c r="AG137" s="426"/>
      <c r="AH137" s="380">
        <f>$K$40-K137</f>
        <v>129815.24225806451</v>
      </c>
      <c r="AI137" s="381">
        <f>$L$40-L137</f>
        <v>51652.227822580644</v>
      </c>
      <c r="AJ137" s="382">
        <f t="shared" si="44"/>
        <v>21808.051612903226</v>
      </c>
      <c r="AK137" s="394">
        <f t="shared" si="45"/>
        <v>203275.52169354836</v>
      </c>
      <c r="AL137" s="440">
        <v>5</v>
      </c>
    </row>
    <row r="138" spans="1:38" ht="16.5" customHeight="1">
      <c r="A138" s="433">
        <v>43926</v>
      </c>
      <c r="B138" s="386">
        <v>7434</v>
      </c>
      <c r="C138" s="386">
        <v>75</v>
      </c>
      <c r="D138" s="386">
        <v>140</v>
      </c>
      <c r="E138" s="386"/>
      <c r="F138" s="386"/>
      <c r="G138" s="386"/>
      <c r="H138" s="386"/>
      <c r="I138" s="386"/>
      <c r="J138" s="386"/>
      <c r="K138" s="386">
        <v>46165.14</v>
      </c>
      <c r="L138" s="386">
        <v>4196.25</v>
      </c>
      <c r="M138" s="386">
        <v>4760</v>
      </c>
      <c r="N138" s="435">
        <v>30.5</v>
      </c>
      <c r="O138" s="436">
        <v>55121.39</v>
      </c>
      <c r="P138" s="461">
        <v>0.9386363636363636</v>
      </c>
      <c r="Q138" s="437">
        <v>23</v>
      </c>
      <c r="R138" s="438">
        <v>0.18049999999999999</v>
      </c>
      <c r="S138" s="439">
        <v>0</v>
      </c>
      <c r="T138" s="439"/>
      <c r="U138" s="439"/>
      <c r="V138" s="439"/>
      <c r="W138" s="462" t="s">
        <v>179</v>
      </c>
      <c r="Y138" s="368">
        <f t="shared" si="46"/>
        <v>43926</v>
      </c>
      <c r="Z138" s="429">
        <v>0</v>
      </c>
      <c r="AA138" s="393">
        <v>0</v>
      </c>
      <c r="AB138" s="382">
        <v>0</v>
      </c>
      <c r="AC138" s="429">
        <v>0</v>
      </c>
      <c r="AD138" s="430">
        <v>0</v>
      </c>
      <c r="AE138" s="429"/>
      <c r="AF138" s="430">
        <v>0</v>
      </c>
      <c r="AG138" s="426"/>
      <c r="AH138" s="380">
        <f t="shared" ref="AH138:AH164" si="47">$K$40-K138</f>
        <v>130249.9422580645</v>
      </c>
      <c r="AI138" s="381">
        <f t="shared" ref="AI138:AI164" si="48">$L$40-L138</f>
        <v>50603.165322580644</v>
      </c>
      <c r="AJ138" s="382">
        <f t="shared" si="44"/>
        <v>18068.051612903226</v>
      </c>
      <c r="AK138" s="394">
        <f t="shared" si="45"/>
        <v>198921.15919354837</v>
      </c>
      <c r="AL138" s="440">
        <v>0</v>
      </c>
    </row>
    <row r="139" spans="1:38">
      <c r="A139" s="433">
        <v>43927</v>
      </c>
      <c r="B139" s="386">
        <v>7718</v>
      </c>
      <c r="C139" s="386">
        <v>237.5</v>
      </c>
      <c r="D139" s="386">
        <v>30</v>
      </c>
      <c r="E139" s="386"/>
      <c r="F139" s="386"/>
      <c r="G139" s="386"/>
      <c r="H139" s="386"/>
      <c r="I139" s="386"/>
      <c r="J139" s="386"/>
      <c r="K139" s="386">
        <v>47928.78</v>
      </c>
      <c r="L139" s="386">
        <v>13288.125</v>
      </c>
      <c r="M139" s="386">
        <v>1020</v>
      </c>
      <c r="N139" s="435">
        <v>31.5</v>
      </c>
      <c r="O139" s="436">
        <v>62236.904999999999</v>
      </c>
      <c r="P139" s="461">
        <v>0.93325272067714626</v>
      </c>
      <c r="Q139" s="437">
        <v>21</v>
      </c>
      <c r="R139" s="438">
        <v>0.18049999999999999</v>
      </c>
      <c r="S139" s="439">
        <v>0</v>
      </c>
      <c r="T139" s="439"/>
      <c r="U139" s="439"/>
      <c r="V139" s="439"/>
      <c r="W139" s="462" t="s">
        <v>180</v>
      </c>
      <c r="Y139" s="368">
        <f t="shared" si="46"/>
        <v>43927</v>
      </c>
      <c r="Z139" s="429">
        <v>0</v>
      </c>
      <c r="AA139" s="393">
        <v>0</v>
      </c>
      <c r="AB139" s="382">
        <v>0</v>
      </c>
      <c r="AC139" s="429">
        <v>37.5</v>
      </c>
      <c r="AD139" s="430">
        <v>2098.125</v>
      </c>
      <c r="AE139" s="429"/>
      <c r="AF139" s="430">
        <v>0</v>
      </c>
      <c r="AG139" s="426"/>
      <c r="AH139" s="380">
        <f t="shared" si="47"/>
        <v>128486.3022580645</v>
      </c>
      <c r="AI139" s="381">
        <f t="shared" si="48"/>
        <v>41511.290322580644</v>
      </c>
      <c r="AJ139" s="382">
        <f t="shared" si="44"/>
        <v>21808.051612903226</v>
      </c>
      <c r="AK139" s="394">
        <f t="shared" si="45"/>
        <v>191805.64419354836</v>
      </c>
      <c r="AL139" s="440">
        <v>12</v>
      </c>
    </row>
    <row r="140" spans="1:38" ht="29.25" customHeight="1">
      <c r="A140" s="464">
        <v>43928</v>
      </c>
      <c r="B140" s="386">
        <v>5783</v>
      </c>
      <c r="C140" s="465">
        <v>55.62499999996362</v>
      </c>
      <c r="D140" s="465">
        <v>320</v>
      </c>
      <c r="E140" s="465"/>
      <c r="F140" s="465"/>
      <c r="G140" s="465"/>
      <c r="H140" s="465"/>
      <c r="I140" s="465"/>
      <c r="J140" s="465"/>
      <c r="K140" s="465">
        <v>35912.43</v>
      </c>
      <c r="L140" s="465">
        <v>3112.2187499979646</v>
      </c>
      <c r="M140" s="465">
        <v>10880</v>
      </c>
      <c r="N140" s="466">
        <v>32.5</v>
      </c>
      <c r="O140" s="467">
        <v>49904.648749997963</v>
      </c>
      <c r="P140" s="468">
        <v>0.89853946550652575</v>
      </c>
      <c r="Q140" s="469">
        <v>21</v>
      </c>
      <c r="R140" s="470">
        <v>0.18049999999999999</v>
      </c>
      <c r="S140" s="471">
        <v>0</v>
      </c>
      <c r="T140" s="471"/>
      <c r="U140" s="471"/>
      <c r="V140" s="471"/>
      <c r="W140" s="463" t="s">
        <v>181</v>
      </c>
      <c r="Y140" s="368">
        <f t="shared" si="46"/>
        <v>43928</v>
      </c>
      <c r="Z140" s="429">
        <v>0</v>
      </c>
      <c r="AA140" s="393">
        <v>0</v>
      </c>
      <c r="AB140" s="382">
        <v>0</v>
      </c>
      <c r="AC140" s="429">
        <v>0</v>
      </c>
      <c r="AD140" s="430">
        <v>0</v>
      </c>
      <c r="AE140" s="429"/>
      <c r="AF140" s="430">
        <v>0</v>
      </c>
      <c r="AG140" s="426"/>
      <c r="AH140" s="380">
        <f t="shared" si="47"/>
        <v>140502.65225806451</v>
      </c>
      <c r="AI140" s="381">
        <f t="shared" si="48"/>
        <v>51687.196572582681</v>
      </c>
      <c r="AJ140" s="382">
        <f t="shared" si="44"/>
        <v>11948.051612903226</v>
      </c>
      <c r="AK140" s="394">
        <f t="shared" si="45"/>
        <v>204137.9004435504</v>
      </c>
      <c r="AL140" s="440">
        <v>0</v>
      </c>
    </row>
    <row r="141" spans="1:38" ht="29.1">
      <c r="A141" s="464">
        <v>43929</v>
      </c>
      <c r="B141" s="386">
        <v>6193</v>
      </c>
      <c r="C141" s="465">
        <v>56.87500000003638</v>
      </c>
      <c r="D141" s="465">
        <v>320</v>
      </c>
      <c r="E141" s="465"/>
      <c r="F141" s="465"/>
      <c r="G141" s="465"/>
      <c r="H141" s="465"/>
      <c r="I141" s="465"/>
      <c r="J141" s="465"/>
      <c r="K141" s="465">
        <v>38458.53</v>
      </c>
      <c r="L141" s="465">
        <v>3182.1562500020354</v>
      </c>
      <c r="M141" s="465">
        <v>10880</v>
      </c>
      <c r="N141" s="466">
        <v>33.5</v>
      </c>
      <c r="O141" s="467">
        <v>52520.686250002036</v>
      </c>
      <c r="P141" s="468">
        <v>0.90316464926352635</v>
      </c>
      <c r="Q141" s="469">
        <v>22</v>
      </c>
      <c r="R141" s="470">
        <v>0.18049999999999999</v>
      </c>
      <c r="S141" s="471">
        <v>0</v>
      </c>
      <c r="T141" s="471"/>
      <c r="U141" s="471"/>
      <c r="V141" s="471"/>
      <c r="W141" s="463" t="s">
        <v>182</v>
      </c>
      <c r="Y141" s="368">
        <f t="shared" si="46"/>
        <v>43929</v>
      </c>
      <c r="Z141" s="429">
        <v>0</v>
      </c>
      <c r="AA141" s="393">
        <v>0</v>
      </c>
      <c r="AB141" s="382">
        <v>0</v>
      </c>
      <c r="AC141" s="429">
        <v>0</v>
      </c>
      <c r="AD141" s="430">
        <v>0</v>
      </c>
      <c r="AE141" s="429"/>
      <c r="AF141" s="430">
        <v>0</v>
      </c>
      <c r="AG141" s="426"/>
      <c r="AH141" s="380">
        <f t="shared" si="47"/>
        <v>137956.5522580645</v>
      </c>
      <c r="AI141" s="381">
        <f t="shared" si="48"/>
        <v>51617.259072578607</v>
      </c>
      <c r="AJ141" s="382">
        <f t="shared" si="44"/>
        <v>11948.051612903226</v>
      </c>
      <c r="AK141" s="394">
        <f t="shared" si="45"/>
        <v>201521.86294354632</v>
      </c>
      <c r="AL141" s="440">
        <v>0</v>
      </c>
    </row>
    <row r="142" spans="1:38">
      <c r="A142" s="433">
        <v>43930</v>
      </c>
      <c r="B142" s="386">
        <v>6237</v>
      </c>
      <c r="C142" s="386">
        <v>68.75</v>
      </c>
      <c r="D142" s="386">
        <v>50</v>
      </c>
      <c r="E142" s="386"/>
      <c r="F142" s="386"/>
      <c r="G142" s="386"/>
      <c r="H142" s="386"/>
      <c r="I142" s="386"/>
      <c r="J142" s="386"/>
      <c r="K142" s="386">
        <v>38731.769999999997</v>
      </c>
      <c r="L142" s="386">
        <v>3846.5625</v>
      </c>
      <c r="M142" s="386">
        <v>1700</v>
      </c>
      <c r="N142" s="435">
        <v>34.5</v>
      </c>
      <c r="O142" s="436">
        <v>44278.332499999997</v>
      </c>
      <c r="P142" s="461">
        <v>0.89522032438639298</v>
      </c>
      <c r="Q142" s="437">
        <v>22</v>
      </c>
      <c r="R142" s="438">
        <v>0.18049999999999999</v>
      </c>
      <c r="S142" s="439">
        <v>0</v>
      </c>
      <c r="T142" s="439"/>
      <c r="U142" s="439"/>
      <c r="V142" s="439"/>
      <c r="W142" s="463" t="s">
        <v>183</v>
      </c>
      <c r="Y142" s="368">
        <f t="shared" si="46"/>
        <v>43930</v>
      </c>
      <c r="Z142" s="429">
        <v>0</v>
      </c>
      <c r="AA142" s="393">
        <v>0</v>
      </c>
      <c r="AB142" s="382">
        <v>0</v>
      </c>
      <c r="AC142" s="429">
        <v>0</v>
      </c>
      <c r="AD142" s="430">
        <v>0</v>
      </c>
      <c r="AE142" s="429"/>
      <c r="AF142" s="430">
        <v>0</v>
      </c>
      <c r="AG142" s="426"/>
      <c r="AH142" s="380">
        <f t="shared" si="47"/>
        <v>137683.31225806451</v>
      </c>
      <c r="AI142" s="381">
        <f t="shared" si="48"/>
        <v>50952.852822580644</v>
      </c>
      <c r="AJ142" s="382">
        <f t="shared" si="44"/>
        <v>21128.051612903226</v>
      </c>
      <c r="AK142" s="394">
        <f>AH142+AI142+AJ142</f>
        <v>209764.21669354837</v>
      </c>
      <c r="AL142" s="440">
        <v>5</v>
      </c>
    </row>
    <row r="143" spans="1:38">
      <c r="A143" s="433">
        <v>43931</v>
      </c>
      <c r="B143" s="386">
        <v>6536</v>
      </c>
      <c r="C143" s="386">
        <v>87.5</v>
      </c>
      <c r="D143" s="386">
        <v>20</v>
      </c>
      <c r="E143" s="386"/>
      <c r="F143" s="386"/>
      <c r="G143" s="386"/>
      <c r="H143" s="386"/>
      <c r="I143" s="386"/>
      <c r="J143" s="386"/>
      <c r="K143" s="386">
        <v>40588.559999999998</v>
      </c>
      <c r="L143" s="386">
        <v>4895.625</v>
      </c>
      <c r="M143" s="386">
        <v>680</v>
      </c>
      <c r="N143" s="435">
        <v>35.5</v>
      </c>
      <c r="O143" s="436">
        <v>46164.184999999998</v>
      </c>
      <c r="P143" s="461">
        <v>0.88407953469498179</v>
      </c>
      <c r="Q143" s="437">
        <v>22</v>
      </c>
      <c r="R143" s="438">
        <v>0.18049999999999999</v>
      </c>
      <c r="S143" s="439">
        <v>0</v>
      </c>
      <c r="T143" s="439"/>
      <c r="U143" s="439"/>
      <c r="V143" s="439"/>
      <c r="W143" s="463" t="s">
        <v>184</v>
      </c>
      <c r="Y143" s="368">
        <f t="shared" si="46"/>
        <v>43931</v>
      </c>
      <c r="Z143" s="429">
        <v>161</v>
      </c>
      <c r="AA143" s="393">
        <v>2.4632802937576498E-2</v>
      </c>
      <c r="AB143" s="382">
        <v>999.81</v>
      </c>
      <c r="AC143" s="429">
        <v>0</v>
      </c>
      <c r="AD143" s="430">
        <v>0</v>
      </c>
      <c r="AE143" s="429"/>
      <c r="AF143" s="430">
        <v>0</v>
      </c>
      <c r="AG143" s="426"/>
      <c r="AH143" s="380">
        <f t="shared" si="47"/>
        <v>135826.52225806451</v>
      </c>
      <c r="AI143" s="381">
        <f t="shared" si="48"/>
        <v>49903.790322580644</v>
      </c>
      <c r="AJ143" s="382">
        <f t="shared" si="44"/>
        <v>22148.051612903226</v>
      </c>
      <c r="AK143" s="394">
        <f t="shared" ref="AK143:AK164" si="49">AH143+AI143+AJ143</f>
        <v>207878.36419354836</v>
      </c>
      <c r="AL143" s="440">
        <v>5</v>
      </c>
    </row>
    <row r="144" spans="1:38">
      <c r="A144" s="433">
        <v>43932</v>
      </c>
      <c r="B144" s="386">
        <v>6323</v>
      </c>
      <c r="C144" s="386">
        <v>81.25</v>
      </c>
      <c r="D144" s="386">
        <v>20</v>
      </c>
      <c r="E144" s="386"/>
      <c r="F144" s="386"/>
      <c r="G144" s="386"/>
      <c r="H144" s="386"/>
      <c r="I144" s="386"/>
      <c r="J144" s="386"/>
      <c r="K144" s="386">
        <v>39265.83</v>
      </c>
      <c r="L144" s="386">
        <v>4545.9375</v>
      </c>
      <c r="M144" s="386">
        <v>680</v>
      </c>
      <c r="N144" s="435">
        <v>36.5</v>
      </c>
      <c r="O144" s="436">
        <v>44491.767500000002</v>
      </c>
      <c r="P144" s="461">
        <v>0.91096383806367953</v>
      </c>
      <c r="Q144" s="437">
        <v>22</v>
      </c>
      <c r="R144" s="438">
        <v>0.18049999999999999</v>
      </c>
      <c r="S144" s="439">
        <v>0</v>
      </c>
      <c r="T144" s="439"/>
      <c r="U144" s="439"/>
      <c r="V144" s="439"/>
      <c r="W144" s="463"/>
      <c r="Y144" s="368">
        <f t="shared" si="46"/>
        <v>43932</v>
      </c>
      <c r="Z144" s="429">
        <v>0</v>
      </c>
      <c r="AA144" s="393">
        <v>0</v>
      </c>
      <c r="AB144" s="382">
        <v>0</v>
      </c>
      <c r="AC144" s="429">
        <v>0</v>
      </c>
      <c r="AD144" s="430">
        <v>0</v>
      </c>
      <c r="AE144" s="429"/>
      <c r="AF144" s="430">
        <v>0</v>
      </c>
      <c r="AG144" s="412"/>
      <c r="AH144" s="380">
        <f t="shared" si="47"/>
        <v>137149.25225806452</v>
      </c>
      <c r="AI144" s="381">
        <f t="shared" si="48"/>
        <v>50253.477822580644</v>
      </c>
      <c r="AJ144" s="382">
        <f t="shared" ref="AJ144:AJ164" si="50">$M$40-M144</f>
        <v>22148.051612903226</v>
      </c>
      <c r="AK144" s="394">
        <f t="shared" si="49"/>
        <v>209550.78169354837</v>
      </c>
      <c r="AL144" s="440">
        <v>9</v>
      </c>
    </row>
    <row r="145" spans="1:38">
      <c r="A145" s="433">
        <v>43933</v>
      </c>
      <c r="B145" s="386">
        <v>6360</v>
      </c>
      <c r="C145" s="386">
        <v>75</v>
      </c>
      <c r="D145" s="386">
        <v>20</v>
      </c>
      <c r="E145" s="386"/>
      <c r="F145" s="386"/>
      <c r="G145" s="386"/>
      <c r="H145" s="386"/>
      <c r="I145" s="386"/>
      <c r="J145" s="386"/>
      <c r="K145" s="386">
        <v>39495.599999999999</v>
      </c>
      <c r="L145" s="386">
        <v>4196.25</v>
      </c>
      <c r="M145" s="386">
        <v>680</v>
      </c>
      <c r="N145" s="435">
        <v>37.5</v>
      </c>
      <c r="O145" s="436">
        <v>44371.85</v>
      </c>
      <c r="P145" s="461">
        <v>0.89163045002102903</v>
      </c>
      <c r="Q145" s="437">
        <v>22</v>
      </c>
      <c r="R145" s="438">
        <v>0.18049999999999999</v>
      </c>
      <c r="S145" s="439">
        <v>0</v>
      </c>
      <c r="T145" s="439"/>
      <c r="U145" s="439"/>
      <c r="V145" s="439"/>
      <c r="W145" s="463"/>
      <c r="Y145" s="368">
        <f t="shared" si="46"/>
        <v>43933</v>
      </c>
      <c r="Z145" s="429">
        <v>0</v>
      </c>
      <c r="AA145" s="393">
        <v>0</v>
      </c>
      <c r="AB145" s="382">
        <v>0</v>
      </c>
      <c r="AC145" s="429">
        <v>0</v>
      </c>
      <c r="AD145" s="430">
        <v>0</v>
      </c>
      <c r="AE145" s="429"/>
      <c r="AF145" s="430">
        <v>0</v>
      </c>
      <c r="AG145" s="412"/>
      <c r="AH145" s="380">
        <f t="shared" si="47"/>
        <v>136919.4822580645</v>
      </c>
      <c r="AI145" s="381">
        <f t="shared" si="48"/>
        <v>50603.165322580644</v>
      </c>
      <c r="AJ145" s="382">
        <f t="shared" si="50"/>
        <v>22148.051612903226</v>
      </c>
      <c r="AK145" s="394">
        <f t="shared" si="49"/>
        <v>209670.69919354835</v>
      </c>
      <c r="AL145" s="440">
        <v>0</v>
      </c>
    </row>
    <row r="146" spans="1:38">
      <c r="A146" s="433">
        <v>43934</v>
      </c>
      <c r="B146" s="386">
        <v>6008</v>
      </c>
      <c r="C146" s="386">
        <v>62.5</v>
      </c>
      <c r="D146" s="386">
        <v>30</v>
      </c>
      <c r="E146" s="386"/>
      <c r="F146" s="386"/>
      <c r="G146" s="386"/>
      <c r="H146" s="386"/>
      <c r="I146" s="386"/>
      <c r="J146" s="386"/>
      <c r="K146" s="386">
        <v>37309.68</v>
      </c>
      <c r="L146" s="386">
        <v>3496.875</v>
      </c>
      <c r="M146" s="386">
        <v>1020</v>
      </c>
      <c r="N146" s="435">
        <v>38.5</v>
      </c>
      <c r="O146" s="436">
        <v>41826.555</v>
      </c>
      <c r="P146" s="461">
        <v>0.88184353441949215</v>
      </c>
      <c r="Q146" s="437">
        <v>22</v>
      </c>
      <c r="R146" s="438">
        <v>0.18049999999999999</v>
      </c>
      <c r="S146" s="439">
        <v>0</v>
      </c>
      <c r="T146" s="439"/>
      <c r="U146" s="439"/>
      <c r="V146" s="439"/>
      <c r="W146" s="463"/>
      <c r="Y146" s="368">
        <f t="shared" si="46"/>
        <v>43934</v>
      </c>
      <c r="Z146" s="429">
        <v>0</v>
      </c>
      <c r="AA146" s="393">
        <v>0</v>
      </c>
      <c r="AB146" s="382">
        <v>0</v>
      </c>
      <c r="AC146" s="429">
        <v>0</v>
      </c>
      <c r="AD146" s="430">
        <v>0</v>
      </c>
      <c r="AE146" s="429"/>
      <c r="AF146" s="430">
        <v>0</v>
      </c>
      <c r="AG146" s="412"/>
      <c r="AH146" s="380">
        <f t="shared" si="47"/>
        <v>139105.40225806451</v>
      </c>
      <c r="AI146" s="381">
        <f t="shared" si="48"/>
        <v>51302.540322580644</v>
      </c>
      <c r="AJ146" s="382">
        <f t="shared" si="50"/>
        <v>21808.051612903226</v>
      </c>
      <c r="AK146" s="394">
        <f t="shared" si="49"/>
        <v>212215.99419354837</v>
      </c>
      <c r="AL146" s="440">
        <v>0</v>
      </c>
    </row>
    <row r="147" spans="1:38">
      <c r="A147" s="433">
        <v>43935</v>
      </c>
      <c r="B147" s="386">
        <v>5978</v>
      </c>
      <c r="C147" s="386">
        <v>75</v>
      </c>
      <c r="D147" s="386">
        <v>30</v>
      </c>
      <c r="E147" s="386"/>
      <c r="F147" s="386"/>
      <c r="G147" s="386"/>
      <c r="H147" s="386"/>
      <c r="I147" s="386"/>
      <c r="J147" s="386"/>
      <c r="K147" s="386">
        <v>37123.379999999997</v>
      </c>
      <c r="L147" s="386">
        <v>4196.25</v>
      </c>
      <c r="M147" s="386">
        <v>1020</v>
      </c>
      <c r="N147" s="435">
        <v>39.5</v>
      </c>
      <c r="O147" s="436">
        <v>42339.63</v>
      </c>
      <c r="P147" s="461">
        <v>0.89692423105776442</v>
      </c>
      <c r="Q147" s="437">
        <v>22</v>
      </c>
      <c r="R147" s="438">
        <v>0.18049999999999999</v>
      </c>
      <c r="S147" s="439">
        <v>0</v>
      </c>
      <c r="T147" s="439"/>
      <c r="U147" s="439"/>
      <c r="V147" s="439"/>
      <c r="W147" s="463"/>
      <c r="Y147" s="368">
        <f t="shared" si="46"/>
        <v>43935</v>
      </c>
      <c r="Z147" s="429">
        <v>0</v>
      </c>
      <c r="AA147" s="393">
        <v>0</v>
      </c>
      <c r="AB147" s="382">
        <v>0</v>
      </c>
      <c r="AC147" s="429">
        <v>0</v>
      </c>
      <c r="AD147" s="430">
        <v>0</v>
      </c>
      <c r="AE147" s="429"/>
      <c r="AF147" s="430">
        <v>0</v>
      </c>
      <c r="AG147" s="412"/>
      <c r="AH147" s="380">
        <f t="shared" si="47"/>
        <v>139291.7022580645</v>
      </c>
      <c r="AI147" s="381">
        <f t="shared" si="48"/>
        <v>50603.165322580644</v>
      </c>
      <c r="AJ147" s="382">
        <f t="shared" si="50"/>
        <v>21808.051612903226</v>
      </c>
      <c r="AK147" s="394">
        <f t="shared" si="49"/>
        <v>211702.91919354835</v>
      </c>
      <c r="AL147" s="440">
        <v>0</v>
      </c>
    </row>
    <row r="148" spans="1:38" ht="57.95">
      <c r="A148" s="464">
        <v>43936</v>
      </c>
      <c r="B148" s="465">
        <v>5966</v>
      </c>
      <c r="C148" s="465">
        <v>56.25</v>
      </c>
      <c r="D148" s="465">
        <v>100</v>
      </c>
      <c r="E148" s="465"/>
      <c r="F148" s="465"/>
      <c r="G148" s="465"/>
      <c r="H148" s="465"/>
      <c r="I148" s="465"/>
      <c r="J148" s="465"/>
      <c r="K148" s="465">
        <v>37048.86</v>
      </c>
      <c r="L148" s="465">
        <v>3147.1875</v>
      </c>
      <c r="M148" s="465">
        <v>3400</v>
      </c>
      <c r="N148" s="466">
        <v>40.5</v>
      </c>
      <c r="O148" s="467">
        <v>43596.047500000001</v>
      </c>
      <c r="P148" s="468">
        <v>0.90107234556713489</v>
      </c>
      <c r="Q148" s="469">
        <v>21</v>
      </c>
      <c r="R148" s="470">
        <v>0.18049999999999999</v>
      </c>
      <c r="S148" s="471">
        <v>0</v>
      </c>
      <c r="T148" s="471"/>
      <c r="U148" s="471"/>
      <c r="V148" s="471"/>
      <c r="W148" s="463" t="s">
        <v>185</v>
      </c>
      <c r="Y148" s="368">
        <f t="shared" si="46"/>
        <v>43936</v>
      </c>
      <c r="Z148" s="429">
        <v>0</v>
      </c>
      <c r="AA148" s="393">
        <v>0</v>
      </c>
      <c r="AB148" s="382">
        <v>0</v>
      </c>
      <c r="AC148" s="429">
        <v>0</v>
      </c>
      <c r="AD148" s="430">
        <v>0</v>
      </c>
      <c r="AE148" s="429"/>
      <c r="AF148" s="430">
        <v>0</v>
      </c>
      <c r="AG148" s="412"/>
      <c r="AH148" s="380">
        <f t="shared" si="47"/>
        <v>139366.22225806449</v>
      </c>
      <c r="AI148" s="381">
        <f t="shared" si="48"/>
        <v>51652.227822580644</v>
      </c>
      <c r="AJ148" s="382">
        <f t="shared" si="50"/>
        <v>19428.051612903226</v>
      </c>
      <c r="AK148" s="394">
        <f t="shared" si="49"/>
        <v>210446.50169354834</v>
      </c>
      <c r="AL148" s="440">
        <v>8</v>
      </c>
    </row>
    <row r="149" spans="1:38" ht="43.5">
      <c r="A149" s="464">
        <v>43937</v>
      </c>
      <c r="B149" s="465">
        <v>6010</v>
      </c>
      <c r="C149" s="465">
        <v>225</v>
      </c>
      <c r="D149" s="465">
        <v>60</v>
      </c>
      <c r="E149" s="465"/>
      <c r="F149" s="465"/>
      <c r="G149" s="465"/>
      <c r="H149" s="465"/>
      <c r="I149" s="465"/>
      <c r="J149" s="465"/>
      <c r="K149" s="465">
        <v>37322.1</v>
      </c>
      <c r="L149" s="465">
        <v>12588.75</v>
      </c>
      <c r="M149" s="465">
        <v>2040</v>
      </c>
      <c r="N149" s="466">
        <v>41.5</v>
      </c>
      <c r="O149" s="467">
        <v>51950.85</v>
      </c>
      <c r="P149" s="468">
        <v>0.90186074429771912</v>
      </c>
      <c r="Q149" s="469">
        <v>20</v>
      </c>
      <c r="R149" s="470">
        <v>0.18049999999999999</v>
      </c>
      <c r="S149" s="471">
        <v>0</v>
      </c>
      <c r="T149" s="471"/>
      <c r="U149" s="471"/>
      <c r="V149" s="471"/>
      <c r="W149" s="463" t="s">
        <v>186</v>
      </c>
      <c r="Y149" s="368">
        <f t="shared" si="46"/>
        <v>43937</v>
      </c>
      <c r="Z149" s="429">
        <v>0</v>
      </c>
      <c r="AA149" s="393">
        <v>0</v>
      </c>
      <c r="AB149" s="382">
        <v>0</v>
      </c>
      <c r="AC149" s="429">
        <v>12.5</v>
      </c>
      <c r="AD149" s="430">
        <v>699.375</v>
      </c>
      <c r="AE149" s="429"/>
      <c r="AF149" s="430">
        <v>0</v>
      </c>
      <c r="AG149" s="412"/>
      <c r="AH149" s="380">
        <f t="shared" si="47"/>
        <v>139092.9822580645</v>
      </c>
      <c r="AI149" s="381">
        <f t="shared" si="48"/>
        <v>42210.665322580644</v>
      </c>
      <c r="AJ149" s="382">
        <f t="shared" si="50"/>
        <v>20788.051612903226</v>
      </c>
      <c r="AK149" s="394">
        <f t="shared" si="49"/>
        <v>202091.69919354835</v>
      </c>
      <c r="AL149" s="440">
        <v>5</v>
      </c>
    </row>
    <row r="150" spans="1:38" ht="29.1">
      <c r="A150" s="464">
        <v>43938</v>
      </c>
      <c r="B150" s="465">
        <v>5587</v>
      </c>
      <c r="C150" s="465">
        <v>68.75</v>
      </c>
      <c r="D150" s="465">
        <v>50</v>
      </c>
      <c r="E150" s="465"/>
      <c r="F150" s="465"/>
      <c r="G150" s="465"/>
      <c r="H150" s="465"/>
      <c r="I150" s="465"/>
      <c r="J150" s="465"/>
      <c r="K150" s="465">
        <v>34695.269999999997</v>
      </c>
      <c r="L150" s="465">
        <v>3846.5625</v>
      </c>
      <c r="M150" s="465">
        <v>1700</v>
      </c>
      <c r="N150" s="466">
        <v>42.5</v>
      </c>
      <c r="O150" s="467">
        <v>40241.832499999997</v>
      </c>
      <c r="P150" s="468">
        <v>0.84754247572815533</v>
      </c>
      <c r="Q150" s="469">
        <v>20</v>
      </c>
      <c r="R150" s="470">
        <v>0.18049999999999999</v>
      </c>
      <c r="S150" s="471">
        <v>0</v>
      </c>
      <c r="T150" s="471"/>
      <c r="U150" s="471"/>
      <c r="V150" s="471"/>
      <c r="W150" s="462" t="s">
        <v>187</v>
      </c>
      <c r="Y150" s="368">
        <f t="shared" si="46"/>
        <v>43938</v>
      </c>
      <c r="Z150" s="429">
        <v>0</v>
      </c>
      <c r="AA150" s="393">
        <v>0</v>
      </c>
      <c r="AB150" s="382">
        <v>0</v>
      </c>
      <c r="AC150" s="429">
        <v>0</v>
      </c>
      <c r="AD150" s="430">
        <v>0</v>
      </c>
      <c r="AE150" s="429"/>
      <c r="AF150" s="430">
        <v>0</v>
      </c>
      <c r="AG150" s="412"/>
      <c r="AH150" s="380">
        <f t="shared" si="47"/>
        <v>141719.81225806451</v>
      </c>
      <c r="AI150" s="381">
        <f t="shared" si="48"/>
        <v>50952.852822580644</v>
      </c>
      <c r="AJ150" s="382">
        <f t="shared" si="50"/>
        <v>21128.051612903226</v>
      </c>
      <c r="AK150" s="394">
        <f t="shared" si="49"/>
        <v>213800.71669354837</v>
      </c>
      <c r="AL150" s="440">
        <v>0</v>
      </c>
    </row>
    <row r="151" spans="1:38">
      <c r="A151" s="433">
        <v>43939</v>
      </c>
      <c r="B151" s="386">
        <v>6267</v>
      </c>
      <c r="C151" s="386">
        <v>68.75</v>
      </c>
      <c r="D151" s="386">
        <v>50</v>
      </c>
      <c r="E151" s="386"/>
      <c r="F151" s="386"/>
      <c r="G151" s="386"/>
      <c r="H151" s="386"/>
      <c r="I151" s="386"/>
      <c r="J151" s="386"/>
      <c r="K151" s="386">
        <v>38918.07</v>
      </c>
      <c r="L151" s="386">
        <v>3846.5625</v>
      </c>
      <c r="M151" s="386">
        <v>1700</v>
      </c>
      <c r="N151" s="435">
        <v>43.5</v>
      </c>
      <c r="O151" s="436">
        <v>44464.6325</v>
      </c>
      <c r="P151" s="461">
        <v>0.87503490645071214</v>
      </c>
      <c r="Q151" s="437">
        <v>20</v>
      </c>
      <c r="R151" s="438">
        <v>0.18049999999999999</v>
      </c>
      <c r="S151" s="439">
        <v>0</v>
      </c>
      <c r="T151" s="439"/>
      <c r="U151" s="439"/>
      <c r="V151" s="439"/>
      <c r="W151" s="463" t="s">
        <v>184</v>
      </c>
      <c r="Y151" s="368">
        <f t="shared" si="46"/>
        <v>43939</v>
      </c>
      <c r="Z151" s="429">
        <v>68</v>
      </c>
      <c r="AA151" s="393">
        <v>1.0850486676240625E-2</v>
      </c>
      <c r="AB151" s="382">
        <v>422.28</v>
      </c>
      <c r="AC151" s="429">
        <v>0</v>
      </c>
      <c r="AD151" s="430">
        <v>0</v>
      </c>
      <c r="AE151" s="429"/>
      <c r="AF151" s="430">
        <v>0</v>
      </c>
      <c r="AG151" s="412"/>
      <c r="AH151" s="380">
        <f t="shared" si="47"/>
        <v>137497.0122580645</v>
      </c>
      <c r="AI151" s="381">
        <f t="shared" si="48"/>
        <v>50952.852822580644</v>
      </c>
      <c r="AJ151" s="382">
        <f t="shared" si="50"/>
        <v>21128.051612903226</v>
      </c>
      <c r="AK151" s="394">
        <f t="shared" si="49"/>
        <v>209577.91669354835</v>
      </c>
      <c r="AL151" s="440"/>
    </row>
    <row r="152" spans="1:38">
      <c r="A152" s="433">
        <v>43940</v>
      </c>
      <c r="B152" s="386">
        <v>5655</v>
      </c>
      <c r="C152" s="386">
        <v>62.5</v>
      </c>
      <c r="D152" s="386">
        <v>20</v>
      </c>
      <c r="E152" s="386"/>
      <c r="F152" s="386"/>
      <c r="G152" s="386"/>
      <c r="H152" s="386"/>
      <c r="I152" s="386"/>
      <c r="J152" s="386"/>
      <c r="K152" s="386">
        <v>35117.550000000003</v>
      </c>
      <c r="L152" s="386">
        <v>3496.875</v>
      </c>
      <c r="M152" s="386">
        <v>680</v>
      </c>
      <c r="N152" s="435">
        <v>44.5</v>
      </c>
      <c r="O152" s="436">
        <v>39294.425000000003</v>
      </c>
      <c r="P152" s="461">
        <v>0.90683130211674146</v>
      </c>
      <c r="Q152" s="437">
        <v>20</v>
      </c>
      <c r="R152" s="438">
        <v>0.18049999999999999</v>
      </c>
      <c r="S152" s="439">
        <v>0</v>
      </c>
      <c r="T152" s="439"/>
      <c r="U152" s="439"/>
      <c r="V152" s="439"/>
      <c r="W152" s="463"/>
      <c r="Y152" s="368">
        <f t="shared" si="46"/>
        <v>43940</v>
      </c>
      <c r="Z152" s="429">
        <v>0</v>
      </c>
      <c r="AA152" s="393">
        <v>0</v>
      </c>
      <c r="AB152" s="382">
        <v>0</v>
      </c>
      <c r="AC152" s="429">
        <v>0</v>
      </c>
      <c r="AD152" s="430">
        <v>0</v>
      </c>
      <c r="AE152" s="429"/>
      <c r="AF152" s="430">
        <v>0</v>
      </c>
      <c r="AG152" s="412"/>
      <c r="AH152" s="380">
        <f t="shared" si="47"/>
        <v>141297.53225806449</v>
      </c>
      <c r="AI152" s="381">
        <f t="shared" si="48"/>
        <v>51302.540322580644</v>
      </c>
      <c r="AJ152" s="382">
        <f t="shared" si="50"/>
        <v>22148.051612903226</v>
      </c>
      <c r="AK152" s="394">
        <f t="shared" si="49"/>
        <v>214748.12419354834</v>
      </c>
      <c r="AL152" s="440"/>
    </row>
    <row r="153" spans="1:38">
      <c r="A153" s="433">
        <v>43941</v>
      </c>
      <c r="B153" s="386">
        <v>5859</v>
      </c>
      <c r="C153" s="386">
        <v>87.5</v>
      </c>
      <c r="D153" s="386">
        <v>20</v>
      </c>
      <c r="E153" s="386"/>
      <c r="F153" s="386"/>
      <c r="G153" s="386"/>
      <c r="H153" s="386"/>
      <c r="I153" s="386"/>
      <c r="J153" s="386"/>
      <c r="K153" s="386">
        <v>36384.39</v>
      </c>
      <c r="L153" s="386">
        <v>4895.625</v>
      </c>
      <c r="M153" s="386">
        <v>680</v>
      </c>
      <c r="N153" s="435">
        <v>45.5</v>
      </c>
      <c r="O153" s="436">
        <v>41960.014999999999</v>
      </c>
      <c r="P153" s="461">
        <v>0.90570412737671979</v>
      </c>
      <c r="Q153" s="437">
        <v>20</v>
      </c>
      <c r="R153" s="438">
        <v>0.18049999999999999</v>
      </c>
      <c r="S153" s="439">
        <v>0</v>
      </c>
      <c r="T153" s="439"/>
      <c r="U153" s="439"/>
      <c r="V153" s="439"/>
      <c r="W153" s="463" t="s">
        <v>188</v>
      </c>
      <c r="Y153" s="368">
        <f t="shared" si="46"/>
        <v>43941</v>
      </c>
      <c r="Z153" s="429">
        <v>0</v>
      </c>
      <c r="AA153" s="393">
        <v>0</v>
      </c>
      <c r="AB153" s="382">
        <v>0</v>
      </c>
      <c r="AC153" s="429">
        <v>0</v>
      </c>
      <c r="AD153" s="430">
        <v>0</v>
      </c>
      <c r="AE153" s="429"/>
      <c r="AF153" s="430">
        <v>0</v>
      </c>
      <c r="AG153" s="412"/>
      <c r="AH153" s="380">
        <f t="shared" si="47"/>
        <v>140030.69225806452</v>
      </c>
      <c r="AI153" s="381">
        <f t="shared" si="48"/>
        <v>49903.790322580644</v>
      </c>
      <c r="AJ153" s="382">
        <f t="shared" si="50"/>
        <v>22148.051612903226</v>
      </c>
      <c r="AK153" s="394">
        <f t="shared" si="49"/>
        <v>212082.53419354837</v>
      </c>
      <c r="AL153" s="440"/>
    </row>
    <row r="154" spans="1:38" ht="29.1">
      <c r="A154" s="464">
        <v>43942</v>
      </c>
      <c r="B154" s="465">
        <v>5608</v>
      </c>
      <c r="C154" s="465">
        <v>100</v>
      </c>
      <c r="D154" s="465">
        <v>50</v>
      </c>
      <c r="E154" s="465"/>
      <c r="F154" s="465"/>
      <c r="G154" s="465"/>
      <c r="H154" s="465"/>
      <c r="I154" s="465"/>
      <c r="J154" s="465"/>
      <c r="K154" s="465">
        <v>34825.68</v>
      </c>
      <c r="L154" s="465">
        <v>5595</v>
      </c>
      <c r="M154" s="465">
        <v>1700</v>
      </c>
      <c r="N154" s="466">
        <v>46.5</v>
      </c>
      <c r="O154" s="467">
        <v>42120.68</v>
      </c>
      <c r="P154" s="468">
        <v>0.83914409696244197</v>
      </c>
      <c r="Q154" s="469">
        <v>20</v>
      </c>
      <c r="R154" s="470">
        <v>0.18049999999999999</v>
      </c>
      <c r="S154" s="471">
        <v>0</v>
      </c>
      <c r="T154" s="471"/>
      <c r="U154" s="471"/>
      <c r="V154" s="471"/>
      <c r="W154" s="462" t="s">
        <v>187</v>
      </c>
      <c r="Y154" s="368">
        <f t="shared" si="46"/>
        <v>43942</v>
      </c>
      <c r="Z154" s="429">
        <v>0</v>
      </c>
      <c r="AA154" s="393">
        <v>0</v>
      </c>
      <c r="AB154" s="382">
        <v>0</v>
      </c>
      <c r="AC154" s="429">
        <v>0</v>
      </c>
      <c r="AD154" s="430">
        <v>0</v>
      </c>
      <c r="AE154" s="429"/>
      <c r="AF154" s="430">
        <v>0</v>
      </c>
      <c r="AG154" s="412"/>
      <c r="AH154" s="380">
        <f t="shared" si="47"/>
        <v>141589.40225806451</v>
      </c>
      <c r="AI154" s="381">
        <f t="shared" si="48"/>
        <v>49204.415322580644</v>
      </c>
      <c r="AJ154" s="382">
        <f t="shared" si="50"/>
        <v>21128.051612903226</v>
      </c>
      <c r="AK154" s="394">
        <f t="shared" si="49"/>
        <v>211921.86919354837</v>
      </c>
      <c r="AL154" s="440"/>
    </row>
    <row r="155" spans="1:38" ht="17.25" customHeight="1">
      <c r="A155" s="433">
        <v>43943</v>
      </c>
      <c r="B155" s="386">
        <v>6002</v>
      </c>
      <c r="C155" s="386">
        <v>118.75</v>
      </c>
      <c r="D155" s="386">
        <v>140</v>
      </c>
      <c r="E155" s="386"/>
      <c r="F155" s="386"/>
      <c r="G155" s="386"/>
      <c r="H155" s="386"/>
      <c r="I155" s="386"/>
      <c r="J155" s="386"/>
      <c r="K155" s="386">
        <v>37272.42</v>
      </c>
      <c r="L155" s="386">
        <v>6644.0625</v>
      </c>
      <c r="M155" s="386">
        <v>4760</v>
      </c>
      <c r="N155" s="435">
        <v>47.5</v>
      </c>
      <c r="O155" s="436">
        <v>48676.482499999998</v>
      </c>
      <c r="P155" s="461">
        <v>0.88577331759149946</v>
      </c>
      <c r="Q155" s="437">
        <v>20</v>
      </c>
      <c r="R155" s="438">
        <v>0.18049999999999999</v>
      </c>
      <c r="S155" s="439">
        <v>0</v>
      </c>
      <c r="T155" s="439"/>
      <c r="U155" s="439"/>
      <c r="V155" s="439"/>
      <c r="W155" s="463" t="s">
        <v>189</v>
      </c>
      <c r="Y155" s="368">
        <f t="shared" si="46"/>
        <v>43943</v>
      </c>
      <c r="Z155" s="429">
        <v>0</v>
      </c>
      <c r="AA155" s="393">
        <v>0</v>
      </c>
      <c r="AB155" s="382">
        <v>0</v>
      </c>
      <c r="AC155" s="429">
        <v>0</v>
      </c>
      <c r="AD155" s="430">
        <v>0</v>
      </c>
      <c r="AE155" s="429"/>
      <c r="AF155" s="430">
        <v>0</v>
      </c>
      <c r="AG155" s="412"/>
      <c r="AH155" s="380">
        <f t="shared" si="47"/>
        <v>139142.66225806449</v>
      </c>
      <c r="AI155" s="381">
        <f t="shared" si="48"/>
        <v>48155.352822580644</v>
      </c>
      <c r="AJ155" s="382">
        <f t="shared" si="50"/>
        <v>18068.051612903226</v>
      </c>
      <c r="AK155" s="394">
        <f t="shared" si="49"/>
        <v>205366.06669354835</v>
      </c>
      <c r="AL155" s="440"/>
    </row>
    <row r="156" spans="1:38">
      <c r="A156" s="433">
        <v>43944</v>
      </c>
      <c r="B156" s="386">
        <v>5961</v>
      </c>
      <c r="C156" s="386">
        <v>75</v>
      </c>
      <c r="D156" s="386">
        <v>110</v>
      </c>
      <c r="E156" s="386"/>
      <c r="F156" s="386"/>
      <c r="G156" s="386"/>
      <c r="H156" s="386"/>
      <c r="I156" s="386"/>
      <c r="J156" s="386"/>
      <c r="K156" s="386">
        <v>37017.81</v>
      </c>
      <c r="L156" s="386">
        <v>4196.25</v>
      </c>
      <c r="M156" s="386">
        <v>3740</v>
      </c>
      <c r="N156" s="435">
        <v>48.5</v>
      </c>
      <c r="O156" s="436">
        <v>44954.06</v>
      </c>
      <c r="P156" s="461">
        <v>0.89531390808050471</v>
      </c>
      <c r="Q156" s="437">
        <v>20</v>
      </c>
      <c r="R156" s="438">
        <v>0.18049999999999999</v>
      </c>
      <c r="S156" s="439">
        <v>0</v>
      </c>
      <c r="T156" s="439"/>
      <c r="U156" s="439"/>
      <c r="V156" s="439"/>
      <c r="W156" s="463" t="s">
        <v>190</v>
      </c>
      <c r="Y156" s="368">
        <f t="shared" si="46"/>
        <v>43944</v>
      </c>
      <c r="Z156" s="429">
        <v>0</v>
      </c>
      <c r="AA156" s="393">
        <v>0</v>
      </c>
      <c r="AB156" s="382">
        <v>0</v>
      </c>
      <c r="AC156" s="429">
        <v>0</v>
      </c>
      <c r="AD156" s="430">
        <v>0</v>
      </c>
      <c r="AE156" s="429"/>
      <c r="AF156" s="430">
        <v>0</v>
      </c>
      <c r="AG156" s="412"/>
      <c r="AH156" s="380">
        <f t="shared" si="47"/>
        <v>139397.27225806451</v>
      </c>
      <c r="AI156" s="381">
        <f t="shared" si="48"/>
        <v>50603.165322580644</v>
      </c>
      <c r="AJ156" s="382">
        <f t="shared" si="50"/>
        <v>19088.051612903226</v>
      </c>
      <c r="AK156" s="396">
        <f t="shared" si="49"/>
        <v>209088.48919354836</v>
      </c>
      <c r="AL156" s="440"/>
    </row>
    <row r="157" spans="1:38">
      <c r="A157" s="433">
        <v>43945</v>
      </c>
      <c r="B157" s="386">
        <v>5851</v>
      </c>
      <c r="C157" s="386">
        <v>68.75</v>
      </c>
      <c r="D157" s="386">
        <v>130</v>
      </c>
      <c r="E157" s="386"/>
      <c r="F157" s="386"/>
      <c r="G157" s="386"/>
      <c r="H157" s="386"/>
      <c r="I157" s="386"/>
      <c r="J157" s="386"/>
      <c r="K157" s="386">
        <v>36334.71</v>
      </c>
      <c r="L157" s="386">
        <v>3846.5625</v>
      </c>
      <c r="M157" s="386">
        <v>4420</v>
      </c>
      <c r="N157" s="435">
        <v>49.5</v>
      </c>
      <c r="O157" s="436">
        <v>44601.272499999999</v>
      </c>
      <c r="P157" s="461">
        <v>0.88250377073906483</v>
      </c>
      <c r="Q157" s="437">
        <v>20</v>
      </c>
      <c r="R157" s="438">
        <v>0.18049999999999999</v>
      </c>
      <c r="S157" s="439">
        <v>0</v>
      </c>
      <c r="T157" s="439"/>
      <c r="U157" s="439"/>
      <c r="V157" s="439"/>
      <c r="W157" s="463" t="s">
        <v>191</v>
      </c>
      <c r="Y157" s="368">
        <f t="shared" si="46"/>
        <v>43945</v>
      </c>
      <c r="Z157" s="429">
        <v>0</v>
      </c>
      <c r="AA157" s="393">
        <v>0</v>
      </c>
      <c r="AB157" s="382">
        <v>0</v>
      </c>
      <c r="AC157" s="429">
        <v>0</v>
      </c>
      <c r="AD157" s="430">
        <v>0</v>
      </c>
      <c r="AE157" s="429"/>
      <c r="AF157" s="430">
        <v>0</v>
      </c>
      <c r="AG157" s="412"/>
      <c r="AH157" s="380">
        <f t="shared" si="47"/>
        <v>140080.37225806451</v>
      </c>
      <c r="AI157" s="381">
        <f t="shared" si="48"/>
        <v>50952.852822580644</v>
      </c>
      <c r="AJ157" s="382">
        <f t="shared" si="50"/>
        <v>18408.051612903226</v>
      </c>
      <c r="AK157" s="396">
        <f t="shared" si="49"/>
        <v>209441.27669354837</v>
      </c>
      <c r="AL157" s="440"/>
    </row>
    <row r="158" spans="1:38" ht="43.5">
      <c r="A158" s="464">
        <v>43946</v>
      </c>
      <c r="B158" s="465">
        <v>5877</v>
      </c>
      <c r="C158" s="465">
        <v>68.12499999996362</v>
      </c>
      <c r="D158" s="465">
        <v>110</v>
      </c>
      <c r="E158" s="465"/>
      <c r="F158" s="465"/>
      <c r="G158" s="465"/>
      <c r="H158" s="465"/>
      <c r="I158" s="465"/>
      <c r="J158" s="465"/>
      <c r="K158" s="465">
        <v>36496.17</v>
      </c>
      <c r="L158" s="465">
        <v>3811.5937499979646</v>
      </c>
      <c r="M158" s="465">
        <v>3740</v>
      </c>
      <c r="N158" s="466">
        <v>50.5</v>
      </c>
      <c r="O158" s="467">
        <v>44047.763749997961</v>
      </c>
      <c r="P158" s="468">
        <v>0.88655905868155072</v>
      </c>
      <c r="Q158" s="469">
        <v>20</v>
      </c>
      <c r="R158" s="470">
        <v>0.18049999999999999</v>
      </c>
      <c r="S158" s="471">
        <v>0</v>
      </c>
      <c r="T158" s="471"/>
      <c r="U158" s="471"/>
      <c r="V158" s="471"/>
      <c r="W158" s="462" t="s">
        <v>192</v>
      </c>
      <c r="Y158" s="368">
        <f t="shared" si="46"/>
        <v>43946</v>
      </c>
      <c r="Z158" s="429">
        <v>0</v>
      </c>
      <c r="AA158" s="393">
        <v>0</v>
      </c>
      <c r="AB158" s="382">
        <v>0</v>
      </c>
      <c r="AC158" s="429">
        <v>0</v>
      </c>
      <c r="AD158" s="430">
        <v>0</v>
      </c>
      <c r="AE158" s="429"/>
      <c r="AF158" s="430">
        <v>0</v>
      </c>
      <c r="AG158" s="412"/>
      <c r="AH158" s="380">
        <f t="shared" si="47"/>
        <v>139918.91225806449</v>
      </c>
      <c r="AI158" s="381">
        <f t="shared" si="48"/>
        <v>50987.821572582681</v>
      </c>
      <c r="AJ158" s="382">
        <f t="shared" si="50"/>
        <v>19088.051612903226</v>
      </c>
      <c r="AK158" s="396">
        <f t="shared" si="49"/>
        <v>209994.78544355038</v>
      </c>
      <c r="AL158" s="440"/>
    </row>
    <row r="159" spans="1:38" ht="72.599999999999994">
      <c r="A159" s="464">
        <v>43947</v>
      </c>
      <c r="B159" s="465">
        <v>7031</v>
      </c>
      <c r="C159" s="465">
        <v>81.87500000003638</v>
      </c>
      <c r="D159" s="465">
        <v>80</v>
      </c>
      <c r="E159" s="465"/>
      <c r="F159" s="465"/>
      <c r="G159" s="465"/>
      <c r="H159" s="465"/>
      <c r="I159" s="465"/>
      <c r="J159" s="465"/>
      <c r="K159" s="465">
        <v>43662.51</v>
      </c>
      <c r="L159" s="465">
        <v>4580.9062500020354</v>
      </c>
      <c r="M159" s="465">
        <v>2720</v>
      </c>
      <c r="N159" s="466">
        <v>51.5</v>
      </c>
      <c r="O159" s="467">
        <v>50963.416250002039</v>
      </c>
      <c r="P159" s="468">
        <v>0.92318802521008403</v>
      </c>
      <c r="Q159" s="469">
        <v>20</v>
      </c>
      <c r="R159" s="470">
        <v>0.18049999999999999</v>
      </c>
      <c r="S159" s="471">
        <v>0</v>
      </c>
      <c r="T159" s="471"/>
      <c r="U159" s="471"/>
      <c r="V159" s="471"/>
      <c r="W159" s="462" t="s">
        <v>193</v>
      </c>
      <c r="Y159" s="368">
        <f t="shared" si="46"/>
        <v>43947</v>
      </c>
      <c r="Z159" s="429">
        <v>0</v>
      </c>
      <c r="AA159" s="393">
        <v>0</v>
      </c>
      <c r="AB159" s="382">
        <v>0</v>
      </c>
      <c r="AC159" s="429">
        <v>0</v>
      </c>
      <c r="AD159" s="430">
        <v>0</v>
      </c>
      <c r="AE159" s="429"/>
      <c r="AF159" s="430">
        <v>0</v>
      </c>
      <c r="AG159" s="412"/>
      <c r="AH159" s="380">
        <f t="shared" si="47"/>
        <v>132752.57225806449</v>
      </c>
      <c r="AI159" s="381">
        <f t="shared" si="48"/>
        <v>50218.509072578607</v>
      </c>
      <c r="AJ159" s="382">
        <f t="shared" si="50"/>
        <v>20108.051612903226</v>
      </c>
      <c r="AK159" s="396">
        <f t="shared" si="49"/>
        <v>203079.13294354631</v>
      </c>
      <c r="AL159" s="440"/>
    </row>
    <row r="160" spans="1:38">
      <c r="A160" s="433">
        <v>43948</v>
      </c>
      <c r="B160" s="386">
        <v>6337</v>
      </c>
      <c r="C160" s="386">
        <v>193.75</v>
      </c>
      <c r="D160" s="386">
        <v>70</v>
      </c>
      <c r="E160" s="386"/>
      <c r="F160" s="386"/>
      <c r="G160" s="386"/>
      <c r="H160" s="386"/>
      <c r="I160" s="386"/>
      <c r="J160" s="386"/>
      <c r="K160" s="386">
        <v>39352.769999999997</v>
      </c>
      <c r="L160" s="386">
        <v>10840.3125</v>
      </c>
      <c r="M160" s="386">
        <v>2380</v>
      </c>
      <c r="N160" s="435">
        <v>52.5</v>
      </c>
      <c r="O160" s="436">
        <v>52573.082499999997</v>
      </c>
      <c r="P160" s="461">
        <v>0.92551482401051555</v>
      </c>
      <c r="Q160" s="437">
        <v>20</v>
      </c>
      <c r="R160" s="438">
        <v>0.18049999999999999</v>
      </c>
      <c r="S160" s="439">
        <v>0</v>
      </c>
      <c r="T160" s="439"/>
      <c r="U160" s="439"/>
      <c r="V160" s="439"/>
      <c r="W160" s="463" t="s">
        <v>194</v>
      </c>
      <c r="Y160" s="368">
        <f t="shared" si="46"/>
        <v>43948</v>
      </c>
      <c r="Z160" s="429">
        <v>0</v>
      </c>
      <c r="AA160" s="393">
        <v>0</v>
      </c>
      <c r="AB160" s="382">
        <v>0</v>
      </c>
      <c r="AC160" s="429">
        <v>50</v>
      </c>
      <c r="AD160" s="430">
        <v>2797.5</v>
      </c>
      <c r="AE160" s="429"/>
      <c r="AF160" s="430">
        <v>0</v>
      </c>
      <c r="AG160" s="412"/>
      <c r="AH160" s="380">
        <f t="shared" si="47"/>
        <v>137062.31225806451</v>
      </c>
      <c r="AI160" s="381">
        <f t="shared" si="48"/>
        <v>43959.102822580644</v>
      </c>
      <c r="AJ160" s="382">
        <f t="shared" si="50"/>
        <v>20448.051612903226</v>
      </c>
      <c r="AK160" s="396">
        <f t="shared" si="49"/>
        <v>201469.46669354837</v>
      </c>
      <c r="AL160" s="440"/>
    </row>
    <row r="161" spans="1:38">
      <c r="A161" s="433">
        <v>43949</v>
      </c>
      <c r="B161" s="386">
        <v>6696</v>
      </c>
      <c r="C161" s="386">
        <v>118.75</v>
      </c>
      <c r="D161" s="386">
        <v>70</v>
      </c>
      <c r="E161" s="386"/>
      <c r="F161" s="386"/>
      <c r="G161" s="386"/>
      <c r="H161" s="386"/>
      <c r="I161" s="386"/>
      <c r="J161" s="386"/>
      <c r="K161" s="386">
        <v>41582.159999999996</v>
      </c>
      <c r="L161" s="386">
        <v>6644.0625</v>
      </c>
      <c r="M161" s="386">
        <v>2380</v>
      </c>
      <c r="N161" s="435">
        <v>53.5</v>
      </c>
      <c r="O161" s="436">
        <v>50606.222499999996</v>
      </c>
      <c r="P161" s="461">
        <v>0.90474260235103365</v>
      </c>
      <c r="Q161" s="437">
        <v>20</v>
      </c>
      <c r="R161" s="438">
        <v>0.18049999999999999</v>
      </c>
      <c r="S161" s="439">
        <v>0</v>
      </c>
      <c r="T161" s="439"/>
      <c r="U161" s="439"/>
      <c r="V161" s="439"/>
      <c r="W161" s="463"/>
      <c r="Y161" s="368">
        <f t="shared" si="46"/>
        <v>43949</v>
      </c>
      <c r="Z161" s="429">
        <v>0</v>
      </c>
      <c r="AA161" s="393">
        <v>0</v>
      </c>
      <c r="AB161" s="382">
        <v>0</v>
      </c>
      <c r="AC161" s="429">
        <v>0</v>
      </c>
      <c r="AD161" s="430">
        <v>0</v>
      </c>
      <c r="AE161" s="429"/>
      <c r="AF161" s="430">
        <v>0</v>
      </c>
      <c r="AG161" s="412"/>
      <c r="AH161" s="380">
        <f t="shared" si="47"/>
        <v>134832.9222580645</v>
      </c>
      <c r="AI161" s="381">
        <f t="shared" si="48"/>
        <v>48155.352822580644</v>
      </c>
      <c r="AJ161" s="382">
        <f t="shared" si="50"/>
        <v>20448.051612903226</v>
      </c>
      <c r="AK161" s="396">
        <f t="shared" si="49"/>
        <v>203436.32669354836</v>
      </c>
      <c r="AL161" s="440"/>
    </row>
    <row r="162" spans="1:38">
      <c r="A162" s="433">
        <v>43950</v>
      </c>
      <c r="B162" s="386">
        <v>5418</v>
      </c>
      <c r="C162" s="386">
        <v>56.25</v>
      </c>
      <c r="D162" s="386">
        <v>80</v>
      </c>
      <c r="E162" s="386"/>
      <c r="F162" s="386"/>
      <c r="G162" s="386"/>
      <c r="H162" s="386"/>
      <c r="I162" s="386"/>
      <c r="J162" s="386"/>
      <c r="K162" s="386">
        <v>33645.78</v>
      </c>
      <c r="L162" s="386">
        <v>3147.1875</v>
      </c>
      <c r="M162" s="386">
        <v>2720</v>
      </c>
      <c r="N162" s="435">
        <v>54.5</v>
      </c>
      <c r="O162" s="436">
        <v>39512.967499999999</v>
      </c>
      <c r="P162" s="461">
        <v>0.90254872563718136</v>
      </c>
      <c r="Q162" s="437">
        <v>20</v>
      </c>
      <c r="R162" s="438">
        <v>0.18049999999999999</v>
      </c>
      <c r="S162" s="439">
        <v>0</v>
      </c>
      <c r="T162" s="439"/>
      <c r="U162" s="439"/>
      <c r="V162" s="439"/>
      <c r="W162" s="463"/>
      <c r="Y162" s="368">
        <f t="shared" si="46"/>
        <v>43950</v>
      </c>
      <c r="Z162" s="429">
        <v>0</v>
      </c>
      <c r="AA162" s="393">
        <v>0</v>
      </c>
      <c r="AB162" s="382">
        <v>0</v>
      </c>
      <c r="AC162" s="429">
        <v>0</v>
      </c>
      <c r="AD162" s="430">
        <v>0</v>
      </c>
      <c r="AE162" s="429"/>
      <c r="AF162" s="430">
        <v>0</v>
      </c>
      <c r="AG162" s="412"/>
      <c r="AH162" s="380">
        <f t="shared" si="47"/>
        <v>142769.3022580645</v>
      </c>
      <c r="AI162" s="381">
        <f t="shared" si="48"/>
        <v>51652.227822580644</v>
      </c>
      <c r="AJ162" s="382">
        <f t="shared" si="50"/>
        <v>20108.051612903226</v>
      </c>
      <c r="AK162" s="396">
        <f t="shared" si="49"/>
        <v>214529.58169354836</v>
      </c>
      <c r="AL162" s="440"/>
    </row>
    <row r="163" spans="1:38">
      <c r="A163" s="433">
        <v>43951</v>
      </c>
      <c r="B163" s="386">
        <v>5886</v>
      </c>
      <c r="C163" s="386">
        <v>50</v>
      </c>
      <c r="D163" s="386">
        <v>90</v>
      </c>
      <c r="E163" s="386"/>
      <c r="F163" s="386"/>
      <c r="G163" s="386"/>
      <c r="H163" s="386"/>
      <c r="I163" s="386"/>
      <c r="J163" s="386"/>
      <c r="K163" s="386">
        <v>36552.06</v>
      </c>
      <c r="L163" s="386">
        <v>2797.5</v>
      </c>
      <c r="M163" s="386">
        <v>3060</v>
      </c>
      <c r="N163" s="435">
        <v>55.5</v>
      </c>
      <c r="O163" s="436">
        <v>42409.56</v>
      </c>
      <c r="P163" s="461">
        <v>0.8896614268440145</v>
      </c>
      <c r="Q163" s="437">
        <v>20</v>
      </c>
      <c r="R163" s="438">
        <v>0.18049999999999999</v>
      </c>
      <c r="S163" s="439">
        <v>0</v>
      </c>
      <c r="T163" s="439"/>
      <c r="U163" s="439"/>
      <c r="V163" s="439"/>
      <c r="W163" s="463"/>
      <c r="Y163" s="368">
        <f t="shared" si="46"/>
        <v>43951</v>
      </c>
      <c r="Z163" s="429">
        <v>0</v>
      </c>
      <c r="AA163" s="393">
        <v>0</v>
      </c>
      <c r="AB163" s="382">
        <v>0</v>
      </c>
      <c r="AC163" s="429">
        <v>0</v>
      </c>
      <c r="AD163" s="430">
        <v>0</v>
      </c>
      <c r="AE163" s="429"/>
      <c r="AF163" s="430">
        <v>0</v>
      </c>
      <c r="AG163" s="412"/>
      <c r="AH163" s="380">
        <f t="shared" si="47"/>
        <v>139863.02225806451</v>
      </c>
      <c r="AI163" s="381">
        <f t="shared" si="48"/>
        <v>52001.915322580644</v>
      </c>
      <c r="AJ163" s="382">
        <f t="shared" si="50"/>
        <v>19768.051612903226</v>
      </c>
      <c r="AK163" s="396">
        <f t="shared" si="49"/>
        <v>211632.98919354836</v>
      </c>
      <c r="AL163" s="440"/>
    </row>
    <row r="164" spans="1:38">
      <c r="A164" s="433"/>
      <c r="B164" s="441"/>
      <c r="C164" s="386"/>
      <c r="D164" s="386"/>
      <c r="E164" s="386"/>
      <c r="F164" s="386"/>
      <c r="G164" s="386"/>
      <c r="H164" s="386"/>
      <c r="I164" s="386"/>
      <c r="J164" s="386"/>
      <c r="K164" s="386"/>
      <c r="L164" s="386"/>
      <c r="M164" s="386"/>
      <c r="N164" s="386"/>
      <c r="O164" s="436"/>
      <c r="P164" s="436"/>
      <c r="Q164" s="437"/>
      <c r="R164" s="438"/>
      <c r="S164" s="439"/>
      <c r="T164" s="439"/>
      <c r="U164" s="439"/>
      <c r="V164" s="439"/>
      <c r="W164" s="439"/>
      <c r="Y164" s="368"/>
      <c r="Z164" s="429"/>
      <c r="AA164" s="393"/>
      <c r="AB164" s="382"/>
      <c r="AC164" s="429"/>
      <c r="AD164" s="430"/>
      <c r="AE164" s="385"/>
      <c r="AF164" s="387"/>
      <c r="AG164" s="412"/>
      <c r="AH164" s="380">
        <f t="shared" si="47"/>
        <v>176415.0822580645</v>
      </c>
      <c r="AI164" s="381">
        <f t="shared" si="48"/>
        <v>54799.415322580644</v>
      </c>
      <c r="AJ164" s="382">
        <f t="shared" si="50"/>
        <v>22828.051612903226</v>
      </c>
      <c r="AK164" s="396">
        <f t="shared" si="49"/>
        <v>254042.54919354836</v>
      </c>
      <c r="AL164" s="440"/>
    </row>
    <row r="165" spans="1:38">
      <c r="A165" s="443" t="s">
        <v>161</v>
      </c>
      <c r="B165" s="444">
        <f t="shared" ref="B165:M165" si="51">SUM(B134:B164)</f>
        <v>192170</v>
      </c>
      <c r="C165" s="444">
        <f t="shared" si="51"/>
        <v>2600</v>
      </c>
      <c r="D165" s="444">
        <f t="shared" si="51"/>
        <v>2330</v>
      </c>
      <c r="E165" s="444"/>
      <c r="F165" s="444"/>
      <c r="G165" s="444"/>
      <c r="H165" s="444"/>
      <c r="I165" s="444"/>
      <c r="J165" s="444"/>
      <c r="K165" s="444">
        <f t="shared" si="51"/>
        <v>1193375.7</v>
      </c>
      <c r="L165" s="444">
        <f t="shared" si="51"/>
        <v>145470</v>
      </c>
      <c r="M165" s="444">
        <f t="shared" si="51"/>
        <v>79220</v>
      </c>
      <c r="N165" s="444"/>
      <c r="O165" s="444">
        <f>SUM(O134:O163)</f>
        <v>1418065.7000000002</v>
      </c>
      <c r="P165" s="444"/>
      <c r="Q165" s="437"/>
      <c r="R165" s="438"/>
      <c r="S165" s="439"/>
      <c r="T165" s="439"/>
      <c r="U165" s="439"/>
      <c r="V165" s="439"/>
      <c r="W165" s="439"/>
      <c r="Y165" s="409" t="s">
        <v>161</v>
      </c>
      <c r="Z165" s="410">
        <f t="shared" ref="Z165:AE165" si="52">SUM(Z134:Z164)</f>
        <v>361</v>
      </c>
      <c r="AA165" s="410">
        <f t="shared" si="52"/>
        <v>5.118822715099737E-2</v>
      </c>
      <c r="AB165" s="410">
        <f t="shared" si="52"/>
        <v>2241.81</v>
      </c>
      <c r="AC165" s="410">
        <f t="shared" si="52"/>
        <v>100</v>
      </c>
      <c r="AD165" s="410">
        <f t="shared" si="52"/>
        <v>5595</v>
      </c>
      <c r="AE165" s="410">
        <f t="shared" si="52"/>
        <v>0</v>
      </c>
      <c r="AF165" s="410">
        <f>SUM(AF134:AF164)</f>
        <v>0</v>
      </c>
      <c r="AG165" s="412"/>
      <c r="AH165" s="397">
        <f>SUM(AH134:AH161)</f>
        <v>3816444.4432258061</v>
      </c>
      <c r="AI165" s="397">
        <f>SUM(AI134:AI161)</f>
        <v>1394858.3165322575</v>
      </c>
      <c r="AJ165" s="397">
        <f>SUM(AJ134:AJ161)</f>
        <v>565745.44516129058</v>
      </c>
      <c r="AK165" s="397">
        <f>SUM(AK134:AK161)</f>
        <v>5777048.2049193531</v>
      </c>
      <c r="AL165" s="440"/>
    </row>
    <row r="168" spans="1:38" ht="15" customHeight="1">
      <c r="A168" s="706"/>
      <c r="B168" s="773" t="s">
        <v>145</v>
      </c>
      <c r="C168" s="774"/>
      <c r="D168" s="775"/>
      <c r="E168" s="697"/>
      <c r="F168" s="697"/>
      <c r="G168" s="697"/>
      <c r="H168" s="697"/>
      <c r="I168" s="697"/>
      <c r="J168" s="697"/>
      <c r="K168" s="773" t="s">
        <v>146</v>
      </c>
      <c r="L168" s="774"/>
      <c r="M168" s="775"/>
      <c r="N168" s="787" t="s">
        <v>147</v>
      </c>
      <c r="O168" s="776" t="s">
        <v>162</v>
      </c>
      <c r="P168" s="698"/>
      <c r="Q168" s="776" t="s">
        <v>149</v>
      </c>
      <c r="R168" s="776" t="s">
        <v>150</v>
      </c>
      <c r="Y168" s="706"/>
      <c r="Z168" s="789" t="s">
        <v>151</v>
      </c>
      <c r="AA168" s="790"/>
      <c r="AB168" s="791"/>
      <c r="AC168" s="789" t="s">
        <v>152</v>
      </c>
      <c r="AD168" s="791"/>
      <c r="AE168" s="789" t="s">
        <v>153</v>
      </c>
      <c r="AF168" s="791"/>
    </row>
    <row r="169" spans="1:38">
      <c r="B169" s="363" t="s">
        <v>156</v>
      </c>
      <c r="C169" s="364" t="s">
        <v>157</v>
      </c>
      <c r="D169" s="365" t="s">
        <v>158</v>
      </c>
      <c r="E169" s="366"/>
      <c r="F169" s="366"/>
      <c r="G169" s="366"/>
      <c r="H169" s="366"/>
      <c r="I169" s="366"/>
      <c r="J169" s="366"/>
      <c r="K169" s="363" t="s">
        <v>156</v>
      </c>
      <c r="L169" s="364" t="s">
        <v>157</v>
      </c>
      <c r="M169" s="365" t="s">
        <v>158</v>
      </c>
      <c r="N169" s="788"/>
      <c r="O169" s="777"/>
      <c r="P169" s="705"/>
      <c r="Q169" s="777"/>
      <c r="R169" s="777"/>
      <c r="Z169" s="363" t="s">
        <v>145</v>
      </c>
      <c r="AA169" s="366"/>
      <c r="AB169" s="367" t="s">
        <v>160</v>
      </c>
      <c r="AC169" s="363" t="s">
        <v>145</v>
      </c>
      <c r="AD169" s="365" t="s">
        <v>160</v>
      </c>
      <c r="AE169" s="363" t="s">
        <v>145</v>
      </c>
      <c r="AF169" s="365" t="s">
        <v>160</v>
      </c>
    </row>
    <row r="170" spans="1:38">
      <c r="A170" s="414" t="s">
        <v>163</v>
      </c>
      <c r="B170" s="415">
        <f>AVERAGE(B134:B163)</f>
        <v>6405.666666666667</v>
      </c>
      <c r="C170" s="415">
        <f>AVERAGE(C134:C163)</f>
        <v>86.666666666666671</v>
      </c>
      <c r="D170" s="415">
        <f>AVERAGE(D134:D163)</f>
        <v>77.666666666666671</v>
      </c>
      <c r="E170" s="415"/>
      <c r="F170" s="415"/>
      <c r="G170" s="415"/>
      <c r="H170" s="415"/>
      <c r="I170" s="415"/>
      <c r="J170" s="415"/>
      <c r="K170" s="445">
        <f>B170*6.21</f>
        <v>39779.19</v>
      </c>
      <c r="L170" s="446">
        <f>C170*55.95</f>
        <v>4849.0000000000009</v>
      </c>
      <c r="M170" s="447">
        <f>D170*68.44</f>
        <v>5315.5066666666671</v>
      </c>
      <c r="N170" s="418">
        <f>AVERAGE(N134:N163)</f>
        <v>41</v>
      </c>
      <c r="O170" s="418">
        <f>K170+L170+M170</f>
        <v>49943.69666666667</v>
      </c>
      <c r="P170" s="418"/>
      <c r="Q170" s="418">
        <f>AVERAGE(Q134:Q163)</f>
        <v>21.166666666666668</v>
      </c>
      <c r="R170" s="419">
        <f>AVERAGE(R134:R163)</f>
        <v>0.18050000000000002</v>
      </c>
      <c r="Y170" s="414" t="s">
        <v>163</v>
      </c>
      <c r="Z170" s="415">
        <f>AVERAGE(Z134:Z163)</f>
        <v>12.033333333333333</v>
      </c>
      <c r="AA170" s="420"/>
      <c r="AB170" s="448">
        <f>Z170*6.21</f>
        <v>74.727000000000004</v>
      </c>
      <c r="AC170" s="415">
        <f>AVERAGE(AC134:AC163)</f>
        <v>3.3333333333333335</v>
      </c>
      <c r="AD170" s="387">
        <f>AC170*55.95</f>
        <v>186.50000000000003</v>
      </c>
      <c r="AE170" s="415" t="e">
        <f>AVERAGE(AE134:AE163)</f>
        <v>#DIV/0!</v>
      </c>
      <c r="AF170" s="387" t="e">
        <f>AE170*55.95</f>
        <v>#DIV/0!</v>
      </c>
    </row>
    <row r="172" spans="1:38">
      <c r="Q172" s="472"/>
      <c r="R172" s="472"/>
    </row>
    <row r="173" spans="1:38" ht="29.1">
      <c r="A173" s="778" t="s">
        <v>14</v>
      </c>
      <c r="B173" s="780" t="s">
        <v>145</v>
      </c>
      <c r="C173" s="781"/>
      <c r="D173" s="782"/>
      <c r="E173" s="702"/>
      <c r="F173" s="702"/>
      <c r="G173" s="702"/>
      <c r="H173" s="702"/>
      <c r="I173" s="702"/>
      <c r="J173" s="702"/>
      <c r="K173" s="780" t="s">
        <v>146</v>
      </c>
      <c r="L173" s="781"/>
      <c r="M173" s="782"/>
      <c r="N173" s="778" t="s">
        <v>147</v>
      </c>
      <c r="O173" s="783" t="s">
        <v>148</v>
      </c>
      <c r="P173" s="783" t="s">
        <v>175</v>
      </c>
      <c r="Q173" s="700" t="s">
        <v>149</v>
      </c>
      <c r="R173" s="700" t="s">
        <v>150</v>
      </c>
      <c r="S173" s="785" t="s">
        <v>165</v>
      </c>
      <c r="T173" s="703"/>
      <c r="U173" s="703"/>
      <c r="V173" s="703"/>
      <c r="W173" s="785" t="s">
        <v>176</v>
      </c>
      <c r="Y173" s="787" t="s">
        <v>14</v>
      </c>
      <c r="Z173" s="789" t="s">
        <v>151</v>
      </c>
      <c r="AA173" s="790"/>
      <c r="AB173" s="791"/>
      <c r="AC173" s="789" t="s">
        <v>152</v>
      </c>
      <c r="AD173" s="791"/>
      <c r="AE173" s="789"/>
      <c r="AF173" s="791"/>
      <c r="AG173" s="412"/>
      <c r="AH173" s="799" t="s">
        <v>154</v>
      </c>
      <c r="AI173" s="800"/>
      <c r="AJ173" s="801"/>
      <c r="AK173" s="802" t="s">
        <v>155</v>
      </c>
      <c r="AL173" s="802" t="s">
        <v>166</v>
      </c>
    </row>
    <row r="174" spans="1:38">
      <c r="A174" s="779"/>
      <c r="B174" s="699" t="s">
        <v>156</v>
      </c>
      <c r="C174" s="699" t="s">
        <v>157</v>
      </c>
      <c r="D174" s="699" t="s">
        <v>158</v>
      </c>
      <c r="E174" s="699"/>
      <c r="F174" s="699"/>
      <c r="G174" s="699"/>
      <c r="H174" s="699"/>
      <c r="I174" s="699"/>
      <c r="J174" s="699"/>
      <c r="K174" s="699" t="s">
        <v>156</v>
      </c>
      <c r="L174" s="699" t="s">
        <v>157</v>
      </c>
      <c r="M174" s="699" t="s">
        <v>158</v>
      </c>
      <c r="N174" s="779"/>
      <c r="O174" s="784"/>
      <c r="P174" s="784"/>
      <c r="Q174" s="700"/>
      <c r="R174" s="700"/>
      <c r="S174" s="786"/>
      <c r="T174" s="704"/>
      <c r="U174" s="704"/>
      <c r="V174" s="704"/>
      <c r="W174" s="786"/>
      <c r="Y174" s="788"/>
      <c r="Z174" s="363" t="s">
        <v>145</v>
      </c>
      <c r="AA174" s="366" t="s">
        <v>159</v>
      </c>
      <c r="AB174" s="367" t="s">
        <v>160</v>
      </c>
      <c r="AC174" s="363" t="s">
        <v>145</v>
      </c>
      <c r="AD174" s="365" t="s">
        <v>160</v>
      </c>
      <c r="AE174" s="363" t="s">
        <v>145</v>
      </c>
      <c r="AF174" s="365" t="s">
        <v>160</v>
      </c>
      <c r="AG174" s="412"/>
      <c r="AH174" s="363" t="s">
        <v>156</v>
      </c>
      <c r="AI174" s="364" t="s">
        <v>157</v>
      </c>
      <c r="AJ174" s="365" t="s">
        <v>158</v>
      </c>
      <c r="AK174" s="803"/>
      <c r="AL174" s="803"/>
    </row>
    <row r="175" spans="1:38">
      <c r="A175" s="464">
        <v>43952</v>
      </c>
      <c r="B175" s="474">
        <v>5621</v>
      </c>
      <c r="C175" s="474">
        <v>68.75</v>
      </c>
      <c r="D175" s="474">
        <v>100</v>
      </c>
      <c r="E175" s="474"/>
      <c r="F175" s="474"/>
      <c r="G175" s="474"/>
      <c r="H175" s="474"/>
      <c r="I175" s="474"/>
      <c r="J175" s="474"/>
      <c r="K175" s="474">
        <v>34906.409999999996</v>
      </c>
      <c r="L175" s="474">
        <v>3846.5625</v>
      </c>
      <c r="M175" s="474">
        <v>3400</v>
      </c>
      <c r="N175" s="475">
        <v>26.5</v>
      </c>
      <c r="O175" s="476">
        <v>42152.972499999996</v>
      </c>
      <c r="P175" s="477">
        <v>0.89936000000000005</v>
      </c>
      <c r="Q175" s="469">
        <v>37</v>
      </c>
      <c r="R175" s="470">
        <v>0.15</v>
      </c>
      <c r="S175" s="471">
        <v>0</v>
      </c>
      <c r="T175" s="471"/>
      <c r="U175" s="471"/>
      <c r="V175" s="471"/>
      <c r="W175" s="462"/>
      <c r="Y175" s="368">
        <v>43952</v>
      </c>
      <c r="Z175" s="429">
        <v>0</v>
      </c>
      <c r="AA175" s="393">
        <v>0</v>
      </c>
      <c r="AB175" s="382">
        <v>0</v>
      </c>
      <c r="AC175" s="429">
        <v>0</v>
      </c>
      <c r="AD175" s="430">
        <v>0</v>
      </c>
      <c r="AE175" s="429"/>
      <c r="AF175" s="430">
        <v>0</v>
      </c>
      <c r="AG175" s="426"/>
      <c r="AH175" s="380">
        <f>$K$40-K175</f>
        <v>141508.6722580645</v>
      </c>
      <c r="AI175" s="381">
        <f>$L$40-L175</f>
        <v>50952.852822580644</v>
      </c>
      <c r="AJ175" s="382">
        <f t="shared" ref="AJ175:AJ205" si="53">$M$40-M175</f>
        <v>19428.051612903226</v>
      </c>
      <c r="AK175" s="394">
        <f t="shared" ref="AK175:AK182" si="54">AH175+AI175+AJ175</f>
        <v>211889.57669354836</v>
      </c>
      <c r="AL175" s="440">
        <v>0</v>
      </c>
    </row>
    <row r="176" spans="1:38">
      <c r="A176" s="464">
        <v>43953</v>
      </c>
      <c r="B176" s="474">
        <v>6394</v>
      </c>
      <c r="C176" s="474">
        <v>62.5</v>
      </c>
      <c r="D176" s="474">
        <v>70</v>
      </c>
      <c r="E176" s="474"/>
      <c r="F176" s="474"/>
      <c r="G176" s="474"/>
      <c r="H176" s="474"/>
      <c r="I176" s="474"/>
      <c r="J176" s="474"/>
      <c r="K176" s="474">
        <v>39706.74</v>
      </c>
      <c r="L176" s="474">
        <v>3496.875</v>
      </c>
      <c r="M176" s="474">
        <v>2380</v>
      </c>
      <c r="N176" s="475">
        <v>27.5</v>
      </c>
      <c r="O176" s="476">
        <v>45583.614999999998</v>
      </c>
      <c r="P176" s="477">
        <v>0.90592235760838768</v>
      </c>
      <c r="Q176" s="469">
        <v>37</v>
      </c>
      <c r="R176" s="470">
        <v>0.15</v>
      </c>
      <c r="S176" s="471">
        <v>0</v>
      </c>
      <c r="T176" s="471"/>
      <c r="U176" s="471"/>
      <c r="V176" s="471"/>
      <c r="W176" s="462"/>
      <c r="Y176" s="368">
        <v>43953</v>
      </c>
      <c r="Z176" s="429">
        <v>0</v>
      </c>
      <c r="AA176" s="393">
        <v>0</v>
      </c>
      <c r="AB176" s="382">
        <v>0</v>
      </c>
      <c r="AC176" s="429">
        <v>0</v>
      </c>
      <c r="AD176" s="430">
        <v>0</v>
      </c>
      <c r="AE176" s="429"/>
      <c r="AF176" s="430">
        <v>0</v>
      </c>
      <c r="AG176" s="426"/>
      <c r="AH176" s="380">
        <f>$K$40-K176</f>
        <v>136708.34225806451</v>
      </c>
      <c r="AI176" s="381">
        <f>$L$40-L176</f>
        <v>51302.540322580644</v>
      </c>
      <c r="AJ176" s="382">
        <f t="shared" si="53"/>
        <v>20448.051612903226</v>
      </c>
      <c r="AK176" s="394">
        <f t="shared" si="54"/>
        <v>208458.93419354837</v>
      </c>
      <c r="AL176" s="440">
        <v>10</v>
      </c>
    </row>
    <row r="177" spans="1:38">
      <c r="A177" s="464">
        <v>43954</v>
      </c>
      <c r="B177" s="474">
        <v>5180</v>
      </c>
      <c r="C177" s="474">
        <v>56.25</v>
      </c>
      <c r="D177" s="474">
        <v>60</v>
      </c>
      <c r="E177" s="474"/>
      <c r="F177" s="474"/>
      <c r="G177" s="474"/>
      <c r="H177" s="474"/>
      <c r="I177" s="474"/>
      <c r="J177" s="474"/>
      <c r="K177" s="474">
        <v>32167.8</v>
      </c>
      <c r="L177" s="474">
        <v>3147.1875</v>
      </c>
      <c r="M177" s="474">
        <v>2040</v>
      </c>
      <c r="N177" s="475">
        <v>28.5</v>
      </c>
      <c r="O177" s="476">
        <v>37354.987500000003</v>
      </c>
      <c r="P177" s="477">
        <v>0.87102740877753493</v>
      </c>
      <c r="Q177" s="469">
        <v>37</v>
      </c>
      <c r="R177" s="470">
        <v>0.15</v>
      </c>
      <c r="S177" s="471">
        <v>0</v>
      </c>
      <c r="T177" s="471"/>
      <c r="U177" s="471"/>
      <c r="V177" s="471"/>
      <c r="W177" s="462" t="s">
        <v>195</v>
      </c>
      <c r="Y177" s="368">
        <v>43954</v>
      </c>
      <c r="Z177" s="429">
        <v>0</v>
      </c>
      <c r="AA177" s="393">
        <v>0</v>
      </c>
      <c r="AB177" s="382">
        <v>0</v>
      </c>
      <c r="AC177" s="429">
        <v>0</v>
      </c>
      <c r="AD177" s="430">
        <v>0</v>
      </c>
      <c r="AE177" s="429"/>
      <c r="AF177" s="430">
        <v>0</v>
      </c>
      <c r="AG177" s="426"/>
      <c r="AH177" s="380">
        <f>$K$40-K177</f>
        <v>144247.28225806452</v>
      </c>
      <c r="AI177" s="381">
        <f>$L$40-L177</f>
        <v>51652.227822580644</v>
      </c>
      <c r="AJ177" s="382">
        <f t="shared" si="53"/>
        <v>20788.051612903226</v>
      </c>
      <c r="AK177" s="394">
        <f t="shared" si="54"/>
        <v>216687.56169354837</v>
      </c>
      <c r="AL177" s="440">
        <v>6</v>
      </c>
    </row>
    <row r="178" spans="1:38">
      <c r="A178" s="464">
        <v>43955</v>
      </c>
      <c r="B178" s="474">
        <v>5856</v>
      </c>
      <c r="C178" s="474">
        <v>68.75</v>
      </c>
      <c r="D178" s="474">
        <v>70</v>
      </c>
      <c r="E178" s="474"/>
      <c r="F178" s="474"/>
      <c r="G178" s="474"/>
      <c r="H178" s="474"/>
      <c r="I178" s="474"/>
      <c r="J178" s="474"/>
      <c r="K178" s="474">
        <v>36365.760000000002</v>
      </c>
      <c r="L178" s="474">
        <v>3846.5625</v>
      </c>
      <c r="M178" s="474">
        <v>2380</v>
      </c>
      <c r="N178" s="475">
        <v>29.5</v>
      </c>
      <c r="O178" s="476">
        <v>42592.322500000002</v>
      </c>
      <c r="P178" s="477">
        <v>0.901061701800277</v>
      </c>
      <c r="Q178" s="469">
        <v>37</v>
      </c>
      <c r="R178" s="470">
        <v>0.15</v>
      </c>
      <c r="S178" s="471">
        <v>0</v>
      </c>
      <c r="T178" s="471"/>
      <c r="U178" s="471"/>
      <c r="V178" s="471"/>
      <c r="W178" s="462"/>
      <c r="Y178" s="368">
        <v>43955</v>
      </c>
      <c r="Z178" s="429">
        <v>0</v>
      </c>
      <c r="AA178" s="393">
        <v>0</v>
      </c>
      <c r="AB178" s="382">
        <v>0</v>
      </c>
      <c r="AC178" s="429">
        <v>0</v>
      </c>
      <c r="AD178" s="430">
        <v>0</v>
      </c>
      <c r="AE178" s="429"/>
      <c r="AF178" s="430">
        <v>0</v>
      </c>
      <c r="AG178" s="426"/>
      <c r="AH178" s="380">
        <f>$K$40-K178</f>
        <v>140049.32225806449</v>
      </c>
      <c r="AI178" s="381">
        <f>$L$40-L178</f>
        <v>50952.852822580644</v>
      </c>
      <c r="AJ178" s="382">
        <f t="shared" si="53"/>
        <v>20448.051612903226</v>
      </c>
      <c r="AK178" s="394">
        <f t="shared" si="54"/>
        <v>211450.22669354835</v>
      </c>
      <c r="AL178" s="440">
        <v>5</v>
      </c>
    </row>
    <row r="179" spans="1:38" ht="16.5" customHeight="1">
      <c r="A179" s="464">
        <v>43956</v>
      </c>
      <c r="B179" s="474">
        <v>5224</v>
      </c>
      <c r="C179" s="474">
        <v>68.75</v>
      </c>
      <c r="D179" s="474">
        <v>70</v>
      </c>
      <c r="E179" s="474"/>
      <c r="F179" s="474"/>
      <c r="G179" s="474"/>
      <c r="H179" s="474"/>
      <c r="I179" s="474"/>
      <c r="J179" s="474"/>
      <c r="K179" s="474">
        <v>32441.040000000001</v>
      </c>
      <c r="L179" s="474">
        <v>3846.5625</v>
      </c>
      <c r="M179" s="474">
        <v>2380</v>
      </c>
      <c r="N179" s="475">
        <v>30.5</v>
      </c>
      <c r="O179" s="476">
        <v>38667.602500000001</v>
      </c>
      <c r="P179" s="477">
        <v>0.88692699490662141</v>
      </c>
      <c r="Q179" s="469">
        <v>37</v>
      </c>
      <c r="R179" s="470">
        <v>0.15</v>
      </c>
      <c r="S179" s="471">
        <v>0</v>
      </c>
      <c r="T179" s="471"/>
      <c r="U179" s="471"/>
      <c r="V179" s="471"/>
      <c r="W179" s="462" t="s">
        <v>196</v>
      </c>
      <c r="Y179" s="368">
        <v>43956</v>
      </c>
      <c r="Z179" s="429">
        <v>0</v>
      </c>
      <c r="AA179" s="393">
        <v>0</v>
      </c>
      <c r="AB179" s="382">
        <v>0</v>
      </c>
      <c r="AC179" s="429">
        <v>0</v>
      </c>
      <c r="AD179" s="430">
        <v>0</v>
      </c>
      <c r="AE179" s="429"/>
      <c r="AF179" s="430">
        <v>0</v>
      </c>
      <c r="AG179" s="426"/>
      <c r="AH179" s="380">
        <f t="shared" ref="AH179:AH205" si="55">$K$40-K179</f>
        <v>143974.0422580645</v>
      </c>
      <c r="AI179" s="381">
        <f t="shared" ref="AI179:AI205" si="56">$L$40-L179</f>
        <v>50952.852822580644</v>
      </c>
      <c r="AJ179" s="382">
        <f t="shared" si="53"/>
        <v>20448.051612903226</v>
      </c>
      <c r="AK179" s="394">
        <f t="shared" si="54"/>
        <v>215374.94669354835</v>
      </c>
      <c r="AL179" s="440">
        <v>0</v>
      </c>
    </row>
    <row r="180" spans="1:38" ht="29.1">
      <c r="A180" s="464">
        <v>43957</v>
      </c>
      <c r="B180" s="474">
        <v>5247</v>
      </c>
      <c r="C180" s="474">
        <v>50</v>
      </c>
      <c r="D180" s="474">
        <v>90</v>
      </c>
      <c r="E180" s="474"/>
      <c r="F180" s="474"/>
      <c r="G180" s="474"/>
      <c r="H180" s="474"/>
      <c r="I180" s="474"/>
      <c r="J180" s="474"/>
      <c r="K180" s="474">
        <v>32583.87</v>
      </c>
      <c r="L180" s="474">
        <v>2797.5</v>
      </c>
      <c r="M180" s="474">
        <v>3060</v>
      </c>
      <c r="N180" s="475">
        <v>31.5</v>
      </c>
      <c r="O180" s="476">
        <v>38441.369999999995</v>
      </c>
      <c r="P180" s="477">
        <v>0.90201134605466737</v>
      </c>
      <c r="Q180" s="469">
        <v>37</v>
      </c>
      <c r="R180" s="470">
        <v>0.15</v>
      </c>
      <c r="S180" s="471">
        <v>0</v>
      </c>
      <c r="T180" s="471"/>
      <c r="U180" s="471"/>
      <c r="V180" s="471"/>
      <c r="W180" s="462" t="s">
        <v>197</v>
      </c>
      <c r="Y180" s="368">
        <v>43957</v>
      </c>
      <c r="Z180" s="429">
        <v>0</v>
      </c>
      <c r="AA180" s="393">
        <v>0</v>
      </c>
      <c r="AB180" s="382">
        <v>0</v>
      </c>
      <c r="AC180" s="429">
        <v>0</v>
      </c>
      <c r="AD180" s="430">
        <v>0</v>
      </c>
      <c r="AE180" s="429"/>
      <c r="AF180" s="430">
        <v>0</v>
      </c>
      <c r="AG180" s="426"/>
      <c r="AH180" s="380">
        <f t="shared" si="55"/>
        <v>143831.21225806451</v>
      </c>
      <c r="AI180" s="381">
        <f t="shared" si="56"/>
        <v>52001.915322580644</v>
      </c>
      <c r="AJ180" s="382">
        <f t="shared" si="53"/>
        <v>19768.051612903226</v>
      </c>
      <c r="AK180" s="394">
        <f t="shared" si="54"/>
        <v>215601.17919354836</v>
      </c>
      <c r="AL180" s="440">
        <v>12</v>
      </c>
    </row>
    <row r="181" spans="1:38" ht="29.25" customHeight="1">
      <c r="A181" s="464">
        <v>43958</v>
      </c>
      <c r="B181" s="474">
        <v>4892</v>
      </c>
      <c r="C181" s="474">
        <v>62.5</v>
      </c>
      <c r="D181" s="474">
        <v>60</v>
      </c>
      <c r="E181" s="474"/>
      <c r="F181" s="474"/>
      <c r="G181" s="474"/>
      <c r="H181" s="474"/>
      <c r="I181" s="474"/>
      <c r="J181" s="474"/>
      <c r="K181" s="474">
        <v>30379.32</v>
      </c>
      <c r="L181" s="474">
        <v>3496.875</v>
      </c>
      <c r="M181" s="474">
        <v>2040</v>
      </c>
      <c r="N181" s="475">
        <v>32.5</v>
      </c>
      <c r="O181" s="476">
        <v>35916.195</v>
      </c>
      <c r="P181" s="477">
        <v>0.88848528877588084</v>
      </c>
      <c r="Q181" s="469">
        <v>37</v>
      </c>
      <c r="R181" s="470">
        <v>0.15</v>
      </c>
      <c r="S181" s="471">
        <v>0</v>
      </c>
      <c r="T181" s="471"/>
      <c r="U181" s="471"/>
      <c r="V181" s="471"/>
      <c r="W181" s="462"/>
      <c r="Y181" s="368">
        <v>43958</v>
      </c>
      <c r="Z181" s="429">
        <v>0</v>
      </c>
      <c r="AA181" s="393">
        <v>0</v>
      </c>
      <c r="AB181" s="382">
        <v>0</v>
      </c>
      <c r="AC181" s="429">
        <v>0</v>
      </c>
      <c r="AD181" s="430">
        <v>0</v>
      </c>
      <c r="AE181" s="429"/>
      <c r="AF181" s="430">
        <v>0</v>
      </c>
      <c r="AG181" s="426"/>
      <c r="AH181" s="380">
        <f t="shared" si="55"/>
        <v>146035.7622580645</v>
      </c>
      <c r="AI181" s="381">
        <f t="shared" si="56"/>
        <v>51302.540322580644</v>
      </c>
      <c r="AJ181" s="382">
        <f t="shared" si="53"/>
        <v>20788.051612903226</v>
      </c>
      <c r="AK181" s="394">
        <f t="shared" si="54"/>
        <v>218126.35419354835</v>
      </c>
      <c r="AL181" s="440">
        <v>0</v>
      </c>
    </row>
    <row r="182" spans="1:38">
      <c r="A182" s="464">
        <v>43959</v>
      </c>
      <c r="B182" s="474">
        <v>5320</v>
      </c>
      <c r="C182" s="474">
        <v>62.5</v>
      </c>
      <c r="D182" s="474">
        <v>80</v>
      </c>
      <c r="E182" s="474"/>
      <c r="F182" s="474"/>
      <c r="G182" s="474"/>
      <c r="H182" s="474"/>
      <c r="I182" s="474"/>
      <c r="J182" s="474"/>
      <c r="K182" s="474">
        <v>33037.199999999997</v>
      </c>
      <c r="L182" s="474">
        <v>3496.875</v>
      </c>
      <c r="M182" s="474">
        <v>2720</v>
      </c>
      <c r="N182" s="475">
        <v>33.5</v>
      </c>
      <c r="O182" s="476">
        <v>39254.074999999997</v>
      </c>
      <c r="P182" s="477">
        <v>0.85875706214689262</v>
      </c>
      <c r="Q182" s="469">
        <v>37</v>
      </c>
      <c r="R182" s="470">
        <v>0.15</v>
      </c>
      <c r="S182" s="471">
        <v>0</v>
      </c>
      <c r="T182" s="471"/>
      <c r="U182" s="471"/>
      <c r="V182" s="471"/>
      <c r="W182" s="462"/>
      <c r="Y182" s="368">
        <v>43959</v>
      </c>
      <c r="Z182" s="429">
        <v>0</v>
      </c>
      <c r="AA182" s="393">
        <v>0</v>
      </c>
      <c r="AB182" s="382">
        <v>0</v>
      </c>
      <c r="AC182" s="429">
        <v>0</v>
      </c>
      <c r="AD182" s="430">
        <v>0</v>
      </c>
      <c r="AE182" s="429"/>
      <c r="AF182" s="430">
        <v>0</v>
      </c>
      <c r="AG182" s="426"/>
      <c r="AH182" s="380">
        <f t="shared" si="55"/>
        <v>143377.88225806452</v>
      </c>
      <c r="AI182" s="381">
        <f t="shared" si="56"/>
        <v>51302.540322580644</v>
      </c>
      <c r="AJ182" s="382">
        <f t="shared" si="53"/>
        <v>20108.051612903226</v>
      </c>
      <c r="AK182" s="394">
        <f t="shared" si="54"/>
        <v>214788.47419354838</v>
      </c>
      <c r="AL182" s="440">
        <v>0</v>
      </c>
    </row>
    <row r="183" spans="1:38">
      <c r="A183" s="464">
        <v>43960</v>
      </c>
      <c r="B183" s="474">
        <v>4773</v>
      </c>
      <c r="C183" s="474">
        <v>50</v>
      </c>
      <c r="D183" s="474">
        <v>60</v>
      </c>
      <c r="E183" s="474"/>
      <c r="F183" s="474"/>
      <c r="G183" s="474"/>
      <c r="H183" s="474"/>
      <c r="I183" s="474"/>
      <c r="J183" s="474"/>
      <c r="K183" s="474">
        <v>29640.329999999998</v>
      </c>
      <c r="L183" s="474">
        <v>2797.5</v>
      </c>
      <c r="M183" s="474">
        <v>2040</v>
      </c>
      <c r="N183" s="475">
        <v>34.5</v>
      </c>
      <c r="O183" s="476">
        <v>34477.83</v>
      </c>
      <c r="P183" s="477">
        <v>0.86093073593073588</v>
      </c>
      <c r="Q183" s="469">
        <v>37</v>
      </c>
      <c r="R183" s="470">
        <v>0.15</v>
      </c>
      <c r="S183" s="471">
        <v>0</v>
      </c>
      <c r="T183" s="471"/>
      <c r="U183" s="471"/>
      <c r="V183" s="471"/>
      <c r="W183" s="462"/>
      <c r="Y183" s="368">
        <v>43960</v>
      </c>
      <c r="Z183" s="429">
        <v>0</v>
      </c>
      <c r="AA183" s="393">
        <v>0</v>
      </c>
      <c r="AB183" s="382">
        <v>0</v>
      </c>
      <c r="AC183" s="429">
        <v>0</v>
      </c>
      <c r="AD183" s="430">
        <v>0</v>
      </c>
      <c r="AE183" s="429"/>
      <c r="AF183" s="430">
        <v>0</v>
      </c>
      <c r="AG183" s="426"/>
      <c r="AH183" s="380">
        <f t="shared" si="55"/>
        <v>146774.75225806452</v>
      </c>
      <c r="AI183" s="381">
        <f t="shared" si="56"/>
        <v>52001.915322580644</v>
      </c>
      <c r="AJ183" s="382">
        <f t="shared" si="53"/>
        <v>20788.051612903226</v>
      </c>
      <c r="AK183" s="394">
        <f>AH183+AI183+AJ183</f>
        <v>219564.71919354837</v>
      </c>
      <c r="AL183" s="440">
        <v>5</v>
      </c>
    </row>
    <row r="184" spans="1:38">
      <c r="A184" s="464">
        <v>43961</v>
      </c>
      <c r="B184" s="474">
        <v>4451</v>
      </c>
      <c r="C184" s="474">
        <v>62.5</v>
      </c>
      <c r="D184" s="474">
        <v>70</v>
      </c>
      <c r="E184" s="474"/>
      <c r="F184" s="474"/>
      <c r="G184" s="474"/>
      <c r="H184" s="474"/>
      <c r="I184" s="474"/>
      <c r="J184" s="474"/>
      <c r="K184" s="474">
        <v>27640.71</v>
      </c>
      <c r="L184" s="474">
        <v>3496.875</v>
      </c>
      <c r="M184" s="474">
        <v>2380</v>
      </c>
      <c r="N184" s="475">
        <v>35.5</v>
      </c>
      <c r="O184" s="476">
        <v>33517.584999999999</v>
      </c>
      <c r="P184" s="477">
        <v>0.82334443211246766</v>
      </c>
      <c r="Q184" s="469">
        <v>37</v>
      </c>
      <c r="R184" s="470">
        <v>0.15</v>
      </c>
      <c r="S184" s="471">
        <v>0</v>
      </c>
      <c r="T184" s="471"/>
      <c r="U184" s="471"/>
      <c r="V184" s="471"/>
      <c r="W184" s="462"/>
      <c r="Y184" s="368">
        <v>43961</v>
      </c>
      <c r="Z184" s="429">
        <v>0</v>
      </c>
      <c r="AA184" s="393">
        <v>0</v>
      </c>
      <c r="AB184" s="382">
        <v>0</v>
      </c>
      <c r="AC184" s="429">
        <v>0</v>
      </c>
      <c r="AD184" s="430">
        <v>0</v>
      </c>
      <c r="AE184" s="429"/>
      <c r="AF184" s="430">
        <v>0</v>
      </c>
      <c r="AG184" s="426"/>
      <c r="AH184" s="380">
        <f t="shared" si="55"/>
        <v>148774.37225806451</v>
      </c>
      <c r="AI184" s="381">
        <f t="shared" si="56"/>
        <v>51302.540322580644</v>
      </c>
      <c r="AJ184" s="382">
        <f t="shared" si="53"/>
        <v>20448.051612903226</v>
      </c>
      <c r="AK184" s="394">
        <f t="shared" ref="AK184:AK205" si="57">AH184+AI184+AJ184</f>
        <v>220524.96419354837</v>
      </c>
      <c r="AL184" s="440">
        <v>5</v>
      </c>
    </row>
    <row r="185" spans="1:38" ht="29.1">
      <c r="A185" s="464">
        <v>43962</v>
      </c>
      <c r="B185" s="474">
        <v>4607</v>
      </c>
      <c r="C185" s="474">
        <v>243.75</v>
      </c>
      <c r="D185" s="474">
        <v>70</v>
      </c>
      <c r="E185" s="474"/>
      <c r="F185" s="474"/>
      <c r="G185" s="474"/>
      <c r="H185" s="474"/>
      <c r="I185" s="474"/>
      <c r="J185" s="474"/>
      <c r="K185" s="474">
        <v>28609.47</v>
      </c>
      <c r="L185" s="474">
        <v>13637.8125</v>
      </c>
      <c r="M185" s="474">
        <v>2380</v>
      </c>
      <c r="N185" s="475">
        <v>36.5</v>
      </c>
      <c r="O185" s="476">
        <v>44627.282500000001</v>
      </c>
      <c r="P185" s="478">
        <v>0.79885555748222647</v>
      </c>
      <c r="Q185" s="469">
        <v>37</v>
      </c>
      <c r="R185" s="470">
        <v>0.15</v>
      </c>
      <c r="S185" s="471">
        <v>0</v>
      </c>
      <c r="T185" s="471"/>
      <c r="U185" s="471"/>
      <c r="V185" s="471"/>
      <c r="W185" s="462" t="s">
        <v>198</v>
      </c>
      <c r="Y185" s="368">
        <v>43962</v>
      </c>
      <c r="Z185" s="429">
        <v>0</v>
      </c>
      <c r="AA185" s="393">
        <v>0</v>
      </c>
      <c r="AB185" s="382">
        <v>0</v>
      </c>
      <c r="AC185" s="429">
        <v>50</v>
      </c>
      <c r="AD185" s="430">
        <v>2797.5</v>
      </c>
      <c r="AE185" s="429"/>
      <c r="AF185" s="430">
        <v>0</v>
      </c>
      <c r="AG185" s="412"/>
      <c r="AH185" s="380">
        <f t="shared" si="55"/>
        <v>147805.6122580645</v>
      </c>
      <c r="AI185" s="381">
        <f t="shared" si="56"/>
        <v>41161.602822580644</v>
      </c>
      <c r="AJ185" s="382">
        <f t="shared" si="53"/>
        <v>20448.051612903226</v>
      </c>
      <c r="AK185" s="394">
        <f t="shared" si="57"/>
        <v>209415.26669354836</v>
      </c>
      <c r="AL185" s="440">
        <v>9</v>
      </c>
    </row>
    <row r="186" spans="1:38" ht="29.1">
      <c r="A186" s="464">
        <v>43963</v>
      </c>
      <c r="B186" s="474">
        <v>4270</v>
      </c>
      <c r="C186" s="474">
        <v>18.75</v>
      </c>
      <c r="D186" s="474">
        <v>90</v>
      </c>
      <c r="E186" s="474"/>
      <c r="F186" s="474"/>
      <c r="G186" s="474"/>
      <c r="H186" s="474"/>
      <c r="I186" s="474"/>
      <c r="J186" s="474"/>
      <c r="K186" s="474">
        <v>26516.7</v>
      </c>
      <c r="L186" s="474">
        <v>1049.0625</v>
      </c>
      <c r="M186" s="474">
        <v>3060</v>
      </c>
      <c r="N186" s="475">
        <v>37.5</v>
      </c>
      <c r="O186" s="476">
        <v>30625.762500000001</v>
      </c>
      <c r="P186" s="478">
        <v>0.79412311697972848</v>
      </c>
      <c r="Q186" s="469">
        <v>37</v>
      </c>
      <c r="R186" s="470">
        <v>0.15</v>
      </c>
      <c r="S186" s="471">
        <v>0</v>
      </c>
      <c r="T186" s="471"/>
      <c r="U186" s="471"/>
      <c r="V186" s="471"/>
      <c r="W186" s="463" t="s">
        <v>199</v>
      </c>
      <c r="Y186" s="368">
        <v>43963</v>
      </c>
      <c r="Z186" s="429">
        <v>0</v>
      </c>
      <c r="AA186" s="393">
        <v>0</v>
      </c>
      <c r="AB186" s="382">
        <v>0</v>
      </c>
      <c r="AC186" s="429">
        <v>0</v>
      </c>
      <c r="AD186" s="430">
        <v>0</v>
      </c>
      <c r="AE186" s="429"/>
      <c r="AF186" s="430">
        <v>0</v>
      </c>
      <c r="AG186" s="412"/>
      <c r="AH186" s="380">
        <f t="shared" si="55"/>
        <v>149898.38225806449</v>
      </c>
      <c r="AI186" s="381">
        <f t="shared" si="56"/>
        <v>53750.352822580644</v>
      </c>
      <c r="AJ186" s="382">
        <f t="shared" si="53"/>
        <v>19768.051612903226</v>
      </c>
      <c r="AK186" s="394">
        <f t="shared" si="57"/>
        <v>223416.78669354835</v>
      </c>
      <c r="AL186" s="440">
        <v>0</v>
      </c>
    </row>
    <row r="187" spans="1:38">
      <c r="A187" s="433">
        <v>43964</v>
      </c>
      <c r="B187" s="479">
        <v>4635</v>
      </c>
      <c r="C187" s="479">
        <v>25</v>
      </c>
      <c r="D187" s="479">
        <v>50</v>
      </c>
      <c r="E187" s="479"/>
      <c r="F187" s="479"/>
      <c r="G187" s="479"/>
      <c r="H187" s="479"/>
      <c r="I187" s="479"/>
      <c r="J187" s="479"/>
      <c r="K187" s="479">
        <v>28783.35</v>
      </c>
      <c r="L187" s="479">
        <v>1398.75</v>
      </c>
      <c r="M187" s="479">
        <v>1700</v>
      </c>
      <c r="N187" s="480">
        <v>38.5</v>
      </c>
      <c r="O187" s="481">
        <v>31882.1</v>
      </c>
      <c r="P187" s="482">
        <v>0.826645264847512</v>
      </c>
      <c r="Q187" s="437">
        <v>37</v>
      </c>
      <c r="R187" s="438">
        <v>0.15</v>
      </c>
      <c r="S187" s="439">
        <v>0</v>
      </c>
      <c r="T187" s="439"/>
      <c r="U187" s="439"/>
      <c r="V187" s="439"/>
      <c r="W187" s="463" t="s">
        <v>200</v>
      </c>
      <c r="Y187" s="368">
        <v>43964</v>
      </c>
      <c r="Z187" s="429">
        <v>0</v>
      </c>
      <c r="AA187" s="393">
        <v>0</v>
      </c>
      <c r="AB187" s="382">
        <v>0</v>
      </c>
      <c r="AC187" s="429">
        <v>0</v>
      </c>
      <c r="AD187" s="430">
        <v>0</v>
      </c>
      <c r="AE187" s="429"/>
      <c r="AF187" s="430">
        <v>0</v>
      </c>
      <c r="AG187" s="412"/>
      <c r="AH187" s="380">
        <f t="shared" si="55"/>
        <v>147631.7322580645</v>
      </c>
      <c r="AI187" s="381">
        <f t="shared" si="56"/>
        <v>53400.665322580644</v>
      </c>
      <c r="AJ187" s="382">
        <f t="shared" si="53"/>
        <v>21128.051612903226</v>
      </c>
      <c r="AK187" s="394">
        <f t="shared" si="57"/>
        <v>222160.44919354835</v>
      </c>
      <c r="AL187" s="440">
        <v>0</v>
      </c>
    </row>
    <row r="188" spans="1:38">
      <c r="A188" s="433">
        <v>43965</v>
      </c>
      <c r="B188" s="479">
        <v>4749</v>
      </c>
      <c r="C188" s="479">
        <v>25</v>
      </c>
      <c r="D188" s="479">
        <v>20</v>
      </c>
      <c r="E188" s="479"/>
      <c r="F188" s="479"/>
      <c r="G188" s="479"/>
      <c r="H188" s="479"/>
      <c r="I188" s="479"/>
      <c r="J188" s="479"/>
      <c r="K188" s="479">
        <v>29491.29</v>
      </c>
      <c r="L188" s="479">
        <v>1398.75</v>
      </c>
      <c r="M188" s="479">
        <v>680</v>
      </c>
      <c r="N188" s="480">
        <v>39.5</v>
      </c>
      <c r="O188" s="481">
        <v>31570.04</v>
      </c>
      <c r="P188" s="482">
        <v>0.87798114254021076</v>
      </c>
      <c r="Q188" s="437">
        <v>37</v>
      </c>
      <c r="R188" s="438">
        <v>0.15</v>
      </c>
      <c r="S188" s="439">
        <v>0</v>
      </c>
      <c r="T188" s="439"/>
      <c r="U188" s="439"/>
      <c r="V188" s="439"/>
      <c r="W188" s="463"/>
      <c r="Y188" s="368">
        <v>43965</v>
      </c>
      <c r="Z188" s="429">
        <v>0</v>
      </c>
      <c r="AA188" s="393">
        <v>0</v>
      </c>
      <c r="AB188" s="382">
        <v>0</v>
      </c>
      <c r="AC188" s="429">
        <v>0</v>
      </c>
      <c r="AD188" s="430">
        <v>0</v>
      </c>
      <c r="AE188" s="429"/>
      <c r="AF188" s="430">
        <v>0</v>
      </c>
      <c r="AG188" s="412"/>
      <c r="AH188" s="380">
        <f t="shared" si="55"/>
        <v>146923.7922580645</v>
      </c>
      <c r="AI188" s="381">
        <f t="shared" si="56"/>
        <v>53400.665322580644</v>
      </c>
      <c r="AJ188" s="382">
        <f t="shared" si="53"/>
        <v>22148.051612903226</v>
      </c>
      <c r="AK188" s="394">
        <f t="shared" si="57"/>
        <v>222472.50919354835</v>
      </c>
      <c r="AL188" s="440">
        <v>0</v>
      </c>
    </row>
    <row r="189" spans="1:38">
      <c r="A189" s="433">
        <v>43966</v>
      </c>
      <c r="B189" s="474">
        <v>4959</v>
      </c>
      <c r="C189" s="474">
        <v>31.25</v>
      </c>
      <c r="D189" s="474">
        <v>20</v>
      </c>
      <c r="E189" s="474"/>
      <c r="F189" s="474"/>
      <c r="G189" s="474"/>
      <c r="H189" s="474"/>
      <c r="I189" s="474"/>
      <c r="J189" s="474"/>
      <c r="K189" s="474">
        <v>30795.39</v>
      </c>
      <c r="L189" s="474">
        <v>1748.4375</v>
      </c>
      <c r="M189" s="474">
        <v>680</v>
      </c>
      <c r="N189" s="475">
        <v>40.5</v>
      </c>
      <c r="O189" s="476">
        <v>33223.827499999999</v>
      </c>
      <c r="P189" s="477">
        <v>0.87645811240721105</v>
      </c>
      <c r="Q189" s="469">
        <v>37</v>
      </c>
      <c r="R189" s="470">
        <v>0.15</v>
      </c>
      <c r="S189" s="471">
        <v>0</v>
      </c>
      <c r="T189" s="471"/>
      <c r="U189" s="471"/>
      <c r="V189" s="471"/>
      <c r="W189" s="463"/>
      <c r="Y189" s="368">
        <v>43966</v>
      </c>
      <c r="Z189" s="429">
        <v>0</v>
      </c>
      <c r="AA189" s="393">
        <v>0</v>
      </c>
      <c r="AB189" s="382">
        <v>0</v>
      </c>
      <c r="AC189" s="429">
        <v>0</v>
      </c>
      <c r="AD189" s="430">
        <v>0</v>
      </c>
      <c r="AE189" s="429"/>
      <c r="AF189" s="430">
        <v>0</v>
      </c>
      <c r="AG189" s="412"/>
      <c r="AH189" s="380">
        <f t="shared" si="55"/>
        <v>145619.69225806452</v>
      </c>
      <c r="AI189" s="381">
        <f t="shared" si="56"/>
        <v>53050.977822580644</v>
      </c>
      <c r="AJ189" s="382">
        <f t="shared" si="53"/>
        <v>22148.051612903226</v>
      </c>
      <c r="AK189" s="394">
        <f t="shared" si="57"/>
        <v>220818.72169354837</v>
      </c>
      <c r="AL189" s="440">
        <v>8</v>
      </c>
    </row>
    <row r="190" spans="1:38">
      <c r="A190" s="433">
        <v>43967</v>
      </c>
      <c r="B190" s="474">
        <v>4784</v>
      </c>
      <c r="C190" s="474">
        <v>37.5</v>
      </c>
      <c r="D190" s="474">
        <v>60</v>
      </c>
      <c r="E190" s="474"/>
      <c r="F190" s="474"/>
      <c r="G190" s="474"/>
      <c r="H190" s="474"/>
      <c r="I190" s="474"/>
      <c r="J190" s="474"/>
      <c r="K190" s="474">
        <v>29708.639999999999</v>
      </c>
      <c r="L190" s="474">
        <v>2098.125</v>
      </c>
      <c r="M190" s="474">
        <v>2040</v>
      </c>
      <c r="N190" s="475">
        <v>41.5</v>
      </c>
      <c r="O190" s="476">
        <v>33846.764999999999</v>
      </c>
      <c r="P190" s="477">
        <v>0.88298265042451085</v>
      </c>
      <c r="Q190" s="469">
        <v>37</v>
      </c>
      <c r="R190" s="470">
        <v>0.15</v>
      </c>
      <c r="S190" s="471">
        <v>0</v>
      </c>
      <c r="T190" s="471"/>
      <c r="U190" s="471"/>
      <c r="V190" s="471"/>
      <c r="W190" s="463"/>
      <c r="Y190" s="368">
        <v>43967</v>
      </c>
      <c r="Z190" s="429">
        <v>0</v>
      </c>
      <c r="AA190" s="393">
        <v>0</v>
      </c>
      <c r="AB190" s="382">
        <v>0</v>
      </c>
      <c r="AC190" s="429">
        <v>0</v>
      </c>
      <c r="AD190" s="430">
        <v>0</v>
      </c>
      <c r="AE190" s="429"/>
      <c r="AF190" s="430">
        <v>0</v>
      </c>
      <c r="AG190" s="412"/>
      <c r="AH190" s="380">
        <f t="shared" si="55"/>
        <v>146706.44225806452</v>
      </c>
      <c r="AI190" s="381">
        <f t="shared" si="56"/>
        <v>52701.290322580644</v>
      </c>
      <c r="AJ190" s="382">
        <f t="shared" si="53"/>
        <v>20788.051612903226</v>
      </c>
      <c r="AK190" s="394">
        <f t="shared" si="57"/>
        <v>220195.78419354837</v>
      </c>
      <c r="AL190" s="440">
        <v>5</v>
      </c>
    </row>
    <row r="191" spans="1:38">
      <c r="A191" s="433">
        <v>43968</v>
      </c>
      <c r="B191" s="474">
        <v>4835</v>
      </c>
      <c r="C191" s="474">
        <v>31.25</v>
      </c>
      <c r="D191" s="474">
        <v>50</v>
      </c>
      <c r="E191" s="474"/>
      <c r="F191" s="474"/>
      <c r="G191" s="474"/>
      <c r="H191" s="474"/>
      <c r="I191" s="474"/>
      <c r="J191" s="474"/>
      <c r="K191" s="474">
        <v>30025.35</v>
      </c>
      <c r="L191" s="474">
        <v>1748.4375</v>
      </c>
      <c r="M191" s="474">
        <v>1700</v>
      </c>
      <c r="N191" s="475">
        <v>42.5</v>
      </c>
      <c r="O191" s="476">
        <v>33473.787499999999</v>
      </c>
      <c r="P191" s="477">
        <v>0.90054013782827347</v>
      </c>
      <c r="Q191" s="469">
        <v>37</v>
      </c>
      <c r="R191" s="470">
        <v>0.15</v>
      </c>
      <c r="S191" s="471">
        <v>0</v>
      </c>
      <c r="T191" s="471"/>
      <c r="U191" s="471"/>
      <c r="V191" s="471"/>
      <c r="W191" s="462"/>
      <c r="Y191" s="368">
        <v>43968</v>
      </c>
      <c r="Z191" s="429">
        <v>0</v>
      </c>
      <c r="AA191" s="393">
        <v>0</v>
      </c>
      <c r="AB191" s="382">
        <v>0</v>
      </c>
      <c r="AC191" s="429">
        <v>0</v>
      </c>
      <c r="AD191" s="430">
        <v>0</v>
      </c>
      <c r="AE191" s="429"/>
      <c r="AF191" s="430">
        <v>0</v>
      </c>
      <c r="AG191" s="412"/>
      <c r="AH191" s="380">
        <f t="shared" si="55"/>
        <v>146389.7322580645</v>
      </c>
      <c r="AI191" s="381">
        <f t="shared" si="56"/>
        <v>53050.977822580644</v>
      </c>
      <c r="AJ191" s="382">
        <f t="shared" si="53"/>
        <v>21128.051612903226</v>
      </c>
      <c r="AK191" s="394">
        <f t="shared" si="57"/>
        <v>220568.76169354835</v>
      </c>
      <c r="AL191" s="440">
        <v>0</v>
      </c>
    </row>
    <row r="192" spans="1:38">
      <c r="A192" s="433">
        <v>43969</v>
      </c>
      <c r="B192" s="479">
        <v>4609</v>
      </c>
      <c r="C192" s="479">
        <v>25</v>
      </c>
      <c r="D192" s="479">
        <v>110</v>
      </c>
      <c r="E192" s="479"/>
      <c r="F192" s="479"/>
      <c r="G192" s="479"/>
      <c r="H192" s="479"/>
      <c r="I192" s="479"/>
      <c r="J192" s="479"/>
      <c r="K192" s="479">
        <v>28621.89</v>
      </c>
      <c r="L192" s="479">
        <v>1398.75</v>
      </c>
      <c r="M192" s="479">
        <v>3740</v>
      </c>
      <c r="N192" s="480">
        <v>43.5</v>
      </c>
      <c r="O192" s="481">
        <v>33760.639999999999</v>
      </c>
      <c r="P192" s="482">
        <v>0.85430954587581098</v>
      </c>
      <c r="Q192" s="437">
        <v>17</v>
      </c>
      <c r="R192" s="438">
        <v>0.05</v>
      </c>
      <c r="S192" s="439">
        <v>0</v>
      </c>
      <c r="T192" s="439"/>
      <c r="U192" s="439"/>
      <c r="V192" s="439"/>
      <c r="W192" s="463"/>
      <c r="Y192" s="368">
        <v>43969</v>
      </c>
      <c r="Z192" s="429">
        <v>0</v>
      </c>
      <c r="AA192" s="393">
        <v>0</v>
      </c>
      <c r="AB192" s="382">
        <v>0</v>
      </c>
      <c r="AC192" s="429">
        <v>0</v>
      </c>
      <c r="AD192" s="430">
        <v>0</v>
      </c>
      <c r="AE192" s="429"/>
      <c r="AF192" s="430">
        <v>0</v>
      </c>
      <c r="AG192" s="412"/>
      <c r="AH192" s="380">
        <f t="shared" si="55"/>
        <v>147793.19225806452</v>
      </c>
      <c r="AI192" s="381">
        <f t="shared" si="56"/>
        <v>53400.665322580644</v>
      </c>
      <c r="AJ192" s="382">
        <f t="shared" si="53"/>
        <v>19088.051612903226</v>
      </c>
      <c r="AK192" s="394">
        <f t="shared" si="57"/>
        <v>220281.90919354837</v>
      </c>
      <c r="AL192" s="440"/>
    </row>
    <row r="193" spans="1:38">
      <c r="A193" s="433">
        <v>43970</v>
      </c>
      <c r="B193" s="479">
        <v>3973</v>
      </c>
      <c r="C193" s="479">
        <v>12.5</v>
      </c>
      <c r="D193" s="479">
        <v>60</v>
      </c>
      <c r="E193" s="479"/>
      <c r="F193" s="479"/>
      <c r="G193" s="479"/>
      <c r="H193" s="479"/>
      <c r="I193" s="479"/>
      <c r="J193" s="479"/>
      <c r="K193" s="479">
        <v>24672.329999999998</v>
      </c>
      <c r="L193" s="479">
        <v>699.375</v>
      </c>
      <c r="M193" s="479">
        <v>2040</v>
      </c>
      <c r="N193" s="480">
        <v>44.5</v>
      </c>
      <c r="O193" s="481">
        <v>27411.704999999998</v>
      </c>
      <c r="P193" s="482">
        <v>0.85847018150388932</v>
      </c>
      <c r="Q193" s="437">
        <v>17</v>
      </c>
      <c r="R193" s="438">
        <v>0.05</v>
      </c>
      <c r="S193" s="439">
        <v>0</v>
      </c>
      <c r="T193" s="439"/>
      <c r="U193" s="439"/>
      <c r="V193" s="439"/>
      <c r="W193" s="463"/>
      <c r="Y193" s="368">
        <v>43970</v>
      </c>
      <c r="Z193" s="429">
        <v>0</v>
      </c>
      <c r="AA193" s="393">
        <v>0</v>
      </c>
      <c r="AB193" s="382">
        <v>0</v>
      </c>
      <c r="AC193" s="429">
        <v>0</v>
      </c>
      <c r="AD193" s="430">
        <v>0</v>
      </c>
      <c r="AE193" s="429"/>
      <c r="AF193" s="430">
        <v>0</v>
      </c>
      <c r="AG193" s="412"/>
      <c r="AH193" s="380">
        <f t="shared" si="55"/>
        <v>151742.75225806452</v>
      </c>
      <c r="AI193" s="381">
        <f t="shared" si="56"/>
        <v>54100.040322580644</v>
      </c>
      <c r="AJ193" s="382">
        <f t="shared" si="53"/>
        <v>20788.051612903226</v>
      </c>
      <c r="AK193" s="394">
        <f t="shared" si="57"/>
        <v>226630.84419354837</v>
      </c>
      <c r="AL193" s="440"/>
    </row>
    <row r="194" spans="1:38">
      <c r="A194" s="433">
        <v>43971</v>
      </c>
      <c r="B194" s="479">
        <v>3861</v>
      </c>
      <c r="C194" s="479">
        <v>18.75</v>
      </c>
      <c r="D194" s="479">
        <v>40</v>
      </c>
      <c r="E194" s="479"/>
      <c r="F194" s="479"/>
      <c r="G194" s="479"/>
      <c r="H194" s="479"/>
      <c r="I194" s="479"/>
      <c r="J194" s="479"/>
      <c r="K194" s="479">
        <v>23976.81</v>
      </c>
      <c r="L194" s="479">
        <v>1049.0625</v>
      </c>
      <c r="M194" s="479">
        <v>1360</v>
      </c>
      <c r="N194" s="480">
        <v>45.5</v>
      </c>
      <c r="O194" s="481">
        <v>26385.872500000001</v>
      </c>
      <c r="P194" s="482">
        <v>0.82871860914359308</v>
      </c>
      <c r="Q194" s="437">
        <v>17</v>
      </c>
      <c r="R194" s="438">
        <v>0.05</v>
      </c>
      <c r="S194" s="439">
        <v>0</v>
      </c>
      <c r="T194" s="439"/>
      <c r="U194" s="439"/>
      <c r="V194" s="439"/>
      <c r="W194" s="463"/>
      <c r="Y194" s="368">
        <v>43971</v>
      </c>
      <c r="Z194" s="429">
        <v>0</v>
      </c>
      <c r="AA194" s="393">
        <v>0</v>
      </c>
      <c r="AB194" s="382">
        <v>0</v>
      </c>
      <c r="AC194" s="429">
        <v>0</v>
      </c>
      <c r="AD194" s="430">
        <v>0</v>
      </c>
      <c r="AE194" s="429"/>
      <c r="AF194" s="430">
        <v>0</v>
      </c>
      <c r="AG194" s="412"/>
      <c r="AH194" s="380">
        <f t="shared" si="55"/>
        <v>152438.27225806451</v>
      </c>
      <c r="AI194" s="381">
        <f t="shared" si="56"/>
        <v>53750.352822580644</v>
      </c>
      <c r="AJ194" s="382">
        <f t="shared" si="53"/>
        <v>21468.051612903226</v>
      </c>
      <c r="AK194" s="394">
        <f t="shared" si="57"/>
        <v>227656.67669354836</v>
      </c>
      <c r="AL194" s="440"/>
    </row>
    <row r="195" spans="1:38">
      <c r="A195" s="433">
        <v>43972</v>
      </c>
      <c r="B195" s="474">
        <v>3717</v>
      </c>
      <c r="C195" s="474">
        <v>6.25</v>
      </c>
      <c r="D195" s="474">
        <v>40</v>
      </c>
      <c r="E195" s="474"/>
      <c r="F195" s="474"/>
      <c r="G195" s="474"/>
      <c r="H195" s="474"/>
      <c r="I195" s="474"/>
      <c r="J195" s="474"/>
      <c r="K195" s="474">
        <v>23082.57</v>
      </c>
      <c r="L195" s="474">
        <v>349.6875</v>
      </c>
      <c r="M195" s="474">
        <v>1360</v>
      </c>
      <c r="N195" s="475">
        <v>46.5</v>
      </c>
      <c r="O195" s="476">
        <v>24792.2575</v>
      </c>
      <c r="P195" s="477">
        <v>0.84824281150159742</v>
      </c>
      <c r="Q195" s="469">
        <v>17</v>
      </c>
      <c r="R195" s="470">
        <v>0.05</v>
      </c>
      <c r="S195" s="471">
        <v>0</v>
      </c>
      <c r="T195" s="471"/>
      <c r="U195" s="471"/>
      <c r="V195" s="471"/>
      <c r="W195" s="462"/>
      <c r="Y195" s="368">
        <v>43972</v>
      </c>
      <c r="Z195" s="429">
        <v>0</v>
      </c>
      <c r="AA195" s="393">
        <v>0</v>
      </c>
      <c r="AB195" s="382">
        <v>0</v>
      </c>
      <c r="AC195" s="429">
        <v>0</v>
      </c>
      <c r="AD195" s="430">
        <v>0</v>
      </c>
      <c r="AE195" s="429"/>
      <c r="AF195" s="430">
        <v>0</v>
      </c>
      <c r="AG195" s="412"/>
      <c r="AH195" s="380">
        <f t="shared" si="55"/>
        <v>153332.5122580645</v>
      </c>
      <c r="AI195" s="381">
        <f t="shared" si="56"/>
        <v>54449.727822580644</v>
      </c>
      <c r="AJ195" s="382">
        <f t="shared" si="53"/>
        <v>21468.051612903226</v>
      </c>
      <c r="AK195" s="394">
        <f t="shared" si="57"/>
        <v>229250.29169354835</v>
      </c>
      <c r="AL195" s="440"/>
    </row>
    <row r="196" spans="1:38" ht="17.25" customHeight="1">
      <c r="A196" s="433">
        <v>43973</v>
      </c>
      <c r="B196" s="479">
        <v>4091</v>
      </c>
      <c r="C196" s="479">
        <v>12.5</v>
      </c>
      <c r="D196" s="479">
        <v>20</v>
      </c>
      <c r="E196" s="479"/>
      <c r="F196" s="479"/>
      <c r="G196" s="479"/>
      <c r="H196" s="479"/>
      <c r="I196" s="479"/>
      <c r="J196" s="479"/>
      <c r="K196" s="479">
        <v>25405.11</v>
      </c>
      <c r="L196" s="479">
        <v>699.375</v>
      </c>
      <c r="M196" s="479">
        <v>680</v>
      </c>
      <c r="N196" s="480">
        <v>47.5</v>
      </c>
      <c r="O196" s="481">
        <v>26784.485000000001</v>
      </c>
      <c r="P196" s="482">
        <v>0.8151026100816896</v>
      </c>
      <c r="Q196" s="437">
        <v>17</v>
      </c>
      <c r="R196" s="438">
        <v>0.05</v>
      </c>
      <c r="S196" s="439">
        <v>0</v>
      </c>
      <c r="T196" s="439"/>
      <c r="U196" s="439"/>
      <c r="V196" s="439"/>
      <c r="W196" s="463"/>
      <c r="Y196" s="368">
        <v>43973</v>
      </c>
      <c r="Z196" s="429">
        <v>0</v>
      </c>
      <c r="AA196" s="393">
        <v>0</v>
      </c>
      <c r="AB196" s="382">
        <v>0</v>
      </c>
      <c r="AC196" s="429">
        <v>0</v>
      </c>
      <c r="AD196" s="430">
        <v>0</v>
      </c>
      <c r="AE196" s="429"/>
      <c r="AF196" s="430">
        <v>0</v>
      </c>
      <c r="AG196" s="412"/>
      <c r="AH196" s="380">
        <f t="shared" si="55"/>
        <v>151009.97225806449</v>
      </c>
      <c r="AI196" s="381">
        <f t="shared" si="56"/>
        <v>54100.040322580644</v>
      </c>
      <c r="AJ196" s="382">
        <f t="shared" si="53"/>
        <v>22148.051612903226</v>
      </c>
      <c r="AK196" s="394">
        <f t="shared" si="57"/>
        <v>227258.06419354834</v>
      </c>
      <c r="AL196" s="440"/>
    </row>
    <row r="197" spans="1:38">
      <c r="A197" s="433">
        <v>43974</v>
      </c>
      <c r="B197" s="479">
        <v>3343</v>
      </c>
      <c r="C197" s="479">
        <v>18.75</v>
      </c>
      <c r="D197" s="479">
        <v>10</v>
      </c>
      <c r="E197" s="479"/>
      <c r="F197" s="479"/>
      <c r="G197" s="479"/>
      <c r="H197" s="479"/>
      <c r="I197" s="479"/>
      <c r="J197" s="479"/>
      <c r="K197" s="479">
        <v>20760.03</v>
      </c>
      <c r="L197" s="479">
        <v>1049.0625</v>
      </c>
      <c r="M197" s="479">
        <v>340</v>
      </c>
      <c r="N197" s="480">
        <v>48.5</v>
      </c>
      <c r="O197" s="481">
        <v>22149.092499999999</v>
      </c>
      <c r="P197" s="482">
        <v>0.79766165592937244</v>
      </c>
      <c r="Q197" s="437">
        <v>17</v>
      </c>
      <c r="R197" s="438">
        <v>0.05</v>
      </c>
      <c r="S197" s="439">
        <v>0</v>
      </c>
      <c r="T197" s="439"/>
      <c r="U197" s="439"/>
      <c r="V197" s="439"/>
      <c r="W197" s="463"/>
      <c r="Y197" s="368">
        <v>43974</v>
      </c>
      <c r="Z197" s="429">
        <v>0</v>
      </c>
      <c r="AA197" s="393">
        <v>0</v>
      </c>
      <c r="AB197" s="382">
        <v>0</v>
      </c>
      <c r="AC197" s="429">
        <v>0</v>
      </c>
      <c r="AD197" s="430">
        <v>0</v>
      </c>
      <c r="AE197" s="429"/>
      <c r="AF197" s="430">
        <v>0</v>
      </c>
      <c r="AG197" s="412"/>
      <c r="AH197" s="380">
        <f t="shared" si="55"/>
        <v>155655.0522580645</v>
      </c>
      <c r="AI197" s="381">
        <f t="shared" si="56"/>
        <v>53750.352822580644</v>
      </c>
      <c r="AJ197" s="382">
        <f t="shared" si="53"/>
        <v>22488.051612903226</v>
      </c>
      <c r="AK197" s="396">
        <f t="shared" si="57"/>
        <v>231893.45669354836</v>
      </c>
      <c r="AL197" s="440"/>
    </row>
    <row r="198" spans="1:38">
      <c r="A198" s="433">
        <v>43975</v>
      </c>
      <c r="B198" s="479">
        <v>4084</v>
      </c>
      <c r="C198" s="479">
        <v>0</v>
      </c>
      <c r="D198" s="479">
        <v>140</v>
      </c>
      <c r="E198" s="479"/>
      <c r="F198" s="479"/>
      <c r="G198" s="479"/>
      <c r="H198" s="479"/>
      <c r="I198" s="479"/>
      <c r="J198" s="479"/>
      <c r="K198" s="479">
        <v>25361.64</v>
      </c>
      <c r="L198" s="479">
        <v>0</v>
      </c>
      <c r="M198" s="479">
        <v>4760</v>
      </c>
      <c r="N198" s="480">
        <v>49.5</v>
      </c>
      <c r="O198" s="481">
        <v>30121.64</v>
      </c>
      <c r="P198" s="482">
        <v>0.82739059967585094</v>
      </c>
      <c r="Q198" s="437">
        <v>17</v>
      </c>
      <c r="R198" s="438">
        <v>0.05</v>
      </c>
      <c r="S198" s="439">
        <v>0</v>
      </c>
      <c r="T198" s="439"/>
      <c r="U198" s="439"/>
      <c r="V198" s="439"/>
      <c r="W198" s="463"/>
      <c r="Y198" s="368">
        <v>43975</v>
      </c>
      <c r="Z198" s="429">
        <v>0</v>
      </c>
      <c r="AA198" s="393">
        <v>0</v>
      </c>
      <c r="AB198" s="382">
        <v>0</v>
      </c>
      <c r="AC198" s="429">
        <v>0</v>
      </c>
      <c r="AD198" s="430">
        <v>0</v>
      </c>
      <c r="AE198" s="429"/>
      <c r="AF198" s="430">
        <v>0</v>
      </c>
      <c r="AG198" s="412"/>
      <c r="AH198" s="380">
        <f t="shared" si="55"/>
        <v>151053.44225806452</v>
      </c>
      <c r="AI198" s="381">
        <f t="shared" si="56"/>
        <v>54799.415322580644</v>
      </c>
      <c r="AJ198" s="382">
        <f t="shared" si="53"/>
        <v>18068.051612903226</v>
      </c>
      <c r="AK198" s="396">
        <f t="shared" si="57"/>
        <v>223920.90919354837</v>
      </c>
      <c r="AL198" s="440"/>
    </row>
    <row r="199" spans="1:38">
      <c r="A199" s="433">
        <v>43976</v>
      </c>
      <c r="B199" s="474">
        <v>3427</v>
      </c>
      <c r="C199" s="474">
        <v>0</v>
      </c>
      <c r="D199" s="474">
        <v>50</v>
      </c>
      <c r="E199" s="474"/>
      <c r="F199" s="474"/>
      <c r="G199" s="474"/>
      <c r="H199" s="474"/>
      <c r="I199" s="474"/>
      <c r="J199" s="474"/>
      <c r="K199" s="474">
        <v>21281.67</v>
      </c>
      <c r="L199" s="474">
        <v>0</v>
      </c>
      <c r="M199" s="474">
        <v>1700</v>
      </c>
      <c r="N199" s="475">
        <v>50.5</v>
      </c>
      <c r="O199" s="476">
        <v>22981.67</v>
      </c>
      <c r="P199" s="477">
        <v>0.7553449415913599</v>
      </c>
      <c r="Q199" s="469">
        <v>17</v>
      </c>
      <c r="R199" s="470">
        <v>0.05</v>
      </c>
      <c r="S199" s="471">
        <v>0</v>
      </c>
      <c r="T199" s="471"/>
      <c r="U199" s="471"/>
      <c r="V199" s="471"/>
      <c r="W199" s="484" t="s">
        <v>201</v>
      </c>
      <c r="Y199" s="368">
        <v>43976</v>
      </c>
      <c r="Z199" s="429">
        <v>111</v>
      </c>
      <c r="AA199" s="393">
        <v>3.2389845345783486E-2</v>
      </c>
      <c r="AB199" s="382">
        <v>689.31</v>
      </c>
      <c r="AC199" s="429">
        <v>0</v>
      </c>
      <c r="AD199" s="430">
        <v>0</v>
      </c>
      <c r="AE199" s="429"/>
      <c r="AF199" s="430">
        <v>0</v>
      </c>
      <c r="AG199" s="412"/>
      <c r="AH199" s="380">
        <f t="shared" si="55"/>
        <v>155133.41225806449</v>
      </c>
      <c r="AI199" s="381">
        <f t="shared" si="56"/>
        <v>54799.415322580644</v>
      </c>
      <c r="AJ199" s="382">
        <f t="shared" si="53"/>
        <v>21128.051612903226</v>
      </c>
      <c r="AK199" s="396">
        <f t="shared" si="57"/>
        <v>231060.87919354835</v>
      </c>
      <c r="AL199" s="440"/>
    </row>
    <row r="200" spans="1:38">
      <c r="A200" s="433">
        <v>43977</v>
      </c>
      <c r="B200" s="474">
        <v>3386</v>
      </c>
      <c r="C200" s="474">
        <v>6.25</v>
      </c>
      <c r="D200" s="474">
        <v>70</v>
      </c>
      <c r="E200" s="474"/>
      <c r="F200" s="474"/>
      <c r="G200" s="474"/>
      <c r="H200" s="474"/>
      <c r="I200" s="474"/>
      <c r="J200" s="474"/>
      <c r="K200" s="474">
        <v>21027.06</v>
      </c>
      <c r="L200" s="474">
        <v>349.6875</v>
      </c>
      <c r="M200" s="474">
        <v>2380</v>
      </c>
      <c r="N200" s="475">
        <v>51.5</v>
      </c>
      <c r="O200" s="476">
        <v>23756.747500000001</v>
      </c>
      <c r="P200" s="477">
        <v>0.79334582942830367</v>
      </c>
      <c r="Q200" s="469">
        <v>17</v>
      </c>
      <c r="R200" s="470">
        <v>0.05</v>
      </c>
      <c r="S200" s="471">
        <v>0</v>
      </c>
      <c r="T200" s="471"/>
      <c r="U200" s="471"/>
      <c r="V200" s="471"/>
      <c r="W200" s="484"/>
      <c r="Y200" s="368">
        <v>43977</v>
      </c>
      <c r="Z200" s="429">
        <v>44</v>
      </c>
      <c r="AA200" s="393">
        <v>1.299468399291199E-2</v>
      </c>
      <c r="AB200" s="382">
        <v>273.24</v>
      </c>
      <c r="AC200" s="429">
        <v>0</v>
      </c>
      <c r="AD200" s="430">
        <v>0</v>
      </c>
      <c r="AE200" s="429"/>
      <c r="AF200" s="430">
        <v>0</v>
      </c>
      <c r="AG200" s="412"/>
      <c r="AH200" s="380">
        <f t="shared" si="55"/>
        <v>155388.02225806451</v>
      </c>
      <c r="AI200" s="381">
        <f t="shared" si="56"/>
        <v>54449.727822580644</v>
      </c>
      <c r="AJ200" s="382">
        <f t="shared" si="53"/>
        <v>20448.051612903226</v>
      </c>
      <c r="AK200" s="396">
        <f t="shared" si="57"/>
        <v>230285.80169354836</v>
      </c>
      <c r="AL200" s="440"/>
    </row>
    <row r="201" spans="1:38">
      <c r="A201" s="433">
        <v>43978</v>
      </c>
      <c r="B201" s="479">
        <v>3773</v>
      </c>
      <c r="C201" s="479">
        <v>6.25</v>
      </c>
      <c r="D201" s="479">
        <v>20</v>
      </c>
      <c r="E201" s="479"/>
      <c r="F201" s="479"/>
      <c r="G201" s="479"/>
      <c r="H201" s="479"/>
      <c r="I201" s="479"/>
      <c r="J201" s="479"/>
      <c r="K201" s="479">
        <v>23430.329999999998</v>
      </c>
      <c r="L201" s="479">
        <v>349.6875</v>
      </c>
      <c r="M201" s="479">
        <v>680</v>
      </c>
      <c r="N201" s="480">
        <v>52.5</v>
      </c>
      <c r="O201" s="481">
        <v>24460.017499999998</v>
      </c>
      <c r="P201" s="482">
        <v>0.79515279241306636</v>
      </c>
      <c r="Q201" s="437">
        <v>17</v>
      </c>
      <c r="R201" s="438">
        <v>0.05</v>
      </c>
      <c r="S201" s="439">
        <v>0</v>
      </c>
      <c r="T201" s="439"/>
      <c r="U201" s="439"/>
      <c r="V201" s="439"/>
      <c r="W201" s="483"/>
      <c r="Y201" s="368">
        <v>43978</v>
      </c>
      <c r="Z201" s="429">
        <v>0</v>
      </c>
      <c r="AA201" s="393">
        <v>0</v>
      </c>
      <c r="AB201" s="382">
        <v>0</v>
      </c>
      <c r="AC201" s="429">
        <v>0</v>
      </c>
      <c r="AD201" s="430">
        <v>0</v>
      </c>
      <c r="AE201" s="429"/>
      <c r="AF201" s="430">
        <v>0</v>
      </c>
      <c r="AG201" s="412"/>
      <c r="AH201" s="380">
        <f t="shared" si="55"/>
        <v>152984.75225806452</v>
      </c>
      <c r="AI201" s="381">
        <f t="shared" si="56"/>
        <v>54449.727822580644</v>
      </c>
      <c r="AJ201" s="382">
        <f t="shared" si="53"/>
        <v>22148.051612903226</v>
      </c>
      <c r="AK201" s="396">
        <f t="shared" si="57"/>
        <v>229582.53169354837</v>
      </c>
      <c r="AL201" s="440"/>
    </row>
    <row r="202" spans="1:38">
      <c r="A202" s="433">
        <v>43979</v>
      </c>
      <c r="B202" s="386">
        <v>3369</v>
      </c>
      <c r="C202" s="386">
        <v>0</v>
      </c>
      <c r="D202" s="386">
        <v>20</v>
      </c>
      <c r="E202" s="386"/>
      <c r="F202" s="386"/>
      <c r="G202" s="386"/>
      <c r="H202" s="386"/>
      <c r="I202" s="386"/>
      <c r="J202" s="386"/>
      <c r="K202" s="386">
        <v>20921.490000000002</v>
      </c>
      <c r="L202" s="386">
        <v>0</v>
      </c>
      <c r="M202" s="386">
        <v>680</v>
      </c>
      <c r="N202" s="435">
        <v>53.5</v>
      </c>
      <c r="O202" s="436">
        <v>21601.49</v>
      </c>
      <c r="P202" s="461">
        <v>0.72234133790737565</v>
      </c>
      <c r="Q202" s="437">
        <v>17</v>
      </c>
      <c r="R202" s="438">
        <v>0.05</v>
      </c>
      <c r="S202" s="439">
        <v>0</v>
      </c>
      <c r="T202" s="439"/>
      <c r="U202" s="439"/>
      <c r="V202" s="439"/>
      <c r="W202" s="483" t="s">
        <v>201</v>
      </c>
      <c r="Y202" s="368">
        <v>43979</v>
      </c>
      <c r="Z202" s="429">
        <v>42</v>
      </c>
      <c r="AA202" s="393">
        <v>1.2466607301869992E-2</v>
      </c>
      <c r="AB202" s="382">
        <v>260.82</v>
      </c>
      <c r="AC202" s="429">
        <v>0</v>
      </c>
      <c r="AD202" s="430">
        <v>0</v>
      </c>
      <c r="AE202" s="429"/>
      <c r="AF202" s="430">
        <v>0</v>
      </c>
      <c r="AG202" s="412"/>
      <c r="AH202" s="380">
        <f t="shared" si="55"/>
        <v>155493.59225806451</v>
      </c>
      <c r="AI202" s="381">
        <f t="shared" si="56"/>
        <v>54799.415322580644</v>
      </c>
      <c r="AJ202" s="382">
        <f t="shared" si="53"/>
        <v>22148.051612903226</v>
      </c>
      <c r="AK202" s="396">
        <f t="shared" si="57"/>
        <v>232441.05919354837</v>
      </c>
      <c r="AL202" s="440"/>
    </row>
    <row r="203" spans="1:38" ht="29.1">
      <c r="A203" s="433">
        <v>43980</v>
      </c>
      <c r="B203" s="386">
        <v>3711</v>
      </c>
      <c r="C203" s="386">
        <v>0</v>
      </c>
      <c r="D203" s="386">
        <v>50</v>
      </c>
      <c r="E203" s="386"/>
      <c r="F203" s="386"/>
      <c r="G203" s="386"/>
      <c r="H203" s="386"/>
      <c r="I203" s="386"/>
      <c r="J203" s="386"/>
      <c r="K203" s="386">
        <v>23045.31</v>
      </c>
      <c r="L203" s="386">
        <v>0</v>
      </c>
      <c r="M203" s="386">
        <v>1700</v>
      </c>
      <c r="N203" s="435">
        <v>54.5</v>
      </c>
      <c r="O203" s="436">
        <v>24745.31</v>
      </c>
      <c r="P203" s="461">
        <v>0.82705593938043231</v>
      </c>
      <c r="Q203" s="437">
        <v>17</v>
      </c>
      <c r="R203" s="438">
        <v>0.05</v>
      </c>
      <c r="S203" s="439">
        <v>0</v>
      </c>
      <c r="T203" s="592"/>
      <c r="U203" s="592"/>
      <c r="V203" s="592"/>
      <c r="W203" s="485" t="s">
        <v>202</v>
      </c>
      <c r="Y203" s="368">
        <v>43980</v>
      </c>
      <c r="Z203" s="429">
        <v>46</v>
      </c>
      <c r="AA203" s="393">
        <v>1.2395580706009162E-2</v>
      </c>
      <c r="AB203" s="382">
        <v>285.66000000000003</v>
      </c>
      <c r="AC203" s="429">
        <v>0</v>
      </c>
      <c r="AD203" s="430">
        <v>0</v>
      </c>
      <c r="AE203" s="429"/>
      <c r="AF203" s="430">
        <v>0</v>
      </c>
      <c r="AG203" s="412"/>
      <c r="AH203" s="380">
        <f t="shared" si="55"/>
        <v>153369.77225806451</v>
      </c>
      <c r="AI203" s="381">
        <f t="shared" si="56"/>
        <v>54799.415322580644</v>
      </c>
      <c r="AJ203" s="382">
        <f t="shared" si="53"/>
        <v>21128.051612903226</v>
      </c>
      <c r="AK203" s="396">
        <f t="shared" si="57"/>
        <v>229297.23919354836</v>
      </c>
      <c r="AL203" s="440"/>
    </row>
    <row r="204" spans="1:38">
      <c r="A204" s="433">
        <v>43981</v>
      </c>
      <c r="B204" s="386">
        <v>3867</v>
      </c>
      <c r="C204" s="386">
        <v>0</v>
      </c>
      <c r="D204" s="386">
        <v>20</v>
      </c>
      <c r="E204" s="386"/>
      <c r="F204" s="386"/>
      <c r="G204" s="386"/>
      <c r="H204" s="386"/>
      <c r="I204" s="386"/>
      <c r="J204" s="386"/>
      <c r="K204" s="386">
        <v>24014.07</v>
      </c>
      <c r="L204" s="386">
        <v>0</v>
      </c>
      <c r="M204" s="386">
        <v>680</v>
      </c>
      <c r="N204" s="435">
        <v>55.5</v>
      </c>
      <c r="O204" s="436">
        <v>24694.07</v>
      </c>
      <c r="P204" s="461">
        <v>0.80012414649286157</v>
      </c>
      <c r="Q204" s="437">
        <v>17</v>
      </c>
      <c r="R204" s="438">
        <v>0.05</v>
      </c>
      <c r="S204" s="439">
        <v>0</v>
      </c>
      <c r="T204" s="439"/>
      <c r="U204" s="439"/>
      <c r="V204" s="439"/>
      <c r="W204" s="483" t="s">
        <v>201</v>
      </c>
      <c r="Y204" s="368">
        <v>43981</v>
      </c>
      <c r="Z204" s="429">
        <v>0</v>
      </c>
      <c r="AA204" s="393">
        <v>0</v>
      </c>
      <c r="AB204" s="382">
        <v>0</v>
      </c>
      <c r="AC204" s="429">
        <v>0</v>
      </c>
      <c r="AD204" s="430">
        <v>0</v>
      </c>
      <c r="AE204" s="429"/>
      <c r="AF204" s="430">
        <v>0</v>
      </c>
      <c r="AG204" s="412"/>
      <c r="AH204" s="380">
        <f t="shared" si="55"/>
        <v>152401.0122580645</v>
      </c>
      <c r="AI204" s="381">
        <f t="shared" si="56"/>
        <v>54799.415322580644</v>
      </c>
      <c r="AJ204" s="382">
        <f t="shared" si="53"/>
        <v>22148.051612903226</v>
      </c>
      <c r="AK204" s="396">
        <f t="shared" si="57"/>
        <v>229348.47919354835</v>
      </c>
      <c r="AL204" s="440"/>
    </row>
    <row r="205" spans="1:38">
      <c r="A205" s="433">
        <v>43982</v>
      </c>
      <c r="B205" s="386">
        <v>3312</v>
      </c>
      <c r="C205" s="386">
        <v>0</v>
      </c>
      <c r="D205" s="386">
        <v>90</v>
      </c>
      <c r="E205" s="386"/>
      <c r="F205" s="386"/>
      <c r="G205" s="386"/>
      <c r="H205" s="386"/>
      <c r="I205" s="386"/>
      <c r="J205" s="386"/>
      <c r="K205" s="386">
        <v>20567.52</v>
      </c>
      <c r="L205" s="386">
        <v>0</v>
      </c>
      <c r="M205" s="386">
        <v>3060</v>
      </c>
      <c r="N205" s="435">
        <v>56.5</v>
      </c>
      <c r="O205" s="436">
        <v>23627.52</v>
      </c>
      <c r="P205" s="461">
        <v>0.80819912152269402</v>
      </c>
      <c r="Q205" s="437">
        <v>17</v>
      </c>
      <c r="R205" s="438">
        <v>0.05</v>
      </c>
      <c r="S205" s="439">
        <v>0</v>
      </c>
      <c r="T205" s="439"/>
      <c r="U205" s="439"/>
      <c r="V205" s="439"/>
      <c r="W205" s="483" t="s">
        <v>201</v>
      </c>
      <c r="Y205" s="368"/>
      <c r="Z205" s="429"/>
      <c r="AA205" s="393"/>
      <c r="AB205" s="382"/>
      <c r="AC205" s="429"/>
      <c r="AD205" s="430"/>
      <c r="AE205" s="385"/>
      <c r="AF205" s="387"/>
      <c r="AG205" s="412"/>
      <c r="AH205" s="380">
        <f t="shared" si="55"/>
        <v>155847.56225806451</v>
      </c>
      <c r="AI205" s="381">
        <f t="shared" si="56"/>
        <v>54799.415322580644</v>
      </c>
      <c r="AJ205" s="382">
        <f t="shared" si="53"/>
        <v>19768.051612903226</v>
      </c>
      <c r="AK205" s="396">
        <f t="shared" si="57"/>
        <v>230415.02919354837</v>
      </c>
      <c r="AL205" s="440"/>
    </row>
    <row r="206" spans="1:38">
      <c r="A206" s="443" t="s">
        <v>161</v>
      </c>
      <c r="B206" s="444">
        <f t="shared" ref="B206:M206" si="58">SUM(B175:B205)</f>
        <v>138320</v>
      </c>
      <c r="C206" s="444">
        <f t="shared" si="58"/>
        <v>1131.25</v>
      </c>
      <c r="D206" s="444">
        <f t="shared" si="58"/>
        <v>1830</v>
      </c>
      <c r="E206" s="444"/>
      <c r="F206" s="444"/>
      <c r="G206" s="444"/>
      <c r="H206" s="444"/>
      <c r="I206" s="444"/>
      <c r="J206" s="444"/>
      <c r="K206" s="444">
        <f t="shared" si="58"/>
        <v>858967.20000000007</v>
      </c>
      <c r="L206" s="444">
        <f t="shared" si="58"/>
        <v>63293.4375</v>
      </c>
      <c r="M206" s="444">
        <f t="shared" si="58"/>
        <v>62220</v>
      </c>
      <c r="N206" s="444"/>
      <c r="O206" s="444">
        <f>SUM(O175:O204)</f>
        <v>960853.11750000005</v>
      </c>
      <c r="P206" s="444"/>
      <c r="Q206" s="437"/>
      <c r="R206" s="438"/>
      <c r="S206" s="439"/>
      <c r="T206" s="439"/>
      <c r="U206" s="439"/>
      <c r="V206" s="439"/>
      <c r="W206" s="439"/>
      <c r="Y206" s="409" t="s">
        <v>161</v>
      </c>
      <c r="Z206" s="410">
        <f t="shared" ref="Z206:AE206" si="59">SUM(Z175:Z205)</f>
        <v>243</v>
      </c>
      <c r="AA206" s="410">
        <f t="shared" si="59"/>
        <v>7.024671734657463E-2</v>
      </c>
      <c r="AB206" s="410">
        <f t="shared" si="59"/>
        <v>1509.03</v>
      </c>
      <c r="AC206" s="410">
        <f t="shared" si="59"/>
        <v>50</v>
      </c>
      <c r="AD206" s="410">
        <f t="shared" si="59"/>
        <v>2797.5</v>
      </c>
      <c r="AE206" s="410">
        <f t="shared" si="59"/>
        <v>0</v>
      </c>
      <c r="AF206" s="410">
        <f>SUM(AF175:AF205)</f>
        <v>0</v>
      </c>
      <c r="AG206" s="412"/>
      <c r="AH206" s="397">
        <f>SUM(AH175:AH202)</f>
        <v>4148282.0032258076</v>
      </c>
      <c r="AI206" s="397">
        <f>SUM(AI175:AI202)</f>
        <v>1471090.1915322575</v>
      </c>
      <c r="AJ206" s="397">
        <f>SUM(AJ175:AJ202)</f>
        <v>582405.44516129058</v>
      </c>
      <c r="AK206" s="397">
        <f>SUM(AK175:AK202)</f>
        <v>6201777.6399193555</v>
      </c>
      <c r="AL206" s="440"/>
    </row>
    <row r="209" spans="1:38" ht="29.1">
      <c r="A209" s="778" t="s">
        <v>14</v>
      </c>
      <c r="B209" s="780" t="s">
        <v>145</v>
      </c>
      <c r="C209" s="781"/>
      <c r="D209" s="782"/>
      <c r="E209" s="702"/>
      <c r="F209" s="702"/>
      <c r="G209" s="702"/>
      <c r="H209" s="702"/>
      <c r="I209" s="702"/>
      <c r="J209" s="702"/>
      <c r="K209" s="780" t="s">
        <v>146</v>
      </c>
      <c r="L209" s="781"/>
      <c r="M209" s="782"/>
      <c r="N209" s="778" t="s">
        <v>147</v>
      </c>
      <c r="O209" s="783" t="s">
        <v>148</v>
      </c>
      <c r="P209" s="783" t="s">
        <v>175</v>
      </c>
      <c r="Q209" s="700" t="s">
        <v>149</v>
      </c>
      <c r="R209" s="700" t="s">
        <v>150</v>
      </c>
      <c r="S209" s="785" t="s">
        <v>165</v>
      </c>
      <c r="T209" s="703"/>
      <c r="U209" s="703"/>
      <c r="V209" s="703"/>
      <c r="W209" s="785" t="s">
        <v>176</v>
      </c>
      <c r="Y209" s="787" t="s">
        <v>14</v>
      </c>
      <c r="Z209" s="789" t="s">
        <v>151</v>
      </c>
      <c r="AA209" s="790"/>
      <c r="AB209" s="791"/>
      <c r="AC209" s="789" t="s">
        <v>152</v>
      </c>
      <c r="AD209" s="791"/>
      <c r="AE209" s="789"/>
      <c r="AF209" s="791"/>
      <c r="AG209" s="412"/>
      <c r="AH209" s="773" t="s">
        <v>154</v>
      </c>
      <c r="AI209" s="774"/>
      <c r="AJ209" s="775"/>
      <c r="AK209" s="776" t="s">
        <v>155</v>
      </c>
      <c r="AL209" s="776" t="s">
        <v>166</v>
      </c>
    </row>
    <row r="210" spans="1:38">
      <c r="A210" s="779"/>
      <c r="B210" s="699" t="s">
        <v>156</v>
      </c>
      <c r="C210" s="699" t="s">
        <v>157</v>
      </c>
      <c r="D210" s="699" t="s">
        <v>158</v>
      </c>
      <c r="E210" s="699"/>
      <c r="F210" s="699"/>
      <c r="G210" s="699"/>
      <c r="H210" s="699"/>
      <c r="I210" s="699"/>
      <c r="J210" s="699"/>
      <c r="K210" s="699" t="s">
        <v>156</v>
      </c>
      <c r="L210" s="699" t="s">
        <v>157</v>
      </c>
      <c r="M210" s="699" t="s">
        <v>158</v>
      </c>
      <c r="N210" s="779"/>
      <c r="O210" s="784"/>
      <c r="P210" s="784"/>
      <c r="Q210" s="700"/>
      <c r="R210" s="700"/>
      <c r="S210" s="786"/>
      <c r="T210" s="704"/>
      <c r="U210" s="704"/>
      <c r="V210" s="704"/>
      <c r="W210" s="786"/>
      <c r="Y210" s="788"/>
      <c r="Z210" s="363" t="s">
        <v>145</v>
      </c>
      <c r="AA210" s="366" t="s">
        <v>159</v>
      </c>
      <c r="AB210" s="367" t="s">
        <v>160</v>
      </c>
      <c r="AC210" s="363" t="s">
        <v>145</v>
      </c>
      <c r="AD210" s="365" t="s">
        <v>160</v>
      </c>
      <c r="AE210" s="363" t="s">
        <v>145</v>
      </c>
      <c r="AF210" s="365" t="s">
        <v>160</v>
      </c>
      <c r="AG210" s="412"/>
      <c r="AH210" s="363" t="s">
        <v>156</v>
      </c>
      <c r="AI210" s="364" t="s">
        <v>157</v>
      </c>
      <c r="AJ210" s="365" t="s">
        <v>158</v>
      </c>
      <c r="AK210" s="777"/>
      <c r="AL210" s="777"/>
    </row>
    <row r="211" spans="1:38">
      <c r="A211" s="464">
        <v>43983</v>
      </c>
      <c r="B211" s="474">
        <v>3843</v>
      </c>
      <c r="C211" s="474">
        <v>215.5</v>
      </c>
      <c r="D211" s="474">
        <v>60</v>
      </c>
      <c r="E211" s="474"/>
      <c r="F211" s="474"/>
      <c r="G211" s="474"/>
      <c r="H211" s="474"/>
      <c r="I211" s="474"/>
      <c r="J211" s="474"/>
      <c r="K211" s="474">
        <v>23865.03</v>
      </c>
      <c r="L211" s="474">
        <v>12057.225</v>
      </c>
      <c r="M211" s="474">
        <v>2040</v>
      </c>
      <c r="N211" s="475">
        <v>26.5</v>
      </c>
      <c r="O211" s="476">
        <v>37962.254999999997</v>
      </c>
      <c r="P211" s="477">
        <v>0.82027748132337241</v>
      </c>
      <c r="Q211" s="469">
        <v>17</v>
      </c>
      <c r="R211" s="470">
        <v>0.05</v>
      </c>
      <c r="S211" s="471">
        <v>0</v>
      </c>
      <c r="T211" s="471"/>
      <c r="U211" s="471"/>
      <c r="V211" s="471"/>
      <c r="W211" s="462"/>
      <c r="Y211" s="368">
        <v>43983</v>
      </c>
      <c r="Z211" s="429">
        <v>46</v>
      </c>
      <c r="AA211" s="393">
        <v>1.1969815248503773E-2</v>
      </c>
      <c r="AB211" s="382">
        <v>285.66000000000003</v>
      </c>
      <c r="AC211" s="429">
        <v>0</v>
      </c>
      <c r="AD211" s="430">
        <v>0</v>
      </c>
      <c r="AE211" s="429"/>
      <c r="AF211" s="430">
        <v>0</v>
      </c>
      <c r="AG211" s="426"/>
      <c r="AH211" s="380">
        <f>$K$40-K211</f>
        <v>152550.0522580645</v>
      </c>
      <c r="AI211" s="381">
        <f>$L$40-L211</f>
        <v>42742.190322580645</v>
      </c>
      <c r="AJ211" s="382">
        <f t="shared" ref="AJ211:AJ241" si="60">$M$40-M211</f>
        <v>20788.051612903226</v>
      </c>
      <c r="AK211" s="394">
        <f t="shared" ref="AK211:AK218" si="61">AH211+AI211+AJ211</f>
        <v>216080.29419354835</v>
      </c>
      <c r="AL211" s="440">
        <v>0</v>
      </c>
    </row>
    <row r="212" spans="1:38" ht="29.1">
      <c r="A212" s="464">
        <v>43984</v>
      </c>
      <c r="B212" s="474">
        <v>3492</v>
      </c>
      <c r="C212" s="474">
        <v>0</v>
      </c>
      <c r="D212" s="474">
        <v>100</v>
      </c>
      <c r="E212" s="474"/>
      <c r="F212" s="474"/>
      <c r="G212" s="474"/>
      <c r="H212" s="474"/>
      <c r="I212" s="474"/>
      <c r="J212" s="474"/>
      <c r="K212" s="474">
        <v>21685.32</v>
      </c>
      <c r="L212" s="474">
        <v>0</v>
      </c>
      <c r="M212" s="474">
        <v>3400</v>
      </c>
      <c r="N212" s="475">
        <v>27.5</v>
      </c>
      <c r="O212" s="476">
        <v>25085.32</v>
      </c>
      <c r="P212" s="477">
        <v>0.83901970206631427</v>
      </c>
      <c r="Q212" s="469">
        <v>17</v>
      </c>
      <c r="R212" s="470">
        <v>0.05</v>
      </c>
      <c r="S212" s="471">
        <v>0</v>
      </c>
      <c r="T212" s="471"/>
      <c r="U212" s="471"/>
      <c r="V212" s="471"/>
      <c r="W212" s="462" t="s">
        <v>187</v>
      </c>
      <c r="Y212" s="368">
        <v>43984</v>
      </c>
      <c r="Z212" s="429">
        <v>0</v>
      </c>
      <c r="AA212" s="393">
        <v>0</v>
      </c>
      <c r="AB212" s="382">
        <v>0</v>
      </c>
      <c r="AC212" s="429">
        <v>0</v>
      </c>
      <c r="AD212" s="430">
        <v>0</v>
      </c>
      <c r="AE212" s="429"/>
      <c r="AF212" s="430">
        <v>0</v>
      </c>
      <c r="AG212" s="426"/>
      <c r="AH212" s="380">
        <f>$K$40-K212</f>
        <v>154729.7622580645</v>
      </c>
      <c r="AI212" s="381">
        <f>$L$40-L212</f>
        <v>54799.415322580644</v>
      </c>
      <c r="AJ212" s="382">
        <f t="shared" si="60"/>
        <v>19428.051612903226</v>
      </c>
      <c r="AK212" s="394">
        <f t="shared" si="61"/>
        <v>228957.22919354835</v>
      </c>
      <c r="AL212" s="440">
        <v>10</v>
      </c>
    </row>
    <row r="213" spans="1:38" ht="29.1">
      <c r="A213" s="464">
        <v>43985</v>
      </c>
      <c r="B213" s="474">
        <v>3628</v>
      </c>
      <c r="C213" s="474">
        <v>107.75</v>
      </c>
      <c r="D213" s="474">
        <v>60</v>
      </c>
      <c r="E213" s="474"/>
      <c r="F213" s="474"/>
      <c r="G213" s="474"/>
      <c r="H213" s="474"/>
      <c r="I213" s="474"/>
      <c r="J213" s="474"/>
      <c r="K213" s="474">
        <v>22529.88</v>
      </c>
      <c r="L213" s="474">
        <v>6028.6125000000002</v>
      </c>
      <c r="M213" s="474">
        <v>2040</v>
      </c>
      <c r="N213" s="475">
        <v>28.5</v>
      </c>
      <c r="O213" s="476">
        <v>30598.4925</v>
      </c>
      <c r="P213" s="477">
        <v>0.77887505367110343</v>
      </c>
      <c r="Q213" s="469">
        <v>17</v>
      </c>
      <c r="R213" s="470">
        <v>0.05</v>
      </c>
      <c r="S213" s="471">
        <v>0</v>
      </c>
      <c r="T213" s="471"/>
      <c r="U213" s="471"/>
      <c r="V213" s="471"/>
      <c r="W213" s="462" t="s">
        <v>187</v>
      </c>
      <c r="Y213" s="368">
        <v>43985</v>
      </c>
      <c r="Z213" s="429">
        <v>0</v>
      </c>
      <c r="AA213" s="393">
        <v>0</v>
      </c>
      <c r="AB213" s="382">
        <v>0</v>
      </c>
      <c r="AC213" s="429">
        <v>0.61999999985564502</v>
      </c>
      <c r="AD213" s="430">
        <v>34.688999991923339</v>
      </c>
      <c r="AE213" s="429"/>
      <c r="AF213" s="430">
        <v>0</v>
      </c>
      <c r="AG213" s="426"/>
      <c r="AH213" s="380">
        <f>$K$40-K213</f>
        <v>153885.2022580645</v>
      </c>
      <c r="AI213" s="381">
        <f>$L$40-L213</f>
        <v>48770.802822580641</v>
      </c>
      <c r="AJ213" s="382">
        <f t="shared" si="60"/>
        <v>20788.051612903226</v>
      </c>
      <c r="AK213" s="394">
        <f t="shared" si="61"/>
        <v>223444.05669354837</v>
      </c>
      <c r="AL213" s="440">
        <v>6</v>
      </c>
    </row>
    <row r="214" spans="1:38" ht="29.1">
      <c r="A214" s="464">
        <v>43986</v>
      </c>
      <c r="B214" s="474">
        <v>3413</v>
      </c>
      <c r="C214" s="474">
        <v>107.75</v>
      </c>
      <c r="D214" s="474">
        <v>130</v>
      </c>
      <c r="E214" s="474"/>
      <c r="F214" s="474"/>
      <c r="G214" s="474"/>
      <c r="H214" s="474"/>
      <c r="I214" s="474"/>
      <c r="J214" s="474"/>
      <c r="K214" s="474">
        <v>21194.73</v>
      </c>
      <c r="L214" s="474">
        <v>6028.6125000000002</v>
      </c>
      <c r="M214" s="474">
        <v>4420</v>
      </c>
      <c r="N214" s="475">
        <v>29.5</v>
      </c>
      <c r="O214" s="476">
        <v>31643.342499999999</v>
      </c>
      <c r="P214" s="477">
        <v>0.78731257208765859</v>
      </c>
      <c r="Q214" s="469">
        <v>17</v>
      </c>
      <c r="R214" s="470">
        <v>0.05</v>
      </c>
      <c r="S214" s="471">
        <v>0</v>
      </c>
      <c r="T214" s="471"/>
      <c r="U214" s="471"/>
      <c r="V214" s="471"/>
      <c r="W214" s="462" t="s">
        <v>187</v>
      </c>
      <c r="Y214" s="368">
        <v>43986</v>
      </c>
      <c r="Z214" s="429">
        <v>50</v>
      </c>
      <c r="AA214" s="393">
        <v>1.464986815118664E-2</v>
      </c>
      <c r="AB214" s="382">
        <v>310.5</v>
      </c>
      <c r="AC214" s="429">
        <v>0</v>
      </c>
      <c r="AD214" s="430">
        <v>0</v>
      </c>
      <c r="AE214" s="429"/>
      <c r="AF214" s="430">
        <v>0</v>
      </c>
      <c r="AG214" s="426"/>
      <c r="AH214" s="380">
        <f>$K$40-K214</f>
        <v>155220.35225806449</v>
      </c>
      <c r="AI214" s="381">
        <f>$L$40-L214</f>
        <v>48770.802822580641</v>
      </c>
      <c r="AJ214" s="382">
        <f t="shared" si="60"/>
        <v>18408.051612903226</v>
      </c>
      <c r="AK214" s="394">
        <f t="shared" si="61"/>
        <v>222399.20669354836</v>
      </c>
      <c r="AL214" s="440">
        <v>5</v>
      </c>
    </row>
    <row r="215" spans="1:38" ht="16.5" customHeight="1">
      <c r="A215" s="464">
        <v>43987</v>
      </c>
      <c r="B215" s="474">
        <v>3485</v>
      </c>
      <c r="C215" s="474">
        <v>107.75</v>
      </c>
      <c r="D215" s="474">
        <v>30</v>
      </c>
      <c r="E215" s="474"/>
      <c r="F215" s="474"/>
      <c r="G215" s="474"/>
      <c r="H215" s="474"/>
      <c r="I215" s="474"/>
      <c r="J215" s="474"/>
      <c r="K215" s="474">
        <v>21641.85</v>
      </c>
      <c r="L215" s="474">
        <v>6028.6125000000002</v>
      </c>
      <c r="M215" s="474">
        <v>1020</v>
      </c>
      <c r="N215" s="475">
        <v>30.5</v>
      </c>
      <c r="O215" s="476">
        <v>28690.462499999998</v>
      </c>
      <c r="P215" s="477">
        <v>0.76829805996472667</v>
      </c>
      <c r="Q215" s="469">
        <v>17</v>
      </c>
      <c r="R215" s="470">
        <v>0.05</v>
      </c>
      <c r="S215" s="471">
        <v>0</v>
      </c>
      <c r="T215" s="471"/>
      <c r="U215" s="471"/>
      <c r="V215" s="471"/>
      <c r="W215" s="462" t="s">
        <v>187</v>
      </c>
      <c r="Y215" s="368">
        <v>43987</v>
      </c>
      <c r="Z215" s="429">
        <v>0</v>
      </c>
      <c r="AA215" s="393">
        <v>0</v>
      </c>
      <c r="AB215" s="382">
        <v>0</v>
      </c>
      <c r="AC215" s="429">
        <v>0</v>
      </c>
      <c r="AD215" s="430">
        <v>0</v>
      </c>
      <c r="AE215" s="429"/>
      <c r="AF215" s="430">
        <v>0</v>
      </c>
      <c r="AG215" s="426"/>
      <c r="AH215" s="380">
        <f t="shared" ref="AH215:AH241" si="62">$K$40-K215</f>
        <v>154773.2322580645</v>
      </c>
      <c r="AI215" s="381">
        <f t="shared" ref="AI215:AI241" si="63">$L$40-L215</f>
        <v>48770.802822580641</v>
      </c>
      <c r="AJ215" s="382">
        <f t="shared" si="60"/>
        <v>21808.051612903226</v>
      </c>
      <c r="AK215" s="394">
        <f t="shared" si="61"/>
        <v>225352.08669354836</v>
      </c>
      <c r="AL215" s="440">
        <v>0</v>
      </c>
    </row>
    <row r="216" spans="1:38" ht="29.1">
      <c r="A216" s="464">
        <v>43988</v>
      </c>
      <c r="B216" s="474">
        <v>3207</v>
      </c>
      <c r="C216" s="474">
        <v>0</v>
      </c>
      <c r="D216" s="474">
        <v>100</v>
      </c>
      <c r="E216" s="474"/>
      <c r="F216" s="474"/>
      <c r="G216" s="474"/>
      <c r="H216" s="474"/>
      <c r="I216" s="474"/>
      <c r="J216" s="474"/>
      <c r="K216" s="474">
        <v>19915.47</v>
      </c>
      <c r="L216" s="474">
        <v>0</v>
      </c>
      <c r="M216" s="474">
        <v>3400</v>
      </c>
      <c r="N216" s="475">
        <v>31.5</v>
      </c>
      <c r="O216" s="476">
        <v>23315.47</v>
      </c>
      <c r="P216" s="477">
        <v>0.78699386503067481</v>
      </c>
      <c r="Q216" s="469">
        <v>17</v>
      </c>
      <c r="R216" s="470">
        <v>0.05</v>
      </c>
      <c r="S216" s="471">
        <v>0</v>
      </c>
      <c r="T216" s="471"/>
      <c r="U216" s="471"/>
      <c r="V216" s="471"/>
      <c r="W216" s="462" t="s">
        <v>187</v>
      </c>
      <c r="Y216" s="368">
        <v>43988</v>
      </c>
      <c r="Z216" s="429">
        <v>0</v>
      </c>
      <c r="AA216" s="393">
        <v>0</v>
      </c>
      <c r="AB216" s="382">
        <v>0</v>
      </c>
      <c r="AC216" s="429">
        <v>0</v>
      </c>
      <c r="AD216" s="430">
        <v>0</v>
      </c>
      <c r="AE216" s="429"/>
      <c r="AF216" s="430">
        <v>0</v>
      </c>
      <c r="AG216" s="426"/>
      <c r="AH216" s="380">
        <f t="shared" si="62"/>
        <v>156499.6122580645</v>
      </c>
      <c r="AI216" s="381">
        <f t="shared" si="63"/>
        <v>54799.415322580644</v>
      </c>
      <c r="AJ216" s="382">
        <f t="shared" si="60"/>
        <v>19428.051612903226</v>
      </c>
      <c r="AK216" s="394">
        <f t="shared" si="61"/>
        <v>230727.07919354836</v>
      </c>
      <c r="AL216" s="440">
        <v>12</v>
      </c>
    </row>
    <row r="217" spans="1:38" ht="29.25" customHeight="1">
      <c r="A217" s="464">
        <v>43989</v>
      </c>
      <c r="B217" s="474">
        <v>3268</v>
      </c>
      <c r="C217" s="474">
        <v>0</v>
      </c>
      <c r="D217" s="474">
        <v>80</v>
      </c>
      <c r="E217" s="474"/>
      <c r="F217" s="474"/>
      <c r="G217" s="474"/>
      <c r="H217" s="474"/>
      <c r="I217" s="474"/>
      <c r="J217" s="474"/>
      <c r="K217" s="474">
        <v>20294.28</v>
      </c>
      <c r="L217" s="474">
        <v>0</v>
      </c>
      <c r="M217" s="474">
        <v>2720</v>
      </c>
      <c r="N217" s="475">
        <v>32.5</v>
      </c>
      <c r="O217" s="476">
        <v>23014.28</v>
      </c>
      <c r="P217" s="477">
        <v>0.77606269294704344</v>
      </c>
      <c r="Q217" s="469">
        <v>17</v>
      </c>
      <c r="R217" s="470">
        <v>0.05</v>
      </c>
      <c r="S217" s="471">
        <v>0</v>
      </c>
      <c r="T217" s="471"/>
      <c r="U217" s="471"/>
      <c r="V217" s="471"/>
      <c r="W217" s="462" t="s">
        <v>187</v>
      </c>
      <c r="Y217" s="368">
        <v>43989</v>
      </c>
      <c r="Z217" s="429">
        <v>0</v>
      </c>
      <c r="AA217" s="393">
        <v>0</v>
      </c>
      <c r="AB217" s="382">
        <v>0</v>
      </c>
      <c r="AC217" s="429">
        <v>0</v>
      </c>
      <c r="AD217" s="430">
        <v>0</v>
      </c>
      <c r="AE217" s="429"/>
      <c r="AF217" s="430">
        <v>0</v>
      </c>
      <c r="AG217" s="426"/>
      <c r="AH217" s="380">
        <f t="shared" si="62"/>
        <v>156120.8022580645</v>
      </c>
      <c r="AI217" s="381">
        <f t="shared" si="63"/>
        <v>54799.415322580644</v>
      </c>
      <c r="AJ217" s="382">
        <f t="shared" si="60"/>
        <v>20108.051612903226</v>
      </c>
      <c r="AK217" s="394">
        <f t="shared" si="61"/>
        <v>231028.26919354836</v>
      </c>
      <c r="AL217" s="440">
        <v>0</v>
      </c>
    </row>
    <row r="218" spans="1:38">
      <c r="A218" s="464">
        <v>43990</v>
      </c>
      <c r="B218" s="474">
        <v>3275</v>
      </c>
      <c r="C218" s="474">
        <v>0</v>
      </c>
      <c r="D218" s="474">
        <v>30</v>
      </c>
      <c r="E218" s="474"/>
      <c r="F218" s="474"/>
      <c r="G218" s="474"/>
      <c r="H218" s="474"/>
      <c r="I218" s="474"/>
      <c r="J218" s="474"/>
      <c r="K218" s="474">
        <v>20337.75</v>
      </c>
      <c r="L218" s="474">
        <v>0</v>
      </c>
      <c r="M218" s="474">
        <v>1020</v>
      </c>
      <c r="N218" s="475">
        <v>33.5</v>
      </c>
      <c r="O218" s="476">
        <v>21357.75</v>
      </c>
      <c r="P218" s="477">
        <v>0.75356649792913022</v>
      </c>
      <c r="Q218" s="469">
        <v>17</v>
      </c>
      <c r="R218" s="470">
        <v>0.05</v>
      </c>
      <c r="S218" s="471">
        <v>0</v>
      </c>
      <c r="T218" s="471"/>
      <c r="U218" s="471"/>
      <c r="V218" s="471"/>
      <c r="W218" s="462"/>
      <c r="Y218" s="368">
        <v>43990</v>
      </c>
      <c r="Z218" s="429">
        <v>0</v>
      </c>
      <c r="AA218" s="393">
        <v>0</v>
      </c>
      <c r="AB218" s="382">
        <v>0</v>
      </c>
      <c r="AC218" s="429">
        <v>0</v>
      </c>
      <c r="AD218" s="430">
        <v>0</v>
      </c>
      <c r="AE218" s="429"/>
      <c r="AF218" s="430">
        <v>0</v>
      </c>
      <c r="AG218" s="426"/>
      <c r="AH218" s="380">
        <f t="shared" si="62"/>
        <v>156077.3322580645</v>
      </c>
      <c r="AI218" s="381">
        <f t="shared" si="63"/>
        <v>54799.415322580644</v>
      </c>
      <c r="AJ218" s="382">
        <f t="shared" si="60"/>
        <v>21808.051612903226</v>
      </c>
      <c r="AK218" s="394">
        <f t="shared" si="61"/>
        <v>232684.79919354836</v>
      </c>
      <c r="AL218" s="440">
        <v>0</v>
      </c>
    </row>
    <row r="219" spans="1:38" ht="29.1">
      <c r="A219" s="464">
        <v>43991</v>
      </c>
      <c r="B219" s="474">
        <v>3127</v>
      </c>
      <c r="C219" s="474">
        <v>0</v>
      </c>
      <c r="D219" s="474">
        <v>100</v>
      </c>
      <c r="E219" s="474"/>
      <c r="F219" s="474"/>
      <c r="G219" s="474"/>
      <c r="H219" s="474"/>
      <c r="I219" s="474"/>
      <c r="J219" s="474"/>
      <c r="K219" s="474">
        <v>19418.669999999998</v>
      </c>
      <c r="L219" s="474">
        <v>0</v>
      </c>
      <c r="M219" s="474">
        <v>3400</v>
      </c>
      <c r="N219" s="475">
        <v>34.5</v>
      </c>
      <c r="O219" s="476">
        <v>22818.67</v>
      </c>
      <c r="P219" s="477">
        <v>0.74064424443391752</v>
      </c>
      <c r="Q219" s="469">
        <v>17</v>
      </c>
      <c r="R219" s="470">
        <v>0.05</v>
      </c>
      <c r="S219" s="471">
        <v>0</v>
      </c>
      <c r="T219" s="471"/>
      <c r="U219" s="471"/>
      <c r="V219" s="471"/>
      <c r="W219" s="462" t="s">
        <v>187</v>
      </c>
      <c r="Y219" s="368">
        <v>43991</v>
      </c>
      <c r="Z219" s="429">
        <v>0</v>
      </c>
      <c r="AA219" s="393">
        <v>0</v>
      </c>
      <c r="AB219" s="382">
        <v>0</v>
      </c>
      <c r="AC219" s="429">
        <v>322.09000000007217</v>
      </c>
      <c r="AD219" s="430">
        <v>18020.935500004038</v>
      </c>
      <c r="AE219" s="429"/>
      <c r="AF219" s="430">
        <v>0</v>
      </c>
      <c r="AG219" s="426"/>
      <c r="AH219" s="380">
        <f t="shared" si="62"/>
        <v>156996.41225806449</v>
      </c>
      <c r="AI219" s="381">
        <f t="shared" si="63"/>
        <v>54799.415322580644</v>
      </c>
      <c r="AJ219" s="382">
        <f t="shared" si="60"/>
        <v>19428.051612903226</v>
      </c>
      <c r="AK219" s="394">
        <f>AH219+AI219+AJ219</f>
        <v>231223.87919354835</v>
      </c>
      <c r="AL219" s="440">
        <v>5</v>
      </c>
    </row>
    <row r="220" spans="1:38">
      <c r="A220" s="464">
        <v>43992</v>
      </c>
      <c r="B220" s="474">
        <v>3377</v>
      </c>
      <c r="C220" s="474">
        <v>0</v>
      </c>
      <c r="D220" s="474">
        <v>50</v>
      </c>
      <c r="E220" s="474"/>
      <c r="F220" s="474"/>
      <c r="G220" s="474"/>
      <c r="H220" s="474"/>
      <c r="I220" s="474"/>
      <c r="J220" s="474"/>
      <c r="K220" s="474">
        <v>20971.169999999998</v>
      </c>
      <c r="L220" s="474">
        <v>0</v>
      </c>
      <c r="M220" s="474">
        <v>1700</v>
      </c>
      <c r="N220" s="475">
        <v>35.5</v>
      </c>
      <c r="O220" s="476">
        <v>22671.17</v>
      </c>
      <c r="P220" s="477">
        <v>0.79552414605418142</v>
      </c>
      <c r="Q220" s="469">
        <v>17</v>
      </c>
      <c r="R220" s="470">
        <v>0.05</v>
      </c>
      <c r="S220" s="471">
        <v>0</v>
      </c>
      <c r="T220" s="471"/>
      <c r="U220" s="471"/>
      <c r="V220" s="471"/>
      <c r="W220" s="462"/>
      <c r="Y220" s="368">
        <v>43992</v>
      </c>
      <c r="Z220" s="429">
        <v>0</v>
      </c>
      <c r="AA220" s="393">
        <v>0</v>
      </c>
      <c r="AB220" s="382">
        <v>0</v>
      </c>
      <c r="AC220" s="429">
        <v>15.809999999927824</v>
      </c>
      <c r="AD220" s="430">
        <v>884.56949999596179</v>
      </c>
      <c r="AE220" s="429"/>
      <c r="AF220" s="430">
        <v>0</v>
      </c>
      <c r="AG220" s="426"/>
      <c r="AH220" s="380">
        <f t="shared" si="62"/>
        <v>155443.91225806449</v>
      </c>
      <c r="AI220" s="381">
        <f t="shared" si="63"/>
        <v>54799.415322580644</v>
      </c>
      <c r="AJ220" s="382">
        <f t="shared" si="60"/>
        <v>21128.051612903226</v>
      </c>
      <c r="AK220" s="394">
        <f t="shared" ref="AK220:AK241" si="64">AH220+AI220+AJ220</f>
        <v>231371.37919354835</v>
      </c>
      <c r="AL220" s="440">
        <v>5</v>
      </c>
    </row>
    <row r="221" spans="1:38" ht="43.5">
      <c r="A221" s="464">
        <v>43993</v>
      </c>
      <c r="B221" s="474">
        <v>3247</v>
      </c>
      <c r="C221" s="474">
        <v>538.75</v>
      </c>
      <c r="D221" s="474">
        <v>170</v>
      </c>
      <c r="E221" s="474"/>
      <c r="F221" s="474"/>
      <c r="G221" s="474"/>
      <c r="H221" s="474"/>
      <c r="I221" s="474"/>
      <c r="J221" s="474"/>
      <c r="K221" s="474">
        <v>20163.87</v>
      </c>
      <c r="L221" s="474">
        <v>30143.0625</v>
      </c>
      <c r="M221" s="474">
        <v>5780</v>
      </c>
      <c r="N221" s="475">
        <v>36.5</v>
      </c>
      <c r="O221" s="476">
        <v>56086.932499999995</v>
      </c>
      <c r="P221" s="477">
        <v>0.78411011832890609</v>
      </c>
      <c r="Q221" s="469">
        <v>17</v>
      </c>
      <c r="R221" s="470">
        <v>0.05</v>
      </c>
      <c r="S221" s="471">
        <v>0</v>
      </c>
      <c r="T221" s="471"/>
      <c r="U221" s="471"/>
      <c r="V221" s="471"/>
      <c r="W221" s="462" t="s">
        <v>203</v>
      </c>
      <c r="Y221" s="368">
        <v>43993</v>
      </c>
      <c r="Z221" s="429">
        <v>12</v>
      </c>
      <c r="AA221" s="393">
        <v>3.6957191253464737E-3</v>
      </c>
      <c r="AB221" s="382">
        <v>74.52</v>
      </c>
      <c r="AC221" s="429">
        <v>68.2</v>
      </c>
      <c r="AD221" s="430">
        <v>3815.7900000000004</v>
      </c>
      <c r="AE221" s="429"/>
      <c r="AF221" s="430">
        <v>0</v>
      </c>
      <c r="AG221" s="412"/>
      <c r="AH221" s="380">
        <f t="shared" si="62"/>
        <v>156251.21225806451</v>
      </c>
      <c r="AI221" s="381">
        <f t="shared" si="63"/>
        <v>24656.352822580644</v>
      </c>
      <c r="AJ221" s="382">
        <f t="shared" si="60"/>
        <v>17048.051612903226</v>
      </c>
      <c r="AK221" s="394">
        <f t="shared" si="64"/>
        <v>197955.61669354836</v>
      </c>
      <c r="AL221" s="440">
        <v>9</v>
      </c>
    </row>
    <row r="222" spans="1:38">
      <c r="A222" s="464">
        <v>43994</v>
      </c>
      <c r="B222" s="474">
        <v>3352</v>
      </c>
      <c r="C222" s="474">
        <v>0</v>
      </c>
      <c r="D222" s="474">
        <v>60</v>
      </c>
      <c r="E222" s="474"/>
      <c r="F222" s="474"/>
      <c r="G222" s="474"/>
      <c r="H222" s="474"/>
      <c r="I222" s="474"/>
      <c r="J222" s="474"/>
      <c r="K222" s="474">
        <v>20815.919999999998</v>
      </c>
      <c r="L222" s="474">
        <v>0</v>
      </c>
      <c r="M222" s="474">
        <v>2040</v>
      </c>
      <c r="N222" s="475">
        <v>37.5</v>
      </c>
      <c r="O222" s="476">
        <v>22855.919999999998</v>
      </c>
      <c r="P222" s="477">
        <v>0.80518856593802546</v>
      </c>
      <c r="Q222" s="469">
        <v>17</v>
      </c>
      <c r="R222" s="470">
        <v>0.05</v>
      </c>
      <c r="S222" s="471">
        <v>0</v>
      </c>
      <c r="T222" s="471"/>
      <c r="U222" s="471"/>
      <c r="V222" s="471"/>
      <c r="W222" s="463"/>
      <c r="Y222" s="368">
        <v>43994</v>
      </c>
      <c r="Z222" s="429">
        <v>0</v>
      </c>
      <c r="AA222" s="393">
        <v>0</v>
      </c>
      <c r="AB222" s="382">
        <v>0</v>
      </c>
      <c r="AC222" s="429">
        <v>0</v>
      </c>
      <c r="AD222" s="430">
        <v>0</v>
      </c>
      <c r="AE222" s="429"/>
      <c r="AF222" s="430">
        <v>0</v>
      </c>
      <c r="AG222" s="412"/>
      <c r="AH222" s="380">
        <f t="shared" si="62"/>
        <v>155599.16225806449</v>
      </c>
      <c r="AI222" s="381">
        <f t="shared" si="63"/>
        <v>54799.415322580644</v>
      </c>
      <c r="AJ222" s="382">
        <f t="shared" si="60"/>
        <v>20788.051612903226</v>
      </c>
      <c r="AK222" s="394">
        <f t="shared" si="64"/>
        <v>231186.62919354835</v>
      </c>
      <c r="AL222" s="440">
        <v>0</v>
      </c>
    </row>
    <row r="223" spans="1:38">
      <c r="A223" s="433">
        <v>43995</v>
      </c>
      <c r="B223" s="479">
        <v>3097</v>
      </c>
      <c r="C223" s="474">
        <v>0</v>
      </c>
      <c r="D223" s="479">
        <v>100</v>
      </c>
      <c r="E223" s="479"/>
      <c r="F223" s="479"/>
      <c r="G223" s="479"/>
      <c r="H223" s="479"/>
      <c r="I223" s="479"/>
      <c r="J223" s="479"/>
      <c r="K223" s="479">
        <v>19232.37</v>
      </c>
      <c r="L223" s="479">
        <v>0</v>
      </c>
      <c r="M223" s="479">
        <v>3400</v>
      </c>
      <c r="N223" s="480">
        <v>38.5</v>
      </c>
      <c r="O223" s="481">
        <v>22632.37</v>
      </c>
      <c r="P223" s="482">
        <v>0.73371239042880831</v>
      </c>
      <c r="Q223" s="437">
        <v>17</v>
      </c>
      <c r="R223" s="438">
        <v>0.05</v>
      </c>
      <c r="S223" s="439">
        <v>0</v>
      </c>
      <c r="T223" s="439"/>
      <c r="U223" s="439"/>
      <c r="V223" s="439"/>
      <c r="W223" s="463"/>
      <c r="Y223" s="368">
        <v>43995</v>
      </c>
      <c r="Z223" s="429">
        <v>0</v>
      </c>
      <c r="AA223" s="393">
        <v>0</v>
      </c>
      <c r="AB223" s="382">
        <v>0</v>
      </c>
      <c r="AC223" s="429">
        <v>2.4800000001443552</v>
      </c>
      <c r="AD223" s="430">
        <v>138.75600000807668</v>
      </c>
      <c r="AE223" s="429"/>
      <c r="AF223" s="430">
        <v>0</v>
      </c>
      <c r="AG223" s="412"/>
      <c r="AH223" s="380">
        <f t="shared" si="62"/>
        <v>157182.71225806451</v>
      </c>
      <c r="AI223" s="381">
        <f t="shared" si="63"/>
        <v>54799.415322580644</v>
      </c>
      <c r="AJ223" s="382">
        <f t="shared" si="60"/>
        <v>19428.051612903226</v>
      </c>
      <c r="AK223" s="394">
        <f t="shared" si="64"/>
        <v>231410.17919354836</v>
      </c>
      <c r="AL223" s="440">
        <v>0</v>
      </c>
    </row>
    <row r="224" spans="1:38" ht="29.1">
      <c r="A224" s="433">
        <v>43996</v>
      </c>
      <c r="B224" s="479">
        <v>3344</v>
      </c>
      <c r="C224" s="474">
        <v>0</v>
      </c>
      <c r="D224" s="479">
        <v>90</v>
      </c>
      <c r="E224" s="479"/>
      <c r="F224" s="479"/>
      <c r="G224" s="479"/>
      <c r="H224" s="479"/>
      <c r="I224" s="479"/>
      <c r="J224" s="479"/>
      <c r="K224" s="479">
        <v>20766.240000000002</v>
      </c>
      <c r="L224" s="479">
        <v>0</v>
      </c>
      <c r="M224" s="479">
        <v>3060</v>
      </c>
      <c r="N224" s="480">
        <v>39.5</v>
      </c>
      <c r="O224" s="481">
        <v>23826.240000000002</v>
      </c>
      <c r="P224" s="482">
        <v>0.59491193737769077</v>
      </c>
      <c r="Q224" s="437">
        <v>17</v>
      </c>
      <c r="R224" s="438">
        <v>0.05</v>
      </c>
      <c r="S224" s="439">
        <v>0</v>
      </c>
      <c r="T224" s="439"/>
      <c r="U224" s="439"/>
      <c r="V224" s="439"/>
      <c r="W224" s="463" t="s">
        <v>204</v>
      </c>
      <c r="Y224" s="368">
        <v>43996</v>
      </c>
      <c r="Z224" s="429">
        <v>62</v>
      </c>
      <c r="AA224" s="393">
        <v>1.854066985645933E-2</v>
      </c>
      <c r="AB224" s="382">
        <v>385.02</v>
      </c>
      <c r="AC224" s="429">
        <v>3.1</v>
      </c>
      <c r="AD224" s="430">
        <v>173.44500000000002</v>
      </c>
      <c r="AE224" s="429"/>
      <c r="AF224" s="430">
        <v>0</v>
      </c>
      <c r="AG224" s="412"/>
      <c r="AH224" s="380">
        <f t="shared" si="62"/>
        <v>155648.84225806451</v>
      </c>
      <c r="AI224" s="381">
        <f t="shared" si="63"/>
        <v>54799.415322580644</v>
      </c>
      <c r="AJ224" s="382">
        <f t="shared" si="60"/>
        <v>19768.051612903226</v>
      </c>
      <c r="AK224" s="394">
        <f t="shared" si="64"/>
        <v>230216.30919354837</v>
      </c>
      <c r="AL224" s="440">
        <v>0</v>
      </c>
    </row>
    <row r="225" spans="1:38">
      <c r="A225" s="433">
        <v>43997</v>
      </c>
      <c r="B225" s="474">
        <v>3312</v>
      </c>
      <c r="C225" s="474">
        <v>0</v>
      </c>
      <c r="D225" s="474">
        <v>50</v>
      </c>
      <c r="E225" s="474"/>
      <c r="F225" s="474"/>
      <c r="G225" s="474"/>
      <c r="H225" s="474"/>
      <c r="I225" s="474"/>
      <c r="J225" s="474"/>
      <c r="K225" s="474">
        <v>20567.52</v>
      </c>
      <c r="L225" s="474">
        <v>0</v>
      </c>
      <c r="M225" s="474">
        <v>1700</v>
      </c>
      <c r="N225" s="475">
        <v>40.5</v>
      </c>
      <c r="O225" s="476">
        <v>22267.52</v>
      </c>
      <c r="P225" s="477">
        <v>0.59397417503586802</v>
      </c>
      <c r="Q225" s="469">
        <v>17</v>
      </c>
      <c r="R225" s="470">
        <v>0.05</v>
      </c>
      <c r="S225" s="471">
        <v>0</v>
      </c>
      <c r="T225" s="471"/>
      <c r="U225" s="471"/>
      <c r="V225" s="471"/>
      <c r="W225" s="463"/>
      <c r="Y225" s="368">
        <v>43997</v>
      </c>
      <c r="Z225" s="429">
        <v>0</v>
      </c>
      <c r="AA225" s="393">
        <v>0</v>
      </c>
      <c r="AB225" s="382">
        <v>0</v>
      </c>
      <c r="AC225" s="429">
        <v>0</v>
      </c>
      <c r="AD225" s="430">
        <v>0</v>
      </c>
      <c r="AE225" s="429"/>
      <c r="AF225" s="430">
        <v>0</v>
      </c>
      <c r="AG225" s="412"/>
      <c r="AH225" s="380">
        <f t="shared" si="62"/>
        <v>155847.56225806451</v>
      </c>
      <c r="AI225" s="381">
        <f t="shared" si="63"/>
        <v>54799.415322580644</v>
      </c>
      <c r="AJ225" s="382">
        <f t="shared" si="60"/>
        <v>21128.051612903226</v>
      </c>
      <c r="AK225" s="394">
        <f t="shared" si="64"/>
        <v>231775.02919354837</v>
      </c>
      <c r="AL225" s="440">
        <v>8</v>
      </c>
    </row>
    <row r="226" spans="1:38" ht="29.1">
      <c r="A226" s="433">
        <v>43998</v>
      </c>
      <c r="B226" s="474">
        <v>3087</v>
      </c>
      <c r="C226" s="474">
        <v>0</v>
      </c>
      <c r="D226" s="474">
        <v>150</v>
      </c>
      <c r="E226" s="474"/>
      <c r="F226" s="474"/>
      <c r="G226" s="474"/>
      <c r="H226" s="474"/>
      <c r="I226" s="474"/>
      <c r="J226" s="474"/>
      <c r="K226" s="474">
        <v>19170.27</v>
      </c>
      <c r="L226" s="474">
        <v>0</v>
      </c>
      <c r="M226" s="474">
        <v>5100</v>
      </c>
      <c r="N226" s="475">
        <v>41.5</v>
      </c>
      <c r="O226" s="476">
        <v>24270.27</v>
      </c>
      <c r="P226" s="477">
        <v>0.59606101564008496</v>
      </c>
      <c r="Q226" s="469">
        <v>17</v>
      </c>
      <c r="R226" s="470">
        <v>0.05</v>
      </c>
      <c r="S226" s="471">
        <v>0</v>
      </c>
      <c r="T226" s="471"/>
      <c r="U226" s="471"/>
      <c r="V226" s="471"/>
      <c r="W226" s="463" t="s">
        <v>205</v>
      </c>
      <c r="Y226" s="368">
        <v>43998</v>
      </c>
      <c r="Z226" s="429">
        <v>35</v>
      </c>
      <c r="AA226" s="393">
        <v>1.1337868480725623E-2</v>
      </c>
      <c r="AB226" s="382">
        <v>217.35</v>
      </c>
      <c r="AC226" s="429">
        <v>0</v>
      </c>
      <c r="AD226" s="430">
        <v>0</v>
      </c>
      <c r="AE226" s="429"/>
      <c r="AF226" s="430">
        <v>0</v>
      </c>
      <c r="AG226" s="412"/>
      <c r="AH226" s="380">
        <f t="shared" si="62"/>
        <v>157244.81225806451</v>
      </c>
      <c r="AI226" s="381">
        <f t="shared" si="63"/>
        <v>54799.415322580644</v>
      </c>
      <c r="AJ226" s="382">
        <f t="shared" si="60"/>
        <v>17728.051612903226</v>
      </c>
      <c r="AK226" s="394">
        <f t="shared" si="64"/>
        <v>229772.27919354837</v>
      </c>
      <c r="AL226" s="440">
        <v>5</v>
      </c>
    </row>
    <row r="227" spans="1:38">
      <c r="A227" s="433">
        <v>43999</v>
      </c>
      <c r="B227" s="474">
        <v>3129</v>
      </c>
      <c r="C227" s="474">
        <v>0</v>
      </c>
      <c r="D227" s="474">
        <v>40</v>
      </c>
      <c r="E227" s="474"/>
      <c r="F227" s="474"/>
      <c r="G227" s="474"/>
      <c r="H227" s="474"/>
      <c r="I227" s="474"/>
      <c r="J227" s="474"/>
      <c r="K227" s="474">
        <v>19431.09</v>
      </c>
      <c r="L227" s="474">
        <v>0</v>
      </c>
      <c r="M227" s="474">
        <v>1360</v>
      </c>
      <c r="N227" s="475">
        <v>42.5</v>
      </c>
      <c r="O227" s="476">
        <v>20791.09</v>
      </c>
      <c r="P227" s="477">
        <v>0.75306859205776178</v>
      </c>
      <c r="Q227" s="469">
        <v>17</v>
      </c>
      <c r="R227" s="470">
        <v>0.05</v>
      </c>
      <c r="S227" s="471">
        <v>0</v>
      </c>
      <c r="T227" s="471"/>
      <c r="U227" s="471"/>
      <c r="V227" s="471"/>
      <c r="W227" s="462"/>
      <c r="Y227" s="368">
        <v>43999</v>
      </c>
      <c r="Z227" s="429">
        <v>0</v>
      </c>
      <c r="AA227" s="393">
        <v>0</v>
      </c>
      <c r="AB227" s="382">
        <v>0</v>
      </c>
      <c r="AC227" s="429">
        <v>0</v>
      </c>
      <c r="AD227" s="430">
        <v>0</v>
      </c>
      <c r="AE227" s="429"/>
      <c r="AF227" s="430">
        <v>0</v>
      </c>
      <c r="AG227" s="412"/>
      <c r="AH227" s="380">
        <f t="shared" si="62"/>
        <v>156983.99225806451</v>
      </c>
      <c r="AI227" s="381">
        <f t="shared" si="63"/>
        <v>54799.415322580644</v>
      </c>
      <c r="AJ227" s="382">
        <f t="shared" si="60"/>
        <v>21468.051612903226</v>
      </c>
      <c r="AK227" s="394">
        <f t="shared" si="64"/>
        <v>233251.45919354836</v>
      </c>
      <c r="AL227" s="440">
        <v>0</v>
      </c>
    </row>
    <row r="228" spans="1:38">
      <c r="A228" s="433">
        <v>44000</v>
      </c>
      <c r="B228" s="479">
        <v>3066</v>
      </c>
      <c r="C228" s="474">
        <v>107.75</v>
      </c>
      <c r="D228" s="479">
        <v>100</v>
      </c>
      <c r="E228" s="479"/>
      <c r="F228" s="479"/>
      <c r="G228" s="479"/>
      <c r="H228" s="479"/>
      <c r="I228" s="479"/>
      <c r="J228" s="479"/>
      <c r="K228" s="479">
        <v>19039.86</v>
      </c>
      <c r="L228" s="479">
        <v>6028.6125000000002</v>
      </c>
      <c r="M228" s="479">
        <v>3400</v>
      </c>
      <c r="N228" s="480">
        <v>43.5</v>
      </c>
      <c r="O228" s="481">
        <v>28468.4725</v>
      </c>
      <c r="P228" s="482">
        <v>0.75239263803680978</v>
      </c>
      <c r="Q228" s="437">
        <v>17</v>
      </c>
      <c r="R228" s="438">
        <v>0.05</v>
      </c>
      <c r="S228" s="439">
        <v>0</v>
      </c>
      <c r="T228" s="439"/>
      <c r="U228" s="439"/>
      <c r="V228" s="439"/>
      <c r="W228" s="463"/>
      <c r="Y228" s="368">
        <v>44000</v>
      </c>
      <c r="Z228" s="429">
        <v>26</v>
      </c>
      <c r="AA228" s="393">
        <v>8.4801043705153289E-3</v>
      </c>
      <c r="AB228" s="382">
        <v>161.46</v>
      </c>
      <c r="AC228" s="429">
        <v>0</v>
      </c>
      <c r="AD228" s="430">
        <v>0</v>
      </c>
      <c r="AE228" s="429"/>
      <c r="AF228" s="430">
        <v>0</v>
      </c>
      <c r="AG228" s="412"/>
      <c r="AH228" s="380">
        <f t="shared" si="62"/>
        <v>157375.22225806449</v>
      </c>
      <c r="AI228" s="381">
        <f t="shared" si="63"/>
        <v>48770.802822580641</v>
      </c>
      <c r="AJ228" s="382">
        <f t="shared" si="60"/>
        <v>19428.051612903226</v>
      </c>
      <c r="AK228" s="394">
        <f t="shared" si="64"/>
        <v>225574.07669354836</v>
      </c>
      <c r="AL228" s="440"/>
    </row>
    <row r="229" spans="1:38">
      <c r="A229" s="433">
        <v>44001</v>
      </c>
      <c r="B229" s="479">
        <v>3441</v>
      </c>
      <c r="C229" s="474">
        <v>107.75</v>
      </c>
      <c r="D229" s="479">
        <v>70</v>
      </c>
      <c r="E229" s="479"/>
      <c r="F229" s="479"/>
      <c r="G229" s="479"/>
      <c r="H229" s="479"/>
      <c r="I229" s="479"/>
      <c r="J229" s="479"/>
      <c r="K229" s="479">
        <v>21368.61</v>
      </c>
      <c r="L229" s="479">
        <v>6028.6125000000002</v>
      </c>
      <c r="M229" s="479">
        <v>2380</v>
      </c>
      <c r="N229" s="480">
        <v>44.5</v>
      </c>
      <c r="O229" s="481">
        <v>29777.2225</v>
      </c>
      <c r="P229" s="482">
        <v>0.77152466367713002</v>
      </c>
      <c r="Q229" s="437">
        <v>17</v>
      </c>
      <c r="R229" s="438">
        <v>0.05</v>
      </c>
      <c r="S229" s="439">
        <v>0</v>
      </c>
      <c r="T229" s="439"/>
      <c r="U229" s="439"/>
      <c r="V229" s="439"/>
      <c r="W229" s="463"/>
      <c r="Y229" s="368">
        <v>44001</v>
      </c>
      <c r="Z229" s="429">
        <v>0</v>
      </c>
      <c r="AA229" s="393">
        <v>0</v>
      </c>
      <c r="AB229" s="382">
        <v>0</v>
      </c>
      <c r="AC229" s="429">
        <v>0</v>
      </c>
      <c r="AD229" s="430">
        <v>0</v>
      </c>
      <c r="AE229" s="429"/>
      <c r="AF229" s="430">
        <v>0</v>
      </c>
      <c r="AG229" s="412"/>
      <c r="AH229" s="380">
        <f t="shared" si="62"/>
        <v>155046.47225806449</v>
      </c>
      <c r="AI229" s="381">
        <f t="shared" si="63"/>
        <v>48770.802822580641</v>
      </c>
      <c r="AJ229" s="382">
        <f t="shared" si="60"/>
        <v>20448.051612903226</v>
      </c>
      <c r="AK229" s="394">
        <f t="shared" si="64"/>
        <v>224265.32669354836</v>
      </c>
      <c r="AL229" s="440"/>
    </row>
    <row r="230" spans="1:38" ht="29.1">
      <c r="A230" s="433">
        <v>44002</v>
      </c>
      <c r="B230" s="479">
        <v>2807</v>
      </c>
      <c r="C230" s="474">
        <v>107.75</v>
      </c>
      <c r="D230" s="479">
        <v>120</v>
      </c>
      <c r="E230" s="479"/>
      <c r="F230" s="479"/>
      <c r="G230" s="479"/>
      <c r="H230" s="479"/>
      <c r="I230" s="479"/>
      <c r="J230" s="479"/>
      <c r="K230" s="479">
        <v>17431.47</v>
      </c>
      <c r="L230" s="479">
        <v>6028.6125000000002</v>
      </c>
      <c r="M230" s="479">
        <v>4080</v>
      </c>
      <c r="N230" s="480">
        <v>45.5</v>
      </c>
      <c r="O230" s="481">
        <v>27540.0825</v>
      </c>
      <c r="P230" s="482">
        <v>0.77477228815898425</v>
      </c>
      <c r="Q230" s="437">
        <v>17</v>
      </c>
      <c r="R230" s="438">
        <v>0.05</v>
      </c>
      <c r="S230" s="439">
        <v>0</v>
      </c>
      <c r="T230" s="439"/>
      <c r="U230" s="439"/>
      <c r="V230" s="439"/>
      <c r="W230" s="463" t="s">
        <v>206</v>
      </c>
      <c r="Y230" s="368">
        <v>44002</v>
      </c>
      <c r="Z230" s="429">
        <v>45</v>
      </c>
      <c r="AA230" s="393">
        <v>1.6031350195938723E-2</v>
      </c>
      <c r="AB230" s="382">
        <v>279.45</v>
      </c>
      <c r="AC230" s="429">
        <v>0</v>
      </c>
      <c r="AD230" s="430">
        <v>0</v>
      </c>
      <c r="AE230" s="429"/>
      <c r="AF230" s="430">
        <v>0</v>
      </c>
      <c r="AG230" s="412"/>
      <c r="AH230" s="380">
        <f t="shared" si="62"/>
        <v>158983.6122580645</v>
      </c>
      <c r="AI230" s="381">
        <f t="shared" si="63"/>
        <v>48770.802822580641</v>
      </c>
      <c r="AJ230" s="382">
        <f t="shared" si="60"/>
        <v>18748.051612903226</v>
      </c>
      <c r="AK230" s="394">
        <f t="shared" si="64"/>
        <v>226502.46669354837</v>
      </c>
      <c r="AL230" s="440"/>
    </row>
    <row r="231" spans="1:38">
      <c r="A231" s="433">
        <v>44003</v>
      </c>
      <c r="B231" s="474">
        <v>3091</v>
      </c>
      <c r="C231" s="474">
        <v>107.75</v>
      </c>
      <c r="D231" s="474">
        <v>80</v>
      </c>
      <c r="E231" s="474"/>
      <c r="F231" s="474"/>
      <c r="G231" s="474"/>
      <c r="H231" s="474"/>
      <c r="I231" s="474"/>
      <c r="J231" s="474"/>
      <c r="K231" s="474">
        <v>19195.11</v>
      </c>
      <c r="L231" s="474">
        <v>6028.6125000000002</v>
      </c>
      <c r="M231" s="474">
        <v>2720</v>
      </c>
      <c r="N231" s="475">
        <v>46.5</v>
      </c>
      <c r="O231" s="476">
        <v>27943.7225</v>
      </c>
      <c r="P231" s="477">
        <v>0.78154235145385587</v>
      </c>
      <c r="Q231" s="469">
        <v>17</v>
      </c>
      <c r="R231" s="470">
        <v>0.05</v>
      </c>
      <c r="S231" s="471">
        <v>0</v>
      </c>
      <c r="T231" s="471"/>
      <c r="U231" s="471"/>
      <c r="V231" s="471"/>
      <c r="W231" s="462"/>
      <c r="Y231" s="368">
        <v>44003</v>
      </c>
      <c r="Z231" s="429">
        <v>0</v>
      </c>
      <c r="AA231" s="393">
        <v>0</v>
      </c>
      <c r="AB231" s="382">
        <v>0</v>
      </c>
      <c r="AC231" s="429">
        <v>0</v>
      </c>
      <c r="AD231" s="430">
        <v>0</v>
      </c>
      <c r="AE231" s="429"/>
      <c r="AF231" s="430">
        <v>0</v>
      </c>
      <c r="AG231" s="412"/>
      <c r="AH231" s="380">
        <f t="shared" si="62"/>
        <v>157219.97225806449</v>
      </c>
      <c r="AI231" s="381">
        <f t="shared" si="63"/>
        <v>48770.802822580641</v>
      </c>
      <c r="AJ231" s="382">
        <f t="shared" si="60"/>
        <v>20108.051612903226</v>
      </c>
      <c r="AK231" s="394">
        <f t="shared" si="64"/>
        <v>226098.82669354836</v>
      </c>
      <c r="AL231" s="440"/>
    </row>
    <row r="232" spans="1:38" ht="17.25" customHeight="1">
      <c r="A232" s="433">
        <v>44004</v>
      </c>
      <c r="B232" s="479">
        <v>3037</v>
      </c>
      <c r="C232" s="474">
        <v>107.75</v>
      </c>
      <c r="D232" s="479">
        <v>60</v>
      </c>
      <c r="E232" s="479"/>
      <c r="F232" s="479"/>
      <c r="G232" s="479"/>
      <c r="H232" s="479"/>
      <c r="I232" s="479"/>
      <c r="J232" s="479"/>
      <c r="K232" s="479">
        <v>18859.77</v>
      </c>
      <c r="L232" s="479">
        <v>6028.6125000000002</v>
      </c>
      <c r="M232" s="479">
        <v>2040</v>
      </c>
      <c r="N232" s="480">
        <v>47.5</v>
      </c>
      <c r="O232" s="481">
        <v>26928.3825</v>
      </c>
      <c r="P232" s="482">
        <v>0.81948192120885055</v>
      </c>
      <c r="Q232" s="437">
        <v>17</v>
      </c>
      <c r="R232" s="438">
        <v>0.05</v>
      </c>
      <c r="S232" s="439">
        <v>0</v>
      </c>
      <c r="T232" s="439"/>
      <c r="U232" s="439"/>
      <c r="V232" s="439"/>
      <c r="W232" s="463"/>
      <c r="Y232" s="368">
        <v>44004</v>
      </c>
      <c r="Z232" s="429">
        <v>0</v>
      </c>
      <c r="AA232" s="393">
        <v>0</v>
      </c>
      <c r="AB232" s="382">
        <v>0</v>
      </c>
      <c r="AC232" s="429">
        <v>0</v>
      </c>
      <c r="AD232" s="430">
        <v>0</v>
      </c>
      <c r="AE232" s="429"/>
      <c r="AF232" s="430">
        <v>0</v>
      </c>
      <c r="AG232" s="412"/>
      <c r="AH232" s="380">
        <f t="shared" si="62"/>
        <v>157555.31225806451</v>
      </c>
      <c r="AI232" s="381">
        <f t="shared" si="63"/>
        <v>48770.802822580641</v>
      </c>
      <c r="AJ232" s="382">
        <f t="shared" si="60"/>
        <v>20788.051612903226</v>
      </c>
      <c r="AK232" s="394">
        <f t="shared" si="64"/>
        <v>227114.16669354838</v>
      </c>
      <c r="AL232" s="440"/>
    </row>
    <row r="233" spans="1:38">
      <c r="A233" s="433">
        <v>44005</v>
      </c>
      <c r="B233" s="479">
        <v>3009</v>
      </c>
      <c r="C233" s="474">
        <v>107.75</v>
      </c>
      <c r="D233" s="479">
        <v>110</v>
      </c>
      <c r="E233" s="479"/>
      <c r="F233" s="479"/>
      <c r="G233" s="479"/>
      <c r="H233" s="479"/>
      <c r="I233" s="479"/>
      <c r="J233" s="479"/>
      <c r="K233" s="479">
        <v>18685.89</v>
      </c>
      <c r="L233" s="479">
        <v>6028.6125000000002</v>
      </c>
      <c r="M233" s="479">
        <v>3740</v>
      </c>
      <c r="N233" s="480">
        <v>48.5</v>
      </c>
      <c r="O233" s="481">
        <v>28454.502499999999</v>
      </c>
      <c r="P233" s="482">
        <v>0.94592895315938386</v>
      </c>
      <c r="Q233" s="437">
        <v>17</v>
      </c>
      <c r="R233" s="438">
        <v>0.05</v>
      </c>
      <c r="S233" s="439">
        <v>0</v>
      </c>
      <c r="T233" s="439"/>
      <c r="U233" s="439"/>
      <c r="V233" s="439"/>
      <c r="W233" s="463" t="s">
        <v>207</v>
      </c>
      <c r="Y233" s="368">
        <v>44005</v>
      </c>
      <c r="Z233" s="429">
        <v>81</v>
      </c>
      <c r="AA233" s="393">
        <v>2.6919242273180457E-2</v>
      </c>
      <c r="AB233" s="382">
        <v>503.01</v>
      </c>
      <c r="AC233" s="429">
        <v>0</v>
      </c>
      <c r="AD233" s="430">
        <v>0</v>
      </c>
      <c r="AE233" s="429"/>
      <c r="AF233" s="430">
        <v>0</v>
      </c>
      <c r="AG233" s="412"/>
      <c r="AH233" s="380">
        <f t="shared" si="62"/>
        <v>157729.19225806452</v>
      </c>
      <c r="AI233" s="381">
        <f t="shared" si="63"/>
        <v>48770.802822580641</v>
      </c>
      <c r="AJ233" s="382">
        <f t="shared" si="60"/>
        <v>19088.051612903226</v>
      </c>
      <c r="AK233" s="396">
        <f t="shared" si="64"/>
        <v>225588.04669354839</v>
      </c>
      <c r="AL233" s="440"/>
    </row>
    <row r="234" spans="1:38">
      <c r="A234" s="433">
        <v>44006</v>
      </c>
      <c r="B234" s="479">
        <v>3266</v>
      </c>
      <c r="C234" s="474">
        <v>0</v>
      </c>
      <c r="D234" s="479">
        <v>60</v>
      </c>
      <c r="E234" s="479"/>
      <c r="F234" s="479"/>
      <c r="G234" s="479"/>
      <c r="H234" s="479"/>
      <c r="I234" s="479"/>
      <c r="J234" s="479"/>
      <c r="K234" s="479">
        <v>20281.86</v>
      </c>
      <c r="L234" s="479">
        <v>0</v>
      </c>
      <c r="M234" s="479">
        <v>2040</v>
      </c>
      <c r="N234" s="480">
        <v>49.5</v>
      </c>
      <c r="O234" s="481">
        <v>22321.86</v>
      </c>
      <c r="P234" s="482">
        <v>0.86242408238711377</v>
      </c>
      <c r="Q234" s="437">
        <v>17</v>
      </c>
      <c r="R234" s="438">
        <v>0.05</v>
      </c>
      <c r="S234" s="439">
        <v>0</v>
      </c>
      <c r="T234" s="439"/>
      <c r="U234" s="439"/>
      <c r="V234" s="439"/>
      <c r="W234" s="463"/>
      <c r="Y234" s="368">
        <v>44006</v>
      </c>
      <c r="Z234" s="429">
        <v>0</v>
      </c>
      <c r="AA234" s="393">
        <v>0</v>
      </c>
      <c r="AB234" s="382">
        <v>0</v>
      </c>
      <c r="AC234" s="429">
        <v>0</v>
      </c>
      <c r="AD234" s="430">
        <v>0</v>
      </c>
      <c r="AE234" s="429"/>
      <c r="AF234" s="430">
        <v>0</v>
      </c>
      <c r="AG234" s="412"/>
      <c r="AH234" s="380">
        <f t="shared" si="62"/>
        <v>156133.22225806449</v>
      </c>
      <c r="AI234" s="381">
        <f t="shared" si="63"/>
        <v>54799.415322580644</v>
      </c>
      <c r="AJ234" s="382">
        <f t="shared" si="60"/>
        <v>20788.051612903226</v>
      </c>
      <c r="AK234" s="396">
        <f t="shared" si="64"/>
        <v>231720.68919354834</v>
      </c>
      <c r="AL234" s="440"/>
    </row>
    <row r="235" spans="1:38">
      <c r="A235" s="433">
        <v>44007</v>
      </c>
      <c r="B235" s="474">
        <v>3177</v>
      </c>
      <c r="C235" s="474">
        <v>0</v>
      </c>
      <c r="D235" s="474">
        <v>130</v>
      </c>
      <c r="E235" s="474"/>
      <c r="F235" s="474"/>
      <c r="G235" s="474"/>
      <c r="H235" s="474"/>
      <c r="I235" s="474"/>
      <c r="J235" s="474"/>
      <c r="K235" s="474">
        <v>19729.169999999998</v>
      </c>
      <c r="L235" s="474">
        <v>0</v>
      </c>
      <c r="M235" s="474">
        <v>4420</v>
      </c>
      <c r="N235" s="475">
        <v>50.5</v>
      </c>
      <c r="O235" s="476">
        <v>24149.17</v>
      </c>
      <c r="P235" s="477">
        <v>0.90538614990025645</v>
      </c>
      <c r="Q235" s="469">
        <v>17</v>
      </c>
      <c r="R235" s="470">
        <v>0.05</v>
      </c>
      <c r="S235" s="471">
        <v>0</v>
      </c>
      <c r="T235" s="471"/>
      <c r="U235" s="471"/>
      <c r="V235" s="471"/>
      <c r="W235" s="488" t="s">
        <v>208</v>
      </c>
      <c r="Y235" s="368">
        <v>44007</v>
      </c>
      <c r="Z235" s="429">
        <v>36</v>
      </c>
      <c r="AA235" s="393">
        <v>1.1331444759206799E-2</v>
      </c>
      <c r="AB235" s="382">
        <v>223.56</v>
      </c>
      <c r="AC235" s="429">
        <v>0</v>
      </c>
      <c r="AD235" s="430">
        <v>0</v>
      </c>
      <c r="AE235" s="429"/>
      <c r="AF235" s="430">
        <v>0</v>
      </c>
      <c r="AG235" s="412"/>
      <c r="AH235" s="380">
        <f t="shared" si="62"/>
        <v>156685.91225806449</v>
      </c>
      <c r="AI235" s="381">
        <f t="shared" si="63"/>
        <v>54799.415322580644</v>
      </c>
      <c r="AJ235" s="382">
        <f t="shared" si="60"/>
        <v>18408.051612903226</v>
      </c>
      <c r="AK235" s="396">
        <f t="shared" si="64"/>
        <v>229893.37919354835</v>
      </c>
      <c r="AL235" s="440"/>
    </row>
    <row r="236" spans="1:38">
      <c r="A236" s="433">
        <v>44008</v>
      </c>
      <c r="B236" s="474">
        <v>3281</v>
      </c>
      <c r="C236" s="474">
        <v>107.75</v>
      </c>
      <c r="D236" s="474">
        <v>50</v>
      </c>
      <c r="E236" s="474"/>
      <c r="F236" s="474"/>
      <c r="G236" s="474"/>
      <c r="H236" s="474"/>
      <c r="I236" s="474"/>
      <c r="J236" s="474"/>
      <c r="K236" s="474">
        <v>20375.009999999998</v>
      </c>
      <c r="L236" s="474">
        <v>6028.6125000000002</v>
      </c>
      <c r="M236" s="474">
        <v>1700</v>
      </c>
      <c r="N236" s="475">
        <v>51.5</v>
      </c>
      <c r="O236" s="476">
        <v>28103.622499999998</v>
      </c>
      <c r="P236" s="477">
        <v>0.91063003053011382</v>
      </c>
      <c r="Q236" s="469">
        <v>17</v>
      </c>
      <c r="R236" s="470">
        <v>0.05</v>
      </c>
      <c r="S236" s="471">
        <v>0</v>
      </c>
      <c r="T236" s="471"/>
      <c r="U236" s="471"/>
      <c r="V236" s="471"/>
      <c r="W236" s="488"/>
      <c r="Y236" s="368">
        <v>44008</v>
      </c>
      <c r="Z236" s="429">
        <v>0</v>
      </c>
      <c r="AA236" s="393">
        <v>0</v>
      </c>
      <c r="AB236" s="382">
        <v>0</v>
      </c>
      <c r="AC236" s="429">
        <v>0</v>
      </c>
      <c r="AD236" s="430">
        <v>0</v>
      </c>
      <c r="AE236" s="429"/>
      <c r="AF236" s="430">
        <v>0</v>
      </c>
      <c r="AG236" s="412"/>
      <c r="AH236" s="380">
        <f t="shared" si="62"/>
        <v>156040.07225806449</v>
      </c>
      <c r="AI236" s="381">
        <f t="shared" si="63"/>
        <v>48770.802822580641</v>
      </c>
      <c r="AJ236" s="382">
        <f t="shared" si="60"/>
        <v>21128.051612903226</v>
      </c>
      <c r="AK236" s="396">
        <f t="shared" si="64"/>
        <v>225938.92669354836</v>
      </c>
      <c r="AL236" s="440"/>
    </row>
    <row r="237" spans="1:38">
      <c r="A237" s="433">
        <v>44009</v>
      </c>
      <c r="B237" s="479">
        <v>2921</v>
      </c>
      <c r="C237" s="474">
        <v>0</v>
      </c>
      <c r="D237" s="479">
        <v>70</v>
      </c>
      <c r="E237" s="479"/>
      <c r="F237" s="479"/>
      <c r="G237" s="479"/>
      <c r="H237" s="479"/>
      <c r="I237" s="479"/>
      <c r="J237" s="479"/>
      <c r="K237" s="479">
        <v>18139.41</v>
      </c>
      <c r="L237" s="479">
        <v>0</v>
      </c>
      <c r="M237" s="479">
        <v>2380</v>
      </c>
      <c r="N237" s="480">
        <v>52.5</v>
      </c>
      <c r="O237" s="481">
        <v>20519.41</v>
      </c>
      <c r="P237" s="482">
        <v>0.84275822273514134</v>
      </c>
      <c r="Q237" s="437">
        <v>17</v>
      </c>
      <c r="R237" s="438">
        <v>0.05</v>
      </c>
      <c r="S237" s="439">
        <v>0</v>
      </c>
      <c r="T237" s="439"/>
      <c r="U237" s="439"/>
      <c r="V237" s="439"/>
      <c r="W237" s="489"/>
      <c r="Y237" s="368">
        <v>44009</v>
      </c>
      <c r="Z237" s="429">
        <v>69</v>
      </c>
      <c r="AA237" s="393">
        <v>2.3622047244094488E-2</v>
      </c>
      <c r="AB237" s="382">
        <v>428.49</v>
      </c>
      <c r="AC237" s="429">
        <v>0</v>
      </c>
      <c r="AD237" s="430">
        <v>0</v>
      </c>
      <c r="AE237" s="429"/>
      <c r="AF237" s="430">
        <v>0</v>
      </c>
      <c r="AG237" s="412"/>
      <c r="AH237" s="380">
        <f t="shared" si="62"/>
        <v>158275.6722580645</v>
      </c>
      <c r="AI237" s="381">
        <f t="shared" si="63"/>
        <v>54799.415322580644</v>
      </c>
      <c r="AJ237" s="382">
        <f t="shared" si="60"/>
        <v>20448.051612903226</v>
      </c>
      <c r="AK237" s="396">
        <f t="shared" si="64"/>
        <v>233523.13919354836</v>
      </c>
      <c r="AL237" s="440"/>
    </row>
    <row r="238" spans="1:38">
      <c r="A238" s="433">
        <v>44010</v>
      </c>
      <c r="B238" s="386">
        <v>3023</v>
      </c>
      <c r="C238" s="474">
        <v>0</v>
      </c>
      <c r="D238" s="386">
        <v>70</v>
      </c>
      <c r="E238" s="386"/>
      <c r="F238" s="386"/>
      <c r="G238" s="386"/>
      <c r="H238" s="386"/>
      <c r="I238" s="386"/>
      <c r="J238" s="386"/>
      <c r="K238" s="386">
        <v>18772.829999999998</v>
      </c>
      <c r="L238" s="386">
        <v>0</v>
      </c>
      <c r="M238" s="386">
        <v>2380</v>
      </c>
      <c r="N238" s="435">
        <v>53.5</v>
      </c>
      <c r="O238" s="436">
        <v>21152.829999999998</v>
      </c>
      <c r="P238" s="461">
        <v>0.85419610059338791</v>
      </c>
      <c r="Q238" s="437">
        <v>17</v>
      </c>
      <c r="R238" s="438">
        <v>0.05</v>
      </c>
      <c r="S238" s="439">
        <v>0</v>
      </c>
      <c r="T238" s="439"/>
      <c r="U238" s="439"/>
      <c r="V238" s="439"/>
      <c r="W238" s="489"/>
      <c r="Y238" s="368">
        <v>44010</v>
      </c>
      <c r="Z238" s="429">
        <v>50</v>
      </c>
      <c r="AA238" s="393">
        <v>1.6539861065167052E-2</v>
      </c>
      <c r="AB238" s="382">
        <v>310.5</v>
      </c>
      <c r="AC238" s="429">
        <v>0</v>
      </c>
      <c r="AD238" s="430">
        <v>0</v>
      </c>
      <c r="AE238" s="429"/>
      <c r="AF238" s="430">
        <v>0</v>
      </c>
      <c r="AG238" s="412"/>
      <c r="AH238" s="380">
        <f t="shared" si="62"/>
        <v>157642.25225806452</v>
      </c>
      <c r="AI238" s="381">
        <f t="shared" si="63"/>
        <v>54799.415322580644</v>
      </c>
      <c r="AJ238" s="382">
        <f t="shared" si="60"/>
        <v>20448.051612903226</v>
      </c>
      <c r="AK238" s="396">
        <f t="shared" si="64"/>
        <v>232889.71919354837</v>
      </c>
      <c r="AL238" s="440"/>
    </row>
    <row r="239" spans="1:38">
      <c r="A239" s="433">
        <v>44011</v>
      </c>
      <c r="B239" s="386">
        <v>3201</v>
      </c>
      <c r="C239" s="474">
        <v>107.75</v>
      </c>
      <c r="D239" s="386">
        <v>40</v>
      </c>
      <c r="E239" s="386"/>
      <c r="F239" s="386"/>
      <c r="G239" s="386"/>
      <c r="H239" s="386"/>
      <c r="I239" s="386"/>
      <c r="J239" s="386"/>
      <c r="K239" s="386">
        <v>19878.21</v>
      </c>
      <c r="L239" s="386">
        <v>6028.6125000000002</v>
      </c>
      <c r="M239" s="386">
        <v>1360</v>
      </c>
      <c r="N239" s="435">
        <v>54.5</v>
      </c>
      <c r="O239" s="436">
        <v>27266.822499999998</v>
      </c>
      <c r="P239" s="461">
        <v>0.90067529544175573</v>
      </c>
      <c r="Q239" s="437">
        <v>17</v>
      </c>
      <c r="R239" s="438">
        <v>0.05</v>
      </c>
      <c r="S239" s="439">
        <v>0</v>
      </c>
      <c r="T239" s="592"/>
      <c r="U239" s="592"/>
      <c r="V239" s="592"/>
      <c r="W239" s="490"/>
      <c r="Y239" s="368">
        <v>44011</v>
      </c>
      <c r="Z239" s="429">
        <v>25</v>
      </c>
      <c r="AA239" s="393">
        <v>7.8100593564511094E-3</v>
      </c>
      <c r="AB239" s="382">
        <v>155.25</v>
      </c>
      <c r="AC239" s="429">
        <v>0</v>
      </c>
      <c r="AD239" s="430">
        <v>0</v>
      </c>
      <c r="AE239" s="429"/>
      <c r="AF239" s="430">
        <v>0</v>
      </c>
      <c r="AG239" s="412"/>
      <c r="AH239" s="380">
        <f t="shared" si="62"/>
        <v>156536.87225806451</v>
      </c>
      <c r="AI239" s="381">
        <f t="shared" si="63"/>
        <v>48770.802822580641</v>
      </c>
      <c r="AJ239" s="382">
        <f t="shared" si="60"/>
        <v>21468.051612903226</v>
      </c>
      <c r="AK239" s="396">
        <f t="shared" si="64"/>
        <v>226775.72669354838</v>
      </c>
      <c r="AL239" s="440"/>
    </row>
    <row r="240" spans="1:38">
      <c r="A240" s="433">
        <v>44012</v>
      </c>
      <c r="B240" s="386">
        <v>3154</v>
      </c>
      <c r="C240" s="474">
        <v>107.75</v>
      </c>
      <c r="D240" s="386">
        <v>80</v>
      </c>
      <c r="E240" s="386"/>
      <c r="F240" s="386"/>
      <c r="G240" s="386"/>
      <c r="H240" s="386"/>
      <c r="I240" s="386"/>
      <c r="J240" s="386"/>
      <c r="K240" s="386">
        <v>19586.34</v>
      </c>
      <c r="L240" s="386">
        <v>6028.6125000000002</v>
      </c>
      <c r="M240" s="386">
        <v>2720</v>
      </c>
      <c r="N240" s="435">
        <v>55.5</v>
      </c>
      <c r="O240" s="436">
        <v>28334.952499999999</v>
      </c>
      <c r="P240" s="461">
        <v>0.90062821245002855</v>
      </c>
      <c r="Q240" s="437">
        <v>17</v>
      </c>
      <c r="R240" s="438">
        <v>0.05</v>
      </c>
      <c r="S240" s="439">
        <v>0</v>
      </c>
      <c r="T240" s="439"/>
      <c r="U240" s="439"/>
      <c r="V240" s="439"/>
      <c r="W240" s="489"/>
      <c r="Y240" s="368">
        <v>44012</v>
      </c>
      <c r="Z240" s="429">
        <v>0</v>
      </c>
      <c r="AA240" s="393">
        <v>0</v>
      </c>
      <c r="AB240" s="382">
        <v>0</v>
      </c>
      <c r="AC240" s="429">
        <v>0</v>
      </c>
      <c r="AD240" s="430">
        <v>0</v>
      </c>
      <c r="AE240" s="429"/>
      <c r="AF240" s="430">
        <v>0</v>
      </c>
      <c r="AG240" s="412"/>
      <c r="AH240" s="380">
        <f t="shared" si="62"/>
        <v>156828.74225806451</v>
      </c>
      <c r="AI240" s="381">
        <f t="shared" si="63"/>
        <v>48770.802822580641</v>
      </c>
      <c r="AJ240" s="382">
        <f t="shared" si="60"/>
        <v>20108.051612903226</v>
      </c>
      <c r="AK240" s="396">
        <f t="shared" si="64"/>
        <v>225707.59669354837</v>
      </c>
      <c r="AL240" s="440"/>
    </row>
    <row r="241" spans="1:38">
      <c r="A241" s="433"/>
      <c r="B241" s="386"/>
      <c r="C241" s="386"/>
      <c r="D241" s="386"/>
      <c r="E241" s="386"/>
      <c r="F241" s="386"/>
      <c r="G241" s="386"/>
      <c r="H241" s="386"/>
      <c r="I241" s="386"/>
      <c r="J241" s="386"/>
      <c r="K241" s="386"/>
      <c r="L241" s="386"/>
      <c r="M241" s="386"/>
      <c r="N241" s="435"/>
      <c r="O241" s="436"/>
      <c r="P241" s="461"/>
      <c r="Q241" s="437"/>
      <c r="R241" s="438"/>
      <c r="S241" s="439"/>
      <c r="T241" s="439"/>
      <c r="U241" s="439"/>
      <c r="V241" s="439"/>
      <c r="W241" s="489"/>
      <c r="Y241" s="368"/>
      <c r="Z241" s="429"/>
      <c r="AA241" s="393"/>
      <c r="AB241" s="382"/>
      <c r="AC241" s="429"/>
      <c r="AD241" s="430"/>
      <c r="AE241" s="385"/>
      <c r="AF241" s="387"/>
      <c r="AG241" s="412"/>
      <c r="AH241" s="380">
        <f t="shared" si="62"/>
        <v>176415.0822580645</v>
      </c>
      <c r="AI241" s="381">
        <f t="shared" si="63"/>
        <v>54799.415322580644</v>
      </c>
      <c r="AJ241" s="382">
        <f t="shared" si="60"/>
        <v>22828.051612903226</v>
      </c>
      <c r="AK241" s="396">
        <f t="shared" si="64"/>
        <v>254042.54919354836</v>
      </c>
      <c r="AL241" s="440"/>
    </row>
    <row r="242" spans="1:38">
      <c r="A242" s="443" t="s">
        <v>161</v>
      </c>
      <c r="B242" s="444">
        <f t="shared" ref="B242:M242" si="65">SUM(B211:B241)</f>
        <v>97157</v>
      </c>
      <c r="C242" s="444">
        <f t="shared" si="65"/>
        <v>2047.25</v>
      </c>
      <c r="D242" s="444">
        <f t="shared" si="65"/>
        <v>2440</v>
      </c>
      <c r="E242" s="444"/>
      <c r="F242" s="444"/>
      <c r="G242" s="444"/>
      <c r="H242" s="444"/>
      <c r="I242" s="444"/>
      <c r="J242" s="444"/>
      <c r="K242" s="444">
        <f t="shared" si="65"/>
        <v>603344.96999999986</v>
      </c>
      <c r="L242" s="444">
        <f t="shared" si="65"/>
        <v>114543.63750000003</v>
      </c>
      <c r="M242" s="444">
        <f t="shared" si="65"/>
        <v>82960</v>
      </c>
      <c r="N242" s="444"/>
      <c r="O242" s="444">
        <f>SUM(O211:O240)</f>
        <v>800848.60749999981</v>
      </c>
      <c r="P242" s="444"/>
      <c r="Q242" s="437"/>
      <c r="R242" s="438"/>
      <c r="S242" s="439"/>
      <c r="T242" s="439"/>
      <c r="U242" s="439"/>
      <c r="V242" s="439"/>
      <c r="W242" s="439"/>
      <c r="Y242" s="409" t="s">
        <v>161</v>
      </c>
      <c r="Z242" s="410">
        <f t="shared" ref="Z242:AE242" si="66">SUM(Z211:Z241)</f>
        <v>537</v>
      </c>
      <c r="AA242" s="410">
        <f t="shared" si="66"/>
        <v>0.17092805012677581</v>
      </c>
      <c r="AB242" s="410">
        <f t="shared" si="66"/>
        <v>3334.7700000000004</v>
      </c>
      <c r="AC242" s="410">
        <f t="shared" si="66"/>
        <v>412.29999999999995</v>
      </c>
      <c r="AD242" s="410">
        <f t="shared" si="66"/>
        <v>23068.185000000001</v>
      </c>
      <c r="AE242" s="410">
        <f t="shared" si="66"/>
        <v>0</v>
      </c>
      <c r="AF242" s="410">
        <f>SUM(AF211:AF241)</f>
        <v>0</v>
      </c>
      <c r="AG242" s="412"/>
      <c r="AH242" s="397">
        <f>SUM(AH211:AH238)</f>
        <v>4375741.8832258051</v>
      </c>
      <c r="AI242" s="397">
        <f>SUM(AI211:AI238)</f>
        <v>1431897.2165322576</v>
      </c>
      <c r="AJ242" s="397">
        <f>SUM(AJ211:AJ238)</f>
        <v>560305.44516129058</v>
      </c>
      <c r="AK242" s="397">
        <f>SUM(AK211:AK238)</f>
        <v>6367944.5449193548</v>
      </c>
      <c r="AL242" s="440"/>
    </row>
    <row r="245" spans="1:38" ht="29.1">
      <c r="A245" s="778" t="s">
        <v>14</v>
      </c>
      <c r="B245" s="780" t="s">
        <v>145</v>
      </c>
      <c r="C245" s="781"/>
      <c r="D245" s="782"/>
      <c r="E245" s="702"/>
      <c r="F245" s="702"/>
      <c r="G245" s="702"/>
      <c r="H245" s="702"/>
      <c r="I245" s="702"/>
      <c r="J245" s="702"/>
      <c r="K245" s="780" t="s">
        <v>146</v>
      </c>
      <c r="L245" s="781"/>
      <c r="M245" s="782"/>
      <c r="N245" s="778" t="s">
        <v>147</v>
      </c>
      <c r="O245" s="783" t="s">
        <v>148</v>
      </c>
      <c r="P245" s="783" t="s">
        <v>175</v>
      </c>
      <c r="Q245" s="700" t="s">
        <v>149</v>
      </c>
      <c r="R245" s="700" t="s">
        <v>150</v>
      </c>
      <c r="S245" s="785" t="s">
        <v>165</v>
      </c>
      <c r="T245" s="703"/>
      <c r="U245" s="703"/>
      <c r="V245" s="703"/>
      <c r="W245" s="785" t="s">
        <v>176</v>
      </c>
      <c r="Y245" s="787" t="s">
        <v>14</v>
      </c>
      <c r="Z245" s="789" t="s">
        <v>151</v>
      </c>
      <c r="AA245" s="790"/>
      <c r="AB245" s="791"/>
      <c r="AC245" s="789" t="s">
        <v>152</v>
      </c>
      <c r="AD245" s="791"/>
      <c r="AE245" s="789"/>
      <c r="AF245" s="791"/>
      <c r="AG245" s="412"/>
      <c r="AH245" s="773" t="s">
        <v>154</v>
      </c>
      <c r="AI245" s="774"/>
      <c r="AJ245" s="775"/>
      <c r="AK245" s="776" t="s">
        <v>155</v>
      </c>
      <c r="AL245" s="776" t="s">
        <v>166</v>
      </c>
    </row>
    <row r="246" spans="1:38">
      <c r="A246" s="779"/>
      <c r="B246" s="699" t="s">
        <v>156</v>
      </c>
      <c r="C246" s="699" t="s">
        <v>157</v>
      </c>
      <c r="D246" s="699" t="s">
        <v>158</v>
      </c>
      <c r="E246" s="699"/>
      <c r="F246" s="699"/>
      <c r="G246" s="699"/>
      <c r="H246" s="699"/>
      <c r="I246" s="699"/>
      <c r="J246" s="699"/>
      <c r="K246" s="699" t="s">
        <v>156</v>
      </c>
      <c r="L246" s="699" t="s">
        <v>157</v>
      </c>
      <c r="M246" s="699" t="s">
        <v>158</v>
      </c>
      <c r="N246" s="779"/>
      <c r="O246" s="784"/>
      <c r="P246" s="784"/>
      <c r="Q246" s="700"/>
      <c r="R246" s="700"/>
      <c r="S246" s="786"/>
      <c r="T246" s="704"/>
      <c r="U246" s="704"/>
      <c r="V246" s="704"/>
      <c r="W246" s="786"/>
      <c r="Y246" s="788"/>
      <c r="Z246" s="363" t="s">
        <v>145</v>
      </c>
      <c r="AA246" s="366" t="s">
        <v>159</v>
      </c>
      <c r="AB246" s="367" t="s">
        <v>160</v>
      </c>
      <c r="AC246" s="363" t="s">
        <v>145</v>
      </c>
      <c r="AD246" s="365" t="s">
        <v>160</v>
      </c>
      <c r="AE246" s="363" t="s">
        <v>145</v>
      </c>
      <c r="AF246" s="365" t="s">
        <v>160</v>
      </c>
      <c r="AG246" s="412"/>
      <c r="AH246" s="363" t="s">
        <v>156</v>
      </c>
      <c r="AI246" s="364" t="s">
        <v>157</v>
      </c>
      <c r="AJ246" s="365" t="s">
        <v>158</v>
      </c>
      <c r="AK246" s="777"/>
      <c r="AL246" s="777"/>
    </row>
    <row r="247" spans="1:38">
      <c r="A247" s="464">
        <v>44013</v>
      </c>
      <c r="B247" s="474">
        <v>3297</v>
      </c>
      <c r="C247" s="474">
        <v>107.75</v>
      </c>
      <c r="D247" s="474">
        <v>50</v>
      </c>
      <c r="E247" s="474"/>
      <c r="F247" s="474"/>
      <c r="G247" s="474"/>
      <c r="H247" s="474"/>
      <c r="I247" s="474"/>
      <c r="J247" s="474"/>
      <c r="K247" s="474">
        <v>20474.37</v>
      </c>
      <c r="L247" s="474">
        <v>6028.6125000000002</v>
      </c>
      <c r="M247" s="474">
        <v>1700</v>
      </c>
      <c r="N247" s="475">
        <v>26.5</v>
      </c>
      <c r="O247" s="476">
        <v>28202.982499999998</v>
      </c>
      <c r="P247" s="477">
        <v>0.85926505082095384</v>
      </c>
      <c r="Q247" s="469">
        <v>11</v>
      </c>
      <c r="R247" s="470">
        <v>1.4999999999999999E-2</v>
      </c>
      <c r="S247" s="471">
        <v>0</v>
      </c>
      <c r="T247" s="471"/>
      <c r="U247" s="471"/>
      <c r="V247" s="471"/>
      <c r="W247" s="462"/>
      <c r="Y247" s="368">
        <f>A247</f>
        <v>44013</v>
      </c>
      <c r="Z247" s="429">
        <v>0</v>
      </c>
      <c r="AA247" s="393">
        <v>0</v>
      </c>
      <c r="AB247" s="382">
        <v>0</v>
      </c>
      <c r="AC247" s="429">
        <v>0</v>
      </c>
      <c r="AD247" s="430">
        <v>0</v>
      </c>
      <c r="AE247" s="429"/>
      <c r="AF247" s="430">
        <v>0</v>
      </c>
      <c r="AG247" s="426"/>
      <c r="AH247" s="380">
        <f>$K$40-K247</f>
        <v>155940.71225806451</v>
      </c>
      <c r="AI247" s="381">
        <f>$L$40-L247</f>
        <v>48770.802822580641</v>
      </c>
      <c r="AJ247" s="382">
        <f t="shared" ref="AJ247:AJ277" si="67">$M$40-M247</f>
        <v>21128.051612903226</v>
      </c>
      <c r="AK247" s="394">
        <f t="shared" ref="AK247:AK254" si="68">AH247+AI247+AJ247</f>
        <v>225839.56669354838</v>
      </c>
      <c r="AL247" s="440">
        <v>0</v>
      </c>
    </row>
    <row r="248" spans="1:38">
      <c r="A248" s="464">
        <v>44014</v>
      </c>
      <c r="B248" s="474">
        <v>3279</v>
      </c>
      <c r="C248" s="474">
        <v>0</v>
      </c>
      <c r="D248" s="474">
        <v>70</v>
      </c>
      <c r="E248" s="474"/>
      <c r="F248" s="474"/>
      <c r="G248" s="474"/>
      <c r="H248" s="474"/>
      <c r="I248" s="474"/>
      <c r="J248" s="474"/>
      <c r="K248" s="474">
        <v>20362.59</v>
      </c>
      <c r="L248" s="474">
        <v>0</v>
      </c>
      <c r="M248" s="474">
        <v>2380</v>
      </c>
      <c r="N248" s="475">
        <v>27.5</v>
      </c>
      <c r="O248" s="476">
        <v>22742.59</v>
      </c>
      <c r="P248" s="477">
        <v>0.9085619285120532</v>
      </c>
      <c r="Q248" s="469">
        <v>11</v>
      </c>
      <c r="R248" s="470">
        <v>1.4999999999999999E-2</v>
      </c>
      <c r="S248" s="471">
        <v>0</v>
      </c>
      <c r="T248" s="471"/>
      <c r="U248" s="471"/>
      <c r="V248" s="471"/>
      <c r="W248" s="462"/>
      <c r="Y248" s="368">
        <f t="shared" ref="Y248:Y277" si="69">A248</f>
        <v>44014</v>
      </c>
      <c r="Z248" s="429">
        <v>87</v>
      </c>
      <c r="AA248" s="393">
        <v>2.6532479414455627E-2</v>
      </c>
      <c r="AB248" s="382">
        <v>540.27</v>
      </c>
      <c r="AC248" s="429">
        <v>0</v>
      </c>
      <c r="AD248" s="430">
        <v>0</v>
      </c>
      <c r="AE248" s="429"/>
      <c r="AF248" s="430">
        <v>0</v>
      </c>
      <c r="AG248" s="426"/>
      <c r="AH248" s="380">
        <f>$K$40-K248</f>
        <v>156052.49225806451</v>
      </c>
      <c r="AI248" s="381">
        <f>$L$40-L248</f>
        <v>54799.415322580644</v>
      </c>
      <c r="AJ248" s="382">
        <f t="shared" si="67"/>
        <v>20448.051612903226</v>
      </c>
      <c r="AK248" s="394">
        <f t="shared" si="68"/>
        <v>231299.95919354836</v>
      </c>
      <c r="AL248" s="440">
        <v>10</v>
      </c>
    </row>
    <row r="249" spans="1:38">
      <c r="A249" s="464">
        <v>44015</v>
      </c>
      <c r="B249" s="474">
        <v>3144</v>
      </c>
      <c r="C249" s="474">
        <v>107.75</v>
      </c>
      <c r="D249" s="474">
        <v>50</v>
      </c>
      <c r="E249" s="474"/>
      <c r="F249" s="474"/>
      <c r="G249" s="474"/>
      <c r="H249" s="474"/>
      <c r="I249" s="474"/>
      <c r="J249" s="474"/>
      <c r="K249" s="474">
        <v>19524.240000000002</v>
      </c>
      <c r="L249" s="474">
        <v>6028.6125000000002</v>
      </c>
      <c r="M249" s="474">
        <v>1700</v>
      </c>
      <c r="N249" s="475">
        <v>28.5</v>
      </c>
      <c r="O249" s="476">
        <v>27252.852500000001</v>
      </c>
      <c r="P249" s="477">
        <v>0.90008588605782991</v>
      </c>
      <c r="Q249" s="469">
        <v>11</v>
      </c>
      <c r="R249" s="470">
        <v>1.4999999999999999E-2</v>
      </c>
      <c r="S249" s="471">
        <v>0</v>
      </c>
      <c r="T249" s="471"/>
      <c r="U249" s="471"/>
      <c r="V249" s="471"/>
      <c r="W249" s="462"/>
      <c r="Y249" s="368">
        <f t="shared" si="69"/>
        <v>44015</v>
      </c>
      <c r="Z249" s="429">
        <v>34</v>
      </c>
      <c r="AA249" s="393">
        <v>1.0814249363867684E-2</v>
      </c>
      <c r="AB249" s="382">
        <v>211.14</v>
      </c>
      <c r="AC249" s="429">
        <v>0</v>
      </c>
      <c r="AD249" s="430">
        <v>0</v>
      </c>
      <c r="AE249" s="429"/>
      <c r="AF249" s="430">
        <v>0</v>
      </c>
      <c r="AG249" s="426"/>
      <c r="AH249" s="380">
        <f>$K$40-K249</f>
        <v>156890.84225806451</v>
      </c>
      <c r="AI249" s="381">
        <f>$L$40-L249</f>
        <v>48770.802822580641</v>
      </c>
      <c r="AJ249" s="382">
        <f t="shared" si="67"/>
        <v>21128.051612903226</v>
      </c>
      <c r="AK249" s="394">
        <f t="shared" si="68"/>
        <v>226789.69669354838</v>
      </c>
      <c r="AL249" s="440">
        <v>6</v>
      </c>
    </row>
    <row r="250" spans="1:38">
      <c r="A250" s="464">
        <v>44016</v>
      </c>
      <c r="B250" s="474">
        <v>3415</v>
      </c>
      <c r="C250" s="474">
        <v>0</v>
      </c>
      <c r="D250" s="474">
        <v>80</v>
      </c>
      <c r="E250" s="474"/>
      <c r="F250" s="474"/>
      <c r="G250" s="474"/>
      <c r="H250" s="474"/>
      <c r="I250" s="474"/>
      <c r="J250" s="474"/>
      <c r="K250" s="474">
        <v>21207.15</v>
      </c>
      <c r="L250" s="474">
        <v>0</v>
      </c>
      <c r="M250" s="474">
        <v>2720</v>
      </c>
      <c r="N250" s="475">
        <v>29.5</v>
      </c>
      <c r="O250" s="476">
        <v>23927.15</v>
      </c>
      <c r="P250" s="477">
        <v>0.90752059526973161</v>
      </c>
      <c r="Q250" s="469">
        <v>11</v>
      </c>
      <c r="R250" s="470">
        <v>1.4999999999999999E-2</v>
      </c>
      <c r="S250" s="471">
        <v>0</v>
      </c>
      <c r="T250" s="471"/>
      <c r="U250" s="471"/>
      <c r="V250" s="471"/>
      <c r="W250" s="462"/>
      <c r="Y250" s="368">
        <f t="shared" si="69"/>
        <v>44016</v>
      </c>
      <c r="Z250" s="429">
        <v>47</v>
      </c>
      <c r="AA250" s="393">
        <v>1.3762811127379209E-2</v>
      </c>
      <c r="AB250" s="382">
        <v>291.87</v>
      </c>
      <c r="AC250" s="429">
        <v>0</v>
      </c>
      <c r="AD250" s="430">
        <v>0</v>
      </c>
      <c r="AE250" s="429"/>
      <c r="AF250" s="430">
        <v>0</v>
      </c>
      <c r="AG250" s="426"/>
      <c r="AH250" s="380">
        <f>$K$40-K250</f>
        <v>155207.93225806451</v>
      </c>
      <c r="AI250" s="381">
        <f>$L$40-L250</f>
        <v>54799.415322580644</v>
      </c>
      <c r="AJ250" s="382">
        <f t="shared" si="67"/>
        <v>20108.051612903226</v>
      </c>
      <c r="AK250" s="394">
        <f t="shared" si="68"/>
        <v>230115.39919354836</v>
      </c>
      <c r="AL250" s="440">
        <v>5</v>
      </c>
    </row>
    <row r="251" spans="1:38" ht="16.5" customHeight="1">
      <c r="A251" s="464">
        <v>44017</v>
      </c>
      <c r="B251" s="474">
        <v>3148</v>
      </c>
      <c r="C251" s="474">
        <v>107.75</v>
      </c>
      <c r="D251" s="474">
        <v>100</v>
      </c>
      <c r="E251" s="474"/>
      <c r="F251" s="474"/>
      <c r="G251" s="474"/>
      <c r="H251" s="474"/>
      <c r="I251" s="474"/>
      <c r="J251" s="474"/>
      <c r="K251" s="474">
        <v>19549.079999999998</v>
      </c>
      <c r="L251" s="474">
        <v>6028.6125000000002</v>
      </c>
      <c r="M251" s="474">
        <v>3400</v>
      </c>
      <c r="N251" s="475">
        <v>30.5</v>
      </c>
      <c r="O251" s="476">
        <v>28977.692499999997</v>
      </c>
      <c r="P251" s="477">
        <v>0.90616004605641909</v>
      </c>
      <c r="Q251" s="469">
        <v>11</v>
      </c>
      <c r="R251" s="470">
        <v>1.4999999999999999E-2</v>
      </c>
      <c r="S251" s="471">
        <v>0</v>
      </c>
      <c r="T251" s="471"/>
      <c r="U251" s="471"/>
      <c r="V251" s="471"/>
      <c r="W251" s="462"/>
      <c r="Y251" s="368">
        <f t="shared" si="69"/>
        <v>44017</v>
      </c>
      <c r="Z251" s="429">
        <v>82</v>
      </c>
      <c r="AA251" s="393">
        <v>2.6048284625158832E-2</v>
      </c>
      <c r="AB251" s="382">
        <v>509.21999999999997</v>
      </c>
      <c r="AC251" s="429">
        <v>0</v>
      </c>
      <c r="AD251" s="430">
        <v>0</v>
      </c>
      <c r="AE251" s="429"/>
      <c r="AF251" s="430">
        <v>0</v>
      </c>
      <c r="AG251" s="426"/>
      <c r="AH251" s="380">
        <f t="shared" ref="AH251:AH277" si="70">$K$40-K251</f>
        <v>156866.00225806452</v>
      </c>
      <c r="AI251" s="381">
        <f t="shared" ref="AI251:AI277" si="71">$L$40-L251</f>
        <v>48770.802822580641</v>
      </c>
      <c r="AJ251" s="382">
        <f t="shared" si="67"/>
        <v>19428.051612903226</v>
      </c>
      <c r="AK251" s="394">
        <f t="shared" si="68"/>
        <v>225064.85669354838</v>
      </c>
      <c r="AL251" s="440">
        <v>0</v>
      </c>
    </row>
    <row r="252" spans="1:38">
      <c r="A252" s="464">
        <v>44018</v>
      </c>
      <c r="B252" s="474">
        <v>3464</v>
      </c>
      <c r="C252" s="474">
        <v>0</v>
      </c>
      <c r="D252" s="474">
        <v>40</v>
      </c>
      <c r="E252" s="474"/>
      <c r="F252" s="474"/>
      <c r="G252" s="474"/>
      <c r="H252" s="474"/>
      <c r="I252" s="474"/>
      <c r="J252" s="474"/>
      <c r="K252" s="474">
        <v>21511.439999999999</v>
      </c>
      <c r="L252" s="474">
        <v>0</v>
      </c>
      <c r="M252" s="474">
        <v>1360</v>
      </c>
      <c r="N252" s="475">
        <v>31.5</v>
      </c>
      <c r="O252" s="476">
        <v>22871.439999999999</v>
      </c>
      <c r="P252" s="477">
        <v>0.91085984748882465</v>
      </c>
      <c r="Q252" s="469">
        <v>11</v>
      </c>
      <c r="R252" s="470">
        <v>1.4999999999999999E-2</v>
      </c>
      <c r="S252" s="471">
        <v>0</v>
      </c>
      <c r="T252" s="471"/>
      <c r="U252" s="471"/>
      <c r="V252" s="471"/>
      <c r="W252" s="462"/>
      <c r="Y252" s="368">
        <f t="shared" si="69"/>
        <v>44018</v>
      </c>
      <c r="Z252" s="429">
        <v>40</v>
      </c>
      <c r="AA252" s="393">
        <v>1.1547344110854504E-2</v>
      </c>
      <c r="AB252" s="382">
        <v>248.4</v>
      </c>
      <c r="AC252" s="429">
        <v>0</v>
      </c>
      <c r="AD252" s="430">
        <v>0</v>
      </c>
      <c r="AE252" s="429"/>
      <c r="AF252" s="430">
        <v>0</v>
      </c>
      <c r="AG252" s="426"/>
      <c r="AH252" s="380">
        <f t="shared" si="70"/>
        <v>154903.6422580645</v>
      </c>
      <c r="AI252" s="381">
        <f t="shared" si="71"/>
        <v>54799.415322580644</v>
      </c>
      <c r="AJ252" s="382">
        <f t="shared" si="67"/>
        <v>21468.051612903226</v>
      </c>
      <c r="AK252" s="394">
        <f t="shared" si="68"/>
        <v>231171.10919354836</v>
      </c>
      <c r="AL252" s="440">
        <v>12</v>
      </c>
    </row>
    <row r="253" spans="1:38" ht="29.25" customHeight="1">
      <c r="A253" s="464">
        <v>44019</v>
      </c>
      <c r="B253" s="474">
        <v>3430</v>
      </c>
      <c r="C253" s="474">
        <v>107.75</v>
      </c>
      <c r="D253" s="474">
        <v>90</v>
      </c>
      <c r="E253" s="474"/>
      <c r="F253" s="474"/>
      <c r="G253" s="474"/>
      <c r="H253" s="474"/>
      <c r="I253" s="474"/>
      <c r="J253" s="474"/>
      <c r="K253" s="474">
        <v>21300.3</v>
      </c>
      <c r="L253" s="474">
        <v>6028.6125000000002</v>
      </c>
      <c r="M253" s="474">
        <v>3060</v>
      </c>
      <c r="N253" s="475">
        <v>32.5</v>
      </c>
      <c r="O253" s="476">
        <v>30388.912499999999</v>
      </c>
      <c r="P253" s="477">
        <v>0.90788777130757015</v>
      </c>
      <c r="Q253" s="469">
        <v>11</v>
      </c>
      <c r="R253" s="470">
        <v>1.4999999999999999E-2</v>
      </c>
      <c r="S253" s="471">
        <v>0</v>
      </c>
      <c r="T253" s="471"/>
      <c r="U253" s="471"/>
      <c r="V253" s="471"/>
      <c r="W253" s="462"/>
      <c r="Y253" s="368">
        <f t="shared" si="69"/>
        <v>44019</v>
      </c>
      <c r="Z253" s="429">
        <v>67</v>
      </c>
      <c r="AA253" s="393">
        <v>1.9533527696793004E-2</v>
      </c>
      <c r="AB253" s="382">
        <v>416.07</v>
      </c>
      <c r="AC253" s="429">
        <v>0</v>
      </c>
      <c r="AD253" s="430">
        <v>0</v>
      </c>
      <c r="AE253" s="429"/>
      <c r="AF253" s="430">
        <v>0</v>
      </c>
      <c r="AG253" s="426"/>
      <c r="AH253" s="380">
        <f t="shared" si="70"/>
        <v>155114.78225806452</v>
      </c>
      <c r="AI253" s="381">
        <f t="shared" si="71"/>
        <v>48770.802822580641</v>
      </c>
      <c r="AJ253" s="382">
        <f t="shared" si="67"/>
        <v>19768.051612903226</v>
      </c>
      <c r="AK253" s="394">
        <f t="shared" si="68"/>
        <v>223653.63669354838</v>
      </c>
      <c r="AL253" s="440">
        <v>0</v>
      </c>
    </row>
    <row r="254" spans="1:38">
      <c r="A254" s="464">
        <v>44020</v>
      </c>
      <c r="B254" s="474">
        <v>3379</v>
      </c>
      <c r="C254" s="474">
        <v>0</v>
      </c>
      <c r="D254" s="474">
        <v>40</v>
      </c>
      <c r="E254" s="474"/>
      <c r="F254" s="474"/>
      <c r="G254" s="474"/>
      <c r="H254" s="474"/>
      <c r="I254" s="474"/>
      <c r="J254" s="474"/>
      <c r="K254" s="474">
        <v>20983.59</v>
      </c>
      <c r="L254" s="474">
        <v>0</v>
      </c>
      <c r="M254" s="474">
        <v>1360</v>
      </c>
      <c r="N254" s="475">
        <v>33.5</v>
      </c>
      <c r="O254" s="476">
        <v>22343.59</v>
      </c>
      <c r="P254" s="477">
        <v>0.92880703683342491</v>
      </c>
      <c r="Q254" s="469">
        <v>11</v>
      </c>
      <c r="R254" s="470">
        <v>1.4999999999999999E-2</v>
      </c>
      <c r="S254" s="471">
        <v>0</v>
      </c>
      <c r="T254" s="471"/>
      <c r="U254" s="471"/>
      <c r="V254" s="471"/>
      <c r="W254" s="462"/>
      <c r="Y254" s="368">
        <f t="shared" si="69"/>
        <v>44020</v>
      </c>
      <c r="Z254" s="429">
        <v>87</v>
      </c>
      <c r="AA254" s="393">
        <v>2.5747262503699318E-2</v>
      </c>
      <c r="AB254" s="382">
        <v>540.27</v>
      </c>
      <c r="AC254" s="429">
        <v>0</v>
      </c>
      <c r="AD254" s="430">
        <v>0</v>
      </c>
      <c r="AE254" s="429"/>
      <c r="AF254" s="430">
        <v>0</v>
      </c>
      <c r="AG254" s="426"/>
      <c r="AH254" s="380">
        <f t="shared" si="70"/>
        <v>155431.49225806451</v>
      </c>
      <c r="AI254" s="381">
        <f t="shared" si="71"/>
        <v>54799.415322580644</v>
      </c>
      <c r="AJ254" s="382">
        <f t="shared" si="67"/>
        <v>21468.051612903226</v>
      </c>
      <c r="AK254" s="394">
        <f t="shared" si="68"/>
        <v>231698.95919354836</v>
      </c>
      <c r="AL254" s="440">
        <v>0</v>
      </c>
    </row>
    <row r="255" spans="1:38">
      <c r="A255" s="464">
        <v>44021</v>
      </c>
      <c r="B255" s="474">
        <v>3546</v>
      </c>
      <c r="C255" s="474">
        <v>215.5</v>
      </c>
      <c r="D255" s="474">
        <v>90</v>
      </c>
      <c r="E255" s="474"/>
      <c r="F255" s="474"/>
      <c r="G255" s="474"/>
      <c r="H255" s="474"/>
      <c r="I255" s="474"/>
      <c r="J255" s="474"/>
      <c r="K255" s="474">
        <v>22020.66</v>
      </c>
      <c r="L255" s="474">
        <v>12057.225</v>
      </c>
      <c r="M255" s="474">
        <v>3060</v>
      </c>
      <c r="N255" s="475">
        <v>34.5</v>
      </c>
      <c r="O255" s="476">
        <v>37137.885000000002</v>
      </c>
      <c r="P255" s="477">
        <v>0.91133384734001543</v>
      </c>
      <c r="Q255" s="469">
        <v>11</v>
      </c>
      <c r="R255" s="470">
        <v>1.4999999999999999E-2</v>
      </c>
      <c r="S255" s="471">
        <v>0</v>
      </c>
      <c r="T255" s="471"/>
      <c r="U255" s="471"/>
      <c r="V255" s="471"/>
      <c r="W255" s="462" t="s">
        <v>209</v>
      </c>
      <c r="Y255" s="368">
        <f t="shared" si="69"/>
        <v>44021</v>
      </c>
      <c r="Z255" s="429">
        <v>95</v>
      </c>
      <c r="AA255" s="393">
        <v>2.6790750141003947E-2</v>
      </c>
      <c r="AB255" s="382">
        <v>589.95000000000005</v>
      </c>
      <c r="AC255" s="429">
        <v>0</v>
      </c>
      <c r="AD255" s="430">
        <v>0</v>
      </c>
      <c r="AE255" s="429"/>
      <c r="AF255" s="430">
        <v>0</v>
      </c>
      <c r="AG255" s="426"/>
      <c r="AH255" s="380">
        <f t="shared" si="70"/>
        <v>154394.4222580645</v>
      </c>
      <c r="AI255" s="381">
        <f t="shared" si="71"/>
        <v>42742.190322580645</v>
      </c>
      <c r="AJ255" s="382">
        <f t="shared" si="67"/>
        <v>19768.051612903226</v>
      </c>
      <c r="AK255" s="394">
        <f>AH255+AI255+AJ255</f>
        <v>216904.66419354835</v>
      </c>
      <c r="AL255" s="440">
        <v>5</v>
      </c>
    </row>
    <row r="256" spans="1:38">
      <c r="A256" s="464">
        <v>44022</v>
      </c>
      <c r="B256" s="474">
        <v>3325</v>
      </c>
      <c r="C256" s="474">
        <v>0</v>
      </c>
      <c r="D256" s="474">
        <v>40</v>
      </c>
      <c r="E256" s="474"/>
      <c r="F256" s="474"/>
      <c r="G256" s="474"/>
      <c r="H256" s="474"/>
      <c r="I256" s="474"/>
      <c r="J256" s="474"/>
      <c r="K256" s="474">
        <v>20648.25</v>
      </c>
      <c r="L256" s="474">
        <v>0</v>
      </c>
      <c r="M256" s="474">
        <v>1360</v>
      </c>
      <c r="N256" s="475">
        <v>35.5</v>
      </c>
      <c r="O256" s="476">
        <v>22008.25</v>
      </c>
      <c r="P256" s="477">
        <v>0.91021078565562552</v>
      </c>
      <c r="Q256" s="469">
        <v>11</v>
      </c>
      <c r="R256" s="470">
        <v>1.4999999999999999E-2</v>
      </c>
      <c r="S256" s="471">
        <v>0</v>
      </c>
      <c r="T256" s="471"/>
      <c r="U256" s="471"/>
      <c r="V256" s="471"/>
      <c r="W256" s="462"/>
      <c r="Y256" s="368">
        <f t="shared" si="69"/>
        <v>44022</v>
      </c>
      <c r="Z256" s="429">
        <v>23</v>
      </c>
      <c r="AA256" s="393">
        <v>6.9172932330827065E-3</v>
      </c>
      <c r="AB256" s="382">
        <v>142.83000000000001</v>
      </c>
      <c r="AC256" s="429">
        <v>0</v>
      </c>
      <c r="AD256" s="430">
        <v>0</v>
      </c>
      <c r="AE256" s="429"/>
      <c r="AF256" s="430">
        <v>0</v>
      </c>
      <c r="AG256" s="426"/>
      <c r="AH256" s="380">
        <f t="shared" si="70"/>
        <v>155766.8322580645</v>
      </c>
      <c r="AI256" s="381">
        <f t="shared" si="71"/>
        <v>54799.415322580644</v>
      </c>
      <c r="AJ256" s="382">
        <f t="shared" si="67"/>
        <v>21468.051612903226</v>
      </c>
      <c r="AK256" s="394">
        <f t="shared" ref="AK256:AK277" si="72">AH256+AI256+AJ256</f>
        <v>232034.29919354836</v>
      </c>
      <c r="AL256" s="440">
        <v>5</v>
      </c>
    </row>
    <row r="257" spans="1:38">
      <c r="A257" s="464">
        <v>44023</v>
      </c>
      <c r="B257" s="474">
        <v>3640</v>
      </c>
      <c r="C257" s="474">
        <v>0</v>
      </c>
      <c r="D257" s="474">
        <v>80</v>
      </c>
      <c r="E257" s="474"/>
      <c r="F257" s="474"/>
      <c r="G257" s="474"/>
      <c r="H257" s="474"/>
      <c r="I257" s="474"/>
      <c r="J257" s="474"/>
      <c r="K257" s="474">
        <v>22604.400000000001</v>
      </c>
      <c r="L257" s="474">
        <v>0</v>
      </c>
      <c r="M257" s="474">
        <v>2720</v>
      </c>
      <c r="N257" s="475">
        <v>36.5</v>
      </c>
      <c r="O257" s="476">
        <v>25324.400000000001</v>
      </c>
      <c r="P257" s="477">
        <v>0.91549295774647887</v>
      </c>
      <c r="Q257" s="469">
        <v>11</v>
      </c>
      <c r="R257" s="470">
        <v>1.4999999999999999E-2</v>
      </c>
      <c r="S257" s="471">
        <v>0</v>
      </c>
      <c r="T257" s="471"/>
      <c r="U257" s="471"/>
      <c r="V257" s="471"/>
      <c r="W257" s="462"/>
      <c r="Y257" s="368">
        <f t="shared" si="69"/>
        <v>44023</v>
      </c>
      <c r="Z257" s="429">
        <v>48</v>
      </c>
      <c r="AA257" s="393">
        <v>1.3186813186813187E-2</v>
      </c>
      <c r="AB257" s="382">
        <v>298.08</v>
      </c>
      <c r="AC257" s="429">
        <v>0</v>
      </c>
      <c r="AD257" s="430">
        <v>0</v>
      </c>
      <c r="AE257" s="429"/>
      <c r="AF257" s="430">
        <v>0</v>
      </c>
      <c r="AG257" s="412"/>
      <c r="AH257" s="380">
        <f t="shared" si="70"/>
        <v>153810.68225806451</v>
      </c>
      <c r="AI257" s="381">
        <f t="shared" si="71"/>
        <v>54799.415322580644</v>
      </c>
      <c r="AJ257" s="382">
        <f t="shared" si="67"/>
        <v>20108.051612903226</v>
      </c>
      <c r="AK257" s="394">
        <f t="shared" si="72"/>
        <v>228718.14919354836</v>
      </c>
      <c r="AL257" s="440">
        <v>9</v>
      </c>
    </row>
    <row r="258" spans="1:38">
      <c r="A258" s="464">
        <v>44024</v>
      </c>
      <c r="B258" s="474">
        <v>3338</v>
      </c>
      <c r="C258" s="474">
        <v>107.75</v>
      </c>
      <c r="D258" s="474">
        <v>60</v>
      </c>
      <c r="E258" s="474"/>
      <c r="F258" s="474"/>
      <c r="G258" s="474"/>
      <c r="H258" s="474"/>
      <c r="I258" s="474"/>
      <c r="J258" s="474"/>
      <c r="K258" s="474">
        <v>20728.98</v>
      </c>
      <c r="L258" s="474">
        <v>6028.6125000000002</v>
      </c>
      <c r="M258" s="474">
        <v>2040</v>
      </c>
      <c r="N258" s="475">
        <v>37.5</v>
      </c>
      <c r="O258" s="476">
        <v>28797.592499999999</v>
      </c>
      <c r="P258" s="477">
        <v>0.91177273968860972</v>
      </c>
      <c r="Q258" s="469">
        <v>11</v>
      </c>
      <c r="R258" s="470">
        <v>1.4999999999999999E-2</v>
      </c>
      <c r="S258" s="471">
        <v>0</v>
      </c>
      <c r="T258" s="471"/>
      <c r="U258" s="471"/>
      <c r="V258" s="471"/>
      <c r="W258" s="463"/>
      <c r="Y258" s="368">
        <f t="shared" si="69"/>
        <v>44024</v>
      </c>
      <c r="Z258" s="429">
        <v>51</v>
      </c>
      <c r="AA258" s="393">
        <v>1.5278609946075494E-2</v>
      </c>
      <c r="AB258" s="382">
        <v>316.70999999999998</v>
      </c>
      <c r="AC258" s="429">
        <v>0</v>
      </c>
      <c r="AD258" s="430">
        <v>0</v>
      </c>
      <c r="AE258" s="429"/>
      <c r="AF258" s="430">
        <v>0</v>
      </c>
      <c r="AG258" s="412"/>
      <c r="AH258" s="380">
        <f t="shared" si="70"/>
        <v>155686.10225806449</v>
      </c>
      <c r="AI258" s="381">
        <f t="shared" si="71"/>
        <v>48770.802822580641</v>
      </c>
      <c r="AJ258" s="382">
        <f t="shared" si="67"/>
        <v>20788.051612903226</v>
      </c>
      <c r="AK258" s="394">
        <f t="shared" si="72"/>
        <v>225244.95669354836</v>
      </c>
      <c r="AL258" s="440">
        <v>0</v>
      </c>
    </row>
    <row r="259" spans="1:38">
      <c r="A259" s="433">
        <v>44025</v>
      </c>
      <c r="B259" s="479">
        <v>3953</v>
      </c>
      <c r="C259" s="474">
        <v>215.5</v>
      </c>
      <c r="D259" s="479">
        <v>110</v>
      </c>
      <c r="E259" s="479"/>
      <c r="F259" s="479"/>
      <c r="G259" s="479"/>
      <c r="H259" s="479"/>
      <c r="I259" s="479"/>
      <c r="J259" s="479"/>
      <c r="K259" s="479">
        <v>24548.13</v>
      </c>
      <c r="L259" s="479">
        <v>12057.225</v>
      </c>
      <c r="M259" s="479">
        <v>3740</v>
      </c>
      <c r="N259" s="480">
        <v>38.5</v>
      </c>
      <c r="O259" s="481">
        <v>40345.355000000003</v>
      </c>
      <c r="P259" s="482">
        <v>0.92771649847453652</v>
      </c>
      <c r="Q259" s="437">
        <v>11</v>
      </c>
      <c r="R259" s="438">
        <v>1.4999999999999999E-2</v>
      </c>
      <c r="S259" s="439">
        <v>0</v>
      </c>
      <c r="T259" s="439"/>
      <c r="U259" s="439"/>
      <c r="V259" s="439"/>
      <c r="W259" s="463" t="s">
        <v>210</v>
      </c>
      <c r="Y259" s="368">
        <f t="shared" si="69"/>
        <v>44025</v>
      </c>
      <c r="Z259" s="429">
        <v>86</v>
      </c>
      <c r="AA259" s="393">
        <v>2.1755628636478622E-2</v>
      </c>
      <c r="AB259" s="382">
        <v>534.05999999999995</v>
      </c>
      <c r="AC259" s="429">
        <v>179.8</v>
      </c>
      <c r="AD259" s="430">
        <v>10059.810000000001</v>
      </c>
      <c r="AE259" s="429"/>
      <c r="AF259" s="430">
        <v>0</v>
      </c>
      <c r="AG259" s="412"/>
      <c r="AH259" s="380">
        <f t="shared" si="70"/>
        <v>151866.9522580645</v>
      </c>
      <c r="AI259" s="381">
        <f t="shared" si="71"/>
        <v>42742.190322580645</v>
      </c>
      <c r="AJ259" s="382">
        <f t="shared" si="67"/>
        <v>19088.051612903226</v>
      </c>
      <c r="AK259" s="394">
        <f t="shared" si="72"/>
        <v>213697.19419354838</v>
      </c>
      <c r="AL259" s="440">
        <v>0</v>
      </c>
    </row>
    <row r="260" spans="1:38">
      <c r="A260" s="433">
        <v>44026</v>
      </c>
      <c r="B260" s="479">
        <v>3907</v>
      </c>
      <c r="C260" s="474">
        <v>215.5</v>
      </c>
      <c r="D260" s="479">
        <v>90</v>
      </c>
      <c r="E260" s="479"/>
      <c r="F260" s="479"/>
      <c r="G260" s="479"/>
      <c r="H260" s="479"/>
      <c r="I260" s="479"/>
      <c r="J260" s="479"/>
      <c r="K260" s="479">
        <v>24262.47</v>
      </c>
      <c r="L260" s="479">
        <v>12057.225</v>
      </c>
      <c r="M260" s="479">
        <v>3060</v>
      </c>
      <c r="N260" s="480">
        <v>39.5</v>
      </c>
      <c r="O260" s="481">
        <v>39379.695</v>
      </c>
      <c r="P260" s="482">
        <v>0.93090302597093166</v>
      </c>
      <c r="Q260" s="437">
        <v>11</v>
      </c>
      <c r="R260" s="438">
        <v>1.4999999999999999E-2</v>
      </c>
      <c r="S260" s="439">
        <v>0</v>
      </c>
      <c r="T260" s="439"/>
      <c r="U260" s="439"/>
      <c r="V260" s="439"/>
      <c r="W260" s="463" t="s">
        <v>210</v>
      </c>
      <c r="Y260" s="368">
        <f t="shared" si="69"/>
        <v>44026</v>
      </c>
      <c r="Z260" s="429">
        <v>145</v>
      </c>
      <c r="AA260" s="393">
        <v>3.7112874328129E-2</v>
      </c>
      <c r="AB260" s="382">
        <v>900.45</v>
      </c>
      <c r="AC260" s="429">
        <v>0</v>
      </c>
      <c r="AD260" s="430">
        <v>0</v>
      </c>
      <c r="AE260" s="429"/>
      <c r="AF260" s="430">
        <v>0</v>
      </c>
      <c r="AG260" s="412"/>
      <c r="AH260" s="380">
        <f t="shared" si="70"/>
        <v>152152.6122580645</v>
      </c>
      <c r="AI260" s="381">
        <f t="shared" si="71"/>
        <v>42742.190322580645</v>
      </c>
      <c r="AJ260" s="382">
        <f t="shared" si="67"/>
        <v>19768.051612903226</v>
      </c>
      <c r="AK260" s="394">
        <f t="shared" si="72"/>
        <v>214662.85419354835</v>
      </c>
      <c r="AL260" s="440">
        <v>0</v>
      </c>
    </row>
    <row r="261" spans="1:38">
      <c r="A261" s="433">
        <v>44027</v>
      </c>
      <c r="B261" s="474">
        <v>3834</v>
      </c>
      <c r="C261" s="474">
        <v>107.75</v>
      </c>
      <c r="D261" s="474">
        <v>80</v>
      </c>
      <c r="E261" s="474"/>
      <c r="F261" s="474"/>
      <c r="G261" s="474"/>
      <c r="H261" s="474"/>
      <c r="I261" s="474"/>
      <c r="J261" s="474"/>
      <c r="K261" s="474">
        <v>23809.14</v>
      </c>
      <c r="L261" s="474">
        <v>6028.6125000000002</v>
      </c>
      <c r="M261" s="474">
        <v>2720</v>
      </c>
      <c r="N261" s="475">
        <v>40.5</v>
      </c>
      <c r="O261" s="476">
        <v>32557.752499999999</v>
      </c>
      <c r="P261" s="477">
        <v>0.92030724915986561</v>
      </c>
      <c r="Q261" s="469">
        <v>11</v>
      </c>
      <c r="R261" s="470">
        <v>1.4999999999999999E-2</v>
      </c>
      <c r="S261" s="471">
        <v>0</v>
      </c>
      <c r="T261" s="471"/>
      <c r="U261" s="471"/>
      <c r="V261" s="471"/>
      <c r="W261" s="463"/>
      <c r="Y261" s="368">
        <f t="shared" si="69"/>
        <v>44027</v>
      </c>
      <c r="Z261" s="429">
        <v>191</v>
      </c>
      <c r="AA261" s="393">
        <v>4.9817423056859676E-2</v>
      </c>
      <c r="AB261" s="382">
        <v>1186.1099999999999</v>
      </c>
      <c r="AC261" s="429">
        <v>0</v>
      </c>
      <c r="AD261" s="430">
        <v>0</v>
      </c>
      <c r="AE261" s="429"/>
      <c r="AF261" s="430">
        <v>0</v>
      </c>
      <c r="AG261" s="412"/>
      <c r="AH261" s="380">
        <f t="shared" si="70"/>
        <v>152605.94225806452</v>
      </c>
      <c r="AI261" s="381">
        <f t="shared" si="71"/>
        <v>48770.802822580641</v>
      </c>
      <c r="AJ261" s="382">
        <f t="shared" si="67"/>
        <v>20108.051612903226</v>
      </c>
      <c r="AK261" s="394">
        <f t="shared" si="72"/>
        <v>221484.79669354839</v>
      </c>
      <c r="AL261" s="440">
        <v>8</v>
      </c>
    </row>
    <row r="262" spans="1:38">
      <c r="A262" s="433">
        <v>44028</v>
      </c>
      <c r="B262" s="474">
        <v>3646</v>
      </c>
      <c r="C262" s="474">
        <v>107.75</v>
      </c>
      <c r="D262" s="474">
        <v>70</v>
      </c>
      <c r="E262" s="474"/>
      <c r="F262" s="474"/>
      <c r="G262" s="474"/>
      <c r="H262" s="474"/>
      <c r="I262" s="474"/>
      <c r="J262" s="474"/>
      <c r="K262" s="474">
        <v>22641.66</v>
      </c>
      <c r="L262" s="474">
        <v>6028.6125000000002</v>
      </c>
      <c r="M262" s="474">
        <v>2380</v>
      </c>
      <c r="N262" s="475">
        <v>41.5</v>
      </c>
      <c r="O262" s="476">
        <v>31050.272499999999</v>
      </c>
      <c r="P262" s="477">
        <v>0.91149999999999998</v>
      </c>
      <c r="Q262" s="469">
        <v>11</v>
      </c>
      <c r="R262" s="470">
        <v>1.4999999999999999E-2</v>
      </c>
      <c r="S262" s="471">
        <v>0</v>
      </c>
      <c r="T262" s="471"/>
      <c r="U262" s="471"/>
      <c r="V262" s="471"/>
      <c r="W262" s="463"/>
      <c r="Y262" s="368">
        <f t="shared" si="69"/>
        <v>44028</v>
      </c>
      <c r="Z262" s="429">
        <v>95</v>
      </c>
      <c r="AA262" s="393">
        <v>2.6055951727921009E-2</v>
      </c>
      <c r="AB262" s="382">
        <v>589.95000000000005</v>
      </c>
      <c r="AC262" s="429">
        <v>0</v>
      </c>
      <c r="AD262" s="430">
        <v>0</v>
      </c>
      <c r="AE262" s="429"/>
      <c r="AF262" s="430">
        <v>0</v>
      </c>
      <c r="AG262" s="412"/>
      <c r="AH262" s="380">
        <f t="shared" si="70"/>
        <v>153773.4222580645</v>
      </c>
      <c r="AI262" s="381">
        <f t="shared" si="71"/>
        <v>48770.802822580641</v>
      </c>
      <c r="AJ262" s="382">
        <f t="shared" si="67"/>
        <v>20448.051612903226</v>
      </c>
      <c r="AK262" s="394">
        <f t="shared" si="72"/>
        <v>222992.27669354837</v>
      </c>
      <c r="AL262" s="440">
        <v>5</v>
      </c>
    </row>
    <row r="263" spans="1:38">
      <c r="A263" s="433">
        <v>44029</v>
      </c>
      <c r="B263" s="474">
        <v>3668</v>
      </c>
      <c r="C263" s="474">
        <v>107.75</v>
      </c>
      <c r="D263" s="474">
        <v>60</v>
      </c>
      <c r="E263" s="474"/>
      <c r="F263" s="474"/>
      <c r="G263" s="474"/>
      <c r="H263" s="474"/>
      <c r="I263" s="474"/>
      <c r="J263" s="474"/>
      <c r="K263" s="474">
        <v>22778.28</v>
      </c>
      <c r="L263" s="474">
        <v>6028.6125000000002</v>
      </c>
      <c r="M263" s="474">
        <v>2040</v>
      </c>
      <c r="N263" s="475">
        <v>42.5</v>
      </c>
      <c r="O263" s="476">
        <v>30846.892499999998</v>
      </c>
      <c r="P263" s="477">
        <v>0.91883767535070138</v>
      </c>
      <c r="Q263" s="469">
        <v>9</v>
      </c>
      <c r="R263" s="470">
        <v>7.4999999999999997E-3</v>
      </c>
      <c r="S263" s="471">
        <v>0</v>
      </c>
      <c r="T263" s="471"/>
      <c r="U263" s="471"/>
      <c r="V263" s="471"/>
      <c r="W263" s="462"/>
      <c r="Y263" s="368">
        <f t="shared" si="69"/>
        <v>44029</v>
      </c>
      <c r="Z263" s="429">
        <v>103</v>
      </c>
      <c r="AA263" s="393">
        <v>2.8080697928026171E-2</v>
      </c>
      <c r="AB263" s="382">
        <v>639.63</v>
      </c>
      <c r="AC263" s="429">
        <v>0</v>
      </c>
      <c r="AD263" s="430">
        <v>0</v>
      </c>
      <c r="AE263" s="429"/>
      <c r="AF263" s="430">
        <v>0</v>
      </c>
      <c r="AG263" s="412"/>
      <c r="AH263" s="380">
        <f t="shared" si="70"/>
        <v>153636.8022580645</v>
      </c>
      <c r="AI263" s="381">
        <f t="shared" si="71"/>
        <v>48770.802822580641</v>
      </c>
      <c r="AJ263" s="382">
        <f t="shared" si="67"/>
        <v>20788.051612903226</v>
      </c>
      <c r="AK263" s="394">
        <f t="shared" si="72"/>
        <v>223195.65669354837</v>
      </c>
      <c r="AL263" s="440">
        <v>0</v>
      </c>
    </row>
    <row r="264" spans="1:38">
      <c r="A264" s="433">
        <v>44030</v>
      </c>
      <c r="B264" s="479">
        <v>3433</v>
      </c>
      <c r="C264" s="474">
        <v>107.75</v>
      </c>
      <c r="D264" s="479">
        <v>90</v>
      </c>
      <c r="E264" s="479"/>
      <c r="F264" s="479"/>
      <c r="G264" s="479"/>
      <c r="H264" s="479"/>
      <c r="I264" s="479"/>
      <c r="J264" s="479"/>
      <c r="K264" s="479">
        <v>21318.93</v>
      </c>
      <c r="L264" s="479">
        <v>6028.6125000000002</v>
      </c>
      <c r="M264" s="479">
        <v>3060</v>
      </c>
      <c r="N264" s="480">
        <v>43.5</v>
      </c>
      <c r="O264" s="481">
        <v>30407.5425</v>
      </c>
      <c r="P264" s="482">
        <v>0.90580474934036936</v>
      </c>
      <c r="Q264" s="437">
        <v>9</v>
      </c>
      <c r="R264" s="438">
        <v>7.4999999999999997E-3</v>
      </c>
      <c r="S264" s="439">
        <v>0</v>
      </c>
      <c r="T264" s="439"/>
      <c r="U264" s="439"/>
      <c r="V264" s="439"/>
      <c r="W264" s="463"/>
      <c r="Y264" s="368">
        <f t="shared" si="69"/>
        <v>44030</v>
      </c>
      <c r="Z264" s="429">
        <v>32</v>
      </c>
      <c r="AA264" s="393">
        <v>9.3212933294494604E-3</v>
      </c>
      <c r="AB264" s="382">
        <v>198.72</v>
      </c>
      <c r="AC264" s="429">
        <v>124</v>
      </c>
      <c r="AD264" s="430">
        <v>6937.8</v>
      </c>
      <c r="AE264" s="429"/>
      <c r="AF264" s="430">
        <v>0</v>
      </c>
      <c r="AG264" s="412"/>
      <c r="AH264" s="380">
        <f t="shared" si="70"/>
        <v>155096.15225806451</v>
      </c>
      <c r="AI264" s="381">
        <f t="shared" si="71"/>
        <v>48770.802822580641</v>
      </c>
      <c r="AJ264" s="382">
        <f t="shared" si="67"/>
        <v>19768.051612903226</v>
      </c>
      <c r="AK264" s="394">
        <f t="shared" si="72"/>
        <v>223635.00669354838</v>
      </c>
      <c r="AL264" s="440"/>
    </row>
    <row r="265" spans="1:38">
      <c r="A265" s="433">
        <v>44031</v>
      </c>
      <c r="B265" s="479">
        <v>3376</v>
      </c>
      <c r="C265" s="474">
        <v>107.75</v>
      </c>
      <c r="D265" s="479">
        <v>90</v>
      </c>
      <c r="E265" s="479"/>
      <c r="F265" s="479"/>
      <c r="G265" s="479"/>
      <c r="H265" s="479"/>
      <c r="I265" s="479"/>
      <c r="J265" s="479"/>
      <c r="K265" s="479">
        <v>20964.96</v>
      </c>
      <c r="L265" s="479">
        <v>6028.6125000000002</v>
      </c>
      <c r="M265" s="479">
        <v>3060</v>
      </c>
      <c r="N265" s="480">
        <v>44.5</v>
      </c>
      <c r="O265" s="481">
        <v>30053.572499999998</v>
      </c>
      <c r="P265" s="482">
        <v>0.91490514905149056</v>
      </c>
      <c r="Q265" s="437">
        <v>9</v>
      </c>
      <c r="R265" s="438">
        <v>7.4999999999999997E-3</v>
      </c>
      <c r="S265" s="439">
        <v>0</v>
      </c>
      <c r="T265" s="439"/>
      <c r="U265" s="439"/>
      <c r="V265" s="439"/>
      <c r="W265" s="463"/>
      <c r="Y265" s="368">
        <f t="shared" si="69"/>
        <v>44031</v>
      </c>
      <c r="Z265" s="429">
        <v>66</v>
      </c>
      <c r="AA265" s="393">
        <v>1.9549763033175356E-2</v>
      </c>
      <c r="AB265" s="382">
        <v>409.86</v>
      </c>
      <c r="AC265" s="429">
        <v>0</v>
      </c>
      <c r="AD265" s="430">
        <v>0</v>
      </c>
      <c r="AE265" s="429"/>
      <c r="AF265" s="430">
        <v>0</v>
      </c>
      <c r="AG265" s="412"/>
      <c r="AH265" s="380">
        <f t="shared" si="70"/>
        <v>155450.12225806451</v>
      </c>
      <c r="AI265" s="381">
        <f t="shared" si="71"/>
        <v>48770.802822580641</v>
      </c>
      <c r="AJ265" s="382">
        <f t="shared" si="67"/>
        <v>19768.051612903226</v>
      </c>
      <c r="AK265" s="394">
        <f t="shared" si="72"/>
        <v>223988.97669354838</v>
      </c>
      <c r="AL265" s="440"/>
    </row>
    <row r="266" spans="1:38">
      <c r="A266" s="433">
        <v>44032</v>
      </c>
      <c r="B266" s="479">
        <v>3512</v>
      </c>
      <c r="C266" s="474">
        <v>107.75</v>
      </c>
      <c r="D266" s="479">
        <v>80</v>
      </c>
      <c r="E266" s="479"/>
      <c r="F266" s="479"/>
      <c r="G266" s="479"/>
      <c r="H266" s="479"/>
      <c r="I266" s="479"/>
      <c r="J266" s="479"/>
      <c r="K266" s="479">
        <v>21809.52</v>
      </c>
      <c r="L266" s="479">
        <v>6028.6125000000002</v>
      </c>
      <c r="M266" s="479">
        <v>2720</v>
      </c>
      <c r="N266" s="480">
        <v>45.5</v>
      </c>
      <c r="O266" s="481">
        <v>30558.1325</v>
      </c>
      <c r="P266" s="482">
        <v>0.92178477690288718</v>
      </c>
      <c r="Q266" s="437">
        <v>9</v>
      </c>
      <c r="R266" s="438">
        <v>7.4999999999999997E-3</v>
      </c>
      <c r="S266" s="439">
        <v>0</v>
      </c>
      <c r="T266" s="439"/>
      <c r="U266" s="439"/>
      <c r="V266" s="439"/>
      <c r="W266" s="463"/>
      <c r="Y266" s="368">
        <f t="shared" si="69"/>
        <v>44032</v>
      </c>
      <c r="Z266" s="429">
        <v>142</v>
      </c>
      <c r="AA266" s="393">
        <v>4.0432801822323464E-2</v>
      </c>
      <c r="AB266" s="382">
        <v>881.82</v>
      </c>
      <c r="AC266" s="429">
        <v>0</v>
      </c>
      <c r="AD266" s="430">
        <v>0</v>
      </c>
      <c r="AE266" s="429"/>
      <c r="AF266" s="430">
        <v>0</v>
      </c>
      <c r="AG266" s="412"/>
      <c r="AH266" s="380">
        <f t="shared" si="70"/>
        <v>154605.56225806451</v>
      </c>
      <c r="AI266" s="381">
        <f t="shared" si="71"/>
        <v>48770.802822580641</v>
      </c>
      <c r="AJ266" s="382">
        <f t="shared" si="67"/>
        <v>20108.051612903226</v>
      </c>
      <c r="AK266" s="394">
        <f t="shared" si="72"/>
        <v>223484.41669354838</v>
      </c>
      <c r="AL266" s="440"/>
    </row>
    <row r="267" spans="1:38">
      <c r="A267" s="433">
        <v>44033</v>
      </c>
      <c r="B267" s="474">
        <v>3645</v>
      </c>
      <c r="C267" s="474">
        <v>0</v>
      </c>
      <c r="D267" s="474">
        <v>60</v>
      </c>
      <c r="E267" s="474"/>
      <c r="F267" s="474"/>
      <c r="G267" s="474"/>
      <c r="H267" s="474"/>
      <c r="I267" s="474"/>
      <c r="J267" s="474"/>
      <c r="K267" s="474">
        <v>22635.45</v>
      </c>
      <c r="L267" s="474">
        <v>0</v>
      </c>
      <c r="M267" s="474">
        <v>2040</v>
      </c>
      <c r="N267" s="475">
        <v>46.5</v>
      </c>
      <c r="O267" s="476">
        <v>24675.45</v>
      </c>
      <c r="P267" s="477">
        <v>0.89844712842001484</v>
      </c>
      <c r="Q267" s="469">
        <v>9</v>
      </c>
      <c r="R267" s="470">
        <v>7.4999999999999997E-3</v>
      </c>
      <c r="S267" s="471">
        <v>0</v>
      </c>
      <c r="T267" s="471"/>
      <c r="U267" s="471"/>
      <c r="V267" s="471"/>
      <c r="W267" s="462"/>
      <c r="Y267" s="368">
        <f t="shared" si="69"/>
        <v>44033</v>
      </c>
      <c r="Z267" s="429">
        <v>31</v>
      </c>
      <c r="AA267" s="393">
        <v>8.5048010973936897E-3</v>
      </c>
      <c r="AB267" s="382">
        <v>192.51</v>
      </c>
      <c r="AC267" s="429">
        <v>0</v>
      </c>
      <c r="AD267" s="430">
        <v>0</v>
      </c>
      <c r="AE267" s="429"/>
      <c r="AF267" s="430">
        <v>0</v>
      </c>
      <c r="AG267" s="412"/>
      <c r="AH267" s="380">
        <f t="shared" si="70"/>
        <v>153779.63225806449</v>
      </c>
      <c r="AI267" s="381">
        <f t="shared" si="71"/>
        <v>54799.415322580644</v>
      </c>
      <c r="AJ267" s="382">
        <f t="shared" si="67"/>
        <v>20788.051612903226</v>
      </c>
      <c r="AK267" s="394">
        <f t="shared" si="72"/>
        <v>229367.09919354835</v>
      </c>
      <c r="AL267" s="440"/>
    </row>
    <row r="268" spans="1:38" ht="17.25" customHeight="1">
      <c r="A268" s="433">
        <v>44034</v>
      </c>
      <c r="B268" s="479">
        <v>3421</v>
      </c>
      <c r="C268" s="474">
        <v>0</v>
      </c>
      <c r="D268" s="479">
        <v>110</v>
      </c>
      <c r="E268" s="479"/>
      <c r="F268" s="479"/>
      <c r="G268" s="479"/>
      <c r="H268" s="479"/>
      <c r="I268" s="479"/>
      <c r="J268" s="479"/>
      <c r="K268" s="479">
        <v>21244.41</v>
      </c>
      <c r="L268" s="479">
        <v>0</v>
      </c>
      <c r="M268" s="479">
        <v>3740</v>
      </c>
      <c r="N268" s="480">
        <v>47.5</v>
      </c>
      <c r="O268" s="481">
        <v>24984.41</v>
      </c>
      <c r="P268" s="482">
        <v>0.91691235593674614</v>
      </c>
      <c r="Q268" s="437">
        <v>9</v>
      </c>
      <c r="R268" s="438">
        <v>7.4999999999999997E-3</v>
      </c>
      <c r="S268" s="439">
        <v>0</v>
      </c>
      <c r="T268" s="439"/>
      <c r="U268" s="439"/>
      <c r="V268" s="439"/>
      <c r="W268" s="463" t="s">
        <v>211</v>
      </c>
      <c r="Y268" s="368">
        <f t="shared" si="69"/>
        <v>44034</v>
      </c>
      <c r="Z268" s="429">
        <v>89</v>
      </c>
      <c r="AA268" s="393">
        <v>2.6015784858228589E-2</v>
      </c>
      <c r="AB268" s="382">
        <v>552.68999999999994</v>
      </c>
      <c r="AC268" s="429">
        <v>0</v>
      </c>
      <c r="AD268" s="430">
        <v>0</v>
      </c>
      <c r="AE268" s="429"/>
      <c r="AF268" s="430">
        <v>0</v>
      </c>
      <c r="AG268" s="412"/>
      <c r="AH268" s="380">
        <f t="shared" si="70"/>
        <v>155170.6722580645</v>
      </c>
      <c r="AI268" s="381">
        <f t="shared" si="71"/>
        <v>54799.415322580644</v>
      </c>
      <c r="AJ268" s="382">
        <f t="shared" si="67"/>
        <v>19088.051612903226</v>
      </c>
      <c r="AK268" s="394">
        <f t="shared" si="72"/>
        <v>229058.13919354836</v>
      </c>
      <c r="AL268" s="440"/>
    </row>
    <row r="269" spans="1:38">
      <c r="A269" s="433">
        <v>44035</v>
      </c>
      <c r="B269" s="479">
        <v>3504</v>
      </c>
      <c r="C269" s="474">
        <v>107.75</v>
      </c>
      <c r="D269" s="479">
        <v>50</v>
      </c>
      <c r="E269" s="479"/>
      <c r="F269" s="479"/>
      <c r="G269" s="479"/>
      <c r="H269" s="479"/>
      <c r="I269" s="479"/>
      <c r="J269" s="479"/>
      <c r="K269" s="479">
        <v>21759.84</v>
      </c>
      <c r="L269" s="479">
        <v>6028.6125000000002</v>
      </c>
      <c r="M269" s="479">
        <v>1700</v>
      </c>
      <c r="N269" s="480">
        <v>48.5</v>
      </c>
      <c r="O269" s="481">
        <v>29488.452499999999</v>
      </c>
      <c r="P269" s="482">
        <v>0.91920251836306399</v>
      </c>
      <c r="Q269" s="437">
        <v>9</v>
      </c>
      <c r="R269" s="438">
        <v>7.4999999999999997E-3</v>
      </c>
      <c r="S269" s="439">
        <v>0</v>
      </c>
      <c r="T269" s="439"/>
      <c r="U269" s="439"/>
      <c r="V269" s="439"/>
      <c r="W269" s="463"/>
      <c r="Y269" s="368">
        <f t="shared" si="69"/>
        <v>44035</v>
      </c>
      <c r="Z269" s="429">
        <v>29</v>
      </c>
      <c r="AA269" s="393">
        <v>8.2762557077625566E-3</v>
      </c>
      <c r="AB269" s="382">
        <v>180.09</v>
      </c>
      <c r="AC269" s="429">
        <v>0</v>
      </c>
      <c r="AD269" s="430">
        <v>0</v>
      </c>
      <c r="AE269" s="429"/>
      <c r="AF269" s="430">
        <v>0</v>
      </c>
      <c r="AG269" s="412"/>
      <c r="AH269" s="380">
        <f t="shared" si="70"/>
        <v>154655.24225806451</v>
      </c>
      <c r="AI269" s="381">
        <f t="shared" si="71"/>
        <v>48770.802822580641</v>
      </c>
      <c r="AJ269" s="382">
        <f t="shared" si="67"/>
        <v>21128.051612903226</v>
      </c>
      <c r="AK269" s="396">
        <f t="shared" si="72"/>
        <v>224554.09669354837</v>
      </c>
      <c r="AL269" s="440"/>
    </row>
    <row r="270" spans="1:38">
      <c r="A270" s="433">
        <v>44036</v>
      </c>
      <c r="B270" s="479">
        <v>3433</v>
      </c>
      <c r="C270" s="474">
        <v>107.75</v>
      </c>
      <c r="D270" s="479">
        <v>60</v>
      </c>
      <c r="E270" s="479"/>
      <c r="F270" s="479"/>
      <c r="G270" s="479"/>
      <c r="H270" s="479"/>
      <c r="I270" s="479"/>
      <c r="J270" s="479"/>
      <c r="K270" s="479">
        <v>21318.93</v>
      </c>
      <c r="L270" s="479">
        <v>6028.6125000000002</v>
      </c>
      <c r="M270" s="479">
        <v>2040</v>
      </c>
      <c r="N270" s="480">
        <v>49.5</v>
      </c>
      <c r="O270" s="481">
        <v>29387.5425</v>
      </c>
      <c r="P270" s="482">
        <v>0.91400425985090517</v>
      </c>
      <c r="Q270" s="437">
        <v>9</v>
      </c>
      <c r="R270" s="438">
        <v>7.4999999999999997E-3</v>
      </c>
      <c r="S270" s="439">
        <v>0</v>
      </c>
      <c r="T270" s="439"/>
      <c r="U270" s="439"/>
      <c r="V270" s="439"/>
      <c r="W270" s="463"/>
      <c r="Y270" s="368">
        <f t="shared" si="69"/>
        <v>44036</v>
      </c>
      <c r="Z270" s="429">
        <v>90</v>
      </c>
      <c r="AA270" s="393">
        <v>2.621613748907661E-2</v>
      </c>
      <c r="AB270" s="382">
        <v>558.9</v>
      </c>
      <c r="AC270" s="429">
        <v>0</v>
      </c>
      <c r="AD270" s="430">
        <v>0</v>
      </c>
      <c r="AE270" s="429"/>
      <c r="AF270" s="430">
        <v>0</v>
      </c>
      <c r="AG270" s="412"/>
      <c r="AH270" s="380">
        <f t="shared" si="70"/>
        <v>155096.15225806451</v>
      </c>
      <c r="AI270" s="381">
        <f t="shared" si="71"/>
        <v>48770.802822580641</v>
      </c>
      <c r="AJ270" s="382">
        <f t="shared" si="67"/>
        <v>20788.051612903226</v>
      </c>
      <c r="AK270" s="396">
        <f t="shared" si="72"/>
        <v>224655.00669354838</v>
      </c>
      <c r="AL270" s="440"/>
    </row>
    <row r="271" spans="1:38">
      <c r="A271" s="433">
        <v>44037</v>
      </c>
      <c r="B271" s="474">
        <v>3210</v>
      </c>
      <c r="C271" s="474">
        <v>107.75</v>
      </c>
      <c r="D271" s="474">
        <v>70</v>
      </c>
      <c r="E271" s="474"/>
      <c r="F271" s="474"/>
      <c r="G271" s="474"/>
      <c r="H271" s="474"/>
      <c r="I271" s="474"/>
      <c r="J271" s="474"/>
      <c r="K271" s="474">
        <v>19934.099999999999</v>
      </c>
      <c r="L271" s="474">
        <v>6028.6125000000002</v>
      </c>
      <c r="M271" s="474">
        <v>2380</v>
      </c>
      <c r="N271" s="475">
        <v>50.5</v>
      </c>
      <c r="O271" s="476">
        <v>28342.712499999998</v>
      </c>
      <c r="P271" s="477">
        <v>0.87489779231398201</v>
      </c>
      <c r="Q271" s="469">
        <v>9</v>
      </c>
      <c r="R271" s="470">
        <v>7.4999999999999997E-3</v>
      </c>
      <c r="S271" s="471">
        <v>0</v>
      </c>
      <c r="T271" s="471"/>
      <c r="U271" s="471"/>
      <c r="V271" s="471"/>
      <c r="W271" s="484"/>
      <c r="Y271" s="368">
        <f t="shared" si="69"/>
        <v>44037</v>
      </c>
      <c r="Z271" s="429">
        <v>25</v>
      </c>
      <c r="AA271" s="393">
        <v>7.7881619937694704E-3</v>
      </c>
      <c r="AB271" s="382">
        <v>155.25</v>
      </c>
      <c r="AC271" s="429">
        <v>0</v>
      </c>
      <c r="AD271" s="430">
        <v>0</v>
      </c>
      <c r="AE271" s="429"/>
      <c r="AF271" s="430">
        <v>0</v>
      </c>
      <c r="AG271" s="412"/>
      <c r="AH271" s="380">
        <f t="shared" si="70"/>
        <v>156480.9822580645</v>
      </c>
      <c r="AI271" s="381">
        <f t="shared" si="71"/>
        <v>48770.802822580641</v>
      </c>
      <c r="AJ271" s="382">
        <f t="shared" si="67"/>
        <v>20448.051612903226</v>
      </c>
      <c r="AK271" s="396">
        <f t="shared" si="72"/>
        <v>225699.83669354836</v>
      </c>
      <c r="AL271" s="440"/>
    </row>
    <row r="272" spans="1:38">
      <c r="A272" s="433">
        <v>44038</v>
      </c>
      <c r="B272" s="474">
        <v>3547</v>
      </c>
      <c r="C272" s="474">
        <v>107.75</v>
      </c>
      <c r="D272" s="474">
        <v>60</v>
      </c>
      <c r="E272" s="474"/>
      <c r="F272" s="474"/>
      <c r="G272" s="474"/>
      <c r="H272" s="474"/>
      <c r="I272" s="474"/>
      <c r="J272" s="474"/>
      <c r="K272" s="474">
        <v>22026.87</v>
      </c>
      <c r="L272" s="474">
        <v>6028.6125000000002</v>
      </c>
      <c r="M272" s="474">
        <v>2040</v>
      </c>
      <c r="N272" s="475">
        <v>51.5</v>
      </c>
      <c r="O272" s="476">
        <v>30095.482499999998</v>
      </c>
      <c r="P272" s="477">
        <v>0.92058136516999745</v>
      </c>
      <c r="Q272" s="469">
        <v>9</v>
      </c>
      <c r="R272" s="470">
        <v>7.4999999999999997E-3</v>
      </c>
      <c r="S272" s="471">
        <v>0</v>
      </c>
      <c r="T272" s="471"/>
      <c r="U272" s="471"/>
      <c r="V272" s="471"/>
      <c r="W272" s="484"/>
      <c r="Y272" s="368">
        <f t="shared" si="69"/>
        <v>44038</v>
      </c>
      <c r="Z272" s="429">
        <v>53</v>
      </c>
      <c r="AA272" s="393">
        <v>1.4942204680011277E-2</v>
      </c>
      <c r="AB272" s="382">
        <v>329.13</v>
      </c>
      <c r="AC272" s="429">
        <v>0</v>
      </c>
      <c r="AD272" s="430">
        <v>0</v>
      </c>
      <c r="AE272" s="429"/>
      <c r="AF272" s="430">
        <v>0</v>
      </c>
      <c r="AG272" s="412"/>
      <c r="AH272" s="380">
        <f t="shared" si="70"/>
        <v>154388.21225806451</v>
      </c>
      <c r="AI272" s="381">
        <f t="shared" si="71"/>
        <v>48770.802822580641</v>
      </c>
      <c r="AJ272" s="382">
        <f t="shared" si="67"/>
        <v>20788.051612903226</v>
      </c>
      <c r="AK272" s="396">
        <f t="shared" si="72"/>
        <v>223947.06669354838</v>
      </c>
      <c r="AL272" s="440"/>
    </row>
    <row r="273" spans="1:38">
      <c r="A273" s="433">
        <v>44039</v>
      </c>
      <c r="B273" s="479">
        <v>3504</v>
      </c>
      <c r="C273" s="474">
        <v>107.75</v>
      </c>
      <c r="D273" s="479">
        <v>80</v>
      </c>
      <c r="E273" s="479"/>
      <c r="F273" s="479"/>
      <c r="G273" s="479"/>
      <c r="H273" s="479"/>
      <c r="I273" s="479"/>
      <c r="J273" s="479"/>
      <c r="K273" s="479">
        <v>21759.84</v>
      </c>
      <c r="L273" s="479">
        <v>6028.6125000000002</v>
      </c>
      <c r="M273" s="479">
        <v>2720</v>
      </c>
      <c r="N273" s="480">
        <v>52.5</v>
      </c>
      <c r="O273" s="481">
        <v>30508.452499999999</v>
      </c>
      <c r="P273" s="482">
        <v>0.91631799163179917</v>
      </c>
      <c r="Q273" s="437">
        <v>9</v>
      </c>
      <c r="R273" s="438">
        <v>7.4999999999999997E-3</v>
      </c>
      <c r="S273" s="439">
        <v>0</v>
      </c>
      <c r="T273" s="439"/>
      <c r="U273" s="439"/>
      <c r="V273" s="439"/>
      <c r="W273" s="483"/>
      <c r="Y273" s="368">
        <f t="shared" si="69"/>
        <v>44039</v>
      </c>
      <c r="Z273" s="429">
        <v>95</v>
      </c>
      <c r="AA273" s="393">
        <v>2.711187214611872E-2</v>
      </c>
      <c r="AB273" s="382">
        <v>589.95000000000005</v>
      </c>
      <c r="AC273" s="429">
        <v>0</v>
      </c>
      <c r="AD273" s="430">
        <v>0</v>
      </c>
      <c r="AE273" s="429"/>
      <c r="AF273" s="430">
        <v>0</v>
      </c>
      <c r="AG273" s="412"/>
      <c r="AH273" s="380">
        <f t="shared" si="70"/>
        <v>154655.24225806451</v>
      </c>
      <c r="AI273" s="381">
        <f t="shared" si="71"/>
        <v>48770.802822580641</v>
      </c>
      <c r="AJ273" s="382">
        <f t="shared" si="67"/>
        <v>20108.051612903226</v>
      </c>
      <c r="AK273" s="396">
        <f t="shared" si="72"/>
        <v>223534.09669354837</v>
      </c>
      <c r="AL273" s="440"/>
    </row>
    <row r="274" spans="1:38">
      <c r="A274" s="433">
        <v>44040</v>
      </c>
      <c r="B274" s="386">
        <v>3618</v>
      </c>
      <c r="C274" s="474">
        <v>0</v>
      </c>
      <c r="D274" s="386">
        <v>50</v>
      </c>
      <c r="E274" s="386"/>
      <c r="F274" s="386"/>
      <c r="G274" s="386"/>
      <c r="H274" s="386"/>
      <c r="I274" s="386"/>
      <c r="J274" s="386"/>
      <c r="K274" s="386">
        <v>22467.78</v>
      </c>
      <c r="L274" s="386">
        <v>0</v>
      </c>
      <c r="M274" s="386">
        <v>1700</v>
      </c>
      <c r="N274" s="435">
        <v>53.5</v>
      </c>
      <c r="O274" s="436">
        <v>24167.78</v>
      </c>
      <c r="P274" s="461">
        <v>0.91850723533891854</v>
      </c>
      <c r="Q274" s="437">
        <v>9</v>
      </c>
      <c r="R274" s="438">
        <v>7.4999999999999997E-3</v>
      </c>
      <c r="S274" s="439">
        <v>0</v>
      </c>
      <c r="T274" s="439"/>
      <c r="U274" s="439"/>
      <c r="V274" s="439"/>
      <c r="W274" s="483"/>
      <c r="Y274" s="368">
        <f t="shared" si="69"/>
        <v>44040</v>
      </c>
      <c r="Z274" s="429">
        <v>181</v>
      </c>
      <c r="AA274" s="393">
        <v>5.0027639579878387E-2</v>
      </c>
      <c r="AB274" s="382">
        <v>1124.01</v>
      </c>
      <c r="AC274" s="429">
        <v>0</v>
      </c>
      <c r="AD274" s="430">
        <v>0</v>
      </c>
      <c r="AE274" s="429"/>
      <c r="AF274" s="430">
        <v>0</v>
      </c>
      <c r="AG274" s="412"/>
      <c r="AH274" s="380">
        <f t="shared" si="70"/>
        <v>153947.3022580645</v>
      </c>
      <c r="AI274" s="381">
        <f t="shared" si="71"/>
        <v>54799.415322580644</v>
      </c>
      <c r="AJ274" s="382">
        <f t="shared" si="67"/>
        <v>21128.051612903226</v>
      </c>
      <c r="AK274" s="396">
        <f t="shared" si="72"/>
        <v>229874.76919354836</v>
      </c>
      <c r="AL274" s="440"/>
    </row>
    <row r="275" spans="1:38">
      <c r="A275" s="433">
        <v>44041</v>
      </c>
      <c r="B275" s="386">
        <v>3438</v>
      </c>
      <c r="C275" s="474">
        <v>107.75</v>
      </c>
      <c r="D275" s="386">
        <v>70</v>
      </c>
      <c r="E275" s="386"/>
      <c r="F275" s="386"/>
      <c r="G275" s="386"/>
      <c r="H275" s="386"/>
      <c r="I275" s="386"/>
      <c r="J275" s="386"/>
      <c r="K275" s="386">
        <v>21349.98</v>
      </c>
      <c r="L275" s="386">
        <v>6028.6125000000002</v>
      </c>
      <c r="M275" s="386">
        <v>2380</v>
      </c>
      <c r="N275" s="435">
        <v>54.5</v>
      </c>
      <c r="O275" s="436">
        <v>29758.592499999999</v>
      </c>
      <c r="P275" s="461">
        <v>0.90976448795977771</v>
      </c>
      <c r="Q275" s="437">
        <v>9</v>
      </c>
      <c r="R275" s="438">
        <v>7.4999999999999997E-3</v>
      </c>
      <c r="S275" s="439">
        <v>0</v>
      </c>
      <c r="T275" s="592"/>
      <c r="U275" s="592"/>
      <c r="V275" s="592"/>
      <c r="W275" s="485"/>
      <c r="Y275" s="368">
        <f t="shared" si="69"/>
        <v>44041</v>
      </c>
      <c r="Z275" s="429">
        <v>199</v>
      </c>
      <c r="AA275" s="393">
        <v>5.7882489819662597E-2</v>
      </c>
      <c r="AB275" s="382">
        <v>1235.79</v>
      </c>
      <c r="AC275" s="429">
        <v>0</v>
      </c>
      <c r="AD275" s="430">
        <v>0</v>
      </c>
      <c r="AE275" s="429"/>
      <c r="AF275" s="430">
        <v>0</v>
      </c>
      <c r="AG275" s="412"/>
      <c r="AH275" s="380">
        <f t="shared" si="70"/>
        <v>155065.10225806449</v>
      </c>
      <c r="AI275" s="381">
        <f t="shared" si="71"/>
        <v>48770.802822580641</v>
      </c>
      <c r="AJ275" s="382">
        <f t="shared" si="67"/>
        <v>20448.051612903226</v>
      </c>
      <c r="AK275" s="396">
        <f t="shared" si="72"/>
        <v>224283.95669354836</v>
      </c>
      <c r="AL275" s="440"/>
    </row>
    <row r="276" spans="1:38">
      <c r="A276" s="433">
        <v>44042</v>
      </c>
      <c r="B276" s="386">
        <v>3627</v>
      </c>
      <c r="C276" s="474">
        <v>0</v>
      </c>
      <c r="D276" s="386">
        <v>70</v>
      </c>
      <c r="E276" s="386"/>
      <c r="F276" s="386"/>
      <c r="G276" s="386"/>
      <c r="H276" s="386"/>
      <c r="I276" s="386"/>
      <c r="J276" s="386"/>
      <c r="K276" s="386">
        <v>22523.67</v>
      </c>
      <c r="L276" s="386">
        <v>0</v>
      </c>
      <c r="M276" s="386">
        <v>2380</v>
      </c>
      <c r="N276" s="435">
        <v>55.5</v>
      </c>
      <c r="O276" s="436">
        <v>24903.67</v>
      </c>
      <c r="P276" s="461">
        <v>0.92172808132147399</v>
      </c>
      <c r="Q276" s="437">
        <v>9</v>
      </c>
      <c r="R276" s="438">
        <v>7.4999999999999997E-3</v>
      </c>
      <c r="S276" s="439">
        <v>0</v>
      </c>
      <c r="T276" s="439"/>
      <c r="U276" s="439"/>
      <c r="V276" s="439"/>
      <c r="W276" s="483"/>
      <c r="Y276" s="368">
        <f t="shared" si="69"/>
        <v>44042</v>
      </c>
      <c r="Z276" s="429">
        <v>182</v>
      </c>
      <c r="AA276" s="393">
        <v>5.0179211469534052E-2</v>
      </c>
      <c r="AB276" s="382">
        <v>1130.22</v>
      </c>
      <c r="AC276" s="429">
        <v>0</v>
      </c>
      <c r="AD276" s="430">
        <v>0</v>
      </c>
      <c r="AE276" s="429"/>
      <c r="AF276" s="430">
        <v>0</v>
      </c>
      <c r="AG276" s="412"/>
      <c r="AH276" s="380">
        <f t="shared" si="70"/>
        <v>153891.41225806449</v>
      </c>
      <c r="AI276" s="381">
        <f t="shared" si="71"/>
        <v>54799.415322580644</v>
      </c>
      <c r="AJ276" s="382">
        <f t="shared" si="67"/>
        <v>20448.051612903226</v>
      </c>
      <c r="AK276" s="396">
        <f t="shared" si="72"/>
        <v>229138.87919354835</v>
      </c>
      <c r="AL276" s="440"/>
    </row>
    <row r="277" spans="1:38">
      <c r="A277" s="433">
        <v>44043</v>
      </c>
      <c r="B277" s="386">
        <v>3386</v>
      </c>
      <c r="C277" s="474">
        <v>0</v>
      </c>
      <c r="D277" s="386">
        <v>60</v>
      </c>
      <c r="E277" s="386"/>
      <c r="F277" s="386"/>
      <c r="G277" s="386"/>
      <c r="H277" s="386"/>
      <c r="I277" s="386"/>
      <c r="J277" s="386"/>
      <c r="K277" s="386">
        <v>21027.06</v>
      </c>
      <c r="L277" s="386">
        <v>0</v>
      </c>
      <c r="M277" s="386">
        <v>2040</v>
      </c>
      <c r="N277" s="435">
        <v>56.5</v>
      </c>
      <c r="O277" s="436">
        <v>23067.06</v>
      </c>
      <c r="P277" s="461">
        <v>0.91935921802878084</v>
      </c>
      <c r="Q277" s="437">
        <v>9</v>
      </c>
      <c r="R277" s="438">
        <v>7.4999999999999997E-3</v>
      </c>
      <c r="S277" s="439">
        <v>0</v>
      </c>
      <c r="T277" s="439"/>
      <c r="U277" s="439"/>
      <c r="V277" s="439"/>
      <c r="W277" s="483"/>
      <c r="Y277" s="368">
        <f t="shared" si="69"/>
        <v>44043</v>
      </c>
      <c r="Z277" s="429">
        <v>297</v>
      </c>
      <c r="AA277" s="393">
        <v>8.7714116952155932E-2</v>
      </c>
      <c r="AB277" s="382">
        <v>1844.37</v>
      </c>
      <c r="AC277" s="429">
        <v>0</v>
      </c>
      <c r="AD277" s="430">
        <v>0</v>
      </c>
      <c r="AE277" s="429"/>
      <c r="AF277" s="430">
        <v>0</v>
      </c>
      <c r="AG277" s="412"/>
      <c r="AH277" s="380">
        <f t="shared" si="70"/>
        <v>155388.02225806451</v>
      </c>
      <c r="AI277" s="381">
        <f t="shared" si="71"/>
        <v>54799.415322580644</v>
      </c>
      <c r="AJ277" s="382">
        <f t="shared" si="67"/>
        <v>20788.051612903226</v>
      </c>
      <c r="AK277" s="396">
        <f t="shared" si="72"/>
        <v>230975.48919354836</v>
      </c>
      <c r="AL277" s="440"/>
    </row>
    <row r="278" spans="1:38">
      <c r="A278" s="443" t="s">
        <v>161</v>
      </c>
      <c r="B278" s="444">
        <v>108067</v>
      </c>
      <c r="C278" s="444">
        <v>2478.25</v>
      </c>
      <c r="D278" s="444">
        <v>2200</v>
      </c>
      <c r="E278" s="444"/>
      <c r="F278" s="444"/>
      <c r="G278" s="444"/>
      <c r="H278" s="444"/>
      <c r="I278" s="444"/>
      <c r="J278" s="444"/>
      <c r="K278" s="444">
        <v>671096.07000000007</v>
      </c>
      <c r="L278" s="444">
        <v>138658.08750000002</v>
      </c>
      <c r="M278" s="444">
        <v>74800</v>
      </c>
      <c r="N278" s="444"/>
      <c r="O278" s="444">
        <v>861487.09750000015</v>
      </c>
      <c r="P278" s="444"/>
      <c r="Q278" s="437"/>
      <c r="R278" s="438"/>
      <c r="S278" s="439"/>
      <c r="T278" s="439"/>
      <c r="U278" s="439"/>
      <c r="V278" s="439"/>
      <c r="W278" s="439"/>
      <c r="Y278" s="409" t="s">
        <v>161</v>
      </c>
      <c r="Z278" s="410">
        <v>2792</v>
      </c>
      <c r="AA278" s="410">
        <v>0.79294453500513817</v>
      </c>
      <c r="AB278" s="410">
        <v>17338.32</v>
      </c>
      <c r="AC278" s="410">
        <v>303.8</v>
      </c>
      <c r="AD278" s="410">
        <v>16997.61</v>
      </c>
      <c r="AE278" s="410">
        <v>0</v>
      </c>
      <c r="AF278" s="410">
        <v>0</v>
      </c>
      <c r="AG278" s="412"/>
      <c r="AH278" s="397">
        <f>SUM(AH247:AH274)</f>
        <v>4333426.9432258066</v>
      </c>
      <c r="AI278" s="397">
        <f>SUM(AI247:AI274)</f>
        <v>1401754.1540322579</v>
      </c>
      <c r="AJ278" s="397">
        <f>SUM(AJ247:AJ274)</f>
        <v>571185.44516129058</v>
      </c>
      <c r="AK278" s="397">
        <f>SUM(AK247:AK274)</f>
        <v>6306366.5424193554</v>
      </c>
      <c r="AL278" s="440"/>
    </row>
    <row r="279" spans="1:38">
      <c r="A279" s="706"/>
      <c r="B279" s="411"/>
      <c r="C279" s="411"/>
      <c r="D279" s="411"/>
      <c r="E279" s="411"/>
      <c r="F279" s="411"/>
      <c r="G279" s="411"/>
      <c r="H279" s="411"/>
      <c r="I279" s="411"/>
      <c r="J279" s="411"/>
      <c r="K279" s="411"/>
      <c r="L279" s="411"/>
      <c r="M279" s="411"/>
      <c r="N279" s="411"/>
      <c r="O279" s="411"/>
      <c r="P279" s="411"/>
      <c r="Q279" s="492"/>
      <c r="R279" s="493"/>
      <c r="S279" s="458"/>
      <c r="T279" s="458"/>
      <c r="U279" s="458"/>
      <c r="V279" s="458"/>
      <c r="W279" s="458"/>
      <c r="Y279" s="706"/>
      <c r="Z279" s="411"/>
      <c r="AA279" s="411"/>
      <c r="AB279" s="411"/>
      <c r="AC279" s="411"/>
      <c r="AD279" s="411"/>
      <c r="AE279" s="411"/>
      <c r="AF279" s="411"/>
      <c r="AG279" s="412"/>
      <c r="AH279" s="494"/>
      <c r="AI279" s="494"/>
      <c r="AJ279" s="494"/>
      <c r="AK279" s="494"/>
      <c r="AL279" s="492"/>
    </row>
    <row r="281" spans="1:38" ht="29.1">
      <c r="A281" s="778" t="s">
        <v>14</v>
      </c>
      <c r="B281" s="780" t="s">
        <v>145</v>
      </c>
      <c r="C281" s="781"/>
      <c r="D281" s="782"/>
      <c r="E281" s="702"/>
      <c r="F281" s="702"/>
      <c r="G281" s="702"/>
      <c r="H281" s="702"/>
      <c r="I281" s="702"/>
      <c r="J281" s="702"/>
      <c r="K281" s="780" t="s">
        <v>146</v>
      </c>
      <c r="L281" s="781"/>
      <c r="M281" s="782"/>
      <c r="N281" s="778" t="s">
        <v>147</v>
      </c>
      <c r="O281" s="783" t="s">
        <v>148</v>
      </c>
      <c r="P281" s="783" t="s">
        <v>175</v>
      </c>
      <c r="Q281" s="700" t="s">
        <v>149</v>
      </c>
      <c r="R281" s="700" t="s">
        <v>150</v>
      </c>
      <c r="S281" s="785" t="s">
        <v>165</v>
      </c>
      <c r="T281" s="703"/>
      <c r="U281" s="703"/>
      <c r="V281" s="703"/>
      <c r="W281" s="785" t="s">
        <v>176</v>
      </c>
      <c r="Y281" s="787" t="s">
        <v>14</v>
      </c>
      <c r="Z281" s="789" t="s">
        <v>151</v>
      </c>
      <c r="AA281" s="790"/>
      <c r="AB281" s="791"/>
      <c r="AC281" s="789" t="s">
        <v>152</v>
      </c>
      <c r="AD281" s="791"/>
      <c r="AE281" s="789"/>
      <c r="AF281" s="791"/>
      <c r="AG281" s="412"/>
      <c r="AH281" s="773" t="s">
        <v>154</v>
      </c>
      <c r="AI281" s="774"/>
      <c r="AJ281" s="775"/>
      <c r="AK281" s="776" t="s">
        <v>155</v>
      </c>
      <c r="AL281" s="776" t="s">
        <v>166</v>
      </c>
    </row>
    <row r="282" spans="1:38">
      <c r="A282" s="779"/>
      <c r="B282" s="699" t="s">
        <v>156</v>
      </c>
      <c r="C282" s="699" t="s">
        <v>157</v>
      </c>
      <c r="D282" s="699" t="s">
        <v>158</v>
      </c>
      <c r="E282" s="699"/>
      <c r="F282" s="699"/>
      <c r="G282" s="699"/>
      <c r="H282" s="699"/>
      <c r="I282" s="699"/>
      <c r="J282" s="699"/>
      <c r="K282" s="699" t="s">
        <v>156</v>
      </c>
      <c r="L282" s="699" t="s">
        <v>157</v>
      </c>
      <c r="M282" s="699" t="s">
        <v>158</v>
      </c>
      <c r="N282" s="779"/>
      <c r="O282" s="784"/>
      <c r="P282" s="784"/>
      <c r="Q282" s="700"/>
      <c r="R282" s="700"/>
      <c r="S282" s="786"/>
      <c r="T282" s="704"/>
      <c r="U282" s="704"/>
      <c r="V282" s="704"/>
      <c r="W282" s="786"/>
      <c r="Y282" s="788"/>
      <c r="Z282" s="363" t="s">
        <v>145</v>
      </c>
      <c r="AA282" s="366" t="s">
        <v>159</v>
      </c>
      <c r="AB282" s="367" t="s">
        <v>160</v>
      </c>
      <c r="AC282" s="363" t="s">
        <v>145</v>
      </c>
      <c r="AD282" s="365" t="s">
        <v>160</v>
      </c>
      <c r="AE282" s="363" t="s">
        <v>145</v>
      </c>
      <c r="AF282" s="365" t="s">
        <v>160</v>
      </c>
      <c r="AG282" s="412"/>
      <c r="AH282" s="363" t="s">
        <v>156</v>
      </c>
      <c r="AI282" s="364" t="s">
        <v>157</v>
      </c>
      <c r="AJ282" s="365" t="s">
        <v>158</v>
      </c>
      <c r="AK282" s="777"/>
      <c r="AL282" s="777"/>
    </row>
    <row r="283" spans="1:38">
      <c r="A283" s="464">
        <v>44044</v>
      </c>
      <c r="B283" s="474">
        <v>3330</v>
      </c>
      <c r="C283" s="474">
        <v>107.75</v>
      </c>
      <c r="D283" s="474">
        <v>60</v>
      </c>
      <c r="E283" s="474"/>
      <c r="F283" s="474"/>
      <c r="G283" s="474"/>
      <c r="H283" s="474"/>
      <c r="I283" s="474"/>
      <c r="J283" s="474"/>
      <c r="K283" s="474">
        <f t="shared" ref="K283:K313" si="73">B283*6.21</f>
        <v>20679.3</v>
      </c>
      <c r="L283" s="474">
        <f>C283*53.65</f>
        <v>5780.7874999999995</v>
      </c>
      <c r="M283" s="474">
        <f t="shared" ref="M283:M313" si="74" xml:space="preserve"> (D283-(S283*25))*34+S283*2500</f>
        <v>2040</v>
      </c>
      <c r="N283" s="475">
        <v>26.5</v>
      </c>
      <c r="O283" s="476">
        <f t="shared" ref="O283:O313" si="75">K283+L283+M283</f>
        <v>28500.087499999998</v>
      </c>
      <c r="P283" s="477">
        <v>0.9234608985024958</v>
      </c>
      <c r="Q283" s="469">
        <v>9</v>
      </c>
      <c r="R283" s="470">
        <v>7.4999999999999997E-3</v>
      </c>
      <c r="S283" s="471">
        <v>0</v>
      </c>
      <c r="T283" s="471"/>
      <c r="U283" s="471"/>
      <c r="V283" s="471"/>
      <c r="W283" s="462"/>
      <c r="Y283" s="368">
        <f>A283</f>
        <v>44044</v>
      </c>
      <c r="Z283" s="429">
        <v>89</v>
      </c>
      <c r="AA283" s="393">
        <f t="shared" ref="AA283:AA313" si="76">Z283/B283</f>
        <v>2.6726726726726727E-2</v>
      </c>
      <c r="AB283" s="382">
        <f t="shared" ref="AB283:AB313" si="77">Z283*6.21</f>
        <v>552.68999999999994</v>
      </c>
      <c r="AC283" s="429">
        <v>0</v>
      </c>
      <c r="AD283" s="430">
        <f t="shared" ref="AD283:AD313" si="78">AC283*55.95</f>
        <v>0</v>
      </c>
      <c r="AE283" s="429"/>
      <c r="AF283" s="430">
        <f t="shared" ref="AF283:AF313" si="79">AE283*55.95</f>
        <v>0</v>
      </c>
      <c r="AG283" s="426"/>
      <c r="AH283" s="380">
        <f>$K$40-K283</f>
        <v>155735.78225806452</v>
      </c>
      <c r="AI283" s="381">
        <f>$L$40-L283</f>
        <v>49018.627822580645</v>
      </c>
      <c r="AJ283" s="382">
        <f t="shared" ref="AJ283:AJ313" si="80">$M$40-M283</f>
        <v>20788.051612903226</v>
      </c>
      <c r="AK283" s="394">
        <f t="shared" ref="AK283:AK290" si="81">AH283+AI283+AJ283</f>
        <v>225542.46169354839</v>
      </c>
      <c r="AL283" s="440">
        <v>0</v>
      </c>
    </row>
    <row r="284" spans="1:38">
      <c r="A284" s="464">
        <v>44045</v>
      </c>
      <c r="B284" s="474">
        <v>3464</v>
      </c>
      <c r="C284" s="474">
        <v>0</v>
      </c>
      <c r="D284" s="474">
        <v>80</v>
      </c>
      <c r="E284" s="474"/>
      <c r="F284" s="474"/>
      <c r="G284" s="474"/>
      <c r="H284" s="474"/>
      <c r="I284" s="474"/>
      <c r="J284" s="474"/>
      <c r="K284" s="474">
        <f t="shared" si="73"/>
        <v>21511.439999999999</v>
      </c>
      <c r="L284" s="474">
        <f t="shared" ref="L284:L313" si="82">C284*55.95</f>
        <v>0</v>
      </c>
      <c r="M284" s="474">
        <f t="shared" si="74"/>
        <v>2720</v>
      </c>
      <c r="N284" s="475">
        <v>27.5</v>
      </c>
      <c r="O284" s="476">
        <f t="shared" si="75"/>
        <v>24231.439999999999</v>
      </c>
      <c r="P284" s="477">
        <v>0.90918635170603679</v>
      </c>
      <c r="Q284" s="469">
        <v>9</v>
      </c>
      <c r="R284" s="470">
        <v>8.0000000000000002E-3</v>
      </c>
      <c r="S284" s="471">
        <v>0</v>
      </c>
      <c r="T284" s="471"/>
      <c r="U284" s="471"/>
      <c r="V284" s="471"/>
      <c r="W284" s="462"/>
      <c r="Y284" s="368">
        <f t="shared" ref="Y284:Y313" si="83">A284</f>
        <v>44045</v>
      </c>
      <c r="Z284" s="429">
        <v>126</v>
      </c>
      <c r="AA284" s="393">
        <f t="shared" si="76"/>
        <v>3.6374133949191687E-2</v>
      </c>
      <c r="AB284" s="382">
        <f t="shared" si="77"/>
        <v>782.46</v>
      </c>
      <c r="AC284" s="429">
        <v>0</v>
      </c>
      <c r="AD284" s="430">
        <f t="shared" si="78"/>
        <v>0</v>
      </c>
      <c r="AE284" s="429"/>
      <c r="AF284" s="430">
        <f t="shared" si="79"/>
        <v>0</v>
      </c>
      <c r="AG284" s="426"/>
      <c r="AH284" s="380">
        <f>$K$40-K284</f>
        <v>154903.6422580645</v>
      </c>
      <c r="AI284" s="381">
        <f>$L$40-L284</f>
        <v>54799.415322580644</v>
      </c>
      <c r="AJ284" s="382">
        <f t="shared" si="80"/>
        <v>20108.051612903226</v>
      </c>
      <c r="AK284" s="394">
        <f t="shared" si="81"/>
        <v>229811.10919354836</v>
      </c>
      <c r="AL284" s="440">
        <v>10</v>
      </c>
    </row>
    <row r="285" spans="1:38">
      <c r="A285" s="464">
        <v>44046</v>
      </c>
      <c r="B285" s="474">
        <v>3628</v>
      </c>
      <c r="C285" s="474">
        <v>0</v>
      </c>
      <c r="D285" s="474">
        <v>30</v>
      </c>
      <c r="E285" s="474"/>
      <c r="F285" s="474"/>
      <c r="G285" s="474"/>
      <c r="H285" s="474"/>
      <c r="I285" s="474"/>
      <c r="J285" s="474"/>
      <c r="K285" s="474">
        <f t="shared" si="73"/>
        <v>22529.88</v>
      </c>
      <c r="L285" s="474">
        <f t="shared" si="82"/>
        <v>0</v>
      </c>
      <c r="M285" s="474">
        <f t="shared" si="74"/>
        <v>1020</v>
      </c>
      <c r="N285" s="475">
        <v>28.5</v>
      </c>
      <c r="O285" s="476">
        <f t="shared" si="75"/>
        <v>23549.88</v>
      </c>
      <c r="P285" s="477">
        <v>0.9106425702811245</v>
      </c>
      <c r="Q285" s="469">
        <v>9</v>
      </c>
      <c r="R285" s="470">
        <v>8.0000000000000002E-3</v>
      </c>
      <c r="S285" s="471">
        <v>0</v>
      </c>
      <c r="T285" s="471"/>
      <c r="U285" s="471"/>
      <c r="V285" s="471"/>
      <c r="W285" s="462"/>
      <c r="Y285" s="368">
        <f t="shared" si="83"/>
        <v>44046</v>
      </c>
      <c r="Z285" s="429">
        <v>45</v>
      </c>
      <c r="AA285" s="393">
        <f t="shared" si="76"/>
        <v>1.2403528114663727E-2</v>
      </c>
      <c r="AB285" s="382">
        <f t="shared" si="77"/>
        <v>279.45</v>
      </c>
      <c r="AC285" s="429">
        <v>0</v>
      </c>
      <c r="AD285" s="430">
        <f t="shared" si="78"/>
        <v>0</v>
      </c>
      <c r="AE285" s="429"/>
      <c r="AF285" s="430">
        <f t="shared" si="79"/>
        <v>0</v>
      </c>
      <c r="AG285" s="426"/>
      <c r="AH285" s="380">
        <f>$K$40-K285</f>
        <v>153885.2022580645</v>
      </c>
      <c r="AI285" s="381">
        <f>$L$40-L285</f>
        <v>54799.415322580644</v>
      </c>
      <c r="AJ285" s="382">
        <f t="shared" si="80"/>
        <v>21808.051612903226</v>
      </c>
      <c r="AK285" s="394">
        <f t="shared" si="81"/>
        <v>230492.66919354835</v>
      </c>
      <c r="AL285" s="440">
        <v>6</v>
      </c>
    </row>
    <row r="286" spans="1:38">
      <c r="A286" s="464">
        <v>44047</v>
      </c>
      <c r="B286" s="474">
        <v>3421</v>
      </c>
      <c r="C286" s="474">
        <v>107.75</v>
      </c>
      <c r="D286" s="474">
        <v>60</v>
      </c>
      <c r="E286" s="474"/>
      <c r="F286" s="474"/>
      <c r="G286" s="474"/>
      <c r="H286" s="474"/>
      <c r="I286" s="474"/>
      <c r="J286" s="474"/>
      <c r="K286" s="474">
        <f t="shared" si="73"/>
        <v>21244.41</v>
      </c>
      <c r="L286" s="474">
        <f t="shared" si="82"/>
        <v>6028.6125000000002</v>
      </c>
      <c r="M286" s="474">
        <f t="shared" si="74"/>
        <v>2040</v>
      </c>
      <c r="N286" s="475">
        <v>29.5</v>
      </c>
      <c r="O286" s="476">
        <f t="shared" si="75"/>
        <v>29313.022499999999</v>
      </c>
      <c r="P286" s="477">
        <v>0.90263852242744058</v>
      </c>
      <c r="Q286" s="469">
        <v>9</v>
      </c>
      <c r="R286" s="470">
        <v>8.0000000000000002E-3</v>
      </c>
      <c r="S286" s="471">
        <v>0</v>
      </c>
      <c r="T286" s="471"/>
      <c r="U286" s="471"/>
      <c r="V286" s="471"/>
      <c r="W286" s="462"/>
      <c r="Y286" s="368">
        <f t="shared" si="83"/>
        <v>44047</v>
      </c>
      <c r="Z286" s="429">
        <v>45</v>
      </c>
      <c r="AA286" s="393">
        <f t="shared" si="76"/>
        <v>1.3154048523823443E-2</v>
      </c>
      <c r="AB286" s="382">
        <f t="shared" si="77"/>
        <v>279.45</v>
      </c>
      <c r="AC286" s="429">
        <v>0</v>
      </c>
      <c r="AD286" s="430">
        <f t="shared" si="78"/>
        <v>0</v>
      </c>
      <c r="AE286" s="429"/>
      <c r="AF286" s="430">
        <f t="shared" si="79"/>
        <v>0</v>
      </c>
      <c r="AG286" s="426"/>
      <c r="AH286" s="380">
        <f>$K$40-K286</f>
        <v>155170.6722580645</v>
      </c>
      <c r="AI286" s="381">
        <f>$L$40-L286</f>
        <v>48770.802822580641</v>
      </c>
      <c r="AJ286" s="382">
        <f t="shared" si="80"/>
        <v>20788.051612903226</v>
      </c>
      <c r="AK286" s="394">
        <f t="shared" si="81"/>
        <v>224729.52669354837</v>
      </c>
      <c r="AL286" s="440">
        <v>5</v>
      </c>
    </row>
    <row r="287" spans="1:38" ht="16.5" customHeight="1">
      <c r="A287" s="464">
        <v>44048</v>
      </c>
      <c r="B287" s="474">
        <v>3573</v>
      </c>
      <c r="C287" s="474">
        <v>0</v>
      </c>
      <c r="D287" s="474">
        <v>60</v>
      </c>
      <c r="E287" s="474"/>
      <c r="F287" s="474"/>
      <c r="G287" s="474"/>
      <c r="H287" s="474"/>
      <c r="I287" s="474"/>
      <c r="J287" s="474"/>
      <c r="K287" s="474">
        <f t="shared" si="73"/>
        <v>22188.329999999998</v>
      </c>
      <c r="L287" s="474">
        <f t="shared" si="82"/>
        <v>0</v>
      </c>
      <c r="M287" s="474">
        <f t="shared" si="74"/>
        <v>2040</v>
      </c>
      <c r="N287" s="475">
        <v>30.5</v>
      </c>
      <c r="O287" s="476">
        <f t="shared" si="75"/>
        <v>24228.329999999998</v>
      </c>
      <c r="P287" s="477">
        <v>0.9040991902834008</v>
      </c>
      <c r="Q287" s="469">
        <v>9</v>
      </c>
      <c r="R287" s="470">
        <v>8.0000000000000002E-3</v>
      </c>
      <c r="S287" s="471">
        <v>0</v>
      </c>
      <c r="T287" s="471"/>
      <c r="U287" s="471"/>
      <c r="V287" s="471"/>
      <c r="W287" s="462"/>
      <c r="Y287" s="368">
        <f t="shared" si="83"/>
        <v>44048</v>
      </c>
      <c r="Z287" s="429">
        <v>48</v>
      </c>
      <c r="AA287" s="393">
        <f t="shared" si="76"/>
        <v>1.343408900083963E-2</v>
      </c>
      <c r="AB287" s="382">
        <f t="shared" si="77"/>
        <v>298.08</v>
      </c>
      <c r="AC287" s="429">
        <v>0</v>
      </c>
      <c r="AD287" s="430">
        <f t="shared" si="78"/>
        <v>0</v>
      </c>
      <c r="AE287" s="429"/>
      <c r="AF287" s="430">
        <f t="shared" si="79"/>
        <v>0</v>
      </c>
      <c r="AG287" s="426"/>
      <c r="AH287" s="380">
        <f t="shared" ref="AH287:AH313" si="84">$K$40-K287</f>
        <v>154226.75225806452</v>
      </c>
      <c r="AI287" s="381">
        <f t="shared" ref="AI287:AI313" si="85">$L$40-L287</f>
        <v>54799.415322580644</v>
      </c>
      <c r="AJ287" s="382">
        <f t="shared" si="80"/>
        <v>20788.051612903226</v>
      </c>
      <c r="AK287" s="394">
        <f t="shared" si="81"/>
        <v>229814.21919354837</v>
      </c>
      <c r="AL287" s="440">
        <v>0</v>
      </c>
    </row>
    <row r="288" spans="1:38">
      <c r="A288" s="464">
        <v>44049</v>
      </c>
      <c r="B288" s="474">
        <v>3563</v>
      </c>
      <c r="C288" s="474">
        <v>0</v>
      </c>
      <c r="D288" s="474">
        <v>70</v>
      </c>
      <c r="E288" s="474"/>
      <c r="F288" s="474"/>
      <c r="G288" s="474"/>
      <c r="H288" s="474"/>
      <c r="I288" s="474"/>
      <c r="J288" s="474"/>
      <c r="K288" s="474">
        <f t="shared" si="73"/>
        <v>22126.23</v>
      </c>
      <c r="L288" s="474">
        <f t="shared" si="82"/>
        <v>0</v>
      </c>
      <c r="M288" s="474">
        <f t="shared" si="74"/>
        <v>2380</v>
      </c>
      <c r="N288" s="475">
        <v>31.5</v>
      </c>
      <c r="O288" s="476">
        <f t="shared" si="75"/>
        <v>24506.23</v>
      </c>
      <c r="P288" s="477">
        <v>0.91476251604621306</v>
      </c>
      <c r="Q288" s="469">
        <v>9</v>
      </c>
      <c r="R288" s="470">
        <v>8.0000000000000002E-3</v>
      </c>
      <c r="S288" s="471">
        <v>0</v>
      </c>
      <c r="T288" s="471"/>
      <c r="U288" s="471"/>
      <c r="V288" s="471"/>
      <c r="W288" s="462"/>
      <c r="Y288" s="368">
        <f t="shared" si="83"/>
        <v>44049</v>
      </c>
      <c r="Z288" s="429">
        <v>34</v>
      </c>
      <c r="AA288" s="393">
        <f t="shared" si="76"/>
        <v>9.542520348021331E-3</v>
      </c>
      <c r="AB288" s="382">
        <f t="shared" si="77"/>
        <v>211.14</v>
      </c>
      <c r="AC288" s="429">
        <v>0</v>
      </c>
      <c r="AD288" s="430">
        <f t="shared" si="78"/>
        <v>0</v>
      </c>
      <c r="AE288" s="429"/>
      <c r="AF288" s="430">
        <f t="shared" si="79"/>
        <v>0</v>
      </c>
      <c r="AG288" s="426"/>
      <c r="AH288" s="380">
        <f t="shared" si="84"/>
        <v>154288.85225806449</v>
      </c>
      <c r="AI288" s="381">
        <f t="shared" si="85"/>
        <v>54799.415322580644</v>
      </c>
      <c r="AJ288" s="382">
        <f t="shared" si="80"/>
        <v>20448.051612903226</v>
      </c>
      <c r="AK288" s="394">
        <f t="shared" si="81"/>
        <v>229536.31919354835</v>
      </c>
      <c r="AL288" s="440">
        <v>12</v>
      </c>
    </row>
    <row r="289" spans="1:38" ht="29.25" customHeight="1">
      <c r="A289" s="464">
        <v>44050</v>
      </c>
      <c r="B289" s="474">
        <v>3474</v>
      </c>
      <c r="C289" s="474">
        <v>0</v>
      </c>
      <c r="D289" s="474">
        <v>80</v>
      </c>
      <c r="E289" s="474"/>
      <c r="F289" s="474"/>
      <c r="G289" s="474"/>
      <c r="H289" s="474"/>
      <c r="I289" s="474"/>
      <c r="J289" s="474"/>
      <c r="K289" s="474">
        <f t="shared" si="73"/>
        <v>21573.54</v>
      </c>
      <c r="L289" s="474">
        <f t="shared" si="82"/>
        <v>0</v>
      </c>
      <c r="M289" s="474">
        <f t="shared" si="74"/>
        <v>2720</v>
      </c>
      <c r="N289" s="475">
        <v>32.5</v>
      </c>
      <c r="O289" s="476">
        <f t="shared" si="75"/>
        <v>24293.54</v>
      </c>
      <c r="P289" s="477">
        <v>0.91493284171714506</v>
      </c>
      <c r="Q289" s="469">
        <v>9</v>
      </c>
      <c r="R289" s="470">
        <v>8.0000000000000002E-3</v>
      </c>
      <c r="S289" s="471">
        <v>0</v>
      </c>
      <c r="T289" s="471"/>
      <c r="U289" s="471"/>
      <c r="V289" s="471"/>
      <c r="W289" s="462"/>
      <c r="Y289" s="368">
        <f t="shared" si="83"/>
        <v>44050</v>
      </c>
      <c r="Z289" s="429">
        <v>57</v>
      </c>
      <c r="AA289" s="393">
        <f t="shared" si="76"/>
        <v>1.6407599309153715E-2</v>
      </c>
      <c r="AB289" s="382">
        <f t="shared" si="77"/>
        <v>353.96999999999997</v>
      </c>
      <c r="AC289" s="429">
        <v>0</v>
      </c>
      <c r="AD289" s="430">
        <f t="shared" si="78"/>
        <v>0</v>
      </c>
      <c r="AE289" s="429"/>
      <c r="AF289" s="430">
        <f t="shared" si="79"/>
        <v>0</v>
      </c>
      <c r="AG289" s="426"/>
      <c r="AH289" s="380">
        <f t="shared" si="84"/>
        <v>154841.5422580645</v>
      </c>
      <c r="AI289" s="381">
        <f t="shared" si="85"/>
        <v>54799.415322580644</v>
      </c>
      <c r="AJ289" s="382">
        <f t="shared" si="80"/>
        <v>20108.051612903226</v>
      </c>
      <c r="AK289" s="394">
        <f t="shared" si="81"/>
        <v>229749.00919354835</v>
      </c>
      <c r="AL289" s="440">
        <v>0</v>
      </c>
    </row>
    <row r="290" spans="1:38">
      <c r="A290" s="464">
        <v>44051</v>
      </c>
      <c r="B290" s="474">
        <v>3523</v>
      </c>
      <c r="C290" s="474">
        <v>60.75</v>
      </c>
      <c r="D290" s="474">
        <v>110</v>
      </c>
      <c r="E290" s="474"/>
      <c r="F290" s="474"/>
      <c r="G290" s="474"/>
      <c r="H290" s="474"/>
      <c r="I290" s="474"/>
      <c r="J290" s="474"/>
      <c r="K290" s="474">
        <f t="shared" si="73"/>
        <v>21877.829999999998</v>
      </c>
      <c r="L290" s="474">
        <f t="shared" si="82"/>
        <v>3398.9625000000001</v>
      </c>
      <c r="M290" s="474">
        <f t="shared" si="74"/>
        <v>3740</v>
      </c>
      <c r="N290" s="475">
        <v>33.5</v>
      </c>
      <c r="O290" s="476">
        <f t="shared" si="75"/>
        <v>29016.7925</v>
      </c>
      <c r="P290" s="477">
        <v>0.90287032291132752</v>
      </c>
      <c r="Q290" s="469">
        <v>9</v>
      </c>
      <c r="R290" s="470">
        <v>8.0000000000000002E-3</v>
      </c>
      <c r="S290" s="471">
        <v>0</v>
      </c>
      <c r="T290" s="471"/>
      <c r="U290" s="471"/>
      <c r="V290" s="471"/>
      <c r="W290" s="462" t="s">
        <v>212</v>
      </c>
      <c r="Y290" s="368">
        <f t="shared" si="83"/>
        <v>44051</v>
      </c>
      <c r="Z290" s="429">
        <v>16</v>
      </c>
      <c r="AA290" s="393">
        <f t="shared" si="76"/>
        <v>4.5415838773772352E-3</v>
      </c>
      <c r="AB290" s="382">
        <f t="shared" si="77"/>
        <v>99.36</v>
      </c>
      <c r="AC290" s="429">
        <v>0</v>
      </c>
      <c r="AD290" s="430">
        <f t="shared" si="78"/>
        <v>0</v>
      </c>
      <c r="AE290" s="429"/>
      <c r="AF290" s="430">
        <f t="shared" si="79"/>
        <v>0</v>
      </c>
      <c r="AG290" s="426"/>
      <c r="AH290" s="380">
        <f t="shared" si="84"/>
        <v>154537.25225806452</v>
      </c>
      <c r="AI290" s="381">
        <f t="shared" si="85"/>
        <v>51400.452822580643</v>
      </c>
      <c r="AJ290" s="382">
        <f t="shared" si="80"/>
        <v>19088.051612903226</v>
      </c>
      <c r="AK290" s="394">
        <f t="shared" si="81"/>
        <v>225025.75669354838</v>
      </c>
      <c r="AL290" s="440">
        <v>0</v>
      </c>
    </row>
    <row r="291" spans="1:38">
      <c r="A291" s="464">
        <v>44052</v>
      </c>
      <c r="B291" s="474">
        <v>3470</v>
      </c>
      <c r="C291" s="474">
        <v>0</v>
      </c>
      <c r="D291" s="474">
        <v>60</v>
      </c>
      <c r="E291" s="474"/>
      <c r="F291" s="474"/>
      <c r="G291" s="474"/>
      <c r="H291" s="474"/>
      <c r="I291" s="474"/>
      <c r="J291" s="474"/>
      <c r="K291" s="474">
        <f t="shared" si="73"/>
        <v>21548.7</v>
      </c>
      <c r="L291" s="474">
        <f t="shared" si="82"/>
        <v>0</v>
      </c>
      <c r="M291" s="474">
        <f t="shared" si="74"/>
        <v>2040</v>
      </c>
      <c r="N291" s="475">
        <v>34.5</v>
      </c>
      <c r="O291" s="476">
        <f t="shared" si="75"/>
        <v>23588.7</v>
      </c>
      <c r="P291" s="477">
        <v>0.92164674634794153</v>
      </c>
      <c r="Q291" s="469">
        <v>9</v>
      </c>
      <c r="R291" s="470">
        <v>8.0000000000000002E-3</v>
      </c>
      <c r="S291" s="471">
        <v>0</v>
      </c>
      <c r="T291" s="471"/>
      <c r="U291" s="471"/>
      <c r="V291" s="471"/>
      <c r="W291" s="462"/>
      <c r="Y291" s="368">
        <f t="shared" si="83"/>
        <v>44052</v>
      </c>
      <c r="Z291" s="429">
        <v>66</v>
      </c>
      <c r="AA291" s="393">
        <f t="shared" si="76"/>
        <v>1.9020172910662825E-2</v>
      </c>
      <c r="AB291" s="382">
        <f t="shared" si="77"/>
        <v>409.86</v>
      </c>
      <c r="AC291" s="429">
        <v>0</v>
      </c>
      <c r="AD291" s="430">
        <f t="shared" si="78"/>
        <v>0</v>
      </c>
      <c r="AE291" s="429"/>
      <c r="AF291" s="430">
        <f t="shared" si="79"/>
        <v>0</v>
      </c>
      <c r="AG291" s="426"/>
      <c r="AH291" s="380">
        <f t="shared" si="84"/>
        <v>154866.38225806449</v>
      </c>
      <c r="AI291" s="381">
        <f t="shared" si="85"/>
        <v>54799.415322580644</v>
      </c>
      <c r="AJ291" s="382">
        <f t="shared" si="80"/>
        <v>20788.051612903226</v>
      </c>
      <c r="AK291" s="394">
        <f>AH291+AI291+AJ291</f>
        <v>230453.84919354835</v>
      </c>
      <c r="AL291" s="440">
        <v>5</v>
      </c>
    </row>
    <row r="292" spans="1:38">
      <c r="A292" s="464">
        <v>44053</v>
      </c>
      <c r="B292" s="474">
        <v>3831</v>
      </c>
      <c r="C292" s="474">
        <v>0</v>
      </c>
      <c r="D292" s="474">
        <v>70</v>
      </c>
      <c r="E292" s="474"/>
      <c r="F292" s="474"/>
      <c r="G292" s="474"/>
      <c r="H292" s="474"/>
      <c r="I292" s="474"/>
      <c r="J292" s="474"/>
      <c r="K292" s="474">
        <f t="shared" si="73"/>
        <v>23790.51</v>
      </c>
      <c r="L292" s="474">
        <f t="shared" si="82"/>
        <v>0</v>
      </c>
      <c r="M292" s="474">
        <f t="shared" si="74"/>
        <v>2380</v>
      </c>
      <c r="N292" s="475">
        <v>35.5</v>
      </c>
      <c r="O292" s="476">
        <f t="shared" si="75"/>
        <v>26170.51</v>
      </c>
      <c r="P292" s="477">
        <v>0.92335502530730296</v>
      </c>
      <c r="Q292" s="469">
        <v>9</v>
      </c>
      <c r="R292" s="470">
        <v>8.0000000000000002E-3</v>
      </c>
      <c r="S292" s="471">
        <v>0</v>
      </c>
      <c r="T292" s="471"/>
      <c r="U292" s="471"/>
      <c r="V292" s="471"/>
      <c r="W292" s="462"/>
      <c r="Y292" s="368">
        <f t="shared" si="83"/>
        <v>44053</v>
      </c>
      <c r="Z292" s="429">
        <v>44</v>
      </c>
      <c r="AA292" s="393">
        <f t="shared" si="76"/>
        <v>1.1485251892456277E-2</v>
      </c>
      <c r="AB292" s="382">
        <f t="shared" si="77"/>
        <v>273.24</v>
      </c>
      <c r="AC292" s="429">
        <v>0</v>
      </c>
      <c r="AD292" s="430">
        <f t="shared" si="78"/>
        <v>0</v>
      </c>
      <c r="AE292" s="429"/>
      <c r="AF292" s="430">
        <f t="shared" si="79"/>
        <v>0</v>
      </c>
      <c r="AG292" s="426"/>
      <c r="AH292" s="380">
        <f t="shared" si="84"/>
        <v>152624.57225806449</v>
      </c>
      <c r="AI292" s="381">
        <f t="shared" si="85"/>
        <v>54799.415322580644</v>
      </c>
      <c r="AJ292" s="382">
        <f t="shared" si="80"/>
        <v>20448.051612903226</v>
      </c>
      <c r="AK292" s="394">
        <f t="shared" ref="AK292:AK313" si="86">AH292+AI292+AJ292</f>
        <v>227872.03919354835</v>
      </c>
      <c r="AL292" s="440">
        <v>5</v>
      </c>
    </row>
    <row r="293" spans="1:38">
      <c r="A293" s="464">
        <v>44054</v>
      </c>
      <c r="B293" s="474">
        <v>3534</v>
      </c>
      <c r="C293" s="474">
        <v>0</v>
      </c>
      <c r="D293" s="474">
        <v>80</v>
      </c>
      <c r="E293" s="474"/>
      <c r="F293" s="474"/>
      <c r="G293" s="474"/>
      <c r="H293" s="474"/>
      <c r="I293" s="474"/>
      <c r="J293" s="474"/>
      <c r="K293" s="474">
        <f t="shared" si="73"/>
        <v>21946.14</v>
      </c>
      <c r="L293" s="474">
        <f t="shared" si="82"/>
        <v>0</v>
      </c>
      <c r="M293" s="474">
        <f t="shared" si="74"/>
        <v>2720</v>
      </c>
      <c r="N293" s="475">
        <v>36.5</v>
      </c>
      <c r="O293" s="476">
        <f t="shared" si="75"/>
        <v>24666.14</v>
      </c>
      <c r="P293" s="477">
        <v>0.91887675507020283</v>
      </c>
      <c r="Q293" s="469">
        <v>9</v>
      </c>
      <c r="R293" s="470">
        <v>8.0000000000000002E-3</v>
      </c>
      <c r="S293" s="471">
        <v>0</v>
      </c>
      <c r="T293" s="471"/>
      <c r="U293" s="471"/>
      <c r="V293" s="471"/>
      <c r="W293" s="462"/>
      <c r="Y293" s="368">
        <f t="shared" si="83"/>
        <v>44054</v>
      </c>
      <c r="Z293" s="429">
        <v>61</v>
      </c>
      <c r="AA293" s="393">
        <f t="shared" si="76"/>
        <v>1.7260894170911149E-2</v>
      </c>
      <c r="AB293" s="382">
        <f t="shared" si="77"/>
        <v>378.81</v>
      </c>
      <c r="AC293" s="429">
        <v>0</v>
      </c>
      <c r="AD293" s="430">
        <f t="shared" si="78"/>
        <v>0</v>
      </c>
      <c r="AE293" s="429"/>
      <c r="AF293" s="430">
        <f t="shared" si="79"/>
        <v>0</v>
      </c>
      <c r="AG293" s="412"/>
      <c r="AH293" s="380">
        <f t="shared" si="84"/>
        <v>154468.94225806452</v>
      </c>
      <c r="AI293" s="381">
        <f t="shared" si="85"/>
        <v>54799.415322580644</v>
      </c>
      <c r="AJ293" s="382">
        <f t="shared" si="80"/>
        <v>20108.051612903226</v>
      </c>
      <c r="AK293" s="394">
        <f t="shared" si="86"/>
        <v>229376.40919354837</v>
      </c>
      <c r="AL293" s="440">
        <v>9</v>
      </c>
    </row>
    <row r="294" spans="1:38" ht="29.1">
      <c r="A294" s="464">
        <v>44055</v>
      </c>
      <c r="B294" s="474">
        <v>3986</v>
      </c>
      <c r="C294" s="474">
        <v>107.75</v>
      </c>
      <c r="D294" s="474">
        <v>90</v>
      </c>
      <c r="E294" s="474"/>
      <c r="F294" s="474"/>
      <c r="G294" s="474"/>
      <c r="H294" s="474"/>
      <c r="I294" s="474"/>
      <c r="J294" s="474"/>
      <c r="K294" s="474">
        <f t="shared" si="73"/>
        <v>24753.06</v>
      </c>
      <c r="L294" s="474">
        <f t="shared" si="82"/>
        <v>6028.6125000000002</v>
      </c>
      <c r="M294" s="474">
        <f t="shared" si="74"/>
        <v>3060</v>
      </c>
      <c r="N294" s="475">
        <v>37.5</v>
      </c>
      <c r="O294" s="476">
        <f t="shared" si="75"/>
        <v>33841.672500000001</v>
      </c>
      <c r="P294" s="477">
        <v>0.93130841121495322</v>
      </c>
      <c r="Q294" s="469">
        <v>9</v>
      </c>
      <c r="R294" s="470">
        <v>8.0000000000000002E-3</v>
      </c>
      <c r="S294" s="471">
        <v>0</v>
      </c>
      <c r="T294" s="471"/>
      <c r="U294" s="471"/>
      <c r="V294" s="471"/>
      <c r="W294" s="463" t="s">
        <v>213</v>
      </c>
      <c r="Y294" s="368">
        <f t="shared" si="83"/>
        <v>44055</v>
      </c>
      <c r="Z294" s="429">
        <v>64</v>
      </c>
      <c r="AA294" s="393">
        <f t="shared" si="76"/>
        <v>1.6056196688409432E-2</v>
      </c>
      <c r="AB294" s="382">
        <f t="shared" si="77"/>
        <v>397.44</v>
      </c>
      <c r="AC294" s="429">
        <v>158.1</v>
      </c>
      <c r="AD294" s="430">
        <f t="shared" si="78"/>
        <v>8845.6949999999997</v>
      </c>
      <c r="AE294" s="429"/>
      <c r="AF294" s="430">
        <f t="shared" si="79"/>
        <v>0</v>
      </c>
      <c r="AG294" s="412"/>
      <c r="AH294" s="380">
        <f t="shared" si="84"/>
        <v>151662.02225806451</v>
      </c>
      <c r="AI294" s="381">
        <f t="shared" si="85"/>
        <v>48770.802822580641</v>
      </c>
      <c r="AJ294" s="382">
        <f t="shared" si="80"/>
        <v>19768.051612903226</v>
      </c>
      <c r="AK294" s="394">
        <f t="shared" si="86"/>
        <v>220200.87669354837</v>
      </c>
      <c r="AL294" s="440">
        <v>0</v>
      </c>
    </row>
    <row r="295" spans="1:38" ht="43.5">
      <c r="A295" s="433">
        <v>44056</v>
      </c>
      <c r="B295" s="479">
        <v>4064</v>
      </c>
      <c r="C295" s="474">
        <v>323.25</v>
      </c>
      <c r="D295" s="479">
        <v>120</v>
      </c>
      <c r="E295" s="479"/>
      <c r="F295" s="479"/>
      <c r="G295" s="479"/>
      <c r="H295" s="479"/>
      <c r="I295" s="479"/>
      <c r="J295" s="479"/>
      <c r="K295" s="479">
        <f t="shared" si="73"/>
        <v>25237.439999999999</v>
      </c>
      <c r="L295" s="479">
        <f t="shared" si="82"/>
        <v>18085.837500000001</v>
      </c>
      <c r="M295" s="479">
        <f t="shared" si="74"/>
        <v>4080</v>
      </c>
      <c r="N295" s="480">
        <v>38.5</v>
      </c>
      <c r="O295" s="481">
        <f t="shared" si="75"/>
        <v>47403.277499999997</v>
      </c>
      <c r="P295" s="482">
        <v>0.92637337588329149</v>
      </c>
      <c r="Q295" s="437">
        <v>9</v>
      </c>
      <c r="R295" s="438">
        <v>8.0000000000000002E-3</v>
      </c>
      <c r="S295" s="439">
        <v>0</v>
      </c>
      <c r="T295" s="439"/>
      <c r="U295" s="439"/>
      <c r="V295" s="439"/>
      <c r="W295" s="463" t="s">
        <v>214</v>
      </c>
      <c r="Y295" s="368">
        <f t="shared" si="83"/>
        <v>44056</v>
      </c>
      <c r="Z295" s="429">
        <v>65</v>
      </c>
      <c r="AA295" s="393">
        <f t="shared" si="76"/>
        <v>1.5994094488188976E-2</v>
      </c>
      <c r="AB295" s="382">
        <f t="shared" si="77"/>
        <v>403.65</v>
      </c>
      <c r="AC295" s="429">
        <v>93</v>
      </c>
      <c r="AD295" s="430">
        <f t="shared" si="78"/>
        <v>5203.3500000000004</v>
      </c>
      <c r="AE295" s="429"/>
      <c r="AF295" s="430">
        <f t="shared" si="79"/>
        <v>0</v>
      </c>
      <c r="AG295" s="412"/>
      <c r="AH295" s="380">
        <f t="shared" si="84"/>
        <v>151177.6422580645</v>
      </c>
      <c r="AI295" s="381">
        <f t="shared" si="85"/>
        <v>36713.577822580643</v>
      </c>
      <c r="AJ295" s="382">
        <f t="shared" si="80"/>
        <v>18748.051612903226</v>
      </c>
      <c r="AK295" s="394">
        <f t="shared" si="86"/>
        <v>206639.27169354836</v>
      </c>
      <c r="AL295" s="440">
        <v>0</v>
      </c>
    </row>
    <row r="296" spans="1:38">
      <c r="A296" s="433">
        <v>44057</v>
      </c>
      <c r="B296" s="479">
        <v>3728</v>
      </c>
      <c r="C296" s="474">
        <v>0</v>
      </c>
      <c r="D296" s="479">
        <v>60</v>
      </c>
      <c r="E296" s="479"/>
      <c r="F296" s="479"/>
      <c r="G296" s="479"/>
      <c r="H296" s="479"/>
      <c r="I296" s="479"/>
      <c r="J296" s="479"/>
      <c r="K296" s="479">
        <f t="shared" si="73"/>
        <v>23150.880000000001</v>
      </c>
      <c r="L296" s="479">
        <f t="shared" si="82"/>
        <v>0</v>
      </c>
      <c r="M296" s="479">
        <f t="shared" si="74"/>
        <v>2040</v>
      </c>
      <c r="N296" s="480">
        <v>39.5</v>
      </c>
      <c r="O296" s="481">
        <f t="shared" si="75"/>
        <v>25190.880000000001</v>
      </c>
      <c r="P296" s="482">
        <v>0.92713255409102213</v>
      </c>
      <c r="Q296" s="437">
        <v>9</v>
      </c>
      <c r="R296" s="438">
        <v>8.0000000000000002E-3</v>
      </c>
      <c r="S296" s="439">
        <v>0</v>
      </c>
      <c r="T296" s="439"/>
      <c r="U296" s="439"/>
      <c r="V296" s="439"/>
      <c r="W296" s="463"/>
      <c r="Y296" s="368">
        <f t="shared" si="83"/>
        <v>44057</v>
      </c>
      <c r="Z296" s="429">
        <v>124</v>
      </c>
      <c r="AA296" s="393">
        <f t="shared" si="76"/>
        <v>3.3261802575107295E-2</v>
      </c>
      <c r="AB296" s="382">
        <f t="shared" si="77"/>
        <v>770.04</v>
      </c>
      <c r="AC296" s="429">
        <v>0</v>
      </c>
      <c r="AD296" s="430">
        <f t="shared" si="78"/>
        <v>0</v>
      </c>
      <c r="AE296" s="429"/>
      <c r="AF296" s="430">
        <f t="shared" si="79"/>
        <v>0</v>
      </c>
      <c r="AG296" s="412"/>
      <c r="AH296" s="380">
        <f t="shared" si="84"/>
        <v>153264.2022580645</v>
      </c>
      <c r="AI296" s="381">
        <f t="shared" si="85"/>
        <v>54799.415322580644</v>
      </c>
      <c r="AJ296" s="382">
        <f t="shared" si="80"/>
        <v>20788.051612903226</v>
      </c>
      <c r="AK296" s="394">
        <f t="shared" si="86"/>
        <v>228851.66919354835</v>
      </c>
      <c r="AL296" s="440">
        <v>0</v>
      </c>
    </row>
    <row r="297" spans="1:38">
      <c r="A297" s="433">
        <v>44058</v>
      </c>
      <c r="B297" s="474">
        <v>3470</v>
      </c>
      <c r="C297" s="474">
        <v>0</v>
      </c>
      <c r="D297" s="474">
        <v>60</v>
      </c>
      <c r="E297" s="474"/>
      <c r="F297" s="474"/>
      <c r="G297" s="474"/>
      <c r="H297" s="474"/>
      <c r="I297" s="474"/>
      <c r="J297" s="474"/>
      <c r="K297" s="474">
        <f t="shared" si="73"/>
        <v>21548.7</v>
      </c>
      <c r="L297" s="474">
        <f t="shared" si="82"/>
        <v>0</v>
      </c>
      <c r="M297" s="474">
        <f t="shared" si="74"/>
        <v>2040</v>
      </c>
      <c r="N297" s="475">
        <v>40.5</v>
      </c>
      <c r="O297" s="476">
        <f t="shared" si="75"/>
        <v>23588.7</v>
      </c>
      <c r="P297" s="477">
        <v>0.92066861236402231</v>
      </c>
      <c r="Q297" s="469">
        <v>9</v>
      </c>
      <c r="R297" s="470">
        <v>8.0000000000000002E-3</v>
      </c>
      <c r="S297" s="471">
        <v>0</v>
      </c>
      <c r="T297" s="471"/>
      <c r="U297" s="471"/>
      <c r="V297" s="471"/>
      <c r="W297" s="463"/>
      <c r="Y297" s="368">
        <f t="shared" si="83"/>
        <v>44058</v>
      </c>
      <c r="Z297" s="429">
        <v>139</v>
      </c>
      <c r="AA297" s="393">
        <f t="shared" si="76"/>
        <v>4.0057636887608071E-2</v>
      </c>
      <c r="AB297" s="382">
        <f t="shared" si="77"/>
        <v>863.18999999999994</v>
      </c>
      <c r="AC297" s="429">
        <v>0</v>
      </c>
      <c r="AD297" s="430">
        <f t="shared" si="78"/>
        <v>0</v>
      </c>
      <c r="AE297" s="429"/>
      <c r="AF297" s="430">
        <f t="shared" si="79"/>
        <v>0</v>
      </c>
      <c r="AG297" s="412"/>
      <c r="AH297" s="380">
        <f t="shared" si="84"/>
        <v>154866.38225806449</v>
      </c>
      <c r="AI297" s="381">
        <f t="shared" si="85"/>
        <v>54799.415322580644</v>
      </c>
      <c r="AJ297" s="382">
        <f t="shared" si="80"/>
        <v>20788.051612903226</v>
      </c>
      <c r="AK297" s="394">
        <f t="shared" si="86"/>
        <v>230453.84919354835</v>
      </c>
      <c r="AL297" s="440">
        <v>8</v>
      </c>
    </row>
    <row r="298" spans="1:38">
      <c r="A298" s="433">
        <v>44059</v>
      </c>
      <c r="B298" s="474">
        <v>3173</v>
      </c>
      <c r="C298" s="474">
        <v>0</v>
      </c>
      <c r="D298" s="474">
        <v>50</v>
      </c>
      <c r="E298" s="474"/>
      <c r="F298" s="474"/>
      <c r="G298" s="474"/>
      <c r="H298" s="474"/>
      <c r="I298" s="474"/>
      <c r="J298" s="474"/>
      <c r="K298" s="474">
        <f t="shared" si="73"/>
        <v>19704.329999999998</v>
      </c>
      <c r="L298" s="474">
        <f t="shared" si="82"/>
        <v>0</v>
      </c>
      <c r="M298" s="474">
        <f t="shared" si="74"/>
        <v>1700</v>
      </c>
      <c r="N298" s="475">
        <v>41.5</v>
      </c>
      <c r="O298" s="476">
        <f t="shared" si="75"/>
        <v>21404.329999999998</v>
      </c>
      <c r="P298" s="477">
        <v>0.83919597989949746</v>
      </c>
      <c r="Q298" s="469">
        <v>9</v>
      </c>
      <c r="R298" s="470">
        <v>8.0000000000000002E-3</v>
      </c>
      <c r="S298" s="471">
        <v>0</v>
      </c>
      <c r="T298" s="471"/>
      <c r="U298" s="471"/>
      <c r="V298" s="471"/>
      <c r="W298" s="463"/>
      <c r="Y298" s="368">
        <f t="shared" si="83"/>
        <v>44059</v>
      </c>
      <c r="Z298" s="429">
        <v>15</v>
      </c>
      <c r="AA298" s="393">
        <f t="shared" si="76"/>
        <v>4.7273873306019542E-3</v>
      </c>
      <c r="AB298" s="382">
        <f t="shared" si="77"/>
        <v>93.15</v>
      </c>
      <c r="AC298" s="429">
        <v>0</v>
      </c>
      <c r="AD298" s="430">
        <f t="shared" si="78"/>
        <v>0</v>
      </c>
      <c r="AE298" s="429"/>
      <c r="AF298" s="430">
        <f t="shared" si="79"/>
        <v>0</v>
      </c>
      <c r="AG298" s="412"/>
      <c r="AH298" s="380">
        <f t="shared" si="84"/>
        <v>156710.75225806452</v>
      </c>
      <c r="AI298" s="381">
        <f t="shared" si="85"/>
        <v>54799.415322580644</v>
      </c>
      <c r="AJ298" s="382">
        <f t="shared" si="80"/>
        <v>21128.051612903226</v>
      </c>
      <c r="AK298" s="394">
        <f t="shared" si="86"/>
        <v>232638.21919354837</v>
      </c>
      <c r="AL298" s="440">
        <v>5</v>
      </c>
    </row>
    <row r="299" spans="1:38">
      <c r="A299" s="433">
        <v>44060</v>
      </c>
      <c r="B299" s="474">
        <v>3432</v>
      </c>
      <c r="C299" s="474">
        <v>0</v>
      </c>
      <c r="D299" s="474">
        <v>70</v>
      </c>
      <c r="E299" s="474"/>
      <c r="F299" s="474"/>
      <c r="G299" s="474"/>
      <c r="H299" s="474"/>
      <c r="I299" s="474"/>
      <c r="J299" s="474"/>
      <c r="K299" s="474">
        <f t="shared" si="73"/>
        <v>21312.720000000001</v>
      </c>
      <c r="L299" s="474">
        <f t="shared" si="82"/>
        <v>0</v>
      </c>
      <c r="M299" s="474">
        <f t="shared" si="74"/>
        <v>2380</v>
      </c>
      <c r="N299" s="475">
        <v>42.5</v>
      </c>
      <c r="O299" s="476">
        <f t="shared" si="75"/>
        <v>23692.720000000001</v>
      </c>
      <c r="P299" s="477">
        <v>0.87932359723289777</v>
      </c>
      <c r="Q299" s="469">
        <v>9</v>
      </c>
      <c r="R299" s="470">
        <v>8.0000000000000002E-3</v>
      </c>
      <c r="S299" s="471">
        <v>0</v>
      </c>
      <c r="T299" s="471"/>
      <c r="U299" s="471"/>
      <c r="V299" s="471"/>
      <c r="W299" s="462"/>
      <c r="Y299" s="368">
        <f t="shared" si="83"/>
        <v>44060</v>
      </c>
      <c r="Z299" s="429">
        <v>37</v>
      </c>
      <c r="AA299" s="393">
        <f t="shared" si="76"/>
        <v>1.078088578088578E-2</v>
      </c>
      <c r="AB299" s="382">
        <f t="shared" si="77"/>
        <v>229.77</v>
      </c>
      <c r="AC299" s="429">
        <v>0</v>
      </c>
      <c r="AD299" s="430">
        <f t="shared" si="78"/>
        <v>0</v>
      </c>
      <c r="AE299" s="429"/>
      <c r="AF299" s="430">
        <f t="shared" si="79"/>
        <v>0</v>
      </c>
      <c r="AG299" s="412"/>
      <c r="AH299" s="380">
        <f t="shared" si="84"/>
        <v>155102.3622580645</v>
      </c>
      <c r="AI299" s="381">
        <f t="shared" si="85"/>
        <v>54799.415322580644</v>
      </c>
      <c r="AJ299" s="382">
        <f t="shared" si="80"/>
        <v>20448.051612903226</v>
      </c>
      <c r="AK299" s="394">
        <f t="shared" si="86"/>
        <v>230349.82919354836</v>
      </c>
      <c r="AL299" s="440">
        <v>0</v>
      </c>
    </row>
    <row r="300" spans="1:38">
      <c r="A300" s="433">
        <v>44061</v>
      </c>
      <c r="B300" s="479">
        <v>2976</v>
      </c>
      <c r="C300" s="474">
        <v>107.75</v>
      </c>
      <c r="D300" s="479">
        <v>60</v>
      </c>
      <c r="E300" s="479"/>
      <c r="F300" s="479"/>
      <c r="G300" s="479"/>
      <c r="H300" s="479"/>
      <c r="I300" s="479"/>
      <c r="J300" s="479"/>
      <c r="K300" s="479">
        <f t="shared" si="73"/>
        <v>18480.96</v>
      </c>
      <c r="L300" s="479">
        <f t="shared" si="82"/>
        <v>6028.6125000000002</v>
      </c>
      <c r="M300" s="479">
        <f t="shared" si="74"/>
        <v>2040</v>
      </c>
      <c r="N300" s="480">
        <v>43.5</v>
      </c>
      <c r="O300" s="481">
        <f t="shared" si="75"/>
        <v>26549.572499999998</v>
      </c>
      <c r="P300" s="482">
        <v>0.79935535858178886</v>
      </c>
      <c r="Q300" s="437">
        <v>9</v>
      </c>
      <c r="R300" s="438">
        <v>8.0000000000000002E-3</v>
      </c>
      <c r="S300" s="439">
        <v>0</v>
      </c>
      <c r="T300" s="439"/>
      <c r="U300" s="439"/>
      <c r="V300" s="439"/>
      <c r="W300" s="463" t="s">
        <v>215</v>
      </c>
      <c r="Y300" s="368">
        <f t="shared" si="83"/>
        <v>44061</v>
      </c>
      <c r="Z300" s="429">
        <v>66</v>
      </c>
      <c r="AA300" s="393">
        <f t="shared" si="76"/>
        <v>2.2177419354838711E-2</v>
      </c>
      <c r="AB300" s="382">
        <f t="shared" si="77"/>
        <v>409.86</v>
      </c>
      <c r="AC300" s="429">
        <v>0</v>
      </c>
      <c r="AD300" s="430">
        <f t="shared" si="78"/>
        <v>0</v>
      </c>
      <c r="AE300" s="429"/>
      <c r="AF300" s="430">
        <f t="shared" si="79"/>
        <v>0</v>
      </c>
      <c r="AG300" s="412"/>
      <c r="AH300" s="380">
        <f t="shared" si="84"/>
        <v>157934.12225806451</v>
      </c>
      <c r="AI300" s="381">
        <f t="shared" si="85"/>
        <v>48770.802822580641</v>
      </c>
      <c r="AJ300" s="382">
        <f t="shared" si="80"/>
        <v>20788.051612903226</v>
      </c>
      <c r="AK300" s="394">
        <f t="shared" si="86"/>
        <v>227492.97669354838</v>
      </c>
      <c r="AL300" s="440"/>
    </row>
    <row r="301" spans="1:38">
      <c r="A301" s="433">
        <v>44062</v>
      </c>
      <c r="B301" s="479">
        <v>2778</v>
      </c>
      <c r="C301" s="474">
        <v>107.75</v>
      </c>
      <c r="D301" s="479">
        <v>60</v>
      </c>
      <c r="E301" s="479"/>
      <c r="F301" s="479"/>
      <c r="G301" s="479"/>
      <c r="H301" s="479"/>
      <c r="I301" s="479"/>
      <c r="J301" s="479"/>
      <c r="K301" s="479">
        <f t="shared" si="73"/>
        <v>17251.38</v>
      </c>
      <c r="L301" s="479">
        <f t="shared" si="82"/>
        <v>6028.6125000000002</v>
      </c>
      <c r="M301" s="479">
        <f t="shared" si="74"/>
        <v>2040</v>
      </c>
      <c r="N301" s="480">
        <v>44.5</v>
      </c>
      <c r="O301" s="481">
        <f t="shared" si="75"/>
        <v>25319.9925</v>
      </c>
      <c r="P301" s="482">
        <v>0.78965321205230243</v>
      </c>
      <c r="Q301" s="437">
        <v>9</v>
      </c>
      <c r="R301" s="438">
        <v>8.0000000000000002E-3</v>
      </c>
      <c r="S301" s="439">
        <v>0</v>
      </c>
      <c r="T301" s="439"/>
      <c r="U301" s="439"/>
      <c r="V301" s="439"/>
      <c r="W301" s="463" t="s">
        <v>215</v>
      </c>
      <c r="Y301" s="368">
        <f t="shared" si="83"/>
        <v>44062</v>
      </c>
      <c r="Z301" s="429">
        <v>19</v>
      </c>
      <c r="AA301" s="393">
        <f t="shared" si="76"/>
        <v>6.8394528437724983E-3</v>
      </c>
      <c r="AB301" s="382">
        <f t="shared" si="77"/>
        <v>117.99</v>
      </c>
      <c r="AC301" s="429">
        <v>0</v>
      </c>
      <c r="AD301" s="430">
        <f t="shared" si="78"/>
        <v>0</v>
      </c>
      <c r="AE301" s="429"/>
      <c r="AF301" s="430">
        <f t="shared" si="79"/>
        <v>0</v>
      </c>
      <c r="AG301" s="412"/>
      <c r="AH301" s="380">
        <f t="shared" si="84"/>
        <v>159163.7022580645</v>
      </c>
      <c r="AI301" s="381">
        <f t="shared" si="85"/>
        <v>48770.802822580641</v>
      </c>
      <c r="AJ301" s="382">
        <f t="shared" si="80"/>
        <v>20788.051612903226</v>
      </c>
      <c r="AK301" s="394">
        <f t="shared" si="86"/>
        <v>228722.55669354837</v>
      </c>
      <c r="AL301" s="440"/>
    </row>
    <row r="302" spans="1:38">
      <c r="A302" s="433">
        <v>44063</v>
      </c>
      <c r="B302" s="479">
        <v>2681</v>
      </c>
      <c r="C302" s="474">
        <v>107.75</v>
      </c>
      <c r="D302" s="479">
        <v>50</v>
      </c>
      <c r="E302" s="479"/>
      <c r="F302" s="479"/>
      <c r="G302" s="479"/>
      <c r="H302" s="479"/>
      <c r="I302" s="479"/>
      <c r="J302" s="479"/>
      <c r="K302" s="479">
        <f t="shared" si="73"/>
        <v>16649.009999999998</v>
      </c>
      <c r="L302" s="479">
        <f t="shared" si="82"/>
        <v>6028.6125000000002</v>
      </c>
      <c r="M302" s="479">
        <f t="shared" si="74"/>
        <v>1700</v>
      </c>
      <c r="N302" s="480">
        <v>45.5</v>
      </c>
      <c r="O302" s="481">
        <f t="shared" si="75"/>
        <v>24377.622499999998</v>
      </c>
      <c r="P302" s="482">
        <v>0.77642629597451496</v>
      </c>
      <c r="Q302" s="437">
        <v>9</v>
      </c>
      <c r="R302" s="438">
        <v>8.0000000000000002E-3</v>
      </c>
      <c r="S302" s="439">
        <v>0</v>
      </c>
      <c r="T302" s="439"/>
      <c r="U302" s="439"/>
      <c r="V302" s="439"/>
      <c r="W302" s="463" t="s">
        <v>215</v>
      </c>
      <c r="Y302" s="368">
        <f t="shared" si="83"/>
        <v>44063</v>
      </c>
      <c r="Z302" s="429">
        <v>50</v>
      </c>
      <c r="AA302" s="393">
        <f t="shared" si="76"/>
        <v>1.8649757553151809E-2</v>
      </c>
      <c r="AB302" s="382">
        <f t="shared" si="77"/>
        <v>310.5</v>
      </c>
      <c r="AC302" s="429">
        <v>0</v>
      </c>
      <c r="AD302" s="430">
        <f t="shared" si="78"/>
        <v>0</v>
      </c>
      <c r="AE302" s="429"/>
      <c r="AF302" s="430">
        <f t="shared" si="79"/>
        <v>0</v>
      </c>
      <c r="AG302" s="412"/>
      <c r="AH302" s="380">
        <f t="shared" si="84"/>
        <v>159766.07225806449</v>
      </c>
      <c r="AI302" s="381">
        <f t="shared" si="85"/>
        <v>48770.802822580641</v>
      </c>
      <c r="AJ302" s="382">
        <f t="shared" si="80"/>
        <v>21128.051612903226</v>
      </c>
      <c r="AK302" s="394">
        <f t="shared" si="86"/>
        <v>229664.92669354836</v>
      </c>
      <c r="AL302" s="440"/>
    </row>
    <row r="303" spans="1:38" ht="43.5">
      <c r="A303" s="433">
        <v>44064</v>
      </c>
      <c r="B303" s="474">
        <v>2904</v>
      </c>
      <c r="C303" s="474">
        <v>0</v>
      </c>
      <c r="D303" s="474">
        <v>60</v>
      </c>
      <c r="E303" s="474"/>
      <c r="F303" s="474"/>
      <c r="G303" s="474"/>
      <c r="H303" s="474"/>
      <c r="I303" s="474"/>
      <c r="J303" s="474"/>
      <c r="K303" s="474">
        <f t="shared" si="73"/>
        <v>18033.84</v>
      </c>
      <c r="L303" s="474">
        <f t="shared" si="82"/>
        <v>0</v>
      </c>
      <c r="M303" s="474">
        <f t="shared" si="74"/>
        <v>2040</v>
      </c>
      <c r="N303" s="475">
        <v>46.5</v>
      </c>
      <c r="O303" s="476">
        <f t="shared" si="75"/>
        <v>20073.84</v>
      </c>
      <c r="P303" s="477">
        <v>0.77070063694267521</v>
      </c>
      <c r="Q303" s="469">
        <v>9</v>
      </c>
      <c r="R303" s="470">
        <v>8.0000000000000002E-3</v>
      </c>
      <c r="S303" s="471">
        <v>0</v>
      </c>
      <c r="T303" s="471"/>
      <c r="U303" s="471"/>
      <c r="V303" s="471"/>
      <c r="W303" s="463" t="s">
        <v>216</v>
      </c>
      <c r="Y303" s="368">
        <f t="shared" si="83"/>
        <v>44064</v>
      </c>
      <c r="Z303" s="429">
        <v>21</v>
      </c>
      <c r="AA303" s="393">
        <f t="shared" si="76"/>
        <v>7.2314049586776862E-3</v>
      </c>
      <c r="AB303" s="382">
        <f t="shared" si="77"/>
        <v>130.41</v>
      </c>
      <c r="AC303" s="429">
        <v>0</v>
      </c>
      <c r="AD303" s="430">
        <f t="shared" si="78"/>
        <v>0</v>
      </c>
      <c r="AE303" s="429"/>
      <c r="AF303" s="430">
        <f t="shared" si="79"/>
        <v>0</v>
      </c>
      <c r="AG303" s="412"/>
      <c r="AH303" s="380">
        <f t="shared" si="84"/>
        <v>158381.24225806451</v>
      </c>
      <c r="AI303" s="381">
        <f t="shared" si="85"/>
        <v>54799.415322580644</v>
      </c>
      <c r="AJ303" s="382">
        <f t="shared" si="80"/>
        <v>20788.051612903226</v>
      </c>
      <c r="AK303" s="394">
        <f t="shared" si="86"/>
        <v>233968.70919354836</v>
      </c>
      <c r="AL303" s="440"/>
    </row>
    <row r="304" spans="1:38" ht="17.25" customHeight="1">
      <c r="A304" s="433">
        <v>44065</v>
      </c>
      <c r="B304" s="479">
        <v>2922</v>
      </c>
      <c r="C304" s="474">
        <v>0</v>
      </c>
      <c r="D304" s="479">
        <v>60</v>
      </c>
      <c r="E304" s="479"/>
      <c r="F304" s="479"/>
      <c r="G304" s="479"/>
      <c r="H304" s="479"/>
      <c r="I304" s="479"/>
      <c r="J304" s="479"/>
      <c r="K304" s="479">
        <f t="shared" si="73"/>
        <v>18145.62</v>
      </c>
      <c r="L304" s="479">
        <f t="shared" si="82"/>
        <v>0</v>
      </c>
      <c r="M304" s="479">
        <f t="shared" si="74"/>
        <v>2040</v>
      </c>
      <c r="N304" s="480">
        <v>47.5</v>
      </c>
      <c r="O304" s="481">
        <f t="shared" si="75"/>
        <v>20185.62</v>
      </c>
      <c r="P304" s="482">
        <v>0.79748908296943233</v>
      </c>
      <c r="Q304" s="437">
        <v>9</v>
      </c>
      <c r="R304" s="438">
        <v>8.0000000000000002E-3</v>
      </c>
      <c r="S304" s="439">
        <v>0</v>
      </c>
      <c r="T304" s="439"/>
      <c r="U304" s="439"/>
      <c r="V304" s="439"/>
      <c r="W304" s="463" t="s">
        <v>217</v>
      </c>
      <c r="Y304" s="368">
        <f t="shared" si="83"/>
        <v>44065</v>
      </c>
      <c r="Z304" s="429">
        <v>56</v>
      </c>
      <c r="AA304" s="393">
        <f t="shared" si="76"/>
        <v>1.9164955509924708E-2</v>
      </c>
      <c r="AB304" s="382">
        <f t="shared" si="77"/>
        <v>347.76</v>
      </c>
      <c r="AC304" s="429">
        <v>0</v>
      </c>
      <c r="AD304" s="430">
        <f t="shared" si="78"/>
        <v>0</v>
      </c>
      <c r="AE304" s="429"/>
      <c r="AF304" s="430">
        <f t="shared" si="79"/>
        <v>0</v>
      </c>
      <c r="AG304" s="412"/>
      <c r="AH304" s="380">
        <f t="shared" si="84"/>
        <v>158269.46225806451</v>
      </c>
      <c r="AI304" s="381">
        <f t="shared" si="85"/>
        <v>54799.415322580644</v>
      </c>
      <c r="AJ304" s="382">
        <f t="shared" si="80"/>
        <v>20788.051612903226</v>
      </c>
      <c r="AK304" s="394">
        <f t="shared" si="86"/>
        <v>233856.92919354836</v>
      </c>
      <c r="AL304" s="440"/>
    </row>
    <row r="305" spans="1:38">
      <c r="A305" s="433">
        <v>44066</v>
      </c>
      <c r="B305" s="479">
        <v>2734</v>
      </c>
      <c r="C305" s="474">
        <v>0</v>
      </c>
      <c r="D305" s="479">
        <v>60</v>
      </c>
      <c r="E305" s="479"/>
      <c r="F305" s="479"/>
      <c r="G305" s="479"/>
      <c r="H305" s="479"/>
      <c r="I305" s="479"/>
      <c r="J305" s="479"/>
      <c r="K305" s="479">
        <f t="shared" si="73"/>
        <v>16978.14</v>
      </c>
      <c r="L305" s="479">
        <f t="shared" si="82"/>
        <v>0</v>
      </c>
      <c r="M305" s="479">
        <f t="shared" si="74"/>
        <v>2040</v>
      </c>
      <c r="N305" s="480">
        <v>48.5</v>
      </c>
      <c r="O305" s="481">
        <f t="shared" si="75"/>
        <v>19018.14</v>
      </c>
      <c r="P305" s="482">
        <v>0.77560283687943266</v>
      </c>
      <c r="Q305" s="437">
        <v>9</v>
      </c>
      <c r="R305" s="438">
        <v>8.0000000000000002E-3</v>
      </c>
      <c r="S305" s="439">
        <v>0</v>
      </c>
      <c r="T305" s="439"/>
      <c r="U305" s="439"/>
      <c r="V305" s="439"/>
      <c r="W305" s="463" t="s">
        <v>218</v>
      </c>
      <c r="Y305" s="368">
        <f t="shared" si="83"/>
        <v>44066</v>
      </c>
      <c r="Z305" s="429">
        <v>16</v>
      </c>
      <c r="AA305" s="393">
        <f t="shared" si="76"/>
        <v>5.8522311631309439E-3</v>
      </c>
      <c r="AB305" s="382">
        <f t="shared" si="77"/>
        <v>99.36</v>
      </c>
      <c r="AC305" s="429">
        <v>0</v>
      </c>
      <c r="AD305" s="430">
        <f t="shared" si="78"/>
        <v>0</v>
      </c>
      <c r="AE305" s="429"/>
      <c r="AF305" s="430">
        <f t="shared" si="79"/>
        <v>0</v>
      </c>
      <c r="AG305" s="412"/>
      <c r="AH305" s="380">
        <f t="shared" si="84"/>
        <v>159436.94225806452</v>
      </c>
      <c r="AI305" s="381">
        <f t="shared" si="85"/>
        <v>54799.415322580644</v>
      </c>
      <c r="AJ305" s="382">
        <f t="shared" si="80"/>
        <v>20788.051612903226</v>
      </c>
      <c r="AK305" s="396">
        <f t="shared" si="86"/>
        <v>235024.40919354837</v>
      </c>
      <c r="AL305" s="440"/>
    </row>
    <row r="306" spans="1:38">
      <c r="A306" s="433">
        <v>44067</v>
      </c>
      <c r="B306" s="479">
        <v>2904</v>
      </c>
      <c r="C306" s="474">
        <v>0</v>
      </c>
      <c r="D306" s="479">
        <v>90</v>
      </c>
      <c r="E306" s="479"/>
      <c r="F306" s="479"/>
      <c r="G306" s="479"/>
      <c r="H306" s="479"/>
      <c r="I306" s="479"/>
      <c r="J306" s="479"/>
      <c r="K306" s="479">
        <f t="shared" si="73"/>
        <v>18033.84</v>
      </c>
      <c r="L306" s="479">
        <f t="shared" si="82"/>
        <v>0</v>
      </c>
      <c r="M306" s="479">
        <f t="shared" si="74"/>
        <v>3060</v>
      </c>
      <c r="N306" s="480">
        <v>49.5</v>
      </c>
      <c r="O306" s="481">
        <f t="shared" si="75"/>
        <v>21093.84</v>
      </c>
      <c r="P306" s="482">
        <v>0.81390134529147984</v>
      </c>
      <c r="Q306" s="437">
        <v>9</v>
      </c>
      <c r="R306" s="438">
        <v>8.0000000000000002E-3</v>
      </c>
      <c r="S306" s="439">
        <v>0</v>
      </c>
      <c r="T306" s="439"/>
      <c r="U306" s="439"/>
      <c r="V306" s="439"/>
      <c r="W306" s="463"/>
      <c r="Y306" s="368">
        <f t="shared" si="83"/>
        <v>44067</v>
      </c>
      <c r="Z306" s="429">
        <v>35</v>
      </c>
      <c r="AA306" s="393">
        <f t="shared" si="76"/>
        <v>1.2052341597796144E-2</v>
      </c>
      <c r="AB306" s="382">
        <f t="shared" si="77"/>
        <v>217.35</v>
      </c>
      <c r="AC306" s="429">
        <v>0</v>
      </c>
      <c r="AD306" s="430">
        <f t="shared" si="78"/>
        <v>0</v>
      </c>
      <c r="AE306" s="429"/>
      <c r="AF306" s="430">
        <f t="shared" si="79"/>
        <v>0</v>
      </c>
      <c r="AG306" s="412"/>
      <c r="AH306" s="380">
        <f t="shared" si="84"/>
        <v>158381.24225806451</v>
      </c>
      <c r="AI306" s="381">
        <f t="shared" si="85"/>
        <v>54799.415322580644</v>
      </c>
      <c r="AJ306" s="382">
        <f t="shared" si="80"/>
        <v>19768.051612903226</v>
      </c>
      <c r="AK306" s="396">
        <f t="shared" si="86"/>
        <v>232948.70919354836</v>
      </c>
      <c r="AL306" s="440"/>
    </row>
    <row r="307" spans="1:38">
      <c r="A307" s="433">
        <v>44068</v>
      </c>
      <c r="B307" s="474">
        <v>2899</v>
      </c>
      <c r="C307" s="474">
        <v>0</v>
      </c>
      <c r="D307" s="474">
        <v>70</v>
      </c>
      <c r="E307" s="474"/>
      <c r="F307" s="474"/>
      <c r="G307" s="474"/>
      <c r="H307" s="474"/>
      <c r="I307" s="474"/>
      <c r="J307" s="474"/>
      <c r="K307" s="474">
        <f t="shared" si="73"/>
        <v>18002.79</v>
      </c>
      <c r="L307" s="474">
        <f t="shared" si="82"/>
        <v>0</v>
      </c>
      <c r="M307" s="474">
        <f t="shared" si="74"/>
        <v>2380</v>
      </c>
      <c r="N307" s="475">
        <v>50.5</v>
      </c>
      <c r="O307" s="476">
        <f t="shared" si="75"/>
        <v>20382.79</v>
      </c>
      <c r="P307" s="477">
        <v>0.81113598209289317</v>
      </c>
      <c r="Q307" s="469">
        <v>9</v>
      </c>
      <c r="R307" s="470">
        <v>8.0000000000000002E-3</v>
      </c>
      <c r="S307" s="471">
        <v>0</v>
      </c>
      <c r="T307" s="471"/>
      <c r="U307" s="471"/>
      <c r="V307" s="471"/>
      <c r="W307" s="484"/>
      <c r="Y307" s="368">
        <f t="shared" si="83"/>
        <v>44068</v>
      </c>
      <c r="Z307" s="429">
        <v>19</v>
      </c>
      <c r="AA307" s="393">
        <f t="shared" si="76"/>
        <v>6.5539841324594684E-3</v>
      </c>
      <c r="AB307" s="382">
        <f t="shared" si="77"/>
        <v>117.99</v>
      </c>
      <c r="AC307" s="429">
        <v>0</v>
      </c>
      <c r="AD307" s="430">
        <f t="shared" si="78"/>
        <v>0</v>
      </c>
      <c r="AE307" s="429"/>
      <c r="AF307" s="430">
        <f t="shared" si="79"/>
        <v>0</v>
      </c>
      <c r="AG307" s="412"/>
      <c r="AH307" s="380">
        <f t="shared" si="84"/>
        <v>158412.2922580645</v>
      </c>
      <c r="AI307" s="381">
        <f t="shared" si="85"/>
        <v>54799.415322580644</v>
      </c>
      <c r="AJ307" s="382">
        <f t="shared" si="80"/>
        <v>20448.051612903226</v>
      </c>
      <c r="AK307" s="396">
        <f t="shared" si="86"/>
        <v>233659.75919354835</v>
      </c>
      <c r="AL307" s="440"/>
    </row>
    <row r="308" spans="1:38">
      <c r="A308" s="433">
        <v>44069</v>
      </c>
      <c r="B308" s="474">
        <v>3021</v>
      </c>
      <c r="C308" s="474">
        <v>107.75</v>
      </c>
      <c r="D308" s="474">
        <v>70</v>
      </c>
      <c r="E308" s="474"/>
      <c r="F308" s="474"/>
      <c r="G308" s="474"/>
      <c r="H308" s="474"/>
      <c r="I308" s="474"/>
      <c r="J308" s="474"/>
      <c r="K308" s="474">
        <f t="shared" si="73"/>
        <v>18760.41</v>
      </c>
      <c r="L308" s="474">
        <f t="shared" si="82"/>
        <v>6028.6125000000002</v>
      </c>
      <c r="M308" s="474">
        <f t="shared" si="74"/>
        <v>2380</v>
      </c>
      <c r="N308" s="475">
        <v>51.5</v>
      </c>
      <c r="O308" s="476">
        <f t="shared" si="75"/>
        <v>27169.022499999999</v>
      </c>
      <c r="P308" s="477">
        <v>0.82631291028446385</v>
      </c>
      <c r="Q308" s="469">
        <v>9</v>
      </c>
      <c r="R308" s="470">
        <v>8.0000000000000002E-3</v>
      </c>
      <c r="S308" s="471">
        <v>0</v>
      </c>
      <c r="T308" s="471"/>
      <c r="U308" s="471"/>
      <c r="V308" s="471"/>
      <c r="W308" s="484" t="s">
        <v>219</v>
      </c>
      <c r="Y308" s="368">
        <f t="shared" si="83"/>
        <v>44069</v>
      </c>
      <c r="Z308" s="429">
        <v>17</v>
      </c>
      <c r="AA308" s="393">
        <f t="shared" si="76"/>
        <v>5.6272757365110893E-3</v>
      </c>
      <c r="AB308" s="382">
        <f t="shared" si="77"/>
        <v>105.57</v>
      </c>
      <c r="AC308" s="429">
        <v>0</v>
      </c>
      <c r="AD308" s="430">
        <f t="shared" si="78"/>
        <v>0</v>
      </c>
      <c r="AE308" s="429"/>
      <c r="AF308" s="430">
        <f t="shared" si="79"/>
        <v>0</v>
      </c>
      <c r="AG308" s="412"/>
      <c r="AH308" s="380">
        <f t="shared" si="84"/>
        <v>157654.6722580645</v>
      </c>
      <c r="AI308" s="381">
        <f t="shared" si="85"/>
        <v>48770.802822580641</v>
      </c>
      <c r="AJ308" s="382">
        <f t="shared" si="80"/>
        <v>20448.051612903226</v>
      </c>
      <c r="AK308" s="396">
        <f t="shared" si="86"/>
        <v>226873.52669354837</v>
      </c>
      <c r="AL308" s="440"/>
    </row>
    <row r="309" spans="1:38">
      <c r="A309" s="433">
        <v>44070</v>
      </c>
      <c r="B309" s="479">
        <v>3005</v>
      </c>
      <c r="C309" s="474">
        <v>107.75</v>
      </c>
      <c r="D309" s="479">
        <v>70</v>
      </c>
      <c r="E309" s="479"/>
      <c r="F309" s="479"/>
      <c r="G309" s="479"/>
      <c r="H309" s="479"/>
      <c r="I309" s="479"/>
      <c r="J309" s="479"/>
      <c r="K309" s="479">
        <f t="shared" si="73"/>
        <v>18661.05</v>
      </c>
      <c r="L309" s="479">
        <f t="shared" si="82"/>
        <v>6028.6125000000002</v>
      </c>
      <c r="M309" s="479">
        <f t="shared" si="74"/>
        <v>2380</v>
      </c>
      <c r="N309" s="480">
        <v>52.5</v>
      </c>
      <c r="O309" s="481">
        <f t="shared" si="75"/>
        <v>27069.662499999999</v>
      </c>
      <c r="P309" s="482">
        <v>0.794763290134885</v>
      </c>
      <c r="Q309" s="437">
        <v>9</v>
      </c>
      <c r="R309" s="438">
        <v>8.0000000000000002E-3</v>
      </c>
      <c r="S309" s="439">
        <v>0</v>
      </c>
      <c r="T309" s="439"/>
      <c r="U309" s="439"/>
      <c r="V309" s="439"/>
      <c r="W309" s="484" t="s">
        <v>219</v>
      </c>
      <c r="Y309" s="368">
        <f t="shared" si="83"/>
        <v>44070</v>
      </c>
      <c r="Z309" s="429">
        <v>79</v>
      </c>
      <c r="AA309" s="393">
        <f t="shared" si="76"/>
        <v>2.6289517470881863E-2</v>
      </c>
      <c r="AB309" s="382">
        <f t="shared" si="77"/>
        <v>490.59</v>
      </c>
      <c r="AC309" s="429">
        <v>0</v>
      </c>
      <c r="AD309" s="430">
        <f t="shared" si="78"/>
        <v>0</v>
      </c>
      <c r="AE309" s="429"/>
      <c r="AF309" s="430">
        <f t="shared" si="79"/>
        <v>0</v>
      </c>
      <c r="AG309" s="412"/>
      <c r="AH309" s="380">
        <f t="shared" si="84"/>
        <v>157754.03225806452</v>
      </c>
      <c r="AI309" s="381">
        <f t="shared" si="85"/>
        <v>48770.802822580641</v>
      </c>
      <c r="AJ309" s="382">
        <f t="shared" si="80"/>
        <v>20448.051612903226</v>
      </c>
      <c r="AK309" s="396">
        <f t="shared" si="86"/>
        <v>226972.88669354838</v>
      </c>
      <c r="AL309" s="440"/>
    </row>
    <row r="310" spans="1:38">
      <c r="A310" s="433">
        <v>44071</v>
      </c>
      <c r="B310" s="386">
        <v>2885</v>
      </c>
      <c r="C310" s="474">
        <v>0</v>
      </c>
      <c r="D310" s="386">
        <v>80</v>
      </c>
      <c r="E310" s="386"/>
      <c r="F310" s="386"/>
      <c r="G310" s="386"/>
      <c r="H310" s="386"/>
      <c r="I310" s="386"/>
      <c r="J310" s="386"/>
      <c r="K310" s="386">
        <f t="shared" si="73"/>
        <v>17915.849999999999</v>
      </c>
      <c r="L310" s="386">
        <f t="shared" si="82"/>
        <v>0</v>
      </c>
      <c r="M310" s="386">
        <f t="shared" si="74"/>
        <v>2720</v>
      </c>
      <c r="N310" s="435">
        <v>53.5</v>
      </c>
      <c r="O310" s="436">
        <f t="shared" si="75"/>
        <v>20635.849999999999</v>
      </c>
      <c r="P310" s="461">
        <v>0.78868234007654459</v>
      </c>
      <c r="Q310" s="437">
        <v>9</v>
      </c>
      <c r="R310" s="438">
        <v>8.0000000000000002E-3</v>
      </c>
      <c r="S310" s="439">
        <v>0</v>
      </c>
      <c r="T310" s="439"/>
      <c r="U310" s="439"/>
      <c r="V310" s="439"/>
      <c r="W310" s="483"/>
      <c r="Y310" s="368">
        <f t="shared" si="83"/>
        <v>44071</v>
      </c>
      <c r="Z310" s="429">
        <v>42</v>
      </c>
      <c r="AA310" s="393">
        <f t="shared" si="76"/>
        <v>1.4558058925476604E-2</v>
      </c>
      <c r="AB310" s="382">
        <f t="shared" si="77"/>
        <v>260.82</v>
      </c>
      <c r="AC310" s="429">
        <v>0</v>
      </c>
      <c r="AD310" s="430">
        <f t="shared" si="78"/>
        <v>0</v>
      </c>
      <c r="AE310" s="429"/>
      <c r="AF310" s="430">
        <f t="shared" si="79"/>
        <v>0</v>
      </c>
      <c r="AG310" s="412"/>
      <c r="AH310" s="380">
        <f t="shared" si="84"/>
        <v>158499.2322580645</v>
      </c>
      <c r="AI310" s="381">
        <f t="shared" si="85"/>
        <v>54799.415322580644</v>
      </c>
      <c r="AJ310" s="382">
        <f t="shared" si="80"/>
        <v>20108.051612903226</v>
      </c>
      <c r="AK310" s="396">
        <f t="shared" si="86"/>
        <v>233406.69919354835</v>
      </c>
      <c r="AL310" s="440"/>
    </row>
    <row r="311" spans="1:38">
      <c r="A311" s="433">
        <v>44072</v>
      </c>
      <c r="B311" s="386">
        <v>2723</v>
      </c>
      <c r="C311" s="474">
        <v>0</v>
      </c>
      <c r="D311" s="386">
        <v>30</v>
      </c>
      <c r="E311" s="386"/>
      <c r="F311" s="386"/>
      <c r="G311" s="386"/>
      <c r="H311" s="386"/>
      <c r="I311" s="386"/>
      <c r="J311" s="386"/>
      <c r="K311" s="386">
        <f t="shared" si="73"/>
        <v>16909.829999999998</v>
      </c>
      <c r="L311" s="386">
        <f t="shared" si="82"/>
        <v>0</v>
      </c>
      <c r="M311" s="386">
        <f t="shared" si="74"/>
        <v>1020</v>
      </c>
      <c r="N311" s="435">
        <v>54.5</v>
      </c>
      <c r="O311" s="436">
        <f t="shared" si="75"/>
        <v>17929.829999999998</v>
      </c>
      <c r="P311" s="461">
        <v>0.78540524949524082</v>
      </c>
      <c r="Q311" s="437">
        <v>9</v>
      </c>
      <c r="R311" s="438">
        <v>8.0000000000000002E-3</v>
      </c>
      <c r="S311" s="439">
        <v>0</v>
      </c>
      <c r="T311" s="592"/>
      <c r="U311" s="592"/>
      <c r="V311" s="592"/>
      <c r="W311" s="485"/>
      <c r="Y311" s="368">
        <f t="shared" si="83"/>
        <v>44072</v>
      </c>
      <c r="Z311" s="429">
        <v>34</v>
      </c>
      <c r="AA311" s="393">
        <f t="shared" si="76"/>
        <v>1.2486228424531766E-2</v>
      </c>
      <c r="AB311" s="382">
        <f t="shared" si="77"/>
        <v>211.14</v>
      </c>
      <c r="AC311" s="429">
        <v>0</v>
      </c>
      <c r="AD311" s="430">
        <f t="shared" si="78"/>
        <v>0</v>
      </c>
      <c r="AE311" s="429"/>
      <c r="AF311" s="430">
        <f t="shared" si="79"/>
        <v>0</v>
      </c>
      <c r="AG311" s="412"/>
      <c r="AH311" s="380">
        <f t="shared" si="84"/>
        <v>159505.25225806452</v>
      </c>
      <c r="AI311" s="381">
        <f t="shared" si="85"/>
        <v>54799.415322580644</v>
      </c>
      <c r="AJ311" s="382">
        <f t="shared" si="80"/>
        <v>21808.051612903226</v>
      </c>
      <c r="AK311" s="396">
        <f t="shared" si="86"/>
        <v>236112.71919354837</v>
      </c>
      <c r="AL311" s="440"/>
    </row>
    <row r="312" spans="1:38">
      <c r="A312" s="433">
        <v>44073</v>
      </c>
      <c r="B312" s="386">
        <v>2768</v>
      </c>
      <c r="C312" s="474">
        <v>0</v>
      </c>
      <c r="D312" s="386">
        <v>50</v>
      </c>
      <c r="E312" s="386"/>
      <c r="F312" s="386"/>
      <c r="G312" s="386"/>
      <c r="H312" s="386"/>
      <c r="I312" s="386"/>
      <c r="J312" s="386"/>
      <c r="K312" s="386">
        <f t="shared" si="73"/>
        <v>17189.28</v>
      </c>
      <c r="L312" s="386">
        <f t="shared" si="82"/>
        <v>0</v>
      </c>
      <c r="M312" s="386">
        <f t="shared" si="74"/>
        <v>1700</v>
      </c>
      <c r="N312" s="435">
        <v>55.5</v>
      </c>
      <c r="O312" s="436">
        <f t="shared" si="75"/>
        <v>18889.28</v>
      </c>
      <c r="P312" s="461">
        <v>0.78681068789084707</v>
      </c>
      <c r="Q312" s="437">
        <v>9</v>
      </c>
      <c r="R312" s="438">
        <v>8.0000000000000002E-3</v>
      </c>
      <c r="S312" s="439">
        <v>0</v>
      </c>
      <c r="T312" s="439"/>
      <c r="U312" s="439"/>
      <c r="V312" s="439"/>
      <c r="W312" s="483"/>
      <c r="Y312" s="368">
        <f t="shared" si="83"/>
        <v>44073</v>
      </c>
      <c r="Z312" s="429">
        <v>30</v>
      </c>
      <c r="AA312" s="393">
        <f t="shared" si="76"/>
        <v>1.0838150289017341E-2</v>
      </c>
      <c r="AB312" s="382">
        <f t="shared" si="77"/>
        <v>186.3</v>
      </c>
      <c r="AC312" s="429">
        <v>0</v>
      </c>
      <c r="AD312" s="430">
        <f t="shared" si="78"/>
        <v>0</v>
      </c>
      <c r="AE312" s="429"/>
      <c r="AF312" s="430">
        <f t="shared" si="79"/>
        <v>0</v>
      </c>
      <c r="AG312" s="412"/>
      <c r="AH312" s="380">
        <f t="shared" si="84"/>
        <v>159225.8022580645</v>
      </c>
      <c r="AI312" s="381">
        <f t="shared" si="85"/>
        <v>54799.415322580644</v>
      </c>
      <c r="AJ312" s="382">
        <f t="shared" si="80"/>
        <v>21128.051612903226</v>
      </c>
      <c r="AK312" s="396">
        <f t="shared" si="86"/>
        <v>235153.26919354836</v>
      </c>
      <c r="AL312" s="440"/>
    </row>
    <row r="313" spans="1:38">
      <c r="A313" s="433">
        <v>44074</v>
      </c>
      <c r="B313" s="386">
        <v>2425</v>
      </c>
      <c r="C313" s="474">
        <v>0</v>
      </c>
      <c r="D313" s="386">
        <v>70</v>
      </c>
      <c r="E313" s="386"/>
      <c r="F313" s="386"/>
      <c r="G313" s="386"/>
      <c r="H313" s="386"/>
      <c r="I313" s="386"/>
      <c r="J313" s="386"/>
      <c r="K313" s="386">
        <f t="shared" si="73"/>
        <v>15059.25</v>
      </c>
      <c r="L313" s="386">
        <f t="shared" si="82"/>
        <v>0</v>
      </c>
      <c r="M313" s="386">
        <f t="shared" si="74"/>
        <v>2380</v>
      </c>
      <c r="N313" s="435">
        <v>56.5</v>
      </c>
      <c r="O313" s="436">
        <f t="shared" si="75"/>
        <v>17439.25</v>
      </c>
      <c r="P313" s="461">
        <v>0.6758639910813824</v>
      </c>
      <c r="Q313" s="437">
        <v>9</v>
      </c>
      <c r="R313" s="438">
        <v>8.0000000000000002E-3</v>
      </c>
      <c r="S313" s="439">
        <v>0</v>
      </c>
      <c r="T313" s="439"/>
      <c r="U313" s="439"/>
      <c r="V313" s="439"/>
      <c r="W313" s="483"/>
      <c r="Y313" s="368">
        <f t="shared" si="83"/>
        <v>44074</v>
      </c>
      <c r="Z313" s="429">
        <v>15</v>
      </c>
      <c r="AA313" s="393">
        <f t="shared" si="76"/>
        <v>6.1855670103092781E-3</v>
      </c>
      <c r="AB313" s="382">
        <f t="shared" si="77"/>
        <v>93.15</v>
      </c>
      <c r="AC313" s="429">
        <v>0</v>
      </c>
      <c r="AD313" s="430">
        <f t="shared" si="78"/>
        <v>0</v>
      </c>
      <c r="AE313" s="429"/>
      <c r="AF313" s="430">
        <f t="shared" si="79"/>
        <v>0</v>
      </c>
      <c r="AG313" s="412"/>
      <c r="AH313" s="380">
        <f t="shared" si="84"/>
        <v>161355.8322580645</v>
      </c>
      <c r="AI313" s="381">
        <f t="shared" si="85"/>
        <v>54799.415322580644</v>
      </c>
      <c r="AJ313" s="382">
        <f t="shared" si="80"/>
        <v>20448.051612903226</v>
      </c>
      <c r="AK313" s="396">
        <f t="shared" si="86"/>
        <v>236603.29919354836</v>
      </c>
      <c r="AL313" s="440"/>
    </row>
    <row r="314" spans="1:38">
      <c r="A314" s="443" t="s">
        <v>161</v>
      </c>
      <c r="B314" s="444">
        <f t="shared" ref="B314:D314" si="87">SUM(B283:B313)</f>
        <v>100289</v>
      </c>
      <c r="C314" s="444">
        <f t="shared" si="87"/>
        <v>1246</v>
      </c>
      <c r="D314" s="444">
        <f t="shared" si="87"/>
        <v>2090</v>
      </c>
      <c r="E314" s="444"/>
      <c r="F314" s="444"/>
      <c r="G314" s="444"/>
      <c r="H314" s="444"/>
      <c r="I314" s="444"/>
      <c r="J314" s="444"/>
      <c r="K314" s="444">
        <f t="shared" ref="K314:M314" si="88">SUM(K283:K313)</f>
        <v>622794.69000000018</v>
      </c>
      <c r="L314" s="444">
        <f t="shared" si="88"/>
        <v>69465.875000000015</v>
      </c>
      <c r="M314" s="444">
        <f t="shared" si="88"/>
        <v>71060</v>
      </c>
      <c r="N314" s="444"/>
      <c r="O314" s="444">
        <f>SUM(O283:O312)</f>
        <v>745881.31499999994</v>
      </c>
      <c r="P314" s="444"/>
      <c r="Q314" s="437"/>
      <c r="R314" s="438"/>
      <c r="S314" s="439"/>
      <c r="T314" s="439"/>
      <c r="U314" s="439"/>
      <c r="V314" s="439"/>
      <c r="W314" s="439"/>
      <c r="Y314" s="409" t="s">
        <v>161</v>
      </c>
      <c r="Z314" s="410">
        <f t="shared" ref="Z314:AE314" si="89">SUM(Z283:Z313)</f>
        <v>1574</v>
      </c>
      <c r="AA314" s="410">
        <f t="shared" si="89"/>
        <v>0.47573489754510917</v>
      </c>
      <c r="AB314" s="410">
        <f t="shared" si="89"/>
        <v>9774.5399999999954</v>
      </c>
      <c r="AC314" s="410">
        <f t="shared" si="89"/>
        <v>251.1</v>
      </c>
      <c r="AD314" s="410">
        <f t="shared" si="89"/>
        <v>14049.045</v>
      </c>
      <c r="AE314" s="410">
        <f t="shared" si="89"/>
        <v>0</v>
      </c>
      <c r="AF314" s="410">
        <f>SUM(AF283:AF313)</f>
        <v>0</v>
      </c>
      <c r="AG314" s="412"/>
      <c r="AH314" s="397">
        <f>SUM(AH283:AH310)</f>
        <v>4365985.9732258068</v>
      </c>
      <c r="AI314" s="397">
        <f>SUM(AI283:AI310)</f>
        <v>1464917.7540322577</v>
      </c>
      <c r="AJ314" s="397">
        <f>SUM(AJ283:AJ310)</f>
        <v>573225.44516129058</v>
      </c>
      <c r="AK314" s="397">
        <f>SUM(AK283:AK310)</f>
        <v>6404129.1724193525</v>
      </c>
      <c r="AL314" s="440"/>
    </row>
    <row r="316" spans="1:38" ht="29.1">
      <c r="A316" s="815" t="s">
        <v>14</v>
      </c>
      <c r="B316" s="815" t="s">
        <v>145</v>
      </c>
      <c r="C316" s="815"/>
      <c r="D316" s="815"/>
      <c r="E316" s="699"/>
      <c r="F316" s="699"/>
      <c r="G316" s="699"/>
      <c r="H316" s="699"/>
      <c r="I316" s="699"/>
      <c r="J316" s="699"/>
      <c r="K316" s="815" t="s">
        <v>146</v>
      </c>
      <c r="L316" s="815"/>
      <c r="M316" s="815"/>
      <c r="N316" s="815" t="s">
        <v>147</v>
      </c>
      <c r="O316" s="816" t="s">
        <v>148</v>
      </c>
      <c r="P316" s="783" t="s">
        <v>175</v>
      </c>
      <c r="Q316" s="700" t="s">
        <v>149</v>
      </c>
      <c r="R316" s="700" t="s">
        <v>150</v>
      </c>
      <c r="S316" s="811" t="s">
        <v>165</v>
      </c>
      <c r="T316" s="701"/>
      <c r="U316" s="701"/>
      <c r="V316" s="701"/>
      <c r="W316" s="811" t="s">
        <v>176</v>
      </c>
      <c r="Y316" s="787" t="s">
        <v>14</v>
      </c>
      <c r="Z316" s="789" t="s">
        <v>151</v>
      </c>
      <c r="AA316" s="790"/>
      <c r="AB316" s="791"/>
      <c r="AC316" s="789" t="s">
        <v>152</v>
      </c>
      <c r="AD316" s="791"/>
      <c r="AE316" s="789"/>
      <c r="AF316" s="791"/>
      <c r="AG316" s="412"/>
      <c r="AH316" s="773" t="s">
        <v>154</v>
      </c>
      <c r="AI316" s="774"/>
      <c r="AJ316" s="775"/>
      <c r="AK316" s="776" t="s">
        <v>155</v>
      </c>
      <c r="AL316" s="776" t="s">
        <v>166</v>
      </c>
    </row>
    <row r="317" spans="1:38">
      <c r="A317" s="815"/>
      <c r="B317" s="699" t="s">
        <v>156</v>
      </c>
      <c r="C317" s="699" t="s">
        <v>157</v>
      </c>
      <c r="D317" s="699" t="s">
        <v>158</v>
      </c>
      <c r="E317" s="699"/>
      <c r="F317" s="699"/>
      <c r="G317" s="699"/>
      <c r="H317" s="699"/>
      <c r="I317" s="699"/>
      <c r="J317" s="699"/>
      <c r="K317" s="699" t="s">
        <v>156</v>
      </c>
      <c r="L317" s="699" t="s">
        <v>157</v>
      </c>
      <c r="M317" s="699" t="s">
        <v>158</v>
      </c>
      <c r="N317" s="815"/>
      <c r="O317" s="816"/>
      <c r="P317" s="784"/>
      <c r="Q317" s="700"/>
      <c r="R317" s="700"/>
      <c r="S317" s="811"/>
      <c r="T317" s="701"/>
      <c r="U317" s="701"/>
      <c r="V317" s="701"/>
      <c r="W317" s="811"/>
      <c r="Y317" s="788"/>
      <c r="Z317" s="363" t="s">
        <v>145</v>
      </c>
      <c r="AA317" s="366" t="s">
        <v>159</v>
      </c>
      <c r="AB317" s="367" t="s">
        <v>160</v>
      </c>
      <c r="AC317" s="363" t="s">
        <v>145</v>
      </c>
      <c r="AD317" s="365" t="s">
        <v>160</v>
      </c>
      <c r="AE317" s="363" t="s">
        <v>145</v>
      </c>
      <c r="AF317" s="365" t="s">
        <v>160</v>
      </c>
      <c r="AG317" s="412"/>
      <c r="AH317" s="363" t="s">
        <v>156</v>
      </c>
      <c r="AI317" s="364" t="s">
        <v>157</v>
      </c>
      <c r="AJ317" s="365" t="s">
        <v>158</v>
      </c>
      <c r="AK317" s="777"/>
      <c r="AL317" s="777"/>
    </row>
    <row r="318" spans="1:38">
      <c r="A318" s="464">
        <v>44075</v>
      </c>
      <c r="B318" s="474">
        <v>3277</v>
      </c>
      <c r="C318" s="474">
        <v>0</v>
      </c>
      <c r="D318" s="474">
        <v>60</v>
      </c>
      <c r="E318" s="474"/>
      <c r="F318" s="474"/>
      <c r="G318" s="474"/>
      <c r="H318" s="474"/>
      <c r="I318" s="474"/>
      <c r="J318" s="474"/>
      <c r="K318" s="474">
        <v>20350.169999999998</v>
      </c>
      <c r="L318" s="474">
        <v>0</v>
      </c>
      <c r="M318" s="474">
        <v>2040</v>
      </c>
      <c r="N318" s="475">
        <v>26.5</v>
      </c>
      <c r="O318" s="476">
        <v>22390.17</v>
      </c>
      <c r="P318" s="477">
        <v>0.92024712159505762</v>
      </c>
      <c r="Q318" s="469">
        <v>9</v>
      </c>
      <c r="R318" s="470">
        <v>7.4999999999999997E-3</v>
      </c>
      <c r="S318" s="471">
        <v>0</v>
      </c>
      <c r="T318" s="471"/>
      <c r="U318" s="471"/>
      <c r="V318" s="471"/>
      <c r="W318" s="462"/>
      <c r="Y318" s="368">
        <f>A318</f>
        <v>44075</v>
      </c>
      <c r="Z318" s="429">
        <v>2534866</v>
      </c>
      <c r="AA318" s="393">
        <f t="shared" ref="AA318:AA348" si="90">Z318/B318</f>
        <v>773.53249923710712</v>
      </c>
      <c r="AB318" s="382">
        <f t="shared" ref="AB318:AB348" si="91">Z318*6.21</f>
        <v>15741517.859999999</v>
      </c>
      <c r="AC318" s="429">
        <v>2579516.2000000002</v>
      </c>
      <c r="AD318" s="430">
        <f t="shared" ref="AD318:AD348" si="92">AC318*55.95</f>
        <v>144323931.39000002</v>
      </c>
      <c r="AE318" s="429"/>
      <c r="AF318" s="430">
        <f t="shared" ref="AF318:AF348" si="93">AE318*55.95</f>
        <v>0</v>
      </c>
      <c r="AG318" s="426"/>
      <c r="AH318" s="380">
        <f>$K$40-K318</f>
        <v>156064.91225806449</v>
      </c>
      <c r="AI318" s="381">
        <f>$L$40-L318</f>
        <v>54799.415322580644</v>
      </c>
      <c r="AJ318" s="382">
        <f t="shared" ref="AJ318:AJ348" si="94">$M$40-M318</f>
        <v>20788.051612903226</v>
      </c>
      <c r="AK318" s="394">
        <f t="shared" ref="AK318:AK325" si="95">AH318+AI318+AJ318</f>
        <v>231652.37919354835</v>
      </c>
      <c r="AL318" s="440">
        <v>0</v>
      </c>
    </row>
    <row r="319" spans="1:38">
      <c r="A319" s="464">
        <v>44076</v>
      </c>
      <c r="B319" s="474">
        <v>3040</v>
      </c>
      <c r="C319" s="474">
        <v>0</v>
      </c>
      <c r="D319" s="474">
        <v>70</v>
      </c>
      <c r="E319" s="474"/>
      <c r="F319" s="474"/>
      <c r="G319" s="474"/>
      <c r="H319" s="474"/>
      <c r="I319" s="474"/>
      <c r="J319" s="474"/>
      <c r="K319" s="474">
        <v>18878.400000000001</v>
      </c>
      <c r="L319" s="474">
        <v>0</v>
      </c>
      <c r="M319" s="474">
        <v>2380</v>
      </c>
      <c r="N319" s="475">
        <v>27.5</v>
      </c>
      <c r="O319" s="476">
        <v>21258.400000000001</v>
      </c>
      <c r="P319" s="477">
        <v>0.90990721340915892</v>
      </c>
      <c r="Q319" s="469">
        <v>9</v>
      </c>
      <c r="R319" s="470">
        <v>8.0000000000000002E-3</v>
      </c>
      <c r="S319" s="471">
        <v>0</v>
      </c>
      <c r="T319" s="471"/>
      <c r="U319" s="471"/>
      <c r="V319" s="471"/>
      <c r="W319" s="462"/>
      <c r="Y319" s="368">
        <f t="shared" ref="Y319:Y348" si="96">A319</f>
        <v>44076</v>
      </c>
      <c r="Z319" s="429">
        <v>49</v>
      </c>
      <c r="AA319" s="393">
        <f t="shared" si="90"/>
        <v>1.611842105263158E-2</v>
      </c>
      <c r="AB319" s="382">
        <f t="shared" si="91"/>
        <v>304.29000000000002</v>
      </c>
      <c r="AC319" s="429">
        <v>0</v>
      </c>
      <c r="AD319" s="430">
        <f t="shared" si="92"/>
        <v>0</v>
      </c>
      <c r="AE319" s="429"/>
      <c r="AF319" s="430">
        <f t="shared" si="93"/>
        <v>0</v>
      </c>
      <c r="AG319" s="426"/>
      <c r="AH319" s="380">
        <f>$K$40-K319</f>
        <v>157536.68225806451</v>
      </c>
      <c r="AI319" s="381">
        <f>$L$40-L319</f>
        <v>54799.415322580644</v>
      </c>
      <c r="AJ319" s="382">
        <f t="shared" si="94"/>
        <v>20448.051612903226</v>
      </c>
      <c r="AK319" s="394">
        <f t="shared" si="95"/>
        <v>232784.14919354836</v>
      </c>
      <c r="AL319" s="440">
        <v>10</v>
      </c>
    </row>
    <row r="320" spans="1:38">
      <c r="A320" s="464">
        <v>44077</v>
      </c>
      <c r="B320" s="474">
        <v>2794</v>
      </c>
      <c r="C320" s="474">
        <v>107.75</v>
      </c>
      <c r="D320" s="474">
        <v>70</v>
      </c>
      <c r="E320" s="474"/>
      <c r="F320" s="474"/>
      <c r="G320" s="474"/>
      <c r="H320" s="474"/>
      <c r="I320" s="474"/>
      <c r="J320" s="474"/>
      <c r="K320" s="474">
        <v>17350.740000000002</v>
      </c>
      <c r="L320" s="474">
        <v>5780.7874999999995</v>
      </c>
      <c r="M320" s="474">
        <v>2380</v>
      </c>
      <c r="N320" s="475">
        <v>28.5</v>
      </c>
      <c r="O320" s="476">
        <v>25511.5275</v>
      </c>
      <c r="P320" s="477">
        <v>0.72969443718986682</v>
      </c>
      <c r="Q320" s="469">
        <v>9</v>
      </c>
      <c r="R320" s="470">
        <v>8.0000000000000002E-3</v>
      </c>
      <c r="S320" s="471">
        <v>0</v>
      </c>
      <c r="T320" s="471"/>
      <c r="U320" s="471"/>
      <c r="V320" s="471"/>
      <c r="W320" s="462"/>
      <c r="Y320" s="368">
        <f t="shared" si="96"/>
        <v>44077</v>
      </c>
      <c r="Z320" s="429">
        <v>19</v>
      </c>
      <c r="AA320" s="393">
        <f t="shared" si="90"/>
        <v>6.8002863278453828E-3</v>
      </c>
      <c r="AB320" s="382">
        <f t="shared" si="91"/>
        <v>117.99</v>
      </c>
      <c r="AC320" s="429">
        <v>0</v>
      </c>
      <c r="AD320" s="430">
        <f t="shared" si="92"/>
        <v>0</v>
      </c>
      <c r="AE320" s="429"/>
      <c r="AF320" s="430">
        <f t="shared" si="93"/>
        <v>0</v>
      </c>
      <c r="AG320" s="426"/>
      <c r="AH320" s="380">
        <f>$K$40-K320</f>
        <v>159064.34225806451</v>
      </c>
      <c r="AI320" s="381">
        <f>$L$40-L320</f>
        <v>49018.627822580645</v>
      </c>
      <c r="AJ320" s="382">
        <f t="shared" si="94"/>
        <v>20448.051612903226</v>
      </c>
      <c r="AK320" s="394">
        <f t="shared" si="95"/>
        <v>228531.02169354839</v>
      </c>
      <c r="AL320" s="440">
        <v>6</v>
      </c>
    </row>
    <row r="321" spans="1:38">
      <c r="A321" s="464">
        <v>44078</v>
      </c>
      <c r="B321" s="474">
        <v>2840</v>
      </c>
      <c r="C321" s="474">
        <v>0</v>
      </c>
      <c r="D321" s="474">
        <v>160</v>
      </c>
      <c r="E321" s="474"/>
      <c r="F321" s="474"/>
      <c r="G321" s="474"/>
      <c r="H321" s="474"/>
      <c r="I321" s="474"/>
      <c r="J321" s="474"/>
      <c r="K321" s="474">
        <v>17636.400000000001</v>
      </c>
      <c r="L321" s="474">
        <v>0</v>
      </c>
      <c r="M321" s="474">
        <v>5440</v>
      </c>
      <c r="N321" s="475">
        <v>29.5</v>
      </c>
      <c r="O321" s="476">
        <v>23076.400000000001</v>
      </c>
      <c r="P321" s="477">
        <v>0.8</v>
      </c>
      <c r="Q321" s="469">
        <v>9</v>
      </c>
      <c r="R321" s="470">
        <v>8.0000000000000002E-3</v>
      </c>
      <c r="S321" s="471">
        <v>0</v>
      </c>
      <c r="T321" s="471"/>
      <c r="U321" s="471"/>
      <c r="V321" s="471"/>
      <c r="W321" s="462"/>
      <c r="Y321" s="368">
        <f t="shared" si="96"/>
        <v>44078</v>
      </c>
      <c r="Z321" s="429">
        <v>49</v>
      </c>
      <c r="AA321" s="393">
        <f t="shared" si="90"/>
        <v>1.7253521126760565E-2</v>
      </c>
      <c r="AB321" s="382">
        <f t="shared" si="91"/>
        <v>304.29000000000002</v>
      </c>
      <c r="AC321" s="429">
        <v>0</v>
      </c>
      <c r="AD321" s="430">
        <f t="shared" si="92"/>
        <v>0</v>
      </c>
      <c r="AE321" s="429"/>
      <c r="AF321" s="430">
        <f t="shared" si="93"/>
        <v>0</v>
      </c>
      <c r="AG321" s="426"/>
      <c r="AH321" s="380">
        <f>$K$40-K321</f>
        <v>158778.68225806451</v>
      </c>
      <c r="AI321" s="381">
        <f>$L$40-L321</f>
        <v>54799.415322580644</v>
      </c>
      <c r="AJ321" s="382">
        <f t="shared" si="94"/>
        <v>17388.051612903226</v>
      </c>
      <c r="AK321" s="394">
        <f t="shared" si="95"/>
        <v>230966.14919354836</v>
      </c>
      <c r="AL321" s="440">
        <v>5</v>
      </c>
    </row>
    <row r="322" spans="1:38" ht="16.5" customHeight="1">
      <c r="A322" s="464">
        <v>44079</v>
      </c>
      <c r="B322" s="474">
        <v>2912</v>
      </c>
      <c r="C322" s="474">
        <v>107.75</v>
      </c>
      <c r="D322" s="474">
        <v>80</v>
      </c>
      <c r="E322" s="474"/>
      <c r="F322" s="474"/>
      <c r="G322" s="474"/>
      <c r="H322" s="474"/>
      <c r="I322" s="474"/>
      <c r="J322" s="474"/>
      <c r="K322" s="474">
        <v>18083.52</v>
      </c>
      <c r="L322" s="474">
        <v>5780.7874999999995</v>
      </c>
      <c r="M322" s="474">
        <v>2720</v>
      </c>
      <c r="N322" s="475">
        <v>30.5</v>
      </c>
      <c r="O322" s="476">
        <v>26584.307499999999</v>
      </c>
      <c r="P322" s="477">
        <v>0.80597841129255465</v>
      </c>
      <c r="Q322" s="469">
        <v>9</v>
      </c>
      <c r="R322" s="470">
        <v>8.0000000000000002E-3</v>
      </c>
      <c r="S322" s="471">
        <v>0</v>
      </c>
      <c r="T322" s="471"/>
      <c r="U322" s="471"/>
      <c r="V322" s="471"/>
      <c r="W322" s="462" t="s">
        <v>220</v>
      </c>
      <c r="Y322" s="368">
        <f t="shared" si="96"/>
        <v>44079</v>
      </c>
      <c r="Z322" s="429">
        <v>18</v>
      </c>
      <c r="AA322" s="393">
        <f t="shared" si="90"/>
        <v>6.181318681318681E-3</v>
      </c>
      <c r="AB322" s="382">
        <f t="shared" si="91"/>
        <v>111.78</v>
      </c>
      <c r="AC322" s="429">
        <v>0</v>
      </c>
      <c r="AD322" s="430">
        <f t="shared" si="92"/>
        <v>0</v>
      </c>
      <c r="AE322" s="429"/>
      <c r="AF322" s="430">
        <f t="shared" si="93"/>
        <v>0</v>
      </c>
      <c r="AG322" s="426"/>
      <c r="AH322" s="380">
        <f t="shared" ref="AH322:AH348" si="97">$K$40-K322</f>
        <v>158331.56225806451</v>
      </c>
      <c r="AI322" s="381">
        <f t="shared" ref="AI322:AI348" si="98">$L$40-L322</f>
        <v>49018.627822580645</v>
      </c>
      <c r="AJ322" s="382">
        <f t="shared" si="94"/>
        <v>20108.051612903226</v>
      </c>
      <c r="AK322" s="394">
        <f t="shared" si="95"/>
        <v>227458.24169354836</v>
      </c>
      <c r="AL322" s="440">
        <v>0</v>
      </c>
    </row>
    <row r="323" spans="1:38">
      <c r="A323" s="464">
        <v>44080</v>
      </c>
      <c r="B323" s="474">
        <v>2834</v>
      </c>
      <c r="C323" s="474">
        <v>0</v>
      </c>
      <c r="D323" s="474">
        <v>80</v>
      </c>
      <c r="E323" s="474"/>
      <c r="F323" s="474"/>
      <c r="G323" s="474"/>
      <c r="H323" s="474"/>
      <c r="I323" s="474"/>
      <c r="J323" s="474"/>
      <c r="K323" s="474">
        <v>17599.14</v>
      </c>
      <c r="L323" s="474">
        <v>0</v>
      </c>
      <c r="M323" s="474">
        <v>2720</v>
      </c>
      <c r="N323" s="475">
        <v>31.5</v>
      </c>
      <c r="O323" s="476">
        <v>20319.14</v>
      </c>
      <c r="P323" s="477">
        <v>0.77750342935528116</v>
      </c>
      <c r="Q323" s="469">
        <v>9</v>
      </c>
      <c r="R323" s="470">
        <v>8.0000000000000002E-3</v>
      </c>
      <c r="S323" s="471">
        <v>0</v>
      </c>
      <c r="T323" s="471"/>
      <c r="U323" s="471"/>
      <c r="V323" s="471"/>
      <c r="W323" s="462"/>
      <c r="Y323" s="368">
        <f t="shared" si="96"/>
        <v>44080</v>
      </c>
      <c r="Z323" s="429">
        <v>41</v>
      </c>
      <c r="AA323" s="393">
        <f t="shared" si="90"/>
        <v>1.4467184191954835E-2</v>
      </c>
      <c r="AB323" s="382">
        <f t="shared" si="91"/>
        <v>254.60999999999999</v>
      </c>
      <c r="AC323" s="429">
        <v>0</v>
      </c>
      <c r="AD323" s="430">
        <f t="shared" si="92"/>
        <v>0</v>
      </c>
      <c r="AE323" s="429"/>
      <c r="AF323" s="430">
        <f t="shared" si="93"/>
        <v>0</v>
      </c>
      <c r="AG323" s="426"/>
      <c r="AH323" s="380">
        <f t="shared" si="97"/>
        <v>158815.94225806452</v>
      </c>
      <c r="AI323" s="381">
        <f t="shared" si="98"/>
        <v>54799.415322580644</v>
      </c>
      <c r="AJ323" s="382">
        <f t="shared" si="94"/>
        <v>20108.051612903226</v>
      </c>
      <c r="AK323" s="394">
        <f t="shared" si="95"/>
        <v>233723.40919354837</v>
      </c>
      <c r="AL323" s="440">
        <v>12</v>
      </c>
    </row>
    <row r="324" spans="1:38" ht="29.25" customHeight="1">
      <c r="A324" s="464">
        <v>44081</v>
      </c>
      <c r="B324" s="474">
        <v>2846</v>
      </c>
      <c r="C324" s="474">
        <v>0</v>
      </c>
      <c r="D324" s="474">
        <v>80</v>
      </c>
      <c r="E324" s="474"/>
      <c r="F324" s="474"/>
      <c r="G324" s="474"/>
      <c r="H324" s="474"/>
      <c r="I324" s="474"/>
      <c r="J324" s="474"/>
      <c r="K324" s="474">
        <v>17673.66</v>
      </c>
      <c r="L324" s="474">
        <v>0</v>
      </c>
      <c r="M324" s="474">
        <v>2720</v>
      </c>
      <c r="N324" s="475">
        <v>32.5</v>
      </c>
      <c r="O324" s="476">
        <v>20393.66</v>
      </c>
      <c r="P324" s="477">
        <v>0.80236819847758667</v>
      </c>
      <c r="Q324" s="469">
        <v>9</v>
      </c>
      <c r="R324" s="470">
        <v>8.0000000000000002E-3</v>
      </c>
      <c r="S324" s="471">
        <v>0</v>
      </c>
      <c r="T324" s="471"/>
      <c r="U324" s="471"/>
      <c r="V324" s="471"/>
      <c r="W324" s="462" t="s">
        <v>221</v>
      </c>
      <c r="Y324" s="368">
        <f t="shared" si="96"/>
        <v>44081</v>
      </c>
      <c r="Z324" s="429">
        <v>32</v>
      </c>
      <c r="AA324" s="393">
        <f t="shared" si="90"/>
        <v>1.1243851018973999E-2</v>
      </c>
      <c r="AB324" s="382">
        <f t="shared" si="91"/>
        <v>198.72</v>
      </c>
      <c r="AC324" s="429">
        <v>0</v>
      </c>
      <c r="AD324" s="430">
        <f t="shared" si="92"/>
        <v>0</v>
      </c>
      <c r="AE324" s="429"/>
      <c r="AF324" s="430">
        <f t="shared" si="93"/>
        <v>0</v>
      </c>
      <c r="AG324" s="426"/>
      <c r="AH324" s="380">
        <f t="shared" si="97"/>
        <v>158741.4222580645</v>
      </c>
      <c r="AI324" s="381">
        <f t="shared" si="98"/>
        <v>54799.415322580644</v>
      </c>
      <c r="AJ324" s="382">
        <f t="shared" si="94"/>
        <v>20108.051612903226</v>
      </c>
      <c r="AK324" s="394">
        <f t="shared" si="95"/>
        <v>233648.88919354836</v>
      </c>
      <c r="AL324" s="440">
        <v>0</v>
      </c>
    </row>
    <row r="325" spans="1:38">
      <c r="A325" s="464">
        <v>44082</v>
      </c>
      <c r="B325" s="474">
        <v>2886</v>
      </c>
      <c r="C325" s="474">
        <v>107.75</v>
      </c>
      <c r="D325" s="474">
        <v>70</v>
      </c>
      <c r="E325" s="474"/>
      <c r="F325" s="474"/>
      <c r="G325" s="474"/>
      <c r="H325" s="474"/>
      <c r="I325" s="474"/>
      <c r="J325" s="474"/>
      <c r="K325" s="474">
        <v>17922.060000000001</v>
      </c>
      <c r="L325" s="474">
        <v>5780.7874999999995</v>
      </c>
      <c r="M325" s="474">
        <v>2380</v>
      </c>
      <c r="N325" s="475">
        <v>33.5</v>
      </c>
      <c r="O325" s="476">
        <v>26082.8475</v>
      </c>
      <c r="P325" s="477">
        <v>0.80166666666666664</v>
      </c>
      <c r="Q325" s="469">
        <v>9</v>
      </c>
      <c r="R325" s="470">
        <v>8.0000000000000002E-3</v>
      </c>
      <c r="S325" s="471">
        <v>0</v>
      </c>
      <c r="T325" s="471"/>
      <c r="U325" s="471"/>
      <c r="V325" s="471"/>
      <c r="W325" s="462"/>
      <c r="Y325" s="368">
        <f t="shared" si="96"/>
        <v>44082</v>
      </c>
      <c r="Z325" s="429">
        <v>30</v>
      </c>
      <c r="AA325" s="393">
        <f t="shared" si="90"/>
        <v>1.0395010395010396E-2</v>
      </c>
      <c r="AB325" s="382">
        <f t="shared" si="91"/>
        <v>186.3</v>
      </c>
      <c r="AC325" s="429">
        <v>31</v>
      </c>
      <c r="AD325" s="430">
        <f t="shared" si="92"/>
        <v>1734.45</v>
      </c>
      <c r="AE325" s="429"/>
      <c r="AF325" s="430">
        <f t="shared" si="93"/>
        <v>0</v>
      </c>
      <c r="AG325" s="426"/>
      <c r="AH325" s="380">
        <f t="shared" si="97"/>
        <v>158493.02225806451</v>
      </c>
      <c r="AI325" s="381">
        <f t="shared" si="98"/>
        <v>49018.627822580645</v>
      </c>
      <c r="AJ325" s="382">
        <f t="shared" si="94"/>
        <v>20448.051612903226</v>
      </c>
      <c r="AK325" s="394">
        <f t="shared" si="95"/>
        <v>227959.70169354838</v>
      </c>
      <c r="AL325" s="440">
        <v>0</v>
      </c>
    </row>
    <row r="326" spans="1:38">
      <c r="A326" s="464">
        <v>44083</v>
      </c>
      <c r="B326" s="474">
        <v>3072</v>
      </c>
      <c r="C326" s="474">
        <v>0</v>
      </c>
      <c r="D326" s="474">
        <v>80</v>
      </c>
      <c r="E326" s="474"/>
      <c r="F326" s="474"/>
      <c r="G326" s="474"/>
      <c r="H326" s="474"/>
      <c r="I326" s="474"/>
      <c r="J326" s="474"/>
      <c r="K326" s="474">
        <v>19077.12</v>
      </c>
      <c r="L326" s="474">
        <v>0</v>
      </c>
      <c r="M326" s="474">
        <v>2720</v>
      </c>
      <c r="N326" s="475">
        <v>34.5</v>
      </c>
      <c r="O326" s="476">
        <v>21797.119999999999</v>
      </c>
      <c r="P326" s="477">
        <v>0.82469798657718119</v>
      </c>
      <c r="Q326" s="469">
        <v>9</v>
      </c>
      <c r="R326" s="470">
        <v>8.0000000000000002E-3</v>
      </c>
      <c r="S326" s="471">
        <v>0</v>
      </c>
      <c r="T326" s="471"/>
      <c r="U326" s="471"/>
      <c r="V326" s="471"/>
      <c r="W326" s="462"/>
      <c r="Y326" s="368">
        <f t="shared" si="96"/>
        <v>44083</v>
      </c>
      <c r="Z326" s="429">
        <v>36</v>
      </c>
      <c r="AA326" s="393">
        <f t="shared" si="90"/>
        <v>1.171875E-2</v>
      </c>
      <c r="AB326" s="382">
        <f t="shared" si="91"/>
        <v>223.56</v>
      </c>
      <c r="AC326" s="429">
        <v>0</v>
      </c>
      <c r="AD326" s="430">
        <f t="shared" si="92"/>
        <v>0</v>
      </c>
      <c r="AE326" s="429"/>
      <c r="AF326" s="430">
        <f t="shared" si="93"/>
        <v>0</v>
      </c>
      <c r="AG326" s="426"/>
      <c r="AH326" s="380">
        <f t="shared" si="97"/>
        <v>157337.96225806451</v>
      </c>
      <c r="AI326" s="381">
        <f t="shared" si="98"/>
        <v>54799.415322580644</v>
      </c>
      <c r="AJ326" s="382">
        <f t="shared" si="94"/>
        <v>20108.051612903226</v>
      </c>
      <c r="AK326" s="394">
        <f>AH326+AI326+AJ326</f>
        <v>232245.42919354836</v>
      </c>
      <c r="AL326" s="440">
        <v>5</v>
      </c>
    </row>
    <row r="327" spans="1:38">
      <c r="A327" s="464">
        <v>44084</v>
      </c>
      <c r="B327" s="474">
        <v>3015</v>
      </c>
      <c r="C327" s="474">
        <v>0</v>
      </c>
      <c r="D327" s="474">
        <v>110</v>
      </c>
      <c r="E327" s="474"/>
      <c r="F327" s="474"/>
      <c r="G327" s="474"/>
      <c r="H327" s="474"/>
      <c r="I327" s="474"/>
      <c r="J327" s="474"/>
      <c r="K327" s="474">
        <v>18723.150000000001</v>
      </c>
      <c r="L327" s="474">
        <v>0</v>
      </c>
      <c r="M327" s="474">
        <v>3740</v>
      </c>
      <c r="N327" s="475">
        <v>35.5</v>
      </c>
      <c r="O327" s="476">
        <v>22463.15</v>
      </c>
      <c r="P327" s="477">
        <v>0.81201185025585776</v>
      </c>
      <c r="Q327" s="469">
        <v>9</v>
      </c>
      <c r="R327" s="470">
        <v>8.0000000000000002E-3</v>
      </c>
      <c r="S327" s="471">
        <v>0</v>
      </c>
      <c r="T327" s="471"/>
      <c r="U327" s="471"/>
      <c r="V327" s="471"/>
      <c r="W327" s="462"/>
      <c r="Y327" s="368">
        <f t="shared" si="96"/>
        <v>44084</v>
      </c>
      <c r="Z327" s="429">
        <v>32</v>
      </c>
      <c r="AA327" s="393">
        <f t="shared" si="90"/>
        <v>1.0613598673300166E-2</v>
      </c>
      <c r="AB327" s="382">
        <f t="shared" si="91"/>
        <v>198.72</v>
      </c>
      <c r="AC327" s="429">
        <v>0</v>
      </c>
      <c r="AD327" s="430">
        <f t="shared" si="92"/>
        <v>0</v>
      </c>
      <c r="AE327" s="429"/>
      <c r="AF327" s="430">
        <f t="shared" si="93"/>
        <v>0</v>
      </c>
      <c r="AG327" s="426"/>
      <c r="AH327" s="380">
        <f t="shared" si="97"/>
        <v>157691.93225806451</v>
      </c>
      <c r="AI327" s="381">
        <f t="shared" si="98"/>
        <v>54799.415322580644</v>
      </c>
      <c r="AJ327" s="382">
        <f t="shared" si="94"/>
        <v>19088.051612903226</v>
      </c>
      <c r="AK327" s="394">
        <f t="shared" ref="AK327:AK348" si="99">AH327+AI327+AJ327</f>
        <v>231579.39919354836</v>
      </c>
      <c r="AL327" s="440">
        <v>5</v>
      </c>
    </row>
    <row r="328" spans="1:38">
      <c r="A328" s="464">
        <v>44085</v>
      </c>
      <c r="B328" s="474">
        <v>3003</v>
      </c>
      <c r="C328" s="474">
        <v>107.75</v>
      </c>
      <c r="D328" s="474">
        <v>70</v>
      </c>
      <c r="E328" s="474"/>
      <c r="F328" s="474"/>
      <c r="G328" s="474"/>
      <c r="H328" s="474"/>
      <c r="I328" s="474"/>
      <c r="J328" s="474"/>
      <c r="K328" s="474">
        <v>18648.63</v>
      </c>
      <c r="L328" s="474">
        <v>5780.7874999999995</v>
      </c>
      <c r="M328" s="474">
        <v>2380</v>
      </c>
      <c r="N328" s="475">
        <v>36.5</v>
      </c>
      <c r="O328" s="476">
        <v>26809.4175</v>
      </c>
      <c r="P328" s="477">
        <v>0.80552575107296143</v>
      </c>
      <c r="Q328" s="469">
        <v>9</v>
      </c>
      <c r="R328" s="470">
        <v>8.0000000000000002E-3</v>
      </c>
      <c r="S328" s="471">
        <v>0</v>
      </c>
      <c r="T328" s="471"/>
      <c r="U328" s="471"/>
      <c r="V328" s="471"/>
      <c r="W328" s="462"/>
      <c r="Y328" s="368">
        <f t="shared" si="96"/>
        <v>44085</v>
      </c>
      <c r="Z328" s="429">
        <v>47</v>
      </c>
      <c r="AA328" s="393">
        <f t="shared" si="90"/>
        <v>1.5651015651015652E-2</v>
      </c>
      <c r="AB328" s="382">
        <f t="shared" si="91"/>
        <v>291.87</v>
      </c>
      <c r="AC328" s="429">
        <v>0</v>
      </c>
      <c r="AD328" s="430">
        <f t="shared" si="92"/>
        <v>0</v>
      </c>
      <c r="AE328" s="429"/>
      <c r="AF328" s="430">
        <f t="shared" si="93"/>
        <v>0</v>
      </c>
      <c r="AG328" s="412"/>
      <c r="AH328" s="380">
        <f t="shared" si="97"/>
        <v>157766.4522580645</v>
      </c>
      <c r="AI328" s="381">
        <f t="shared" si="98"/>
        <v>49018.627822580645</v>
      </c>
      <c r="AJ328" s="382">
        <f t="shared" si="94"/>
        <v>20448.051612903226</v>
      </c>
      <c r="AK328" s="394">
        <f t="shared" si="99"/>
        <v>227233.13169354838</v>
      </c>
      <c r="AL328" s="440">
        <v>9</v>
      </c>
    </row>
    <row r="329" spans="1:38">
      <c r="A329" s="464">
        <v>44086</v>
      </c>
      <c r="B329" s="474">
        <v>3038</v>
      </c>
      <c r="C329" s="474">
        <v>0</v>
      </c>
      <c r="D329" s="474">
        <v>100</v>
      </c>
      <c r="E329" s="474"/>
      <c r="F329" s="474"/>
      <c r="G329" s="474"/>
      <c r="H329" s="474"/>
      <c r="I329" s="474"/>
      <c r="J329" s="474"/>
      <c r="K329" s="474">
        <v>18865.98</v>
      </c>
      <c r="L329" s="474">
        <v>0</v>
      </c>
      <c r="M329" s="474">
        <v>3400</v>
      </c>
      <c r="N329" s="475">
        <v>37.5</v>
      </c>
      <c r="O329" s="476">
        <v>22265.98</v>
      </c>
      <c r="P329" s="477">
        <v>0.83484473756526523</v>
      </c>
      <c r="Q329" s="469">
        <v>3</v>
      </c>
      <c r="R329" s="470">
        <v>8.0000000000000002E-3</v>
      </c>
      <c r="S329" s="471">
        <v>0</v>
      </c>
      <c r="T329" s="471"/>
      <c r="U329" s="471"/>
      <c r="V329" s="471"/>
      <c r="W329" s="463"/>
      <c r="Y329" s="368">
        <f t="shared" si="96"/>
        <v>44086</v>
      </c>
      <c r="Z329" s="429">
        <v>26</v>
      </c>
      <c r="AA329" s="393">
        <f t="shared" si="90"/>
        <v>8.558262014483212E-3</v>
      </c>
      <c r="AB329" s="382">
        <f t="shared" si="91"/>
        <v>161.46</v>
      </c>
      <c r="AC329" s="429">
        <v>0</v>
      </c>
      <c r="AD329" s="430">
        <f t="shared" si="92"/>
        <v>0</v>
      </c>
      <c r="AE329" s="429"/>
      <c r="AF329" s="430">
        <f t="shared" si="93"/>
        <v>0</v>
      </c>
      <c r="AG329" s="412"/>
      <c r="AH329" s="380">
        <f t="shared" si="97"/>
        <v>157549.10225806449</v>
      </c>
      <c r="AI329" s="381">
        <f t="shared" si="98"/>
        <v>54799.415322580644</v>
      </c>
      <c r="AJ329" s="382">
        <f t="shared" si="94"/>
        <v>19428.051612903226</v>
      </c>
      <c r="AK329" s="394">
        <f t="shared" si="99"/>
        <v>231776.56919354835</v>
      </c>
      <c r="AL329" s="440">
        <v>0</v>
      </c>
    </row>
    <row r="330" spans="1:38">
      <c r="A330" s="433">
        <v>44087</v>
      </c>
      <c r="B330" s="479">
        <v>2690</v>
      </c>
      <c r="C330" s="474">
        <v>107.75</v>
      </c>
      <c r="D330" s="479">
        <v>70</v>
      </c>
      <c r="E330" s="479"/>
      <c r="F330" s="479"/>
      <c r="G330" s="479"/>
      <c r="H330" s="479"/>
      <c r="I330" s="479"/>
      <c r="J330" s="479"/>
      <c r="K330" s="479">
        <v>16704.900000000001</v>
      </c>
      <c r="L330" s="474">
        <v>5780.7874999999995</v>
      </c>
      <c r="M330" s="479">
        <v>2380</v>
      </c>
      <c r="N330" s="480">
        <v>38.5</v>
      </c>
      <c r="O330" s="481">
        <v>24865.6875</v>
      </c>
      <c r="P330" s="482">
        <v>0.79071134626690187</v>
      </c>
      <c r="Q330" s="437">
        <v>3</v>
      </c>
      <c r="R330" s="438">
        <v>8.0000000000000002E-3</v>
      </c>
      <c r="S330" s="439">
        <v>0</v>
      </c>
      <c r="T330" s="439"/>
      <c r="U330" s="439"/>
      <c r="V330" s="439"/>
      <c r="W330" s="463"/>
      <c r="Y330" s="368">
        <f t="shared" si="96"/>
        <v>44087</v>
      </c>
      <c r="Z330" s="429">
        <v>50</v>
      </c>
      <c r="AA330" s="393">
        <f t="shared" si="90"/>
        <v>1.858736059479554E-2</v>
      </c>
      <c r="AB330" s="382">
        <f t="shared" si="91"/>
        <v>310.5</v>
      </c>
      <c r="AC330" s="429">
        <v>0</v>
      </c>
      <c r="AD330" s="430">
        <f t="shared" si="92"/>
        <v>0</v>
      </c>
      <c r="AE330" s="429"/>
      <c r="AF330" s="430">
        <f t="shared" si="93"/>
        <v>0</v>
      </c>
      <c r="AG330" s="412"/>
      <c r="AH330" s="380">
        <f t="shared" si="97"/>
        <v>159710.18225806451</v>
      </c>
      <c r="AI330" s="381">
        <f t="shared" si="98"/>
        <v>49018.627822580645</v>
      </c>
      <c r="AJ330" s="382">
        <f t="shared" si="94"/>
        <v>20448.051612903226</v>
      </c>
      <c r="AK330" s="394">
        <f t="shared" si="99"/>
        <v>229176.86169354836</v>
      </c>
      <c r="AL330" s="440">
        <v>0</v>
      </c>
    </row>
    <row r="331" spans="1:38">
      <c r="A331" s="433">
        <v>44088</v>
      </c>
      <c r="B331" s="479">
        <v>2869</v>
      </c>
      <c r="C331" s="474">
        <v>107.75</v>
      </c>
      <c r="D331" s="479">
        <v>120</v>
      </c>
      <c r="E331" s="479"/>
      <c r="F331" s="479"/>
      <c r="G331" s="479"/>
      <c r="H331" s="479"/>
      <c r="I331" s="479"/>
      <c r="J331" s="479"/>
      <c r="K331" s="479">
        <v>17816.490000000002</v>
      </c>
      <c r="L331" s="474">
        <v>5780.7874999999995</v>
      </c>
      <c r="M331" s="479">
        <v>4080</v>
      </c>
      <c r="N331" s="480">
        <v>39.5</v>
      </c>
      <c r="O331" s="481">
        <v>27677.2775</v>
      </c>
      <c r="P331" s="482">
        <v>0.81528843421426545</v>
      </c>
      <c r="Q331" s="437">
        <v>3</v>
      </c>
      <c r="R331" s="438">
        <v>8.0000000000000002E-3</v>
      </c>
      <c r="S331" s="439">
        <v>0</v>
      </c>
      <c r="T331" s="439"/>
      <c r="U331" s="439"/>
      <c r="V331" s="439"/>
      <c r="W331" s="463"/>
      <c r="Y331" s="368">
        <f t="shared" si="96"/>
        <v>44088</v>
      </c>
      <c r="Z331" s="429">
        <v>15</v>
      </c>
      <c r="AA331" s="393">
        <f t="shared" si="90"/>
        <v>5.2283025444405714E-3</v>
      </c>
      <c r="AB331" s="382">
        <f t="shared" si="91"/>
        <v>93.15</v>
      </c>
      <c r="AC331" s="429">
        <v>0</v>
      </c>
      <c r="AD331" s="430">
        <f t="shared" si="92"/>
        <v>0</v>
      </c>
      <c r="AE331" s="429"/>
      <c r="AF331" s="430">
        <f t="shared" si="93"/>
        <v>0</v>
      </c>
      <c r="AG331" s="412"/>
      <c r="AH331" s="380">
        <f t="shared" si="97"/>
        <v>158598.59225806451</v>
      </c>
      <c r="AI331" s="381">
        <f t="shared" si="98"/>
        <v>49018.627822580645</v>
      </c>
      <c r="AJ331" s="382">
        <f t="shared" si="94"/>
        <v>18748.051612903226</v>
      </c>
      <c r="AK331" s="394">
        <f t="shared" si="99"/>
        <v>226365.27169354839</v>
      </c>
      <c r="AL331" s="440">
        <v>0</v>
      </c>
    </row>
    <row r="332" spans="1:38">
      <c r="A332" s="433">
        <v>44089</v>
      </c>
      <c r="B332" s="474">
        <v>2976</v>
      </c>
      <c r="C332" s="474">
        <v>0</v>
      </c>
      <c r="D332" s="474">
        <v>70</v>
      </c>
      <c r="E332" s="474"/>
      <c r="F332" s="474"/>
      <c r="G332" s="474"/>
      <c r="H332" s="474"/>
      <c r="I332" s="474"/>
      <c r="J332" s="474"/>
      <c r="K332" s="474">
        <v>18480.96</v>
      </c>
      <c r="L332" s="474">
        <v>0</v>
      </c>
      <c r="M332" s="474">
        <v>2380</v>
      </c>
      <c r="N332" s="475">
        <v>40.5</v>
      </c>
      <c r="O332" s="476">
        <v>20860.96</v>
      </c>
      <c r="P332" s="477">
        <v>0.80935545281479471</v>
      </c>
      <c r="Q332" s="469">
        <v>3</v>
      </c>
      <c r="R332" s="470">
        <v>8.0000000000000002E-3</v>
      </c>
      <c r="S332" s="471">
        <v>0</v>
      </c>
      <c r="T332" s="471"/>
      <c r="U332" s="471"/>
      <c r="V332" s="471"/>
      <c r="W332" s="463"/>
      <c r="Y332" s="368">
        <f t="shared" si="96"/>
        <v>44089</v>
      </c>
      <c r="Z332" s="429">
        <v>53</v>
      </c>
      <c r="AA332" s="393">
        <f t="shared" si="90"/>
        <v>1.7809139784946238E-2</v>
      </c>
      <c r="AB332" s="382">
        <f t="shared" si="91"/>
        <v>329.13</v>
      </c>
      <c r="AC332" s="429">
        <v>0</v>
      </c>
      <c r="AD332" s="430">
        <f t="shared" si="92"/>
        <v>0</v>
      </c>
      <c r="AE332" s="429"/>
      <c r="AF332" s="430">
        <f t="shared" si="93"/>
        <v>0</v>
      </c>
      <c r="AG332" s="412"/>
      <c r="AH332" s="380">
        <f t="shared" si="97"/>
        <v>157934.12225806451</v>
      </c>
      <c r="AI332" s="381">
        <f t="shared" si="98"/>
        <v>54799.415322580644</v>
      </c>
      <c r="AJ332" s="382">
        <f t="shared" si="94"/>
        <v>20448.051612903226</v>
      </c>
      <c r="AK332" s="394">
        <f t="shared" si="99"/>
        <v>233181.58919354837</v>
      </c>
      <c r="AL332" s="440">
        <v>8</v>
      </c>
    </row>
    <row r="333" spans="1:38">
      <c r="A333" s="433">
        <v>44090</v>
      </c>
      <c r="B333" s="474">
        <v>2621</v>
      </c>
      <c r="C333" s="474">
        <v>107.75</v>
      </c>
      <c r="D333" s="474">
        <v>130</v>
      </c>
      <c r="E333" s="474"/>
      <c r="F333" s="474"/>
      <c r="G333" s="474"/>
      <c r="H333" s="474"/>
      <c r="I333" s="474"/>
      <c r="J333" s="474"/>
      <c r="K333" s="474">
        <v>16276.41</v>
      </c>
      <c r="L333" s="474">
        <v>5780.7874999999995</v>
      </c>
      <c r="M333" s="474">
        <v>4420</v>
      </c>
      <c r="N333" s="475">
        <v>41.5</v>
      </c>
      <c r="O333" s="476">
        <v>26477.197499999998</v>
      </c>
      <c r="P333" s="477">
        <v>0.77452718676122934</v>
      </c>
      <c r="Q333" s="469">
        <v>3</v>
      </c>
      <c r="R333" s="470">
        <v>8.0000000000000002E-3</v>
      </c>
      <c r="S333" s="471">
        <v>0</v>
      </c>
      <c r="T333" s="471"/>
      <c r="U333" s="471"/>
      <c r="V333" s="471"/>
      <c r="W333" s="463" t="s">
        <v>222</v>
      </c>
      <c r="Y333" s="368">
        <f t="shared" si="96"/>
        <v>44090</v>
      </c>
      <c r="Z333" s="429">
        <v>12</v>
      </c>
      <c r="AA333" s="393">
        <f t="shared" si="90"/>
        <v>4.5784051888592137E-3</v>
      </c>
      <c r="AB333" s="382">
        <f t="shared" si="91"/>
        <v>74.52</v>
      </c>
      <c r="AC333" s="429">
        <v>0</v>
      </c>
      <c r="AD333" s="430">
        <f t="shared" si="92"/>
        <v>0</v>
      </c>
      <c r="AE333" s="429"/>
      <c r="AF333" s="430">
        <f t="shared" si="93"/>
        <v>0</v>
      </c>
      <c r="AG333" s="412"/>
      <c r="AH333" s="380">
        <f t="shared" si="97"/>
        <v>160138.6722580645</v>
      </c>
      <c r="AI333" s="381">
        <f t="shared" si="98"/>
        <v>49018.627822580645</v>
      </c>
      <c r="AJ333" s="382">
        <f t="shared" si="94"/>
        <v>18408.051612903226</v>
      </c>
      <c r="AK333" s="394">
        <f t="shared" si="99"/>
        <v>227565.35169354835</v>
      </c>
      <c r="AL333" s="440">
        <v>5</v>
      </c>
    </row>
    <row r="334" spans="1:38">
      <c r="A334" s="433">
        <v>44091</v>
      </c>
      <c r="B334" s="474">
        <v>2504</v>
      </c>
      <c r="C334" s="474">
        <v>0</v>
      </c>
      <c r="D334" s="474">
        <v>90</v>
      </c>
      <c r="E334" s="474"/>
      <c r="F334" s="474"/>
      <c r="G334" s="474"/>
      <c r="H334" s="474"/>
      <c r="I334" s="474"/>
      <c r="J334" s="474"/>
      <c r="K334" s="474">
        <v>15549.84</v>
      </c>
      <c r="L334" s="474">
        <v>0</v>
      </c>
      <c r="M334" s="474">
        <v>3060</v>
      </c>
      <c r="N334" s="475">
        <v>42.5</v>
      </c>
      <c r="O334" s="476">
        <v>18609.84</v>
      </c>
      <c r="P334" s="477">
        <v>0.75421686746987948</v>
      </c>
      <c r="Q334" s="469">
        <v>3</v>
      </c>
      <c r="R334" s="470">
        <v>8.0000000000000002E-3</v>
      </c>
      <c r="S334" s="471">
        <v>0</v>
      </c>
      <c r="T334" s="471"/>
      <c r="U334" s="471"/>
      <c r="V334" s="471"/>
      <c r="W334" s="462"/>
      <c r="Y334" s="368">
        <f t="shared" si="96"/>
        <v>44091</v>
      </c>
      <c r="Z334" s="429">
        <v>54</v>
      </c>
      <c r="AA334" s="393">
        <f t="shared" si="90"/>
        <v>2.1565495207667731E-2</v>
      </c>
      <c r="AB334" s="382">
        <f t="shared" si="91"/>
        <v>335.34</v>
      </c>
      <c r="AC334" s="429">
        <v>0</v>
      </c>
      <c r="AD334" s="430">
        <f t="shared" si="92"/>
        <v>0</v>
      </c>
      <c r="AE334" s="429"/>
      <c r="AF334" s="430">
        <f t="shared" si="93"/>
        <v>0</v>
      </c>
      <c r="AG334" s="412"/>
      <c r="AH334" s="380">
        <f t="shared" si="97"/>
        <v>160865.24225806451</v>
      </c>
      <c r="AI334" s="381">
        <f t="shared" si="98"/>
        <v>54799.415322580644</v>
      </c>
      <c r="AJ334" s="382">
        <f t="shared" si="94"/>
        <v>19768.051612903226</v>
      </c>
      <c r="AK334" s="394">
        <f t="shared" si="99"/>
        <v>235432.70919354836</v>
      </c>
      <c r="AL334" s="440">
        <v>0</v>
      </c>
    </row>
    <row r="335" spans="1:38">
      <c r="A335" s="433">
        <v>44092</v>
      </c>
      <c r="B335" s="479">
        <v>2936</v>
      </c>
      <c r="C335" s="474">
        <v>0</v>
      </c>
      <c r="D335" s="479">
        <v>70</v>
      </c>
      <c r="E335" s="479"/>
      <c r="F335" s="479"/>
      <c r="G335" s="479"/>
      <c r="H335" s="479"/>
      <c r="I335" s="479"/>
      <c r="J335" s="479"/>
      <c r="K335" s="479">
        <v>18232.560000000001</v>
      </c>
      <c r="L335" s="474">
        <v>0</v>
      </c>
      <c r="M335" s="479">
        <v>2380</v>
      </c>
      <c r="N335" s="480">
        <v>43.5</v>
      </c>
      <c r="O335" s="481">
        <v>20612.560000000001</v>
      </c>
      <c r="P335" s="482">
        <v>0.8191964285714286</v>
      </c>
      <c r="Q335" s="437">
        <v>3</v>
      </c>
      <c r="R335" s="438">
        <v>8.0000000000000002E-3</v>
      </c>
      <c r="S335" s="439">
        <v>0</v>
      </c>
      <c r="T335" s="439"/>
      <c r="U335" s="439"/>
      <c r="V335" s="439"/>
      <c r="W335" s="463"/>
      <c r="Y335" s="368">
        <f t="shared" si="96"/>
        <v>44092</v>
      </c>
      <c r="Z335" s="429">
        <v>38</v>
      </c>
      <c r="AA335" s="393">
        <f t="shared" si="90"/>
        <v>1.2942779291553134E-2</v>
      </c>
      <c r="AB335" s="382">
        <f t="shared" si="91"/>
        <v>235.98</v>
      </c>
      <c r="AC335" s="429">
        <v>0</v>
      </c>
      <c r="AD335" s="430">
        <f t="shared" si="92"/>
        <v>0</v>
      </c>
      <c r="AE335" s="429"/>
      <c r="AF335" s="430">
        <f t="shared" si="93"/>
        <v>0</v>
      </c>
      <c r="AG335" s="412"/>
      <c r="AH335" s="380">
        <f t="shared" si="97"/>
        <v>158182.52225806451</v>
      </c>
      <c r="AI335" s="381">
        <f t="shared" si="98"/>
        <v>54799.415322580644</v>
      </c>
      <c r="AJ335" s="382">
        <f t="shared" si="94"/>
        <v>20448.051612903226</v>
      </c>
      <c r="AK335" s="394">
        <f t="shared" si="99"/>
        <v>233429.98919354836</v>
      </c>
      <c r="AL335" s="440"/>
    </row>
    <row r="336" spans="1:38">
      <c r="A336" s="433">
        <v>44093</v>
      </c>
      <c r="B336" s="479">
        <v>2678</v>
      </c>
      <c r="C336" s="474">
        <v>0</v>
      </c>
      <c r="D336" s="479">
        <v>70</v>
      </c>
      <c r="E336" s="479"/>
      <c r="F336" s="479"/>
      <c r="G336" s="479"/>
      <c r="H336" s="479"/>
      <c r="I336" s="479"/>
      <c r="J336" s="479"/>
      <c r="K336" s="479">
        <v>16630.38</v>
      </c>
      <c r="L336" s="474">
        <v>0</v>
      </c>
      <c r="M336" s="479">
        <v>2380</v>
      </c>
      <c r="N336" s="480">
        <v>44.5</v>
      </c>
      <c r="O336" s="481">
        <v>19010.38</v>
      </c>
      <c r="P336" s="482">
        <v>0.79348148148148145</v>
      </c>
      <c r="Q336" s="437">
        <v>3</v>
      </c>
      <c r="R336" s="438">
        <v>8.0000000000000002E-3</v>
      </c>
      <c r="S336" s="439">
        <v>0</v>
      </c>
      <c r="T336" s="439"/>
      <c r="U336" s="439"/>
      <c r="V336" s="439"/>
      <c r="W336" s="463"/>
      <c r="Y336" s="368">
        <f t="shared" si="96"/>
        <v>44093</v>
      </c>
      <c r="Z336" s="429">
        <v>20</v>
      </c>
      <c r="AA336" s="393">
        <f t="shared" si="90"/>
        <v>7.4682598954443615E-3</v>
      </c>
      <c r="AB336" s="382">
        <f t="shared" si="91"/>
        <v>124.2</v>
      </c>
      <c r="AC336" s="429">
        <v>0</v>
      </c>
      <c r="AD336" s="430">
        <f t="shared" si="92"/>
        <v>0</v>
      </c>
      <c r="AE336" s="429"/>
      <c r="AF336" s="430">
        <f t="shared" si="93"/>
        <v>0</v>
      </c>
      <c r="AG336" s="412"/>
      <c r="AH336" s="380">
        <f t="shared" si="97"/>
        <v>159784.7022580645</v>
      </c>
      <c r="AI336" s="381">
        <f t="shared" si="98"/>
        <v>54799.415322580644</v>
      </c>
      <c r="AJ336" s="382">
        <f t="shared" si="94"/>
        <v>20448.051612903226</v>
      </c>
      <c r="AK336" s="394">
        <f t="shared" si="99"/>
        <v>235032.16919354835</v>
      </c>
      <c r="AL336" s="440"/>
    </row>
    <row r="337" spans="1:38">
      <c r="A337" s="433">
        <v>44094</v>
      </c>
      <c r="B337" s="479">
        <v>2672</v>
      </c>
      <c r="C337" s="474">
        <v>0</v>
      </c>
      <c r="D337" s="479">
        <v>90</v>
      </c>
      <c r="E337" s="479"/>
      <c r="F337" s="479"/>
      <c r="G337" s="479"/>
      <c r="H337" s="479"/>
      <c r="I337" s="479"/>
      <c r="J337" s="479"/>
      <c r="K337" s="479">
        <v>16593.12</v>
      </c>
      <c r="L337" s="474">
        <v>0</v>
      </c>
      <c r="M337" s="479">
        <v>3060</v>
      </c>
      <c r="N337" s="480">
        <v>45.5</v>
      </c>
      <c r="O337" s="481">
        <v>19653.12</v>
      </c>
      <c r="P337" s="482">
        <v>0.81364190012180271</v>
      </c>
      <c r="Q337" s="437">
        <v>3</v>
      </c>
      <c r="R337" s="438">
        <v>8.0000000000000002E-3</v>
      </c>
      <c r="S337" s="439">
        <v>0</v>
      </c>
      <c r="T337" s="439"/>
      <c r="U337" s="439"/>
      <c r="V337" s="439"/>
      <c r="W337" s="463"/>
      <c r="Y337" s="368">
        <f t="shared" si="96"/>
        <v>44094</v>
      </c>
      <c r="Z337" s="429">
        <v>71</v>
      </c>
      <c r="AA337" s="393">
        <f t="shared" si="90"/>
        <v>2.6571856287425151E-2</v>
      </c>
      <c r="AB337" s="382">
        <f t="shared" si="91"/>
        <v>440.91</v>
      </c>
      <c r="AC337" s="429">
        <v>0</v>
      </c>
      <c r="AD337" s="430">
        <f t="shared" si="92"/>
        <v>0</v>
      </c>
      <c r="AE337" s="429"/>
      <c r="AF337" s="430">
        <f t="shared" si="93"/>
        <v>0</v>
      </c>
      <c r="AG337" s="412"/>
      <c r="AH337" s="380">
        <f t="shared" si="97"/>
        <v>159821.96225806451</v>
      </c>
      <c r="AI337" s="381">
        <f t="shared" si="98"/>
        <v>54799.415322580644</v>
      </c>
      <c r="AJ337" s="382">
        <f t="shared" si="94"/>
        <v>19768.051612903226</v>
      </c>
      <c r="AK337" s="394">
        <f t="shared" si="99"/>
        <v>234389.42919354836</v>
      </c>
      <c r="AL337" s="440"/>
    </row>
    <row r="338" spans="1:38">
      <c r="A338" s="433">
        <v>44095</v>
      </c>
      <c r="B338" s="474">
        <v>2840</v>
      </c>
      <c r="C338" s="474">
        <v>107.75</v>
      </c>
      <c r="D338" s="474">
        <v>90</v>
      </c>
      <c r="E338" s="474"/>
      <c r="F338" s="474"/>
      <c r="G338" s="474"/>
      <c r="H338" s="474"/>
      <c r="I338" s="474"/>
      <c r="J338" s="474"/>
      <c r="K338" s="474">
        <v>17636.400000000001</v>
      </c>
      <c r="L338" s="474">
        <v>5780.7874999999995</v>
      </c>
      <c r="M338" s="474">
        <v>3060</v>
      </c>
      <c r="N338" s="475">
        <v>46.5</v>
      </c>
      <c r="O338" s="476">
        <v>26477.1875</v>
      </c>
      <c r="P338" s="477">
        <v>0.79507278835386341</v>
      </c>
      <c r="Q338" s="469">
        <v>3</v>
      </c>
      <c r="R338" s="470">
        <v>8.0000000000000002E-3</v>
      </c>
      <c r="S338" s="471">
        <v>0</v>
      </c>
      <c r="T338" s="471"/>
      <c r="U338" s="471"/>
      <c r="V338" s="471"/>
      <c r="W338" s="463"/>
      <c r="Y338" s="368">
        <f t="shared" si="96"/>
        <v>44095</v>
      </c>
      <c r="Z338" s="429">
        <v>16</v>
      </c>
      <c r="AA338" s="393">
        <f t="shared" si="90"/>
        <v>5.6338028169014088E-3</v>
      </c>
      <c r="AB338" s="382">
        <f t="shared" si="91"/>
        <v>99.36</v>
      </c>
      <c r="AC338" s="429">
        <v>0</v>
      </c>
      <c r="AD338" s="430">
        <f t="shared" si="92"/>
        <v>0</v>
      </c>
      <c r="AE338" s="429"/>
      <c r="AF338" s="430">
        <f t="shared" si="93"/>
        <v>0</v>
      </c>
      <c r="AG338" s="412"/>
      <c r="AH338" s="380">
        <f t="shared" si="97"/>
        <v>158778.68225806451</v>
      </c>
      <c r="AI338" s="381">
        <f t="shared" si="98"/>
        <v>49018.627822580645</v>
      </c>
      <c r="AJ338" s="382">
        <f t="shared" si="94"/>
        <v>19768.051612903226</v>
      </c>
      <c r="AK338" s="394">
        <f t="shared" si="99"/>
        <v>227565.36169354836</v>
      </c>
      <c r="AL338" s="440"/>
    </row>
    <row r="339" spans="1:38" ht="17.25" customHeight="1">
      <c r="A339" s="433">
        <v>44096</v>
      </c>
      <c r="B339" s="479">
        <v>2928</v>
      </c>
      <c r="C339" s="474">
        <v>0</v>
      </c>
      <c r="D339" s="479">
        <v>110</v>
      </c>
      <c r="E339" s="479"/>
      <c r="F339" s="479"/>
      <c r="G339" s="479"/>
      <c r="H339" s="479"/>
      <c r="I339" s="479"/>
      <c r="J339" s="479"/>
      <c r="K339" s="479">
        <v>18182.88</v>
      </c>
      <c r="L339" s="474">
        <v>0</v>
      </c>
      <c r="M339" s="479">
        <v>3740</v>
      </c>
      <c r="N339" s="480">
        <v>47.5</v>
      </c>
      <c r="O339" s="481">
        <v>21922.880000000001</v>
      </c>
      <c r="P339" s="482">
        <v>0.79847286610308155</v>
      </c>
      <c r="Q339" s="437">
        <v>3</v>
      </c>
      <c r="R339" s="438">
        <v>8.0000000000000002E-3</v>
      </c>
      <c r="S339" s="439">
        <v>0</v>
      </c>
      <c r="T339" s="439"/>
      <c r="U339" s="439"/>
      <c r="V339" s="439"/>
      <c r="W339" s="463" t="s">
        <v>223</v>
      </c>
      <c r="Y339" s="368">
        <f t="shared" si="96"/>
        <v>44096</v>
      </c>
      <c r="Z339" s="429">
        <v>72</v>
      </c>
      <c r="AA339" s="393">
        <f t="shared" si="90"/>
        <v>2.4590163934426229E-2</v>
      </c>
      <c r="AB339" s="382">
        <f t="shared" si="91"/>
        <v>447.12</v>
      </c>
      <c r="AC339" s="429">
        <v>0</v>
      </c>
      <c r="AD339" s="430">
        <f t="shared" si="92"/>
        <v>0</v>
      </c>
      <c r="AE339" s="429"/>
      <c r="AF339" s="430">
        <f t="shared" si="93"/>
        <v>0</v>
      </c>
      <c r="AG339" s="412"/>
      <c r="AH339" s="380">
        <f t="shared" si="97"/>
        <v>158232.2022580645</v>
      </c>
      <c r="AI339" s="381">
        <f t="shared" si="98"/>
        <v>54799.415322580644</v>
      </c>
      <c r="AJ339" s="382">
        <f t="shared" si="94"/>
        <v>19088.051612903226</v>
      </c>
      <c r="AK339" s="394">
        <f t="shared" si="99"/>
        <v>232119.66919354835</v>
      </c>
      <c r="AL339" s="440"/>
    </row>
    <row r="340" spans="1:38" ht="29.1">
      <c r="A340" s="433">
        <v>44097</v>
      </c>
      <c r="B340" s="479">
        <v>2770</v>
      </c>
      <c r="C340" s="474">
        <v>0</v>
      </c>
      <c r="D340" s="479">
        <v>130</v>
      </c>
      <c r="E340" s="479"/>
      <c r="F340" s="479"/>
      <c r="G340" s="479"/>
      <c r="H340" s="479"/>
      <c r="I340" s="479"/>
      <c r="J340" s="479"/>
      <c r="K340" s="479">
        <v>17201.7</v>
      </c>
      <c r="L340" s="474">
        <v>0</v>
      </c>
      <c r="M340" s="479">
        <v>4420</v>
      </c>
      <c r="N340" s="480">
        <v>48.5</v>
      </c>
      <c r="O340" s="481">
        <v>21621.7</v>
      </c>
      <c r="P340" s="482">
        <v>0.78626170877093382</v>
      </c>
      <c r="Q340" s="437">
        <v>3</v>
      </c>
      <c r="R340" s="438">
        <v>8.0000000000000002E-3</v>
      </c>
      <c r="S340" s="439">
        <v>0</v>
      </c>
      <c r="T340" s="439"/>
      <c r="U340" s="439"/>
      <c r="V340" s="439"/>
      <c r="W340" s="463" t="s">
        <v>224</v>
      </c>
      <c r="Y340" s="368">
        <f t="shared" si="96"/>
        <v>44097</v>
      </c>
      <c r="Z340" s="429">
        <v>28</v>
      </c>
      <c r="AA340" s="393">
        <f t="shared" si="90"/>
        <v>1.0108303249097473E-2</v>
      </c>
      <c r="AB340" s="382">
        <f t="shared" si="91"/>
        <v>173.88</v>
      </c>
      <c r="AC340" s="429">
        <v>12.4</v>
      </c>
      <c r="AD340" s="430">
        <f t="shared" si="92"/>
        <v>693.78000000000009</v>
      </c>
      <c r="AE340" s="429"/>
      <c r="AF340" s="430">
        <f t="shared" si="93"/>
        <v>0</v>
      </c>
      <c r="AG340" s="412"/>
      <c r="AH340" s="380">
        <f t="shared" si="97"/>
        <v>159213.38225806449</v>
      </c>
      <c r="AI340" s="381">
        <f t="shared" si="98"/>
        <v>54799.415322580644</v>
      </c>
      <c r="AJ340" s="382">
        <f t="shared" si="94"/>
        <v>18408.051612903226</v>
      </c>
      <c r="AK340" s="396">
        <f t="shared" si="99"/>
        <v>232420.84919354835</v>
      </c>
      <c r="AL340" s="440"/>
    </row>
    <row r="341" spans="1:38">
      <c r="A341" s="433">
        <v>44098</v>
      </c>
      <c r="B341" s="479">
        <v>2820</v>
      </c>
      <c r="C341" s="474">
        <v>0</v>
      </c>
      <c r="D341" s="479">
        <v>110</v>
      </c>
      <c r="E341" s="479"/>
      <c r="F341" s="479"/>
      <c r="G341" s="479"/>
      <c r="H341" s="479"/>
      <c r="I341" s="479"/>
      <c r="J341" s="479"/>
      <c r="K341" s="479">
        <v>17512.2</v>
      </c>
      <c r="L341" s="474">
        <v>0</v>
      </c>
      <c r="M341" s="479">
        <v>3740</v>
      </c>
      <c r="N341" s="480">
        <v>49.5</v>
      </c>
      <c r="O341" s="481">
        <v>21252.2</v>
      </c>
      <c r="P341" s="482">
        <v>0.7970604861503674</v>
      </c>
      <c r="Q341" s="437">
        <v>3</v>
      </c>
      <c r="R341" s="438">
        <v>8.0000000000000002E-3</v>
      </c>
      <c r="S341" s="439">
        <v>0</v>
      </c>
      <c r="T341" s="439"/>
      <c r="U341" s="439"/>
      <c r="V341" s="439"/>
      <c r="W341" s="463"/>
      <c r="Y341" s="368">
        <f t="shared" si="96"/>
        <v>44098</v>
      </c>
      <c r="Z341" s="429">
        <v>82</v>
      </c>
      <c r="AA341" s="393">
        <f t="shared" si="90"/>
        <v>2.9078014184397163E-2</v>
      </c>
      <c r="AB341" s="382">
        <f t="shared" si="91"/>
        <v>509.21999999999997</v>
      </c>
      <c r="AC341" s="429">
        <v>0</v>
      </c>
      <c r="AD341" s="430">
        <f t="shared" si="92"/>
        <v>0</v>
      </c>
      <c r="AE341" s="429"/>
      <c r="AF341" s="430">
        <f t="shared" si="93"/>
        <v>0</v>
      </c>
      <c r="AG341" s="412"/>
      <c r="AH341" s="380">
        <f t="shared" si="97"/>
        <v>158902.88225806449</v>
      </c>
      <c r="AI341" s="381">
        <f t="shared" si="98"/>
        <v>54799.415322580644</v>
      </c>
      <c r="AJ341" s="382">
        <f t="shared" si="94"/>
        <v>19088.051612903226</v>
      </c>
      <c r="AK341" s="396">
        <f t="shared" si="99"/>
        <v>232790.34919354835</v>
      </c>
      <c r="AL341" s="440"/>
    </row>
    <row r="342" spans="1:38">
      <c r="A342" s="433">
        <v>44099</v>
      </c>
      <c r="B342" s="474">
        <v>3132</v>
      </c>
      <c r="C342" s="474">
        <v>0</v>
      </c>
      <c r="D342" s="474">
        <v>180</v>
      </c>
      <c r="E342" s="474"/>
      <c r="F342" s="474"/>
      <c r="G342" s="474"/>
      <c r="H342" s="474"/>
      <c r="I342" s="474"/>
      <c r="J342" s="474"/>
      <c r="K342" s="474">
        <v>19449.72</v>
      </c>
      <c r="L342" s="474">
        <v>0</v>
      </c>
      <c r="M342" s="474">
        <v>6120</v>
      </c>
      <c r="N342" s="475">
        <v>50.5</v>
      </c>
      <c r="O342" s="476">
        <v>25569.72</v>
      </c>
      <c r="P342" s="477">
        <v>0.82769556025369984</v>
      </c>
      <c r="Q342" s="469">
        <v>3</v>
      </c>
      <c r="R342" s="470">
        <v>8.0000000000000002E-3</v>
      </c>
      <c r="S342" s="471">
        <v>0</v>
      </c>
      <c r="T342" s="471"/>
      <c r="U342" s="471"/>
      <c r="V342" s="471"/>
      <c r="W342" s="484"/>
      <c r="Y342" s="368">
        <f t="shared" si="96"/>
        <v>44099</v>
      </c>
      <c r="Z342" s="429">
        <v>53</v>
      </c>
      <c r="AA342" s="393">
        <f t="shared" si="90"/>
        <v>1.6922094508301407E-2</v>
      </c>
      <c r="AB342" s="382">
        <f t="shared" si="91"/>
        <v>329.13</v>
      </c>
      <c r="AC342" s="429">
        <v>0</v>
      </c>
      <c r="AD342" s="430">
        <f t="shared" si="92"/>
        <v>0</v>
      </c>
      <c r="AE342" s="429"/>
      <c r="AF342" s="430">
        <f t="shared" si="93"/>
        <v>0</v>
      </c>
      <c r="AG342" s="412"/>
      <c r="AH342" s="380">
        <f t="shared" si="97"/>
        <v>156965.3622580645</v>
      </c>
      <c r="AI342" s="381">
        <f t="shared" si="98"/>
        <v>54799.415322580644</v>
      </c>
      <c r="AJ342" s="382">
        <f t="shared" si="94"/>
        <v>16708.051612903226</v>
      </c>
      <c r="AK342" s="396">
        <f t="shared" si="99"/>
        <v>228472.82919354836</v>
      </c>
      <c r="AL342" s="440"/>
    </row>
    <row r="343" spans="1:38">
      <c r="A343" s="433">
        <v>44100</v>
      </c>
      <c r="B343" s="474">
        <v>2846</v>
      </c>
      <c r="C343" s="474">
        <v>0</v>
      </c>
      <c r="D343" s="474">
        <v>50</v>
      </c>
      <c r="E343" s="474"/>
      <c r="F343" s="474"/>
      <c r="G343" s="474"/>
      <c r="H343" s="474"/>
      <c r="I343" s="474"/>
      <c r="J343" s="474"/>
      <c r="K343" s="474">
        <v>17673.66</v>
      </c>
      <c r="L343" s="474">
        <v>0</v>
      </c>
      <c r="M343" s="474">
        <v>1700</v>
      </c>
      <c r="N343" s="475">
        <v>51.5</v>
      </c>
      <c r="O343" s="476">
        <v>19373.66</v>
      </c>
      <c r="P343" s="477">
        <v>0.7940848214285714</v>
      </c>
      <c r="Q343" s="469">
        <v>3</v>
      </c>
      <c r="R343" s="470">
        <v>8.0000000000000002E-3</v>
      </c>
      <c r="S343" s="471">
        <v>0</v>
      </c>
      <c r="T343" s="471"/>
      <c r="U343" s="471"/>
      <c r="V343" s="471"/>
      <c r="W343" s="484"/>
      <c r="Y343" s="368">
        <f t="shared" si="96"/>
        <v>44100</v>
      </c>
      <c r="Z343" s="429">
        <v>266</v>
      </c>
      <c r="AA343" s="393">
        <f t="shared" si="90"/>
        <v>9.3464511595221358E-2</v>
      </c>
      <c r="AB343" s="382">
        <f t="shared" si="91"/>
        <v>1651.86</v>
      </c>
      <c r="AC343" s="429">
        <v>0</v>
      </c>
      <c r="AD343" s="430">
        <f t="shared" si="92"/>
        <v>0</v>
      </c>
      <c r="AE343" s="429"/>
      <c r="AF343" s="430">
        <f t="shared" si="93"/>
        <v>0</v>
      </c>
      <c r="AG343" s="412"/>
      <c r="AH343" s="380">
        <f t="shared" si="97"/>
        <v>158741.4222580645</v>
      </c>
      <c r="AI343" s="381">
        <f t="shared" si="98"/>
        <v>54799.415322580644</v>
      </c>
      <c r="AJ343" s="382">
        <f t="shared" si="94"/>
        <v>21128.051612903226</v>
      </c>
      <c r="AK343" s="396">
        <f t="shared" si="99"/>
        <v>234668.88919354836</v>
      </c>
      <c r="AL343" s="440"/>
    </row>
    <row r="344" spans="1:38">
      <c r="A344" s="433">
        <v>44101</v>
      </c>
      <c r="B344" s="479">
        <v>2659</v>
      </c>
      <c r="C344" s="474">
        <v>0</v>
      </c>
      <c r="D344" s="479">
        <v>130</v>
      </c>
      <c r="E344" s="479"/>
      <c r="F344" s="479"/>
      <c r="G344" s="479"/>
      <c r="H344" s="479"/>
      <c r="I344" s="479"/>
      <c r="J344" s="479"/>
      <c r="K344" s="479">
        <v>16512.39</v>
      </c>
      <c r="L344" s="474">
        <v>0</v>
      </c>
      <c r="M344" s="479">
        <v>4420</v>
      </c>
      <c r="N344" s="480">
        <v>52.5</v>
      </c>
      <c r="O344" s="481">
        <v>20932.39</v>
      </c>
      <c r="P344" s="482">
        <v>0.8219474497681607</v>
      </c>
      <c r="Q344" s="437">
        <v>3</v>
      </c>
      <c r="R344" s="438">
        <v>8.0000000000000002E-3</v>
      </c>
      <c r="S344" s="439">
        <v>0</v>
      </c>
      <c r="T344" s="439"/>
      <c r="U344" s="439"/>
      <c r="V344" s="439"/>
      <c r="W344" s="484"/>
      <c r="Y344" s="368">
        <f t="shared" si="96"/>
        <v>44101</v>
      </c>
      <c r="Z344" s="429">
        <v>27</v>
      </c>
      <c r="AA344" s="393">
        <f t="shared" si="90"/>
        <v>1.0154193305754042E-2</v>
      </c>
      <c r="AB344" s="382">
        <f t="shared" si="91"/>
        <v>167.67</v>
      </c>
      <c r="AC344" s="429">
        <v>0</v>
      </c>
      <c r="AD344" s="430">
        <f t="shared" si="92"/>
        <v>0</v>
      </c>
      <c r="AE344" s="429"/>
      <c r="AF344" s="430">
        <f t="shared" si="93"/>
        <v>0</v>
      </c>
      <c r="AG344" s="412"/>
      <c r="AH344" s="380">
        <f t="shared" si="97"/>
        <v>159902.69225806452</v>
      </c>
      <c r="AI344" s="381">
        <f t="shared" si="98"/>
        <v>54799.415322580644</v>
      </c>
      <c r="AJ344" s="382">
        <f t="shared" si="94"/>
        <v>18408.051612903226</v>
      </c>
      <c r="AK344" s="396">
        <f t="shared" si="99"/>
        <v>233110.15919354837</v>
      </c>
      <c r="AL344" s="440"/>
    </row>
    <row r="345" spans="1:38">
      <c r="A345" s="433">
        <v>44102</v>
      </c>
      <c r="B345" s="386">
        <v>2808</v>
      </c>
      <c r="C345" s="474">
        <v>0</v>
      </c>
      <c r="D345" s="386">
        <v>100</v>
      </c>
      <c r="E345" s="386"/>
      <c r="F345" s="386"/>
      <c r="G345" s="386"/>
      <c r="H345" s="386"/>
      <c r="I345" s="386"/>
      <c r="J345" s="386"/>
      <c r="K345" s="386">
        <v>17437.68</v>
      </c>
      <c r="L345" s="474">
        <v>0</v>
      </c>
      <c r="M345" s="386">
        <v>3400</v>
      </c>
      <c r="N345" s="435">
        <v>53.5</v>
      </c>
      <c r="O345" s="436">
        <v>20837.68</v>
      </c>
      <c r="P345" s="461">
        <v>0.84223155368926217</v>
      </c>
      <c r="Q345" s="437">
        <v>3</v>
      </c>
      <c r="R345" s="438">
        <v>8.0000000000000002E-3</v>
      </c>
      <c r="S345" s="439">
        <v>0</v>
      </c>
      <c r="T345" s="439"/>
      <c r="U345" s="439"/>
      <c r="V345" s="439"/>
      <c r="W345" s="483"/>
      <c r="Y345" s="368">
        <f t="shared" si="96"/>
        <v>44102</v>
      </c>
      <c r="Z345" s="429">
        <v>78</v>
      </c>
      <c r="AA345" s="393">
        <f t="shared" si="90"/>
        <v>2.7777777777777776E-2</v>
      </c>
      <c r="AB345" s="382">
        <f t="shared" si="91"/>
        <v>484.38</v>
      </c>
      <c r="AC345" s="429">
        <v>0</v>
      </c>
      <c r="AD345" s="430">
        <f t="shared" si="92"/>
        <v>0</v>
      </c>
      <c r="AE345" s="429"/>
      <c r="AF345" s="430">
        <f t="shared" si="93"/>
        <v>0</v>
      </c>
      <c r="AG345" s="412"/>
      <c r="AH345" s="380">
        <f t="shared" si="97"/>
        <v>158977.40225806451</v>
      </c>
      <c r="AI345" s="381">
        <f t="shared" si="98"/>
        <v>54799.415322580644</v>
      </c>
      <c r="AJ345" s="382">
        <f t="shared" si="94"/>
        <v>19428.051612903226</v>
      </c>
      <c r="AK345" s="396">
        <f t="shared" si="99"/>
        <v>233204.86919354837</v>
      </c>
      <c r="AL345" s="440"/>
    </row>
    <row r="346" spans="1:38">
      <c r="A346" s="433">
        <v>44103</v>
      </c>
      <c r="B346" s="386">
        <v>2954</v>
      </c>
      <c r="C346" s="474">
        <v>0</v>
      </c>
      <c r="D346" s="386">
        <v>170</v>
      </c>
      <c r="E346" s="386"/>
      <c r="F346" s="386"/>
      <c r="G346" s="386"/>
      <c r="H346" s="386"/>
      <c r="I346" s="386"/>
      <c r="J346" s="386"/>
      <c r="K346" s="386">
        <v>18344.34</v>
      </c>
      <c r="L346" s="474">
        <v>0</v>
      </c>
      <c r="M346" s="386">
        <v>5780</v>
      </c>
      <c r="N346" s="435">
        <v>54.5</v>
      </c>
      <c r="O346" s="436">
        <v>24124.34</v>
      </c>
      <c r="P346" s="461">
        <v>0.80119338215351232</v>
      </c>
      <c r="Q346" s="437">
        <v>3</v>
      </c>
      <c r="R346" s="438">
        <v>8.0000000000000002E-3</v>
      </c>
      <c r="S346" s="439">
        <v>0</v>
      </c>
      <c r="T346" s="592"/>
      <c r="U346" s="592"/>
      <c r="V346" s="592"/>
      <c r="W346" s="485" t="s">
        <v>225</v>
      </c>
      <c r="Y346" s="368">
        <f t="shared" si="96"/>
        <v>44103</v>
      </c>
      <c r="Z346" s="429">
        <v>57</v>
      </c>
      <c r="AA346" s="393">
        <f t="shared" si="90"/>
        <v>1.929587000677048E-2</v>
      </c>
      <c r="AB346" s="382">
        <f t="shared" si="91"/>
        <v>353.96999999999997</v>
      </c>
      <c r="AC346" s="429">
        <v>0</v>
      </c>
      <c r="AD346" s="430">
        <f t="shared" si="92"/>
        <v>0</v>
      </c>
      <c r="AE346" s="429"/>
      <c r="AF346" s="430">
        <f t="shared" si="93"/>
        <v>0</v>
      </c>
      <c r="AG346" s="412"/>
      <c r="AH346" s="380">
        <f t="shared" si="97"/>
        <v>158070.74225806451</v>
      </c>
      <c r="AI346" s="381">
        <f t="shared" si="98"/>
        <v>54799.415322580644</v>
      </c>
      <c r="AJ346" s="382">
        <f t="shared" si="94"/>
        <v>17048.051612903226</v>
      </c>
      <c r="AK346" s="396">
        <f t="shared" si="99"/>
        <v>229918.20919354836</v>
      </c>
      <c r="AL346" s="440"/>
    </row>
    <row r="347" spans="1:38">
      <c r="A347" s="433">
        <v>44104</v>
      </c>
      <c r="B347" s="386">
        <v>3173</v>
      </c>
      <c r="C347" s="474">
        <v>0</v>
      </c>
      <c r="D347" s="386">
        <v>180</v>
      </c>
      <c r="E347" s="386"/>
      <c r="F347" s="386"/>
      <c r="G347" s="386"/>
      <c r="H347" s="386"/>
      <c r="I347" s="386"/>
      <c r="J347" s="386"/>
      <c r="K347" s="386">
        <v>19704.329999999998</v>
      </c>
      <c r="L347" s="474">
        <v>0</v>
      </c>
      <c r="M347" s="386">
        <v>6120</v>
      </c>
      <c r="N347" s="435">
        <v>55.5</v>
      </c>
      <c r="O347" s="436">
        <v>25824.329999999998</v>
      </c>
      <c r="P347" s="461">
        <v>0.82032057911065148</v>
      </c>
      <c r="Q347" s="437">
        <v>3</v>
      </c>
      <c r="R347" s="438">
        <v>8.0000000000000002E-3</v>
      </c>
      <c r="S347" s="439">
        <v>0</v>
      </c>
      <c r="T347" s="592"/>
      <c r="U347" s="592"/>
      <c r="V347" s="592"/>
      <c r="W347" s="485" t="s">
        <v>225</v>
      </c>
      <c r="Y347" s="368">
        <f t="shared" si="96"/>
        <v>44104</v>
      </c>
      <c r="Z347" s="429">
        <v>27</v>
      </c>
      <c r="AA347" s="393">
        <f t="shared" si="90"/>
        <v>8.5092971950835178E-3</v>
      </c>
      <c r="AB347" s="382">
        <f t="shared" si="91"/>
        <v>167.67</v>
      </c>
      <c r="AC347" s="429">
        <v>0</v>
      </c>
      <c r="AD347" s="430">
        <f t="shared" si="92"/>
        <v>0</v>
      </c>
      <c r="AE347" s="429"/>
      <c r="AF347" s="430">
        <f t="shared" si="93"/>
        <v>0</v>
      </c>
      <c r="AG347" s="412"/>
      <c r="AH347" s="380">
        <f t="shared" si="97"/>
        <v>156710.75225806452</v>
      </c>
      <c r="AI347" s="381">
        <f t="shared" si="98"/>
        <v>54799.415322580644</v>
      </c>
      <c r="AJ347" s="382">
        <f t="shared" si="94"/>
        <v>16708.051612903226</v>
      </c>
      <c r="AK347" s="396">
        <f t="shared" si="99"/>
        <v>228218.21919354837</v>
      </c>
      <c r="AL347" s="440"/>
    </row>
    <row r="348" spans="1:38">
      <c r="A348" s="433"/>
      <c r="B348" s="386"/>
      <c r="C348" s="474"/>
      <c r="D348" s="386"/>
      <c r="E348" s="386"/>
      <c r="F348" s="386"/>
      <c r="G348" s="386"/>
      <c r="H348" s="386"/>
      <c r="I348" s="386"/>
      <c r="J348" s="386"/>
      <c r="K348" s="386"/>
      <c r="L348" s="386"/>
      <c r="M348" s="386"/>
      <c r="N348" s="435"/>
      <c r="O348" s="436"/>
      <c r="P348" s="461"/>
      <c r="Q348" s="437"/>
      <c r="R348" s="438"/>
      <c r="S348" s="439"/>
      <c r="T348" s="439"/>
      <c r="U348" s="439"/>
      <c r="V348" s="439"/>
      <c r="W348" s="483"/>
      <c r="Y348" s="368">
        <f t="shared" si="96"/>
        <v>0</v>
      </c>
      <c r="Z348" s="429" t="e">
        <v>#REF!</v>
      </c>
      <c r="AA348" s="393" t="e">
        <f t="shared" si="90"/>
        <v>#REF!</v>
      </c>
      <c r="AB348" s="382" t="e">
        <f t="shared" si="91"/>
        <v>#REF!</v>
      </c>
      <c r="AC348" s="429" t="e">
        <v>#REF!</v>
      </c>
      <c r="AD348" s="430" t="e">
        <f t="shared" si="92"/>
        <v>#REF!</v>
      </c>
      <c r="AE348" s="429"/>
      <c r="AF348" s="430">
        <f t="shared" si="93"/>
        <v>0</v>
      </c>
      <c r="AG348" s="412"/>
      <c r="AH348" s="380">
        <f t="shared" si="97"/>
        <v>176415.0822580645</v>
      </c>
      <c r="AI348" s="381">
        <f t="shared" si="98"/>
        <v>54799.415322580644</v>
      </c>
      <c r="AJ348" s="382">
        <f t="shared" si="94"/>
        <v>22828.051612903226</v>
      </c>
      <c r="AK348" s="396">
        <f t="shared" si="99"/>
        <v>254042.54919354836</v>
      </c>
      <c r="AL348" s="440"/>
    </row>
    <row r="349" spans="1:38">
      <c r="A349" s="443" t="s">
        <v>161</v>
      </c>
      <c r="B349" s="444">
        <f t="shared" ref="B349:M349" si="100">SUM(B318:B348)</f>
        <v>86433</v>
      </c>
      <c r="C349" s="444">
        <f t="shared" si="100"/>
        <v>862</v>
      </c>
      <c r="D349" s="444">
        <f t="shared" si="100"/>
        <v>2990</v>
      </c>
      <c r="E349" s="444"/>
      <c r="F349" s="444"/>
      <c r="G349" s="444"/>
      <c r="H349" s="444"/>
      <c r="I349" s="444"/>
      <c r="J349" s="444"/>
      <c r="K349" s="444">
        <f t="shared" si="100"/>
        <v>536748.93000000005</v>
      </c>
      <c r="L349" s="444">
        <f t="shared" si="100"/>
        <v>46246.299999999996</v>
      </c>
      <c r="M349" s="444">
        <f t="shared" si="100"/>
        <v>101660</v>
      </c>
      <c r="N349" s="444"/>
      <c r="O349" s="444">
        <f>SUM(O318:O347)</f>
        <v>684655.23</v>
      </c>
      <c r="P349" s="444"/>
      <c r="Q349" s="437"/>
      <c r="R349" s="438"/>
      <c r="S349" s="439"/>
      <c r="T349" s="439"/>
      <c r="U349" s="439"/>
      <c r="V349" s="439"/>
      <c r="W349" s="439"/>
      <c r="Y349" s="409" t="s">
        <v>161</v>
      </c>
      <c r="Z349" s="410" t="e">
        <f t="shared" ref="Z349:AE349" si="101">SUM(Z318:Z348)</f>
        <v>#REF!</v>
      </c>
      <c r="AA349" s="410" t="e">
        <f t="shared" si="101"/>
        <v>#REF!</v>
      </c>
      <c r="AB349" s="410" t="e">
        <f t="shared" si="101"/>
        <v>#REF!</v>
      </c>
      <c r="AC349" s="410" t="e">
        <f t="shared" si="101"/>
        <v>#REF!</v>
      </c>
      <c r="AD349" s="410" t="e">
        <f t="shared" si="101"/>
        <v>#REF!</v>
      </c>
      <c r="AE349" s="410">
        <f t="shared" si="101"/>
        <v>0</v>
      </c>
      <c r="AF349" s="410">
        <f>SUM(AF318:AF348)</f>
        <v>0</v>
      </c>
      <c r="AG349" s="412"/>
      <c r="AH349" s="397">
        <f>SUM(AH318:AH345)</f>
        <v>4440922.0432258062</v>
      </c>
      <c r="AI349" s="397">
        <f>SUM(AI318:AI345)</f>
        <v>1488137.3290322577</v>
      </c>
      <c r="AJ349" s="397">
        <f>SUM(AJ318:AJ345)</f>
        <v>549425.44516129058</v>
      </c>
      <c r="AK349" s="397">
        <f>SUM(AK318:AK345)</f>
        <v>6478484.8174193548</v>
      </c>
      <c r="AL349" s="440"/>
    </row>
    <row r="352" spans="1:38" ht="29.1">
      <c r="A352" s="778" t="s">
        <v>14</v>
      </c>
      <c r="B352" s="780" t="s">
        <v>145</v>
      </c>
      <c r="C352" s="781"/>
      <c r="D352" s="782"/>
      <c r="E352" s="702"/>
      <c r="F352" s="702"/>
      <c r="G352" s="702"/>
      <c r="H352" s="702"/>
      <c r="I352" s="702"/>
      <c r="J352" s="702"/>
      <c r="K352" s="780" t="s">
        <v>146</v>
      </c>
      <c r="L352" s="781"/>
      <c r="M352" s="782"/>
      <c r="N352" s="778" t="s">
        <v>147</v>
      </c>
      <c r="O352" s="783" t="s">
        <v>148</v>
      </c>
      <c r="P352" s="783" t="s">
        <v>175</v>
      </c>
      <c r="Q352" s="700" t="s">
        <v>149</v>
      </c>
      <c r="R352" s="700" t="s">
        <v>150</v>
      </c>
      <c r="S352" s="785" t="s">
        <v>165</v>
      </c>
      <c r="T352" s="703"/>
      <c r="U352" s="703"/>
      <c r="V352" s="703"/>
      <c r="W352" s="785" t="s">
        <v>176</v>
      </c>
      <c r="Y352" s="787" t="s">
        <v>14</v>
      </c>
      <c r="Z352" s="789" t="s">
        <v>151</v>
      </c>
      <c r="AA352" s="790"/>
      <c r="AB352" s="791"/>
      <c r="AC352" s="789" t="s">
        <v>152</v>
      </c>
      <c r="AD352" s="791"/>
      <c r="AE352" s="789"/>
      <c r="AF352" s="791"/>
      <c r="AG352" s="412"/>
      <c r="AH352" s="773" t="s">
        <v>154</v>
      </c>
      <c r="AI352" s="774"/>
      <c r="AJ352" s="775"/>
      <c r="AK352" s="776" t="s">
        <v>155</v>
      </c>
      <c r="AL352" s="776" t="s">
        <v>166</v>
      </c>
    </row>
    <row r="353" spans="1:38">
      <c r="A353" s="779"/>
      <c r="B353" s="699" t="s">
        <v>156</v>
      </c>
      <c r="C353" s="699" t="s">
        <v>157</v>
      </c>
      <c r="D353" s="699" t="s">
        <v>158</v>
      </c>
      <c r="E353" s="699"/>
      <c r="F353" s="699"/>
      <c r="G353" s="699"/>
      <c r="H353" s="699"/>
      <c r="I353" s="699"/>
      <c r="J353" s="699"/>
      <c r="K353" s="699" t="s">
        <v>156</v>
      </c>
      <c r="L353" s="699" t="s">
        <v>157</v>
      </c>
      <c r="M353" s="699" t="s">
        <v>158</v>
      </c>
      <c r="N353" s="779"/>
      <c r="O353" s="784"/>
      <c r="P353" s="784"/>
      <c r="Q353" s="700"/>
      <c r="R353" s="700"/>
      <c r="S353" s="786"/>
      <c r="T353" s="704"/>
      <c r="U353" s="704"/>
      <c r="V353" s="704"/>
      <c r="W353" s="786"/>
      <c r="Y353" s="788"/>
      <c r="Z353" s="363" t="s">
        <v>145</v>
      </c>
      <c r="AA353" s="366" t="s">
        <v>159</v>
      </c>
      <c r="AB353" s="367" t="s">
        <v>160</v>
      </c>
      <c r="AC353" s="363" t="s">
        <v>145</v>
      </c>
      <c r="AD353" s="365" t="s">
        <v>160</v>
      </c>
      <c r="AE353" s="363" t="s">
        <v>145</v>
      </c>
      <c r="AF353" s="365" t="s">
        <v>160</v>
      </c>
      <c r="AG353" s="412"/>
      <c r="AH353" s="363" t="s">
        <v>156</v>
      </c>
      <c r="AI353" s="364" t="s">
        <v>157</v>
      </c>
      <c r="AJ353" s="365" t="s">
        <v>158</v>
      </c>
      <c r="AK353" s="777"/>
      <c r="AL353" s="777"/>
    </row>
    <row r="354" spans="1:38">
      <c r="A354" s="464">
        <v>44105</v>
      </c>
      <c r="B354" s="474">
        <v>2064</v>
      </c>
      <c r="C354" s="474">
        <v>107.75</v>
      </c>
      <c r="D354" s="474">
        <v>90</v>
      </c>
      <c r="E354" s="474"/>
      <c r="F354" s="474"/>
      <c r="G354" s="474"/>
      <c r="H354" s="474"/>
      <c r="I354" s="474"/>
      <c r="J354" s="474"/>
      <c r="K354" s="474">
        <v>12817.44</v>
      </c>
      <c r="L354" s="474">
        <v>5780.7874999999995</v>
      </c>
      <c r="M354" s="474">
        <v>3060</v>
      </c>
      <c r="N354" s="475">
        <v>26.5</v>
      </c>
      <c r="O354" s="476">
        <v>21658.227500000001</v>
      </c>
      <c r="P354" s="477">
        <v>0.7966036279428792</v>
      </c>
      <c r="Q354" s="469">
        <v>3</v>
      </c>
      <c r="R354" s="470">
        <v>8.0000000000000002E-3</v>
      </c>
      <c r="S354" s="471">
        <v>0</v>
      </c>
      <c r="T354" s="471"/>
      <c r="U354" s="471"/>
      <c r="V354" s="471"/>
      <c r="W354" s="462"/>
      <c r="Y354" s="368">
        <v>44105</v>
      </c>
      <c r="Z354" s="429">
        <v>48</v>
      </c>
      <c r="AA354" s="393">
        <v>2.3255813953488372E-2</v>
      </c>
      <c r="AB354" s="382">
        <v>298.08</v>
      </c>
      <c r="AC354" s="429">
        <v>0</v>
      </c>
      <c r="AD354" s="430">
        <v>0</v>
      </c>
      <c r="AE354" s="429"/>
      <c r="AF354" s="430">
        <v>0</v>
      </c>
      <c r="AG354" s="426"/>
      <c r="AH354" s="380">
        <v>155996.60225806449</v>
      </c>
      <c r="AI354" s="381">
        <v>54799.415322580644</v>
      </c>
      <c r="AJ354" s="382">
        <v>18748.051612903226</v>
      </c>
      <c r="AK354" s="394">
        <v>229544.06919354835</v>
      </c>
      <c r="AL354" s="440">
        <v>0</v>
      </c>
    </row>
    <row r="355" spans="1:38">
      <c r="A355" s="464">
        <v>44106</v>
      </c>
      <c r="B355" s="474">
        <v>3288</v>
      </c>
      <c r="C355" s="474">
        <v>0</v>
      </c>
      <c r="D355" s="474">
        <v>120</v>
      </c>
      <c r="E355" s="474"/>
      <c r="F355" s="474"/>
      <c r="G355" s="474"/>
      <c r="H355" s="474"/>
      <c r="I355" s="474"/>
      <c r="J355" s="474"/>
      <c r="K355" s="474">
        <v>20418.48</v>
      </c>
      <c r="L355" s="474">
        <v>0</v>
      </c>
      <c r="M355" s="474">
        <v>4080</v>
      </c>
      <c r="N355" s="475">
        <v>27.5</v>
      </c>
      <c r="O355" s="476">
        <v>24498.48</v>
      </c>
      <c r="P355" s="477">
        <v>0.84546155824119307</v>
      </c>
      <c r="Q355" s="469">
        <v>3</v>
      </c>
      <c r="R355" s="470">
        <v>8.0000000000000002E-3</v>
      </c>
      <c r="S355" s="471">
        <v>0</v>
      </c>
      <c r="T355" s="471"/>
      <c r="U355" s="471"/>
      <c r="V355" s="471"/>
      <c r="W355" s="462" t="s">
        <v>226</v>
      </c>
      <c r="Y355" s="368">
        <v>44106</v>
      </c>
      <c r="Z355" s="429">
        <v>51</v>
      </c>
      <c r="AA355" s="393">
        <v>1.5510948905109489E-2</v>
      </c>
      <c r="AB355" s="382">
        <v>316.70999999999998</v>
      </c>
      <c r="AC355" s="429">
        <v>0</v>
      </c>
      <c r="AD355" s="430">
        <v>0</v>
      </c>
      <c r="AE355" s="429"/>
      <c r="AF355" s="430">
        <v>0</v>
      </c>
      <c r="AG355" s="426"/>
      <c r="AH355" s="380">
        <v>160064.15225806451</v>
      </c>
      <c r="AI355" s="381">
        <v>54799.415322580644</v>
      </c>
      <c r="AJ355" s="382">
        <v>20788.051612903226</v>
      </c>
      <c r="AK355" s="394">
        <v>235651.61919354837</v>
      </c>
      <c r="AL355" s="440">
        <v>10</v>
      </c>
    </row>
    <row r="356" spans="1:38">
      <c r="A356" s="464">
        <v>44107</v>
      </c>
      <c r="B356" s="474">
        <v>2633</v>
      </c>
      <c r="C356" s="474">
        <v>0</v>
      </c>
      <c r="D356" s="474">
        <v>60</v>
      </c>
      <c r="E356" s="474"/>
      <c r="F356" s="474"/>
      <c r="G356" s="474"/>
      <c r="H356" s="474"/>
      <c r="I356" s="474"/>
      <c r="J356" s="474"/>
      <c r="K356" s="474">
        <v>16350.93</v>
      </c>
      <c r="L356" s="474">
        <v>0</v>
      </c>
      <c r="M356" s="474">
        <v>2040</v>
      </c>
      <c r="N356" s="475">
        <v>28.5</v>
      </c>
      <c r="O356" s="476">
        <v>18390.93</v>
      </c>
      <c r="P356" s="477">
        <v>0.75857101699798324</v>
      </c>
      <c r="Q356" s="469">
        <v>3</v>
      </c>
      <c r="R356" s="470">
        <v>8.0000000000000002E-3</v>
      </c>
      <c r="S356" s="471">
        <v>0</v>
      </c>
      <c r="T356" s="471"/>
      <c r="U356" s="471"/>
      <c r="V356" s="471"/>
      <c r="W356" s="462"/>
      <c r="Y356" s="368">
        <v>44107</v>
      </c>
      <c r="Z356" s="429">
        <v>38</v>
      </c>
      <c r="AA356" s="393">
        <v>1.4432206608431447E-2</v>
      </c>
      <c r="AB356" s="382">
        <v>235.98</v>
      </c>
      <c r="AC356" s="429">
        <v>0</v>
      </c>
      <c r="AD356" s="430">
        <v>0</v>
      </c>
      <c r="AE356" s="429"/>
      <c r="AF356" s="430">
        <v>0</v>
      </c>
      <c r="AG356" s="426"/>
      <c r="AH356" s="380">
        <v>159064.34225806451</v>
      </c>
      <c r="AI356" s="381">
        <v>54799.415322580644</v>
      </c>
      <c r="AJ356" s="382">
        <v>21128.051612903226</v>
      </c>
      <c r="AK356" s="394">
        <v>234991.80919354837</v>
      </c>
      <c r="AL356" s="440">
        <v>6</v>
      </c>
    </row>
    <row r="357" spans="1:38">
      <c r="A357" s="464">
        <v>44108</v>
      </c>
      <c r="B357" s="474">
        <v>2794</v>
      </c>
      <c r="C357" s="474">
        <v>0</v>
      </c>
      <c r="D357" s="474">
        <v>50</v>
      </c>
      <c r="E357" s="474"/>
      <c r="F357" s="474"/>
      <c r="G357" s="474"/>
      <c r="H357" s="474"/>
      <c r="I357" s="474"/>
      <c r="J357" s="474"/>
      <c r="K357" s="474">
        <v>17350.740000000002</v>
      </c>
      <c r="L357" s="474">
        <v>0</v>
      </c>
      <c r="M357" s="474">
        <v>1700</v>
      </c>
      <c r="N357" s="475">
        <v>29.5</v>
      </c>
      <c r="O357" s="476">
        <v>19050.740000000002</v>
      </c>
      <c r="P357" s="477">
        <v>0.78175713486289866</v>
      </c>
      <c r="Q357" s="469">
        <v>3</v>
      </c>
      <c r="R357" s="470">
        <v>8.0000000000000002E-3</v>
      </c>
      <c r="S357" s="471">
        <v>0</v>
      </c>
      <c r="T357" s="471"/>
      <c r="U357" s="471"/>
      <c r="V357" s="471"/>
      <c r="W357" s="462"/>
      <c r="Y357" s="368">
        <v>44108</v>
      </c>
      <c r="Z357" s="429">
        <v>102</v>
      </c>
      <c r="AA357" s="393">
        <v>3.6506800286327842E-2</v>
      </c>
      <c r="AB357" s="382">
        <v>633.41999999999996</v>
      </c>
      <c r="AC357" s="429">
        <v>0</v>
      </c>
      <c r="AD357" s="430">
        <v>0</v>
      </c>
      <c r="AE357" s="429"/>
      <c r="AF357" s="430">
        <v>0</v>
      </c>
      <c r="AG357" s="426"/>
      <c r="AH357" s="380">
        <v>153872.78225806452</v>
      </c>
      <c r="AI357" s="381">
        <v>54799.415322580644</v>
      </c>
      <c r="AJ357" s="382">
        <v>20108.051612903226</v>
      </c>
      <c r="AK357" s="394">
        <v>228780.24919354837</v>
      </c>
      <c r="AL357" s="440">
        <v>5</v>
      </c>
    </row>
    <row r="358" spans="1:38" ht="16.5" customHeight="1">
      <c r="A358" s="464">
        <v>44109</v>
      </c>
      <c r="B358" s="474">
        <v>3630</v>
      </c>
      <c r="C358" s="474">
        <v>0</v>
      </c>
      <c r="D358" s="474">
        <v>80</v>
      </c>
      <c r="E358" s="474"/>
      <c r="F358" s="474"/>
      <c r="G358" s="474"/>
      <c r="H358" s="474"/>
      <c r="I358" s="474"/>
      <c r="J358" s="474"/>
      <c r="K358" s="474">
        <v>22542.3</v>
      </c>
      <c r="L358" s="474">
        <v>0</v>
      </c>
      <c r="M358" s="474">
        <v>2720</v>
      </c>
      <c r="N358" s="475">
        <v>30.5</v>
      </c>
      <c r="O358" s="476">
        <v>25262.3</v>
      </c>
      <c r="P358" s="477">
        <v>0.87092130518234168</v>
      </c>
      <c r="Q358" s="469">
        <v>3</v>
      </c>
      <c r="R358" s="470">
        <v>8.0000000000000002E-3</v>
      </c>
      <c r="S358" s="471">
        <v>0</v>
      </c>
      <c r="T358" s="471"/>
      <c r="U358" s="471"/>
      <c r="V358" s="471"/>
      <c r="W358" s="462" t="s">
        <v>227</v>
      </c>
      <c r="Y358" s="368">
        <v>44109</v>
      </c>
      <c r="Z358" s="429">
        <v>56</v>
      </c>
      <c r="AA358" s="393">
        <v>1.5426997245179064E-2</v>
      </c>
      <c r="AB358" s="382">
        <v>347.76</v>
      </c>
      <c r="AC358" s="429">
        <v>0</v>
      </c>
      <c r="AD358" s="430">
        <v>0</v>
      </c>
      <c r="AE358" s="429"/>
      <c r="AF358" s="430">
        <v>0</v>
      </c>
      <c r="AG358" s="426"/>
      <c r="AH358" s="380">
        <v>151146.59225806451</v>
      </c>
      <c r="AI358" s="381">
        <v>54799.415322580644</v>
      </c>
      <c r="AJ358" s="382">
        <v>17048.051612903226</v>
      </c>
      <c r="AK358" s="394">
        <v>222994.05919354837</v>
      </c>
      <c r="AL358" s="440">
        <v>0</v>
      </c>
    </row>
    <row r="359" spans="1:38">
      <c r="A359" s="464">
        <v>44110</v>
      </c>
      <c r="B359" s="474">
        <v>4069</v>
      </c>
      <c r="C359" s="474">
        <v>0</v>
      </c>
      <c r="D359" s="474">
        <v>170</v>
      </c>
      <c r="E359" s="474"/>
      <c r="F359" s="474"/>
      <c r="G359" s="474"/>
      <c r="H359" s="474"/>
      <c r="I359" s="474"/>
      <c r="J359" s="474"/>
      <c r="K359" s="474">
        <v>25268.49</v>
      </c>
      <c r="L359" s="474">
        <v>0</v>
      </c>
      <c r="M359" s="474">
        <v>5780</v>
      </c>
      <c r="N359" s="475">
        <v>31.5</v>
      </c>
      <c r="O359" s="476">
        <v>31048.49</v>
      </c>
      <c r="P359" s="477">
        <v>0.87448957661723614</v>
      </c>
      <c r="Q359" s="469">
        <v>3</v>
      </c>
      <c r="R359" s="470">
        <v>8.0000000000000002E-3</v>
      </c>
      <c r="S359" s="471">
        <v>0</v>
      </c>
      <c r="T359" s="471"/>
      <c r="U359" s="471"/>
      <c r="V359" s="471"/>
      <c r="W359" s="462" t="s">
        <v>228</v>
      </c>
      <c r="Y359" s="368">
        <v>44110</v>
      </c>
      <c r="Z359" s="429">
        <v>28</v>
      </c>
      <c r="AA359" s="393">
        <v>6.8812976161218972E-3</v>
      </c>
      <c r="AB359" s="382">
        <v>173.88</v>
      </c>
      <c r="AC359" s="429">
        <v>0</v>
      </c>
      <c r="AD359" s="430">
        <v>0</v>
      </c>
      <c r="AE359" s="429"/>
      <c r="AF359" s="430">
        <v>0</v>
      </c>
      <c r="AG359" s="426"/>
      <c r="AH359" s="380">
        <v>151655.81225806451</v>
      </c>
      <c r="AI359" s="381">
        <v>49018.627822580645</v>
      </c>
      <c r="AJ359" s="382">
        <v>18408.051612903226</v>
      </c>
      <c r="AK359" s="394">
        <v>219082.49169354836</v>
      </c>
      <c r="AL359" s="440">
        <v>12</v>
      </c>
    </row>
    <row r="360" spans="1:38" ht="29.25" customHeight="1">
      <c r="A360" s="464">
        <v>44111</v>
      </c>
      <c r="B360" s="474">
        <v>3987</v>
      </c>
      <c r="C360" s="474">
        <v>107.75</v>
      </c>
      <c r="D360" s="474">
        <v>130</v>
      </c>
      <c r="E360" s="474"/>
      <c r="F360" s="474"/>
      <c r="G360" s="474"/>
      <c r="H360" s="474"/>
      <c r="I360" s="474"/>
      <c r="J360" s="474"/>
      <c r="K360" s="474">
        <v>24759.27</v>
      </c>
      <c r="L360" s="474">
        <v>5780.7874999999995</v>
      </c>
      <c r="M360" s="474">
        <v>4420</v>
      </c>
      <c r="N360" s="475">
        <v>32.5</v>
      </c>
      <c r="O360" s="476">
        <v>34960.057499999995</v>
      </c>
      <c r="P360" s="477">
        <v>0.89154740608228977</v>
      </c>
      <c r="Q360" s="469">
        <v>3</v>
      </c>
      <c r="R360" s="470">
        <v>8.0000000000000002E-3</v>
      </c>
      <c r="S360" s="471">
        <v>0</v>
      </c>
      <c r="T360" s="471"/>
      <c r="U360" s="471"/>
      <c r="V360" s="471"/>
      <c r="W360" s="462"/>
      <c r="Y360" s="368">
        <v>44111</v>
      </c>
      <c r="Z360" s="429">
        <v>123</v>
      </c>
      <c r="AA360" s="393">
        <v>3.0850263355906696E-2</v>
      </c>
      <c r="AB360" s="382">
        <v>763.83</v>
      </c>
      <c r="AC360" s="429">
        <v>0</v>
      </c>
      <c r="AD360" s="430">
        <v>0</v>
      </c>
      <c r="AE360" s="429"/>
      <c r="AF360" s="430">
        <v>0</v>
      </c>
      <c r="AG360" s="426"/>
      <c r="AH360" s="380">
        <v>149867.3322580645</v>
      </c>
      <c r="AI360" s="381">
        <v>54799.415322580644</v>
      </c>
      <c r="AJ360" s="382">
        <v>20108.051612903226</v>
      </c>
      <c r="AK360" s="394">
        <v>224774.79919354836</v>
      </c>
      <c r="AL360" s="440">
        <v>0</v>
      </c>
    </row>
    <row r="361" spans="1:38">
      <c r="A361" s="464">
        <v>44112</v>
      </c>
      <c r="B361" s="474">
        <v>4275</v>
      </c>
      <c r="C361" s="474">
        <v>0</v>
      </c>
      <c r="D361" s="474">
        <v>80</v>
      </c>
      <c r="E361" s="474"/>
      <c r="F361" s="474"/>
      <c r="G361" s="474"/>
      <c r="H361" s="474"/>
      <c r="I361" s="474"/>
      <c r="J361" s="474"/>
      <c r="K361" s="474">
        <v>26547.75</v>
      </c>
      <c r="L361" s="474">
        <v>0</v>
      </c>
      <c r="M361" s="474">
        <v>2720</v>
      </c>
      <c r="N361" s="475">
        <v>33.5</v>
      </c>
      <c r="O361" s="476">
        <v>29267.75</v>
      </c>
      <c r="P361" s="477">
        <v>0.90380549682875266</v>
      </c>
      <c r="Q361" s="469">
        <v>3</v>
      </c>
      <c r="R361" s="470">
        <v>8.0000000000000002E-3</v>
      </c>
      <c r="S361" s="471">
        <v>0</v>
      </c>
      <c r="T361" s="471"/>
      <c r="U361" s="471"/>
      <c r="V361" s="471"/>
      <c r="W361" s="462"/>
      <c r="Y361" s="368">
        <v>44112</v>
      </c>
      <c r="Z361" s="429">
        <v>35</v>
      </c>
      <c r="AA361" s="393">
        <v>8.1871345029239772E-3</v>
      </c>
      <c r="AB361" s="382">
        <v>217.35</v>
      </c>
      <c r="AC361" s="429">
        <v>0</v>
      </c>
      <c r="AD361" s="430">
        <v>0</v>
      </c>
      <c r="AE361" s="429"/>
      <c r="AF361" s="430">
        <v>0</v>
      </c>
      <c r="AG361" s="426"/>
      <c r="AH361" s="380">
        <v>150364.13225806449</v>
      </c>
      <c r="AI361" s="381">
        <v>54799.415322580644</v>
      </c>
      <c r="AJ361" s="382">
        <v>18068.051612903226</v>
      </c>
      <c r="AK361" s="394">
        <v>223231.59919354835</v>
      </c>
      <c r="AL361" s="440">
        <v>0</v>
      </c>
    </row>
    <row r="362" spans="1:38" ht="29.1">
      <c r="A362" s="464">
        <v>44113</v>
      </c>
      <c r="B362" s="474">
        <v>4195</v>
      </c>
      <c r="C362" s="474">
        <v>0</v>
      </c>
      <c r="D362" s="474">
        <v>140</v>
      </c>
      <c r="E362" s="474"/>
      <c r="F362" s="474"/>
      <c r="G362" s="474"/>
      <c r="H362" s="474"/>
      <c r="I362" s="474"/>
      <c r="J362" s="474"/>
      <c r="K362" s="474">
        <v>26050.95</v>
      </c>
      <c r="L362" s="474">
        <v>0</v>
      </c>
      <c r="M362" s="474">
        <v>4760</v>
      </c>
      <c r="N362" s="475">
        <v>34.5</v>
      </c>
      <c r="O362" s="476">
        <v>30810.95</v>
      </c>
      <c r="P362" s="477">
        <v>0.91874726237406923</v>
      </c>
      <c r="Q362" s="469">
        <v>3</v>
      </c>
      <c r="R362" s="470">
        <v>8.0000000000000002E-3</v>
      </c>
      <c r="S362" s="471">
        <v>0</v>
      </c>
      <c r="T362" s="471"/>
      <c r="U362" s="471"/>
      <c r="V362" s="471"/>
      <c r="W362" s="462" t="s">
        <v>229</v>
      </c>
      <c r="Y362" s="368">
        <v>44113</v>
      </c>
      <c r="Z362" s="429">
        <v>112</v>
      </c>
      <c r="AA362" s="393">
        <v>2.6698450536352801E-2</v>
      </c>
      <c r="AB362" s="382">
        <v>695.52</v>
      </c>
      <c r="AC362" s="429">
        <v>0</v>
      </c>
      <c r="AD362" s="430">
        <v>0</v>
      </c>
      <c r="AE362" s="429"/>
      <c r="AF362" s="430">
        <v>0</v>
      </c>
      <c r="AG362" s="426"/>
      <c r="AH362" s="380">
        <v>157772.66225806449</v>
      </c>
      <c r="AI362" s="381">
        <v>54799.415322580644</v>
      </c>
      <c r="AJ362" s="382">
        <v>20448.051612903226</v>
      </c>
      <c r="AK362" s="394">
        <v>233020.12919354835</v>
      </c>
      <c r="AL362" s="440">
        <v>5</v>
      </c>
    </row>
    <row r="363" spans="1:38">
      <c r="A363" s="464">
        <v>44114</v>
      </c>
      <c r="B363" s="474">
        <v>3002</v>
      </c>
      <c r="C363" s="474">
        <v>0</v>
      </c>
      <c r="D363" s="474">
        <v>70</v>
      </c>
      <c r="E363" s="474"/>
      <c r="F363" s="474"/>
      <c r="G363" s="474"/>
      <c r="H363" s="474"/>
      <c r="I363" s="474"/>
      <c r="J363" s="474"/>
      <c r="K363" s="474">
        <v>18642.419999999998</v>
      </c>
      <c r="L363" s="474">
        <v>0</v>
      </c>
      <c r="M363" s="474">
        <v>2380</v>
      </c>
      <c r="N363" s="475">
        <v>35.5</v>
      </c>
      <c r="O363" s="476">
        <v>21022.42</v>
      </c>
      <c r="P363" s="477">
        <v>0.79607531158843803</v>
      </c>
      <c r="Q363" s="469">
        <v>3</v>
      </c>
      <c r="R363" s="470">
        <v>8.0000000000000002E-3</v>
      </c>
      <c r="S363" s="471">
        <v>0</v>
      </c>
      <c r="T363" s="471"/>
      <c r="U363" s="471"/>
      <c r="V363" s="471"/>
      <c r="W363" s="462"/>
      <c r="Y363" s="368">
        <v>44114</v>
      </c>
      <c r="Z363" s="429">
        <v>36</v>
      </c>
      <c r="AA363" s="393">
        <v>1.1992005329780146E-2</v>
      </c>
      <c r="AB363" s="382">
        <v>223.56</v>
      </c>
      <c r="AC363" s="429">
        <v>0</v>
      </c>
      <c r="AD363" s="430">
        <v>0</v>
      </c>
      <c r="AE363" s="429"/>
      <c r="AF363" s="430">
        <v>0</v>
      </c>
      <c r="AG363" s="426"/>
      <c r="AH363" s="380">
        <v>157915.49225806451</v>
      </c>
      <c r="AI363" s="381">
        <v>54799.415322580644</v>
      </c>
      <c r="AJ363" s="382">
        <v>22148.051612903226</v>
      </c>
      <c r="AK363" s="394">
        <v>234862.95919354836</v>
      </c>
      <c r="AL363" s="440">
        <v>5</v>
      </c>
    </row>
    <row r="364" spans="1:38">
      <c r="A364" s="464">
        <v>44115</v>
      </c>
      <c r="B364" s="474">
        <v>2979</v>
      </c>
      <c r="C364" s="474">
        <v>0</v>
      </c>
      <c r="D364" s="474">
        <v>20</v>
      </c>
      <c r="E364" s="474"/>
      <c r="F364" s="474"/>
      <c r="G364" s="474"/>
      <c r="H364" s="474"/>
      <c r="I364" s="474"/>
      <c r="J364" s="474"/>
      <c r="K364" s="474">
        <v>18499.59</v>
      </c>
      <c r="L364" s="474">
        <v>0</v>
      </c>
      <c r="M364" s="474">
        <v>680</v>
      </c>
      <c r="N364" s="475">
        <v>36.5</v>
      </c>
      <c r="O364" s="476">
        <v>19179.59</v>
      </c>
      <c r="P364" s="477">
        <v>0.81594083812654072</v>
      </c>
      <c r="Q364" s="469">
        <v>3</v>
      </c>
      <c r="R364" s="470">
        <v>8.0000000000000002E-3</v>
      </c>
      <c r="S364" s="471">
        <v>0</v>
      </c>
      <c r="T364" s="471"/>
      <c r="U364" s="471"/>
      <c r="V364" s="471"/>
      <c r="W364" s="462"/>
      <c r="Y364" s="368">
        <v>44115</v>
      </c>
      <c r="Z364" s="429">
        <v>116</v>
      </c>
      <c r="AA364" s="393">
        <v>3.8939241356159789E-2</v>
      </c>
      <c r="AB364" s="382">
        <v>720.36</v>
      </c>
      <c r="AC364" s="429">
        <v>0</v>
      </c>
      <c r="AD364" s="430">
        <v>0</v>
      </c>
      <c r="AE364" s="429"/>
      <c r="AF364" s="430">
        <v>0</v>
      </c>
      <c r="AG364" s="412"/>
      <c r="AH364" s="380">
        <v>150488.3322580645</v>
      </c>
      <c r="AI364" s="381">
        <v>54799.415322580644</v>
      </c>
      <c r="AJ364" s="382">
        <v>19768.051612903226</v>
      </c>
      <c r="AK364" s="394">
        <v>225055.79919354836</v>
      </c>
      <c r="AL364" s="440">
        <v>9</v>
      </c>
    </row>
    <row r="365" spans="1:38">
      <c r="A365" s="464">
        <v>44116</v>
      </c>
      <c r="B365" s="474">
        <v>4175</v>
      </c>
      <c r="C365" s="474">
        <v>0</v>
      </c>
      <c r="D365" s="474">
        <v>90</v>
      </c>
      <c r="E365" s="474"/>
      <c r="F365" s="474"/>
      <c r="G365" s="474"/>
      <c r="H365" s="474"/>
      <c r="I365" s="474"/>
      <c r="J365" s="474"/>
      <c r="K365" s="474">
        <v>25926.75</v>
      </c>
      <c r="L365" s="474">
        <v>0</v>
      </c>
      <c r="M365" s="474">
        <v>3060</v>
      </c>
      <c r="N365" s="475">
        <v>37.5</v>
      </c>
      <c r="O365" s="476">
        <v>28986.75</v>
      </c>
      <c r="P365" s="477">
        <v>0.89362157534246578</v>
      </c>
      <c r="Q365" s="469">
        <v>3</v>
      </c>
      <c r="R365" s="470">
        <v>8.0000000000000002E-3</v>
      </c>
      <c r="S365" s="471">
        <v>0</v>
      </c>
      <c r="T365" s="471"/>
      <c r="U365" s="471"/>
      <c r="V365" s="471"/>
      <c r="W365" s="463"/>
      <c r="Y365" s="368">
        <v>44116</v>
      </c>
      <c r="Z365" s="429">
        <v>83</v>
      </c>
      <c r="AA365" s="393">
        <v>1.9880239520958083E-2</v>
      </c>
      <c r="AB365" s="382">
        <v>515.42999999999995</v>
      </c>
      <c r="AC365" s="429">
        <v>0</v>
      </c>
      <c r="AD365" s="430">
        <v>0</v>
      </c>
      <c r="AE365" s="429"/>
      <c r="AF365" s="430">
        <v>0</v>
      </c>
      <c r="AG365" s="412"/>
      <c r="AH365" s="380">
        <v>149389.16225806449</v>
      </c>
      <c r="AI365" s="381">
        <v>54799.415322580644</v>
      </c>
      <c r="AJ365" s="382">
        <v>19428.051612903226</v>
      </c>
      <c r="AK365" s="394">
        <v>223616.62919354835</v>
      </c>
      <c r="AL365" s="440">
        <v>0</v>
      </c>
    </row>
    <row r="366" spans="1:38">
      <c r="A366" s="433">
        <v>44117</v>
      </c>
      <c r="B366" s="479">
        <v>4352</v>
      </c>
      <c r="C366" s="474">
        <v>0</v>
      </c>
      <c r="D366" s="479">
        <v>100</v>
      </c>
      <c r="E366" s="479"/>
      <c r="F366" s="479"/>
      <c r="G366" s="479"/>
      <c r="H366" s="479"/>
      <c r="I366" s="479"/>
      <c r="J366" s="479"/>
      <c r="K366" s="479">
        <v>27025.919999999998</v>
      </c>
      <c r="L366" s="474">
        <v>0</v>
      </c>
      <c r="M366" s="479">
        <v>3400</v>
      </c>
      <c r="N366" s="480">
        <v>38.5</v>
      </c>
      <c r="O366" s="481">
        <v>30425.919999999998</v>
      </c>
      <c r="P366" s="482">
        <v>0.89381803245019509</v>
      </c>
      <c r="Q366" s="437">
        <v>3</v>
      </c>
      <c r="R366" s="438">
        <v>8.0000000000000002E-3</v>
      </c>
      <c r="S366" s="439">
        <v>0</v>
      </c>
      <c r="T366" s="439"/>
      <c r="U366" s="439"/>
      <c r="V366" s="439"/>
      <c r="W366" s="463"/>
      <c r="Y366" s="368">
        <v>44117</v>
      </c>
      <c r="Z366" s="429">
        <v>69</v>
      </c>
      <c r="AA366" s="393">
        <v>1.5854779411764705E-2</v>
      </c>
      <c r="AB366" s="382">
        <v>428.49</v>
      </c>
      <c r="AC366" s="429">
        <v>0</v>
      </c>
      <c r="AD366" s="430">
        <v>0</v>
      </c>
      <c r="AE366" s="429"/>
      <c r="AF366" s="430">
        <v>0</v>
      </c>
      <c r="AG366" s="412"/>
      <c r="AH366" s="380">
        <v>150128.15225806451</v>
      </c>
      <c r="AI366" s="381">
        <v>54799.415322580644</v>
      </c>
      <c r="AJ366" s="382">
        <v>19768.051612903226</v>
      </c>
      <c r="AK366" s="394">
        <v>224695.61919354837</v>
      </c>
      <c r="AL366" s="440">
        <v>0</v>
      </c>
    </row>
    <row r="367" spans="1:38">
      <c r="A367" s="433">
        <v>44118</v>
      </c>
      <c r="B367" s="479">
        <v>4233</v>
      </c>
      <c r="C367" s="474">
        <v>0</v>
      </c>
      <c r="D367" s="479">
        <v>90</v>
      </c>
      <c r="E367" s="479"/>
      <c r="F367" s="479"/>
      <c r="G367" s="479"/>
      <c r="H367" s="479"/>
      <c r="I367" s="479"/>
      <c r="J367" s="479"/>
      <c r="K367" s="479">
        <v>26286.93</v>
      </c>
      <c r="L367" s="474">
        <v>0</v>
      </c>
      <c r="M367" s="479">
        <v>3060</v>
      </c>
      <c r="N367" s="480">
        <v>39.5</v>
      </c>
      <c r="O367" s="481">
        <v>29346.93</v>
      </c>
      <c r="P367" s="482">
        <v>0.8760347682119205</v>
      </c>
      <c r="Q367" s="437">
        <v>3</v>
      </c>
      <c r="R367" s="438">
        <v>8.0000000000000002E-3</v>
      </c>
      <c r="S367" s="439">
        <v>0</v>
      </c>
      <c r="T367" s="439"/>
      <c r="U367" s="439"/>
      <c r="V367" s="439"/>
      <c r="W367" s="463"/>
      <c r="Y367" s="368">
        <v>44118</v>
      </c>
      <c r="Z367" s="429">
        <v>77</v>
      </c>
      <c r="AA367" s="393">
        <v>1.819040869359792E-2</v>
      </c>
      <c r="AB367" s="382">
        <v>478.17</v>
      </c>
      <c r="AC367" s="429">
        <v>0</v>
      </c>
      <c r="AD367" s="430">
        <v>0</v>
      </c>
      <c r="AE367" s="429"/>
      <c r="AF367" s="430">
        <v>0</v>
      </c>
      <c r="AG367" s="412"/>
      <c r="AH367" s="380">
        <v>149277.38225806449</v>
      </c>
      <c r="AI367" s="381">
        <v>54799.415322580644</v>
      </c>
      <c r="AJ367" s="382">
        <v>18068.051612903226</v>
      </c>
      <c r="AK367" s="394">
        <v>222144.84919354835</v>
      </c>
      <c r="AL367" s="440">
        <v>0</v>
      </c>
    </row>
    <row r="368" spans="1:38" ht="29.1">
      <c r="A368" s="433">
        <v>44119</v>
      </c>
      <c r="B368" s="474">
        <v>4370</v>
      </c>
      <c r="C368" s="474">
        <v>0</v>
      </c>
      <c r="D368" s="474">
        <v>140</v>
      </c>
      <c r="E368" s="474"/>
      <c r="F368" s="474"/>
      <c r="G368" s="474"/>
      <c r="H368" s="474"/>
      <c r="I368" s="474"/>
      <c r="J368" s="474"/>
      <c r="K368" s="474">
        <v>27137.7</v>
      </c>
      <c r="L368" s="474">
        <v>0</v>
      </c>
      <c r="M368" s="474">
        <v>4760</v>
      </c>
      <c r="N368" s="475">
        <v>40.5</v>
      </c>
      <c r="O368" s="476">
        <v>31897.7</v>
      </c>
      <c r="P368" s="477">
        <v>0.86792452830188682</v>
      </c>
      <c r="Q368" s="469">
        <v>3</v>
      </c>
      <c r="R368" s="470">
        <v>8.0000000000000002E-3</v>
      </c>
      <c r="S368" s="471">
        <v>0</v>
      </c>
      <c r="T368" s="471"/>
      <c r="U368" s="471"/>
      <c r="V368" s="471"/>
      <c r="W368" s="463" t="s">
        <v>230</v>
      </c>
      <c r="Y368" s="368">
        <v>44119</v>
      </c>
      <c r="Z368" s="429">
        <v>79</v>
      </c>
      <c r="AA368" s="393">
        <v>1.8077803203661327E-2</v>
      </c>
      <c r="AB368" s="382">
        <v>490.59</v>
      </c>
      <c r="AC368" s="429">
        <v>0</v>
      </c>
      <c r="AD368" s="430">
        <v>0</v>
      </c>
      <c r="AE368" s="429"/>
      <c r="AF368" s="430">
        <v>0</v>
      </c>
      <c r="AG368" s="412"/>
      <c r="AH368" s="380">
        <v>146408.3622580645</v>
      </c>
      <c r="AI368" s="381">
        <v>54799.415322580644</v>
      </c>
      <c r="AJ368" s="382">
        <v>19768.051612903226</v>
      </c>
      <c r="AK368" s="394">
        <v>220975.82919354836</v>
      </c>
      <c r="AL368" s="440">
        <v>8</v>
      </c>
    </row>
    <row r="369" spans="1:38">
      <c r="A369" s="433">
        <v>44120</v>
      </c>
      <c r="B369" s="474">
        <v>4832</v>
      </c>
      <c r="C369" s="474">
        <v>0</v>
      </c>
      <c r="D369" s="474">
        <v>90</v>
      </c>
      <c r="E369" s="474"/>
      <c r="F369" s="474"/>
      <c r="G369" s="474"/>
      <c r="H369" s="474"/>
      <c r="I369" s="474"/>
      <c r="J369" s="474"/>
      <c r="K369" s="474">
        <v>30006.720000000001</v>
      </c>
      <c r="L369" s="474">
        <v>0</v>
      </c>
      <c r="M369" s="474">
        <v>3060</v>
      </c>
      <c r="N369" s="475">
        <v>41.5</v>
      </c>
      <c r="O369" s="476">
        <v>33066.720000000001</v>
      </c>
      <c r="P369" s="477">
        <v>0.9156717832101573</v>
      </c>
      <c r="Q369" s="469">
        <v>3</v>
      </c>
      <c r="R369" s="470">
        <v>8.0000000000000002E-3</v>
      </c>
      <c r="S369" s="471">
        <v>0</v>
      </c>
      <c r="T369" s="471"/>
      <c r="U369" s="471"/>
      <c r="V369" s="471"/>
      <c r="W369" s="463" t="s">
        <v>231</v>
      </c>
      <c r="Y369" s="368">
        <v>44120</v>
      </c>
      <c r="Z369" s="429">
        <v>37</v>
      </c>
      <c r="AA369" s="393">
        <v>7.6572847682119206E-3</v>
      </c>
      <c r="AB369" s="382">
        <v>229.77</v>
      </c>
      <c r="AC369" s="429">
        <v>0</v>
      </c>
      <c r="AD369" s="430">
        <v>0</v>
      </c>
      <c r="AE369" s="429"/>
      <c r="AF369" s="430">
        <v>0</v>
      </c>
      <c r="AG369" s="412"/>
      <c r="AH369" s="380">
        <v>154537.25225806452</v>
      </c>
      <c r="AI369" s="381">
        <v>54799.415322580644</v>
      </c>
      <c r="AJ369" s="382">
        <v>19768.051612903226</v>
      </c>
      <c r="AK369" s="394">
        <v>229104.71919354837</v>
      </c>
      <c r="AL369" s="440">
        <v>5</v>
      </c>
    </row>
    <row r="370" spans="1:38">
      <c r="A370" s="433">
        <v>44121</v>
      </c>
      <c r="B370" s="474">
        <v>3523</v>
      </c>
      <c r="C370" s="474">
        <v>0</v>
      </c>
      <c r="D370" s="474">
        <v>90</v>
      </c>
      <c r="E370" s="474"/>
      <c r="F370" s="474"/>
      <c r="G370" s="474"/>
      <c r="H370" s="474"/>
      <c r="I370" s="474"/>
      <c r="J370" s="474"/>
      <c r="K370" s="474">
        <v>21877.829999999998</v>
      </c>
      <c r="L370" s="474">
        <v>0</v>
      </c>
      <c r="M370" s="474">
        <v>3060</v>
      </c>
      <c r="N370" s="475">
        <v>42.5</v>
      </c>
      <c r="O370" s="476">
        <v>24937.829999999998</v>
      </c>
      <c r="P370" s="477">
        <v>0.8436302681992337</v>
      </c>
      <c r="Q370" s="469">
        <v>3</v>
      </c>
      <c r="R370" s="470">
        <v>8.0000000000000002E-3</v>
      </c>
      <c r="S370" s="471">
        <v>0</v>
      </c>
      <c r="T370" s="471"/>
      <c r="U370" s="471"/>
      <c r="V370" s="471"/>
      <c r="W370" s="462" t="s">
        <v>232</v>
      </c>
      <c r="Y370" s="368">
        <v>44121</v>
      </c>
      <c r="Z370" s="429">
        <v>109</v>
      </c>
      <c r="AA370" s="393">
        <v>3.0939540164632417E-2</v>
      </c>
      <c r="AB370" s="382">
        <v>676.89</v>
      </c>
      <c r="AC370" s="429">
        <v>0</v>
      </c>
      <c r="AD370" s="430">
        <v>0</v>
      </c>
      <c r="AE370" s="429"/>
      <c r="AF370" s="430">
        <v>0</v>
      </c>
      <c r="AG370" s="412"/>
      <c r="AH370" s="380">
        <v>157586.3622580645</v>
      </c>
      <c r="AI370" s="381">
        <v>54799.415322580644</v>
      </c>
      <c r="AJ370" s="382">
        <v>21808.051612903226</v>
      </c>
      <c r="AK370" s="394">
        <v>234193.82919354836</v>
      </c>
      <c r="AL370" s="440">
        <v>0</v>
      </c>
    </row>
    <row r="371" spans="1:38">
      <c r="A371" s="433">
        <v>44122</v>
      </c>
      <c r="B371" s="479">
        <v>3032</v>
      </c>
      <c r="C371" s="474">
        <v>0</v>
      </c>
      <c r="D371" s="479">
        <v>30</v>
      </c>
      <c r="E371" s="479"/>
      <c r="F371" s="479"/>
      <c r="G371" s="479"/>
      <c r="H371" s="479"/>
      <c r="I371" s="479"/>
      <c r="J371" s="479"/>
      <c r="K371" s="479">
        <v>18828.72</v>
      </c>
      <c r="L371" s="474">
        <v>0</v>
      </c>
      <c r="M371" s="479">
        <v>1020</v>
      </c>
      <c r="N371" s="480">
        <v>43.5</v>
      </c>
      <c r="O371" s="481">
        <v>19848.72</v>
      </c>
      <c r="P371" s="482">
        <v>0.81439699167338164</v>
      </c>
      <c r="Q371" s="437">
        <v>3</v>
      </c>
      <c r="R371" s="438">
        <v>8.0000000000000002E-3</v>
      </c>
      <c r="S371" s="439">
        <v>0</v>
      </c>
      <c r="T371" s="439"/>
      <c r="U371" s="439"/>
      <c r="V371" s="439"/>
      <c r="W371" s="463"/>
      <c r="Y371" s="368">
        <v>44122</v>
      </c>
      <c r="Z371" s="429">
        <v>36</v>
      </c>
      <c r="AA371" s="393">
        <v>1.1873350923482849E-2</v>
      </c>
      <c r="AB371" s="382">
        <v>223.56</v>
      </c>
      <c r="AC371" s="429">
        <v>0</v>
      </c>
      <c r="AD371" s="430">
        <v>0</v>
      </c>
      <c r="AE371" s="429"/>
      <c r="AF371" s="430">
        <v>0</v>
      </c>
      <c r="AG371" s="412"/>
      <c r="AH371" s="380">
        <v>147706.25225806452</v>
      </c>
      <c r="AI371" s="381">
        <v>54799.415322580644</v>
      </c>
      <c r="AJ371" s="382">
        <v>19768.051612903226</v>
      </c>
      <c r="AK371" s="394">
        <v>222273.71919354837</v>
      </c>
      <c r="AL371" s="440"/>
    </row>
    <row r="372" spans="1:38">
      <c r="A372" s="433">
        <v>44123</v>
      </c>
      <c r="B372" s="479">
        <v>4623</v>
      </c>
      <c r="C372" s="474">
        <v>0</v>
      </c>
      <c r="D372" s="479">
        <v>90</v>
      </c>
      <c r="E372" s="479"/>
      <c r="F372" s="479"/>
      <c r="G372" s="479"/>
      <c r="H372" s="479"/>
      <c r="I372" s="479"/>
      <c r="J372" s="479"/>
      <c r="K372" s="479">
        <v>28708.829999999998</v>
      </c>
      <c r="L372" s="474">
        <v>0</v>
      </c>
      <c r="M372" s="479">
        <v>3060</v>
      </c>
      <c r="N372" s="480">
        <v>44.5</v>
      </c>
      <c r="O372" s="481">
        <v>31768.829999999998</v>
      </c>
      <c r="P372" s="482">
        <v>0.88818443804034586</v>
      </c>
      <c r="Q372" s="437">
        <v>3</v>
      </c>
      <c r="R372" s="438">
        <v>8.0000000000000002E-3</v>
      </c>
      <c r="S372" s="439">
        <v>0</v>
      </c>
      <c r="T372" s="439"/>
      <c r="U372" s="439"/>
      <c r="V372" s="439"/>
      <c r="W372" s="463"/>
      <c r="Y372" s="368">
        <v>44123</v>
      </c>
      <c r="Z372" s="429">
        <v>148</v>
      </c>
      <c r="AA372" s="393">
        <v>3.2013843824356479E-2</v>
      </c>
      <c r="AB372" s="382">
        <v>919.08</v>
      </c>
      <c r="AC372" s="429">
        <v>0</v>
      </c>
      <c r="AD372" s="430">
        <v>0</v>
      </c>
      <c r="AE372" s="429"/>
      <c r="AF372" s="430">
        <v>0</v>
      </c>
      <c r="AG372" s="412"/>
      <c r="AH372" s="380">
        <v>149320.85225806449</v>
      </c>
      <c r="AI372" s="381">
        <v>54799.415322580644</v>
      </c>
      <c r="AJ372" s="382">
        <v>20448.051612903226</v>
      </c>
      <c r="AK372" s="394">
        <v>224568.31919354835</v>
      </c>
      <c r="AL372" s="440"/>
    </row>
    <row r="373" spans="1:38">
      <c r="A373" s="433">
        <v>44124</v>
      </c>
      <c r="B373" s="479">
        <v>4363</v>
      </c>
      <c r="C373" s="474">
        <v>0</v>
      </c>
      <c r="D373" s="479">
        <v>70</v>
      </c>
      <c r="E373" s="479"/>
      <c r="F373" s="479"/>
      <c r="G373" s="479"/>
      <c r="H373" s="479"/>
      <c r="I373" s="479"/>
      <c r="J373" s="479"/>
      <c r="K373" s="479">
        <v>27094.23</v>
      </c>
      <c r="L373" s="474">
        <v>0</v>
      </c>
      <c r="M373" s="479">
        <v>2380</v>
      </c>
      <c r="N373" s="480">
        <v>45.5</v>
      </c>
      <c r="O373" s="481">
        <v>29474.23</v>
      </c>
      <c r="P373" s="482">
        <v>0.90763469939671315</v>
      </c>
      <c r="Q373" s="437">
        <v>3</v>
      </c>
      <c r="R373" s="438">
        <v>8.0000000000000002E-3</v>
      </c>
      <c r="S373" s="439">
        <v>0</v>
      </c>
      <c r="T373" s="439"/>
      <c r="U373" s="439"/>
      <c r="V373" s="439"/>
      <c r="W373" s="463"/>
      <c r="Y373" s="368">
        <v>44124</v>
      </c>
      <c r="Z373" s="429">
        <v>83</v>
      </c>
      <c r="AA373" s="393">
        <v>1.9023607609443043E-2</v>
      </c>
      <c r="AB373" s="382">
        <v>515.42999999999995</v>
      </c>
      <c r="AC373" s="429">
        <v>0</v>
      </c>
      <c r="AD373" s="430">
        <v>0</v>
      </c>
      <c r="AE373" s="429"/>
      <c r="AF373" s="430">
        <v>0</v>
      </c>
      <c r="AG373" s="412"/>
      <c r="AH373" s="380">
        <v>147619.31225806451</v>
      </c>
      <c r="AI373" s="381">
        <v>54799.415322580644</v>
      </c>
      <c r="AJ373" s="382">
        <v>19088.051612903226</v>
      </c>
      <c r="AK373" s="394">
        <v>221506.77919354837</v>
      </c>
      <c r="AL373" s="440"/>
    </row>
    <row r="374" spans="1:38">
      <c r="A374" s="433">
        <v>44125</v>
      </c>
      <c r="B374" s="474">
        <v>4637</v>
      </c>
      <c r="C374" s="474">
        <v>0</v>
      </c>
      <c r="D374" s="474">
        <v>110</v>
      </c>
      <c r="E374" s="474"/>
      <c r="F374" s="474"/>
      <c r="G374" s="474"/>
      <c r="H374" s="474"/>
      <c r="I374" s="474"/>
      <c r="J374" s="474"/>
      <c r="K374" s="474">
        <v>28795.77</v>
      </c>
      <c r="L374" s="474">
        <v>0</v>
      </c>
      <c r="M374" s="474">
        <v>3740</v>
      </c>
      <c r="N374" s="475">
        <v>46.5</v>
      </c>
      <c r="O374" s="476">
        <v>32535.77</v>
      </c>
      <c r="P374" s="477">
        <v>0.89725232198142413</v>
      </c>
      <c r="Q374" s="469">
        <v>3</v>
      </c>
      <c r="R374" s="470">
        <v>8.0000000000000002E-3</v>
      </c>
      <c r="S374" s="471">
        <v>0</v>
      </c>
      <c r="T374" s="471"/>
      <c r="U374" s="471"/>
      <c r="V374" s="471"/>
      <c r="W374" s="463"/>
      <c r="Y374" s="368">
        <v>44125</v>
      </c>
      <c r="Z374" s="429">
        <v>140</v>
      </c>
      <c r="AA374" s="393">
        <v>3.0191934440370931E-2</v>
      </c>
      <c r="AB374" s="382">
        <v>869.4</v>
      </c>
      <c r="AC374" s="429">
        <v>0</v>
      </c>
      <c r="AD374" s="430">
        <v>0</v>
      </c>
      <c r="AE374" s="429"/>
      <c r="AF374" s="430">
        <v>0</v>
      </c>
      <c r="AG374" s="412"/>
      <c r="AH374" s="380">
        <v>148221.68225806451</v>
      </c>
      <c r="AI374" s="381">
        <v>54799.415322580644</v>
      </c>
      <c r="AJ374" s="382">
        <v>20448.051612903226</v>
      </c>
      <c r="AK374" s="394">
        <v>223469.14919354836</v>
      </c>
      <c r="AL374" s="440"/>
    </row>
    <row r="375" spans="1:38" ht="17.25" customHeight="1">
      <c r="A375" s="433">
        <v>44126</v>
      </c>
      <c r="B375" s="479">
        <v>4540</v>
      </c>
      <c r="C375" s="474">
        <v>0</v>
      </c>
      <c r="D375" s="479">
        <v>70</v>
      </c>
      <c r="E375" s="479"/>
      <c r="F375" s="479"/>
      <c r="G375" s="479"/>
      <c r="H375" s="479"/>
      <c r="I375" s="479"/>
      <c r="J375" s="479"/>
      <c r="K375" s="479">
        <v>28193.4</v>
      </c>
      <c r="L375" s="474">
        <v>0</v>
      </c>
      <c r="M375" s="479">
        <v>2380</v>
      </c>
      <c r="N375" s="480">
        <v>47.5</v>
      </c>
      <c r="O375" s="481">
        <v>30573.4</v>
      </c>
      <c r="P375" s="482">
        <v>0.89546351084812625</v>
      </c>
      <c r="Q375" s="437">
        <v>3</v>
      </c>
      <c r="R375" s="438">
        <v>8.0000000000000002E-3</v>
      </c>
      <c r="S375" s="439">
        <v>0</v>
      </c>
      <c r="T375" s="439"/>
      <c r="U375" s="439"/>
      <c r="V375" s="439"/>
      <c r="W375" s="463"/>
      <c r="Y375" s="368">
        <v>44126</v>
      </c>
      <c r="Z375" s="429">
        <v>146</v>
      </c>
      <c r="AA375" s="393">
        <v>3.2158590308370046E-2</v>
      </c>
      <c r="AB375" s="382">
        <v>906.66</v>
      </c>
      <c r="AC375" s="429">
        <v>0</v>
      </c>
      <c r="AD375" s="430">
        <v>0</v>
      </c>
      <c r="AE375" s="429"/>
      <c r="AF375" s="430">
        <v>0</v>
      </c>
      <c r="AG375" s="412"/>
      <c r="AH375" s="380">
        <v>149178.02225806451</v>
      </c>
      <c r="AI375" s="381">
        <v>54799.415322580644</v>
      </c>
      <c r="AJ375" s="382">
        <v>20788.051612903226</v>
      </c>
      <c r="AK375" s="394">
        <v>224765.48919354836</v>
      </c>
      <c r="AL375" s="440"/>
    </row>
    <row r="376" spans="1:38">
      <c r="A376" s="433">
        <v>44127</v>
      </c>
      <c r="B376" s="479">
        <v>4386</v>
      </c>
      <c r="C376" s="474">
        <v>0</v>
      </c>
      <c r="D376" s="479">
        <v>60</v>
      </c>
      <c r="E376" s="479"/>
      <c r="F376" s="479"/>
      <c r="G376" s="479"/>
      <c r="H376" s="479"/>
      <c r="I376" s="479"/>
      <c r="J376" s="479"/>
      <c r="K376" s="479">
        <v>27237.06</v>
      </c>
      <c r="L376" s="474">
        <v>0</v>
      </c>
      <c r="M376" s="479">
        <v>2040</v>
      </c>
      <c r="N376" s="480">
        <v>48.5</v>
      </c>
      <c r="O376" s="481">
        <v>29277.06</v>
      </c>
      <c r="P376" s="482">
        <v>0.85480413174819725</v>
      </c>
      <c r="Q376" s="437">
        <v>3</v>
      </c>
      <c r="R376" s="438">
        <v>8.0000000000000002E-3</v>
      </c>
      <c r="S376" s="439">
        <v>0</v>
      </c>
      <c r="T376" s="439"/>
      <c r="U376" s="439"/>
      <c r="V376" s="439"/>
      <c r="W376" s="463" t="s">
        <v>233</v>
      </c>
      <c r="Y376" s="368">
        <v>44127</v>
      </c>
      <c r="Z376" s="429">
        <v>138</v>
      </c>
      <c r="AA376" s="393">
        <v>3.1463748290013679E-2</v>
      </c>
      <c r="AB376" s="382">
        <v>856.98</v>
      </c>
      <c r="AC376" s="429">
        <v>0</v>
      </c>
      <c r="AD376" s="430">
        <v>0</v>
      </c>
      <c r="AE376" s="429"/>
      <c r="AF376" s="430">
        <v>0</v>
      </c>
      <c r="AG376" s="412"/>
      <c r="AH376" s="380">
        <v>155499.8022580645</v>
      </c>
      <c r="AI376" s="381">
        <v>54799.415322580644</v>
      </c>
      <c r="AJ376" s="382">
        <v>19768.051612903226</v>
      </c>
      <c r="AK376" s="396">
        <v>230067.26919354836</v>
      </c>
      <c r="AL376" s="440"/>
    </row>
    <row r="377" spans="1:38" ht="43.5">
      <c r="A377" s="433">
        <v>44128</v>
      </c>
      <c r="B377" s="479">
        <v>3368</v>
      </c>
      <c r="C377" s="474">
        <v>0</v>
      </c>
      <c r="D377" s="479">
        <v>90</v>
      </c>
      <c r="E377" s="479"/>
      <c r="F377" s="479"/>
      <c r="G377" s="479"/>
      <c r="H377" s="479"/>
      <c r="I377" s="479"/>
      <c r="J377" s="479"/>
      <c r="K377" s="479">
        <v>20915.28</v>
      </c>
      <c r="L377" s="474">
        <v>0</v>
      </c>
      <c r="M377" s="479">
        <v>3060</v>
      </c>
      <c r="N377" s="480">
        <v>49.5</v>
      </c>
      <c r="O377" s="481">
        <v>23975.279999999999</v>
      </c>
      <c r="P377" s="482">
        <v>0.82996550024642679</v>
      </c>
      <c r="Q377" s="437">
        <v>3</v>
      </c>
      <c r="R377" s="438">
        <v>8.0000000000000002E-3</v>
      </c>
      <c r="S377" s="439">
        <v>0</v>
      </c>
      <c r="T377" s="439"/>
      <c r="U377" s="439"/>
      <c r="V377" s="439"/>
      <c r="W377" s="463" t="s">
        <v>234</v>
      </c>
      <c r="Y377" s="368">
        <v>44128</v>
      </c>
      <c r="Z377" s="429">
        <v>24</v>
      </c>
      <c r="AA377" s="393">
        <v>7.1258907363420431E-3</v>
      </c>
      <c r="AB377" s="382">
        <v>149.04</v>
      </c>
      <c r="AC377" s="429">
        <v>0</v>
      </c>
      <c r="AD377" s="430">
        <v>0</v>
      </c>
      <c r="AE377" s="429"/>
      <c r="AF377" s="430">
        <v>0</v>
      </c>
      <c r="AG377" s="412"/>
      <c r="AH377" s="380">
        <v>156623.81225806451</v>
      </c>
      <c r="AI377" s="381">
        <v>54799.415322580644</v>
      </c>
      <c r="AJ377" s="382">
        <v>22488.051612903226</v>
      </c>
      <c r="AK377" s="396">
        <v>233911.27919354837</v>
      </c>
      <c r="AL377" s="440"/>
    </row>
    <row r="378" spans="1:38">
      <c r="A378" s="433">
        <v>44129</v>
      </c>
      <c r="B378" s="474">
        <v>3187</v>
      </c>
      <c r="C378" s="474">
        <v>0</v>
      </c>
      <c r="D378" s="474">
        <v>10</v>
      </c>
      <c r="E378" s="474"/>
      <c r="F378" s="474"/>
      <c r="G378" s="474"/>
      <c r="H378" s="474"/>
      <c r="I378" s="474"/>
      <c r="J378" s="474"/>
      <c r="K378" s="474">
        <v>19791.27</v>
      </c>
      <c r="L378" s="474">
        <v>0</v>
      </c>
      <c r="M378" s="474">
        <v>340</v>
      </c>
      <c r="N378" s="475">
        <v>50.5</v>
      </c>
      <c r="O378" s="476">
        <v>20131.27</v>
      </c>
      <c r="P378" s="477">
        <v>0.79714857428714359</v>
      </c>
      <c r="Q378" s="469">
        <v>3</v>
      </c>
      <c r="R378" s="470">
        <v>8.0000000000000002E-3</v>
      </c>
      <c r="S378" s="471">
        <v>0</v>
      </c>
      <c r="T378" s="471"/>
      <c r="U378" s="471"/>
      <c r="V378" s="471"/>
      <c r="W378" s="484"/>
      <c r="Y378" s="368">
        <v>44129</v>
      </c>
      <c r="Z378" s="429">
        <v>88</v>
      </c>
      <c r="AA378" s="393">
        <v>2.7612174458738627E-2</v>
      </c>
      <c r="AB378" s="382">
        <v>546.48</v>
      </c>
      <c r="AC378" s="429">
        <v>0</v>
      </c>
      <c r="AD378" s="430">
        <v>0</v>
      </c>
      <c r="AE378" s="429"/>
      <c r="AF378" s="430">
        <v>0</v>
      </c>
      <c r="AG378" s="412"/>
      <c r="AH378" s="380">
        <v>147420.59225806451</v>
      </c>
      <c r="AI378" s="381">
        <v>54799.415322580644</v>
      </c>
      <c r="AJ378" s="382">
        <v>20448.051612903226</v>
      </c>
      <c r="AK378" s="396">
        <v>222668.05919354837</v>
      </c>
      <c r="AL378" s="440"/>
    </row>
    <row r="379" spans="1:38">
      <c r="A379" s="433">
        <v>44130</v>
      </c>
      <c r="B379" s="474">
        <v>4669</v>
      </c>
      <c r="C379" s="474">
        <v>0</v>
      </c>
      <c r="D379" s="474">
        <v>70</v>
      </c>
      <c r="E379" s="474"/>
      <c r="F379" s="474"/>
      <c r="G379" s="474"/>
      <c r="H379" s="474"/>
      <c r="I379" s="474"/>
      <c r="J379" s="474"/>
      <c r="K379" s="474">
        <v>28994.49</v>
      </c>
      <c r="L379" s="474">
        <v>0</v>
      </c>
      <c r="M379" s="474">
        <v>2380</v>
      </c>
      <c r="N379" s="475">
        <v>51.5</v>
      </c>
      <c r="O379" s="476">
        <v>31374.49</v>
      </c>
      <c r="P379" s="477">
        <v>0.89427312775330392</v>
      </c>
      <c r="Q379" s="469">
        <v>3</v>
      </c>
      <c r="R379" s="470">
        <v>8.0000000000000002E-3</v>
      </c>
      <c r="S379" s="471">
        <v>0</v>
      </c>
      <c r="T379" s="471"/>
      <c r="U379" s="471"/>
      <c r="V379" s="471"/>
      <c r="W379" s="484"/>
      <c r="Y379" s="368">
        <v>44130</v>
      </c>
      <c r="Z379" s="429">
        <v>31</v>
      </c>
      <c r="AA379" s="393">
        <v>6.6395373741700578E-3</v>
      </c>
      <c r="AB379" s="382">
        <v>192.51</v>
      </c>
      <c r="AC379" s="429">
        <v>0</v>
      </c>
      <c r="AD379" s="430">
        <v>0</v>
      </c>
      <c r="AE379" s="429"/>
      <c r="AF379" s="430">
        <v>0</v>
      </c>
      <c r="AG379" s="412"/>
      <c r="AH379" s="380">
        <v>147985.7022580645</v>
      </c>
      <c r="AI379" s="381">
        <v>54799.415322580644</v>
      </c>
      <c r="AJ379" s="382">
        <v>20448.051612903226</v>
      </c>
      <c r="AK379" s="396">
        <v>223233.16919354835</v>
      </c>
      <c r="AL379" s="440"/>
    </row>
    <row r="380" spans="1:38">
      <c r="A380" s="433">
        <v>44131</v>
      </c>
      <c r="B380" s="479">
        <v>4578</v>
      </c>
      <c r="C380" s="474">
        <v>0</v>
      </c>
      <c r="D380" s="479">
        <v>70</v>
      </c>
      <c r="E380" s="479"/>
      <c r="F380" s="479"/>
      <c r="G380" s="479"/>
      <c r="H380" s="479"/>
      <c r="I380" s="479"/>
      <c r="J380" s="479"/>
      <c r="K380" s="479">
        <v>28429.38</v>
      </c>
      <c r="L380" s="474">
        <v>0</v>
      </c>
      <c r="M380" s="479">
        <v>2380</v>
      </c>
      <c r="N380" s="480">
        <v>52.5</v>
      </c>
      <c r="O380" s="481">
        <v>30809.38</v>
      </c>
      <c r="P380" s="482">
        <v>0.88720930232558137</v>
      </c>
      <c r="Q380" s="437">
        <v>3</v>
      </c>
      <c r="R380" s="438">
        <v>8.0000000000000002E-3</v>
      </c>
      <c r="S380" s="439">
        <v>0</v>
      </c>
      <c r="T380" s="439"/>
      <c r="U380" s="439"/>
      <c r="V380" s="439"/>
      <c r="W380" s="484"/>
      <c r="Y380" s="368">
        <v>44131</v>
      </c>
      <c r="Z380" s="429">
        <v>103</v>
      </c>
      <c r="AA380" s="393">
        <v>2.2498907820008737E-2</v>
      </c>
      <c r="AB380" s="382">
        <v>639.63</v>
      </c>
      <c r="AC380" s="429">
        <v>0</v>
      </c>
      <c r="AD380" s="430">
        <v>0</v>
      </c>
      <c r="AE380" s="429"/>
      <c r="AF380" s="430">
        <v>0</v>
      </c>
      <c r="AG380" s="412"/>
      <c r="AH380" s="380">
        <v>156077.3322580645</v>
      </c>
      <c r="AI380" s="381">
        <v>54799.415322580644</v>
      </c>
      <c r="AJ380" s="382">
        <v>20108.051612903226</v>
      </c>
      <c r="AK380" s="396">
        <v>230984.79919354836</v>
      </c>
      <c r="AL380" s="440"/>
    </row>
    <row r="381" spans="1:38" ht="29.1">
      <c r="A381" s="433">
        <v>44132</v>
      </c>
      <c r="B381" s="386">
        <v>3275</v>
      </c>
      <c r="C381" s="474">
        <v>0</v>
      </c>
      <c r="D381" s="386">
        <v>80</v>
      </c>
      <c r="E381" s="386"/>
      <c r="F381" s="386"/>
      <c r="G381" s="386"/>
      <c r="H381" s="386"/>
      <c r="I381" s="386"/>
      <c r="J381" s="386"/>
      <c r="K381" s="386">
        <v>20337.75</v>
      </c>
      <c r="L381" s="474">
        <v>0</v>
      </c>
      <c r="M381" s="386">
        <v>2720</v>
      </c>
      <c r="N381" s="435">
        <v>53.5</v>
      </c>
      <c r="O381" s="436">
        <v>23057.75</v>
      </c>
      <c r="P381" s="461">
        <v>0.85935450013119918</v>
      </c>
      <c r="Q381" s="437">
        <v>3</v>
      </c>
      <c r="R381" s="438">
        <v>8.0000000000000002E-3</v>
      </c>
      <c r="S381" s="439">
        <v>0</v>
      </c>
      <c r="T381" s="439"/>
      <c r="U381" s="439"/>
      <c r="V381" s="439"/>
      <c r="W381" s="483" t="s">
        <v>235</v>
      </c>
      <c r="Y381" s="368">
        <v>44132</v>
      </c>
      <c r="Z381" s="429">
        <v>44</v>
      </c>
      <c r="AA381" s="393">
        <v>1.3435114503816794E-2</v>
      </c>
      <c r="AB381" s="382">
        <v>273.24</v>
      </c>
      <c r="AC381" s="429">
        <v>0</v>
      </c>
      <c r="AD381" s="430">
        <v>0</v>
      </c>
      <c r="AE381" s="429"/>
      <c r="AF381" s="430">
        <v>0</v>
      </c>
      <c r="AG381" s="412"/>
      <c r="AH381" s="380">
        <v>155034.0522580645</v>
      </c>
      <c r="AI381" s="381">
        <v>54799.415322580644</v>
      </c>
      <c r="AJ381" s="382">
        <v>20108.051612903226</v>
      </c>
      <c r="AK381" s="396">
        <v>229941.51919354836</v>
      </c>
      <c r="AL381" s="440"/>
    </row>
    <row r="382" spans="1:38">
      <c r="A382" s="433">
        <v>44133</v>
      </c>
      <c r="B382" s="386">
        <v>3443</v>
      </c>
      <c r="C382" s="474">
        <v>0</v>
      </c>
      <c r="D382" s="386">
        <v>80</v>
      </c>
      <c r="E382" s="386"/>
      <c r="F382" s="386"/>
      <c r="G382" s="386"/>
      <c r="H382" s="386"/>
      <c r="I382" s="386"/>
      <c r="J382" s="386"/>
      <c r="K382" s="386">
        <v>21381.03</v>
      </c>
      <c r="L382" s="474">
        <v>0</v>
      </c>
      <c r="M382" s="386">
        <v>2720</v>
      </c>
      <c r="N382" s="435">
        <v>54.5</v>
      </c>
      <c r="O382" s="436">
        <v>24101.03</v>
      </c>
      <c r="P382" s="461">
        <v>0.82943868947241628</v>
      </c>
      <c r="Q382" s="437">
        <v>3</v>
      </c>
      <c r="R382" s="438">
        <v>8.0000000000000002E-3</v>
      </c>
      <c r="S382" s="439">
        <v>0</v>
      </c>
      <c r="T382" s="592"/>
      <c r="U382" s="592"/>
      <c r="V382" s="592"/>
      <c r="W382" s="485"/>
      <c r="Y382" s="368">
        <v>44133</v>
      </c>
      <c r="Z382" s="429">
        <v>110</v>
      </c>
      <c r="AA382" s="393">
        <v>3.1948881789137379E-2</v>
      </c>
      <c r="AB382" s="382">
        <v>683.1</v>
      </c>
      <c r="AC382" s="429">
        <v>0</v>
      </c>
      <c r="AD382" s="430">
        <v>0</v>
      </c>
      <c r="AE382" s="429"/>
      <c r="AF382" s="430">
        <v>0</v>
      </c>
      <c r="AG382" s="412"/>
      <c r="AH382" s="380">
        <v>151457.09225806451</v>
      </c>
      <c r="AI382" s="381">
        <v>54799.415322580644</v>
      </c>
      <c r="AJ382" s="382">
        <v>19768.051612903226</v>
      </c>
      <c r="AK382" s="396">
        <v>226024.55919354837</v>
      </c>
      <c r="AL382" s="440"/>
    </row>
    <row r="383" spans="1:38">
      <c r="A383" s="433">
        <v>44134</v>
      </c>
      <c r="B383" s="386">
        <v>4019</v>
      </c>
      <c r="C383" s="474">
        <v>0</v>
      </c>
      <c r="D383" s="386">
        <v>90</v>
      </c>
      <c r="E383" s="386"/>
      <c r="F383" s="386"/>
      <c r="G383" s="386"/>
      <c r="H383" s="386"/>
      <c r="I383" s="386"/>
      <c r="J383" s="386"/>
      <c r="K383" s="386">
        <v>24957.99</v>
      </c>
      <c r="L383" s="474">
        <v>0</v>
      </c>
      <c r="M383" s="386">
        <v>3060</v>
      </c>
      <c r="N383" s="435">
        <v>55.5</v>
      </c>
      <c r="O383" s="436">
        <v>28017.99</v>
      </c>
      <c r="P383" s="461">
        <v>0.89113082039911307</v>
      </c>
      <c r="Q383" s="437">
        <v>3</v>
      </c>
      <c r="R383" s="438">
        <v>8.0000000000000002E-3</v>
      </c>
      <c r="S383" s="439">
        <v>0</v>
      </c>
      <c r="T383" s="592"/>
      <c r="U383" s="592"/>
      <c r="V383" s="592"/>
      <c r="W383" s="485"/>
      <c r="Y383" s="368">
        <v>44134</v>
      </c>
      <c r="Z383" s="429">
        <v>14</v>
      </c>
      <c r="AA383" s="393">
        <v>3.4834535954217467E-3</v>
      </c>
      <c r="AB383" s="382">
        <v>86.94</v>
      </c>
      <c r="AC383" s="429">
        <v>0</v>
      </c>
      <c r="AD383" s="430">
        <v>0</v>
      </c>
      <c r="AE383" s="429"/>
      <c r="AF383" s="430">
        <v>0</v>
      </c>
      <c r="AG383" s="412"/>
      <c r="AH383" s="380">
        <v>157983.8022580645</v>
      </c>
      <c r="AI383" s="381">
        <v>54799.415322580644</v>
      </c>
      <c r="AJ383" s="382">
        <v>21468.051612903226</v>
      </c>
      <c r="AK383" s="396">
        <v>234251.26919354836</v>
      </c>
      <c r="AL383" s="440"/>
    </row>
    <row r="384" spans="1:38">
      <c r="A384" s="433">
        <v>44135</v>
      </c>
      <c r="B384" s="386">
        <v>2968</v>
      </c>
      <c r="C384" s="474">
        <v>0</v>
      </c>
      <c r="D384" s="386">
        <v>40</v>
      </c>
      <c r="E384" s="386"/>
      <c r="F384" s="386"/>
      <c r="G384" s="386"/>
      <c r="H384" s="386"/>
      <c r="I384" s="386"/>
      <c r="J384" s="386"/>
      <c r="K384" s="386">
        <v>18431.28</v>
      </c>
      <c r="L384" s="474">
        <v>0</v>
      </c>
      <c r="M384" s="386">
        <v>1360</v>
      </c>
      <c r="N384" s="435">
        <v>56.5</v>
      </c>
      <c r="O384" s="436">
        <v>19791.28</v>
      </c>
      <c r="P384" s="461">
        <v>0.78999201490550974</v>
      </c>
      <c r="Q384" s="437">
        <v>3</v>
      </c>
      <c r="R384" s="438">
        <v>8.0000000000000002E-3</v>
      </c>
      <c r="S384" s="439">
        <v>0</v>
      </c>
      <c r="T384" s="592"/>
      <c r="U384" s="592"/>
      <c r="V384" s="592"/>
      <c r="W384" s="485"/>
      <c r="Y384" s="368">
        <v>44135</v>
      </c>
      <c r="Z384" s="429">
        <v>61</v>
      </c>
      <c r="AA384" s="393">
        <v>2.055256064690027E-2</v>
      </c>
      <c r="AB384" s="382">
        <v>378.81</v>
      </c>
      <c r="AC384" s="429">
        <v>0</v>
      </c>
      <c r="AD384" s="430">
        <v>0</v>
      </c>
      <c r="AE384" s="429"/>
      <c r="AF384" s="430">
        <v>0</v>
      </c>
      <c r="AG384" s="412"/>
      <c r="AH384" s="380">
        <v>-534760.3277419355</v>
      </c>
      <c r="AI384" s="381">
        <v>43237.840322580647</v>
      </c>
      <c r="AJ384" s="382">
        <v>-63191.948387096774</v>
      </c>
      <c r="AK384" s="396">
        <v>-554714.4358064516</v>
      </c>
      <c r="AL384" s="440"/>
    </row>
    <row r="385" spans="1:38">
      <c r="A385" s="443" t="s">
        <v>161</v>
      </c>
      <c r="B385" s="444">
        <f t="shared" ref="B385:M385" si="102">SUM(B354:B384)</f>
        <v>117489</v>
      </c>
      <c r="C385" s="444">
        <f t="shared" si="102"/>
        <v>215.5</v>
      </c>
      <c r="D385" s="444">
        <f t="shared" si="102"/>
        <v>2570</v>
      </c>
      <c r="E385" s="444"/>
      <c r="F385" s="444"/>
      <c r="G385" s="444"/>
      <c r="H385" s="444"/>
      <c r="I385" s="444"/>
      <c r="J385" s="444"/>
      <c r="K385" s="444">
        <f t="shared" si="102"/>
        <v>729606.69000000018</v>
      </c>
      <c r="L385" s="444">
        <f t="shared" si="102"/>
        <v>11561.574999999999</v>
      </c>
      <c r="M385" s="444">
        <f t="shared" si="102"/>
        <v>87380</v>
      </c>
      <c r="N385" s="444"/>
      <c r="O385" s="444">
        <f>SUM(O354:O383)</f>
        <v>808756.98500000034</v>
      </c>
      <c r="P385" s="444"/>
      <c r="Q385" s="437"/>
      <c r="R385" s="438"/>
      <c r="S385" s="439"/>
      <c r="T385" s="439"/>
      <c r="U385" s="439"/>
      <c r="V385" s="439"/>
      <c r="W385" s="439"/>
      <c r="Y385" s="409" t="s">
        <v>161</v>
      </c>
      <c r="Z385" s="410">
        <f t="shared" ref="Z385:AE385" si="103">SUM(Z354:Z384)</f>
        <v>2365</v>
      </c>
      <c r="AA385" s="410">
        <f t="shared" si="103"/>
        <v>0.62930281177918068</v>
      </c>
      <c r="AB385" s="410">
        <f t="shared" si="103"/>
        <v>14686.650000000001</v>
      </c>
      <c r="AC385" s="410">
        <f t="shared" si="103"/>
        <v>0</v>
      </c>
      <c r="AD385" s="410">
        <f t="shared" si="103"/>
        <v>0</v>
      </c>
      <c r="AE385" s="410">
        <f t="shared" si="103"/>
        <v>0</v>
      </c>
      <c r="AF385" s="410">
        <f>SUM(AF354:AF384)</f>
        <v>0</v>
      </c>
      <c r="AG385" s="412"/>
      <c r="AH385" s="397">
        <v>4266222.3232258065</v>
      </c>
      <c r="AI385" s="397">
        <v>1528602.8415322574</v>
      </c>
      <c r="AJ385" s="397">
        <v>559285.44516129058</v>
      </c>
      <c r="AK385" s="397">
        <v>6354110.6099193553</v>
      </c>
      <c r="AL385" s="440"/>
    </row>
    <row r="386" spans="1:38">
      <c r="A386" s="706"/>
      <c r="B386" s="411"/>
      <c r="C386" s="411"/>
      <c r="D386" s="411"/>
      <c r="E386" s="411"/>
      <c r="F386" s="411"/>
      <c r="G386" s="411"/>
      <c r="H386" s="411"/>
      <c r="I386" s="411"/>
      <c r="J386" s="411"/>
      <c r="K386" s="411"/>
      <c r="L386" s="411"/>
      <c r="M386" s="411"/>
      <c r="N386" s="411"/>
      <c r="O386" s="411"/>
      <c r="P386" s="411"/>
      <c r="Q386" s="492"/>
      <c r="R386" s="493"/>
      <c r="S386" s="458"/>
      <c r="T386" s="458"/>
      <c r="U386" s="458"/>
      <c r="V386" s="458"/>
      <c r="W386" s="458"/>
      <c r="Y386" s="706"/>
      <c r="Z386" s="411"/>
      <c r="AA386" s="411"/>
      <c r="AB386" s="411"/>
      <c r="AC386" s="411"/>
      <c r="AD386" s="411"/>
      <c r="AE386" s="411"/>
      <c r="AF386" s="411"/>
      <c r="AG386" s="412"/>
      <c r="AH386" s="494"/>
      <c r="AI386" s="494"/>
      <c r="AJ386" s="494"/>
      <c r="AK386" s="494"/>
      <c r="AL386" s="492"/>
    </row>
    <row r="387" spans="1:38" ht="57.95">
      <c r="A387" s="443" t="s">
        <v>14</v>
      </c>
      <c r="B387" s="444" t="s">
        <v>145</v>
      </c>
      <c r="C387" s="444"/>
      <c r="D387" s="444"/>
      <c r="E387" s="444"/>
      <c r="F387" s="444"/>
      <c r="G387" s="444"/>
      <c r="H387" s="444"/>
      <c r="I387" s="444"/>
      <c r="J387" s="444"/>
      <c r="K387" s="444" t="s">
        <v>146</v>
      </c>
      <c r="L387" s="444"/>
      <c r="M387" s="444"/>
      <c r="N387" s="444" t="s">
        <v>147</v>
      </c>
      <c r="O387" s="444" t="s">
        <v>148</v>
      </c>
      <c r="P387" s="444" t="s">
        <v>175</v>
      </c>
      <c r="Q387" s="437" t="s">
        <v>149</v>
      </c>
      <c r="R387" s="438" t="s">
        <v>150</v>
      </c>
      <c r="S387" s="439" t="s">
        <v>165</v>
      </c>
      <c r="T387" s="439"/>
      <c r="U387" s="439"/>
      <c r="V387" s="439"/>
      <c r="W387" s="439" t="s">
        <v>176</v>
      </c>
      <c r="Y387" s="706"/>
      <c r="Z387" s="411"/>
      <c r="AA387" s="411"/>
      <c r="AB387" s="411"/>
      <c r="AC387" s="411"/>
      <c r="AD387" s="411"/>
      <c r="AE387" s="411"/>
      <c r="AF387" s="411"/>
      <c r="AG387" s="412"/>
      <c r="AH387" s="494"/>
      <c r="AI387" s="494"/>
      <c r="AJ387" s="494"/>
      <c r="AK387" s="494"/>
      <c r="AL387" s="492"/>
    </row>
    <row r="388" spans="1:38">
      <c r="A388" s="443"/>
      <c r="B388" s="444" t="s">
        <v>156</v>
      </c>
      <c r="C388" s="444" t="s">
        <v>157</v>
      </c>
      <c r="D388" s="444" t="s">
        <v>158</v>
      </c>
      <c r="E388" s="444" t="s">
        <v>236</v>
      </c>
      <c r="F388" s="444"/>
      <c r="G388" s="444"/>
      <c r="H388" s="444"/>
      <c r="I388" s="444" t="s">
        <v>237</v>
      </c>
      <c r="J388" s="444"/>
      <c r="K388" s="444" t="s">
        <v>156</v>
      </c>
      <c r="L388" s="444" t="s">
        <v>157</v>
      </c>
      <c r="M388" s="444" t="s">
        <v>158</v>
      </c>
      <c r="N388" s="444"/>
      <c r="O388" s="444"/>
      <c r="P388" s="444"/>
      <c r="Q388" s="437"/>
      <c r="R388" s="438"/>
      <c r="S388" s="439"/>
      <c r="T388" s="439"/>
      <c r="U388" s="439"/>
      <c r="V388" s="439"/>
      <c r="W388" s="439"/>
      <c r="Y388" s="706"/>
      <c r="Z388" s="411"/>
      <c r="AA388" s="411"/>
      <c r="AB388" s="411"/>
      <c r="AC388" s="411"/>
      <c r="AD388" s="411"/>
      <c r="AE388" s="411"/>
      <c r="AF388" s="411"/>
      <c r="AG388" s="412"/>
      <c r="AH388" s="494"/>
      <c r="AI388" s="494"/>
      <c r="AJ388" s="494"/>
      <c r="AK388" s="494"/>
      <c r="AL388" s="492"/>
    </row>
    <row r="389" spans="1:38">
      <c r="A389" s="464">
        <v>44136</v>
      </c>
      <c r="B389" s="444">
        <v>2765</v>
      </c>
      <c r="C389" s="444">
        <v>0</v>
      </c>
      <c r="D389" s="444">
        <v>10</v>
      </c>
      <c r="E389" s="444">
        <v>87</v>
      </c>
      <c r="F389" s="444"/>
      <c r="G389" s="444"/>
      <c r="H389" s="444"/>
      <c r="I389" s="444">
        <v>160</v>
      </c>
      <c r="J389" s="444">
        <v>0.4</v>
      </c>
      <c r="K389" s="444">
        <v>17170.650000000001</v>
      </c>
      <c r="L389" s="444">
        <v>0</v>
      </c>
      <c r="M389" s="444">
        <v>340</v>
      </c>
      <c r="N389" s="444">
        <v>26.5</v>
      </c>
      <c r="O389" s="444">
        <v>17510.650000000001</v>
      </c>
      <c r="P389" s="444">
        <v>0.79317269076305219</v>
      </c>
      <c r="Q389" s="437">
        <v>3</v>
      </c>
      <c r="R389" s="438">
        <v>8.0000000000000002E-3</v>
      </c>
      <c r="S389" s="439">
        <v>0</v>
      </c>
      <c r="T389" s="439"/>
      <c r="U389" s="439"/>
      <c r="V389" s="439"/>
      <c r="W389" s="439"/>
      <c r="Y389" s="706"/>
      <c r="Z389" s="411"/>
      <c r="AA389" s="411"/>
      <c r="AB389" s="411"/>
      <c r="AC389" s="411"/>
      <c r="AD389" s="411"/>
      <c r="AE389" s="411"/>
      <c r="AF389" s="411"/>
      <c r="AG389" s="412"/>
      <c r="AH389" s="494"/>
      <c r="AI389" s="494"/>
      <c r="AJ389" s="494"/>
      <c r="AK389" s="494"/>
      <c r="AL389" s="492"/>
    </row>
    <row r="390" spans="1:38">
      <c r="A390" s="464">
        <v>44137</v>
      </c>
      <c r="B390" s="444">
        <v>2757</v>
      </c>
      <c r="C390" s="444">
        <v>0</v>
      </c>
      <c r="D390" s="444">
        <v>20</v>
      </c>
      <c r="E390" s="444">
        <v>98</v>
      </c>
      <c r="F390" s="444"/>
      <c r="G390" s="444"/>
      <c r="H390" s="444"/>
      <c r="I390" s="444">
        <v>90</v>
      </c>
      <c r="J390" s="444">
        <v>0.45</v>
      </c>
      <c r="K390" s="444">
        <v>17120.97</v>
      </c>
      <c r="L390" s="444">
        <v>0</v>
      </c>
      <c r="M390" s="444">
        <v>680</v>
      </c>
      <c r="N390" s="444">
        <v>27.5</v>
      </c>
      <c r="O390" s="444">
        <v>17800.97</v>
      </c>
      <c r="P390" s="444">
        <v>0.7491847826086957</v>
      </c>
      <c r="Q390" s="437">
        <v>3</v>
      </c>
      <c r="R390" s="438">
        <v>8.0000000000000002E-3</v>
      </c>
      <c r="S390" s="439">
        <v>0</v>
      </c>
      <c r="T390" s="439"/>
      <c r="U390" s="439"/>
      <c r="V390" s="439"/>
      <c r="W390" s="439"/>
      <c r="Y390" s="706"/>
      <c r="Z390" s="411"/>
      <c r="AA390" s="411"/>
      <c r="AB390" s="411"/>
      <c r="AC390" s="411"/>
      <c r="AD390" s="411"/>
      <c r="AE390" s="411"/>
      <c r="AF390" s="411"/>
      <c r="AG390" s="412"/>
      <c r="AH390" s="494"/>
      <c r="AI390" s="494"/>
      <c r="AJ390" s="494"/>
      <c r="AK390" s="494"/>
      <c r="AL390" s="492"/>
    </row>
    <row r="391" spans="1:38">
      <c r="A391" s="464">
        <v>44138</v>
      </c>
      <c r="B391" s="444">
        <v>4019</v>
      </c>
      <c r="C391" s="444">
        <v>0</v>
      </c>
      <c r="D391" s="444">
        <v>80</v>
      </c>
      <c r="E391" s="444">
        <v>71</v>
      </c>
      <c r="F391" s="444"/>
      <c r="G391" s="444"/>
      <c r="H391" s="444"/>
      <c r="I391" s="444">
        <v>88</v>
      </c>
      <c r="J391" s="444">
        <v>0.44</v>
      </c>
      <c r="K391" s="444">
        <v>24957.99</v>
      </c>
      <c r="L391" s="444">
        <v>0</v>
      </c>
      <c r="M391" s="444">
        <v>2720</v>
      </c>
      <c r="N391" s="444">
        <v>28.5</v>
      </c>
      <c r="O391" s="444">
        <v>27677.99</v>
      </c>
      <c r="P391" s="444">
        <v>0.87331594958713599</v>
      </c>
      <c r="Q391" s="437">
        <v>3</v>
      </c>
      <c r="R391" s="438">
        <v>8.0000000000000002E-3</v>
      </c>
      <c r="S391" s="439">
        <v>0</v>
      </c>
      <c r="T391" s="439"/>
      <c r="U391" s="439"/>
      <c r="V391" s="439"/>
      <c r="W391" s="439" t="s">
        <v>238</v>
      </c>
      <c r="Y391" s="706"/>
      <c r="Z391" s="411"/>
      <c r="AA391" s="411"/>
      <c r="AB391" s="411"/>
      <c r="AC391" s="411"/>
      <c r="AD391" s="411"/>
      <c r="AE391" s="411"/>
      <c r="AF391" s="411"/>
      <c r="AG391" s="412"/>
      <c r="AH391" s="494"/>
      <c r="AI391" s="494"/>
      <c r="AJ391" s="494"/>
      <c r="AK391" s="494"/>
      <c r="AL391" s="492"/>
    </row>
    <row r="392" spans="1:38">
      <c r="A392" s="464">
        <v>44139</v>
      </c>
      <c r="B392" s="444">
        <v>4168</v>
      </c>
      <c r="C392" s="444">
        <v>107.75</v>
      </c>
      <c r="D392" s="444">
        <v>90</v>
      </c>
      <c r="E392" s="444">
        <v>82</v>
      </c>
      <c r="F392" s="444"/>
      <c r="G392" s="444"/>
      <c r="H392" s="444"/>
      <c r="I392" s="444">
        <v>94</v>
      </c>
      <c r="J392" s="444">
        <v>0.46</v>
      </c>
      <c r="K392" s="444">
        <v>25883.279999999999</v>
      </c>
      <c r="L392" s="444">
        <v>5780.7874999999995</v>
      </c>
      <c r="M392" s="444">
        <v>3060</v>
      </c>
      <c r="N392" s="444">
        <v>29.5</v>
      </c>
      <c r="O392" s="444">
        <v>34724.067499999997</v>
      </c>
      <c r="P392" s="444">
        <v>0.86634795260860531</v>
      </c>
      <c r="Q392" s="437">
        <v>3</v>
      </c>
      <c r="R392" s="438">
        <v>8.0000000000000002E-3</v>
      </c>
      <c r="S392" s="439">
        <v>0</v>
      </c>
      <c r="T392" s="439"/>
      <c r="U392" s="439"/>
      <c r="V392" s="439"/>
      <c r="W392" s="439"/>
      <c r="Y392" s="706"/>
      <c r="Z392" s="411"/>
      <c r="AA392" s="411"/>
      <c r="AB392" s="411"/>
      <c r="AC392" s="411"/>
      <c r="AD392" s="411"/>
      <c r="AE392" s="411"/>
      <c r="AF392" s="411"/>
      <c r="AG392" s="412"/>
      <c r="AH392" s="494"/>
      <c r="AI392" s="494"/>
      <c r="AJ392" s="494"/>
      <c r="AK392" s="494"/>
      <c r="AL392" s="492"/>
    </row>
    <row r="393" spans="1:38">
      <c r="A393" s="464">
        <v>44140</v>
      </c>
      <c r="B393" s="444">
        <v>4214</v>
      </c>
      <c r="C393" s="444">
        <v>107.75</v>
      </c>
      <c r="D393" s="444">
        <v>60</v>
      </c>
      <c r="E393" s="444">
        <v>103</v>
      </c>
      <c r="F393" s="444"/>
      <c r="G393" s="444"/>
      <c r="H393" s="444"/>
      <c r="I393" s="444">
        <v>92</v>
      </c>
      <c r="J393" s="444">
        <v>0.46</v>
      </c>
      <c r="K393" s="444">
        <v>26168.94</v>
      </c>
      <c r="L393" s="444">
        <v>5780.7874999999995</v>
      </c>
      <c r="M393" s="444">
        <v>2040</v>
      </c>
      <c r="N393" s="444">
        <v>30.5</v>
      </c>
      <c r="O393" s="444">
        <v>33989.727499999994</v>
      </c>
      <c r="P393" s="444">
        <v>0.88978040540540537</v>
      </c>
      <c r="Q393" s="437">
        <v>3</v>
      </c>
      <c r="R393" s="438">
        <v>8.0000000000000002E-3</v>
      </c>
      <c r="S393" s="439">
        <v>0</v>
      </c>
      <c r="T393" s="439"/>
      <c r="U393" s="439"/>
      <c r="V393" s="439"/>
      <c r="W393" s="439" t="s">
        <v>239</v>
      </c>
      <c r="Y393" s="706"/>
      <c r="Z393" s="411"/>
      <c r="AA393" s="411"/>
      <c r="AB393" s="411"/>
      <c r="AC393" s="411"/>
      <c r="AD393" s="411"/>
      <c r="AE393" s="411"/>
      <c r="AF393" s="411"/>
      <c r="AG393" s="412"/>
      <c r="AH393" s="494"/>
      <c r="AI393" s="494"/>
      <c r="AJ393" s="494"/>
      <c r="AK393" s="494"/>
      <c r="AL393" s="492"/>
    </row>
    <row r="394" spans="1:38">
      <c r="A394" s="464">
        <v>44141</v>
      </c>
      <c r="B394" s="444">
        <v>4178</v>
      </c>
      <c r="C394" s="444">
        <v>0</v>
      </c>
      <c r="D394" s="444">
        <v>90</v>
      </c>
      <c r="E394" s="444">
        <v>55</v>
      </c>
      <c r="F394" s="444"/>
      <c r="G394" s="444"/>
      <c r="H394" s="444"/>
      <c r="I394" s="444">
        <v>92</v>
      </c>
      <c r="J394" s="444">
        <v>0.46</v>
      </c>
      <c r="K394" s="444">
        <v>25945.38</v>
      </c>
      <c r="L394" s="444">
        <v>0</v>
      </c>
      <c r="M394" s="444">
        <v>3060</v>
      </c>
      <c r="N394" s="444">
        <v>31.5</v>
      </c>
      <c r="O394" s="444">
        <v>29005.38</v>
      </c>
      <c r="P394" s="444">
        <v>0.90354671280276821</v>
      </c>
      <c r="Q394" s="437">
        <v>3</v>
      </c>
      <c r="R394" s="438">
        <v>8.0000000000000002E-3</v>
      </c>
      <c r="S394" s="439">
        <v>0</v>
      </c>
      <c r="T394" s="439"/>
      <c r="U394" s="439"/>
      <c r="V394" s="439"/>
      <c r="W394" s="439" t="s">
        <v>240</v>
      </c>
      <c r="Y394" s="706"/>
      <c r="Z394" s="411"/>
      <c r="AA394" s="411"/>
      <c r="AB394" s="411"/>
      <c r="AC394" s="411"/>
      <c r="AD394" s="411"/>
      <c r="AE394" s="411"/>
      <c r="AF394" s="411"/>
      <c r="AG394" s="412"/>
      <c r="AH394" s="494"/>
      <c r="AI394" s="494"/>
      <c r="AJ394" s="494"/>
      <c r="AK394" s="494"/>
      <c r="AL394" s="492"/>
    </row>
    <row r="395" spans="1:38">
      <c r="A395" s="464">
        <v>44142</v>
      </c>
      <c r="B395" s="444">
        <v>3275</v>
      </c>
      <c r="C395" s="444">
        <v>0</v>
      </c>
      <c r="D395" s="444">
        <v>80</v>
      </c>
      <c r="E395" s="444">
        <v>83</v>
      </c>
      <c r="F395" s="444"/>
      <c r="G395" s="444"/>
      <c r="H395" s="444"/>
      <c r="I395" s="444">
        <v>92</v>
      </c>
      <c r="J395" s="444">
        <v>0.46</v>
      </c>
      <c r="K395" s="444">
        <v>20337.75</v>
      </c>
      <c r="L395" s="444">
        <v>0</v>
      </c>
      <c r="M395" s="444">
        <v>2720</v>
      </c>
      <c r="N395" s="444">
        <v>32.5</v>
      </c>
      <c r="O395" s="444">
        <v>23057.75</v>
      </c>
      <c r="P395" s="444">
        <v>0.8257690368129097</v>
      </c>
      <c r="Q395" s="437">
        <v>6</v>
      </c>
      <c r="R395" s="438">
        <v>1.47E-2</v>
      </c>
      <c r="S395" s="439">
        <v>0</v>
      </c>
      <c r="T395" s="439"/>
      <c r="U395" s="439"/>
      <c r="V395" s="439"/>
      <c r="W395" s="439"/>
      <c r="Y395" s="706"/>
      <c r="Z395" s="411"/>
      <c r="AA395" s="411"/>
      <c r="AB395" s="411"/>
      <c r="AC395" s="411"/>
      <c r="AD395" s="411"/>
      <c r="AE395" s="411"/>
      <c r="AF395" s="411"/>
      <c r="AG395" s="412"/>
      <c r="AH395" s="494"/>
      <c r="AI395" s="494"/>
      <c r="AJ395" s="494"/>
      <c r="AK395" s="494"/>
      <c r="AL395" s="492"/>
    </row>
    <row r="396" spans="1:38">
      <c r="A396" s="464">
        <v>44143</v>
      </c>
      <c r="B396" s="444">
        <v>3039</v>
      </c>
      <c r="C396" s="444">
        <v>107.75</v>
      </c>
      <c r="D396" s="444">
        <v>20</v>
      </c>
      <c r="E396" s="444">
        <v>32</v>
      </c>
      <c r="F396" s="444"/>
      <c r="G396" s="444"/>
      <c r="H396" s="444"/>
      <c r="I396" s="444">
        <v>100</v>
      </c>
      <c r="J396" s="444">
        <v>0.5</v>
      </c>
      <c r="K396" s="444">
        <v>18872.189999999999</v>
      </c>
      <c r="L396" s="444">
        <v>5780.7874999999995</v>
      </c>
      <c r="M396" s="444">
        <v>680</v>
      </c>
      <c r="N396" s="444">
        <v>33.5</v>
      </c>
      <c r="O396" s="444">
        <v>25332.977499999997</v>
      </c>
      <c r="P396" s="444">
        <v>0.82290820471161652</v>
      </c>
      <c r="Q396" s="437">
        <v>6</v>
      </c>
      <c r="R396" s="438">
        <v>1.4999999999999999E-2</v>
      </c>
      <c r="S396" s="439">
        <v>0</v>
      </c>
      <c r="T396" s="439"/>
      <c r="U396" s="439"/>
      <c r="V396" s="439"/>
      <c r="W396" s="439" t="s">
        <v>241</v>
      </c>
      <c r="Y396" s="706"/>
      <c r="Z396" s="411"/>
      <c r="AA396" s="411"/>
      <c r="AB396" s="411"/>
      <c r="AC396" s="411"/>
      <c r="AD396" s="411"/>
      <c r="AE396" s="411"/>
      <c r="AF396" s="411"/>
      <c r="AG396" s="412"/>
      <c r="AH396" s="494"/>
      <c r="AI396" s="494"/>
      <c r="AJ396" s="494"/>
      <c r="AK396" s="494"/>
      <c r="AL396" s="492"/>
    </row>
    <row r="397" spans="1:38">
      <c r="A397" s="464">
        <v>44144</v>
      </c>
      <c r="B397" s="444">
        <v>3915</v>
      </c>
      <c r="C397" s="444">
        <v>0</v>
      </c>
      <c r="D397" s="444">
        <v>70</v>
      </c>
      <c r="E397" s="444">
        <v>55</v>
      </c>
      <c r="F397" s="444"/>
      <c r="G397" s="444"/>
      <c r="H397" s="444"/>
      <c r="I397" s="444">
        <v>100</v>
      </c>
      <c r="J397" s="444">
        <v>0.5</v>
      </c>
      <c r="K397" s="444">
        <v>24312.15</v>
      </c>
      <c r="L397" s="444">
        <v>0</v>
      </c>
      <c r="M397" s="444">
        <v>2380</v>
      </c>
      <c r="N397" s="444">
        <v>34.5</v>
      </c>
      <c r="O397" s="444">
        <v>26692.15</v>
      </c>
      <c r="P397" s="444">
        <v>0.88135974786132376</v>
      </c>
      <c r="Q397" s="437">
        <v>6</v>
      </c>
      <c r="R397" s="438">
        <v>1.4999999999999999E-2</v>
      </c>
      <c r="S397" s="439">
        <v>0</v>
      </c>
      <c r="T397" s="439"/>
      <c r="U397" s="439"/>
      <c r="V397" s="439"/>
      <c r="W397" s="439"/>
      <c r="Y397" s="706"/>
      <c r="Z397" s="411"/>
      <c r="AA397" s="411"/>
      <c r="AB397" s="411"/>
      <c r="AC397" s="411"/>
      <c r="AD397" s="411"/>
      <c r="AE397" s="411"/>
      <c r="AF397" s="411"/>
      <c r="AG397" s="412"/>
      <c r="AH397" s="494"/>
      <c r="AI397" s="494"/>
      <c r="AJ397" s="494"/>
      <c r="AK397" s="494"/>
      <c r="AL397" s="492"/>
    </row>
    <row r="398" spans="1:38" ht="29.1">
      <c r="A398" s="464">
        <v>44145</v>
      </c>
      <c r="B398" s="444">
        <v>4281</v>
      </c>
      <c r="C398" s="444">
        <v>0</v>
      </c>
      <c r="D398" s="444">
        <v>60</v>
      </c>
      <c r="E398" s="444">
        <v>74</v>
      </c>
      <c r="F398" s="444"/>
      <c r="G398" s="444"/>
      <c r="H398" s="444"/>
      <c r="I398" s="444">
        <v>86</v>
      </c>
      <c r="J398" s="444">
        <v>0.43</v>
      </c>
      <c r="K398" s="444">
        <v>26585.01</v>
      </c>
      <c r="L398" s="444">
        <v>0</v>
      </c>
      <c r="M398" s="444">
        <v>2040</v>
      </c>
      <c r="N398" s="444">
        <v>35.5</v>
      </c>
      <c r="O398" s="444">
        <v>28625.01</v>
      </c>
      <c r="P398" s="444">
        <v>0.90126315789473688</v>
      </c>
      <c r="Q398" s="437">
        <v>6</v>
      </c>
      <c r="R398" s="438">
        <v>1.4999999999999999E-2</v>
      </c>
      <c r="S398" s="439">
        <v>0</v>
      </c>
      <c r="T398" s="439"/>
      <c r="U398" s="439"/>
      <c r="V398" s="439"/>
      <c r="W398" s="439" t="s">
        <v>242</v>
      </c>
      <c r="Y398" s="706"/>
      <c r="Z398" s="411"/>
      <c r="AA398" s="411"/>
      <c r="AB398" s="411"/>
      <c r="AC398" s="411"/>
      <c r="AD398" s="411"/>
      <c r="AE398" s="411"/>
      <c r="AF398" s="411"/>
      <c r="AG398" s="412"/>
      <c r="AH398" s="494"/>
      <c r="AI398" s="494"/>
      <c r="AJ398" s="494"/>
      <c r="AK398" s="494"/>
      <c r="AL398" s="492"/>
    </row>
    <row r="399" spans="1:38">
      <c r="A399" s="464">
        <v>44146</v>
      </c>
      <c r="B399" s="444">
        <v>4472</v>
      </c>
      <c r="C399" s="444">
        <v>107.75</v>
      </c>
      <c r="D399" s="444">
        <v>100</v>
      </c>
      <c r="E399" s="444">
        <v>68</v>
      </c>
      <c r="F399" s="444"/>
      <c r="G399" s="444"/>
      <c r="H399" s="444"/>
      <c r="I399" s="444">
        <v>94</v>
      </c>
      <c r="J399" s="444">
        <v>0.46</v>
      </c>
      <c r="K399" s="444">
        <v>27771.119999999999</v>
      </c>
      <c r="L399" s="444">
        <v>5780.7874999999995</v>
      </c>
      <c r="M399" s="444">
        <v>3400</v>
      </c>
      <c r="N399" s="444">
        <v>36.5</v>
      </c>
      <c r="O399" s="444">
        <v>36951.907500000001</v>
      </c>
      <c r="P399" s="444">
        <v>0.89979879275653929</v>
      </c>
      <c r="Q399" s="437">
        <v>6</v>
      </c>
      <c r="R399" s="438">
        <v>1.4999999999999999E-2</v>
      </c>
      <c r="S399" s="439">
        <v>0</v>
      </c>
      <c r="T399" s="439"/>
      <c r="U399" s="439"/>
      <c r="V399" s="439"/>
      <c r="W399" s="439" t="s">
        <v>243</v>
      </c>
      <c r="Y399" s="706"/>
      <c r="Z399" s="411"/>
      <c r="AA399" s="411"/>
      <c r="AB399" s="411"/>
      <c r="AC399" s="411"/>
      <c r="AD399" s="411"/>
      <c r="AE399" s="411"/>
      <c r="AF399" s="411"/>
      <c r="AG399" s="412"/>
      <c r="AH399" s="494"/>
      <c r="AI399" s="494"/>
      <c r="AJ399" s="494"/>
      <c r="AK399" s="494"/>
      <c r="AL399" s="492"/>
    </row>
    <row r="400" spans="1:38">
      <c r="A400" s="464">
        <v>44147</v>
      </c>
      <c r="B400" s="444">
        <v>4704</v>
      </c>
      <c r="C400" s="444">
        <v>0</v>
      </c>
      <c r="D400" s="444">
        <v>50</v>
      </c>
      <c r="E400" s="444">
        <v>43</v>
      </c>
      <c r="F400" s="444"/>
      <c r="G400" s="444"/>
      <c r="H400" s="444"/>
      <c r="I400" s="444">
        <v>82</v>
      </c>
      <c r="J400" s="444">
        <v>0.41</v>
      </c>
      <c r="K400" s="444">
        <v>29211.84</v>
      </c>
      <c r="L400" s="444">
        <v>0</v>
      </c>
      <c r="M400" s="444">
        <v>1700</v>
      </c>
      <c r="N400" s="444">
        <v>37.5</v>
      </c>
      <c r="O400" s="444">
        <v>30911.84</v>
      </c>
      <c r="P400" s="444">
        <v>0.89480692410119844</v>
      </c>
      <c r="Q400" s="437">
        <v>6</v>
      </c>
      <c r="R400" s="438">
        <v>1.4999999999999999E-2</v>
      </c>
      <c r="S400" s="439">
        <v>0</v>
      </c>
      <c r="T400" s="439"/>
      <c r="U400" s="439"/>
      <c r="V400" s="439"/>
      <c r="W400" s="439"/>
      <c r="Y400" s="706"/>
      <c r="Z400" s="411"/>
      <c r="AA400" s="411"/>
      <c r="AB400" s="411"/>
      <c r="AC400" s="411"/>
      <c r="AD400" s="411"/>
      <c r="AE400" s="411"/>
      <c r="AF400" s="411"/>
      <c r="AG400" s="412"/>
      <c r="AH400" s="494"/>
      <c r="AI400" s="494"/>
      <c r="AJ400" s="494"/>
      <c r="AK400" s="494"/>
      <c r="AL400" s="492"/>
    </row>
    <row r="401" spans="1:38">
      <c r="A401" s="464">
        <v>44148</v>
      </c>
      <c r="B401" s="444">
        <v>4636</v>
      </c>
      <c r="C401" s="444">
        <v>0</v>
      </c>
      <c r="D401" s="444">
        <v>50</v>
      </c>
      <c r="E401" s="444">
        <v>31</v>
      </c>
      <c r="F401" s="444"/>
      <c r="G401" s="444"/>
      <c r="H401" s="444"/>
      <c r="I401" s="444">
        <v>90</v>
      </c>
      <c r="J401" s="444">
        <v>0.45</v>
      </c>
      <c r="K401" s="444">
        <v>28789.56</v>
      </c>
      <c r="L401" s="444">
        <v>0</v>
      </c>
      <c r="M401" s="444">
        <v>1700</v>
      </c>
      <c r="N401" s="444">
        <v>38.5</v>
      </c>
      <c r="O401" s="444">
        <v>30489.56</v>
      </c>
      <c r="P401" s="444">
        <v>0.89897227070001939</v>
      </c>
      <c r="Q401" s="437">
        <v>6</v>
      </c>
      <c r="R401" s="438">
        <v>1.4999999999999999E-2</v>
      </c>
      <c r="S401" s="439">
        <v>0</v>
      </c>
      <c r="T401" s="439"/>
      <c r="U401" s="439"/>
      <c r="V401" s="439"/>
      <c r="W401" s="439"/>
      <c r="Y401" s="706"/>
      <c r="Z401" s="411"/>
      <c r="AA401" s="411"/>
      <c r="AB401" s="411"/>
      <c r="AC401" s="411"/>
      <c r="AD401" s="411"/>
      <c r="AE401" s="411"/>
      <c r="AF401" s="411"/>
      <c r="AG401" s="412"/>
      <c r="AH401" s="494"/>
      <c r="AI401" s="494"/>
      <c r="AJ401" s="494"/>
      <c r="AK401" s="494"/>
      <c r="AL401" s="492"/>
    </row>
    <row r="402" spans="1:38" ht="29.1">
      <c r="A402" s="464">
        <v>44149</v>
      </c>
      <c r="B402" s="444">
        <v>3427</v>
      </c>
      <c r="C402" s="444">
        <v>0</v>
      </c>
      <c r="D402" s="444">
        <v>30</v>
      </c>
      <c r="E402" s="444">
        <v>30</v>
      </c>
      <c r="F402" s="444"/>
      <c r="G402" s="444"/>
      <c r="H402" s="444"/>
      <c r="I402" s="444">
        <v>80</v>
      </c>
      <c r="J402" s="444">
        <v>0.4</v>
      </c>
      <c r="K402" s="444">
        <v>21281.67</v>
      </c>
      <c r="L402" s="444">
        <v>0</v>
      </c>
      <c r="M402" s="444">
        <v>1020</v>
      </c>
      <c r="N402" s="444">
        <v>39.5</v>
      </c>
      <c r="O402" s="444">
        <v>22301.67</v>
      </c>
      <c r="P402" s="444">
        <v>0.80126256722001399</v>
      </c>
      <c r="Q402" s="437">
        <v>6</v>
      </c>
      <c r="R402" s="438">
        <v>1.4999999999999999E-2</v>
      </c>
      <c r="S402" s="439">
        <v>0</v>
      </c>
      <c r="T402" s="439"/>
      <c r="U402" s="439"/>
      <c r="V402" s="439"/>
      <c r="W402" s="439" t="s">
        <v>244</v>
      </c>
      <c r="Y402" s="706"/>
      <c r="Z402" s="411"/>
      <c r="AA402" s="411"/>
      <c r="AB402" s="411"/>
      <c r="AC402" s="411"/>
      <c r="AD402" s="411"/>
      <c r="AE402" s="411"/>
      <c r="AF402" s="411"/>
      <c r="AG402" s="412"/>
      <c r="AH402" s="494"/>
      <c r="AI402" s="494"/>
      <c r="AJ402" s="494"/>
      <c r="AK402" s="494"/>
      <c r="AL402" s="492"/>
    </row>
    <row r="403" spans="1:38">
      <c r="A403" s="464">
        <v>44150</v>
      </c>
      <c r="B403" s="444">
        <v>3057</v>
      </c>
      <c r="C403" s="444">
        <v>107.75</v>
      </c>
      <c r="D403" s="444">
        <v>20</v>
      </c>
      <c r="E403" s="444">
        <v>25</v>
      </c>
      <c r="F403" s="444"/>
      <c r="G403" s="444"/>
      <c r="H403" s="444"/>
      <c r="I403" s="444">
        <v>88</v>
      </c>
      <c r="J403" s="444">
        <v>0.44</v>
      </c>
      <c r="K403" s="444">
        <v>18983.97</v>
      </c>
      <c r="L403" s="444">
        <v>5780.7874999999995</v>
      </c>
      <c r="M403" s="444">
        <v>680</v>
      </c>
      <c r="N403" s="444">
        <v>40.5</v>
      </c>
      <c r="O403" s="444">
        <v>25444.7575</v>
      </c>
      <c r="P403" s="444">
        <v>0.82823083175291246</v>
      </c>
      <c r="Q403" s="437">
        <v>6</v>
      </c>
      <c r="R403" s="438">
        <v>1.4999999999999999E-2</v>
      </c>
      <c r="S403" s="439">
        <v>0</v>
      </c>
      <c r="T403" s="439"/>
      <c r="U403" s="439"/>
      <c r="V403" s="439"/>
      <c r="W403" s="439" t="s">
        <v>245</v>
      </c>
      <c r="Y403" s="706"/>
      <c r="Z403" s="411"/>
      <c r="AA403" s="411"/>
      <c r="AB403" s="411"/>
      <c r="AC403" s="411"/>
      <c r="AD403" s="411"/>
      <c r="AE403" s="411"/>
      <c r="AF403" s="411"/>
      <c r="AG403" s="412"/>
      <c r="AH403" s="494"/>
      <c r="AI403" s="494"/>
      <c r="AJ403" s="494"/>
      <c r="AK403" s="494"/>
      <c r="AL403" s="492"/>
    </row>
    <row r="404" spans="1:38">
      <c r="A404" s="464">
        <v>44151</v>
      </c>
      <c r="B404" s="444">
        <v>4093</v>
      </c>
      <c r="C404" s="444">
        <v>107.75</v>
      </c>
      <c r="D404" s="444">
        <v>50</v>
      </c>
      <c r="E404" s="444">
        <v>24</v>
      </c>
      <c r="F404" s="444"/>
      <c r="G404" s="444"/>
      <c r="H404" s="444"/>
      <c r="I404" s="444">
        <v>74</v>
      </c>
      <c r="J404" s="444">
        <v>0.37</v>
      </c>
      <c r="K404" s="444">
        <v>25417.53</v>
      </c>
      <c r="L404" s="444">
        <v>5780.7874999999995</v>
      </c>
      <c r="M404" s="444">
        <v>1700</v>
      </c>
      <c r="N404" s="444">
        <v>41.5</v>
      </c>
      <c r="O404" s="444">
        <v>32898.317499999997</v>
      </c>
      <c r="P404" s="444">
        <v>0.88325420802762189</v>
      </c>
      <c r="Q404" s="437">
        <v>6</v>
      </c>
      <c r="R404" s="438">
        <v>1.4999999999999999E-2</v>
      </c>
      <c r="S404" s="439">
        <v>0</v>
      </c>
      <c r="T404" s="439"/>
      <c r="U404" s="439"/>
      <c r="V404" s="439"/>
      <c r="W404" s="439" t="s">
        <v>246</v>
      </c>
      <c r="Y404" s="706"/>
      <c r="Z404" s="411"/>
      <c r="AA404" s="411"/>
      <c r="AB404" s="411"/>
      <c r="AC404" s="411"/>
      <c r="AD404" s="411"/>
      <c r="AE404" s="411"/>
      <c r="AF404" s="411"/>
      <c r="AG404" s="412"/>
      <c r="AH404" s="494"/>
      <c r="AI404" s="494"/>
      <c r="AJ404" s="494"/>
      <c r="AK404" s="494"/>
      <c r="AL404" s="492"/>
    </row>
    <row r="405" spans="1:38">
      <c r="A405" s="464">
        <v>44152</v>
      </c>
      <c r="B405" s="444">
        <v>4471</v>
      </c>
      <c r="C405" s="444">
        <v>0</v>
      </c>
      <c r="D405" s="444">
        <v>70</v>
      </c>
      <c r="E405" s="444">
        <v>23</v>
      </c>
      <c r="F405" s="444"/>
      <c r="G405" s="444"/>
      <c r="H405" s="444"/>
      <c r="I405" s="444">
        <v>120</v>
      </c>
      <c r="J405" s="444">
        <v>0.3</v>
      </c>
      <c r="K405" s="444">
        <v>27764.91</v>
      </c>
      <c r="L405" s="444">
        <v>0</v>
      </c>
      <c r="M405" s="444">
        <v>2380</v>
      </c>
      <c r="N405" s="444">
        <v>42.5</v>
      </c>
      <c r="O405" s="444">
        <v>30144.91</v>
      </c>
      <c r="P405" s="444">
        <v>0.89419999999999999</v>
      </c>
      <c r="Q405" s="437">
        <v>6</v>
      </c>
      <c r="R405" s="438">
        <v>1.4999999999999999E-2</v>
      </c>
      <c r="S405" s="439">
        <v>0</v>
      </c>
      <c r="T405" s="439"/>
      <c r="U405" s="439"/>
      <c r="V405" s="439"/>
      <c r="W405" s="439" t="s">
        <v>247</v>
      </c>
      <c r="Y405" s="706"/>
      <c r="Z405" s="411"/>
      <c r="AA405" s="411"/>
      <c r="AB405" s="411"/>
      <c r="AC405" s="411"/>
      <c r="AD405" s="411"/>
      <c r="AE405" s="411"/>
      <c r="AF405" s="411"/>
      <c r="AG405" s="412"/>
      <c r="AH405" s="494"/>
      <c r="AI405" s="494"/>
      <c r="AJ405" s="494"/>
      <c r="AK405" s="494"/>
      <c r="AL405" s="492"/>
    </row>
    <row r="406" spans="1:38">
      <c r="A406" s="464">
        <v>44153</v>
      </c>
      <c r="B406" s="444">
        <v>4550</v>
      </c>
      <c r="C406" s="444">
        <v>0</v>
      </c>
      <c r="D406" s="444">
        <v>110</v>
      </c>
      <c r="E406" s="444">
        <v>32</v>
      </c>
      <c r="F406" s="444"/>
      <c r="G406" s="444"/>
      <c r="H406" s="444"/>
      <c r="I406" s="444">
        <v>50</v>
      </c>
      <c r="J406" s="444">
        <v>0.25</v>
      </c>
      <c r="K406" s="444">
        <v>28255.5</v>
      </c>
      <c r="L406" s="444">
        <v>0</v>
      </c>
      <c r="M406" s="444">
        <v>3740</v>
      </c>
      <c r="N406" s="444">
        <v>43.5</v>
      </c>
      <c r="O406" s="444">
        <v>31995.5</v>
      </c>
      <c r="P406" s="444">
        <v>0.90909090909090906</v>
      </c>
      <c r="Q406" s="437">
        <v>6</v>
      </c>
      <c r="R406" s="438">
        <v>1.4999999999999999E-2</v>
      </c>
      <c r="S406" s="439">
        <v>0</v>
      </c>
      <c r="T406" s="439"/>
      <c r="U406" s="439"/>
      <c r="V406" s="439"/>
      <c r="W406" s="439" t="s">
        <v>248</v>
      </c>
      <c r="Y406" s="706"/>
      <c r="Z406" s="411"/>
      <c r="AA406" s="411"/>
      <c r="AB406" s="411"/>
      <c r="AC406" s="411"/>
      <c r="AD406" s="411"/>
      <c r="AE406" s="411"/>
      <c r="AF406" s="411"/>
      <c r="AG406" s="412"/>
      <c r="AH406" s="494"/>
      <c r="AI406" s="494"/>
      <c r="AJ406" s="494"/>
      <c r="AK406" s="494"/>
      <c r="AL406" s="492"/>
    </row>
    <row r="407" spans="1:38">
      <c r="A407" s="464">
        <v>44154</v>
      </c>
      <c r="B407" s="444">
        <v>4547</v>
      </c>
      <c r="C407" s="444">
        <v>107.75</v>
      </c>
      <c r="D407" s="444">
        <v>90</v>
      </c>
      <c r="E407" s="444">
        <v>47</v>
      </c>
      <c r="F407" s="444"/>
      <c r="G407" s="444"/>
      <c r="H407" s="444"/>
      <c r="I407" s="444">
        <v>32</v>
      </c>
      <c r="J407" s="444">
        <v>0.16</v>
      </c>
      <c r="K407" s="444">
        <v>28236.87</v>
      </c>
      <c r="L407" s="444">
        <v>5780.7874999999995</v>
      </c>
      <c r="M407" s="444">
        <v>3060</v>
      </c>
      <c r="N407" s="444">
        <v>44.5</v>
      </c>
      <c r="O407" s="444">
        <v>37077.657500000001</v>
      </c>
      <c r="P407" s="444">
        <v>0.90939999999999999</v>
      </c>
      <c r="Q407" s="437">
        <v>6</v>
      </c>
      <c r="R407" s="438">
        <v>1.4999999999999999E-2</v>
      </c>
      <c r="S407" s="439">
        <v>0</v>
      </c>
      <c r="T407" s="439"/>
      <c r="U407" s="439"/>
      <c r="V407" s="439"/>
      <c r="W407" s="439" t="s">
        <v>249</v>
      </c>
      <c r="Y407" s="706"/>
      <c r="Z407" s="411"/>
      <c r="AA407" s="411"/>
      <c r="AB407" s="411"/>
      <c r="AC407" s="411"/>
      <c r="AD407" s="411"/>
      <c r="AE407" s="411"/>
      <c r="AF407" s="411"/>
      <c r="AG407" s="412"/>
      <c r="AH407" s="494"/>
      <c r="AI407" s="494"/>
      <c r="AJ407" s="494"/>
      <c r="AK407" s="494"/>
      <c r="AL407" s="492"/>
    </row>
    <row r="408" spans="1:38">
      <c r="A408" s="464">
        <v>44155</v>
      </c>
      <c r="B408" s="444">
        <v>4325</v>
      </c>
      <c r="C408" s="444">
        <v>107.75</v>
      </c>
      <c r="D408" s="444">
        <v>40</v>
      </c>
      <c r="E408" s="444">
        <v>67</v>
      </c>
      <c r="F408" s="444"/>
      <c r="G408" s="444"/>
      <c r="H408" s="444"/>
      <c r="I408" s="444">
        <v>64</v>
      </c>
      <c r="J408" s="444">
        <v>0.27</v>
      </c>
      <c r="K408" s="444">
        <v>26858.25</v>
      </c>
      <c r="L408" s="444">
        <v>5780.7874999999995</v>
      </c>
      <c r="M408" s="444">
        <v>1360</v>
      </c>
      <c r="N408" s="444">
        <v>45.5</v>
      </c>
      <c r="O408" s="444">
        <v>33999.037499999999</v>
      </c>
      <c r="P408" s="444">
        <v>0.89842127129206484</v>
      </c>
      <c r="Q408" s="437">
        <v>6</v>
      </c>
      <c r="R408" s="438">
        <v>1.4999999999999999E-2</v>
      </c>
      <c r="S408" s="439">
        <v>0</v>
      </c>
      <c r="T408" s="439"/>
      <c r="U408" s="439"/>
      <c r="V408" s="439"/>
      <c r="W408" s="439"/>
      <c r="Y408" s="706"/>
      <c r="Z408" s="411"/>
      <c r="AA408" s="411"/>
      <c r="AB408" s="411"/>
      <c r="AC408" s="411"/>
      <c r="AD408" s="411"/>
      <c r="AE408" s="411"/>
      <c r="AF408" s="411"/>
      <c r="AG408" s="412"/>
      <c r="AH408" s="494"/>
      <c r="AI408" s="494"/>
      <c r="AJ408" s="494"/>
      <c r="AK408" s="494"/>
      <c r="AL408" s="492"/>
    </row>
    <row r="409" spans="1:38">
      <c r="A409" s="464">
        <v>44156</v>
      </c>
      <c r="B409" s="444">
        <v>3454</v>
      </c>
      <c r="C409" s="444">
        <v>0</v>
      </c>
      <c r="D409" s="444">
        <v>50</v>
      </c>
      <c r="E409" s="444">
        <v>77</v>
      </c>
      <c r="F409" s="444"/>
      <c r="G409" s="444"/>
      <c r="H409" s="444"/>
      <c r="I409" s="444">
        <v>54</v>
      </c>
      <c r="J409" s="444">
        <v>0.27</v>
      </c>
      <c r="K409" s="444">
        <v>21449.34</v>
      </c>
      <c r="L409" s="444">
        <v>0</v>
      </c>
      <c r="M409" s="444">
        <v>1700</v>
      </c>
      <c r="N409" s="444">
        <v>46.5</v>
      </c>
      <c r="O409" s="444">
        <v>23149.34</v>
      </c>
      <c r="P409" s="444">
        <v>0.85728468602630925</v>
      </c>
      <c r="Q409" s="437">
        <v>6</v>
      </c>
      <c r="R409" s="438">
        <v>1.4999999999999999E-2</v>
      </c>
      <c r="S409" s="439">
        <v>0</v>
      </c>
      <c r="T409" s="439"/>
      <c r="U409" s="439"/>
      <c r="V409" s="439"/>
      <c r="W409" s="439" t="s">
        <v>250</v>
      </c>
      <c r="Y409" s="706"/>
      <c r="Z409" s="411"/>
      <c r="AA409" s="411"/>
      <c r="AB409" s="411"/>
      <c r="AC409" s="411"/>
      <c r="AD409" s="411"/>
      <c r="AE409" s="411"/>
      <c r="AF409" s="411"/>
      <c r="AG409" s="412"/>
      <c r="AH409" s="494"/>
      <c r="AI409" s="494"/>
      <c r="AJ409" s="494"/>
      <c r="AK409" s="494"/>
      <c r="AL409" s="492"/>
    </row>
    <row r="410" spans="1:38">
      <c r="A410" s="464">
        <v>44157</v>
      </c>
      <c r="B410" s="444">
        <v>3314</v>
      </c>
      <c r="C410" s="444">
        <v>0</v>
      </c>
      <c r="D410" s="444">
        <v>50</v>
      </c>
      <c r="E410" s="444">
        <v>35</v>
      </c>
      <c r="F410" s="444"/>
      <c r="G410" s="444"/>
      <c r="H410" s="444"/>
      <c r="I410" s="444">
        <v>54</v>
      </c>
      <c r="J410" s="444">
        <v>0.27</v>
      </c>
      <c r="K410" s="444">
        <v>20579.939999999999</v>
      </c>
      <c r="L410" s="444">
        <v>0</v>
      </c>
      <c r="M410" s="444">
        <v>1700</v>
      </c>
      <c r="N410" s="444">
        <v>47.5</v>
      </c>
      <c r="O410" s="444">
        <v>22279.94</v>
      </c>
      <c r="P410" s="444">
        <v>0.86663179916317989</v>
      </c>
      <c r="Q410" s="437">
        <v>6</v>
      </c>
      <c r="R410" s="438">
        <v>1.4999999999999999E-2</v>
      </c>
      <c r="S410" s="439">
        <v>0</v>
      </c>
      <c r="T410" s="439"/>
      <c r="U410" s="439"/>
      <c r="V410" s="439"/>
      <c r="W410" s="439" t="s">
        <v>251</v>
      </c>
      <c r="Y410" s="706"/>
      <c r="Z410" s="411"/>
      <c r="AA410" s="411"/>
      <c r="AB410" s="411"/>
      <c r="AC410" s="411"/>
      <c r="AD410" s="411"/>
      <c r="AE410" s="411"/>
      <c r="AF410" s="411"/>
      <c r="AG410" s="412"/>
      <c r="AH410" s="494"/>
      <c r="AI410" s="494"/>
      <c r="AJ410" s="494"/>
      <c r="AK410" s="494"/>
      <c r="AL410" s="492"/>
    </row>
    <row r="411" spans="1:38">
      <c r="A411" s="464">
        <v>44158</v>
      </c>
      <c r="B411" s="444">
        <v>4934</v>
      </c>
      <c r="C411" s="444">
        <v>107.75</v>
      </c>
      <c r="D411" s="444">
        <v>60</v>
      </c>
      <c r="E411" s="444">
        <v>51</v>
      </c>
      <c r="F411" s="444"/>
      <c r="G411" s="444"/>
      <c r="H411" s="444"/>
      <c r="I411" s="444">
        <v>74</v>
      </c>
      <c r="J411" s="444">
        <v>0.37</v>
      </c>
      <c r="K411" s="444">
        <v>30640.14</v>
      </c>
      <c r="L411" s="444">
        <v>5780.7874999999995</v>
      </c>
      <c r="M411" s="444">
        <v>2040</v>
      </c>
      <c r="N411" s="444">
        <v>48.5</v>
      </c>
      <c r="O411" s="444">
        <v>38460.927499999998</v>
      </c>
      <c r="P411" s="444">
        <v>0.91184623914248752</v>
      </c>
      <c r="Q411" s="437">
        <v>6</v>
      </c>
      <c r="R411" s="438">
        <v>1.4999999999999999E-2</v>
      </c>
      <c r="S411" s="439">
        <v>0</v>
      </c>
      <c r="T411" s="439"/>
      <c r="U411" s="439"/>
      <c r="V411" s="439"/>
      <c r="W411" s="439"/>
      <c r="Y411" s="706"/>
      <c r="Z411" s="411"/>
      <c r="AA411" s="411"/>
      <c r="AB411" s="411"/>
      <c r="AC411" s="411"/>
      <c r="AD411" s="411"/>
      <c r="AE411" s="411"/>
      <c r="AF411" s="411"/>
      <c r="AG411" s="412"/>
      <c r="AH411" s="494"/>
      <c r="AI411" s="494"/>
      <c r="AJ411" s="494"/>
      <c r="AK411" s="494"/>
      <c r="AL411" s="492"/>
    </row>
    <row r="412" spans="1:38">
      <c r="A412" s="464">
        <v>44159</v>
      </c>
      <c r="B412" s="444">
        <v>4621</v>
      </c>
      <c r="C412" s="444">
        <v>0</v>
      </c>
      <c r="D412" s="444">
        <v>30</v>
      </c>
      <c r="E412" s="444">
        <v>33</v>
      </c>
      <c r="F412" s="444"/>
      <c r="G412" s="444"/>
      <c r="H412" s="444"/>
      <c r="I412" s="444">
        <v>50</v>
      </c>
      <c r="J412" s="444">
        <v>0.25</v>
      </c>
      <c r="K412" s="444">
        <v>28696.41</v>
      </c>
      <c r="L412" s="444">
        <v>0</v>
      </c>
      <c r="M412" s="444">
        <v>1020</v>
      </c>
      <c r="N412" s="444">
        <v>49.5</v>
      </c>
      <c r="O412" s="444">
        <v>29716.41</v>
      </c>
      <c r="P412" s="444">
        <v>0.90910879401927991</v>
      </c>
      <c r="Q412" s="437">
        <v>6</v>
      </c>
      <c r="R412" s="438">
        <v>1.4999999999999999E-2</v>
      </c>
      <c r="S412" s="439">
        <v>0</v>
      </c>
      <c r="T412" s="439"/>
      <c r="U412" s="439"/>
      <c r="V412" s="439"/>
      <c r="W412" s="439"/>
      <c r="Y412" s="706"/>
      <c r="Z412" s="411"/>
      <c r="AA412" s="411"/>
      <c r="AB412" s="411"/>
      <c r="AC412" s="411"/>
      <c r="AD412" s="411"/>
      <c r="AE412" s="411"/>
      <c r="AF412" s="411"/>
      <c r="AG412" s="412"/>
      <c r="AH412" s="494"/>
      <c r="AI412" s="494"/>
      <c r="AJ412" s="494"/>
      <c r="AK412" s="494"/>
      <c r="AL412" s="492"/>
    </row>
    <row r="413" spans="1:38">
      <c r="A413" s="464">
        <v>44160</v>
      </c>
      <c r="B413" s="444">
        <v>4973</v>
      </c>
      <c r="C413" s="444">
        <v>0</v>
      </c>
      <c r="D413" s="444">
        <v>70</v>
      </c>
      <c r="E413" s="444">
        <v>29</v>
      </c>
      <c r="F413" s="444"/>
      <c r="G413" s="444"/>
      <c r="H413" s="444"/>
      <c r="I413" s="444">
        <v>30</v>
      </c>
      <c r="J413" s="444">
        <v>0.15</v>
      </c>
      <c r="K413" s="444">
        <v>30882.329999999998</v>
      </c>
      <c r="L413" s="444">
        <v>0</v>
      </c>
      <c r="M413" s="444">
        <v>5680</v>
      </c>
      <c r="N413" s="444">
        <v>50.5</v>
      </c>
      <c r="O413" s="444">
        <v>36562.33</v>
      </c>
      <c r="P413" s="444">
        <v>0.91331496786042243</v>
      </c>
      <c r="Q413" s="437">
        <v>6</v>
      </c>
      <c r="R413" s="438">
        <v>1.4999999999999999E-2</v>
      </c>
      <c r="S413" s="439">
        <v>2</v>
      </c>
      <c r="T413" s="439"/>
      <c r="U413" s="439"/>
      <c r="V413" s="439"/>
      <c r="W413" s="439"/>
      <c r="Y413" s="706"/>
      <c r="Z413" s="411"/>
      <c r="AA413" s="411"/>
      <c r="AB413" s="411"/>
      <c r="AC413" s="411"/>
      <c r="AD413" s="411"/>
      <c r="AE413" s="411"/>
      <c r="AF413" s="411"/>
      <c r="AG413" s="412"/>
      <c r="AH413" s="494"/>
      <c r="AI413" s="494"/>
      <c r="AJ413" s="494"/>
      <c r="AK413" s="494"/>
      <c r="AL413" s="492"/>
    </row>
    <row r="414" spans="1:38" ht="29.1">
      <c r="A414" s="464">
        <v>44161</v>
      </c>
      <c r="B414" s="444">
        <v>5072</v>
      </c>
      <c r="C414" s="444">
        <v>107.75</v>
      </c>
      <c r="D414" s="444">
        <v>20</v>
      </c>
      <c r="E414" s="444">
        <v>25</v>
      </c>
      <c r="F414" s="444"/>
      <c r="G414" s="444"/>
      <c r="H414" s="444"/>
      <c r="I414" s="444">
        <v>65</v>
      </c>
      <c r="J414" s="444"/>
      <c r="K414" s="444">
        <v>31497.119999999999</v>
      </c>
      <c r="L414" s="444">
        <v>5780.7874999999995</v>
      </c>
      <c r="M414" s="444">
        <v>3980</v>
      </c>
      <c r="N414" s="444">
        <v>51.5</v>
      </c>
      <c r="O414" s="444">
        <v>41257.907500000001</v>
      </c>
      <c r="P414" s="444">
        <v>0.92318893338187114</v>
      </c>
      <c r="Q414" s="437">
        <v>6</v>
      </c>
      <c r="R414" s="438">
        <v>1.4999999999999999E-2</v>
      </c>
      <c r="S414" s="439">
        <v>2</v>
      </c>
      <c r="T414" s="439"/>
      <c r="U414" s="439"/>
      <c r="V414" s="439"/>
      <c r="W414" s="439" t="s">
        <v>252</v>
      </c>
      <c r="Y414" s="706"/>
      <c r="Z414" s="411"/>
      <c r="AA414" s="411"/>
      <c r="AB414" s="411"/>
      <c r="AC414" s="411"/>
      <c r="AD414" s="411"/>
      <c r="AE414" s="411"/>
      <c r="AF414" s="411"/>
      <c r="AG414" s="412"/>
      <c r="AH414" s="494"/>
      <c r="AI414" s="494"/>
      <c r="AJ414" s="494"/>
      <c r="AK414" s="494"/>
      <c r="AL414" s="492"/>
    </row>
    <row r="415" spans="1:38">
      <c r="A415" s="464">
        <v>44162</v>
      </c>
      <c r="B415" s="444">
        <v>4509</v>
      </c>
      <c r="C415" s="444">
        <v>0</v>
      </c>
      <c r="D415" s="444">
        <v>50</v>
      </c>
      <c r="E415" s="444">
        <v>37</v>
      </c>
      <c r="F415" s="444"/>
      <c r="G415" s="444"/>
      <c r="H415" s="444"/>
      <c r="I415" s="444">
        <v>60</v>
      </c>
      <c r="J415" s="444"/>
      <c r="K415" s="444">
        <v>28000.89</v>
      </c>
      <c r="L415" s="444">
        <v>0</v>
      </c>
      <c r="M415" s="444">
        <v>1700</v>
      </c>
      <c r="N415" s="444">
        <v>52.5</v>
      </c>
      <c r="O415" s="444">
        <v>29700.89</v>
      </c>
      <c r="P415" s="444">
        <v>0.90669615926000402</v>
      </c>
      <c r="Q415" s="437">
        <v>6</v>
      </c>
      <c r="R415" s="438">
        <v>1.4999999999999999E-2</v>
      </c>
      <c r="S415" s="439">
        <v>0</v>
      </c>
      <c r="T415" s="439"/>
      <c r="U415" s="439"/>
      <c r="V415" s="439"/>
      <c r="W415" s="439" t="s">
        <v>253</v>
      </c>
      <c r="Y415" s="706"/>
      <c r="Z415" s="411"/>
      <c r="AA415" s="411"/>
      <c r="AB415" s="411"/>
      <c r="AC415" s="411"/>
      <c r="AD415" s="411"/>
      <c r="AE415" s="411"/>
      <c r="AF415" s="411"/>
      <c r="AG415" s="412"/>
      <c r="AH415" s="494"/>
      <c r="AI415" s="494"/>
      <c r="AJ415" s="494"/>
      <c r="AK415" s="494"/>
      <c r="AL415" s="492"/>
    </row>
    <row r="416" spans="1:38">
      <c r="A416" s="464">
        <v>44163</v>
      </c>
      <c r="B416" s="444">
        <v>3281</v>
      </c>
      <c r="C416" s="444">
        <v>0</v>
      </c>
      <c r="D416" s="444">
        <v>10</v>
      </c>
      <c r="E416" s="444">
        <v>36</v>
      </c>
      <c r="F416" s="444"/>
      <c r="G416" s="444"/>
      <c r="H416" s="444"/>
      <c r="I416" s="444">
        <v>54</v>
      </c>
      <c r="J416" s="444"/>
      <c r="K416" s="444">
        <v>20375.009999999998</v>
      </c>
      <c r="L416" s="444">
        <v>0</v>
      </c>
      <c r="M416" s="444">
        <v>340</v>
      </c>
      <c r="N416" s="444">
        <v>53.5</v>
      </c>
      <c r="O416" s="444">
        <v>20715.009999999998</v>
      </c>
      <c r="P416" s="444">
        <v>0.83827286663260092</v>
      </c>
      <c r="Q416" s="437">
        <v>6</v>
      </c>
      <c r="R416" s="438">
        <v>1.4999999999999999E-2</v>
      </c>
      <c r="S416" s="439">
        <v>0</v>
      </c>
      <c r="T416" s="439"/>
      <c r="U416" s="439"/>
      <c r="V416" s="439"/>
      <c r="W416" s="439" t="s">
        <v>254</v>
      </c>
      <c r="Y416" s="706"/>
      <c r="Z416" s="411"/>
      <c r="AA416" s="411"/>
      <c r="AB416" s="411"/>
      <c r="AC416" s="411"/>
      <c r="AD416" s="411"/>
      <c r="AE416" s="411"/>
      <c r="AF416" s="411"/>
      <c r="AG416" s="412"/>
      <c r="AH416" s="494"/>
      <c r="AI416" s="494"/>
      <c r="AJ416" s="494"/>
      <c r="AK416" s="494"/>
      <c r="AL416" s="492"/>
    </row>
    <row r="417" spans="1:38">
      <c r="A417" s="464">
        <v>44164</v>
      </c>
      <c r="B417" s="444">
        <v>3109</v>
      </c>
      <c r="C417" s="444">
        <v>107.75</v>
      </c>
      <c r="D417" s="444">
        <v>10</v>
      </c>
      <c r="E417" s="444">
        <v>83</v>
      </c>
      <c r="F417" s="444"/>
      <c r="G417" s="444"/>
      <c r="H417" s="444"/>
      <c r="I417" s="444">
        <v>80</v>
      </c>
      <c r="J417" s="444"/>
      <c r="K417" s="444">
        <v>19306.89</v>
      </c>
      <c r="L417" s="444">
        <v>5780.7874999999995</v>
      </c>
      <c r="M417" s="444">
        <v>340</v>
      </c>
      <c r="N417" s="444">
        <v>54.5</v>
      </c>
      <c r="O417" s="444">
        <v>25427.677499999998</v>
      </c>
      <c r="P417" s="444">
        <v>0.82686170212765953</v>
      </c>
      <c r="Q417" s="437">
        <v>6</v>
      </c>
      <c r="R417" s="438">
        <v>1.4999999999999999E-2</v>
      </c>
      <c r="S417" s="439">
        <v>0</v>
      </c>
      <c r="T417" s="439"/>
      <c r="U417" s="439"/>
      <c r="V417" s="439"/>
      <c r="W417" s="439"/>
      <c r="Y417" s="706"/>
      <c r="Z417" s="411"/>
      <c r="AA417" s="411"/>
      <c r="AB417" s="411"/>
      <c r="AC417" s="411"/>
      <c r="AD417" s="411"/>
      <c r="AE417" s="411"/>
      <c r="AF417" s="411"/>
      <c r="AG417" s="412"/>
      <c r="AH417" s="494"/>
      <c r="AI417" s="494"/>
      <c r="AJ417" s="494"/>
      <c r="AK417" s="494"/>
      <c r="AL417" s="492"/>
    </row>
    <row r="418" spans="1:38">
      <c r="A418" s="464">
        <v>44165</v>
      </c>
      <c r="B418" s="444">
        <v>4648</v>
      </c>
      <c r="C418" s="444">
        <v>107.75</v>
      </c>
      <c r="D418" s="444">
        <v>60</v>
      </c>
      <c r="E418" s="444" t="s">
        <v>255</v>
      </c>
      <c r="F418" s="444"/>
      <c r="G418" s="444"/>
      <c r="H418" s="444"/>
      <c r="I418" s="444">
        <v>102</v>
      </c>
      <c r="J418" s="444"/>
      <c r="K418" s="444">
        <v>28864.079999999998</v>
      </c>
      <c r="L418" s="444">
        <v>5780.7874999999995</v>
      </c>
      <c r="M418" s="444">
        <v>2040</v>
      </c>
      <c r="N418" s="444">
        <v>55.5</v>
      </c>
      <c r="O418" s="444">
        <v>36684.8675</v>
      </c>
      <c r="P418" s="444">
        <v>0.88567073170731703</v>
      </c>
      <c r="Q418" s="437">
        <v>6</v>
      </c>
      <c r="R418" s="438">
        <v>1.4999999999999999E-2</v>
      </c>
      <c r="S418" s="439">
        <v>0</v>
      </c>
      <c r="T418" s="439"/>
      <c r="U418" s="439"/>
      <c r="V418" s="439"/>
      <c r="W418" s="439" t="s">
        <v>256</v>
      </c>
      <c r="Y418" s="706"/>
      <c r="Z418" s="411"/>
      <c r="AA418" s="411"/>
      <c r="AB418" s="411"/>
      <c r="AC418" s="411"/>
      <c r="AD418" s="411"/>
      <c r="AE418" s="411"/>
      <c r="AF418" s="411"/>
      <c r="AG418" s="412"/>
      <c r="AH418" s="494"/>
      <c r="AI418" s="494"/>
      <c r="AJ418" s="494"/>
      <c r="AK418" s="494"/>
      <c r="AL418" s="492"/>
    </row>
    <row r="419" spans="1:38">
      <c r="A419" s="706"/>
      <c r="B419" s="411"/>
      <c r="C419" s="411"/>
      <c r="D419" s="411"/>
      <c r="E419" s="411"/>
      <c r="F419" s="411"/>
      <c r="G419" s="411"/>
      <c r="H419" s="411"/>
      <c r="I419" s="411"/>
      <c r="J419" s="411"/>
      <c r="K419" s="411"/>
      <c r="L419" s="411"/>
      <c r="M419" s="411"/>
      <c r="N419" s="411"/>
      <c r="O419" s="411"/>
      <c r="P419" s="411"/>
      <c r="Q419" s="492"/>
      <c r="R419" s="493"/>
      <c r="S419" s="458"/>
      <c r="T419" s="458"/>
      <c r="U419" s="458"/>
      <c r="V419" s="458"/>
      <c r="W419" s="458"/>
      <c r="Y419" s="706"/>
      <c r="Z419" s="411"/>
      <c r="AA419" s="411"/>
      <c r="AB419" s="411"/>
      <c r="AC419" s="411"/>
      <c r="AD419" s="411"/>
      <c r="AE419" s="411"/>
      <c r="AF419" s="411"/>
      <c r="AG419" s="412"/>
      <c r="AH419" s="494"/>
      <c r="AI419" s="494"/>
      <c r="AJ419" s="494"/>
      <c r="AK419" s="494"/>
      <c r="AL419" s="492"/>
    </row>
    <row r="420" spans="1:38">
      <c r="A420" s="450" t="s">
        <v>161</v>
      </c>
      <c r="B420" s="532">
        <v>120808</v>
      </c>
      <c r="C420" s="532">
        <v>1293</v>
      </c>
      <c r="D420" s="532">
        <v>1600</v>
      </c>
      <c r="E420" s="532"/>
      <c r="F420" s="532"/>
      <c r="G420" s="532"/>
      <c r="H420" s="532"/>
      <c r="I420" s="532"/>
      <c r="J420" s="532"/>
      <c r="K420" s="533">
        <v>750217.67999999993</v>
      </c>
      <c r="L420" s="533">
        <v>69369.45</v>
      </c>
      <c r="M420" s="533">
        <v>61000</v>
      </c>
      <c r="N420" s="533"/>
      <c r="O420" s="533">
        <v>880587.12999999989</v>
      </c>
      <c r="P420" s="533"/>
      <c r="Q420" s="533"/>
      <c r="R420" s="533"/>
      <c r="S420" s="533"/>
      <c r="T420" s="533"/>
      <c r="U420" s="533"/>
      <c r="V420" s="533"/>
      <c r="W420" s="533"/>
    </row>
    <row r="422" spans="1:38" ht="57.95">
      <c r="A422" s="443" t="s">
        <v>14</v>
      </c>
      <c r="B422" s="444" t="s">
        <v>145</v>
      </c>
      <c r="C422" s="444"/>
      <c r="D422" s="444"/>
      <c r="E422" s="444"/>
      <c r="F422" s="444"/>
      <c r="G422" s="444"/>
      <c r="H422" s="444"/>
      <c r="I422" s="444"/>
      <c r="J422" s="444"/>
      <c r="K422" s="444" t="s">
        <v>146</v>
      </c>
      <c r="L422" s="444"/>
      <c r="M422" s="444"/>
      <c r="N422" s="444" t="s">
        <v>147</v>
      </c>
      <c r="O422" s="444" t="s">
        <v>148</v>
      </c>
      <c r="P422" s="444" t="s">
        <v>175</v>
      </c>
      <c r="Q422" s="437" t="s">
        <v>149</v>
      </c>
      <c r="R422" s="438" t="s">
        <v>150</v>
      </c>
      <c r="S422" s="439" t="s">
        <v>165</v>
      </c>
      <c r="T422" s="439"/>
      <c r="U422" s="439"/>
      <c r="V422" s="439"/>
      <c r="W422" s="439" t="s">
        <v>176</v>
      </c>
    </row>
    <row r="423" spans="1:38">
      <c r="A423" s="443"/>
      <c r="B423" s="444" t="s">
        <v>156</v>
      </c>
      <c r="C423" s="444" t="s">
        <v>157</v>
      </c>
      <c r="D423" s="444" t="s">
        <v>158</v>
      </c>
      <c r="E423" s="444" t="s">
        <v>236</v>
      </c>
      <c r="F423" s="444"/>
      <c r="G423" s="444"/>
      <c r="H423" s="444"/>
      <c r="I423" s="444" t="s">
        <v>237</v>
      </c>
      <c r="J423" s="444"/>
      <c r="K423" s="444" t="s">
        <v>156</v>
      </c>
      <c r="L423" s="444" t="s">
        <v>157</v>
      </c>
      <c r="M423" s="444" t="s">
        <v>158</v>
      </c>
      <c r="N423" s="444"/>
      <c r="O423" s="444"/>
      <c r="P423" s="444"/>
      <c r="Q423" s="437"/>
      <c r="R423" s="438"/>
      <c r="S423" s="439"/>
      <c r="T423" s="439"/>
      <c r="U423" s="439"/>
      <c r="V423" s="439"/>
      <c r="W423" s="439"/>
    </row>
    <row r="424" spans="1:38" ht="29.1">
      <c r="A424" s="464">
        <v>44166</v>
      </c>
      <c r="B424" s="444">
        <v>5067</v>
      </c>
      <c r="C424" s="444">
        <v>0</v>
      </c>
      <c r="D424" s="444">
        <v>0</v>
      </c>
      <c r="E424" s="444">
        <v>27</v>
      </c>
      <c r="F424" s="444"/>
      <c r="G424" s="444"/>
      <c r="H424" s="444"/>
      <c r="I424" s="444">
        <v>120</v>
      </c>
      <c r="J424" s="444">
        <v>0.4</v>
      </c>
      <c r="K424" s="444">
        <v>31466.07</v>
      </c>
      <c r="L424" s="444">
        <v>0</v>
      </c>
      <c r="M424" s="444">
        <v>0</v>
      </c>
      <c r="N424" s="444">
        <v>26.5</v>
      </c>
      <c r="O424" s="444">
        <v>31466.07</v>
      </c>
      <c r="P424" s="444">
        <v>0.92598684210526316</v>
      </c>
      <c r="Q424" s="437">
        <v>6</v>
      </c>
      <c r="R424" s="438">
        <v>1.4999999999999999E-2</v>
      </c>
      <c r="S424" s="439">
        <v>0</v>
      </c>
      <c r="T424" s="439"/>
      <c r="U424" s="439"/>
      <c r="V424" s="439"/>
      <c r="W424" s="439" t="s">
        <v>257</v>
      </c>
    </row>
    <row r="425" spans="1:38" ht="29.1">
      <c r="A425" s="464">
        <v>44167</v>
      </c>
      <c r="B425" s="444">
        <v>5453</v>
      </c>
      <c r="C425" s="444">
        <v>0</v>
      </c>
      <c r="D425" s="444">
        <v>0</v>
      </c>
      <c r="E425" s="444">
        <v>0</v>
      </c>
      <c r="F425" s="444"/>
      <c r="G425" s="444"/>
      <c r="H425" s="444"/>
      <c r="I425" s="444">
        <v>120</v>
      </c>
      <c r="J425" s="444">
        <v>0.45</v>
      </c>
      <c r="K425" s="444">
        <v>33863.129999999997</v>
      </c>
      <c r="L425" s="444">
        <v>0</v>
      </c>
      <c r="M425" s="444">
        <v>0</v>
      </c>
      <c r="N425" s="444">
        <v>27.5</v>
      </c>
      <c r="O425" s="444">
        <v>33863.129999999997</v>
      </c>
      <c r="P425" s="444">
        <v>0.92111486486486482</v>
      </c>
      <c r="Q425" s="437">
        <v>6</v>
      </c>
      <c r="R425" s="438">
        <v>1.4999999999999999E-2</v>
      </c>
      <c r="S425" s="439">
        <v>0</v>
      </c>
      <c r="T425" s="439"/>
      <c r="U425" s="439"/>
      <c r="V425" s="439"/>
      <c r="W425" s="439" t="s">
        <v>258</v>
      </c>
    </row>
    <row r="426" spans="1:38">
      <c r="A426" s="464">
        <v>44168</v>
      </c>
      <c r="B426" s="444">
        <v>5818</v>
      </c>
      <c r="C426" s="444">
        <v>0</v>
      </c>
      <c r="D426" s="444">
        <v>0</v>
      </c>
      <c r="E426" s="444">
        <v>0</v>
      </c>
      <c r="F426" s="444"/>
      <c r="G426" s="444"/>
      <c r="H426" s="444"/>
      <c r="I426" s="444">
        <v>0</v>
      </c>
      <c r="J426" s="444">
        <v>0.44</v>
      </c>
      <c r="K426" s="444">
        <v>36129.78</v>
      </c>
      <c r="L426" s="444">
        <v>0</v>
      </c>
      <c r="M426" s="444">
        <v>0</v>
      </c>
      <c r="N426" s="444">
        <v>28.5</v>
      </c>
      <c r="O426" s="444">
        <v>36129.78</v>
      </c>
      <c r="P426" s="444">
        <v>0.93672516502978587</v>
      </c>
      <c r="Q426" s="437">
        <v>6</v>
      </c>
      <c r="R426" s="438">
        <v>1.4999999999999999E-2</v>
      </c>
      <c r="S426" s="439">
        <v>0</v>
      </c>
      <c r="T426" s="439"/>
      <c r="U426" s="439"/>
      <c r="V426" s="439"/>
      <c r="W426" s="439" t="s">
        <v>259</v>
      </c>
    </row>
    <row r="427" spans="1:38">
      <c r="A427" s="464">
        <v>44169</v>
      </c>
      <c r="B427" s="444">
        <v>6534</v>
      </c>
      <c r="C427" s="444">
        <v>0</v>
      </c>
      <c r="D427" s="444">
        <v>0</v>
      </c>
      <c r="E427" s="444">
        <v>0</v>
      </c>
      <c r="F427" s="444"/>
      <c r="G427" s="444"/>
      <c r="H427" s="444"/>
      <c r="I427" s="444">
        <v>0</v>
      </c>
      <c r="J427" s="444">
        <v>0.46</v>
      </c>
      <c r="K427" s="444">
        <v>40576.14</v>
      </c>
      <c r="L427" s="444">
        <v>0</v>
      </c>
      <c r="M427" s="444">
        <v>0</v>
      </c>
      <c r="N427" s="444">
        <v>29.5</v>
      </c>
      <c r="O427" s="444">
        <v>40576.14</v>
      </c>
      <c r="P427" s="444">
        <v>0.96357469399793538</v>
      </c>
      <c r="Q427" s="437">
        <v>6</v>
      </c>
      <c r="R427" s="438">
        <v>1.4999999999999999E-2</v>
      </c>
      <c r="S427" s="439">
        <v>0</v>
      </c>
      <c r="T427" s="439"/>
      <c r="U427" s="439"/>
      <c r="V427" s="439"/>
      <c r="W427" s="439"/>
    </row>
    <row r="428" spans="1:38">
      <c r="A428" s="464">
        <v>44170</v>
      </c>
      <c r="B428" s="444">
        <v>4677</v>
      </c>
      <c r="C428" s="444">
        <v>0</v>
      </c>
      <c r="D428" s="444">
        <v>0</v>
      </c>
      <c r="E428" s="444">
        <v>0</v>
      </c>
      <c r="F428" s="444"/>
      <c r="G428" s="444"/>
      <c r="H428" s="444"/>
      <c r="I428" s="444">
        <v>0</v>
      </c>
      <c r="J428" s="444">
        <v>0.46</v>
      </c>
      <c r="K428" s="444">
        <v>29044.17</v>
      </c>
      <c r="L428" s="444">
        <v>0</v>
      </c>
      <c r="M428" s="444">
        <v>0</v>
      </c>
      <c r="N428" s="444">
        <v>30.5</v>
      </c>
      <c r="O428" s="444">
        <v>29044.17</v>
      </c>
      <c r="P428" s="444">
        <v>0.95254582484725048</v>
      </c>
      <c r="Q428" s="437">
        <v>6</v>
      </c>
      <c r="R428" s="438">
        <v>1.4999999999999999E-2</v>
      </c>
      <c r="S428" s="439">
        <v>0</v>
      </c>
      <c r="T428" s="439"/>
      <c r="U428" s="439"/>
      <c r="V428" s="439"/>
      <c r="W428" s="439"/>
    </row>
    <row r="429" spans="1:38" ht="29.1">
      <c r="A429" s="464">
        <v>44171</v>
      </c>
      <c r="B429" s="444">
        <v>4643</v>
      </c>
      <c r="C429" s="444">
        <v>0</v>
      </c>
      <c r="D429" s="444">
        <v>0</v>
      </c>
      <c r="E429" s="444">
        <v>0</v>
      </c>
      <c r="F429" s="444"/>
      <c r="G429" s="444"/>
      <c r="H429" s="444"/>
      <c r="I429" s="444">
        <v>0</v>
      </c>
      <c r="J429" s="444">
        <v>0.46</v>
      </c>
      <c r="K429" s="444">
        <v>28833.03</v>
      </c>
      <c r="L429" s="444">
        <v>0</v>
      </c>
      <c r="M429" s="444">
        <v>0</v>
      </c>
      <c r="N429" s="444">
        <v>31.5</v>
      </c>
      <c r="O429" s="444">
        <v>28833.03</v>
      </c>
      <c r="P429" s="444">
        <v>0.95201968423210992</v>
      </c>
      <c r="Q429" s="437">
        <v>6</v>
      </c>
      <c r="R429" s="438">
        <v>1.4999999999999999E-2</v>
      </c>
      <c r="S429" s="439">
        <v>0</v>
      </c>
      <c r="T429" s="439"/>
      <c r="U429" s="439"/>
      <c r="V429" s="439"/>
      <c r="W429" s="439" t="s">
        <v>260</v>
      </c>
    </row>
    <row r="430" spans="1:38" ht="29.1">
      <c r="A430" s="464">
        <v>44172</v>
      </c>
      <c r="B430" s="444">
        <v>6279</v>
      </c>
      <c r="C430" s="444">
        <v>0</v>
      </c>
      <c r="D430" s="444">
        <v>0</v>
      </c>
      <c r="E430" s="444">
        <v>0</v>
      </c>
      <c r="F430" s="444"/>
      <c r="G430" s="444"/>
      <c r="H430" s="444"/>
      <c r="I430" s="444">
        <v>0</v>
      </c>
      <c r="J430" s="444">
        <v>0.46</v>
      </c>
      <c r="K430" s="444">
        <v>38992.589999999997</v>
      </c>
      <c r="L430" s="444">
        <v>0</v>
      </c>
      <c r="M430" s="444">
        <v>0</v>
      </c>
      <c r="N430" s="444">
        <v>32.5</v>
      </c>
      <c r="O430" s="444">
        <v>38992.589999999997</v>
      </c>
      <c r="P430" s="444">
        <v>0.96112046532986373</v>
      </c>
      <c r="Q430" s="437">
        <v>6</v>
      </c>
      <c r="R430" s="438">
        <v>1.4999999999999999E-2</v>
      </c>
      <c r="S430" s="439">
        <v>0</v>
      </c>
      <c r="T430" s="439"/>
      <c r="U430" s="439"/>
      <c r="V430" s="439"/>
      <c r="W430" s="439" t="s">
        <v>261</v>
      </c>
    </row>
    <row r="431" spans="1:38">
      <c r="A431" s="464">
        <v>44173</v>
      </c>
      <c r="B431" s="444" t="s">
        <v>255</v>
      </c>
      <c r="C431" s="444">
        <v>0</v>
      </c>
      <c r="D431" s="444">
        <v>0</v>
      </c>
      <c r="E431" s="444">
        <v>0</v>
      </c>
      <c r="F431" s="444"/>
      <c r="G431" s="444"/>
      <c r="H431" s="444"/>
      <c r="I431" s="444">
        <v>0</v>
      </c>
      <c r="J431" s="444">
        <v>0.5</v>
      </c>
      <c r="K431" s="444">
        <v>0</v>
      </c>
      <c r="L431" s="444">
        <v>0</v>
      </c>
      <c r="M431" s="444">
        <v>0</v>
      </c>
      <c r="N431" s="444">
        <v>33.5</v>
      </c>
      <c r="O431" s="444">
        <v>0</v>
      </c>
      <c r="P431" s="444" t="e">
        <v>#DIV/0!</v>
      </c>
      <c r="Q431" s="437">
        <v>0</v>
      </c>
      <c r="R431" s="438">
        <v>0</v>
      </c>
      <c r="S431" s="439">
        <v>0</v>
      </c>
      <c r="T431" s="439"/>
      <c r="U431" s="439"/>
      <c r="V431" s="439"/>
      <c r="W431" s="439" t="s">
        <v>262</v>
      </c>
    </row>
    <row r="432" spans="1:38" ht="29.1">
      <c r="A432" s="464">
        <v>44174</v>
      </c>
      <c r="B432" s="444">
        <v>5146585</v>
      </c>
      <c r="C432" s="444">
        <v>0</v>
      </c>
      <c r="D432" s="444">
        <v>0</v>
      </c>
      <c r="E432" s="444">
        <v>0</v>
      </c>
      <c r="F432" s="444"/>
      <c r="G432" s="444"/>
      <c r="H432" s="444"/>
      <c r="I432" s="444">
        <v>0</v>
      </c>
      <c r="J432" s="444">
        <v>0.5</v>
      </c>
      <c r="K432" s="444">
        <v>31960292.850000001</v>
      </c>
      <c r="L432" s="444">
        <v>0</v>
      </c>
      <c r="M432" s="444">
        <v>0</v>
      </c>
      <c r="N432" s="444">
        <v>34.5</v>
      </c>
      <c r="O432" s="444">
        <v>31960292.850000001</v>
      </c>
      <c r="P432" s="444">
        <v>0.8751153708292212</v>
      </c>
      <c r="Q432" s="437">
        <v>6</v>
      </c>
      <c r="R432" s="438">
        <v>1.4999999999999999E-2</v>
      </c>
      <c r="S432" s="439">
        <v>0</v>
      </c>
      <c r="T432" s="439"/>
      <c r="U432" s="439"/>
      <c r="V432" s="439"/>
      <c r="W432" s="439" t="s">
        <v>263</v>
      </c>
    </row>
    <row r="433" spans="1:23">
      <c r="A433" s="464">
        <v>44175</v>
      </c>
      <c r="B433" s="444">
        <v>5482</v>
      </c>
      <c r="C433" s="444">
        <v>0</v>
      </c>
      <c r="D433" s="444">
        <v>0</v>
      </c>
      <c r="E433" s="444">
        <v>0</v>
      </c>
      <c r="F433" s="444"/>
      <c r="G433" s="444"/>
      <c r="H433" s="444"/>
      <c r="I433" s="444">
        <v>0</v>
      </c>
      <c r="J433" s="444">
        <v>0.43</v>
      </c>
      <c r="K433" s="444">
        <v>34043.22</v>
      </c>
      <c r="L433" s="444">
        <v>0</v>
      </c>
      <c r="M433" s="444">
        <v>0</v>
      </c>
      <c r="N433" s="444">
        <v>35.5</v>
      </c>
      <c r="O433" s="444">
        <v>34043.22</v>
      </c>
      <c r="P433" s="444">
        <v>0.94192439862542954</v>
      </c>
      <c r="Q433" s="437">
        <v>6</v>
      </c>
      <c r="R433" s="438">
        <v>1.4999999999999999E-2</v>
      </c>
      <c r="S433" s="439">
        <v>0</v>
      </c>
      <c r="T433" s="439"/>
      <c r="U433" s="439"/>
      <c r="V433" s="439"/>
      <c r="W433" s="439" t="s">
        <v>264</v>
      </c>
    </row>
    <row r="434" spans="1:23">
      <c r="A434" s="464">
        <v>44176</v>
      </c>
      <c r="B434" s="444">
        <v>5054</v>
      </c>
      <c r="C434" s="444">
        <v>0</v>
      </c>
      <c r="D434" s="444">
        <v>0</v>
      </c>
      <c r="E434" s="444">
        <v>0</v>
      </c>
      <c r="F434" s="444"/>
      <c r="G434" s="444"/>
      <c r="H434" s="444"/>
      <c r="I434" s="444">
        <v>0</v>
      </c>
      <c r="J434" s="444">
        <v>0.46</v>
      </c>
      <c r="K434" s="444">
        <v>31385.34</v>
      </c>
      <c r="L434" s="444">
        <v>0</v>
      </c>
      <c r="M434" s="444">
        <v>0</v>
      </c>
      <c r="N434" s="444">
        <v>36.5</v>
      </c>
      <c r="O434" s="444">
        <v>31385.34</v>
      </c>
      <c r="P434" s="444">
        <v>0.95466565923687197</v>
      </c>
      <c r="Q434" s="437">
        <v>6</v>
      </c>
      <c r="R434" s="438">
        <v>1.4999999999999999E-2</v>
      </c>
      <c r="S434" s="439">
        <v>0</v>
      </c>
      <c r="T434" s="439"/>
      <c r="U434" s="439"/>
      <c r="V434" s="439"/>
      <c r="W434" s="439" t="s">
        <v>265</v>
      </c>
    </row>
    <row r="435" spans="1:23" ht="43.5">
      <c r="A435" s="464">
        <v>44177</v>
      </c>
      <c r="B435" s="444">
        <v>6488</v>
      </c>
      <c r="C435" s="444">
        <v>0</v>
      </c>
      <c r="D435" s="444">
        <v>0</v>
      </c>
      <c r="E435" s="444">
        <v>0</v>
      </c>
      <c r="F435" s="444"/>
      <c r="G435" s="444"/>
      <c r="H435" s="444"/>
      <c r="I435" s="444">
        <v>0</v>
      </c>
      <c r="J435" s="444">
        <v>0.41</v>
      </c>
      <c r="K435" s="444">
        <v>40290.480000000003</v>
      </c>
      <c r="L435" s="444">
        <v>0</v>
      </c>
      <c r="M435" s="444">
        <v>0</v>
      </c>
      <c r="N435" s="444">
        <v>37.5</v>
      </c>
      <c r="O435" s="444">
        <v>40290.480000000003</v>
      </c>
      <c r="P435" s="444">
        <v>0.96850276160620985</v>
      </c>
      <c r="Q435" s="437">
        <v>6</v>
      </c>
      <c r="R435" s="438">
        <v>1.4999999999999999E-2</v>
      </c>
      <c r="S435" s="439">
        <v>0</v>
      </c>
      <c r="T435" s="439"/>
      <c r="U435" s="439"/>
      <c r="V435" s="439"/>
      <c r="W435" s="439" t="s">
        <v>266</v>
      </c>
    </row>
    <row r="436" spans="1:23">
      <c r="A436" s="464">
        <v>44178</v>
      </c>
      <c r="B436" s="444">
        <v>6584</v>
      </c>
      <c r="C436" s="444">
        <v>0</v>
      </c>
      <c r="D436" s="444">
        <v>0</v>
      </c>
      <c r="E436" s="444">
        <v>0</v>
      </c>
      <c r="F436" s="444"/>
      <c r="G436" s="444"/>
      <c r="H436" s="444"/>
      <c r="I436" s="444">
        <v>0</v>
      </c>
      <c r="J436" s="444">
        <v>0.45</v>
      </c>
      <c r="K436" s="444">
        <v>40886.639999999999</v>
      </c>
      <c r="L436" s="444">
        <v>0</v>
      </c>
      <c r="M436" s="444">
        <v>0</v>
      </c>
      <c r="N436" s="444">
        <v>38.5</v>
      </c>
      <c r="O436" s="444">
        <v>40886.639999999999</v>
      </c>
      <c r="P436" s="444">
        <v>0.97066194899012237</v>
      </c>
      <c r="Q436" s="437">
        <v>6</v>
      </c>
      <c r="R436" s="438">
        <v>1.4999999999999999E-2</v>
      </c>
      <c r="S436" s="439">
        <v>0</v>
      </c>
      <c r="T436" s="439"/>
      <c r="U436" s="439"/>
      <c r="V436" s="439"/>
      <c r="W436" s="439"/>
    </row>
    <row r="437" spans="1:23">
      <c r="A437" s="464">
        <v>44179</v>
      </c>
      <c r="B437" s="444">
        <v>6069</v>
      </c>
      <c r="C437" s="444">
        <v>0</v>
      </c>
      <c r="D437" s="444">
        <v>0</v>
      </c>
      <c r="E437" s="444">
        <v>0</v>
      </c>
      <c r="F437" s="444"/>
      <c r="G437" s="444"/>
      <c r="H437" s="444"/>
      <c r="I437" s="444">
        <v>0</v>
      </c>
      <c r="J437" s="444">
        <v>0.4</v>
      </c>
      <c r="K437" s="444">
        <v>37688.49</v>
      </c>
      <c r="L437" s="444">
        <v>0</v>
      </c>
      <c r="M437" s="444">
        <v>0</v>
      </c>
      <c r="N437" s="444">
        <v>39.5</v>
      </c>
      <c r="O437" s="444">
        <v>37688.49</v>
      </c>
      <c r="P437" s="444">
        <v>0.96825143586470963</v>
      </c>
      <c r="Q437" s="437">
        <v>6</v>
      </c>
      <c r="R437" s="438">
        <v>1.4999999999999999E-2</v>
      </c>
      <c r="S437" s="439">
        <v>0</v>
      </c>
      <c r="T437" s="439"/>
      <c r="U437" s="439"/>
      <c r="V437" s="439"/>
      <c r="W437" s="439" t="s">
        <v>265</v>
      </c>
    </row>
    <row r="438" spans="1:23">
      <c r="A438" s="464">
        <v>44180</v>
      </c>
      <c r="B438" s="444">
        <v>6558</v>
      </c>
      <c r="C438" s="444">
        <v>0</v>
      </c>
      <c r="D438" s="444">
        <v>0</v>
      </c>
      <c r="E438" s="444">
        <v>0</v>
      </c>
      <c r="F438" s="444"/>
      <c r="G438" s="444"/>
      <c r="H438" s="444"/>
      <c r="I438" s="444">
        <v>0</v>
      </c>
      <c r="J438" s="444">
        <v>0.44</v>
      </c>
      <c r="K438" s="444">
        <v>40725.18</v>
      </c>
      <c r="L438" s="444">
        <v>0</v>
      </c>
      <c r="M438" s="444">
        <v>0</v>
      </c>
      <c r="N438" s="444">
        <v>40.5</v>
      </c>
      <c r="O438" s="444">
        <v>40725.18</v>
      </c>
      <c r="P438" s="444">
        <v>0.96797047970479699</v>
      </c>
      <c r="Q438" s="437">
        <v>6</v>
      </c>
      <c r="R438" s="438">
        <v>1.4999999999999999E-2</v>
      </c>
      <c r="S438" s="439">
        <v>0</v>
      </c>
      <c r="T438" s="439"/>
      <c r="U438" s="439"/>
      <c r="V438" s="439"/>
      <c r="W438" s="439"/>
    </row>
    <row r="439" spans="1:23">
      <c r="A439" s="464">
        <v>44181</v>
      </c>
      <c r="B439" s="444">
        <v>6732</v>
      </c>
      <c r="C439" s="444">
        <v>0</v>
      </c>
      <c r="D439" s="444">
        <v>0</v>
      </c>
      <c r="E439" s="444">
        <v>0</v>
      </c>
      <c r="F439" s="444"/>
      <c r="G439" s="444"/>
      <c r="H439" s="444"/>
      <c r="I439" s="444">
        <v>0</v>
      </c>
      <c r="J439" s="444">
        <v>0.37</v>
      </c>
      <c r="K439" s="444">
        <v>41805.72</v>
      </c>
      <c r="L439" s="444">
        <v>0</v>
      </c>
      <c r="M439" s="444">
        <v>0</v>
      </c>
      <c r="N439" s="444">
        <v>41.5</v>
      </c>
      <c r="O439" s="444">
        <v>41805.72</v>
      </c>
      <c r="P439" s="444">
        <v>0.96640826873385011</v>
      </c>
      <c r="Q439" s="437">
        <v>6</v>
      </c>
      <c r="R439" s="438">
        <v>1.4999999999999999E-2</v>
      </c>
      <c r="S439" s="439">
        <v>0</v>
      </c>
      <c r="T439" s="439"/>
      <c r="U439" s="439"/>
      <c r="V439" s="439"/>
      <c r="W439" s="439"/>
    </row>
    <row r="440" spans="1:23">
      <c r="A440" s="464">
        <v>44182</v>
      </c>
      <c r="B440" s="444">
        <v>6284</v>
      </c>
      <c r="C440" s="444">
        <v>0</v>
      </c>
      <c r="D440" s="444">
        <v>0</v>
      </c>
      <c r="E440" s="444">
        <v>0</v>
      </c>
      <c r="F440" s="444"/>
      <c r="G440" s="444"/>
      <c r="H440" s="444"/>
      <c r="I440" s="444">
        <v>0</v>
      </c>
      <c r="J440" s="444">
        <v>0.3</v>
      </c>
      <c r="K440" s="444">
        <v>39023.64</v>
      </c>
      <c r="L440" s="444">
        <v>0</v>
      </c>
      <c r="M440" s="444">
        <v>0</v>
      </c>
      <c r="N440" s="444">
        <v>42.5</v>
      </c>
      <c r="O440" s="444">
        <v>39023.64</v>
      </c>
      <c r="P440" s="444">
        <v>0.96513592382122559</v>
      </c>
      <c r="Q440" s="437">
        <v>6</v>
      </c>
      <c r="R440" s="438">
        <v>1.4999999999999999E-2</v>
      </c>
      <c r="S440" s="439">
        <v>0</v>
      </c>
      <c r="T440" s="439"/>
      <c r="U440" s="439"/>
      <c r="V440" s="439"/>
      <c r="W440" s="439"/>
    </row>
    <row r="441" spans="1:23">
      <c r="A441" s="464">
        <v>44183</v>
      </c>
      <c r="B441" s="444">
        <v>6815</v>
      </c>
      <c r="C441" s="444">
        <v>0</v>
      </c>
      <c r="D441" s="444">
        <v>0</v>
      </c>
      <c r="E441" s="444">
        <v>0</v>
      </c>
      <c r="F441" s="444"/>
      <c r="G441" s="444"/>
      <c r="H441" s="444"/>
      <c r="I441" s="444">
        <v>0</v>
      </c>
      <c r="J441" s="444">
        <v>0.25</v>
      </c>
      <c r="K441" s="444">
        <v>42321.15</v>
      </c>
      <c r="L441" s="444">
        <v>0</v>
      </c>
      <c r="M441" s="444">
        <v>0</v>
      </c>
      <c r="N441" s="444">
        <v>43.5</v>
      </c>
      <c r="O441" s="444">
        <v>42321.15</v>
      </c>
      <c r="P441" s="444">
        <v>0.87765614938828074</v>
      </c>
      <c r="Q441" s="437">
        <v>6</v>
      </c>
      <c r="R441" s="438">
        <v>1.4999999999999999E-2</v>
      </c>
      <c r="S441" s="439">
        <v>0</v>
      </c>
      <c r="T441" s="439"/>
      <c r="U441" s="439"/>
      <c r="V441" s="439"/>
      <c r="W441" s="439"/>
    </row>
    <row r="442" spans="1:23">
      <c r="A442" s="464">
        <v>44184</v>
      </c>
      <c r="B442" s="444">
        <v>6796</v>
      </c>
      <c r="C442" s="444">
        <v>0</v>
      </c>
      <c r="D442" s="444">
        <v>0</v>
      </c>
      <c r="E442" s="444">
        <v>0</v>
      </c>
      <c r="F442" s="444"/>
      <c r="G442" s="444"/>
      <c r="H442" s="444"/>
      <c r="I442" s="444">
        <v>0</v>
      </c>
      <c r="J442" s="444">
        <v>0.16</v>
      </c>
      <c r="K442" s="444">
        <v>42203.159999999996</v>
      </c>
      <c r="L442" s="444">
        <v>0</v>
      </c>
      <c r="M442" s="444">
        <v>0</v>
      </c>
      <c r="N442" s="444">
        <v>44.5</v>
      </c>
      <c r="O442" s="444">
        <v>42203.159999999996</v>
      </c>
      <c r="P442" s="444">
        <v>1.0311030192686998</v>
      </c>
      <c r="Q442" s="437">
        <v>6</v>
      </c>
      <c r="R442" s="438">
        <v>1.4999999999999999E-2</v>
      </c>
      <c r="S442" s="439">
        <v>0</v>
      </c>
      <c r="T442" s="439"/>
      <c r="U442" s="439"/>
      <c r="V442" s="439"/>
      <c r="W442" s="439"/>
    </row>
    <row r="443" spans="1:23">
      <c r="A443" s="464">
        <v>44185</v>
      </c>
      <c r="B443" s="444">
        <v>7277</v>
      </c>
      <c r="C443" s="444">
        <v>0</v>
      </c>
      <c r="D443" s="444">
        <v>0</v>
      </c>
      <c r="E443" s="444">
        <v>0</v>
      </c>
      <c r="F443" s="444"/>
      <c r="G443" s="444"/>
      <c r="H443" s="444"/>
      <c r="I443" s="444">
        <v>0</v>
      </c>
      <c r="J443" s="444">
        <v>0.27</v>
      </c>
      <c r="K443" s="444">
        <v>45190.17</v>
      </c>
      <c r="L443" s="444">
        <v>0</v>
      </c>
      <c r="M443" s="444">
        <v>0</v>
      </c>
      <c r="N443" s="444">
        <v>45.5</v>
      </c>
      <c r="O443" s="444">
        <v>45190.17</v>
      </c>
      <c r="P443" s="444">
        <v>1.0111157426705573</v>
      </c>
      <c r="Q443" s="437">
        <v>6</v>
      </c>
      <c r="R443" s="438">
        <v>1.4999999999999999E-2</v>
      </c>
      <c r="S443" s="439">
        <v>0</v>
      </c>
      <c r="T443" s="439"/>
      <c r="U443" s="439"/>
      <c r="V443" s="439"/>
      <c r="W443" s="439"/>
    </row>
    <row r="444" spans="1:23">
      <c r="A444" s="464">
        <v>44186</v>
      </c>
      <c r="B444" s="444">
        <v>7489</v>
      </c>
      <c r="C444" s="444">
        <v>0</v>
      </c>
      <c r="D444" s="444">
        <v>0</v>
      </c>
      <c r="E444" s="444">
        <v>0</v>
      </c>
      <c r="F444" s="444"/>
      <c r="G444" s="444"/>
      <c r="H444" s="444"/>
      <c r="I444" s="444">
        <v>0</v>
      </c>
      <c r="J444" s="444">
        <v>0.27</v>
      </c>
      <c r="K444" s="444">
        <v>46506.69</v>
      </c>
      <c r="L444" s="444">
        <v>0</v>
      </c>
      <c r="M444" s="444">
        <v>0</v>
      </c>
      <c r="N444" s="444">
        <v>46.5</v>
      </c>
      <c r="O444" s="444">
        <v>46506.69</v>
      </c>
      <c r="P444" s="444">
        <v>1.0065860215053763</v>
      </c>
      <c r="Q444" s="437">
        <v>6</v>
      </c>
      <c r="R444" s="438">
        <v>1.4999999999999999E-2</v>
      </c>
      <c r="S444" s="439">
        <v>0</v>
      </c>
      <c r="T444" s="439"/>
      <c r="U444" s="439"/>
      <c r="V444" s="439"/>
      <c r="W444" s="439"/>
    </row>
    <row r="445" spans="1:23">
      <c r="A445" s="464">
        <v>44187</v>
      </c>
      <c r="B445" s="444">
        <v>6879</v>
      </c>
      <c r="C445" s="444">
        <v>0</v>
      </c>
      <c r="D445" s="444">
        <v>0</v>
      </c>
      <c r="E445" s="444">
        <v>0</v>
      </c>
      <c r="F445" s="444"/>
      <c r="G445" s="444"/>
      <c r="H445" s="444"/>
      <c r="I445" s="444">
        <v>0</v>
      </c>
      <c r="J445" s="444">
        <v>0.27</v>
      </c>
      <c r="K445" s="444">
        <v>42718.59</v>
      </c>
      <c r="L445" s="444">
        <v>0</v>
      </c>
      <c r="M445" s="444">
        <v>0</v>
      </c>
      <c r="N445" s="444">
        <v>47.5</v>
      </c>
      <c r="O445" s="444">
        <v>42718.59</v>
      </c>
      <c r="P445" s="444">
        <v>0.93642798802069149</v>
      </c>
      <c r="Q445" s="437">
        <v>6</v>
      </c>
      <c r="R445" s="438">
        <v>1.4999999999999999E-2</v>
      </c>
      <c r="S445" s="439">
        <v>0</v>
      </c>
      <c r="T445" s="439"/>
      <c r="U445" s="439"/>
      <c r="V445" s="439"/>
      <c r="W445" s="439"/>
    </row>
    <row r="446" spans="1:23">
      <c r="A446" s="464">
        <v>44188</v>
      </c>
      <c r="B446" s="444">
        <v>6200</v>
      </c>
      <c r="C446" s="444">
        <v>0</v>
      </c>
      <c r="D446" s="444">
        <v>0</v>
      </c>
      <c r="E446" s="444">
        <v>0</v>
      </c>
      <c r="F446" s="444"/>
      <c r="G446" s="444"/>
      <c r="H446" s="444"/>
      <c r="I446" s="444">
        <v>0</v>
      </c>
      <c r="J446" s="444">
        <v>0.37</v>
      </c>
      <c r="K446" s="444">
        <v>38502</v>
      </c>
      <c r="L446" s="444">
        <v>0</v>
      </c>
      <c r="M446" s="444">
        <v>0</v>
      </c>
      <c r="N446" s="444">
        <v>48.5</v>
      </c>
      <c r="O446" s="444">
        <v>38502</v>
      </c>
      <c r="P446" s="444">
        <v>0.96498054474708173</v>
      </c>
      <c r="Q446" s="437">
        <v>6</v>
      </c>
      <c r="R446" s="438">
        <v>1.4999999999999999E-2</v>
      </c>
      <c r="S446" s="439">
        <v>0</v>
      </c>
      <c r="T446" s="439"/>
      <c r="U446" s="439"/>
      <c r="V446" s="439"/>
      <c r="W446" s="439"/>
    </row>
    <row r="447" spans="1:23">
      <c r="A447" s="464">
        <v>44189</v>
      </c>
      <c r="B447" s="444">
        <v>6936</v>
      </c>
      <c r="C447" s="444">
        <v>0</v>
      </c>
      <c r="D447" s="444">
        <v>0</v>
      </c>
      <c r="E447" s="444">
        <v>0</v>
      </c>
      <c r="F447" s="444"/>
      <c r="G447" s="444"/>
      <c r="H447" s="444"/>
      <c r="I447" s="444">
        <v>0</v>
      </c>
      <c r="J447" s="444">
        <v>0.25</v>
      </c>
      <c r="K447" s="444">
        <v>43072.56</v>
      </c>
      <c r="L447" s="444">
        <v>0</v>
      </c>
      <c r="M447" s="444">
        <v>0</v>
      </c>
      <c r="N447" s="444">
        <v>49.5</v>
      </c>
      <c r="O447" s="444">
        <v>43072.56</v>
      </c>
      <c r="P447" s="444">
        <v>0.97197309417040356</v>
      </c>
      <c r="Q447" s="437">
        <v>6</v>
      </c>
      <c r="R447" s="438">
        <v>1.4999999999999999E-2</v>
      </c>
      <c r="S447" s="439">
        <v>0</v>
      </c>
      <c r="T447" s="439"/>
      <c r="U447" s="439"/>
      <c r="V447" s="439"/>
      <c r="W447" s="439"/>
    </row>
    <row r="448" spans="1:23">
      <c r="A448" s="464">
        <v>44190</v>
      </c>
      <c r="B448" s="444">
        <v>6770</v>
      </c>
      <c r="C448" s="444">
        <v>0</v>
      </c>
      <c r="D448" s="444">
        <v>0</v>
      </c>
      <c r="E448" s="444">
        <v>0</v>
      </c>
      <c r="F448" s="444"/>
      <c r="G448" s="444"/>
      <c r="H448" s="444"/>
      <c r="I448" s="444">
        <v>0</v>
      </c>
      <c r="J448" s="444">
        <v>0.15</v>
      </c>
      <c r="K448" s="444">
        <v>42041.7</v>
      </c>
      <c r="L448" s="444">
        <v>0</v>
      </c>
      <c r="M448" s="444">
        <v>0</v>
      </c>
      <c r="N448" s="444">
        <v>50.5</v>
      </c>
      <c r="O448" s="444">
        <v>42041.7</v>
      </c>
      <c r="P448" s="444">
        <v>0.96797254789819842</v>
      </c>
      <c r="Q448" s="437">
        <v>6</v>
      </c>
      <c r="R448" s="438">
        <v>1.4999999999999999E-2</v>
      </c>
      <c r="S448" s="439">
        <v>0</v>
      </c>
      <c r="T448" s="439"/>
      <c r="U448" s="439"/>
      <c r="V448" s="439"/>
      <c r="W448" s="439"/>
    </row>
    <row r="449" spans="1:23">
      <c r="A449" s="464">
        <v>44191</v>
      </c>
      <c r="B449" s="444">
        <v>6483</v>
      </c>
      <c r="C449" s="444">
        <v>0</v>
      </c>
      <c r="D449" s="444">
        <v>0</v>
      </c>
      <c r="E449" s="444">
        <v>0</v>
      </c>
      <c r="F449" s="444"/>
      <c r="G449" s="444"/>
      <c r="H449" s="444"/>
      <c r="I449" s="444">
        <v>0</v>
      </c>
      <c r="J449" s="444"/>
      <c r="K449" s="444">
        <v>40259.43</v>
      </c>
      <c r="L449" s="444">
        <v>0</v>
      </c>
      <c r="M449" s="444">
        <v>0</v>
      </c>
      <c r="N449" s="444">
        <v>51.5</v>
      </c>
      <c r="O449" s="444">
        <v>40259.43</v>
      </c>
      <c r="P449" s="444">
        <v>0.96818996415770608</v>
      </c>
      <c r="Q449" s="437">
        <v>6</v>
      </c>
      <c r="R449" s="438">
        <v>1.4999999999999999E-2</v>
      </c>
      <c r="S449" s="439">
        <v>0</v>
      </c>
      <c r="T449" s="439"/>
      <c r="U449" s="439"/>
      <c r="V449" s="439"/>
      <c r="W449" s="439"/>
    </row>
    <row r="450" spans="1:23">
      <c r="A450" s="464">
        <v>44192</v>
      </c>
      <c r="B450" s="444">
        <v>6032</v>
      </c>
      <c r="C450" s="444">
        <v>0</v>
      </c>
      <c r="D450" s="444">
        <v>0</v>
      </c>
      <c r="E450" s="444">
        <v>0</v>
      </c>
      <c r="F450" s="444"/>
      <c r="G450" s="444"/>
      <c r="H450" s="444"/>
      <c r="I450" s="444">
        <v>0</v>
      </c>
      <c r="J450" s="444"/>
      <c r="K450" s="444">
        <v>37458.720000000001</v>
      </c>
      <c r="L450" s="444">
        <v>0</v>
      </c>
      <c r="M450" s="444">
        <v>0</v>
      </c>
      <c r="N450" s="444">
        <v>52.5</v>
      </c>
      <c r="O450" s="444">
        <v>37458.720000000001</v>
      </c>
      <c r="P450" s="444">
        <v>0.96096861558069147</v>
      </c>
      <c r="Q450" s="437">
        <v>0</v>
      </c>
      <c r="R450" s="438">
        <v>0</v>
      </c>
      <c r="S450" s="439">
        <v>0</v>
      </c>
      <c r="T450" s="439"/>
      <c r="U450" s="439"/>
      <c r="V450" s="439"/>
      <c r="W450" s="439" t="s">
        <v>267</v>
      </c>
    </row>
    <row r="451" spans="1:23">
      <c r="A451" s="464">
        <v>44192</v>
      </c>
      <c r="B451" s="444">
        <v>6437</v>
      </c>
      <c r="C451" s="444">
        <v>0</v>
      </c>
      <c r="D451" s="444">
        <v>0</v>
      </c>
      <c r="E451" s="444">
        <v>0</v>
      </c>
      <c r="F451" s="444"/>
      <c r="G451" s="444"/>
      <c r="H451" s="444"/>
      <c r="I451" s="444">
        <v>0</v>
      </c>
      <c r="J451" s="444"/>
      <c r="K451" s="444">
        <v>39973.769999999997</v>
      </c>
      <c r="L451" s="444">
        <v>0</v>
      </c>
      <c r="M451" s="444">
        <v>0</v>
      </c>
      <c r="N451" s="444">
        <v>53.5</v>
      </c>
      <c r="O451" s="444">
        <v>39973.769999999997</v>
      </c>
      <c r="P451" s="444">
        <v>0.96045956430916146</v>
      </c>
      <c r="Q451" s="437">
        <v>6</v>
      </c>
      <c r="R451" s="438">
        <v>1.4999999999999999E-2</v>
      </c>
      <c r="S451" s="439">
        <v>0</v>
      </c>
      <c r="T451" s="439"/>
      <c r="U451" s="439"/>
      <c r="V451" s="439"/>
      <c r="W451" s="439"/>
    </row>
    <row r="452" spans="1:23">
      <c r="A452" s="464">
        <v>44194</v>
      </c>
      <c r="B452" s="444">
        <v>6323</v>
      </c>
      <c r="C452" s="444">
        <v>0</v>
      </c>
      <c r="D452" s="444">
        <v>0</v>
      </c>
      <c r="E452" s="444">
        <v>0</v>
      </c>
      <c r="F452" s="444"/>
      <c r="G452" s="444"/>
      <c r="H452" s="444"/>
      <c r="I452" s="444">
        <v>0</v>
      </c>
      <c r="J452" s="444"/>
      <c r="K452" s="444">
        <v>39265.83</v>
      </c>
      <c r="L452" s="444">
        <v>0</v>
      </c>
      <c r="M452" s="444">
        <v>0</v>
      </c>
      <c r="N452" s="444">
        <v>54.5</v>
      </c>
      <c r="O452" s="444">
        <v>39265.83</v>
      </c>
      <c r="P452" s="444">
        <v>0.96978527607361964</v>
      </c>
      <c r="Q452" s="437">
        <v>6</v>
      </c>
      <c r="R452" s="438">
        <v>1.4999999999999999E-2</v>
      </c>
      <c r="S452" s="439">
        <v>0</v>
      </c>
      <c r="T452" s="439"/>
      <c r="U452" s="439"/>
      <c r="V452" s="439"/>
      <c r="W452" s="439"/>
    </row>
    <row r="453" spans="1:23">
      <c r="A453" s="464">
        <v>44195</v>
      </c>
      <c r="B453" s="444">
        <v>6427</v>
      </c>
      <c r="C453" s="444">
        <v>0</v>
      </c>
      <c r="D453" s="444">
        <v>0</v>
      </c>
      <c r="E453" s="444">
        <v>0</v>
      </c>
      <c r="F453" s="444"/>
      <c r="G453" s="444"/>
      <c r="H453" s="444"/>
      <c r="I453" s="444">
        <v>0</v>
      </c>
      <c r="J453" s="444"/>
      <c r="K453" s="444">
        <v>39911.67</v>
      </c>
      <c r="L453" s="444">
        <v>0</v>
      </c>
      <c r="M453" s="444">
        <v>0</v>
      </c>
      <c r="N453" s="444">
        <v>55.5</v>
      </c>
      <c r="O453" s="444">
        <v>39911.67</v>
      </c>
      <c r="P453" s="444">
        <v>1.0006227619492449</v>
      </c>
      <c r="Q453" s="437">
        <v>6</v>
      </c>
      <c r="R453" s="438">
        <v>1.4999999999999999E-2</v>
      </c>
      <c r="S453" s="439">
        <v>0</v>
      </c>
      <c r="T453" s="439"/>
      <c r="U453" s="439"/>
      <c r="V453" s="439"/>
      <c r="W453" s="439"/>
    </row>
    <row r="454" spans="1:23">
      <c r="A454" s="464">
        <v>44196</v>
      </c>
      <c r="B454" s="444">
        <v>6877</v>
      </c>
      <c r="C454" s="444">
        <v>-16809</v>
      </c>
      <c r="D454" s="444">
        <v>40</v>
      </c>
      <c r="E454" s="444">
        <v>103</v>
      </c>
      <c r="F454" s="444"/>
      <c r="G454" s="444"/>
      <c r="H454" s="444"/>
      <c r="I454" s="444">
        <v>190</v>
      </c>
      <c r="J454" s="444"/>
      <c r="K454" s="444">
        <v>42706.17</v>
      </c>
      <c r="L454" s="444">
        <v>-901802.85</v>
      </c>
      <c r="M454" s="444">
        <v>1360</v>
      </c>
      <c r="N454" s="444">
        <v>56.5</v>
      </c>
      <c r="O454" s="444">
        <v>-857736.67999999993</v>
      </c>
      <c r="P454" s="444">
        <v>0.93807120447415082</v>
      </c>
      <c r="Q454" s="437">
        <v>6</v>
      </c>
      <c r="R454" s="438">
        <v>1.4999999999999999E-2</v>
      </c>
      <c r="S454" s="439">
        <v>0</v>
      </c>
      <c r="T454" s="439"/>
      <c r="U454" s="439"/>
      <c r="V454" s="439"/>
      <c r="W454" s="439"/>
    </row>
    <row r="455" spans="1:23">
      <c r="A455" s="571" t="s">
        <v>161</v>
      </c>
      <c r="B455" s="572">
        <v>5328048</v>
      </c>
      <c r="C455" s="572">
        <v>-16809</v>
      </c>
      <c r="D455" s="572">
        <v>40</v>
      </c>
      <c r="E455" s="572"/>
      <c r="F455" s="572"/>
      <c r="G455" s="572"/>
      <c r="H455" s="572"/>
      <c r="I455" s="572"/>
      <c r="J455" s="573"/>
      <c r="K455" s="572">
        <v>33087178.079999998</v>
      </c>
      <c r="L455" s="572">
        <v>-901802.85</v>
      </c>
      <c r="M455" s="572">
        <v>1360</v>
      </c>
      <c r="N455" s="572"/>
      <c r="O455" s="572">
        <v>33044471.909999996</v>
      </c>
      <c r="P455" s="572"/>
      <c r="Q455" s="568"/>
      <c r="R455" s="569"/>
      <c r="S455" s="570"/>
      <c r="T455" s="570"/>
      <c r="U455" s="570"/>
      <c r="V455" s="570"/>
      <c r="W455" s="570"/>
    </row>
    <row r="457" spans="1:23" ht="21">
      <c r="A457" s="539" t="s">
        <v>14</v>
      </c>
      <c r="B457" s="539" t="s">
        <v>145</v>
      </c>
      <c r="C457" s="539"/>
      <c r="D457" s="539"/>
      <c r="E457" s="539"/>
      <c r="F457" s="539"/>
      <c r="G457" s="539"/>
      <c r="H457" s="539"/>
      <c r="I457" s="539"/>
      <c r="J457" s="539"/>
      <c r="K457" s="539" t="s">
        <v>146</v>
      </c>
      <c r="L457" s="539"/>
      <c r="M457" s="539"/>
      <c r="N457" s="539" t="s">
        <v>147</v>
      </c>
      <c r="O457" s="540" t="s">
        <v>148</v>
      </c>
      <c r="P457" s="541" t="s">
        <v>175</v>
      </c>
      <c r="Q457" s="540" t="s">
        <v>149</v>
      </c>
      <c r="R457" s="540" t="s">
        <v>150</v>
      </c>
      <c r="S457" s="542" t="s">
        <v>165</v>
      </c>
      <c r="T457" s="542"/>
      <c r="U457" s="542"/>
      <c r="V457" s="542"/>
      <c r="W457" s="542" t="s">
        <v>176</v>
      </c>
    </row>
    <row r="458" spans="1:23">
      <c r="A458" s="539"/>
      <c r="B458" s="539" t="s">
        <v>156</v>
      </c>
      <c r="C458" s="539" t="s">
        <v>157</v>
      </c>
      <c r="D458" s="539" t="s">
        <v>158</v>
      </c>
      <c r="E458" s="539" t="s">
        <v>268</v>
      </c>
      <c r="F458" s="539"/>
      <c r="G458" s="539"/>
      <c r="H458" s="539"/>
      <c r="I458" s="539" t="s">
        <v>269</v>
      </c>
      <c r="J458" s="539"/>
      <c r="K458" s="539" t="s">
        <v>156</v>
      </c>
      <c r="L458" s="539" t="s">
        <v>157</v>
      </c>
      <c r="M458" s="539" t="s">
        <v>158</v>
      </c>
      <c r="N458" s="539"/>
      <c r="O458" s="540"/>
      <c r="P458" s="543"/>
      <c r="Q458" s="540"/>
      <c r="R458" s="540"/>
      <c r="S458" s="542"/>
      <c r="T458" s="542"/>
      <c r="U458" s="542"/>
      <c r="V458" s="542"/>
      <c r="W458" s="542"/>
    </row>
    <row r="459" spans="1:23">
      <c r="A459" s="544">
        <v>44197</v>
      </c>
      <c r="B459" s="545">
        <v>6208</v>
      </c>
      <c r="C459" s="545">
        <v>107.75</v>
      </c>
      <c r="D459" s="545">
        <v>0</v>
      </c>
      <c r="E459" s="545">
        <v>55</v>
      </c>
      <c r="F459" s="545"/>
      <c r="G459" s="545"/>
      <c r="H459" s="545"/>
      <c r="I459" s="546">
        <v>380</v>
      </c>
      <c r="J459" s="547">
        <v>0.4</v>
      </c>
      <c r="K459" s="545">
        <v>38551.68</v>
      </c>
      <c r="L459" s="545">
        <v>5780.7874999999995</v>
      </c>
      <c r="M459" s="545">
        <v>0</v>
      </c>
      <c r="N459" s="548">
        <v>26.5</v>
      </c>
      <c r="O459" s="549">
        <v>44332.467499999999</v>
      </c>
      <c r="P459" s="550">
        <v>0.96517412935323388</v>
      </c>
      <c r="Q459" s="551">
        <v>6</v>
      </c>
      <c r="R459" s="552">
        <v>1.4999999999999999E-2</v>
      </c>
      <c r="S459" s="553">
        <v>0</v>
      </c>
      <c r="T459" s="553"/>
      <c r="U459" s="553"/>
      <c r="V459" s="553"/>
      <c r="W459" s="554"/>
    </row>
    <row r="460" spans="1:23">
      <c r="A460" s="544">
        <v>44198</v>
      </c>
      <c r="B460" s="545">
        <v>6447</v>
      </c>
      <c r="C460" s="545">
        <v>0</v>
      </c>
      <c r="D460" s="545">
        <v>30</v>
      </c>
      <c r="E460" s="545">
        <v>25</v>
      </c>
      <c r="F460" s="545"/>
      <c r="G460" s="545"/>
      <c r="H460" s="545"/>
      <c r="I460" s="546">
        <v>400</v>
      </c>
      <c r="J460" s="555">
        <v>0.45</v>
      </c>
      <c r="K460" s="545">
        <v>40035.870000000003</v>
      </c>
      <c r="L460" s="545">
        <v>0</v>
      </c>
      <c r="M460" s="545">
        <v>1020</v>
      </c>
      <c r="N460" s="548">
        <v>27.5</v>
      </c>
      <c r="O460" s="549">
        <v>41055.870000000003</v>
      </c>
      <c r="P460" s="550">
        <v>0.97137260810607207</v>
      </c>
      <c r="Q460" s="551">
        <v>6</v>
      </c>
      <c r="R460" s="552">
        <v>1.4999999999999999E-2</v>
      </c>
      <c r="S460" s="553">
        <v>0</v>
      </c>
      <c r="T460" s="553"/>
      <c r="U460" s="553"/>
      <c r="V460" s="553"/>
      <c r="W460" s="554"/>
    </row>
    <row r="461" spans="1:23">
      <c r="A461" s="544">
        <v>44199</v>
      </c>
      <c r="B461" s="545">
        <v>6756</v>
      </c>
      <c r="C461" s="545">
        <v>0</v>
      </c>
      <c r="D461" s="545">
        <v>30</v>
      </c>
      <c r="E461" s="545">
        <v>24</v>
      </c>
      <c r="F461" s="545"/>
      <c r="G461" s="545"/>
      <c r="H461" s="545"/>
      <c r="I461" s="546">
        <v>400</v>
      </c>
      <c r="J461" s="555">
        <v>0.44</v>
      </c>
      <c r="K461" s="545">
        <v>41954.76</v>
      </c>
      <c r="L461" s="545">
        <v>0</v>
      </c>
      <c r="M461" s="545">
        <v>1020</v>
      </c>
      <c r="N461" s="548">
        <v>28.5</v>
      </c>
      <c r="O461" s="549">
        <v>42974.76</v>
      </c>
      <c r="P461" s="550">
        <v>0.97587750975010834</v>
      </c>
      <c r="Q461" s="551">
        <v>6</v>
      </c>
      <c r="R461" s="552">
        <v>1.4999999999999999E-2</v>
      </c>
      <c r="S461" s="553">
        <v>0</v>
      </c>
      <c r="T461" s="553"/>
      <c r="U461" s="553"/>
      <c r="V461" s="553"/>
      <c r="W461" s="554"/>
    </row>
    <row r="462" spans="1:23">
      <c r="A462" s="544">
        <v>44200</v>
      </c>
      <c r="B462" s="545">
        <v>6215</v>
      </c>
      <c r="C462" s="545">
        <v>107.75</v>
      </c>
      <c r="D462" s="545">
        <v>20</v>
      </c>
      <c r="E462" s="545">
        <v>64</v>
      </c>
      <c r="F462" s="545"/>
      <c r="G462" s="545"/>
      <c r="H462" s="545"/>
      <c r="I462" s="546">
        <v>400</v>
      </c>
      <c r="J462" s="555">
        <v>0.46</v>
      </c>
      <c r="K462" s="545">
        <v>38595.15</v>
      </c>
      <c r="L462" s="545">
        <v>5780.7874999999995</v>
      </c>
      <c r="M462" s="545">
        <v>680</v>
      </c>
      <c r="N462" s="548">
        <v>29.5</v>
      </c>
      <c r="O462" s="549">
        <v>45055.9375</v>
      </c>
      <c r="P462" s="550">
        <v>0.96103293644657495</v>
      </c>
      <c r="Q462" s="551">
        <v>6</v>
      </c>
      <c r="R462" s="552">
        <v>1.4999999999999999E-2</v>
      </c>
      <c r="S462" s="553">
        <v>0</v>
      </c>
      <c r="T462" s="553"/>
      <c r="U462" s="553"/>
      <c r="V462" s="553"/>
      <c r="W462" s="554"/>
    </row>
    <row r="463" spans="1:23">
      <c r="A463" s="544">
        <v>44201</v>
      </c>
      <c r="B463" s="545">
        <v>6385</v>
      </c>
      <c r="C463" s="545">
        <v>0</v>
      </c>
      <c r="D463" s="545">
        <v>60</v>
      </c>
      <c r="E463" s="545">
        <v>37</v>
      </c>
      <c r="F463" s="545"/>
      <c r="G463" s="545"/>
      <c r="H463" s="545"/>
      <c r="I463" s="546">
        <v>400</v>
      </c>
      <c r="J463" s="555">
        <v>0.46</v>
      </c>
      <c r="K463" s="545">
        <v>39650.85</v>
      </c>
      <c r="L463" s="545">
        <v>0</v>
      </c>
      <c r="M463" s="545">
        <v>2040</v>
      </c>
      <c r="N463" s="548">
        <v>30.5</v>
      </c>
      <c r="O463" s="549">
        <v>41690.85</v>
      </c>
      <c r="P463" s="550">
        <v>0.97600122286762458</v>
      </c>
      <c r="Q463" s="551">
        <v>6</v>
      </c>
      <c r="R463" s="552">
        <v>1.4999999999999999E-2</v>
      </c>
      <c r="S463" s="553">
        <v>0</v>
      </c>
      <c r="T463" s="553"/>
      <c r="U463" s="553"/>
      <c r="V463" s="553"/>
      <c r="W463" s="554" t="s">
        <v>270</v>
      </c>
    </row>
    <row r="464" spans="1:23">
      <c r="A464" s="544">
        <v>44202</v>
      </c>
      <c r="B464" s="545">
        <v>7202</v>
      </c>
      <c r="C464" s="545">
        <v>0</v>
      </c>
      <c r="D464" s="545">
        <v>30</v>
      </c>
      <c r="E464" s="545">
        <v>30</v>
      </c>
      <c r="F464" s="545"/>
      <c r="G464" s="545"/>
      <c r="H464" s="545"/>
      <c r="I464" s="546">
        <v>400</v>
      </c>
      <c r="J464" s="555">
        <v>0.46</v>
      </c>
      <c r="K464" s="545">
        <v>44724.42</v>
      </c>
      <c r="L464" s="545">
        <v>0</v>
      </c>
      <c r="M464" s="545">
        <v>1020</v>
      </c>
      <c r="N464" s="548">
        <v>31.5</v>
      </c>
      <c r="O464" s="549">
        <v>45744.42</v>
      </c>
      <c r="P464" s="550">
        <v>0.96905274488697524</v>
      </c>
      <c r="Q464" s="551">
        <v>6</v>
      </c>
      <c r="R464" s="552">
        <v>1.4999999999999999E-2</v>
      </c>
      <c r="S464" s="553">
        <v>0</v>
      </c>
      <c r="T464" s="553"/>
      <c r="U464" s="553"/>
      <c r="V464" s="553"/>
      <c r="W464" s="554" t="s">
        <v>271</v>
      </c>
    </row>
    <row r="465" spans="1:23">
      <c r="A465" s="544">
        <v>44203</v>
      </c>
      <c r="B465" s="545">
        <v>6934</v>
      </c>
      <c r="C465" s="545">
        <v>0</v>
      </c>
      <c r="D465" s="545">
        <v>140</v>
      </c>
      <c r="E465" s="545">
        <v>119</v>
      </c>
      <c r="F465" s="545"/>
      <c r="G465" s="545"/>
      <c r="H465" s="545"/>
      <c r="I465" s="546">
        <v>352</v>
      </c>
      <c r="J465" s="555">
        <v>0.46</v>
      </c>
      <c r="K465" s="545">
        <v>43060.14</v>
      </c>
      <c r="L465" s="545">
        <v>0</v>
      </c>
      <c r="M465" s="545">
        <v>4760</v>
      </c>
      <c r="N465" s="548">
        <v>32.5</v>
      </c>
      <c r="O465" s="549">
        <v>47820.14</v>
      </c>
      <c r="P465" s="550">
        <v>0.96992586375716883</v>
      </c>
      <c r="Q465" s="551">
        <v>6</v>
      </c>
      <c r="R465" s="552">
        <v>1.4999999999999999E-2</v>
      </c>
      <c r="S465" s="553">
        <v>0</v>
      </c>
      <c r="T465" s="553"/>
      <c r="U465" s="553"/>
      <c r="V465" s="553"/>
      <c r="W465" s="554" t="s">
        <v>272</v>
      </c>
    </row>
    <row r="466" spans="1:23">
      <c r="A466" s="544">
        <v>44204</v>
      </c>
      <c r="B466" s="545">
        <v>6837</v>
      </c>
      <c r="C466" s="545">
        <v>107.75</v>
      </c>
      <c r="D466" s="545">
        <v>210</v>
      </c>
      <c r="E466" s="545">
        <v>119</v>
      </c>
      <c r="F466" s="545"/>
      <c r="G466" s="545"/>
      <c r="H466" s="545"/>
      <c r="I466" s="546">
        <v>352</v>
      </c>
      <c r="J466" s="555">
        <v>0.5</v>
      </c>
      <c r="K466" s="545">
        <v>42457.77</v>
      </c>
      <c r="L466" s="545">
        <v>5780.7874999999995</v>
      </c>
      <c r="M466" s="545">
        <v>7140</v>
      </c>
      <c r="N466" s="548">
        <v>33.5</v>
      </c>
      <c r="O466" s="549">
        <v>55378.557499999995</v>
      </c>
      <c r="P466" s="550">
        <v>0.97337699316628701</v>
      </c>
      <c r="Q466" s="551">
        <v>6</v>
      </c>
      <c r="R466" s="552">
        <v>1.4999999999999999E-2</v>
      </c>
      <c r="S466" s="553">
        <v>0</v>
      </c>
      <c r="T466" s="553"/>
      <c r="U466" s="553"/>
      <c r="V466" s="553"/>
      <c r="W466" s="554" t="s">
        <v>273</v>
      </c>
    </row>
    <row r="467" spans="1:23">
      <c r="A467" s="544">
        <v>44205</v>
      </c>
      <c r="B467" s="545">
        <v>7293</v>
      </c>
      <c r="C467" s="545">
        <v>0</v>
      </c>
      <c r="D467" s="545">
        <v>30</v>
      </c>
      <c r="E467" s="545">
        <v>94</v>
      </c>
      <c r="F467" s="545"/>
      <c r="G467" s="545"/>
      <c r="H467" s="545"/>
      <c r="I467" s="546">
        <v>348</v>
      </c>
      <c r="J467" s="555">
        <v>0.5</v>
      </c>
      <c r="K467" s="545">
        <v>45289.53</v>
      </c>
      <c r="L467" s="545">
        <v>0</v>
      </c>
      <c r="M467" s="545">
        <v>1020</v>
      </c>
      <c r="N467" s="548">
        <v>34.5</v>
      </c>
      <c r="O467" s="549">
        <v>46309.53</v>
      </c>
      <c r="P467" s="550">
        <v>0.96634424274546182</v>
      </c>
      <c r="Q467" s="551">
        <v>6</v>
      </c>
      <c r="R467" s="552">
        <v>1.4999999999999999E-2</v>
      </c>
      <c r="S467" s="553">
        <v>0</v>
      </c>
      <c r="T467" s="553"/>
      <c r="U467" s="553"/>
      <c r="V467" s="553"/>
      <c r="W467" s="554"/>
    </row>
    <row r="468" spans="1:23">
      <c r="A468" s="544">
        <v>44206</v>
      </c>
      <c r="B468" s="545">
        <v>6424</v>
      </c>
      <c r="C468" s="545">
        <v>107.75</v>
      </c>
      <c r="D468" s="545">
        <v>10</v>
      </c>
      <c r="E468" s="545">
        <v>59</v>
      </c>
      <c r="F468" s="545"/>
      <c r="G468" s="545"/>
      <c r="H468" s="545"/>
      <c r="I468" s="546">
        <v>360</v>
      </c>
      <c r="J468" s="555">
        <v>0.43</v>
      </c>
      <c r="K468" s="545">
        <v>39893.040000000001</v>
      </c>
      <c r="L468" s="545">
        <v>5780.7874999999995</v>
      </c>
      <c r="M468" s="545">
        <v>340</v>
      </c>
      <c r="N468" s="548">
        <v>35.5</v>
      </c>
      <c r="O468" s="549">
        <v>46013.827499999999</v>
      </c>
      <c r="P468" s="550">
        <v>0.95001478852410526</v>
      </c>
      <c r="Q468" s="551">
        <v>6</v>
      </c>
      <c r="R468" s="552">
        <v>1.4999999999999999E-2</v>
      </c>
      <c r="S468" s="553">
        <v>0</v>
      </c>
      <c r="T468" s="553"/>
      <c r="U468" s="553"/>
      <c r="V468" s="553"/>
      <c r="W468" s="554"/>
    </row>
    <row r="469" spans="1:23">
      <c r="A469" s="544">
        <v>44207</v>
      </c>
      <c r="B469" s="545">
        <v>6920</v>
      </c>
      <c r="C469" s="545">
        <v>107.75</v>
      </c>
      <c r="D469" s="545">
        <v>180</v>
      </c>
      <c r="E469" s="545">
        <v>22</v>
      </c>
      <c r="F469" s="545"/>
      <c r="G469" s="545"/>
      <c r="H469" s="545"/>
      <c r="I469" s="546">
        <v>340</v>
      </c>
      <c r="J469" s="555">
        <v>0.46</v>
      </c>
      <c r="K469" s="545">
        <v>42973.2</v>
      </c>
      <c r="L469" s="545">
        <v>5780.7874999999995</v>
      </c>
      <c r="M469" s="545">
        <v>6120</v>
      </c>
      <c r="N469" s="548">
        <v>36.5</v>
      </c>
      <c r="O469" s="549">
        <v>54873.987499999996</v>
      </c>
      <c r="P469" s="550">
        <v>0.96004439511653716</v>
      </c>
      <c r="Q469" s="551">
        <v>6</v>
      </c>
      <c r="R469" s="552">
        <v>1.4999999999999999E-2</v>
      </c>
      <c r="S469" s="553">
        <v>0</v>
      </c>
      <c r="T469" s="553"/>
      <c r="U469" s="553"/>
      <c r="V469" s="553"/>
      <c r="W469" s="554" t="s">
        <v>274</v>
      </c>
    </row>
    <row r="470" spans="1:23">
      <c r="A470" s="544">
        <v>44208</v>
      </c>
      <c r="B470" s="545">
        <v>7546</v>
      </c>
      <c r="C470" s="545">
        <v>107.75</v>
      </c>
      <c r="D470" s="545">
        <v>70</v>
      </c>
      <c r="E470" s="545">
        <v>87</v>
      </c>
      <c r="F470" s="545"/>
      <c r="G470" s="545"/>
      <c r="H470" s="545"/>
      <c r="I470" s="546">
        <v>392</v>
      </c>
      <c r="J470" s="555">
        <v>0.41</v>
      </c>
      <c r="K470" s="545">
        <v>46860.659999999996</v>
      </c>
      <c r="L470" s="545">
        <v>5780.7874999999995</v>
      </c>
      <c r="M470" s="545">
        <v>2380</v>
      </c>
      <c r="N470" s="548">
        <v>37.5</v>
      </c>
      <c r="O470" s="549">
        <v>55021.447499999995</v>
      </c>
      <c r="P470" s="550">
        <v>0.97304964539007088</v>
      </c>
      <c r="Q470" s="551">
        <v>6</v>
      </c>
      <c r="R470" s="552">
        <v>1.4999999999999999E-2</v>
      </c>
      <c r="S470" s="553">
        <v>0</v>
      </c>
      <c r="T470" s="553"/>
      <c r="U470" s="553"/>
      <c r="V470" s="553"/>
      <c r="W470" s="556" t="s">
        <v>275</v>
      </c>
    </row>
    <row r="471" spans="1:23">
      <c r="A471" s="557">
        <v>44209</v>
      </c>
      <c r="B471" s="546">
        <v>6368</v>
      </c>
      <c r="C471" s="545">
        <v>0</v>
      </c>
      <c r="D471" s="546">
        <v>20</v>
      </c>
      <c r="E471" s="545">
        <v>150</v>
      </c>
      <c r="F471" s="545"/>
      <c r="G471" s="545"/>
      <c r="H471" s="545"/>
      <c r="I471" s="546">
        <v>348</v>
      </c>
      <c r="J471" s="555">
        <v>0.45</v>
      </c>
      <c r="K471" s="546">
        <v>39545.279999999999</v>
      </c>
      <c r="L471" s="545">
        <v>0</v>
      </c>
      <c r="M471" s="546">
        <v>680</v>
      </c>
      <c r="N471" s="547">
        <v>38.5</v>
      </c>
      <c r="O471" s="558">
        <v>40225.279999999999</v>
      </c>
      <c r="P471" s="559">
        <v>0.95172619937229119</v>
      </c>
      <c r="Q471" s="560">
        <v>6</v>
      </c>
      <c r="R471" s="561">
        <v>1.4999999999999999E-2</v>
      </c>
      <c r="S471" s="562">
        <v>0</v>
      </c>
      <c r="T471" s="562"/>
      <c r="U471" s="562"/>
      <c r="V471" s="562"/>
      <c r="W471" s="556"/>
    </row>
    <row r="472" spans="1:23">
      <c r="A472" s="557">
        <v>44210</v>
      </c>
      <c r="B472" s="546">
        <v>6433</v>
      </c>
      <c r="C472" s="545">
        <v>107.75</v>
      </c>
      <c r="D472" s="546">
        <v>40</v>
      </c>
      <c r="E472" s="545">
        <v>36</v>
      </c>
      <c r="F472" s="545"/>
      <c r="G472" s="545"/>
      <c r="H472" s="545"/>
      <c r="I472" s="546">
        <v>400</v>
      </c>
      <c r="J472" s="555">
        <v>0.4</v>
      </c>
      <c r="K472" s="546">
        <v>39948.93</v>
      </c>
      <c r="L472" s="545">
        <v>5780.7874999999995</v>
      </c>
      <c r="M472" s="546">
        <v>1360</v>
      </c>
      <c r="N472" s="547">
        <v>39.5</v>
      </c>
      <c r="O472" s="558">
        <v>47089.717499999999</v>
      </c>
      <c r="P472" s="559">
        <v>0.96882530120481924</v>
      </c>
      <c r="Q472" s="560">
        <v>6</v>
      </c>
      <c r="R472" s="561">
        <v>1.4999999999999999E-2</v>
      </c>
      <c r="S472" s="562">
        <v>0</v>
      </c>
      <c r="T472" s="562"/>
      <c r="U472" s="562"/>
      <c r="V472" s="562"/>
      <c r="W472" s="556" t="s">
        <v>276</v>
      </c>
    </row>
    <row r="473" spans="1:23">
      <c r="A473" s="557">
        <v>44211</v>
      </c>
      <c r="B473" s="545">
        <v>3914</v>
      </c>
      <c r="C473" s="545">
        <v>107.75</v>
      </c>
      <c r="D473" s="545">
        <v>30</v>
      </c>
      <c r="E473" s="545">
        <v>34</v>
      </c>
      <c r="F473" s="545"/>
      <c r="G473" s="545"/>
      <c r="H473" s="545"/>
      <c r="I473" s="546">
        <v>392</v>
      </c>
      <c r="J473" s="555">
        <v>0.44</v>
      </c>
      <c r="K473" s="545">
        <v>24305.94</v>
      </c>
      <c r="L473" s="545">
        <v>5780.7874999999995</v>
      </c>
      <c r="M473" s="545">
        <v>1020</v>
      </c>
      <c r="N473" s="548">
        <v>40.5</v>
      </c>
      <c r="O473" s="549">
        <v>31106.727499999997</v>
      </c>
      <c r="P473" s="550">
        <v>0.97996995493239858</v>
      </c>
      <c r="Q473" s="551">
        <v>6</v>
      </c>
      <c r="R473" s="552">
        <v>1.4999999999999999E-2</v>
      </c>
      <c r="S473" s="553">
        <v>0</v>
      </c>
      <c r="T473" s="553"/>
      <c r="U473" s="553"/>
      <c r="V473" s="553"/>
      <c r="W473" s="556" t="s">
        <v>277</v>
      </c>
    </row>
    <row r="474" spans="1:23">
      <c r="A474" s="557">
        <v>44212</v>
      </c>
      <c r="B474" s="545">
        <v>7091</v>
      </c>
      <c r="C474" s="545">
        <v>0</v>
      </c>
      <c r="D474" s="545">
        <v>10</v>
      </c>
      <c r="E474" s="545">
        <v>33</v>
      </c>
      <c r="F474" s="545"/>
      <c r="G474" s="545"/>
      <c r="H474" s="545"/>
      <c r="I474" s="546">
        <v>360</v>
      </c>
      <c r="J474" s="555">
        <v>0.37</v>
      </c>
      <c r="K474" s="545">
        <v>44035.11</v>
      </c>
      <c r="L474" s="545">
        <v>0</v>
      </c>
      <c r="M474" s="545">
        <v>340</v>
      </c>
      <c r="N474" s="548">
        <v>41.5</v>
      </c>
      <c r="O474" s="549">
        <v>44375.11</v>
      </c>
      <c r="P474" s="550">
        <v>0.96620793023572693</v>
      </c>
      <c r="Q474" s="551">
        <v>6</v>
      </c>
      <c r="R474" s="552">
        <v>1.4999999999999999E-2</v>
      </c>
      <c r="S474" s="553">
        <v>0</v>
      </c>
      <c r="T474" s="553"/>
      <c r="U474" s="553"/>
      <c r="V474" s="553"/>
      <c r="W474" s="556"/>
    </row>
    <row r="475" spans="1:23">
      <c r="A475" s="557">
        <v>44213</v>
      </c>
      <c r="B475" s="545">
        <v>6961</v>
      </c>
      <c r="C475" s="545">
        <v>0</v>
      </c>
      <c r="D475" s="545">
        <v>90</v>
      </c>
      <c r="E475" s="545">
        <v>75</v>
      </c>
      <c r="F475" s="545"/>
      <c r="G475" s="545"/>
      <c r="H475" s="545"/>
      <c r="I475" s="546">
        <v>400</v>
      </c>
      <c r="J475" s="555">
        <v>0.3</v>
      </c>
      <c r="K475" s="545">
        <v>43227.81</v>
      </c>
      <c r="L475" s="545">
        <v>0</v>
      </c>
      <c r="M475" s="545">
        <v>3060</v>
      </c>
      <c r="N475" s="548">
        <v>42.5</v>
      </c>
      <c r="O475" s="549">
        <v>46287.81</v>
      </c>
      <c r="P475" s="550">
        <v>0.97835558678847501</v>
      </c>
      <c r="Q475" s="551">
        <v>6</v>
      </c>
      <c r="R475" s="552">
        <v>1.4999999999999999E-2</v>
      </c>
      <c r="S475" s="553">
        <v>0</v>
      </c>
      <c r="T475" s="553"/>
      <c r="U475" s="553"/>
      <c r="V475" s="553"/>
      <c r="W475" s="554" t="s">
        <v>278</v>
      </c>
    </row>
    <row r="476" spans="1:23">
      <c r="A476" s="557">
        <v>44214</v>
      </c>
      <c r="B476" s="546">
        <v>7671</v>
      </c>
      <c r="C476" s="545">
        <v>0</v>
      </c>
      <c r="D476" s="546">
        <v>50</v>
      </c>
      <c r="E476" s="545">
        <v>45</v>
      </c>
      <c r="F476" s="545"/>
      <c r="G476" s="545"/>
      <c r="H476" s="545"/>
      <c r="I476" s="546">
        <v>400</v>
      </c>
      <c r="J476" s="555">
        <v>0.25</v>
      </c>
      <c r="K476" s="546">
        <v>47636.909999999996</v>
      </c>
      <c r="L476" s="545">
        <v>0</v>
      </c>
      <c r="M476" s="546">
        <v>1700</v>
      </c>
      <c r="N476" s="547">
        <v>43.5</v>
      </c>
      <c r="O476" s="558">
        <v>49336.909999999996</v>
      </c>
      <c r="P476" s="559">
        <v>0.97298325722983259</v>
      </c>
      <c r="Q476" s="560">
        <v>6</v>
      </c>
      <c r="R476" s="561">
        <v>1.4999999999999999E-2</v>
      </c>
      <c r="S476" s="562">
        <v>0</v>
      </c>
      <c r="T476" s="562"/>
      <c r="U476" s="562"/>
      <c r="V476" s="562"/>
      <c r="W476" s="556"/>
    </row>
    <row r="477" spans="1:23">
      <c r="A477" s="557">
        <v>44215</v>
      </c>
      <c r="B477" s="545">
        <v>7397</v>
      </c>
      <c r="C477" s="545">
        <v>107.75</v>
      </c>
      <c r="D477" s="545">
        <v>20</v>
      </c>
      <c r="E477" s="545">
        <v>35</v>
      </c>
      <c r="F477" s="545"/>
      <c r="G477" s="545"/>
      <c r="H477" s="545"/>
      <c r="I477" s="545">
        <v>380</v>
      </c>
      <c r="J477" s="545">
        <v>0.16</v>
      </c>
      <c r="K477" s="545">
        <v>45935.37</v>
      </c>
      <c r="L477" s="545">
        <v>5780.7874999999995</v>
      </c>
      <c r="M477" s="545">
        <v>680</v>
      </c>
      <c r="N477" s="545">
        <v>44.5</v>
      </c>
      <c r="O477" s="545">
        <v>52396.157500000001</v>
      </c>
      <c r="P477" s="545">
        <v>0.96984397535072764</v>
      </c>
      <c r="Q477" s="560">
        <v>6</v>
      </c>
      <c r="R477" s="561">
        <v>1.4999999999999999E-2</v>
      </c>
      <c r="S477" s="562">
        <v>0</v>
      </c>
      <c r="T477" s="562"/>
      <c r="U477" s="562"/>
      <c r="V477" s="562"/>
      <c r="W477" s="556" t="s">
        <v>279</v>
      </c>
    </row>
    <row r="478" spans="1:23">
      <c r="A478" s="557">
        <v>44216</v>
      </c>
      <c r="B478" s="545">
        <v>7945</v>
      </c>
      <c r="C478" s="545">
        <v>0</v>
      </c>
      <c r="D478" s="545">
        <v>40</v>
      </c>
      <c r="E478" s="545">
        <v>46</v>
      </c>
      <c r="F478" s="545"/>
      <c r="G478" s="545"/>
      <c r="H478" s="545"/>
      <c r="I478" s="545">
        <v>400</v>
      </c>
      <c r="J478" s="545">
        <v>0.27</v>
      </c>
      <c r="K478" s="545">
        <v>49338.45</v>
      </c>
      <c r="L478" s="545">
        <v>0</v>
      </c>
      <c r="M478" s="545">
        <v>1360</v>
      </c>
      <c r="N478" s="545">
        <v>45.5</v>
      </c>
      <c r="O478" s="545">
        <v>50698.45</v>
      </c>
      <c r="P478" s="545">
        <v>0.97965474722564738</v>
      </c>
      <c r="Q478" s="560">
        <v>6</v>
      </c>
      <c r="R478" s="561">
        <v>1.4999999999999999E-2</v>
      </c>
      <c r="S478" s="562">
        <v>0</v>
      </c>
      <c r="T478" s="562"/>
      <c r="U478" s="562"/>
      <c r="V478" s="562"/>
      <c r="W478" s="463"/>
    </row>
    <row r="479" spans="1:23">
      <c r="A479" s="557">
        <v>44217</v>
      </c>
      <c r="B479" s="545">
        <v>8140</v>
      </c>
      <c r="C479" s="545">
        <v>107.75</v>
      </c>
      <c r="D479" s="545">
        <v>30</v>
      </c>
      <c r="E479" s="545">
        <v>56</v>
      </c>
      <c r="F479" s="545"/>
      <c r="G479" s="545"/>
      <c r="H479" s="545"/>
      <c r="I479" s="545">
        <v>400</v>
      </c>
      <c r="J479" s="545">
        <v>0.27</v>
      </c>
      <c r="K479" s="545">
        <v>50549.4</v>
      </c>
      <c r="L479" s="545">
        <v>5780.7874999999995</v>
      </c>
      <c r="M479" s="545">
        <v>1020</v>
      </c>
      <c r="N479" s="545">
        <v>46.5</v>
      </c>
      <c r="O479" s="545">
        <v>57350.1875</v>
      </c>
      <c r="P479" s="545">
        <v>0.97194029850746266</v>
      </c>
      <c r="Q479" s="560">
        <v>6</v>
      </c>
      <c r="R479" s="561">
        <v>1.4999999999999999E-2</v>
      </c>
      <c r="S479" s="562">
        <v>0</v>
      </c>
      <c r="T479" s="562"/>
      <c r="U479" s="562"/>
      <c r="V479" s="562"/>
      <c r="W479" s="463"/>
    </row>
    <row r="480" spans="1:23">
      <c r="A480" s="557">
        <v>44218</v>
      </c>
      <c r="B480" s="546">
        <v>6356</v>
      </c>
      <c r="C480" s="545">
        <v>0</v>
      </c>
      <c r="D480" s="546">
        <v>30</v>
      </c>
      <c r="E480" s="545">
        <v>50</v>
      </c>
      <c r="F480" s="545"/>
      <c r="G480" s="545"/>
      <c r="H480" s="545"/>
      <c r="I480" s="546">
        <v>400</v>
      </c>
      <c r="J480" s="555">
        <v>0.27</v>
      </c>
      <c r="K480" s="546">
        <v>39470.76</v>
      </c>
      <c r="L480" s="545">
        <v>0</v>
      </c>
      <c r="M480" s="546">
        <v>1020</v>
      </c>
      <c r="N480" s="547">
        <v>47.5</v>
      </c>
      <c r="O480" s="558">
        <v>40490.76</v>
      </c>
      <c r="P480" s="559">
        <v>0.93677229182019162</v>
      </c>
      <c r="Q480" s="560">
        <v>6</v>
      </c>
      <c r="R480" s="561">
        <v>1.4999999999999999E-2</v>
      </c>
      <c r="S480" s="562">
        <v>0</v>
      </c>
      <c r="T480" s="562"/>
      <c r="U480" s="562"/>
      <c r="V480" s="562"/>
      <c r="W480" s="556" t="s">
        <v>280</v>
      </c>
    </row>
    <row r="481" spans="1:23">
      <c r="A481" s="557">
        <v>44219</v>
      </c>
      <c r="B481" s="546">
        <v>7023</v>
      </c>
      <c r="C481" s="545">
        <v>0</v>
      </c>
      <c r="D481" s="546">
        <v>210</v>
      </c>
      <c r="E481" s="545">
        <v>115</v>
      </c>
      <c r="F481" s="545"/>
      <c r="G481" s="545"/>
      <c r="H481" s="545"/>
      <c r="I481" s="546">
        <v>360</v>
      </c>
      <c r="J481" s="555">
        <v>0.37</v>
      </c>
      <c r="K481" s="546">
        <v>43612.83</v>
      </c>
      <c r="L481" s="545">
        <v>0</v>
      </c>
      <c r="M481" s="546">
        <v>7140</v>
      </c>
      <c r="N481" s="547">
        <v>48.5</v>
      </c>
      <c r="O481" s="558">
        <v>50752.83</v>
      </c>
      <c r="P481" s="559">
        <v>0.97690916678258455</v>
      </c>
      <c r="Q481" s="560">
        <v>6</v>
      </c>
      <c r="R481" s="561">
        <v>1.4999999999999999E-2</v>
      </c>
      <c r="S481" s="562">
        <v>0</v>
      </c>
      <c r="T481" s="562"/>
      <c r="U481" s="562"/>
      <c r="V481" s="562"/>
      <c r="W481" s="556" t="s">
        <v>281</v>
      </c>
    </row>
    <row r="482" spans="1:23">
      <c r="A482" s="557">
        <v>44220</v>
      </c>
      <c r="B482" s="479">
        <v>8339</v>
      </c>
      <c r="C482" s="474">
        <v>107.75</v>
      </c>
      <c r="D482" s="479">
        <v>70</v>
      </c>
      <c r="E482" s="474">
        <v>46</v>
      </c>
      <c r="F482" s="474"/>
      <c r="G482" s="474"/>
      <c r="H482" s="474"/>
      <c r="I482" s="479">
        <v>372</v>
      </c>
      <c r="J482" s="500">
        <v>0.25</v>
      </c>
      <c r="K482" s="479">
        <v>51785.19</v>
      </c>
      <c r="L482" s="474">
        <v>5780.7874999999995</v>
      </c>
      <c r="M482" s="479">
        <v>2380</v>
      </c>
      <c r="N482" s="480">
        <v>49.5</v>
      </c>
      <c r="O482" s="481">
        <v>59945.977500000001</v>
      </c>
      <c r="P482" s="482">
        <v>0.97910062228484207</v>
      </c>
      <c r="Q482" s="437">
        <v>6</v>
      </c>
      <c r="R482" s="438">
        <v>1.4999999999999999E-2</v>
      </c>
      <c r="S482" s="439">
        <v>0</v>
      </c>
      <c r="T482" s="439"/>
      <c r="U482" s="439"/>
      <c r="V482" s="439"/>
      <c r="W482" s="463"/>
    </row>
    <row r="483" spans="1:23" ht="29.1">
      <c r="A483" s="557">
        <v>44221</v>
      </c>
      <c r="B483" s="474">
        <v>7118</v>
      </c>
      <c r="C483" s="474">
        <v>107.75</v>
      </c>
      <c r="D483" s="474">
        <v>70</v>
      </c>
      <c r="E483" s="474">
        <v>47</v>
      </c>
      <c r="F483" s="474"/>
      <c r="G483" s="474"/>
      <c r="H483" s="474"/>
      <c r="I483" s="479">
        <v>400</v>
      </c>
      <c r="J483" s="500">
        <v>0.15</v>
      </c>
      <c r="K483" s="474">
        <v>44202.78</v>
      </c>
      <c r="L483" s="474">
        <v>5780.7874999999995</v>
      </c>
      <c r="M483" s="474">
        <v>2380</v>
      </c>
      <c r="N483" s="475">
        <v>50.5</v>
      </c>
      <c r="O483" s="476">
        <v>52363.567499999997</v>
      </c>
      <c r="P483" s="477">
        <v>0.98710303702676472</v>
      </c>
      <c r="Q483" s="469">
        <v>6</v>
      </c>
      <c r="R483" s="470">
        <v>1.4999999999999999E-2</v>
      </c>
      <c r="S483" s="471">
        <v>0</v>
      </c>
      <c r="T483" s="471"/>
      <c r="U483" s="471"/>
      <c r="V483" s="471"/>
      <c r="W483" s="484" t="s">
        <v>282</v>
      </c>
    </row>
    <row r="484" spans="1:23">
      <c r="A484" s="557">
        <v>44222</v>
      </c>
      <c r="B484" s="474">
        <v>7852</v>
      </c>
      <c r="C484" s="474">
        <v>107.75</v>
      </c>
      <c r="D484" s="474">
        <v>50</v>
      </c>
      <c r="E484" s="474">
        <v>145</v>
      </c>
      <c r="F484" s="474"/>
      <c r="G484" s="474"/>
      <c r="H484" s="474"/>
      <c r="I484" s="479">
        <v>400</v>
      </c>
      <c r="J484" s="501"/>
      <c r="K484" s="474">
        <v>48760.92</v>
      </c>
      <c r="L484" s="474">
        <v>5780.7874999999995</v>
      </c>
      <c r="M484" s="474">
        <v>1700</v>
      </c>
      <c r="N484" s="475">
        <v>51.5</v>
      </c>
      <c r="O484" s="476">
        <v>56241.707499999997</v>
      </c>
      <c r="P484" s="477">
        <v>0.93066255778120188</v>
      </c>
      <c r="Q484" s="469">
        <v>6</v>
      </c>
      <c r="R484" s="470">
        <v>1.4999999999999999E-2</v>
      </c>
      <c r="S484" s="471">
        <v>0</v>
      </c>
      <c r="T484" s="471"/>
      <c r="U484" s="471"/>
      <c r="V484" s="471"/>
      <c r="W484" s="484"/>
    </row>
    <row r="485" spans="1:23">
      <c r="A485" s="557">
        <v>44223</v>
      </c>
      <c r="B485" s="479">
        <v>8006</v>
      </c>
      <c r="C485" s="474">
        <v>107.75</v>
      </c>
      <c r="D485" s="479">
        <v>160</v>
      </c>
      <c r="E485" s="505">
        <v>146</v>
      </c>
      <c r="F485" s="505"/>
      <c r="G485" s="505"/>
      <c r="H485" s="505"/>
      <c r="I485" s="479">
        <v>392</v>
      </c>
      <c r="J485" s="500"/>
      <c r="K485" s="479">
        <v>49717.26</v>
      </c>
      <c r="L485" s="474">
        <v>5780.7874999999995</v>
      </c>
      <c r="M485" s="479">
        <v>5440</v>
      </c>
      <c r="N485" s="480">
        <v>52.5</v>
      </c>
      <c r="O485" s="481">
        <v>60938.047500000001</v>
      </c>
      <c r="P485" s="482">
        <v>1.012520551410143</v>
      </c>
      <c r="Q485" s="437">
        <v>6</v>
      </c>
      <c r="R485" s="438">
        <v>1.4999999999999999E-2</v>
      </c>
      <c r="S485" s="439">
        <v>0</v>
      </c>
      <c r="T485" s="439"/>
      <c r="U485" s="439"/>
      <c r="V485" s="439"/>
      <c r="W485" s="484" t="s">
        <v>283</v>
      </c>
    </row>
    <row r="486" spans="1:23">
      <c r="A486" s="557">
        <v>44224</v>
      </c>
      <c r="B486" s="386">
        <v>7061</v>
      </c>
      <c r="C486" s="474">
        <v>0</v>
      </c>
      <c r="D486" s="386">
        <v>10</v>
      </c>
      <c r="E486" s="505">
        <v>27</v>
      </c>
      <c r="F486" s="505"/>
      <c r="G486" s="505"/>
      <c r="H486" s="505"/>
      <c r="I486" s="479">
        <v>360</v>
      </c>
      <c r="J486" s="502"/>
      <c r="K486" s="386">
        <v>43848.81</v>
      </c>
      <c r="L486" s="474">
        <v>0</v>
      </c>
      <c r="M486" s="386">
        <v>340</v>
      </c>
      <c r="N486" s="435">
        <v>53.5</v>
      </c>
      <c r="O486" s="436">
        <v>44188.81</v>
      </c>
      <c r="P486" s="461">
        <v>0.97635508849557517</v>
      </c>
      <c r="Q486" s="437">
        <v>6</v>
      </c>
      <c r="R486" s="438">
        <v>1.4999999999999999E-2</v>
      </c>
      <c r="S486" s="439">
        <v>0</v>
      </c>
      <c r="T486" s="439"/>
      <c r="U486" s="439"/>
      <c r="V486" s="439"/>
      <c r="W486" s="483"/>
    </row>
    <row r="487" spans="1:23">
      <c r="A487" s="557">
        <v>44225</v>
      </c>
      <c r="B487" s="386">
        <v>7416</v>
      </c>
      <c r="C487" s="474">
        <v>107.75</v>
      </c>
      <c r="D487" s="386">
        <v>40</v>
      </c>
      <c r="E487" s="505">
        <v>24</v>
      </c>
      <c r="F487" s="505"/>
      <c r="G487" s="505"/>
      <c r="H487" s="505"/>
      <c r="I487" s="479">
        <v>400</v>
      </c>
      <c r="J487" s="502"/>
      <c r="K487" s="386">
        <v>46053.36</v>
      </c>
      <c r="L487" s="474">
        <v>5780.7874999999995</v>
      </c>
      <c r="M487" s="386">
        <v>1360</v>
      </c>
      <c r="N487" s="435">
        <v>54.5</v>
      </c>
      <c r="O487" s="436">
        <v>53194.147499999999</v>
      </c>
      <c r="P487" s="461">
        <v>0.97746144721233685</v>
      </c>
      <c r="Q487" s="437">
        <v>6</v>
      </c>
      <c r="R487" s="438">
        <v>1.4999999999999999E-2</v>
      </c>
      <c r="S487" s="439">
        <v>0</v>
      </c>
      <c r="T487" s="592"/>
      <c r="U487" s="592"/>
      <c r="V487" s="592"/>
      <c r="W487" s="485"/>
    </row>
    <row r="488" spans="1:23">
      <c r="A488" s="557">
        <v>44226</v>
      </c>
      <c r="B488" s="386">
        <v>8209</v>
      </c>
      <c r="C488" s="474">
        <v>0</v>
      </c>
      <c r="D488" s="386">
        <v>40</v>
      </c>
      <c r="E488" s="505">
        <v>38</v>
      </c>
      <c r="F488" s="505"/>
      <c r="G488" s="505"/>
      <c r="H488" s="505"/>
      <c r="I488" s="479">
        <v>400</v>
      </c>
      <c r="J488" s="502"/>
      <c r="K488" s="386">
        <v>50977.89</v>
      </c>
      <c r="L488" s="474">
        <v>0</v>
      </c>
      <c r="M488" s="386">
        <v>1360</v>
      </c>
      <c r="N488" s="435">
        <v>55.5</v>
      </c>
      <c r="O488" s="436">
        <v>52337.89</v>
      </c>
      <c r="P488" s="461">
        <v>1.0039134156781215</v>
      </c>
      <c r="Q488" s="437">
        <v>6</v>
      </c>
      <c r="R488" s="438">
        <v>1.4999999999999999E-2</v>
      </c>
      <c r="S488" s="439">
        <v>0</v>
      </c>
      <c r="T488" s="592"/>
      <c r="U488" s="592"/>
      <c r="V488" s="592"/>
      <c r="W488" s="485"/>
    </row>
    <row r="489" spans="1:23">
      <c r="A489" s="557">
        <v>44227</v>
      </c>
      <c r="B489" s="386">
        <v>7557</v>
      </c>
      <c r="C489" s="474">
        <v>0</v>
      </c>
      <c r="D489" s="386">
        <v>40</v>
      </c>
      <c r="E489" s="505">
        <v>20</v>
      </c>
      <c r="F489" s="505"/>
      <c r="G489" s="505"/>
      <c r="H489" s="505"/>
      <c r="I489" s="479">
        <v>352</v>
      </c>
      <c r="J489" s="502"/>
      <c r="K489" s="386">
        <v>46928.97</v>
      </c>
      <c r="L489" s="474">
        <v>0</v>
      </c>
      <c r="M489" s="386">
        <v>1360</v>
      </c>
      <c r="N489" s="435">
        <v>56.5</v>
      </c>
      <c r="O489" s="436">
        <v>48288.97</v>
      </c>
      <c r="P489" s="461">
        <v>0.94984917043740569</v>
      </c>
      <c r="Q489" s="437">
        <v>6</v>
      </c>
      <c r="R489" s="438">
        <v>1.4999999999999999E-2</v>
      </c>
      <c r="S489" s="439">
        <v>0</v>
      </c>
      <c r="T489" s="439"/>
      <c r="U489" s="439"/>
      <c r="V489" s="439"/>
      <c r="W489" s="483"/>
    </row>
    <row r="490" spans="1:23">
      <c r="A490" s="443" t="s">
        <v>161</v>
      </c>
      <c r="B490" s="444">
        <v>218024</v>
      </c>
      <c r="C490" s="444">
        <v>1616.25</v>
      </c>
      <c r="D490" s="444">
        <v>1860</v>
      </c>
      <c r="E490" s="444"/>
      <c r="F490" s="444"/>
      <c r="G490" s="444"/>
      <c r="H490" s="444"/>
      <c r="I490" s="444"/>
      <c r="J490" s="503"/>
      <c r="K490" s="444">
        <v>1353929.0399999998</v>
      </c>
      <c r="L490" s="444">
        <v>86711.812500000015</v>
      </c>
      <c r="M490" s="444">
        <v>63240</v>
      </c>
      <c r="N490" s="444"/>
      <c r="O490" s="444">
        <v>1455591.8824999998</v>
      </c>
      <c r="P490" s="444"/>
      <c r="Q490" s="437"/>
      <c r="R490" s="438"/>
      <c r="S490" s="439"/>
      <c r="T490" s="439"/>
      <c r="U490" s="439"/>
      <c r="V490" s="439"/>
      <c r="W490" s="439"/>
    </row>
    <row r="491" spans="1:23">
      <c r="A491" s="706"/>
      <c r="B491" s="411"/>
      <c r="C491" s="411"/>
      <c r="D491" s="411"/>
      <c r="E491" s="411"/>
      <c r="F491" s="411"/>
      <c r="G491" s="411"/>
      <c r="H491" s="411"/>
      <c r="I491" s="411"/>
      <c r="J491" s="530"/>
      <c r="K491" s="411"/>
      <c r="L491" s="411"/>
      <c r="M491" s="411"/>
      <c r="N491" s="411"/>
      <c r="O491" s="411"/>
      <c r="P491" s="411"/>
      <c r="Q491" s="492"/>
      <c r="R491" s="493"/>
      <c r="S491" s="458"/>
      <c r="T491" s="458"/>
      <c r="U491" s="458"/>
      <c r="V491" s="458"/>
      <c r="W491" s="458"/>
    </row>
    <row r="492" spans="1:23" ht="57.95">
      <c r="A492" s="576" t="s">
        <v>14</v>
      </c>
      <c r="B492" s="577" t="s">
        <v>145</v>
      </c>
      <c r="C492" s="577"/>
      <c r="D492" s="577"/>
      <c r="E492" s="577"/>
      <c r="F492" s="577"/>
      <c r="G492" s="577"/>
      <c r="H492" s="577"/>
      <c r="I492" s="577"/>
      <c r="J492" s="578"/>
      <c r="K492" s="577" t="s">
        <v>146</v>
      </c>
      <c r="L492" s="577"/>
      <c r="M492" s="577"/>
      <c r="N492" s="577" t="s">
        <v>147</v>
      </c>
      <c r="O492" s="577" t="s">
        <v>148</v>
      </c>
      <c r="P492" s="577" t="s">
        <v>175</v>
      </c>
      <c r="Q492" s="579" t="s">
        <v>149</v>
      </c>
      <c r="R492" s="580" t="s">
        <v>150</v>
      </c>
      <c r="S492" s="581" t="s">
        <v>165</v>
      </c>
      <c r="T492" s="581"/>
      <c r="U492" s="581"/>
      <c r="V492" s="581"/>
      <c r="W492" s="581" t="s">
        <v>176</v>
      </c>
    </row>
    <row r="493" spans="1:23">
      <c r="A493" s="576"/>
      <c r="B493" s="577" t="s">
        <v>156</v>
      </c>
      <c r="C493" s="577" t="s">
        <v>157</v>
      </c>
      <c r="D493" s="577" t="s">
        <v>158</v>
      </c>
      <c r="E493" s="577" t="s">
        <v>268</v>
      </c>
      <c r="F493" s="577"/>
      <c r="G493" s="577"/>
      <c r="H493" s="577"/>
      <c r="I493" s="577" t="s">
        <v>269</v>
      </c>
      <c r="J493" s="578"/>
      <c r="K493" s="577" t="s">
        <v>156</v>
      </c>
      <c r="L493" s="577" t="s">
        <v>157</v>
      </c>
      <c r="M493" s="577" t="s">
        <v>158</v>
      </c>
      <c r="N493" s="577"/>
      <c r="O493" s="577"/>
      <c r="P493" s="577"/>
      <c r="Q493" s="579"/>
      <c r="R493" s="580"/>
      <c r="S493" s="581"/>
      <c r="T493" s="581"/>
      <c r="U493" s="581"/>
      <c r="V493" s="581"/>
      <c r="W493" s="581"/>
    </row>
    <row r="494" spans="1:23">
      <c r="A494" s="557">
        <v>44228</v>
      </c>
      <c r="B494" s="577">
        <v>7552</v>
      </c>
      <c r="C494" s="577">
        <v>107.75</v>
      </c>
      <c r="D494" s="577">
        <v>40</v>
      </c>
      <c r="E494" s="577">
        <v>106</v>
      </c>
      <c r="F494" s="577"/>
      <c r="G494" s="577"/>
      <c r="H494" s="577"/>
      <c r="I494" s="577">
        <v>400</v>
      </c>
      <c r="J494" s="578">
        <v>0.4</v>
      </c>
      <c r="K494" s="577">
        <v>46897.919999999998</v>
      </c>
      <c r="L494" s="577">
        <v>5780.7874999999995</v>
      </c>
      <c r="M494" s="577">
        <v>1360</v>
      </c>
      <c r="N494" s="577">
        <v>26.5</v>
      </c>
      <c r="O494" s="577">
        <v>54038.707499999997</v>
      </c>
      <c r="P494" s="577">
        <v>0.9798884131309199</v>
      </c>
      <c r="Q494" s="579">
        <v>6</v>
      </c>
      <c r="R494" s="580">
        <v>1.4999999999999999E-2</v>
      </c>
      <c r="S494" s="581">
        <v>0</v>
      </c>
      <c r="T494" s="581"/>
      <c r="U494" s="581"/>
      <c r="V494" s="581"/>
      <c r="W494" s="581"/>
    </row>
    <row r="495" spans="1:23">
      <c r="A495" s="557">
        <v>44229</v>
      </c>
      <c r="B495" s="577">
        <v>8368</v>
      </c>
      <c r="C495" s="577">
        <v>0</v>
      </c>
      <c r="D495" s="577">
        <v>80</v>
      </c>
      <c r="E495" s="577">
        <v>55</v>
      </c>
      <c r="F495" s="577"/>
      <c r="G495" s="577"/>
      <c r="H495" s="577"/>
      <c r="I495" s="577">
        <v>400</v>
      </c>
      <c r="J495" s="578">
        <v>0.45</v>
      </c>
      <c r="K495" s="577">
        <v>51965.279999999999</v>
      </c>
      <c r="L495" s="577">
        <v>0</v>
      </c>
      <c r="M495" s="577">
        <v>2720</v>
      </c>
      <c r="N495" s="577">
        <v>27.5</v>
      </c>
      <c r="O495" s="577">
        <v>54685.279999999999</v>
      </c>
      <c r="P495" s="577">
        <v>0.98227491489611451</v>
      </c>
      <c r="Q495" s="579">
        <v>6</v>
      </c>
      <c r="R495" s="580">
        <v>1.4999999999999999E-2</v>
      </c>
      <c r="S495" s="581">
        <v>0</v>
      </c>
      <c r="T495" s="581"/>
      <c r="U495" s="581"/>
      <c r="V495" s="581"/>
      <c r="W495" s="581"/>
    </row>
    <row r="496" spans="1:23" ht="43.5">
      <c r="A496" s="557">
        <v>44230</v>
      </c>
      <c r="B496" s="577">
        <v>8146</v>
      </c>
      <c r="C496" s="577">
        <v>0</v>
      </c>
      <c r="D496" s="577">
        <v>80</v>
      </c>
      <c r="E496" s="577">
        <v>81</v>
      </c>
      <c r="F496" s="577"/>
      <c r="G496" s="577"/>
      <c r="H496" s="577"/>
      <c r="I496" s="577">
        <v>320</v>
      </c>
      <c r="J496" s="578">
        <v>0.44</v>
      </c>
      <c r="K496" s="577">
        <v>50586.659999999996</v>
      </c>
      <c r="L496" s="577">
        <v>0</v>
      </c>
      <c r="M496" s="577">
        <v>2720</v>
      </c>
      <c r="N496" s="577">
        <v>28.5</v>
      </c>
      <c r="O496" s="577">
        <v>53306.659999999996</v>
      </c>
      <c r="P496" s="577">
        <v>0.98085490668272124</v>
      </c>
      <c r="Q496" s="579">
        <v>6</v>
      </c>
      <c r="R496" s="580">
        <v>1.4999999999999999E-2</v>
      </c>
      <c r="S496" s="581">
        <v>0</v>
      </c>
      <c r="T496" s="581"/>
      <c r="U496" s="581"/>
      <c r="V496" s="581"/>
      <c r="W496" s="581" t="s">
        <v>284</v>
      </c>
    </row>
    <row r="497" spans="1:24">
      <c r="A497" s="557">
        <v>44231</v>
      </c>
      <c r="B497" s="577">
        <v>7505</v>
      </c>
      <c r="C497" s="577">
        <v>0</v>
      </c>
      <c r="D497" s="577">
        <v>60</v>
      </c>
      <c r="E497" s="577">
        <v>40</v>
      </c>
      <c r="F497" s="577"/>
      <c r="G497" s="577"/>
      <c r="H497" s="577"/>
      <c r="I497" s="577">
        <v>400</v>
      </c>
      <c r="J497" s="578">
        <v>0.46</v>
      </c>
      <c r="K497" s="577">
        <v>46606.05</v>
      </c>
      <c r="L497" s="577">
        <v>0</v>
      </c>
      <c r="M497" s="577">
        <v>2040</v>
      </c>
      <c r="N497" s="577">
        <v>29.5</v>
      </c>
      <c r="O497" s="577">
        <v>48646.05</v>
      </c>
      <c r="P497" s="577">
        <v>0.98271572607044655</v>
      </c>
      <c r="Q497" s="579">
        <v>6</v>
      </c>
      <c r="R497" s="580">
        <v>1.4999999999999999E-2</v>
      </c>
      <c r="S497" s="581">
        <v>0</v>
      </c>
      <c r="T497" s="581"/>
      <c r="U497" s="581"/>
      <c r="V497" s="581"/>
      <c r="W497" s="581"/>
    </row>
    <row r="498" spans="1:24">
      <c r="A498" s="557">
        <v>44232</v>
      </c>
      <c r="B498" s="577">
        <v>7783</v>
      </c>
      <c r="C498" s="577">
        <v>107.75</v>
      </c>
      <c r="D498" s="577">
        <v>70</v>
      </c>
      <c r="E498" s="577">
        <v>26</v>
      </c>
      <c r="F498" s="577"/>
      <c r="G498" s="577"/>
      <c r="H498" s="577"/>
      <c r="I498" s="577">
        <v>380</v>
      </c>
      <c r="J498" s="578">
        <v>0.46</v>
      </c>
      <c r="K498" s="577">
        <v>48332.43</v>
      </c>
      <c r="L498" s="577">
        <v>5780.7874999999995</v>
      </c>
      <c r="M498" s="577">
        <v>2380</v>
      </c>
      <c r="N498" s="577">
        <v>30.5</v>
      </c>
      <c r="O498" s="577">
        <v>56493.217499999999</v>
      </c>
      <c r="P498" s="577">
        <v>0.97751821150464713</v>
      </c>
      <c r="Q498" s="579">
        <v>6</v>
      </c>
      <c r="R498" s="580">
        <v>1.4999999999999999E-2</v>
      </c>
      <c r="S498" s="581">
        <v>0</v>
      </c>
      <c r="T498" s="581"/>
      <c r="U498" s="581"/>
      <c r="V498" s="581"/>
      <c r="W498" s="581"/>
    </row>
    <row r="499" spans="1:24">
      <c r="A499" s="557">
        <v>44233</v>
      </c>
      <c r="B499" s="577">
        <v>7476</v>
      </c>
      <c r="C499" s="577">
        <v>0</v>
      </c>
      <c r="D499" s="577">
        <v>25</v>
      </c>
      <c r="E499" s="577">
        <v>25</v>
      </c>
      <c r="F499" s="577"/>
      <c r="G499" s="577"/>
      <c r="H499" s="577"/>
      <c r="I499" s="577">
        <v>300</v>
      </c>
      <c r="J499" s="578">
        <v>0.46</v>
      </c>
      <c r="K499" s="577">
        <v>46425.96</v>
      </c>
      <c r="L499" s="577">
        <v>0</v>
      </c>
      <c r="M499" s="577">
        <v>850</v>
      </c>
      <c r="N499" s="577">
        <v>31.5</v>
      </c>
      <c r="O499" s="577">
        <v>47275.96</v>
      </c>
      <c r="P499" s="577">
        <v>0.99124900556881468</v>
      </c>
      <c r="Q499" s="579">
        <v>6</v>
      </c>
      <c r="R499" s="580">
        <v>1.4999999999999999E-2</v>
      </c>
      <c r="S499" s="581">
        <v>0</v>
      </c>
      <c r="T499" s="581"/>
      <c r="U499" s="581"/>
      <c r="V499" s="581"/>
      <c r="W499" s="581"/>
      <c r="X499" s="527"/>
    </row>
    <row r="500" spans="1:24">
      <c r="A500" s="557">
        <v>44234</v>
      </c>
      <c r="B500" s="577">
        <v>6658</v>
      </c>
      <c r="C500" s="577">
        <v>0</v>
      </c>
      <c r="D500" s="577">
        <v>35</v>
      </c>
      <c r="E500" s="577">
        <v>23</v>
      </c>
      <c r="F500" s="577"/>
      <c r="G500" s="577"/>
      <c r="H500" s="577"/>
      <c r="I500" s="577">
        <v>360</v>
      </c>
      <c r="J500" s="578">
        <v>0.46</v>
      </c>
      <c r="K500" s="577">
        <v>41346.18</v>
      </c>
      <c r="L500" s="577">
        <v>0</v>
      </c>
      <c r="M500" s="577">
        <v>1190</v>
      </c>
      <c r="N500" s="577">
        <v>32.5</v>
      </c>
      <c r="O500" s="577">
        <v>42536.18</v>
      </c>
      <c r="P500" s="577">
        <v>0.95950425133304507</v>
      </c>
      <c r="Q500" s="579">
        <v>6</v>
      </c>
      <c r="R500" s="580">
        <v>1.4999999999999999E-2</v>
      </c>
      <c r="S500" s="581">
        <v>0</v>
      </c>
      <c r="T500" s="581"/>
      <c r="U500" s="581"/>
      <c r="V500" s="581"/>
      <c r="W500" s="581"/>
    </row>
    <row r="501" spans="1:24" ht="43.5">
      <c r="A501" s="557">
        <v>44235</v>
      </c>
      <c r="B501" s="577">
        <v>8663</v>
      </c>
      <c r="C501" s="577">
        <v>0</v>
      </c>
      <c r="D501" s="577">
        <v>70</v>
      </c>
      <c r="E501" s="577">
        <v>26</v>
      </c>
      <c r="F501" s="577"/>
      <c r="G501" s="577"/>
      <c r="H501" s="577"/>
      <c r="I501" s="577">
        <v>336</v>
      </c>
      <c r="J501" s="578">
        <v>0.5</v>
      </c>
      <c r="K501" s="577">
        <v>53797.23</v>
      </c>
      <c r="L501" s="577">
        <v>0</v>
      </c>
      <c r="M501" s="577">
        <v>2380</v>
      </c>
      <c r="N501" s="577">
        <v>33.5</v>
      </c>
      <c r="O501" s="577">
        <v>56177.23</v>
      </c>
      <c r="P501" s="577">
        <v>0.97942340305257203</v>
      </c>
      <c r="Q501" s="579">
        <v>6</v>
      </c>
      <c r="R501" s="580">
        <v>1.4999999999999999E-2</v>
      </c>
      <c r="S501" s="581">
        <v>0</v>
      </c>
      <c r="T501" s="581"/>
      <c r="U501" s="581"/>
      <c r="V501" s="581"/>
      <c r="W501" s="581" t="s">
        <v>285</v>
      </c>
    </row>
    <row r="502" spans="1:24">
      <c r="A502" s="557">
        <v>44236</v>
      </c>
      <c r="B502" s="577">
        <v>7640</v>
      </c>
      <c r="C502" s="577">
        <v>107.75</v>
      </c>
      <c r="D502" s="577">
        <v>40</v>
      </c>
      <c r="E502" s="577">
        <v>18</v>
      </c>
      <c r="F502" s="577"/>
      <c r="G502" s="577"/>
      <c r="H502" s="577"/>
      <c r="I502" s="577">
        <v>280</v>
      </c>
      <c r="J502" s="578">
        <v>0.5</v>
      </c>
      <c r="K502" s="577">
        <v>47444.4</v>
      </c>
      <c r="L502" s="577">
        <v>5780.7874999999995</v>
      </c>
      <c r="M502" s="577">
        <v>1360</v>
      </c>
      <c r="N502" s="577">
        <v>34.5</v>
      </c>
      <c r="O502" s="577">
        <v>54585.1875</v>
      </c>
      <c r="P502" s="577">
        <v>0.97573435504469985</v>
      </c>
      <c r="Q502" s="579">
        <v>6</v>
      </c>
      <c r="R502" s="580">
        <v>1.4999999999999999E-2</v>
      </c>
      <c r="S502" s="581">
        <v>0</v>
      </c>
      <c r="T502" s="581"/>
      <c r="U502" s="581"/>
      <c r="V502" s="581"/>
      <c r="W502" s="581"/>
    </row>
    <row r="503" spans="1:24">
      <c r="A503" s="557">
        <v>44237</v>
      </c>
      <c r="B503" s="577">
        <v>7353</v>
      </c>
      <c r="C503" s="577">
        <v>0</v>
      </c>
      <c r="D503" s="577">
        <v>60</v>
      </c>
      <c r="E503" s="577">
        <v>18</v>
      </c>
      <c r="F503" s="577"/>
      <c r="G503" s="577"/>
      <c r="H503" s="577"/>
      <c r="I503" s="577">
        <v>300</v>
      </c>
      <c r="J503" s="578">
        <v>0.43</v>
      </c>
      <c r="K503" s="577">
        <v>45662.13</v>
      </c>
      <c r="L503" s="577">
        <v>0</v>
      </c>
      <c r="M503" s="577">
        <v>2040</v>
      </c>
      <c r="N503" s="577">
        <v>35.5</v>
      </c>
      <c r="O503" s="577">
        <v>47702.13</v>
      </c>
      <c r="P503" s="577">
        <v>0.97857332978440248</v>
      </c>
      <c r="Q503" s="579">
        <v>6</v>
      </c>
      <c r="R503" s="580">
        <v>1.4999999999999999E-2</v>
      </c>
      <c r="S503" s="581">
        <v>0</v>
      </c>
      <c r="T503" s="581"/>
      <c r="U503" s="581"/>
      <c r="V503" s="581"/>
      <c r="W503" s="581"/>
    </row>
    <row r="504" spans="1:24">
      <c r="A504" s="557">
        <v>44238</v>
      </c>
      <c r="B504" s="577">
        <v>8106</v>
      </c>
      <c r="C504" s="577">
        <v>0</v>
      </c>
      <c r="D504" s="577">
        <v>90</v>
      </c>
      <c r="E504" s="577">
        <v>23</v>
      </c>
      <c r="F504" s="577"/>
      <c r="G504" s="577"/>
      <c r="H504" s="577"/>
      <c r="I504" s="577">
        <v>300</v>
      </c>
      <c r="J504" s="578">
        <v>0.46</v>
      </c>
      <c r="K504" s="577">
        <v>50338.26</v>
      </c>
      <c r="L504" s="577">
        <v>0</v>
      </c>
      <c r="M504" s="577">
        <v>3060</v>
      </c>
      <c r="N504" s="577">
        <v>36.5</v>
      </c>
      <c r="O504" s="577">
        <v>53398.26</v>
      </c>
      <c r="P504" s="577">
        <v>0.97733301181577048</v>
      </c>
      <c r="Q504" s="579">
        <v>6</v>
      </c>
      <c r="R504" s="580">
        <v>1.4999999999999999E-2</v>
      </c>
      <c r="S504" s="581">
        <v>0</v>
      </c>
      <c r="T504" s="581"/>
      <c r="U504" s="581"/>
      <c r="V504" s="581"/>
      <c r="W504" s="581" t="s">
        <v>286</v>
      </c>
    </row>
    <row r="505" spans="1:24">
      <c r="A505" s="557">
        <v>44239</v>
      </c>
      <c r="B505" s="577">
        <v>6878</v>
      </c>
      <c r="C505" s="577">
        <v>107.75</v>
      </c>
      <c r="D505" s="577">
        <v>40</v>
      </c>
      <c r="E505" s="577">
        <v>25</v>
      </c>
      <c r="F505" s="577"/>
      <c r="G505" s="577"/>
      <c r="H505" s="577"/>
      <c r="I505" s="577">
        <v>280</v>
      </c>
      <c r="J505" s="578">
        <v>0.41</v>
      </c>
      <c r="K505" s="577">
        <v>42712.38</v>
      </c>
      <c r="L505" s="577">
        <v>5780.7874999999995</v>
      </c>
      <c r="M505" s="577">
        <v>1360</v>
      </c>
      <c r="N505" s="577">
        <v>37.5</v>
      </c>
      <c r="O505" s="577">
        <v>49853.167499999996</v>
      </c>
      <c r="P505" s="577">
        <v>0.97810011376564276</v>
      </c>
      <c r="Q505" s="579">
        <v>6</v>
      </c>
      <c r="R505" s="580">
        <v>1.4999999999999999E-2</v>
      </c>
      <c r="S505" s="581">
        <v>0</v>
      </c>
      <c r="T505" s="581"/>
      <c r="U505" s="581"/>
      <c r="V505" s="581"/>
      <c r="W505" s="581"/>
    </row>
    <row r="506" spans="1:24">
      <c r="A506" s="557">
        <v>44240</v>
      </c>
      <c r="B506" s="577">
        <v>6637</v>
      </c>
      <c r="C506" s="577">
        <v>107.75</v>
      </c>
      <c r="D506" s="577">
        <v>10</v>
      </c>
      <c r="E506" s="577">
        <v>26</v>
      </c>
      <c r="F506" s="577"/>
      <c r="G506" s="577"/>
      <c r="H506" s="577"/>
      <c r="I506" s="577">
        <v>288</v>
      </c>
      <c r="J506" s="578">
        <v>0.45</v>
      </c>
      <c r="K506" s="577">
        <v>41215.769999999997</v>
      </c>
      <c r="L506" s="577">
        <v>5780.7874999999995</v>
      </c>
      <c r="M506" s="577">
        <v>340</v>
      </c>
      <c r="N506" s="577">
        <v>38.5</v>
      </c>
      <c r="O506" s="577">
        <v>47336.557499999995</v>
      </c>
      <c r="P506" s="577">
        <v>0.97302448321360502</v>
      </c>
      <c r="Q506" s="579">
        <v>6</v>
      </c>
      <c r="R506" s="580">
        <v>1.4999999999999999E-2</v>
      </c>
      <c r="S506" s="581">
        <v>0</v>
      </c>
      <c r="T506" s="581"/>
      <c r="U506" s="581"/>
      <c r="V506" s="581"/>
      <c r="W506" s="581"/>
    </row>
    <row r="507" spans="1:24">
      <c r="A507" s="557">
        <v>44241</v>
      </c>
      <c r="B507" s="577">
        <v>7819</v>
      </c>
      <c r="C507" s="577">
        <v>0</v>
      </c>
      <c r="D507" s="577">
        <v>70</v>
      </c>
      <c r="E507" s="577">
        <v>25</v>
      </c>
      <c r="F507" s="577"/>
      <c r="G507" s="577"/>
      <c r="H507" s="577"/>
      <c r="I507" s="577">
        <v>272</v>
      </c>
      <c r="J507" s="578">
        <v>0.4</v>
      </c>
      <c r="K507" s="577">
        <v>48555.99</v>
      </c>
      <c r="L507" s="577">
        <v>0</v>
      </c>
      <c r="M507" s="577">
        <v>2380</v>
      </c>
      <c r="N507" s="577">
        <v>39.5</v>
      </c>
      <c r="O507" s="577">
        <v>50935.99</v>
      </c>
      <c r="P507" s="577">
        <v>0.97798624140087553</v>
      </c>
      <c r="Q507" s="579">
        <v>6</v>
      </c>
      <c r="R507" s="580">
        <v>1.4999999999999999E-2</v>
      </c>
      <c r="S507" s="581">
        <v>0</v>
      </c>
      <c r="T507" s="581"/>
      <c r="U507" s="581"/>
      <c r="V507" s="581"/>
      <c r="W507" s="581"/>
    </row>
    <row r="508" spans="1:24">
      <c r="A508" s="557">
        <v>44242</v>
      </c>
      <c r="B508" s="577">
        <v>6824</v>
      </c>
      <c r="C508" s="577">
        <v>107.75</v>
      </c>
      <c r="D508" s="577">
        <v>40</v>
      </c>
      <c r="E508" s="577">
        <v>24</v>
      </c>
      <c r="F508" s="577"/>
      <c r="G508" s="577"/>
      <c r="H508" s="577"/>
      <c r="I508" s="577">
        <v>188</v>
      </c>
      <c r="J508" s="578">
        <v>0.44</v>
      </c>
      <c r="K508" s="577">
        <v>42377.04</v>
      </c>
      <c r="L508" s="577">
        <v>5780.7874999999995</v>
      </c>
      <c r="M508" s="577">
        <v>1360</v>
      </c>
      <c r="N508" s="577">
        <v>40.5</v>
      </c>
      <c r="O508" s="577">
        <v>49517.827499999999</v>
      </c>
      <c r="P508" s="577">
        <v>0.97863186576796213</v>
      </c>
      <c r="Q508" s="579">
        <v>6</v>
      </c>
      <c r="R508" s="580">
        <v>1.4999999999999999E-2</v>
      </c>
      <c r="S508" s="581">
        <v>0</v>
      </c>
      <c r="T508" s="581"/>
      <c r="U508" s="581"/>
      <c r="V508" s="581"/>
      <c r="W508" s="581"/>
    </row>
    <row r="509" spans="1:24">
      <c r="A509" s="557">
        <v>44243</v>
      </c>
      <c r="B509" s="577">
        <v>6027</v>
      </c>
      <c r="C509" s="577">
        <v>107.75</v>
      </c>
      <c r="D509" s="577">
        <v>50</v>
      </c>
      <c r="E509" s="577">
        <v>54</v>
      </c>
      <c r="F509" s="577"/>
      <c r="G509" s="577"/>
      <c r="H509" s="577"/>
      <c r="I509" s="577">
        <v>220.00000000000003</v>
      </c>
      <c r="J509" s="578">
        <v>0.37</v>
      </c>
      <c r="K509" s="577">
        <v>37427.67</v>
      </c>
      <c r="L509" s="577">
        <v>5780.7874999999995</v>
      </c>
      <c r="M509" s="577">
        <v>1700</v>
      </c>
      <c r="N509" s="577">
        <v>41.5</v>
      </c>
      <c r="O509" s="577">
        <v>44908.457499999997</v>
      </c>
      <c r="P509" s="577">
        <v>0.97335271317829453</v>
      </c>
      <c r="Q509" s="579">
        <v>6</v>
      </c>
      <c r="R509" s="580">
        <v>1.4999999999999999E-2</v>
      </c>
      <c r="S509" s="581">
        <v>0</v>
      </c>
      <c r="T509" s="581"/>
      <c r="U509" s="581"/>
      <c r="V509" s="581"/>
      <c r="W509" s="581" t="s">
        <v>287</v>
      </c>
    </row>
    <row r="510" spans="1:24">
      <c r="A510" s="557">
        <v>44244</v>
      </c>
      <c r="B510" s="577">
        <v>6519</v>
      </c>
      <c r="C510" s="577">
        <v>107.75</v>
      </c>
      <c r="D510" s="577">
        <v>70</v>
      </c>
      <c r="E510" s="577">
        <v>85</v>
      </c>
      <c r="F510" s="577"/>
      <c r="G510" s="577"/>
      <c r="H510" s="577"/>
      <c r="I510" s="577">
        <v>248</v>
      </c>
      <c r="J510" s="578">
        <v>0.3</v>
      </c>
      <c r="K510" s="577">
        <v>40482.99</v>
      </c>
      <c r="L510" s="577">
        <v>5780.7874999999995</v>
      </c>
      <c r="M510" s="577">
        <v>2380</v>
      </c>
      <c r="N510" s="577">
        <v>42.5</v>
      </c>
      <c r="O510" s="577">
        <v>48643.777499999997</v>
      </c>
      <c r="P510" s="577">
        <v>0.96792873051224948</v>
      </c>
      <c r="Q510" s="579">
        <v>6</v>
      </c>
      <c r="R510" s="580">
        <v>1.4999999999999999E-2</v>
      </c>
      <c r="S510" s="581">
        <v>0</v>
      </c>
      <c r="T510" s="581"/>
      <c r="U510" s="581"/>
      <c r="V510" s="581"/>
      <c r="W510" s="581"/>
    </row>
    <row r="511" spans="1:24">
      <c r="A511" s="557">
        <v>44245</v>
      </c>
      <c r="B511" s="577">
        <v>6478</v>
      </c>
      <c r="C511" s="577">
        <v>0</v>
      </c>
      <c r="D511" s="577">
        <v>30</v>
      </c>
      <c r="E511" s="577">
        <v>119</v>
      </c>
      <c r="F511" s="577"/>
      <c r="G511" s="577"/>
      <c r="H511" s="577"/>
      <c r="I511" s="577">
        <v>248</v>
      </c>
      <c r="J511" s="578">
        <v>0.25</v>
      </c>
      <c r="K511" s="577">
        <v>40228.379999999997</v>
      </c>
      <c r="L511" s="577">
        <v>0</v>
      </c>
      <c r="M511" s="577">
        <v>1020</v>
      </c>
      <c r="N511" s="577">
        <v>43.5</v>
      </c>
      <c r="O511" s="577">
        <v>41248.379999999997</v>
      </c>
      <c r="P511" s="577">
        <v>0.9684556734937958</v>
      </c>
      <c r="Q511" s="579">
        <v>6</v>
      </c>
      <c r="R511" s="580">
        <v>1.4999999999999999E-2</v>
      </c>
      <c r="S511" s="581">
        <v>0</v>
      </c>
      <c r="T511" s="581"/>
      <c r="U511" s="581"/>
      <c r="V511" s="581"/>
      <c r="W511" s="581" t="s">
        <v>288</v>
      </c>
    </row>
    <row r="512" spans="1:24">
      <c r="A512" s="557">
        <v>44246</v>
      </c>
      <c r="B512" s="577">
        <v>6480</v>
      </c>
      <c r="C512" s="577">
        <v>107.75</v>
      </c>
      <c r="D512" s="577">
        <v>30</v>
      </c>
      <c r="E512" s="577">
        <v>52</v>
      </c>
      <c r="F512" s="577"/>
      <c r="G512" s="577"/>
      <c r="H512" s="577"/>
      <c r="I512" s="577">
        <v>288</v>
      </c>
      <c r="J512" s="578">
        <v>0.16</v>
      </c>
      <c r="K512" s="577">
        <v>40240.800000000003</v>
      </c>
      <c r="L512" s="577">
        <v>5780.7874999999995</v>
      </c>
      <c r="M512" s="577">
        <v>1020</v>
      </c>
      <c r="N512" s="577">
        <v>44.5</v>
      </c>
      <c r="O512" s="577">
        <v>47041.587500000001</v>
      </c>
      <c r="P512" s="577">
        <v>0.9725348941918055</v>
      </c>
      <c r="Q512" s="579">
        <v>6</v>
      </c>
      <c r="R512" s="580">
        <v>1.4999999999999999E-2</v>
      </c>
      <c r="S512" s="581">
        <v>0</v>
      </c>
      <c r="T512" s="581"/>
      <c r="U512" s="581"/>
      <c r="V512" s="581"/>
      <c r="W512" s="581"/>
    </row>
    <row r="513" spans="1:23">
      <c r="A513" s="557">
        <v>44247</v>
      </c>
      <c r="B513" s="577">
        <v>6431</v>
      </c>
      <c r="C513" s="577">
        <v>0</v>
      </c>
      <c r="D513" s="577">
        <v>50</v>
      </c>
      <c r="E513" s="577">
        <v>58</v>
      </c>
      <c r="F513" s="577"/>
      <c r="G513" s="577"/>
      <c r="H513" s="577"/>
      <c r="I513" s="577">
        <v>308</v>
      </c>
      <c r="J513" s="578">
        <v>0.27</v>
      </c>
      <c r="K513" s="577">
        <v>39936.51</v>
      </c>
      <c r="L513" s="577">
        <v>0</v>
      </c>
      <c r="M513" s="577">
        <v>1700</v>
      </c>
      <c r="N513" s="577">
        <v>45.5</v>
      </c>
      <c r="O513" s="577">
        <v>41636.51</v>
      </c>
      <c r="P513" s="577">
        <v>0.97115675022651771</v>
      </c>
      <c r="Q513" s="579">
        <v>6</v>
      </c>
      <c r="R513" s="580">
        <v>1.4999999999999999E-2</v>
      </c>
      <c r="S513" s="581">
        <v>0</v>
      </c>
      <c r="T513" s="581"/>
      <c r="U513" s="581"/>
      <c r="V513" s="581"/>
      <c r="W513" s="581"/>
    </row>
    <row r="514" spans="1:23">
      <c r="A514" s="557">
        <v>44248</v>
      </c>
      <c r="B514" s="577">
        <v>6172</v>
      </c>
      <c r="C514" s="577">
        <v>0</v>
      </c>
      <c r="D514" s="577">
        <v>30</v>
      </c>
      <c r="E514" s="577">
        <v>22</v>
      </c>
      <c r="F514" s="577"/>
      <c r="G514" s="577"/>
      <c r="H514" s="577"/>
      <c r="I514" s="577">
        <v>308</v>
      </c>
      <c r="J514" s="578">
        <v>0.27</v>
      </c>
      <c r="K514" s="577">
        <v>38328.120000000003</v>
      </c>
      <c r="L514" s="577">
        <v>0</v>
      </c>
      <c r="M514" s="577">
        <v>1020</v>
      </c>
      <c r="N514" s="577">
        <v>46.5</v>
      </c>
      <c r="O514" s="577">
        <v>39348.120000000003</v>
      </c>
      <c r="P514" s="577">
        <v>0.97411616161616166</v>
      </c>
      <c r="Q514" s="579">
        <v>6</v>
      </c>
      <c r="R514" s="580">
        <v>1.4999999999999999E-2</v>
      </c>
      <c r="S514" s="581">
        <v>0</v>
      </c>
      <c r="T514" s="581"/>
      <c r="U514" s="581"/>
      <c r="V514" s="581"/>
      <c r="W514" s="581" t="s">
        <v>289</v>
      </c>
    </row>
    <row r="515" spans="1:23">
      <c r="A515" s="557">
        <v>44249</v>
      </c>
      <c r="B515" s="577">
        <v>6474</v>
      </c>
      <c r="C515" s="577">
        <v>107.75</v>
      </c>
      <c r="D515" s="577">
        <v>70</v>
      </c>
      <c r="E515" s="577">
        <v>166</v>
      </c>
      <c r="F515" s="577"/>
      <c r="G515" s="577"/>
      <c r="H515" s="577"/>
      <c r="I515" s="577">
        <v>352</v>
      </c>
      <c r="J515" s="578">
        <v>0.27</v>
      </c>
      <c r="K515" s="577">
        <v>40203.54</v>
      </c>
      <c r="L515" s="577">
        <v>5780.7874999999995</v>
      </c>
      <c r="M515" s="577">
        <v>2380</v>
      </c>
      <c r="N515" s="577">
        <v>47.5</v>
      </c>
      <c r="O515" s="577">
        <v>48364.327499999999</v>
      </c>
      <c r="P515" s="577">
        <v>0.96959712445709156</v>
      </c>
      <c r="Q515" s="579">
        <v>6</v>
      </c>
      <c r="R515" s="580">
        <v>1.4999999999999999E-2</v>
      </c>
      <c r="S515" s="581">
        <v>0</v>
      </c>
      <c r="T515" s="581"/>
      <c r="U515" s="581"/>
      <c r="V515" s="581"/>
      <c r="W515" s="581"/>
    </row>
    <row r="516" spans="1:23">
      <c r="A516" s="557">
        <v>44250</v>
      </c>
      <c r="B516" s="577">
        <v>6304</v>
      </c>
      <c r="C516" s="577">
        <v>107.75</v>
      </c>
      <c r="D516" s="577">
        <v>60</v>
      </c>
      <c r="E516" s="577">
        <v>108</v>
      </c>
      <c r="F516" s="577"/>
      <c r="G516" s="577"/>
      <c r="H516" s="577"/>
      <c r="I516" s="577">
        <v>388</v>
      </c>
      <c r="J516" s="578">
        <v>0.37</v>
      </c>
      <c r="K516" s="577">
        <v>39147.839999999997</v>
      </c>
      <c r="L516" s="577">
        <v>5780.7874999999995</v>
      </c>
      <c r="M516" s="577">
        <v>2040</v>
      </c>
      <c r="N516" s="577">
        <v>48.5</v>
      </c>
      <c r="O516" s="577">
        <v>46968.627499999995</v>
      </c>
      <c r="P516" s="577">
        <v>0.96761320030698383</v>
      </c>
      <c r="Q516" s="579">
        <v>6</v>
      </c>
      <c r="R516" s="580">
        <v>1.4999999999999999E-2</v>
      </c>
      <c r="S516" s="581">
        <v>0</v>
      </c>
      <c r="T516" s="581"/>
      <c r="U516" s="581"/>
      <c r="V516" s="581"/>
      <c r="W516" s="581"/>
    </row>
    <row r="517" spans="1:23">
      <c r="A517" s="557">
        <v>44251</v>
      </c>
      <c r="B517" s="577">
        <v>6299</v>
      </c>
      <c r="C517" s="577">
        <v>0</v>
      </c>
      <c r="D517" s="577">
        <v>50</v>
      </c>
      <c r="E517" s="577">
        <v>119</v>
      </c>
      <c r="F517" s="577"/>
      <c r="G517" s="577"/>
      <c r="H517" s="577"/>
      <c r="I517" s="577">
        <v>360</v>
      </c>
      <c r="J517" s="578">
        <v>0.25</v>
      </c>
      <c r="K517" s="577">
        <v>39116.79</v>
      </c>
      <c r="L517" s="577">
        <v>0</v>
      </c>
      <c r="M517" s="577">
        <v>1700</v>
      </c>
      <c r="N517" s="577">
        <v>49.5</v>
      </c>
      <c r="O517" s="577">
        <v>40816.79</v>
      </c>
      <c r="P517" s="577">
        <v>0.96021341463414633</v>
      </c>
      <c r="Q517" s="579">
        <v>6</v>
      </c>
      <c r="R517" s="580">
        <v>1.4999999999999999E-2</v>
      </c>
      <c r="S517" s="581">
        <v>0</v>
      </c>
      <c r="T517" s="581"/>
      <c r="U517" s="581"/>
      <c r="V517" s="581"/>
      <c r="W517" s="581"/>
    </row>
    <row r="518" spans="1:23">
      <c r="A518" s="557">
        <v>44252</v>
      </c>
      <c r="B518" s="577">
        <v>5591</v>
      </c>
      <c r="C518" s="577">
        <v>0</v>
      </c>
      <c r="D518" s="577">
        <v>60</v>
      </c>
      <c r="E518" s="577">
        <v>46</v>
      </c>
      <c r="F518" s="577"/>
      <c r="G518" s="577"/>
      <c r="H518" s="577"/>
      <c r="I518" s="577">
        <v>400</v>
      </c>
      <c r="J518" s="578">
        <v>0.15</v>
      </c>
      <c r="K518" s="577">
        <v>34720.11</v>
      </c>
      <c r="L518" s="577">
        <v>0</v>
      </c>
      <c r="M518" s="577">
        <v>2040</v>
      </c>
      <c r="N518" s="577">
        <v>50.5</v>
      </c>
      <c r="O518" s="577">
        <v>36760.11</v>
      </c>
      <c r="P518" s="577">
        <v>0.962969342059938</v>
      </c>
      <c r="Q518" s="579">
        <v>6</v>
      </c>
      <c r="R518" s="580">
        <v>1.4999999999999999E-2</v>
      </c>
      <c r="S518" s="581">
        <v>0</v>
      </c>
      <c r="T518" s="581"/>
      <c r="U518" s="581"/>
      <c r="V518" s="581"/>
      <c r="W518" s="581"/>
    </row>
    <row r="519" spans="1:23">
      <c r="A519" s="557">
        <v>44253</v>
      </c>
      <c r="B519" s="577">
        <v>6328</v>
      </c>
      <c r="C519" s="577">
        <v>107.75</v>
      </c>
      <c r="D519" s="577">
        <v>50</v>
      </c>
      <c r="E519" s="577">
        <v>67</v>
      </c>
      <c r="F519" s="577"/>
      <c r="G519" s="577"/>
      <c r="H519" s="577"/>
      <c r="I519" s="577">
        <v>400</v>
      </c>
      <c r="J519" s="578"/>
      <c r="K519" s="577">
        <v>39296.879999999997</v>
      </c>
      <c r="L519" s="577">
        <v>5780.7874999999995</v>
      </c>
      <c r="M519" s="577">
        <v>1700</v>
      </c>
      <c r="N519" s="577">
        <v>51.5</v>
      </c>
      <c r="O519" s="577">
        <v>46777.667499999996</v>
      </c>
      <c r="P519" s="577">
        <v>0.97070102776499467</v>
      </c>
      <c r="Q519" s="579">
        <v>6</v>
      </c>
      <c r="R519" s="580">
        <v>1.4999999999999999E-2</v>
      </c>
      <c r="S519" s="581">
        <v>0</v>
      </c>
      <c r="T519" s="581"/>
      <c r="U519" s="581"/>
      <c r="V519" s="581"/>
      <c r="W519" s="581"/>
    </row>
    <row r="520" spans="1:23">
      <c r="A520" s="557">
        <v>44254</v>
      </c>
      <c r="B520" s="577">
        <v>5878</v>
      </c>
      <c r="C520" s="577">
        <v>0</v>
      </c>
      <c r="D520" s="577">
        <v>10</v>
      </c>
      <c r="E520" s="577">
        <v>30</v>
      </c>
      <c r="F520" s="577"/>
      <c r="G520" s="577"/>
      <c r="H520" s="577"/>
      <c r="I520" s="577">
        <v>360</v>
      </c>
      <c r="J520" s="578"/>
      <c r="K520" s="577">
        <v>36502.379999999997</v>
      </c>
      <c r="L520" s="577">
        <v>0</v>
      </c>
      <c r="M520" s="577">
        <v>340</v>
      </c>
      <c r="N520" s="577">
        <v>52.5</v>
      </c>
      <c r="O520" s="577">
        <v>36842.379999999997</v>
      </c>
      <c r="P520" s="577">
        <v>0.96661733267554684</v>
      </c>
      <c r="Q520" s="579">
        <v>6</v>
      </c>
      <c r="R520" s="580">
        <v>1.4999999999999999E-2</v>
      </c>
      <c r="S520" s="581">
        <v>0</v>
      </c>
      <c r="T520" s="581"/>
      <c r="U520" s="581"/>
      <c r="V520" s="581"/>
      <c r="W520" s="581"/>
    </row>
    <row r="521" spans="1:23">
      <c r="A521" s="557">
        <v>44255</v>
      </c>
      <c r="B521" s="577">
        <v>5606</v>
      </c>
      <c r="C521" s="577">
        <v>107.75</v>
      </c>
      <c r="D521" s="577">
        <v>40</v>
      </c>
      <c r="E521" s="577">
        <v>29</v>
      </c>
      <c r="F521" s="577"/>
      <c r="G521" s="577"/>
      <c r="H521" s="577"/>
      <c r="I521" s="577">
        <v>400</v>
      </c>
      <c r="J521" s="578"/>
      <c r="K521" s="577">
        <v>34813.26</v>
      </c>
      <c r="L521" s="577">
        <v>5780.7874999999995</v>
      </c>
      <c r="M521" s="577">
        <v>1360</v>
      </c>
      <c r="N521" s="577">
        <v>53.5</v>
      </c>
      <c r="O521" s="577">
        <v>41954.047500000001</v>
      </c>
      <c r="P521" s="577">
        <v>0.9551882773896746</v>
      </c>
      <c r="Q521" s="579">
        <v>6</v>
      </c>
      <c r="R521" s="580">
        <v>1.4999999999999999E-2</v>
      </c>
      <c r="S521" s="581">
        <v>0</v>
      </c>
      <c r="T521" s="581"/>
      <c r="U521" s="581"/>
      <c r="V521" s="581"/>
      <c r="W521" s="581"/>
    </row>
    <row r="522" spans="1:23">
      <c r="A522" s="576">
        <v>0</v>
      </c>
      <c r="B522" s="577" t="s">
        <v>255</v>
      </c>
      <c r="C522" s="577" t="s">
        <v>255</v>
      </c>
      <c r="D522" s="577">
        <v>0</v>
      </c>
      <c r="E522" s="577" t="s">
        <v>255</v>
      </c>
      <c r="F522" s="577"/>
      <c r="G522" s="577"/>
      <c r="H522" s="577"/>
      <c r="I522" s="577">
        <v>0</v>
      </c>
      <c r="J522" s="578"/>
      <c r="K522" s="577">
        <v>0</v>
      </c>
      <c r="L522" s="577">
        <v>0</v>
      </c>
      <c r="M522" s="577">
        <v>0</v>
      </c>
      <c r="N522" s="577">
        <v>54.5</v>
      </c>
      <c r="O522" s="577">
        <v>0</v>
      </c>
      <c r="P522" s="577" t="e">
        <v>#DIV/0!</v>
      </c>
      <c r="Q522" s="579">
        <v>0</v>
      </c>
      <c r="R522" s="580">
        <v>0</v>
      </c>
      <c r="S522" s="581">
        <v>0</v>
      </c>
      <c r="T522" s="581"/>
      <c r="U522" s="581"/>
      <c r="V522" s="581"/>
      <c r="W522" s="581"/>
    </row>
    <row r="523" spans="1:23">
      <c r="A523" s="576">
        <v>0</v>
      </c>
      <c r="B523" s="577">
        <v>0</v>
      </c>
      <c r="C523" s="577" t="s">
        <v>255</v>
      </c>
      <c r="D523" s="577">
        <v>0</v>
      </c>
      <c r="E523" s="577">
        <v>0</v>
      </c>
      <c r="F523" s="577"/>
      <c r="G523" s="577"/>
      <c r="H523" s="577"/>
      <c r="I523" s="577">
        <v>0</v>
      </c>
      <c r="J523" s="578"/>
      <c r="K523" s="577">
        <v>0</v>
      </c>
      <c r="L523" s="577">
        <v>0</v>
      </c>
      <c r="M523" s="577">
        <v>0</v>
      </c>
      <c r="N523" s="577">
        <v>55.5</v>
      </c>
      <c r="O523" s="577">
        <v>0</v>
      </c>
      <c r="P523" s="577" t="e">
        <v>#DIV/0!</v>
      </c>
      <c r="Q523" s="579">
        <v>0</v>
      </c>
      <c r="R523" s="580">
        <v>0</v>
      </c>
      <c r="S523" s="581">
        <v>0</v>
      </c>
      <c r="T523" s="581"/>
      <c r="U523" s="581"/>
      <c r="V523" s="581"/>
      <c r="W523" s="581"/>
    </row>
    <row r="524" spans="1:23">
      <c r="A524" s="576">
        <v>0</v>
      </c>
      <c r="B524" s="577">
        <v>0</v>
      </c>
      <c r="C524" s="577" t="s">
        <v>255</v>
      </c>
      <c r="D524" s="577">
        <v>0</v>
      </c>
      <c r="E524" s="577">
        <v>0</v>
      </c>
      <c r="F524" s="577"/>
      <c r="G524" s="577"/>
      <c r="H524" s="577"/>
      <c r="I524" s="577">
        <v>0</v>
      </c>
      <c r="J524" s="578"/>
      <c r="K524" s="577">
        <v>0</v>
      </c>
      <c r="L524" s="577">
        <v>0</v>
      </c>
      <c r="M524" s="577">
        <v>0</v>
      </c>
      <c r="N524" s="577">
        <v>56.5</v>
      </c>
      <c r="O524" s="577">
        <v>0</v>
      </c>
      <c r="P524" s="577" t="e">
        <v>#DIV/0!</v>
      </c>
      <c r="Q524" s="579">
        <v>0</v>
      </c>
      <c r="R524" s="580">
        <v>0</v>
      </c>
      <c r="S524" s="581">
        <v>0</v>
      </c>
      <c r="T524" s="581"/>
      <c r="U524" s="581"/>
      <c r="V524" s="581"/>
      <c r="W524" s="581"/>
    </row>
    <row r="525" spans="1:23">
      <c r="A525" s="576" t="s">
        <v>161</v>
      </c>
      <c r="B525" s="577">
        <v>193995</v>
      </c>
      <c r="C525" s="577">
        <v>1400.75</v>
      </c>
      <c r="D525" s="577">
        <v>1410</v>
      </c>
      <c r="E525" s="577"/>
      <c r="F525" s="577"/>
      <c r="G525" s="577"/>
      <c r="H525" s="577"/>
      <c r="I525" s="577"/>
      <c r="J525" s="578"/>
      <c r="K525" s="577">
        <v>1204708.95</v>
      </c>
      <c r="L525" s="577">
        <v>75150.237500000003</v>
      </c>
      <c r="M525" s="577">
        <v>47940</v>
      </c>
      <c r="N525" s="577"/>
      <c r="O525" s="577">
        <v>1327799.1875</v>
      </c>
      <c r="P525" s="577"/>
      <c r="Q525" s="579"/>
      <c r="R525" s="580"/>
      <c r="S525" s="581"/>
      <c r="T525" s="581"/>
      <c r="U525" s="581"/>
      <c r="V525" s="581"/>
      <c r="W525" s="581"/>
    </row>
    <row r="526" spans="1:23">
      <c r="A526" s="706"/>
      <c r="B526" s="411"/>
      <c r="C526" s="411"/>
      <c r="D526" s="411"/>
      <c r="E526" s="411"/>
      <c r="F526" s="411"/>
      <c r="G526" s="411"/>
      <c r="H526" s="411"/>
      <c r="I526" s="411"/>
      <c r="J526" s="530"/>
      <c r="K526" s="411"/>
      <c r="L526" s="411"/>
      <c r="M526" s="411"/>
      <c r="N526" s="411"/>
      <c r="O526" s="411"/>
      <c r="P526" s="411"/>
      <c r="Q526" s="492"/>
      <c r="R526" s="493"/>
      <c r="S526" s="458"/>
      <c r="T526" s="458"/>
      <c r="U526" s="458"/>
      <c r="V526" s="458"/>
      <c r="W526" s="458"/>
    </row>
    <row r="527" spans="1:23" ht="57.95">
      <c r="A527" s="576" t="s">
        <v>14</v>
      </c>
      <c r="B527" s="817" t="s">
        <v>145</v>
      </c>
      <c r="C527" s="818"/>
      <c r="D527" s="818"/>
      <c r="E527" s="818"/>
      <c r="F527" s="818"/>
      <c r="G527" s="818"/>
      <c r="H527" s="818"/>
      <c r="I527" s="819"/>
      <c r="J527" s="578"/>
      <c r="K527" s="817" t="s">
        <v>146</v>
      </c>
      <c r="L527" s="818"/>
      <c r="M527" s="819"/>
      <c r="N527" s="577" t="s">
        <v>147</v>
      </c>
      <c r="O527" s="577" t="s">
        <v>148</v>
      </c>
      <c r="P527" s="577" t="s">
        <v>175</v>
      </c>
      <c r="Q527" s="579" t="s">
        <v>149</v>
      </c>
      <c r="R527" s="580" t="s">
        <v>150</v>
      </c>
      <c r="S527" s="581" t="s">
        <v>165</v>
      </c>
      <c r="T527" s="581"/>
      <c r="U527" s="581"/>
      <c r="V527" s="581"/>
      <c r="W527" s="581" t="s">
        <v>176</v>
      </c>
    </row>
    <row r="528" spans="1:23">
      <c r="A528" s="557"/>
      <c r="B528" s="577" t="s">
        <v>156</v>
      </c>
      <c r="C528" s="577" t="s">
        <v>157</v>
      </c>
      <c r="D528" s="577" t="s">
        <v>158</v>
      </c>
      <c r="E528" s="577" t="s">
        <v>268</v>
      </c>
      <c r="F528" s="577"/>
      <c r="G528" s="577"/>
      <c r="H528" s="577"/>
      <c r="I528" s="577" t="s">
        <v>269</v>
      </c>
      <c r="J528" s="578"/>
      <c r="K528" s="577" t="s">
        <v>156</v>
      </c>
      <c r="L528" s="577" t="s">
        <v>157</v>
      </c>
      <c r="M528" s="577" t="s">
        <v>158</v>
      </c>
      <c r="N528" s="577"/>
      <c r="O528" s="577"/>
      <c r="P528" s="577"/>
      <c r="Q528" s="579"/>
      <c r="R528" s="580"/>
      <c r="S528" s="581"/>
      <c r="T528" s="581"/>
      <c r="U528" s="581"/>
      <c r="V528" s="581"/>
      <c r="W528" s="581"/>
    </row>
    <row r="529" spans="1:23" hidden="1">
      <c r="A529" s="557" t="s">
        <v>290</v>
      </c>
      <c r="B529" s="577">
        <v>6266</v>
      </c>
      <c r="C529" s="577">
        <v>0</v>
      </c>
      <c r="D529" s="577">
        <v>50</v>
      </c>
      <c r="E529" s="577">
        <v>56</v>
      </c>
      <c r="F529" s="577"/>
      <c r="G529" s="577"/>
      <c r="H529" s="577"/>
      <c r="I529" s="577">
        <v>400</v>
      </c>
      <c r="J529" s="578">
        <v>0.4</v>
      </c>
      <c r="K529" s="577">
        <v>38911.86</v>
      </c>
      <c r="L529" s="577">
        <v>0</v>
      </c>
      <c r="M529" s="577">
        <v>1700</v>
      </c>
      <c r="N529" s="577">
        <v>26.5</v>
      </c>
      <c r="O529" s="577">
        <v>40611.86</v>
      </c>
      <c r="P529" s="577">
        <v>0.96667695155816102</v>
      </c>
      <c r="Q529" s="579">
        <v>6</v>
      </c>
      <c r="R529" s="580">
        <v>1.4999999999999999E-2</v>
      </c>
      <c r="S529" s="581">
        <v>0</v>
      </c>
      <c r="T529" s="581"/>
      <c r="U529" s="581"/>
      <c r="V529" s="581"/>
      <c r="W529" s="581" t="s">
        <v>291</v>
      </c>
    </row>
    <row r="530" spans="1:23" hidden="1">
      <c r="A530" s="557">
        <v>44257</v>
      </c>
      <c r="B530" s="577">
        <v>6059</v>
      </c>
      <c r="C530" s="577">
        <v>107.75</v>
      </c>
      <c r="D530" s="577">
        <v>50</v>
      </c>
      <c r="E530" s="577">
        <v>60</v>
      </c>
      <c r="F530" s="577"/>
      <c r="G530" s="577"/>
      <c r="H530" s="577"/>
      <c r="I530" s="577">
        <v>400</v>
      </c>
      <c r="J530" s="578">
        <v>0.45</v>
      </c>
      <c r="K530" s="577">
        <v>37626.39</v>
      </c>
      <c r="L530" s="577">
        <v>5780.7874999999995</v>
      </c>
      <c r="M530" s="577">
        <v>1700</v>
      </c>
      <c r="N530" s="577">
        <v>27.5</v>
      </c>
      <c r="O530" s="577">
        <v>45107.177499999998</v>
      </c>
      <c r="P530" s="577">
        <v>0.95946159936658748</v>
      </c>
      <c r="Q530" s="579">
        <v>6</v>
      </c>
      <c r="R530" s="580">
        <v>1.4999999999999999E-2</v>
      </c>
      <c r="S530" s="581">
        <v>0</v>
      </c>
      <c r="T530" s="581"/>
      <c r="U530" s="581"/>
      <c r="V530" s="581"/>
      <c r="W530" s="581"/>
    </row>
    <row r="531" spans="1:23" hidden="1">
      <c r="A531" s="557">
        <v>44258</v>
      </c>
      <c r="B531" s="577">
        <v>6475</v>
      </c>
      <c r="C531" s="577">
        <v>0</v>
      </c>
      <c r="D531" s="577">
        <v>70</v>
      </c>
      <c r="E531" s="577">
        <v>71</v>
      </c>
      <c r="F531" s="577"/>
      <c r="G531" s="577"/>
      <c r="H531" s="577"/>
      <c r="I531" s="577">
        <v>400</v>
      </c>
      <c r="J531" s="578">
        <v>0.44</v>
      </c>
      <c r="K531" s="577">
        <v>40209.75</v>
      </c>
      <c r="L531" s="577">
        <v>0</v>
      </c>
      <c r="M531" s="577">
        <v>2380</v>
      </c>
      <c r="N531" s="577">
        <v>28.5</v>
      </c>
      <c r="O531" s="577">
        <v>42589.75</v>
      </c>
      <c r="P531" s="577">
        <v>0.96815191387559807</v>
      </c>
      <c r="Q531" s="579">
        <v>6</v>
      </c>
      <c r="R531" s="580">
        <v>1.4999999999999999E-2</v>
      </c>
      <c r="S531" s="581">
        <v>0</v>
      </c>
      <c r="T531" s="581"/>
      <c r="U531" s="581"/>
      <c r="V531" s="581"/>
      <c r="W531" s="581"/>
    </row>
    <row r="532" spans="1:23" hidden="1">
      <c r="A532" s="557">
        <v>44259</v>
      </c>
      <c r="B532" s="577">
        <v>6476</v>
      </c>
      <c r="C532" s="577">
        <v>0</v>
      </c>
      <c r="D532" s="577">
        <v>80</v>
      </c>
      <c r="E532" s="577">
        <v>77</v>
      </c>
      <c r="F532" s="577"/>
      <c r="G532" s="577"/>
      <c r="H532" s="577"/>
      <c r="I532" s="577">
        <v>400</v>
      </c>
      <c r="J532" s="578">
        <v>0.46</v>
      </c>
      <c r="K532" s="577">
        <v>40215.96</v>
      </c>
      <c r="L532" s="577">
        <v>0</v>
      </c>
      <c r="M532" s="577">
        <v>2720</v>
      </c>
      <c r="N532" s="577">
        <v>29.5</v>
      </c>
      <c r="O532" s="577">
        <v>42935.96</v>
      </c>
      <c r="P532" s="577">
        <v>0.9736881671929033</v>
      </c>
      <c r="Q532" s="579">
        <v>6</v>
      </c>
      <c r="R532" s="580">
        <v>1.4999999999999999E-2</v>
      </c>
      <c r="S532" s="581">
        <v>0</v>
      </c>
      <c r="T532" s="581"/>
      <c r="U532" s="581"/>
      <c r="V532" s="581"/>
      <c r="W532" s="581" t="s">
        <v>292</v>
      </c>
    </row>
    <row r="533" spans="1:23" hidden="1">
      <c r="A533" s="557">
        <v>44260</v>
      </c>
      <c r="B533" s="577">
        <v>5896</v>
      </c>
      <c r="C533" s="577">
        <v>0</v>
      </c>
      <c r="D533" s="577">
        <v>20</v>
      </c>
      <c r="E533" s="577">
        <v>33</v>
      </c>
      <c r="F533" s="577"/>
      <c r="G533" s="577"/>
      <c r="H533" s="577"/>
      <c r="I533" s="577">
        <v>400</v>
      </c>
      <c r="J533" s="578">
        <v>0.46</v>
      </c>
      <c r="K533" s="577">
        <v>36614.159999999996</v>
      </c>
      <c r="L533" s="577">
        <v>0</v>
      </c>
      <c r="M533" s="577">
        <v>680</v>
      </c>
      <c r="N533" s="577">
        <v>30.5</v>
      </c>
      <c r="O533" s="577">
        <v>37294.159999999996</v>
      </c>
      <c r="P533" s="577">
        <v>0.95854332628840844</v>
      </c>
      <c r="Q533" s="579">
        <v>6</v>
      </c>
      <c r="R533" s="580">
        <v>1.4999999999999999E-2</v>
      </c>
      <c r="S533" s="581">
        <v>0</v>
      </c>
      <c r="T533" s="581"/>
      <c r="U533" s="581"/>
      <c r="V533" s="581"/>
      <c r="W533" s="581"/>
    </row>
    <row r="534" spans="1:23" hidden="1">
      <c r="A534" s="557">
        <v>44261</v>
      </c>
      <c r="B534" s="577">
        <v>5315</v>
      </c>
      <c r="C534" s="577">
        <v>107.75</v>
      </c>
      <c r="D534" s="577">
        <v>20</v>
      </c>
      <c r="E534" s="577">
        <v>40</v>
      </c>
      <c r="F534" s="577"/>
      <c r="G534" s="577"/>
      <c r="H534" s="577"/>
      <c r="I534" s="577">
        <v>400</v>
      </c>
      <c r="J534" s="578">
        <v>0.46</v>
      </c>
      <c r="K534" s="577">
        <v>33006.15</v>
      </c>
      <c r="L534" s="577">
        <v>5780.7874999999995</v>
      </c>
      <c r="M534" s="577">
        <v>680</v>
      </c>
      <c r="N534" s="577">
        <v>31.5</v>
      </c>
      <c r="O534" s="577">
        <v>39466.9375</v>
      </c>
      <c r="P534" s="577">
        <v>0.96321130844508884</v>
      </c>
      <c r="Q534" s="579">
        <v>6</v>
      </c>
      <c r="R534" s="580">
        <v>1.4999999999999999E-2</v>
      </c>
      <c r="S534" s="581">
        <v>0</v>
      </c>
      <c r="T534" s="581"/>
      <c r="U534" s="581"/>
      <c r="V534" s="581"/>
      <c r="W534" s="581"/>
    </row>
    <row r="535" spans="1:23" hidden="1">
      <c r="A535" s="557">
        <v>44262</v>
      </c>
      <c r="B535" s="577">
        <v>6678</v>
      </c>
      <c r="C535" s="577">
        <v>0</v>
      </c>
      <c r="D535" s="577">
        <v>20</v>
      </c>
      <c r="E535" s="577">
        <v>35</v>
      </c>
      <c r="F535" s="577"/>
      <c r="G535" s="577"/>
      <c r="H535" s="577"/>
      <c r="I535" s="577">
        <v>400</v>
      </c>
      <c r="J535" s="578">
        <v>0.46</v>
      </c>
      <c r="K535" s="577">
        <v>41470.379999999997</v>
      </c>
      <c r="L535" s="577">
        <v>0</v>
      </c>
      <c r="M535" s="577">
        <v>680</v>
      </c>
      <c r="N535" s="577">
        <v>32.5</v>
      </c>
      <c r="O535" s="577">
        <v>42150.38</v>
      </c>
      <c r="P535" s="577">
        <v>0.96838747099767986</v>
      </c>
      <c r="Q535" s="579">
        <v>6</v>
      </c>
      <c r="R535" s="580">
        <v>1.4999999999999999E-2</v>
      </c>
      <c r="S535" s="581">
        <v>0</v>
      </c>
      <c r="T535" s="581"/>
      <c r="U535" s="581"/>
      <c r="V535" s="581"/>
      <c r="W535" s="581"/>
    </row>
    <row r="536" spans="1:23" hidden="1">
      <c r="A536" s="557">
        <v>44263</v>
      </c>
      <c r="B536" s="577">
        <v>5960</v>
      </c>
      <c r="C536" s="577">
        <v>107.75</v>
      </c>
      <c r="D536" s="577">
        <v>30</v>
      </c>
      <c r="E536" s="577">
        <v>55</v>
      </c>
      <c r="F536" s="577"/>
      <c r="G536" s="577"/>
      <c r="H536" s="577"/>
      <c r="I536" s="577">
        <v>400</v>
      </c>
      <c r="J536" s="578">
        <v>0.5</v>
      </c>
      <c r="K536" s="577">
        <v>37011.599999999999</v>
      </c>
      <c r="L536" s="577">
        <v>5780.7874999999995</v>
      </c>
      <c r="M536" s="577">
        <v>1020</v>
      </c>
      <c r="N536" s="577">
        <v>33.5</v>
      </c>
      <c r="O536" s="577">
        <v>43812.387499999997</v>
      </c>
      <c r="P536" s="577">
        <v>0.9658078107275968</v>
      </c>
      <c r="Q536" s="579">
        <v>6</v>
      </c>
      <c r="R536" s="580">
        <v>1.4999999999999999E-2</v>
      </c>
      <c r="S536" s="581">
        <v>0</v>
      </c>
      <c r="T536" s="581"/>
      <c r="U536" s="581"/>
      <c r="V536" s="581"/>
      <c r="W536" s="581"/>
    </row>
    <row r="537" spans="1:23" hidden="1">
      <c r="A537" s="557">
        <v>44264</v>
      </c>
      <c r="B537" s="577">
        <v>5456</v>
      </c>
      <c r="C537" s="577">
        <v>107.75</v>
      </c>
      <c r="D537" s="577">
        <v>30</v>
      </c>
      <c r="E537" s="577">
        <v>5</v>
      </c>
      <c r="F537" s="577"/>
      <c r="G537" s="577"/>
      <c r="H537" s="577"/>
      <c r="I537" s="577">
        <v>400</v>
      </c>
      <c r="J537" s="578">
        <v>0.5</v>
      </c>
      <c r="K537" s="577">
        <v>33881.760000000002</v>
      </c>
      <c r="L537" s="577">
        <v>5780.7874999999995</v>
      </c>
      <c r="M537" s="577">
        <v>1020</v>
      </c>
      <c r="N537" s="577">
        <v>34.5</v>
      </c>
      <c r="O537" s="577">
        <v>40682.547500000001</v>
      </c>
      <c r="P537" s="577">
        <v>0.95803336259877081</v>
      </c>
      <c r="Q537" s="579">
        <v>6</v>
      </c>
      <c r="R537" s="580">
        <v>1.4999999999999999E-2</v>
      </c>
      <c r="S537" s="581">
        <v>0</v>
      </c>
      <c r="T537" s="581"/>
      <c r="U537" s="581"/>
      <c r="V537" s="581"/>
      <c r="W537" s="581"/>
    </row>
    <row r="538" spans="1:23" hidden="1">
      <c r="A538" s="557">
        <v>44265</v>
      </c>
      <c r="B538" s="577">
        <v>6272</v>
      </c>
      <c r="C538" s="577">
        <v>0</v>
      </c>
      <c r="D538" s="577">
        <v>20</v>
      </c>
      <c r="E538" s="577">
        <v>32</v>
      </c>
      <c r="F538" s="577"/>
      <c r="G538" s="577"/>
      <c r="H538" s="577"/>
      <c r="I538" s="577">
        <v>400</v>
      </c>
      <c r="J538" s="578">
        <v>0.43</v>
      </c>
      <c r="K538" s="577">
        <v>38949.120000000003</v>
      </c>
      <c r="L538" s="577">
        <v>0</v>
      </c>
      <c r="M538" s="577">
        <v>680</v>
      </c>
      <c r="N538" s="577">
        <v>35.5</v>
      </c>
      <c r="O538" s="577">
        <v>39629.120000000003</v>
      </c>
      <c r="P538" s="577">
        <v>0.96581459809054515</v>
      </c>
      <c r="Q538" s="579">
        <v>6</v>
      </c>
      <c r="R538" s="580">
        <v>1.4999999999999999E-2</v>
      </c>
      <c r="S538" s="581">
        <v>0</v>
      </c>
      <c r="T538" s="581"/>
      <c r="U538" s="581"/>
      <c r="V538" s="581"/>
      <c r="W538" s="581"/>
    </row>
    <row r="539" spans="1:23" hidden="1">
      <c r="A539" s="557">
        <v>44266</v>
      </c>
      <c r="B539" s="577">
        <v>5797</v>
      </c>
      <c r="C539" s="577">
        <v>107.75</v>
      </c>
      <c r="D539" s="577">
        <v>10</v>
      </c>
      <c r="E539" s="577">
        <v>28</v>
      </c>
      <c r="F539" s="577"/>
      <c r="G539" s="577"/>
      <c r="H539" s="577"/>
      <c r="I539" s="577">
        <v>400</v>
      </c>
      <c r="J539" s="578">
        <v>0.46</v>
      </c>
      <c r="K539" s="577">
        <v>35999.370000000003</v>
      </c>
      <c r="L539" s="577">
        <v>5780.7874999999995</v>
      </c>
      <c r="M539" s="577">
        <v>340</v>
      </c>
      <c r="N539" s="577">
        <v>36.5</v>
      </c>
      <c r="O539" s="577">
        <v>42120.157500000001</v>
      </c>
      <c r="P539" s="577">
        <v>0.96391752577319589</v>
      </c>
      <c r="Q539" s="579">
        <v>6</v>
      </c>
      <c r="R539" s="580">
        <v>1.4999999999999999E-2</v>
      </c>
      <c r="S539" s="581">
        <v>0</v>
      </c>
      <c r="T539" s="581"/>
      <c r="U539" s="581"/>
      <c r="V539" s="581"/>
      <c r="W539" s="581"/>
    </row>
    <row r="540" spans="1:23" hidden="1">
      <c r="A540" s="557">
        <v>44267</v>
      </c>
      <c r="B540" s="577">
        <v>5602</v>
      </c>
      <c r="C540" s="577">
        <v>107.75</v>
      </c>
      <c r="D540" s="577">
        <v>30</v>
      </c>
      <c r="E540" s="577">
        <v>10</v>
      </c>
      <c r="F540" s="577"/>
      <c r="G540" s="577"/>
      <c r="H540" s="577"/>
      <c r="I540" s="577">
        <v>400</v>
      </c>
      <c r="J540" s="578">
        <v>0.41</v>
      </c>
      <c r="K540" s="577">
        <v>34788.42</v>
      </c>
      <c r="L540" s="577">
        <v>5780.7874999999995</v>
      </c>
      <c r="M540" s="577">
        <v>1020</v>
      </c>
      <c r="N540" s="577">
        <v>37.5</v>
      </c>
      <c r="O540" s="577">
        <v>41589.207499999997</v>
      </c>
      <c r="P540" s="577">
        <v>0.96056241426611799</v>
      </c>
      <c r="Q540" s="579">
        <v>6</v>
      </c>
      <c r="R540" s="580">
        <v>1.4999999999999999E-2</v>
      </c>
      <c r="S540" s="581">
        <v>0</v>
      </c>
      <c r="T540" s="581"/>
      <c r="U540" s="581"/>
      <c r="V540" s="581"/>
      <c r="W540" s="581"/>
    </row>
    <row r="541" spans="1:23" hidden="1">
      <c r="A541" s="557">
        <v>44268</v>
      </c>
      <c r="B541" s="577">
        <v>6460</v>
      </c>
      <c r="C541" s="577">
        <v>107.75</v>
      </c>
      <c r="D541" s="577">
        <v>20</v>
      </c>
      <c r="E541" s="577">
        <v>77</v>
      </c>
      <c r="F541" s="577"/>
      <c r="G541" s="577"/>
      <c r="H541" s="577"/>
      <c r="I541" s="577">
        <v>400</v>
      </c>
      <c r="J541" s="578">
        <v>0.45</v>
      </c>
      <c r="K541" s="577">
        <v>40116.6</v>
      </c>
      <c r="L541" s="577">
        <v>5780.7874999999995</v>
      </c>
      <c r="M541" s="577">
        <v>680</v>
      </c>
      <c r="N541" s="577">
        <v>38.5</v>
      </c>
      <c r="O541" s="577">
        <v>46577.387499999997</v>
      </c>
      <c r="P541" s="577">
        <v>0.96059479553903349</v>
      </c>
      <c r="Q541" s="579">
        <v>6</v>
      </c>
      <c r="R541" s="580">
        <v>1.4999999999999999E-2</v>
      </c>
      <c r="S541" s="581">
        <v>0</v>
      </c>
      <c r="T541" s="581"/>
      <c r="U541" s="581"/>
      <c r="V541" s="581"/>
      <c r="W541" s="581" t="s">
        <v>293</v>
      </c>
    </row>
    <row r="542" spans="1:23" ht="43.5" hidden="1">
      <c r="A542" s="557">
        <v>44269</v>
      </c>
      <c r="B542" s="577">
        <v>6717</v>
      </c>
      <c r="C542" s="577">
        <v>107.75</v>
      </c>
      <c r="D542" s="577">
        <v>60</v>
      </c>
      <c r="E542" s="577">
        <v>46</v>
      </c>
      <c r="F542" s="577"/>
      <c r="G542" s="577"/>
      <c r="H542" s="577"/>
      <c r="I542" s="577">
        <v>400</v>
      </c>
      <c r="J542" s="578">
        <v>0.4</v>
      </c>
      <c r="K542" s="577">
        <v>41712.57</v>
      </c>
      <c r="L542" s="577">
        <v>5780.7874999999995</v>
      </c>
      <c r="M542" s="577">
        <v>2040</v>
      </c>
      <c r="N542" s="577">
        <v>39.5</v>
      </c>
      <c r="O542" s="577">
        <v>49533.357499999998</v>
      </c>
      <c r="P542" s="577">
        <v>0.98388750549289583</v>
      </c>
      <c r="Q542" s="579">
        <v>6</v>
      </c>
      <c r="R542" s="580">
        <v>1.4999999999999999E-2</v>
      </c>
      <c r="S542" s="581">
        <v>0</v>
      </c>
      <c r="T542" s="581"/>
      <c r="U542" s="581"/>
      <c r="V542" s="581"/>
      <c r="W542" s="581" t="s">
        <v>294</v>
      </c>
    </row>
    <row r="543" spans="1:23" ht="72.599999999999994" hidden="1">
      <c r="A543" s="557">
        <v>44270</v>
      </c>
      <c r="B543" s="577">
        <v>6181</v>
      </c>
      <c r="C543" s="577">
        <v>0</v>
      </c>
      <c r="D543" s="577">
        <v>60</v>
      </c>
      <c r="E543" s="577">
        <v>63</v>
      </c>
      <c r="F543" s="577"/>
      <c r="G543" s="577"/>
      <c r="H543" s="577"/>
      <c r="I543" s="577">
        <v>400</v>
      </c>
      <c r="J543" s="578">
        <v>0.44</v>
      </c>
      <c r="K543" s="577">
        <v>38384.01</v>
      </c>
      <c r="L543" s="577">
        <v>0</v>
      </c>
      <c r="M543" s="577">
        <v>2040</v>
      </c>
      <c r="N543" s="577">
        <v>40.5</v>
      </c>
      <c r="O543" s="577">
        <v>40424.01</v>
      </c>
      <c r="P543" s="577">
        <v>0.94150799695354148</v>
      </c>
      <c r="Q543" s="579">
        <v>6</v>
      </c>
      <c r="R543" s="580">
        <v>1.4999999999999999E-2</v>
      </c>
      <c r="S543" s="581">
        <v>0</v>
      </c>
      <c r="T543" s="581"/>
      <c r="U543" s="581"/>
      <c r="V543" s="581"/>
      <c r="W543" s="581" t="s">
        <v>295</v>
      </c>
    </row>
    <row r="544" spans="1:23" hidden="1">
      <c r="A544" s="557">
        <v>44271</v>
      </c>
      <c r="B544" s="577">
        <v>7186</v>
      </c>
      <c r="C544" s="577">
        <v>107.75</v>
      </c>
      <c r="D544" s="577">
        <v>30</v>
      </c>
      <c r="E544" s="577">
        <v>39</v>
      </c>
      <c r="F544" s="577"/>
      <c r="G544" s="577"/>
      <c r="H544" s="577"/>
      <c r="I544" s="577">
        <v>400</v>
      </c>
      <c r="J544" s="578">
        <v>0.37</v>
      </c>
      <c r="K544" s="577">
        <v>44625.06</v>
      </c>
      <c r="L544" s="577">
        <v>5780.7874999999995</v>
      </c>
      <c r="M544" s="577">
        <v>1020</v>
      </c>
      <c r="N544" s="577">
        <v>41.5</v>
      </c>
      <c r="O544" s="577">
        <v>51425.847499999996</v>
      </c>
      <c r="P544" s="577">
        <v>0.97742110990206743</v>
      </c>
      <c r="Q544" s="579">
        <v>6</v>
      </c>
      <c r="R544" s="580">
        <v>1.4999999999999999E-2</v>
      </c>
      <c r="S544" s="581">
        <v>0</v>
      </c>
      <c r="T544" s="581"/>
      <c r="U544" s="581"/>
      <c r="V544" s="581"/>
      <c r="W544" s="581"/>
    </row>
    <row r="545" spans="1:23" hidden="1">
      <c r="A545" s="557">
        <v>44272</v>
      </c>
      <c r="B545" s="577">
        <v>7582</v>
      </c>
      <c r="C545" s="577">
        <v>0</v>
      </c>
      <c r="D545" s="577">
        <v>20</v>
      </c>
      <c r="E545" s="577">
        <v>38</v>
      </c>
      <c r="F545" s="577"/>
      <c r="G545" s="577"/>
      <c r="H545" s="577"/>
      <c r="I545" s="577">
        <v>400</v>
      </c>
      <c r="J545" s="578">
        <v>0.3</v>
      </c>
      <c r="K545" s="577">
        <v>47084.22</v>
      </c>
      <c r="L545" s="577">
        <v>0</v>
      </c>
      <c r="M545" s="577">
        <v>680</v>
      </c>
      <c r="N545" s="577">
        <v>42.5</v>
      </c>
      <c r="O545" s="577">
        <v>47764.22</v>
      </c>
      <c r="P545" s="577">
        <v>0.95732323232323235</v>
      </c>
      <c r="Q545" s="579">
        <v>6</v>
      </c>
      <c r="R545" s="580">
        <v>1.4999999999999999E-2</v>
      </c>
      <c r="S545" s="581">
        <v>0</v>
      </c>
      <c r="T545" s="581"/>
      <c r="U545" s="581"/>
      <c r="V545" s="581"/>
      <c r="W545" s="581"/>
    </row>
    <row r="546" spans="1:23" ht="29.1" hidden="1">
      <c r="A546" s="557">
        <v>44273</v>
      </c>
      <c r="B546" s="577">
        <v>7644</v>
      </c>
      <c r="C546" s="577">
        <v>0</v>
      </c>
      <c r="D546" s="577">
        <v>40</v>
      </c>
      <c r="E546" s="577">
        <v>40</v>
      </c>
      <c r="F546" s="577"/>
      <c r="G546" s="577"/>
      <c r="H546" s="577"/>
      <c r="I546" s="577">
        <v>400</v>
      </c>
      <c r="J546" s="578">
        <v>0.25</v>
      </c>
      <c r="K546" s="577">
        <v>47469.24</v>
      </c>
      <c r="L546" s="577">
        <v>0</v>
      </c>
      <c r="M546" s="577">
        <v>1360</v>
      </c>
      <c r="N546" s="577">
        <v>43.5</v>
      </c>
      <c r="O546" s="577">
        <v>48829.24</v>
      </c>
      <c r="P546" s="577">
        <v>0.96918980600988969</v>
      </c>
      <c r="Q546" s="579">
        <v>6</v>
      </c>
      <c r="R546" s="580">
        <v>1.4999999999999999E-2</v>
      </c>
      <c r="S546" s="581">
        <v>0</v>
      </c>
      <c r="T546" s="581"/>
      <c r="U546" s="581"/>
      <c r="V546" s="581"/>
      <c r="W546" s="581" t="s">
        <v>296</v>
      </c>
    </row>
    <row r="547" spans="1:23" hidden="1">
      <c r="A547" s="557">
        <v>44274</v>
      </c>
      <c r="B547" s="577">
        <v>7367</v>
      </c>
      <c r="C547" s="577">
        <v>0</v>
      </c>
      <c r="D547" s="577">
        <v>30</v>
      </c>
      <c r="E547" s="577">
        <v>31</v>
      </c>
      <c r="F547" s="577"/>
      <c r="G547" s="577"/>
      <c r="H547" s="577"/>
      <c r="I547" s="577">
        <v>400</v>
      </c>
      <c r="J547" s="578">
        <v>0.16</v>
      </c>
      <c r="K547" s="577">
        <v>45749.07</v>
      </c>
      <c r="L547" s="577">
        <v>0</v>
      </c>
      <c r="M547" s="577">
        <v>1020</v>
      </c>
      <c r="N547" s="577">
        <v>44.5</v>
      </c>
      <c r="O547" s="577">
        <v>46769.07</v>
      </c>
      <c r="P547" s="577">
        <v>0.98331553657234383</v>
      </c>
      <c r="Q547" s="579">
        <v>6</v>
      </c>
      <c r="R547" s="580">
        <v>1.4999999999999999E-2</v>
      </c>
      <c r="S547" s="581">
        <v>0</v>
      </c>
      <c r="T547" s="581"/>
      <c r="U547" s="581"/>
      <c r="V547" s="581"/>
      <c r="W547" s="581" t="s">
        <v>297</v>
      </c>
    </row>
    <row r="548" spans="1:23" hidden="1">
      <c r="A548" s="557">
        <v>44275</v>
      </c>
      <c r="B548" s="577">
        <v>7657</v>
      </c>
      <c r="C548" s="577">
        <v>107.75</v>
      </c>
      <c r="D548" s="577">
        <v>40</v>
      </c>
      <c r="E548" s="577">
        <v>46</v>
      </c>
      <c r="F548" s="577"/>
      <c r="G548" s="577"/>
      <c r="H548" s="577"/>
      <c r="I548" s="577">
        <v>400</v>
      </c>
      <c r="J548" s="578">
        <v>0.27</v>
      </c>
      <c r="K548" s="577">
        <v>47549.97</v>
      </c>
      <c r="L548" s="577">
        <v>5780.7874999999995</v>
      </c>
      <c r="M548" s="577">
        <v>1360</v>
      </c>
      <c r="N548" s="577">
        <v>45.5</v>
      </c>
      <c r="O548" s="577">
        <v>54690.7575</v>
      </c>
      <c r="P548" s="577">
        <v>0.95177128651336229</v>
      </c>
      <c r="Q548" s="579">
        <v>6</v>
      </c>
      <c r="R548" s="580">
        <v>1.4999999999999999E-2</v>
      </c>
      <c r="S548" s="581">
        <v>0</v>
      </c>
      <c r="T548" s="581"/>
      <c r="U548" s="581"/>
      <c r="V548" s="581"/>
      <c r="W548" s="581" t="s">
        <v>298</v>
      </c>
    </row>
    <row r="549" spans="1:23" hidden="1">
      <c r="A549" s="557">
        <v>44276</v>
      </c>
      <c r="B549" s="577">
        <v>7274</v>
      </c>
      <c r="C549" s="577">
        <v>0</v>
      </c>
      <c r="D549" s="577">
        <v>50</v>
      </c>
      <c r="E549" s="577">
        <v>54</v>
      </c>
      <c r="F549" s="577"/>
      <c r="G549" s="577"/>
      <c r="H549" s="577"/>
      <c r="I549" s="577">
        <v>400</v>
      </c>
      <c r="J549" s="578">
        <v>0.27</v>
      </c>
      <c r="K549" s="577">
        <v>45171.54</v>
      </c>
      <c r="L549" s="577">
        <v>0</v>
      </c>
      <c r="M549" s="577">
        <v>1700</v>
      </c>
      <c r="N549" s="577">
        <v>46.5</v>
      </c>
      <c r="O549" s="577">
        <v>46871.54</v>
      </c>
      <c r="P549" s="577">
        <v>0.9475055360166732</v>
      </c>
      <c r="Q549" s="579">
        <v>6</v>
      </c>
      <c r="R549" s="580">
        <v>1.4999999999999999E-2</v>
      </c>
      <c r="S549" s="581">
        <v>0</v>
      </c>
      <c r="T549" s="581"/>
      <c r="U549" s="581"/>
      <c r="V549" s="581"/>
      <c r="W549" s="581" t="s">
        <v>299</v>
      </c>
    </row>
    <row r="550" spans="1:23" hidden="1">
      <c r="A550" s="557">
        <v>44277</v>
      </c>
      <c r="B550" s="577">
        <v>7089</v>
      </c>
      <c r="C550" s="577">
        <v>107.75</v>
      </c>
      <c r="D550" s="577">
        <v>30</v>
      </c>
      <c r="E550" s="577">
        <v>32</v>
      </c>
      <c r="F550" s="577"/>
      <c r="G550" s="577"/>
      <c r="H550" s="577"/>
      <c r="I550" s="577">
        <v>400</v>
      </c>
      <c r="J550" s="578">
        <v>0.27</v>
      </c>
      <c r="K550" s="577">
        <v>44022.69</v>
      </c>
      <c r="L550" s="577">
        <v>5780.7874999999995</v>
      </c>
      <c r="M550" s="577">
        <v>1020</v>
      </c>
      <c r="N550" s="577">
        <v>47.5</v>
      </c>
      <c r="O550" s="577">
        <v>50823.477500000001</v>
      </c>
      <c r="P550" s="577">
        <v>0.94043512868134782</v>
      </c>
      <c r="Q550" s="579">
        <v>6</v>
      </c>
      <c r="R550" s="580">
        <v>1.4999999999999999E-2</v>
      </c>
      <c r="S550" s="581">
        <v>0</v>
      </c>
      <c r="T550" s="581"/>
      <c r="U550" s="581"/>
      <c r="V550" s="581"/>
      <c r="W550" s="581"/>
    </row>
    <row r="551" spans="1:23" hidden="1">
      <c r="A551" s="557">
        <v>44278</v>
      </c>
      <c r="B551" s="577">
        <v>6887</v>
      </c>
      <c r="C551" s="577">
        <v>0</v>
      </c>
      <c r="D551" s="577">
        <v>30</v>
      </c>
      <c r="E551" s="577">
        <v>35</v>
      </c>
      <c r="F551" s="577"/>
      <c r="G551" s="577"/>
      <c r="H551" s="577"/>
      <c r="I551" s="577">
        <v>400</v>
      </c>
      <c r="J551" s="578">
        <v>0.37</v>
      </c>
      <c r="K551" s="577">
        <v>42768.27</v>
      </c>
      <c r="L551" s="577">
        <v>0</v>
      </c>
      <c r="M551" s="577">
        <v>1020</v>
      </c>
      <c r="N551" s="577">
        <v>48.5</v>
      </c>
      <c r="O551" s="577">
        <v>43788.27</v>
      </c>
      <c r="P551" s="577">
        <v>0.97674088781733093</v>
      </c>
      <c r="Q551" s="579">
        <v>6</v>
      </c>
      <c r="R551" s="580">
        <v>1.4999999999999999E-2</v>
      </c>
      <c r="S551" s="581">
        <v>0</v>
      </c>
      <c r="T551" s="581"/>
      <c r="U551" s="581"/>
      <c r="V551" s="581"/>
      <c r="W551" s="581"/>
    </row>
    <row r="552" spans="1:23" hidden="1">
      <c r="A552" s="557">
        <v>44279</v>
      </c>
      <c r="B552" s="577">
        <v>6986</v>
      </c>
      <c r="C552" s="577">
        <v>107.75</v>
      </c>
      <c r="D552" s="577">
        <v>60</v>
      </c>
      <c r="E552" s="577">
        <v>50</v>
      </c>
      <c r="F552" s="577"/>
      <c r="G552" s="577"/>
      <c r="H552" s="577"/>
      <c r="I552" s="577">
        <v>400</v>
      </c>
      <c r="J552" s="578">
        <v>0.25</v>
      </c>
      <c r="K552" s="577">
        <v>43383.06</v>
      </c>
      <c r="L552" s="577">
        <v>5780.7874999999995</v>
      </c>
      <c r="M552" s="577">
        <v>2040</v>
      </c>
      <c r="N552" s="577">
        <v>49.5</v>
      </c>
      <c r="O552" s="577">
        <v>51203.847499999996</v>
      </c>
      <c r="P552" s="577">
        <v>0.94341661039837943</v>
      </c>
      <c r="Q552" s="579">
        <v>7</v>
      </c>
      <c r="R552" s="580">
        <v>2.2599999999999999E-2</v>
      </c>
      <c r="S552" s="581">
        <v>0</v>
      </c>
      <c r="T552" s="581"/>
      <c r="U552" s="581"/>
      <c r="V552" s="581"/>
      <c r="W552" s="581" t="s">
        <v>300</v>
      </c>
    </row>
    <row r="553" spans="1:23" ht="43.5">
      <c r="A553" s="557">
        <v>44280</v>
      </c>
      <c r="B553" s="577">
        <v>7173</v>
      </c>
      <c r="C553" s="577">
        <v>0</v>
      </c>
      <c r="D553" s="577">
        <v>20</v>
      </c>
      <c r="E553" s="577">
        <v>36</v>
      </c>
      <c r="F553" s="577"/>
      <c r="G553" s="577"/>
      <c r="H553" s="577"/>
      <c r="I553" s="577">
        <v>400</v>
      </c>
      <c r="J553" s="578">
        <v>0.15</v>
      </c>
      <c r="K553" s="577">
        <v>44544.33</v>
      </c>
      <c r="L553" s="577">
        <v>0</v>
      </c>
      <c r="M553" s="577">
        <v>680</v>
      </c>
      <c r="N553" s="577">
        <v>50.5</v>
      </c>
      <c r="O553" s="577">
        <v>45224.33</v>
      </c>
      <c r="P553" s="577">
        <v>0.97406300923411193</v>
      </c>
      <c r="Q553" s="579">
        <v>7</v>
      </c>
      <c r="R553" s="580">
        <v>2.3E-2</v>
      </c>
      <c r="S553" s="581">
        <v>0</v>
      </c>
      <c r="T553" s="581"/>
      <c r="U553" s="581"/>
      <c r="V553" s="581"/>
      <c r="W553" s="581" t="s">
        <v>301</v>
      </c>
    </row>
    <row r="554" spans="1:23">
      <c r="A554" s="557">
        <v>44281</v>
      </c>
      <c r="B554" s="577">
        <v>6291</v>
      </c>
      <c r="C554" s="577">
        <v>0</v>
      </c>
      <c r="D554" s="577">
        <v>10</v>
      </c>
      <c r="E554" s="577">
        <v>31</v>
      </c>
      <c r="F554" s="577"/>
      <c r="G554" s="577"/>
      <c r="H554" s="577"/>
      <c r="I554" s="577">
        <v>400</v>
      </c>
      <c r="J554" s="578"/>
      <c r="K554" s="577">
        <v>39067.11</v>
      </c>
      <c r="L554" s="577">
        <v>0</v>
      </c>
      <c r="M554" s="577">
        <v>340</v>
      </c>
      <c r="N554" s="577">
        <v>51.5</v>
      </c>
      <c r="O554" s="577">
        <v>39407.11</v>
      </c>
      <c r="P554" s="577">
        <v>0.95087666263603388</v>
      </c>
      <c r="Q554" s="579">
        <v>7</v>
      </c>
      <c r="R554" s="580">
        <v>2.3E-2</v>
      </c>
      <c r="S554" s="581">
        <v>0</v>
      </c>
      <c r="T554" s="581"/>
      <c r="U554" s="581"/>
      <c r="V554" s="581"/>
      <c r="W554" s="581"/>
    </row>
    <row r="555" spans="1:23">
      <c r="A555" s="557">
        <v>44282</v>
      </c>
      <c r="B555" s="577">
        <v>6130</v>
      </c>
      <c r="C555" s="577">
        <v>0</v>
      </c>
      <c r="D555" s="577">
        <v>40</v>
      </c>
      <c r="E555" s="577">
        <v>34</v>
      </c>
      <c r="F555" s="577"/>
      <c r="G555" s="577"/>
      <c r="H555" s="577"/>
      <c r="I555" s="577">
        <v>400</v>
      </c>
      <c r="J555" s="578"/>
      <c r="K555" s="577">
        <v>38067.300000000003</v>
      </c>
      <c r="L555" s="577">
        <v>0</v>
      </c>
      <c r="M555" s="577">
        <v>1360</v>
      </c>
      <c r="N555" s="577">
        <v>52.5</v>
      </c>
      <c r="O555" s="577">
        <v>39427.300000000003</v>
      </c>
      <c r="P555" s="577">
        <v>0.95364032358431861</v>
      </c>
      <c r="Q555" s="579">
        <v>7</v>
      </c>
      <c r="R555" s="580">
        <v>2.3E-2</v>
      </c>
      <c r="S555" s="581">
        <v>0</v>
      </c>
      <c r="T555" s="581"/>
      <c r="U555" s="581"/>
      <c r="V555" s="581"/>
      <c r="W555" s="581"/>
    </row>
    <row r="556" spans="1:23">
      <c r="A556" s="557">
        <v>44283</v>
      </c>
      <c r="B556" s="577">
        <v>6136</v>
      </c>
      <c r="C556" s="577">
        <v>0</v>
      </c>
      <c r="D556" s="577">
        <v>20</v>
      </c>
      <c r="E556" s="577">
        <v>33</v>
      </c>
      <c r="F556" s="577"/>
      <c r="G556" s="577"/>
      <c r="H556" s="577"/>
      <c r="I556" s="577">
        <v>400</v>
      </c>
      <c r="J556" s="578"/>
      <c r="K556" s="577">
        <v>38104.559999999998</v>
      </c>
      <c r="L556" s="577">
        <v>0</v>
      </c>
      <c r="M556" s="577">
        <v>680</v>
      </c>
      <c r="N556" s="577">
        <v>53.5</v>
      </c>
      <c r="O556" s="577">
        <v>38784.559999999998</v>
      </c>
      <c r="P556" s="577">
        <v>0.95353535353535357</v>
      </c>
      <c r="Q556" s="579">
        <v>7</v>
      </c>
      <c r="R556" s="580">
        <v>2.3E-2</v>
      </c>
      <c r="S556" s="581">
        <v>0</v>
      </c>
      <c r="T556" s="581"/>
      <c r="U556" s="581"/>
      <c r="V556" s="581"/>
      <c r="W556" s="581"/>
    </row>
    <row r="557" spans="1:23">
      <c r="A557" s="557">
        <v>44284</v>
      </c>
      <c r="B557" s="577">
        <v>6254</v>
      </c>
      <c r="C557" s="577">
        <v>0</v>
      </c>
      <c r="D557" s="577">
        <v>20</v>
      </c>
      <c r="E557" s="577">
        <v>32</v>
      </c>
      <c r="F557" s="577"/>
      <c r="G557" s="577"/>
      <c r="H557" s="577"/>
      <c r="I557" s="577">
        <v>400</v>
      </c>
      <c r="J557" s="578"/>
      <c r="K557" s="577">
        <v>38837.339999999997</v>
      </c>
      <c r="L557" s="577">
        <v>0</v>
      </c>
      <c r="M557" s="577">
        <v>680</v>
      </c>
      <c r="N557" s="577">
        <v>54.5</v>
      </c>
      <c r="O557" s="577">
        <v>39517.339999999997</v>
      </c>
      <c r="P557" s="577">
        <v>0.9464285714285714</v>
      </c>
      <c r="Q557" s="579">
        <v>7</v>
      </c>
      <c r="R557" s="580">
        <v>2.3E-2</v>
      </c>
      <c r="S557" s="581">
        <v>0</v>
      </c>
      <c r="T557" s="581"/>
      <c r="U557" s="581"/>
      <c r="V557" s="581"/>
      <c r="W557" s="581"/>
    </row>
    <row r="558" spans="1:23">
      <c r="A558" s="557">
        <v>44285</v>
      </c>
      <c r="B558" s="577">
        <v>6237</v>
      </c>
      <c r="C558" s="577">
        <v>0</v>
      </c>
      <c r="D558" s="577">
        <v>40</v>
      </c>
      <c r="E558" s="577">
        <v>41</v>
      </c>
      <c r="F558" s="577"/>
      <c r="G558" s="577"/>
      <c r="H558" s="577"/>
      <c r="I558" s="577">
        <v>400</v>
      </c>
      <c r="J558" s="578"/>
      <c r="K558" s="577">
        <v>38731.769999999997</v>
      </c>
      <c r="L558" s="577">
        <v>0</v>
      </c>
      <c r="M558" s="577">
        <v>1360</v>
      </c>
      <c r="N558" s="577">
        <v>55.5</v>
      </c>
      <c r="O558" s="577">
        <v>40091.769999999997</v>
      </c>
      <c r="P558" s="577">
        <v>0.95148741418764304</v>
      </c>
      <c r="Q558" s="579">
        <v>7</v>
      </c>
      <c r="R558" s="580">
        <v>2.3E-2</v>
      </c>
      <c r="S558" s="581">
        <v>0</v>
      </c>
      <c r="T558" s="581"/>
      <c r="U558" s="581"/>
      <c r="V558" s="581"/>
      <c r="W558" s="581"/>
    </row>
    <row r="559" spans="1:23">
      <c r="A559" s="557">
        <v>44286</v>
      </c>
      <c r="B559" s="582">
        <v>6355</v>
      </c>
      <c r="C559" s="582" t="s">
        <v>255</v>
      </c>
      <c r="D559" s="582">
        <v>20</v>
      </c>
      <c r="E559" s="582">
        <v>34</v>
      </c>
      <c r="F559" s="582"/>
      <c r="G559" s="582"/>
      <c r="H559" s="582"/>
      <c r="I559" s="582">
        <v>400</v>
      </c>
      <c r="J559" s="583"/>
      <c r="K559" s="582">
        <v>39465</v>
      </c>
      <c r="L559" s="582">
        <v>0</v>
      </c>
      <c r="M559" s="582">
        <v>680</v>
      </c>
      <c r="N559" s="582">
        <v>56.5</v>
      </c>
      <c r="O559" s="582">
        <v>40145</v>
      </c>
      <c r="P559" s="582">
        <v>1</v>
      </c>
      <c r="Q559" s="584">
        <v>0</v>
      </c>
      <c r="R559" s="585">
        <v>0</v>
      </c>
      <c r="S559" s="586">
        <v>0</v>
      </c>
      <c r="T559" s="586"/>
      <c r="U559" s="586"/>
      <c r="V559" s="586"/>
      <c r="W559" s="586"/>
    </row>
    <row r="560" spans="1:23" hidden="1">
      <c r="A560" s="576" t="s">
        <v>161</v>
      </c>
      <c r="B560" s="577">
        <v>195503</v>
      </c>
      <c r="C560" s="577">
        <v>1293</v>
      </c>
      <c r="D560" s="577">
        <v>1050</v>
      </c>
      <c r="E560" s="577"/>
      <c r="F560" s="577"/>
      <c r="G560" s="577"/>
      <c r="H560" s="577"/>
      <c r="I560" s="577"/>
      <c r="J560" s="578"/>
      <c r="K560" s="577">
        <v>1214073.6300000001</v>
      </c>
      <c r="L560" s="577">
        <v>69369.45</v>
      </c>
      <c r="M560" s="577">
        <v>35700</v>
      </c>
      <c r="N560" s="577"/>
      <c r="O560" s="577">
        <v>1319143.0800000003</v>
      </c>
      <c r="P560" s="577"/>
      <c r="Q560" s="579"/>
      <c r="R560" s="580"/>
      <c r="S560" s="581"/>
      <c r="T560" s="581"/>
      <c r="U560" s="581"/>
      <c r="V560" s="581"/>
      <c r="W560" s="581"/>
    </row>
    <row r="561" spans="1:23" hidden="1">
      <c r="A561" s="706"/>
      <c r="B561" s="411"/>
      <c r="C561" s="411"/>
      <c r="D561" s="411"/>
      <c r="E561" s="411"/>
      <c r="F561" s="411"/>
      <c r="G561" s="411"/>
      <c r="H561" s="411"/>
      <c r="I561" s="411"/>
      <c r="J561" s="530"/>
      <c r="K561" s="411"/>
      <c r="L561" s="411"/>
      <c r="M561" s="411"/>
      <c r="N561" s="411"/>
      <c r="O561" s="411"/>
      <c r="P561" s="411"/>
      <c r="Q561" s="492"/>
      <c r="R561" s="493"/>
      <c r="S561" s="458"/>
      <c r="T561" s="458"/>
      <c r="U561" s="458"/>
      <c r="V561" s="458"/>
      <c r="W561" s="458"/>
    </row>
    <row r="562" spans="1:23">
      <c r="A562" s="706"/>
      <c r="B562" s="411"/>
      <c r="C562" s="411"/>
      <c r="D562" s="411"/>
      <c r="E562" s="411"/>
      <c r="F562" s="411"/>
      <c r="G562" s="411"/>
      <c r="H562" s="411"/>
      <c r="I562" s="411"/>
      <c r="J562" s="530"/>
      <c r="K562" s="411"/>
      <c r="L562" s="411"/>
      <c r="M562" s="411"/>
      <c r="N562" s="411"/>
      <c r="O562" s="411"/>
      <c r="P562" s="411"/>
      <c r="Q562" s="492"/>
      <c r="R562" s="493"/>
      <c r="S562" s="458"/>
      <c r="T562" s="458"/>
      <c r="U562" s="458"/>
      <c r="V562" s="458"/>
      <c r="W562" s="458"/>
    </row>
    <row r="563" spans="1:23">
      <c r="A563" s="706"/>
      <c r="B563" s="411"/>
      <c r="C563" s="411"/>
      <c r="D563" s="411"/>
      <c r="E563" s="411"/>
      <c r="F563" s="411"/>
      <c r="G563" s="411"/>
      <c r="H563" s="411"/>
      <c r="I563" s="411"/>
      <c r="J563" s="530"/>
      <c r="K563" s="411"/>
      <c r="L563" s="411"/>
      <c r="M563" s="411"/>
      <c r="N563" s="411"/>
      <c r="O563" s="411"/>
      <c r="P563" s="411"/>
      <c r="Q563" s="492"/>
      <c r="R563" s="493"/>
      <c r="S563" s="458"/>
      <c r="T563" s="458"/>
      <c r="U563" s="458"/>
      <c r="V563" s="458"/>
      <c r="W563" s="458"/>
    </row>
    <row r="564" spans="1:23" ht="57.95">
      <c r="A564" s="576" t="s">
        <v>14</v>
      </c>
      <c r="B564" s="577" t="s">
        <v>145</v>
      </c>
      <c r="C564" s="577"/>
      <c r="D564" s="577"/>
      <c r="E564" s="577"/>
      <c r="F564" s="577"/>
      <c r="G564" s="577"/>
      <c r="H564" s="577"/>
      <c r="I564" s="577"/>
      <c r="J564" s="578"/>
      <c r="K564" s="577" t="s">
        <v>146</v>
      </c>
      <c r="L564" s="577"/>
      <c r="M564" s="577"/>
      <c r="N564" s="577" t="s">
        <v>147</v>
      </c>
      <c r="O564" s="577" t="s">
        <v>148</v>
      </c>
      <c r="P564" s="577" t="s">
        <v>175</v>
      </c>
      <c r="Q564" s="579" t="s">
        <v>149</v>
      </c>
      <c r="R564" s="580" t="s">
        <v>150</v>
      </c>
      <c r="S564" s="581" t="s">
        <v>165</v>
      </c>
      <c r="T564" s="581"/>
      <c r="U564" s="581"/>
      <c r="V564" s="581"/>
      <c r="W564" s="581" t="s">
        <v>176</v>
      </c>
    </row>
    <row r="565" spans="1:23">
      <c r="A565" s="576"/>
      <c r="B565" s="577" t="s">
        <v>156</v>
      </c>
      <c r="C565" s="577" t="s">
        <v>157</v>
      </c>
      <c r="D565" s="577" t="s">
        <v>158</v>
      </c>
      <c r="E565" s="577" t="s">
        <v>236</v>
      </c>
      <c r="F565" s="577"/>
      <c r="G565" s="577" t="s">
        <v>302</v>
      </c>
      <c r="H565" s="577" t="s">
        <v>303</v>
      </c>
      <c r="I565" s="577" t="s">
        <v>237</v>
      </c>
      <c r="J565" s="578"/>
      <c r="K565" s="577" t="s">
        <v>156</v>
      </c>
      <c r="L565" s="577" t="s">
        <v>157</v>
      </c>
      <c r="M565" s="577" t="s">
        <v>158</v>
      </c>
      <c r="N565" s="577"/>
      <c r="O565" s="577"/>
      <c r="P565" s="577"/>
      <c r="Q565" s="579"/>
      <c r="R565" s="580"/>
      <c r="S565" s="581"/>
      <c r="T565" s="581"/>
      <c r="U565" s="581"/>
      <c r="V565" s="581"/>
      <c r="W565" s="581"/>
    </row>
    <row r="566" spans="1:23" ht="29.1">
      <c r="A566" s="588">
        <v>44287</v>
      </c>
      <c r="B566" s="577">
        <v>6632</v>
      </c>
      <c r="C566" s="577">
        <v>0</v>
      </c>
      <c r="D566" s="577">
        <v>20</v>
      </c>
      <c r="E566" s="577">
        <v>34</v>
      </c>
      <c r="F566" s="577"/>
      <c r="G566" s="577">
        <v>2</v>
      </c>
      <c r="H566" s="577">
        <v>114</v>
      </c>
      <c r="I566" s="577">
        <v>400</v>
      </c>
      <c r="J566" s="578">
        <v>0.4</v>
      </c>
      <c r="K566" s="577">
        <v>41184.720000000001</v>
      </c>
      <c r="L566" s="577">
        <v>0</v>
      </c>
      <c r="M566" s="577">
        <v>680</v>
      </c>
      <c r="N566" s="577">
        <v>26.5</v>
      </c>
      <c r="O566" s="577">
        <v>41864.720000000001</v>
      </c>
      <c r="P566" s="577">
        <v>0.94486394073229807</v>
      </c>
      <c r="Q566" s="579">
        <v>7</v>
      </c>
      <c r="R566" s="580">
        <v>2.3E-2</v>
      </c>
      <c r="S566" s="581">
        <v>0</v>
      </c>
      <c r="T566" s="581"/>
      <c r="U566" s="581"/>
      <c r="V566" s="581"/>
      <c r="W566" s="581" t="s">
        <v>304</v>
      </c>
    </row>
    <row r="567" spans="1:23" ht="29.1">
      <c r="A567" s="588">
        <v>44288</v>
      </c>
      <c r="B567" s="577">
        <v>7021</v>
      </c>
      <c r="C567" s="577">
        <v>107.75</v>
      </c>
      <c r="D567" s="577">
        <v>30</v>
      </c>
      <c r="E567" s="577">
        <v>34</v>
      </c>
      <c r="F567" s="577"/>
      <c r="G567" s="577">
        <v>3</v>
      </c>
      <c r="H567" s="577">
        <v>27</v>
      </c>
      <c r="I567" s="577">
        <v>400</v>
      </c>
      <c r="J567" s="578">
        <v>0.45</v>
      </c>
      <c r="K567" s="577">
        <v>43600.409999999996</v>
      </c>
      <c r="L567" s="577">
        <v>5780.7874999999995</v>
      </c>
      <c r="M567" s="577">
        <v>1020</v>
      </c>
      <c r="N567" s="577">
        <v>27.5</v>
      </c>
      <c r="O567" s="577">
        <v>50401.197499999995</v>
      </c>
      <c r="P567" s="577">
        <v>0.95290445168295335</v>
      </c>
      <c r="Q567" s="579">
        <v>7</v>
      </c>
      <c r="R567" s="580">
        <v>2.3E-2</v>
      </c>
      <c r="S567" s="581">
        <v>0</v>
      </c>
      <c r="T567" s="581"/>
      <c r="U567" s="581"/>
      <c r="V567" s="581"/>
      <c r="W567" s="581" t="s">
        <v>305</v>
      </c>
    </row>
    <row r="568" spans="1:23">
      <c r="A568" s="588">
        <v>44289</v>
      </c>
      <c r="B568" s="577">
        <v>6018</v>
      </c>
      <c r="C568" s="577">
        <v>0</v>
      </c>
      <c r="D568" s="577">
        <v>20</v>
      </c>
      <c r="E568" s="577">
        <v>34</v>
      </c>
      <c r="F568" s="577"/>
      <c r="G568" s="577">
        <v>1</v>
      </c>
      <c r="H568" s="577">
        <v>8</v>
      </c>
      <c r="I568" s="577">
        <v>400</v>
      </c>
      <c r="J568" s="578">
        <v>0.44</v>
      </c>
      <c r="K568" s="577">
        <v>37371.78</v>
      </c>
      <c r="L568" s="577">
        <v>0</v>
      </c>
      <c r="M568" s="577">
        <v>680</v>
      </c>
      <c r="N568" s="577">
        <v>28.5</v>
      </c>
      <c r="O568" s="577">
        <v>38051.78</v>
      </c>
      <c r="P568" s="577">
        <v>0.94385194479297363</v>
      </c>
      <c r="Q568" s="579">
        <v>7</v>
      </c>
      <c r="R568" s="580">
        <v>2.3E-2</v>
      </c>
      <c r="S568" s="581">
        <v>0</v>
      </c>
      <c r="T568" s="581"/>
      <c r="U568" s="581"/>
      <c r="V568" s="581"/>
      <c r="W568" s="581"/>
    </row>
    <row r="569" spans="1:23">
      <c r="A569" s="588">
        <v>44290</v>
      </c>
      <c r="B569" s="577">
        <v>6730</v>
      </c>
      <c r="C569" s="577">
        <v>0</v>
      </c>
      <c r="D569" s="577">
        <v>10</v>
      </c>
      <c r="E569" s="577">
        <v>34</v>
      </c>
      <c r="F569" s="577"/>
      <c r="G569" s="577">
        <v>2</v>
      </c>
      <c r="H569" s="577">
        <v>65</v>
      </c>
      <c r="I569" s="577">
        <v>400</v>
      </c>
      <c r="J569" s="578">
        <v>0.46</v>
      </c>
      <c r="K569" s="577">
        <v>41793.300000000003</v>
      </c>
      <c r="L569" s="577">
        <v>0</v>
      </c>
      <c r="M569" s="577">
        <v>340</v>
      </c>
      <c r="N569" s="577">
        <v>29.5</v>
      </c>
      <c r="O569" s="577">
        <v>42133.3</v>
      </c>
      <c r="P569" s="577">
        <v>0.96667624245906347</v>
      </c>
      <c r="Q569" s="579">
        <v>7</v>
      </c>
      <c r="R569" s="580">
        <v>2.3E-2</v>
      </c>
      <c r="S569" s="581">
        <v>0</v>
      </c>
      <c r="T569" s="581"/>
      <c r="U569" s="581"/>
      <c r="V569" s="581"/>
      <c r="W569" s="581"/>
    </row>
    <row r="570" spans="1:23" ht="43.5">
      <c r="A570" s="588">
        <v>44291</v>
      </c>
      <c r="B570" s="577">
        <v>6943</v>
      </c>
      <c r="C570" s="577">
        <v>107.75</v>
      </c>
      <c r="D570" s="577">
        <v>50</v>
      </c>
      <c r="E570" s="577">
        <v>34</v>
      </c>
      <c r="F570" s="577"/>
      <c r="G570" s="577">
        <v>5</v>
      </c>
      <c r="H570" s="577">
        <v>16</v>
      </c>
      <c r="I570" s="577">
        <v>400</v>
      </c>
      <c r="J570" s="578">
        <v>0.46</v>
      </c>
      <c r="K570" s="577">
        <v>43116.03</v>
      </c>
      <c r="L570" s="577">
        <v>5780.7874999999995</v>
      </c>
      <c r="M570" s="577">
        <v>1700</v>
      </c>
      <c r="N570" s="577">
        <v>30.5</v>
      </c>
      <c r="O570" s="577">
        <v>50596.817499999997</v>
      </c>
      <c r="P570" s="577">
        <v>0.95712710228839259</v>
      </c>
      <c r="Q570" s="579">
        <v>7</v>
      </c>
      <c r="R570" s="580">
        <v>2.3E-2</v>
      </c>
      <c r="S570" s="581">
        <v>0</v>
      </c>
      <c r="T570" s="581"/>
      <c r="U570" s="581"/>
      <c r="V570" s="581"/>
      <c r="W570" s="581" t="s">
        <v>306</v>
      </c>
    </row>
    <row r="571" spans="1:23" ht="29.1">
      <c r="A571" s="588">
        <v>44292</v>
      </c>
      <c r="B571" s="577">
        <v>7301</v>
      </c>
      <c r="C571" s="577">
        <v>0</v>
      </c>
      <c r="D571" s="577">
        <v>20</v>
      </c>
      <c r="E571" s="577">
        <v>34</v>
      </c>
      <c r="F571" s="577"/>
      <c r="G571" s="577">
        <v>1</v>
      </c>
      <c r="H571" s="577">
        <v>7</v>
      </c>
      <c r="I571" s="577">
        <v>400</v>
      </c>
      <c r="J571" s="578">
        <v>0.46</v>
      </c>
      <c r="K571" s="577">
        <v>45339.21</v>
      </c>
      <c r="L571" s="577">
        <v>0</v>
      </c>
      <c r="M571" s="577">
        <v>680</v>
      </c>
      <c r="N571" s="577">
        <v>31.5</v>
      </c>
      <c r="O571" s="577">
        <v>46019.21</v>
      </c>
      <c r="P571" s="577">
        <v>0.96129032258064517</v>
      </c>
      <c r="Q571" s="579">
        <v>6</v>
      </c>
      <c r="R571" s="580">
        <v>1.4999999999999999E-2</v>
      </c>
      <c r="S571" s="581">
        <v>0</v>
      </c>
      <c r="T571" s="581"/>
      <c r="U571" s="581"/>
      <c r="V571" s="581"/>
      <c r="W571" s="581" t="s">
        <v>307</v>
      </c>
    </row>
    <row r="572" spans="1:23">
      <c r="A572" s="588">
        <v>44293</v>
      </c>
      <c r="B572" s="577">
        <v>6686</v>
      </c>
      <c r="C572" s="577">
        <v>0</v>
      </c>
      <c r="D572" s="577">
        <v>20</v>
      </c>
      <c r="E572" s="577">
        <v>34</v>
      </c>
      <c r="F572" s="577"/>
      <c r="G572" s="577">
        <v>5</v>
      </c>
      <c r="H572" s="577">
        <v>27</v>
      </c>
      <c r="I572" s="577">
        <v>400</v>
      </c>
      <c r="J572" s="578">
        <v>0.46</v>
      </c>
      <c r="K572" s="577">
        <v>41520.06</v>
      </c>
      <c r="L572" s="577">
        <v>0</v>
      </c>
      <c r="M572" s="577">
        <v>680</v>
      </c>
      <c r="N572" s="577">
        <v>32.5</v>
      </c>
      <c r="O572" s="577">
        <v>42200.06</v>
      </c>
      <c r="P572" s="577">
        <v>0.95514285714285718</v>
      </c>
      <c r="Q572" s="579">
        <v>6</v>
      </c>
      <c r="R572" s="580">
        <v>1.4999999999999999E-2</v>
      </c>
      <c r="S572" s="581">
        <v>0</v>
      </c>
      <c r="T572" s="581"/>
      <c r="U572" s="581"/>
      <c r="V572" s="581"/>
      <c r="W572" s="581"/>
    </row>
    <row r="573" spans="1:23" ht="29.1">
      <c r="A573" s="588">
        <v>44294</v>
      </c>
      <c r="B573" s="577">
        <v>7066</v>
      </c>
      <c r="C573" s="577">
        <v>107.75</v>
      </c>
      <c r="D573" s="577">
        <v>60</v>
      </c>
      <c r="E573" s="577">
        <v>58</v>
      </c>
      <c r="F573" s="577"/>
      <c r="G573" s="577">
        <v>3</v>
      </c>
      <c r="H573" s="577">
        <v>0</v>
      </c>
      <c r="I573" s="577">
        <v>400</v>
      </c>
      <c r="J573" s="578">
        <v>0.5</v>
      </c>
      <c r="K573" s="577">
        <v>43879.86</v>
      </c>
      <c r="L573" s="577">
        <v>5780.7874999999995</v>
      </c>
      <c r="M573" s="577">
        <v>2040</v>
      </c>
      <c r="N573" s="577">
        <v>33.5</v>
      </c>
      <c r="O573" s="577">
        <v>51700.647499999999</v>
      </c>
      <c r="P573" s="577">
        <v>0.9570635243126101</v>
      </c>
      <c r="Q573" s="579">
        <v>6</v>
      </c>
      <c r="R573" s="580">
        <v>1.4999999999999999E-2</v>
      </c>
      <c r="S573" s="581">
        <v>0</v>
      </c>
      <c r="T573" s="581"/>
      <c r="U573" s="581"/>
      <c r="V573" s="581"/>
      <c r="W573" s="581" t="s">
        <v>308</v>
      </c>
    </row>
    <row r="574" spans="1:23">
      <c r="A574" s="588">
        <v>44295</v>
      </c>
      <c r="B574" s="577">
        <v>6838</v>
      </c>
      <c r="C574" s="577">
        <v>0</v>
      </c>
      <c r="D574" s="577">
        <v>60</v>
      </c>
      <c r="E574" s="577">
        <v>61</v>
      </c>
      <c r="F574" s="577"/>
      <c r="G574" s="577">
        <v>2</v>
      </c>
      <c r="H574" s="577">
        <v>35</v>
      </c>
      <c r="I574" s="577">
        <v>400</v>
      </c>
      <c r="J574" s="578">
        <v>0.5</v>
      </c>
      <c r="K574" s="577">
        <v>42463.98</v>
      </c>
      <c r="L574" s="577">
        <v>0</v>
      </c>
      <c r="M574" s="577">
        <v>2040</v>
      </c>
      <c r="N574" s="577">
        <v>34.5</v>
      </c>
      <c r="O574" s="577">
        <v>44503.98</v>
      </c>
      <c r="P574" s="577">
        <v>0.96133839448896385</v>
      </c>
      <c r="Q574" s="579">
        <v>6</v>
      </c>
      <c r="R574" s="580">
        <v>1.4999999999999999E-2</v>
      </c>
      <c r="S574" s="581">
        <v>0</v>
      </c>
      <c r="T574" s="581"/>
      <c r="U574" s="581"/>
      <c r="V574" s="581"/>
      <c r="W574" s="581"/>
    </row>
    <row r="575" spans="1:23">
      <c r="A575" s="588">
        <v>44296</v>
      </c>
      <c r="B575" s="577">
        <v>5970</v>
      </c>
      <c r="C575" s="577">
        <v>107.75</v>
      </c>
      <c r="D575" s="577">
        <v>10</v>
      </c>
      <c r="E575" s="577">
        <v>36</v>
      </c>
      <c r="F575" s="577"/>
      <c r="G575" s="577">
        <v>2</v>
      </c>
      <c r="H575" s="577">
        <v>24</v>
      </c>
      <c r="I575" s="577">
        <v>400</v>
      </c>
      <c r="J575" s="578">
        <v>0.43</v>
      </c>
      <c r="K575" s="577">
        <v>37073.699999999997</v>
      </c>
      <c r="L575" s="577">
        <v>5780.7874999999995</v>
      </c>
      <c r="M575" s="577">
        <v>340</v>
      </c>
      <c r="N575" s="577">
        <v>35.5</v>
      </c>
      <c r="O575" s="577">
        <v>43194.487499999996</v>
      </c>
      <c r="P575" s="577">
        <v>0.94988066825775652</v>
      </c>
      <c r="Q575" s="579">
        <v>6</v>
      </c>
      <c r="R575" s="580">
        <v>1.4999999999999999E-2</v>
      </c>
      <c r="S575" s="581">
        <v>0</v>
      </c>
      <c r="T575" s="581"/>
      <c r="U575" s="581"/>
      <c r="V575" s="581"/>
      <c r="W575" s="581"/>
    </row>
    <row r="576" spans="1:23">
      <c r="A576" s="588">
        <v>44297</v>
      </c>
      <c r="B576" s="577">
        <v>6062</v>
      </c>
      <c r="C576" s="577">
        <v>0</v>
      </c>
      <c r="D576" s="577">
        <v>30</v>
      </c>
      <c r="E576" s="577">
        <v>37</v>
      </c>
      <c r="F576" s="577"/>
      <c r="G576" s="577">
        <v>2</v>
      </c>
      <c r="H576" s="577">
        <v>17</v>
      </c>
      <c r="I576" s="577">
        <v>400</v>
      </c>
      <c r="J576" s="578">
        <v>0.46</v>
      </c>
      <c r="K576" s="577">
        <v>37645.019999999997</v>
      </c>
      <c r="L576" s="577">
        <v>0</v>
      </c>
      <c r="M576" s="577">
        <v>1020</v>
      </c>
      <c r="N576" s="577">
        <v>36.5</v>
      </c>
      <c r="O576" s="577">
        <v>38665.019999999997</v>
      </c>
      <c r="P576" s="577">
        <v>0.95872212557330383</v>
      </c>
      <c r="Q576" s="579">
        <v>6</v>
      </c>
      <c r="R576" s="580">
        <v>1.4999999999999999E-2</v>
      </c>
      <c r="S576" s="581">
        <v>0</v>
      </c>
      <c r="T576" s="581"/>
      <c r="U576" s="581"/>
      <c r="V576" s="581"/>
      <c r="W576" s="581"/>
    </row>
    <row r="577" spans="1:23">
      <c r="A577" s="588">
        <v>44298</v>
      </c>
      <c r="B577" s="577">
        <v>6128</v>
      </c>
      <c r="C577" s="577">
        <v>107.75</v>
      </c>
      <c r="D577" s="577">
        <v>80</v>
      </c>
      <c r="E577" s="577">
        <v>65</v>
      </c>
      <c r="F577" s="577"/>
      <c r="G577" s="577">
        <v>2</v>
      </c>
      <c r="H577" s="577">
        <v>57</v>
      </c>
      <c r="I577" s="577">
        <v>400</v>
      </c>
      <c r="J577" s="578">
        <v>0.41</v>
      </c>
      <c r="K577" s="577">
        <v>38054.879999999997</v>
      </c>
      <c r="L577" s="577">
        <v>5780.7874999999995</v>
      </c>
      <c r="M577" s="577">
        <v>2720</v>
      </c>
      <c r="N577" s="577">
        <v>37.5</v>
      </c>
      <c r="O577" s="577">
        <v>46555.667499999996</v>
      </c>
      <c r="P577" s="577">
        <v>0.95244016164128065</v>
      </c>
      <c r="Q577" s="579">
        <v>6</v>
      </c>
      <c r="R577" s="580">
        <v>1.4999999999999999E-2</v>
      </c>
      <c r="S577" s="581">
        <v>0</v>
      </c>
      <c r="T577" s="581"/>
      <c r="U577" s="581"/>
      <c r="V577" s="581"/>
      <c r="W577" s="581" t="s">
        <v>309</v>
      </c>
    </row>
    <row r="578" spans="1:23">
      <c r="A578" s="590">
        <v>44299</v>
      </c>
      <c r="B578" s="577">
        <v>5925</v>
      </c>
      <c r="C578" s="577">
        <v>0</v>
      </c>
      <c r="D578" s="577">
        <v>40</v>
      </c>
      <c r="E578" s="577">
        <v>70</v>
      </c>
      <c r="F578" s="577"/>
      <c r="G578" s="577">
        <v>0</v>
      </c>
      <c r="H578" s="577">
        <v>7</v>
      </c>
      <c r="I578" s="577">
        <v>400</v>
      </c>
      <c r="J578" s="578">
        <v>0.45</v>
      </c>
      <c r="K578" s="577">
        <v>36794.25</v>
      </c>
      <c r="L578" s="577">
        <v>0</v>
      </c>
      <c r="M578" s="577">
        <v>1360</v>
      </c>
      <c r="N578" s="577">
        <v>38.5</v>
      </c>
      <c r="O578" s="577">
        <v>38154.25</v>
      </c>
      <c r="P578" s="577">
        <v>0.92693992490613264</v>
      </c>
      <c r="Q578" s="579">
        <v>6</v>
      </c>
      <c r="R578" s="580">
        <v>1.4999999999999999E-2</v>
      </c>
      <c r="S578" s="581">
        <v>0</v>
      </c>
      <c r="T578" s="581"/>
      <c r="U578" s="581"/>
      <c r="V578" s="581"/>
      <c r="W578" s="581"/>
    </row>
    <row r="579" spans="1:23">
      <c r="A579" s="590">
        <v>44300</v>
      </c>
      <c r="B579" s="577">
        <v>6374</v>
      </c>
      <c r="C579" s="577">
        <v>107.75</v>
      </c>
      <c r="D579" s="577">
        <v>80</v>
      </c>
      <c r="E579" s="577">
        <v>60</v>
      </c>
      <c r="F579" s="577"/>
      <c r="G579" s="577">
        <v>13</v>
      </c>
      <c r="H579" s="577">
        <v>25</v>
      </c>
      <c r="I579" s="577">
        <v>400</v>
      </c>
      <c r="J579" s="578">
        <v>0.4</v>
      </c>
      <c r="K579" s="577">
        <v>39582.54</v>
      </c>
      <c r="L579" s="577">
        <v>5780.7874999999995</v>
      </c>
      <c r="M579" s="577">
        <v>2720</v>
      </c>
      <c r="N579" s="577">
        <v>39.5</v>
      </c>
      <c r="O579" s="577">
        <v>48083.327499999999</v>
      </c>
      <c r="P579" s="577">
        <v>0.98561929797433123</v>
      </c>
      <c r="Q579" s="579">
        <v>6</v>
      </c>
      <c r="R579" s="580">
        <v>1.4999999999999999E-2</v>
      </c>
      <c r="S579" s="581">
        <v>0</v>
      </c>
      <c r="T579" s="581"/>
      <c r="U579" s="581"/>
      <c r="V579" s="581"/>
      <c r="W579" s="581" t="s">
        <v>310</v>
      </c>
    </row>
    <row r="580" spans="1:23">
      <c r="A580" s="590">
        <v>44301</v>
      </c>
      <c r="B580" s="577">
        <v>6567</v>
      </c>
      <c r="C580" s="577">
        <v>107.75</v>
      </c>
      <c r="D580" s="577">
        <v>20</v>
      </c>
      <c r="E580" s="577">
        <v>43</v>
      </c>
      <c r="F580" s="577"/>
      <c r="G580" s="577">
        <v>0</v>
      </c>
      <c r="H580" s="577">
        <v>8</v>
      </c>
      <c r="I580" s="577">
        <v>400</v>
      </c>
      <c r="J580" s="578">
        <v>0.44</v>
      </c>
      <c r="K580" s="577">
        <v>40781.07</v>
      </c>
      <c r="L580" s="577">
        <v>5780.7874999999995</v>
      </c>
      <c r="M580" s="577">
        <v>680</v>
      </c>
      <c r="N580" s="577">
        <v>40.5</v>
      </c>
      <c r="O580" s="577">
        <v>47241.857499999998</v>
      </c>
      <c r="P580" s="577">
        <v>0.94502806159159591</v>
      </c>
      <c r="Q580" s="579">
        <v>6</v>
      </c>
      <c r="R580" s="580">
        <v>1.4999999999999999E-2</v>
      </c>
      <c r="S580" s="581">
        <v>0</v>
      </c>
      <c r="T580" s="581"/>
      <c r="U580" s="581"/>
      <c r="V580" s="581"/>
      <c r="W580" s="581"/>
    </row>
    <row r="581" spans="1:23">
      <c r="A581" s="591">
        <v>44302</v>
      </c>
      <c r="B581" s="577">
        <v>6326</v>
      </c>
      <c r="C581" s="577">
        <v>323.25</v>
      </c>
      <c r="D581" s="577">
        <v>30</v>
      </c>
      <c r="E581" s="577">
        <v>50</v>
      </c>
      <c r="F581" s="577"/>
      <c r="G581" s="577">
        <v>135</v>
      </c>
      <c r="H581" s="577">
        <v>20</v>
      </c>
      <c r="I581" s="577">
        <v>400</v>
      </c>
      <c r="J581" s="578">
        <v>0.37</v>
      </c>
      <c r="K581" s="577">
        <v>39284.46</v>
      </c>
      <c r="L581" s="577">
        <v>17342.362499999999</v>
      </c>
      <c r="M581" s="577">
        <v>1020</v>
      </c>
      <c r="N581" s="577">
        <v>41.5</v>
      </c>
      <c r="O581" s="577">
        <v>57646.822499999995</v>
      </c>
      <c r="P581" s="577">
        <v>0.95964805825242716</v>
      </c>
      <c r="Q581" s="579">
        <v>6</v>
      </c>
      <c r="R581" s="580">
        <v>1.4999999999999999E-2</v>
      </c>
      <c r="S581" s="581">
        <v>0</v>
      </c>
      <c r="T581" s="581"/>
      <c r="U581" s="581"/>
      <c r="V581" s="581"/>
      <c r="W581" s="581" t="s">
        <v>311</v>
      </c>
    </row>
    <row r="582" spans="1:23">
      <c r="A582" s="557">
        <v>44303</v>
      </c>
      <c r="B582" s="577">
        <v>6003</v>
      </c>
      <c r="C582" s="577">
        <v>0</v>
      </c>
      <c r="D582" s="577">
        <v>40</v>
      </c>
      <c r="E582" s="577">
        <v>42</v>
      </c>
      <c r="F582" s="577"/>
      <c r="G582" s="577">
        <v>4</v>
      </c>
      <c r="H582" s="577">
        <v>32</v>
      </c>
      <c r="I582" s="577">
        <v>400</v>
      </c>
      <c r="J582" s="578">
        <v>0.3</v>
      </c>
      <c r="K582" s="577">
        <v>37278.629999999997</v>
      </c>
      <c r="L582" s="577">
        <v>0</v>
      </c>
      <c r="M582" s="577">
        <v>1360</v>
      </c>
      <c r="N582" s="577">
        <v>42.5</v>
      </c>
      <c r="O582" s="577">
        <v>38638.629999999997</v>
      </c>
      <c r="P582" s="577">
        <v>0.95195052331113228</v>
      </c>
      <c r="Q582" s="579">
        <v>6</v>
      </c>
      <c r="R582" s="580">
        <v>1.4999999999999999E-2</v>
      </c>
      <c r="S582" s="581">
        <v>0</v>
      </c>
      <c r="T582" s="581"/>
      <c r="U582" s="581"/>
      <c r="V582" s="581"/>
      <c r="W582" s="581"/>
    </row>
    <row r="583" spans="1:23">
      <c r="A583" s="557">
        <v>44304</v>
      </c>
      <c r="B583" s="577">
        <v>5949</v>
      </c>
      <c r="C583" s="577">
        <v>107.75</v>
      </c>
      <c r="D583" s="577">
        <v>40</v>
      </c>
      <c r="E583" s="577">
        <v>50</v>
      </c>
      <c r="F583" s="577"/>
      <c r="G583" s="577">
        <v>1</v>
      </c>
      <c r="H583" s="577">
        <v>9</v>
      </c>
      <c r="I583" s="577">
        <v>400</v>
      </c>
      <c r="J583" s="578">
        <v>0.25</v>
      </c>
      <c r="K583" s="577">
        <v>36943.29</v>
      </c>
      <c r="L583" s="577">
        <v>5780.7874999999995</v>
      </c>
      <c r="M583" s="577">
        <v>1360</v>
      </c>
      <c r="N583" s="577">
        <v>43.5</v>
      </c>
      <c r="O583" s="577">
        <v>44084.077499999999</v>
      </c>
      <c r="P583" s="577">
        <v>0.96075581395348841</v>
      </c>
      <c r="Q583" s="579">
        <v>6</v>
      </c>
      <c r="R583" s="580">
        <v>1.4999999999999999E-2</v>
      </c>
      <c r="S583" s="581">
        <v>0</v>
      </c>
      <c r="T583" s="581"/>
      <c r="U583" s="581"/>
      <c r="V583" s="581"/>
      <c r="W583" s="581" t="s">
        <v>312</v>
      </c>
    </row>
    <row r="584" spans="1:23">
      <c r="A584" s="557">
        <v>44305</v>
      </c>
      <c r="B584" s="577">
        <v>6136</v>
      </c>
      <c r="C584" s="577">
        <v>0</v>
      </c>
      <c r="D584" s="577">
        <v>50</v>
      </c>
      <c r="E584" s="577">
        <v>55</v>
      </c>
      <c r="F584" s="577"/>
      <c r="G584" s="577">
        <v>1</v>
      </c>
      <c r="H584" s="577">
        <v>30</v>
      </c>
      <c r="I584" s="577">
        <v>400</v>
      </c>
      <c r="J584" s="578">
        <v>0.16</v>
      </c>
      <c r="K584" s="577">
        <v>38104.559999999998</v>
      </c>
      <c r="L584" s="577">
        <v>0</v>
      </c>
      <c r="M584" s="577">
        <v>1700</v>
      </c>
      <c r="N584" s="577">
        <v>44.5</v>
      </c>
      <c r="O584" s="577">
        <v>39804.559999999998</v>
      </c>
      <c r="P584" s="577">
        <v>0.95190816009928636</v>
      </c>
      <c r="Q584" s="579">
        <v>6</v>
      </c>
      <c r="R584" s="580">
        <v>1.4999999999999999E-2</v>
      </c>
      <c r="S584" s="581">
        <v>0</v>
      </c>
      <c r="T584" s="581"/>
      <c r="U584" s="581"/>
      <c r="V584" s="581"/>
      <c r="W584" s="581" t="s">
        <v>312</v>
      </c>
    </row>
    <row r="585" spans="1:23">
      <c r="A585" s="557">
        <v>44306</v>
      </c>
      <c r="B585" s="577">
        <v>6331</v>
      </c>
      <c r="C585" s="577">
        <v>0</v>
      </c>
      <c r="D585" s="577">
        <v>70</v>
      </c>
      <c r="E585" s="577">
        <v>54</v>
      </c>
      <c r="F585" s="577"/>
      <c r="G585" s="577">
        <v>4</v>
      </c>
      <c r="H585" s="577">
        <v>59</v>
      </c>
      <c r="I585" s="577">
        <v>400</v>
      </c>
      <c r="J585" s="578">
        <v>0.27</v>
      </c>
      <c r="K585" s="577">
        <v>39315.51</v>
      </c>
      <c r="L585" s="577">
        <v>0</v>
      </c>
      <c r="M585" s="577">
        <v>2380</v>
      </c>
      <c r="N585" s="577">
        <v>45.5</v>
      </c>
      <c r="O585" s="577">
        <v>41695.51</v>
      </c>
      <c r="P585" s="577">
        <v>0.95547841835194691</v>
      </c>
      <c r="Q585" s="579">
        <v>6</v>
      </c>
      <c r="R585" s="580">
        <v>1.4999999999999999E-2</v>
      </c>
      <c r="S585" s="581">
        <v>0</v>
      </c>
      <c r="T585" s="581"/>
      <c r="U585" s="581"/>
      <c r="V585" s="581"/>
      <c r="W585" s="581" t="s">
        <v>313</v>
      </c>
    </row>
    <row r="586" spans="1:23">
      <c r="A586" s="557">
        <v>44307</v>
      </c>
      <c r="B586" s="577">
        <v>6490</v>
      </c>
      <c r="C586" s="577">
        <v>0</v>
      </c>
      <c r="D586" s="577">
        <v>20</v>
      </c>
      <c r="E586" s="577">
        <v>48</v>
      </c>
      <c r="F586" s="577"/>
      <c r="G586" s="577">
        <v>0</v>
      </c>
      <c r="H586" s="577">
        <v>6</v>
      </c>
      <c r="I586" s="577">
        <v>400</v>
      </c>
      <c r="J586" s="578">
        <v>0.27</v>
      </c>
      <c r="K586" s="577">
        <v>40302.9</v>
      </c>
      <c r="L586" s="577">
        <v>0</v>
      </c>
      <c r="M586" s="577">
        <v>680</v>
      </c>
      <c r="N586" s="577">
        <v>46.5</v>
      </c>
      <c r="O586" s="577">
        <v>40982.9</v>
      </c>
      <c r="P586" s="577">
        <v>0.9422183507549361</v>
      </c>
      <c r="Q586" s="579">
        <v>6</v>
      </c>
      <c r="R586" s="580">
        <v>1.4999999999999999E-2</v>
      </c>
      <c r="S586" s="581">
        <v>0</v>
      </c>
      <c r="T586" s="581"/>
      <c r="U586" s="581"/>
      <c r="V586" s="581"/>
      <c r="W586" s="581"/>
    </row>
    <row r="587" spans="1:23">
      <c r="A587" s="557">
        <v>44308</v>
      </c>
      <c r="B587" s="577">
        <v>5970</v>
      </c>
      <c r="C587" s="577">
        <v>0</v>
      </c>
      <c r="D587" s="577">
        <v>40</v>
      </c>
      <c r="E587" s="577">
        <v>51</v>
      </c>
      <c r="F587" s="577"/>
      <c r="G587" s="577">
        <v>1</v>
      </c>
      <c r="H587" s="577">
        <v>24</v>
      </c>
      <c r="I587" s="577">
        <v>400</v>
      </c>
      <c r="J587" s="578">
        <v>0.27</v>
      </c>
      <c r="K587" s="577">
        <v>37073.699999999997</v>
      </c>
      <c r="L587" s="577">
        <v>0</v>
      </c>
      <c r="M587" s="577">
        <v>1360</v>
      </c>
      <c r="N587" s="577">
        <v>47.5</v>
      </c>
      <c r="O587" s="577">
        <v>38433.699999999997</v>
      </c>
      <c r="P587" s="577">
        <v>0.95949855351976854</v>
      </c>
      <c r="Q587" s="579">
        <v>6</v>
      </c>
      <c r="R587" s="580">
        <v>1.4999999999999999E-2</v>
      </c>
      <c r="S587" s="581">
        <v>0</v>
      </c>
      <c r="T587" s="581"/>
      <c r="U587" s="581"/>
      <c r="V587" s="581"/>
      <c r="W587" s="581"/>
    </row>
    <row r="588" spans="1:23">
      <c r="A588" s="557">
        <v>44309</v>
      </c>
      <c r="B588" s="577">
        <v>5635</v>
      </c>
      <c r="C588" s="577">
        <v>107.75</v>
      </c>
      <c r="D588" s="577">
        <v>70</v>
      </c>
      <c r="E588" s="577">
        <v>52</v>
      </c>
      <c r="F588" s="577"/>
      <c r="G588" s="577">
        <v>2</v>
      </c>
      <c r="H588" s="577">
        <v>33</v>
      </c>
      <c r="I588" s="577">
        <v>400</v>
      </c>
      <c r="J588" s="578">
        <v>0.37</v>
      </c>
      <c r="K588" s="577">
        <v>34993.35</v>
      </c>
      <c r="L588" s="577">
        <v>5780.7874999999995</v>
      </c>
      <c r="M588" s="577">
        <v>2380</v>
      </c>
      <c r="N588" s="577">
        <v>48.5</v>
      </c>
      <c r="O588" s="577">
        <v>43154.137499999997</v>
      </c>
      <c r="P588" s="577">
        <v>0.9591489361702128</v>
      </c>
      <c r="Q588" s="579">
        <v>6</v>
      </c>
      <c r="R588" s="580">
        <v>1.4999999999999999E-2</v>
      </c>
      <c r="S588" s="581">
        <v>0</v>
      </c>
      <c r="T588" s="581"/>
      <c r="U588" s="581"/>
      <c r="V588" s="581"/>
      <c r="W588" s="581"/>
    </row>
    <row r="589" spans="1:23">
      <c r="A589" s="557">
        <v>44310</v>
      </c>
      <c r="B589" s="577">
        <v>6094</v>
      </c>
      <c r="C589" s="577">
        <v>0</v>
      </c>
      <c r="D589" s="577">
        <v>20</v>
      </c>
      <c r="E589" s="577">
        <v>36</v>
      </c>
      <c r="F589" s="577"/>
      <c r="G589" s="577">
        <v>0</v>
      </c>
      <c r="H589" s="577">
        <v>23</v>
      </c>
      <c r="I589" s="577">
        <v>400</v>
      </c>
      <c r="J589" s="578">
        <v>0.25</v>
      </c>
      <c r="K589" s="577">
        <v>37843.74</v>
      </c>
      <c r="L589" s="577">
        <v>0</v>
      </c>
      <c r="M589" s="577">
        <v>680</v>
      </c>
      <c r="N589" s="577">
        <v>49.5</v>
      </c>
      <c r="O589" s="577">
        <v>38523.74</v>
      </c>
      <c r="P589" s="577">
        <v>0.96622800063421599</v>
      </c>
      <c r="Q589" s="579">
        <v>6</v>
      </c>
      <c r="R589" s="580">
        <v>1.4999999999999999E-2</v>
      </c>
      <c r="S589" s="581">
        <v>0</v>
      </c>
      <c r="T589" s="581"/>
      <c r="U589" s="581"/>
      <c r="V589" s="581"/>
      <c r="W589" s="581"/>
    </row>
    <row r="590" spans="1:23">
      <c r="A590" s="557">
        <v>44311</v>
      </c>
      <c r="B590" s="577">
        <v>5765</v>
      </c>
      <c r="C590" s="577">
        <v>0</v>
      </c>
      <c r="D590" s="577">
        <v>30</v>
      </c>
      <c r="E590" s="577">
        <v>40</v>
      </c>
      <c r="F590" s="577"/>
      <c r="G590" s="577">
        <v>0</v>
      </c>
      <c r="H590" s="577">
        <v>36</v>
      </c>
      <c r="I590" s="577">
        <v>400</v>
      </c>
      <c r="J590" s="578">
        <v>0.15</v>
      </c>
      <c r="K590" s="577">
        <v>35800.65</v>
      </c>
      <c r="L590" s="577">
        <v>0</v>
      </c>
      <c r="M590" s="577">
        <v>1020</v>
      </c>
      <c r="N590" s="577">
        <v>50.5</v>
      </c>
      <c r="O590" s="577">
        <v>36820.65</v>
      </c>
      <c r="P590" s="577">
        <v>0.96211615487316426</v>
      </c>
      <c r="Q590" s="579">
        <v>6</v>
      </c>
      <c r="R590" s="580">
        <v>1.4999999999999999E-2</v>
      </c>
      <c r="S590" s="581">
        <v>0</v>
      </c>
      <c r="T590" s="581"/>
      <c r="U590" s="581"/>
      <c r="V590" s="581"/>
      <c r="W590" s="581"/>
    </row>
    <row r="591" spans="1:23">
      <c r="A591" s="557">
        <v>44312</v>
      </c>
      <c r="B591" s="577">
        <v>5206</v>
      </c>
      <c r="C591" s="577">
        <v>107.75</v>
      </c>
      <c r="D591" s="577">
        <v>50</v>
      </c>
      <c r="E591" s="577">
        <v>52</v>
      </c>
      <c r="F591" s="577"/>
      <c r="G591" s="577">
        <v>0</v>
      </c>
      <c r="H591" s="577">
        <v>34</v>
      </c>
      <c r="I591" s="577">
        <v>400</v>
      </c>
      <c r="J591" s="578"/>
      <c r="K591" s="577">
        <v>32329.26</v>
      </c>
      <c r="L591" s="577">
        <v>5780.7874999999995</v>
      </c>
      <c r="M591" s="577">
        <v>1700</v>
      </c>
      <c r="N591" s="577">
        <v>51.5</v>
      </c>
      <c r="O591" s="577">
        <v>39810.047500000001</v>
      </c>
      <c r="P591" s="577">
        <v>0.95892429545035918</v>
      </c>
      <c r="Q591" s="579">
        <v>6</v>
      </c>
      <c r="R591" s="580">
        <v>1.4999999999999999E-2</v>
      </c>
      <c r="S591" s="581">
        <v>0</v>
      </c>
      <c r="T591" s="581"/>
      <c r="U591" s="581"/>
      <c r="V591" s="581"/>
      <c r="W591" s="581" t="s">
        <v>314</v>
      </c>
    </row>
    <row r="592" spans="1:23">
      <c r="A592" s="557">
        <v>44313</v>
      </c>
      <c r="B592" s="577">
        <v>5408</v>
      </c>
      <c r="C592" s="577">
        <v>0</v>
      </c>
      <c r="D592" s="577">
        <v>20</v>
      </c>
      <c r="E592" s="577">
        <v>44</v>
      </c>
      <c r="F592" s="577"/>
      <c r="G592" s="577">
        <v>0</v>
      </c>
      <c r="H592" s="577">
        <v>7</v>
      </c>
      <c r="I592" s="577">
        <v>400</v>
      </c>
      <c r="J592" s="578"/>
      <c r="K592" s="577">
        <v>33583.68</v>
      </c>
      <c r="L592" s="577">
        <v>0</v>
      </c>
      <c r="M592" s="577">
        <v>680</v>
      </c>
      <c r="N592" s="577">
        <v>52.5</v>
      </c>
      <c r="O592" s="577">
        <v>34263.68</v>
      </c>
      <c r="P592" s="577">
        <v>0.95886524822695041</v>
      </c>
      <c r="Q592" s="579">
        <v>6</v>
      </c>
      <c r="R592" s="580">
        <v>1.4999999999999999E-2</v>
      </c>
      <c r="S592" s="581">
        <v>0</v>
      </c>
      <c r="T592" s="581"/>
      <c r="U592" s="581"/>
      <c r="V592" s="581"/>
      <c r="W592" s="581"/>
    </row>
    <row r="593" spans="1:23">
      <c r="A593" s="557">
        <v>44314</v>
      </c>
      <c r="B593" s="577">
        <v>4925</v>
      </c>
      <c r="C593" s="577">
        <v>107.75</v>
      </c>
      <c r="D593" s="577">
        <v>30</v>
      </c>
      <c r="E593" s="577">
        <v>39</v>
      </c>
      <c r="F593" s="577"/>
      <c r="G593" s="577">
        <v>0</v>
      </c>
      <c r="H593" s="577">
        <v>17</v>
      </c>
      <c r="I593" s="577">
        <v>400</v>
      </c>
      <c r="J593" s="578"/>
      <c r="K593" s="577">
        <v>30584.25</v>
      </c>
      <c r="L593" s="577">
        <v>5780.7874999999995</v>
      </c>
      <c r="M593" s="577">
        <v>1020</v>
      </c>
      <c r="N593" s="577">
        <v>53.5</v>
      </c>
      <c r="O593" s="577">
        <v>37385.037499999999</v>
      </c>
      <c r="P593" s="577">
        <v>0.9409629346580054</v>
      </c>
      <c r="Q593" s="579">
        <v>6</v>
      </c>
      <c r="R593" s="580">
        <v>1.4999999999999999E-2</v>
      </c>
      <c r="S593" s="581">
        <v>0</v>
      </c>
      <c r="T593" s="581"/>
      <c r="U593" s="581"/>
      <c r="V593" s="581"/>
      <c r="W593" s="581"/>
    </row>
    <row r="594" spans="1:23">
      <c r="A594" s="557">
        <v>44315</v>
      </c>
      <c r="B594" s="577">
        <v>4354</v>
      </c>
      <c r="C594" s="577">
        <v>107.75</v>
      </c>
      <c r="D594" s="577">
        <v>40</v>
      </c>
      <c r="E594" s="577">
        <v>38</v>
      </c>
      <c r="F594" s="577"/>
      <c r="G594" s="577">
        <v>0</v>
      </c>
      <c r="H594" s="577">
        <v>58</v>
      </c>
      <c r="I594" s="577">
        <v>400</v>
      </c>
      <c r="J594" s="578"/>
      <c r="K594" s="577">
        <v>27038.34</v>
      </c>
      <c r="L594" s="577">
        <v>5780.7874999999995</v>
      </c>
      <c r="M594" s="577">
        <v>1360</v>
      </c>
      <c r="N594" s="577">
        <v>54.5</v>
      </c>
      <c r="O594" s="577">
        <v>34179.127500000002</v>
      </c>
      <c r="P594" s="577">
        <v>0.9403887688984881</v>
      </c>
      <c r="Q594" s="579">
        <v>6</v>
      </c>
      <c r="R594" s="580">
        <v>1.4999999999999999E-2</v>
      </c>
      <c r="S594" s="581">
        <v>0</v>
      </c>
      <c r="T594" s="581"/>
      <c r="U594" s="581"/>
      <c r="V594" s="581"/>
      <c r="W594" s="581" t="s">
        <v>315</v>
      </c>
    </row>
    <row r="595" spans="1:23" ht="29.1">
      <c r="A595" s="557">
        <v>44316</v>
      </c>
      <c r="B595" s="577">
        <v>5597</v>
      </c>
      <c r="C595" s="577">
        <v>0</v>
      </c>
      <c r="D595" s="577">
        <v>10</v>
      </c>
      <c r="E595" s="577">
        <v>39</v>
      </c>
      <c r="F595" s="577"/>
      <c r="G595" s="577">
        <v>0</v>
      </c>
      <c r="H595" s="577">
        <v>47</v>
      </c>
      <c r="I595" s="577">
        <v>400</v>
      </c>
      <c r="J595" s="578"/>
      <c r="K595" s="577">
        <v>34757.370000000003</v>
      </c>
      <c r="L595" s="577">
        <v>0</v>
      </c>
      <c r="M595" s="577">
        <v>340</v>
      </c>
      <c r="N595" s="577">
        <v>55.5</v>
      </c>
      <c r="O595" s="577">
        <v>35097.370000000003</v>
      </c>
      <c r="P595" s="577">
        <v>0.95855454701147458</v>
      </c>
      <c r="Q595" s="579">
        <v>6</v>
      </c>
      <c r="R595" s="580">
        <v>1.4999999999999999E-2</v>
      </c>
      <c r="S595" s="581">
        <v>0</v>
      </c>
      <c r="T595" s="581"/>
      <c r="U595" s="581"/>
      <c r="V595" s="581"/>
      <c r="W595" s="581" t="s">
        <v>316</v>
      </c>
    </row>
    <row r="596" spans="1:23">
      <c r="A596" s="576"/>
      <c r="B596" s="577"/>
      <c r="C596" s="577"/>
      <c r="D596" s="577"/>
      <c r="E596" s="577"/>
      <c r="F596" s="577"/>
      <c r="G596" s="577"/>
      <c r="H596" s="577"/>
      <c r="I596" s="577"/>
      <c r="J596" s="578"/>
      <c r="K596" s="577"/>
      <c r="L596" s="577"/>
      <c r="M596" s="577"/>
      <c r="N596" s="577"/>
      <c r="O596" s="577"/>
      <c r="P596" s="577"/>
      <c r="Q596" s="579"/>
      <c r="R596" s="580"/>
      <c r="S596" s="581"/>
      <c r="T596" s="581"/>
      <c r="U596" s="581"/>
      <c r="V596" s="581"/>
      <c r="W596" s="581"/>
    </row>
    <row r="597" spans="1:23">
      <c r="A597" s="576" t="s">
        <v>161</v>
      </c>
      <c r="B597" s="577">
        <v>184450</v>
      </c>
      <c r="C597" s="577">
        <v>1616.25</v>
      </c>
      <c r="D597" s="577">
        <v>1110</v>
      </c>
      <c r="E597" s="577"/>
      <c r="F597" s="577"/>
      <c r="G597" s="577"/>
      <c r="H597" s="577"/>
      <c r="I597" s="577"/>
      <c r="J597" s="578"/>
      <c r="K597" s="577">
        <v>1145434.5000000002</v>
      </c>
      <c r="L597" s="577">
        <v>86711.812500000015</v>
      </c>
      <c r="M597" s="577">
        <v>37740</v>
      </c>
      <c r="N597" s="577"/>
      <c r="O597" s="577">
        <v>1269886.3125000002</v>
      </c>
      <c r="P597" s="577"/>
      <c r="Q597" s="579"/>
      <c r="R597" s="580"/>
      <c r="S597" s="581"/>
      <c r="T597" s="581"/>
      <c r="U597" s="581"/>
      <c r="V597" s="581"/>
      <c r="W597" s="581"/>
    </row>
    <row r="598" spans="1:23">
      <c r="A598" s="593"/>
      <c r="B598" s="594"/>
      <c r="C598" s="594"/>
      <c r="D598" s="594"/>
      <c r="E598" s="594"/>
      <c r="F598" s="594"/>
      <c r="G598" s="594"/>
      <c r="H598" s="594"/>
      <c r="I598" s="594"/>
      <c r="J598" s="594"/>
      <c r="K598" s="595"/>
      <c r="L598" s="595"/>
      <c r="M598" s="595"/>
      <c r="N598" s="595"/>
      <c r="O598" s="595"/>
      <c r="P598" s="595"/>
      <c r="Q598" s="595"/>
      <c r="R598" s="595"/>
      <c r="S598" s="595"/>
      <c r="T598" s="595"/>
      <c r="U598" s="595"/>
      <c r="V598" s="595"/>
      <c r="W598" s="595"/>
    </row>
    <row r="599" spans="1:23" ht="21">
      <c r="A599" s="696" t="s">
        <v>14</v>
      </c>
      <c r="B599" s="798" t="s">
        <v>145</v>
      </c>
      <c r="C599" s="798"/>
      <c r="D599" s="798"/>
      <c r="E599" s="798"/>
      <c r="F599" s="798"/>
      <c r="G599" s="798"/>
      <c r="H599" s="798"/>
      <c r="I599" s="798"/>
      <c r="J599" s="696"/>
      <c r="K599" s="798" t="s">
        <v>146</v>
      </c>
      <c r="L599" s="798"/>
      <c r="M599" s="798"/>
      <c r="N599" s="696" t="s">
        <v>147</v>
      </c>
      <c r="O599" s="596" t="s">
        <v>148</v>
      </c>
      <c r="P599" s="596" t="s">
        <v>175</v>
      </c>
      <c r="Q599" s="596" t="s">
        <v>149</v>
      </c>
      <c r="R599" s="596" t="s">
        <v>150</v>
      </c>
      <c r="S599" s="597" t="s">
        <v>165</v>
      </c>
      <c r="T599" s="795" t="s">
        <v>317</v>
      </c>
      <c r="U599" s="796"/>
      <c r="V599" s="797"/>
      <c r="W599" s="597" t="s">
        <v>176</v>
      </c>
    </row>
    <row r="600" spans="1:23">
      <c r="A600" s="696"/>
      <c r="B600" s="696" t="s">
        <v>156</v>
      </c>
      <c r="C600" s="696" t="s">
        <v>157</v>
      </c>
      <c r="D600" s="696" t="s">
        <v>158</v>
      </c>
      <c r="E600" s="696" t="s">
        <v>236</v>
      </c>
      <c r="F600" s="696"/>
      <c r="G600" s="696" t="s">
        <v>302</v>
      </c>
      <c r="H600" s="696" t="s">
        <v>303</v>
      </c>
      <c r="I600" s="696" t="s">
        <v>237</v>
      </c>
      <c r="J600" s="696"/>
      <c r="K600" s="696" t="s">
        <v>156</v>
      </c>
      <c r="L600" s="696" t="s">
        <v>157</v>
      </c>
      <c r="M600" s="696" t="s">
        <v>158</v>
      </c>
      <c r="N600" s="696"/>
      <c r="O600" s="596"/>
      <c r="P600" s="596"/>
      <c r="Q600" s="596"/>
      <c r="R600" s="596"/>
      <c r="S600" s="597"/>
      <c r="T600" s="597" t="s">
        <v>318</v>
      </c>
      <c r="U600" s="597" t="s">
        <v>319</v>
      </c>
      <c r="V600" s="597" t="s">
        <v>320</v>
      </c>
      <c r="W600" s="597"/>
    </row>
    <row r="601" spans="1:23">
      <c r="A601" s="588">
        <v>44317</v>
      </c>
      <c r="B601" s="598">
        <v>5590</v>
      </c>
      <c r="C601" s="598">
        <v>0</v>
      </c>
      <c r="D601" s="598">
        <v>30</v>
      </c>
      <c r="E601" s="598">
        <v>37</v>
      </c>
      <c r="F601" s="598"/>
      <c r="G601" s="598">
        <v>0</v>
      </c>
      <c r="H601" s="599">
        <v>16</v>
      </c>
      <c r="I601" s="600">
        <v>400</v>
      </c>
      <c r="J601" s="601">
        <v>0.4</v>
      </c>
      <c r="K601" s="598">
        <v>34713.9</v>
      </c>
      <c r="L601" s="598">
        <v>0</v>
      </c>
      <c r="M601" s="598">
        <v>1020</v>
      </c>
      <c r="N601" s="602">
        <v>26.5</v>
      </c>
      <c r="O601" s="603">
        <v>35733.9</v>
      </c>
      <c r="P601" s="604">
        <v>0.94713656387665202</v>
      </c>
      <c r="Q601" s="605">
        <v>6</v>
      </c>
      <c r="R601" s="606">
        <v>1.4999999999999999E-2</v>
      </c>
      <c r="S601" s="589">
        <v>0</v>
      </c>
      <c r="T601" s="589">
        <v>34</v>
      </c>
      <c r="U601" s="589">
        <v>33</v>
      </c>
      <c r="V601" s="589">
        <v>35</v>
      </c>
      <c r="W601" s="607"/>
    </row>
    <row r="602" spans="1:23">
      <c r="A602" s="588">
        <v>44318</v>
      </c>
      <c r="B602" s="598">
        <v>5555</v>
      </c>
      <c r="C602" s="598">
        <v>0</v>
      </c>
      <c r="D602" s="598">
        <v>30</v>
      </c>
      <c r="E602" s="598">
        <v>34</v>
      </c>
      <c r="F602" s="598"/>
      <c r="G602" s="598">
        <v>1</v>
      </c>
      <c r="H602" s="599">
        <v>35</v>
      </c>
      <c r="I602" s="600">
        <v>400</v>
      </c>
      <c r="J602" s="608">
        <v>0.45</v>
      </c>
      <c r="K602" s="598">
        <v>34496.550000000003</v>
      </c>
      <c r="L602" s="598">
        <v>0</v>
      </c>
      <c r="M602" s="598">
        <v>1020</v>
      </c>
      <c r="N602" s="602">
        <v>27.5</v>
      </c>
      <c r="O602" s="603">
        <v>35516.550000000003</v>
      </c>
      <c r="P602" s="604">
        <v>0.95726348440461828</v>
      </c>
      <c r="Q602" s="605">
        <v>6</v>
      </c>
      <c r="R602" s="606">
        <v>1.4999999999999999E-2</v>
      </c>
      <c r="S602" s="589">
        <v>0</v>
      </c>
      <c r="T602" s="589">
        <v>34</v>
      </c>
      <c r="U602" s="589">
        <v>33</v>
      </c>
      <c r="V602" s="589">
        <v>35</v>
      </c>
      <c r="W602" s="607"/>
    </row>
    <row r="603" spans="1:23">
      <c r="A603" s="588">
        <v>44319</v>
      </c>
      <c r="B603" s="598">
        <v>6589</v>
      </c>
      <c r="C603" s="598">
        <v>107.75</v>
      </c>
      <c r="D603" s="598">
        <v>50</v>
      </c>
      <c r="E603" s="598">
        <v>56</v>
      </c>
      <c r="F603" s="598"/>
      <c r="G603" s="598">
        <v>43</v>
      </c>
      <c r="H603" s="599">
        <v>8</v>
      </c>
      <c r="I603" s="600">
        <v>400</v>
      </c>
      <c r="J603" s="608">
        <v>0.44</v>
      </c>
      <c r="K603" s="598">
        <v>40917.69</v>
      </c>
      <c r="L603" s="598">
        <v>5780.7874999999995</v>
      </c>
      <c r="M603" s="598">
        <v>1700</v>
      </c>
      <c r="N603" s="602">
        <v>28.5</v>
      </c>
      <c r="O603" s="603">
        <v>48398.477500000001</v>
      </c>
      <c r="P603" s="604">
        <v>0.95216763005780347</v>
      </c>
      <c r="Q603" s="605">
        <v>6</v>
      </c>
      <c r="R603" s="606">
        <v>1.4999999999999999E-2</v>
      </c>
      <c r="S603" s="589">
        <v>0</v>
      </c>
      <c r="T603" s="589">
        <v>34</v>
      </c>
      <c r="U603" s="589">
        <v>32</v>
      </c>
      <c r="V603" s="589">
        <v>35</v>
      </c>
      <c r="W603" s="607" t="s">
        <v>321</v>
      </c>
    </row>
    <row r="604" spans="1:23">
      <c r="A604" s="588">
        <v>44320</v>
      </c>
      <c r="B604" s="598">
        <v>6605</v>
      </c>
      <c r="C604" s="598">
        <v>107.75</v>
      </c>
      <c r="D604" s="598">
        <v>40</v>
      </c>
      <c r="E604" s="598">
        <v>55</v>
      </c>
      <c r="F604" s="598"/>
      <c r="G604" s="598">
        <v>1</v>
      </c>
      <c r="H604" s="599">
        <v>37</v>
      </c>
      <c r="I604" s="600">
        <v>400</v>
      </c>
      <c r="J604" s="608">
        <v>0.46</v>
      </c>
      <c r="K604" s="598">
        <v>41017.050000000003</v>
      </c>
      <c r="L604" s="598">
        <v>5780.7874999999995</v>
      </c>
      <c r="M604" s="598">
        <v>1360</v>
      </c>
      <c r="N604" s="602">
        <v>29.5</v>
      </c>
      <c r="O604" s="603">
        <v>48157.837500000001</v>
      </c>
      <c r="P604" s="604">
        <v>0.95863570391872277</v>
      </c>
      <c r="Q604" s="605">
        <v>6</v>
      </c>
      <c r="R604" s="606">
        <v>1.4999999999999999E-2</v>
      </c>
      <c r="S604" s="589">
        <v>0</v>
      </c>
      <c r="T604" s="589">
        <v>33</v>
      </c>
      <c r="U604" s="589">
        <v>32</v>
      </c>
      <c r="V604" s="589">
        <v>35</v>
      </c>
      <c r="W604" s="607"/>
    </row>
    <row r="605" spans="1:23">
      <c r="A605" s="588">
        <v>44321</v>
      </c>
      <c r="B605" s="598">
        <v>6961</v>
      </c>
      <c r="C605" s="598">
        <v>215.5</v>
      </c>
      <c r="D605" s="598">
        <v>60</v>
      </c>
      <c r="E605" s="598">
        <v>78</v>
      </c>
      <c r="F605" s="598"/>
      <c r="G605" s="598">
        <v>83</v>
      </c>
      <c r="H605" s="599">
        <v>69</v>
      </c>
      <c r="I605" s="600">
        <v>400</v>
      </c>
      <c r="J605" s="608">
        <v>0.46</v>
      </c>
      <c r="K605" s="598">
        <v>43227.81</v>
      </c>
      <c r="L605" s="598">
        <v>11561.574999999999</v>
      </c>
      <c r="M605" s="598">
        <v>2040</v>
      </c>
      <c r="N605" s="602">
        <v>30.5</v>
      </c>
      <c r="O605" s="603">
        <v>56829.384999999995</v>
      </c>
      <c r="P605" s="604">
        <v>0.95828744493392071</v>
      </c>
      <c r="Q605" s="605">
        <v>6</v>
      </c>
      <c r="R605" s="606">
        <v>1.4999999999999999E-2</v>
      </c>
      <c r="S605" s="589">
        <v>0</v>
      </c>
      <c r="T605" s="589">
        <v>33</v>
      </c>
      <c r="U605" s="589">
        <v>31</v>
      </c>
      <c r="V605" s="589">
        <v>34</v>
      </c>
      <c r="W605" s="607" t="s">
        <v>322</v>
      </c>
    </row>
    <row r="606" spans="1:23">
      <c r="A606" s="588">
        <v>44322</v>
      </c>
      <c r="B606" s="598">
        <v>5864</v>
      </c>
      <c r="C606" s="598">
        <v>107.75</v>
      </c>
      <c r="D606" s="598">
        <v>120</v>
      </c>
      <c r="E606" s="598">
        <v>77</v>
      </c>
      <c r="F606" s="598"/>
      <c r="G606" s="598">
        <v>3</v>
      </c>
      <c r="H606" s="599">
        <v>109</v>
      </c>
      <c r="I606" s="600">
        <v>400</v>
      </c>
      <c r="J606" s="608">
        <v>0.46</v>
      </c>
      <c r="K606" s="598">
        <v>36415.440000000002</v>
      </c>
      <c r="L606" s="598">
        <v>5780.7874999999995</v>
      </c>
      <c r="M606" s="598">
        <v>4080</v>
      </c>
      <c r="N606" s="602">
        <v>31.5</v>
      </c>
      <c r="O606" s="603">
        <v>46276.227500000001</v>
      </c>
      <c r="P606" s="604">
        <v>0.95645082368292289</v>
      </c>
      <c r="Q606" s="605">
        <v>6</v>
      </c>
      <c r="R606" s="606">
        <v>1.4999999999999999E-2</v>
      </c>
      <c r="S606" s="589">
        <v>0</v>
      </c>
      <c r="T606" s="589">
        <v>33</v>
      </c>
      <c r="U606" s="589">
        <v>30</v>
      </c>
      <c r="V606" s="589">
        <v>34</v>
      </c>
      <c r="W606" s="607"/>
    </row>
    <row r="607" spans="1:23" ht="21">
      <c r="A607" s="588">
        <v>44323</v>
      </c>
      <c r="B607" s="598">
        <v>5917</v>
      </c>
      <c r="C607" s="598">
        <v>323.25</v>
      </c>
      <c r="D607" s="598">
        <v>100</v>
      </c>
      <c r="E607" s="598">
        <v>92</v>
      </c>
      <c r="F607" s="598"/>
      <c r="G607" s="598">
        <v>3</v>
      </c>
      <c r="H607" s="599">
        <v>202</v>
      </c>
      <c r="I607" s="600">
        <v>360</v>
      </c>
      <c r="J607" s="608">
        <v>0.46</v>
      </c>
      <c r="K607" s="598">
        <v>36744.57</v>
      </c>
      <c r="L607" s="598">
        <v>17342.362499999999</v>
      </c>
      <c r="M607" s="598">
        <v>3400</v>
      </c>
      <c r="N607" s="602">
        <v>32.5</v>
      </c>
      <c r="O607" s="603">
        <v>57486.932499999995</v>
      </c>
      <c r="P607" s="604">
        <v>0.96024018175916914</v>
      </c>
      <c r="Q607" s="605">
        <v>6</v>
      </c>
      <c r="R607" s="606">
        <v>1.4999999999999999E-2</v>
      </c>
      <c r="S607" s="589">
        <v>0</v>
      </c>
      <c r="T607" s="589">
        <v>31</v>
      </c>
      <c r="U607" s="589">
        <v>30</v>
      </c>
      <c r="V607" s="589">
        <v>33</v>
      </c>
      <c r="W607" s="607" t="s">
        <v>323</v>
      </c>
    </row>
    <row r="608" spans="1:23" ht="21">
      <c r="A608" s="588">
        <v>44324</v>
      </c>
      <c r="B608" s="598">
        <v>5425</v>
      </c>
      <c r="C608" s="598">
        <v>0</v>
      </c>
      <c r="D608" s="598">
        <v>90</v>
      </c>
      <c r="E608" s="598">
        <v>52</v>
      </c>
      <c r="F608" s="598"/>
      <c r="G608" s="598">
        <v>4</v>
      </c>
      <c r="H608" s="599">
        <v>46</v>
      </c>
      <c r="I608" s="600">
        <v>400</v>
      </c>
      <c r="J608" s="608">
        <v>0.5</v>
      </c>
      <c r="K608" s="598">
        <v>33689.25</v>
      </c>
      <c r="L608" s="598">
        <v>0</v>
      </c>
      <c r="M608" s="598">
        <v>3060</v>
      </c>
      <c r="N608" s="602">
        <v>33.5</v>
      </c>
      <c r="O608" s="603">
        <v>36749.25</v>
      </c>
      <c r="P608" s="604">
        <v>0.93696027633851464</v>
      </c>
      <c r="Q608" s="605">
        <v>6</v>
      </c>
      <c r="R608" s="606">
        <v>1.4999999999999999E-2</v>
      </c>
      <c r="S608" s="589">
        <v>0</v>
      </c>
      <c r="T608" s="589">
        <v>31</v>
      </c>
      <c r="U608" s="589">
        <v>30</v>
      </c>
      <c r="V608" s="589">
        <v>33</v>
      </c>
      <c r="W608" s="607" t="s">
        <v>324</v>
      </c>
    </row>
    <row r="609" spans="1:23">
      <c r="A609" s="588">
        <v>44325</v>
      </c>
      <c r="B609" s="598">
        <v>5831</v>
      </c>
      <c r="C609" s="598">
        <v>107.75</v>
      </c>
      <c r="D609" s="598">
        <v>30</v>
      </c>
      <c r="E609" s="598">
        <v>81</v>
      </c>
      <c r="F609" s="598"/>
      <c r="G609" s="598">
        <v>3</v>
      </c>
      <c r="H609" s="599">
        <v>38</v>
      </c>
      <c r="I609" s="600">
        <v>400</v>
      </c>
      <c r="J609" s="608">
        <v>0.5</v>
      </c>
      <c r="K609" s="598">
        <v>36210.51</v>
      </c>
      <c r="L609" s="598">
        <v>5780.7874999999995</v>
      </c>
      <c r="M609" s="598">
        <v>1020</v>
      </c>
      <c r="N609" s="602">
        <v>34.5</v>
      </c>
      <c r="O609" s="603">
        <v>43011.297500000001</v>
      </c>
      <c r="P609" s="604">
        <v>0.97443181818181823</v>
      </c>
      <c r="Q609" s="605">
        <v>6</v>
      </c>
      <c r="R609" s="606">
        <v>1.4999999999999999E-2</v>
      </c>
      <c r="S609" s="589">
        <v>0</v>
      </c>
      <c r="T609" s="589">
        <v>31</v>
      </c>
      <c r="U609" s="589">
        <v>30</v>
      </c>
      <c r="V609" s="589">
        <v>32</v>
      </c>
      <c r="W609" s="607"/>
    </row>
    <row r="610" spans="1:23">
      <c r="A610" s="588">
        <v>44326</v>
      </c>
      <c r="B610" s="598">
        <v>6107</v>
      </c>
      <c r="C610" s="598">
        <v>215.5</v>
      </c>
      <c r="D610" s="598">
        <v>100</v>
      </c>
      <c r="E610" s="598">
        <v>49</v>
      </c>
      <c r="F610" s="598"/>
      <c r="G610" s="598">
        <v>0</v>
      </c>
      <c r="H610" s="599">
        <v>156</v>
      </c>
      <c r="I610" s="600">
        <v>400</v>
      </c>
      <c r="J610" s="608">
        <v>0.43</v>
      </c>
      <c r="K610" s="598">
        <v>37924.47</v>
      </c>
      <c r="L610" s="598">
        <v>11561.574999999999</v>
      </c>
      <c r="M610" s="598">
        <v>3400</v>
      </c>
      <c r="N610" s="602">
        <v>35.5</v>
      </c>
      <c r="O610" s="603">
        <v>52886.044999999998</v>
      </c>
      <c r="P610" s="604">
        <v>0.96599177475482445</v>
      </c>
      <c r="Q610" s="605">
        <v>6</v>
      </c>
      <c r="R610" s="606">
        <v>1.4999999999999999E-2</v>
      </c>
      <c r="S610" s="589">
        <v>0</v>
      </c>
      <c r="T610" s="589">
        <v>30</v>
      </c>
      <c r="U610" s="589">
        <v>30</v>
      </c>
      <c r="V610" s="589">
        <v>31</v>
      </c>
      <c r="W610" s="607" t="s">
        <v>325</v>
      </c>
    </row>
    <row r="611" spans="1:23">
      <c r="A611" s="588">
        <v>44327</v>
      </c>
      <c r="B611" s="598">
        <v>6165</v>
      </c>
      <c r="C611" s="598">
        <v>0</v>
      </c>
      <c r="D611" s="598">
        <v>70</v>
      </c>
      <c r="E611" s="598">
        <v>55</v>
      </c>
      <c r="F611" s="598"/>
      <c r="G611" s="598">
        <v>3</v>
      </c>
      <c r="H611" s="599">
        <v>183</v>
      </c>
      <c r="I611" s="600">
        <v>400</v>
      </c>
      <c r="J611" s="608">
        <v>0.46</v>
      </c>
      <c r="K611" s="598">
        <v>38284.65</v>
      </c>
      <c r="L611" s="598">
        <v>0</v>
      </c>
      <c r="M611" s="598">
        <v>2380</v>
      </c>
      <c r="N611" s="602">
        <v>36.5</v>
      </c>
      <c r="O611" s="603">
        <v>40664.65</v>
      </c>
      <c r="P611" s="604">
        <v>0.95050878815911188</v>
      </c>
      <c r="Q611" s="605">
        <v>6</v>
      </c>
      <c r="R611" s="606">
        <v>1.4999999999999999E-2</v>
      </c>
      <c r="S611" s="589">
        <v>0</v>
      </c>
      <c r="T611" s="589">
        <v>30</v>
      </c>
      <c r="U611" s="589">
        <v>30</v>
      </c>
      <c r="V611" s="589">
        <v>31</v>
      </c>
      <c r="W611" s="607" t="s">
        <v>325</v>
      </c>
    </row>
    <row r="612" spans="1:23">
      <c r="A612" s="588">
        <v>44328</v>
      </c>
      <c r="B612" s="598">
        <v>6850</v>
      </c>
      <c r="C612" s="598">
        <v>107.75</v>
      </c>
      <c r="D612" s="598">
        <v>60</v>
      </c>
      <c r="E612" s="598">
        <v>31</v>
      </c>
      <c r="F612" s="598"/>
      <c r="G612" s="598">
        <v>2</v>
      </c>
      <c r="H612" s="599">
        <v>222</v>
      </c>
      <c r="I612" s="600">
        <v>400</v>
      </c>
      <c r="J612" s="608">
        <v>0.41</v>
      </c>
      <c r="K612" s="598">
        <v>42538.5</v>
      </c>
      <c r="L612" s="598">
        <v>5780.7874999999995</v>
      </c>
      <c r="M612" s="598">
        <v>2040</v>
      </c>
      <c r="N612" s="602">
        <v>37.5</v>
      </c>
      <c r="O612" s="603">
        <v>50359.287499999999</v>
      </c>
      <c r="P612" s="604">
        <v>0.96833474696070121</v>
      </c>
      <c r="Q612" s="605">
        <v>6</v>
      </c>
      <c r="R612" s="606">
        <v>1.4999999999999999E-2</v>
      </c>
      <c r="S612" s="589">
        <v>0</v>
      </c>
      <c r="T612" s="589">
        <v>30</v>
      </c>
      <c r="U612" s="589">
        <v>29</v>
      </c>
      <c r="V612" s="589">
        <v>31</v>
      </c>
      <c r="W612" s="607" t="s">
        <v>325</v>
      </c>
    </row>
    <row r="613" spans="1:23" ht="21">
      <c r="A613" s="590">
        <v>44329</v>
      </c>
      <c r="B613" s="600">
        <v>5939</v>
      </c>
      <c r="C613" s="598">
        <v>0</v>
      </c>
      <c r="D613" s="600">
        <v>70</v>
      </c>
      <c r="E613" s="598">
        <v>67</v>
      </c>
      <c r="F613" s="598"/>
      <c r="G613" s="598">
        <v>3</v>
      </c>
      <c r="H613" s="599">
        <v>214</v>
      </c>
      <c r="I613" s="600">
        <v>400</v>
      </c>
      <c r="J613" s="608">
        <v>0.45</v>
      </c>
      <c r="K613" s="600">
        <v>36881.19</v>
      </c>
      <c r="L613" s="598">
        <v>0</v>
      </c>
      <c r="M613" s="600">
        <v>2380</v>
      </c>
      <c r="N613" s="601">
        <v>38.5</v>
      </c>
      <c r="O613" s="609">
        <v>39261.19</v>
      </c>
      <c r="P613" s="610">
        <v>0.9579032258064516</v>
      </c>
      <c r="Q613" s="611">
        <v>6</v>
      </c>
      <c r="R613" s="612">
        <v>1.4999999999999999E-2</v>
      </c>
      <c r="S613" s="613">
        <v>0</v>
      </c>
      <c r="T613" s="589">
        <v>30</v>
      </c>
      <c r="U613" s="589">
        <v>29</v>
      </c>
      <c r="V613" s="589">
        <v>31</v>
      </c>
      <c r="W613" s="607" t="s">
        <v>326</v>
      </c>
    </row>
    <row r="614" spans="1:23">
      <c r="A614" s="590">
        <v>44330</v>
      </c>
      <c r="B614" s="600">
        <v>6214</v>
      </c>
      <c r="C614" s="598">
        <v>0</v>
      </c>
      <c r="D614" s="600">
        <v>10</v>
      </c>
      <c r="E614" s="598">
        <v>33</v>
      </c>
      <c r="F614" s="598"/>
      <c r="G614" s="598">
        <v>2</v>
      </c>
      <c r="H614" s="599">
        <v>117</v>
      </c>
      <c r="I614" s="600">
        <v>400</v>
      </c>
      <c r="J614" s="608">
        <v>0.4</v>
      </c>
      <c r="K614" s="600">
        <v>38588.94</v>
      </c>
      <c r="L614" s="598">
        <v>0</v>
      </c>
      <c r="M614" s="600">
        <v>340</v>
      </c>
      <c r="N614" s="601">
        <v>39.5</v>
      </c>
      <c r="O614" s="609">
        <v>38928.94</v>
      </c>
      <c r="P614" s="610">
        <v>0.96236642403592998</v>
      </c>
      <c r="Q614" s="611">
        <v>6</v>
      </c>
      <c r="R614" s="612">
        <v>1.4999999999999999E-2</v>
      </c>
      <c r="S614" s="613">
        <v>0</v>
      </c>
      <c r="T614" s="589">
        <v>30</v>
      </c>
      <c r="U614" s="589">
        <v>29</v>
      </c>
      <c r="V614" s="589">
        <v>31</v>
      </c>
      <c r="W614" s="614"/>
    </row>
    <row r="615" spans="1:23" ht="21">
      <c r="A615" s="590">
        <v>44331</v>
      </c>
      <c r="B615" s="598">
        <v>6085</v>
      </c>
      <c r="C615" s="598">
        <v>0</v>
      </c>
      <c r="D615" s="598">
        <v>70</v>
      </c>
      <c r="E615" s="598">
        <v>55</v>
      </c>
      <c r="F615" s="598"/>
      <c r="G615" s="598">
        <v>3</v>
      </c>
      <c r="H615" s="599">
        <v>145</v>
      </c>
      <c r="I615" s="600">
        <v>400</v>
      </c>
      <c r="J615" s="608">
        <v>0.44</v>
      </c>
      <c r="K615" s="598">
        <v>37787.85</v>
      </c>
      <c r="L615" s="598">
        <v>0</v>
      </c>
      <c r="M615" s="598">
        <v>2380</v>
      </c>
      <c r="N615" s="602">
        <v>40.5</v>
      </c>
      <c r="O615" s="603">
        <v>40167.85</v>
      </c>
      <c r="P615" s="604">
        <v>0.96526015228426398</v>
      </c>
      <c r="Q615" s="605">
        <v>6</v>
      </c>
      <c r="R615" s="606">
        <v>1.4999999999999999E-2</v>
      </c>
      <c r="S615" s="589">
        <v>0</v>
      </c>
      <c r="T615" s="589">
        <v>30</v>
      </c>
      <c r="U615" s="589">
        <v>29</v>
      </c>
      <c r="V615" s="589">
        <v>31</v>
      </c>
      <c r="W615" s="607" t="s">
        <v>326</v>
      </c>
    </row>
    <row r="616" spans="1:23">
      <c r="A616" s="590">
        <v>44332</v>
      </c>
      <c r="B616" s="615">
        <v>5723</v>
      </c>
      <c r="C616" s="615">
        <v>0</v>
      </c>
      <c r="D616" s="615">
        <v>50</v>
      </c>
      <c r="E616" s="615">
        <v>85</v>
      </c>
      <c r="F616" s="615"/>
      <c r="G616" s="615">
        <v>3</v>
      </c>
      <c r="H616" s="616">
        <v>64</v>
      </c>
      <c r="I616" s="617">
        <v>352</v>
      </c>
      <c r="J616" s="618">
        <v>0.37</v>
      </c>
      <c r="K616" s="615">
        <v>35539.83</v>
      </c>
      <c r="L616" s="615">
        <v>0</v>
      </c>
      <c r="M616" s="615">
        <v>1700</v>
      </c>
      <c r="N616" s="619">
        <v>41.5</v>
      </c>
      <c r="O616" s="620">
        <v>37239.83</v>
      </c>
      <c r="P616" s="621">
        <v>0.96379252273492755</v>
      </c>
      <c r="Q616" s="622">
        <v>6</v>
      </c>
      <c r="R616" s="623">
        <v>1.4999999999999999E-2</v>
      </c>
      <c r="S616" s="624">
        <v>0</v>
      </c>
      <c r="T616" s="589">
        <v>30</v>
      </c>
      <c r="U616" s="589">
        <v>29</v>
      </c>
      <c r="V616" s="589">
        <v>31</v>
      </c>
      <c r="W616" s="625" t="s">
        <v>327</v>
      </c>
    </row>
    <row r="617" spans="1:23">
      <c r="A617" s="590">
        <v>44333</v>
      </c>
      <c r="B617" s="545">
        <v>6196</v>
      </c>
      <c r="C617" s="545">
        <v>107.75</v>
      </c>
      <c r="D617" s="545">
        <v>70</v>
      </c>
      <c r="E617" s="545">
        <v>127</v>
      </c>
      <c r="F617" s="545"/>
      <c r="G617" s="545">
        <v>4</v>
      </c>
      <c r="H617" s="616">
        <v>152</v>
      </c>
      <c r="I617" s="546">
        <v>400</v>
      </c>
      <c r="J617" s="555">
        <v>0.3</v>
      </c>
      <c r="K617" s="545">
        <v>38477.159999999996</v>
      </c>
      <c r="L617" s="545">
        <v>5780.7874999999995</v>
      </c>
      <c r="M617" s="545">
        <v>2380</v>
      </c>
      <c r="N617" s="548">
        <v>42.5</v>
      </c>
      <c r="O617" s="549">
        <v>46637.947499999995</v>
      </c>
      <c r="P617" s="550">
        <v>0.96435797665369649</v>
      </c>
      <c r="Q617" s="551">
        <v>6</v>
      </c>
      <c r="R617" s="552">
        <v>1.4999999999999999E-2</v>
      </c>
      <c r="S617" s="553">
        <v>0</v>
      </c>
      <c r="T617" s="589">
        <v>30</v>
      </c>
      <c r="U617" s="589">
        <v>28</v>
      </c>
      <c r="V617" s="589">
        <v>31</v>
      </c>
      <c r="W617" s="607" t="s">
        <v>328</v>
      </c>
    </row>
    <row r="618" spans="1:23">
      <c r="A618" s="557">
        <v>44334</v>
      </c>
      <c r="B618" s="546">
        <v>6737</v>
      </c>
      <c r="C618" s="545">
        <v>107.75</v>
      </c>
      <c r="D618" s="546">
        <v>80</v>
      </c>
      <c r="E618" s="545">
        <v>67</v>
      </c>
      <c r="F618" s="545"/>
      <c r="G618" s="545">
        <v>2</v>
      </c>
      <c r="H618" s="616">
        <v>153</v>
      </c>
      <c r="I618" s="546">
        <v>400</v>
      </c>
      <c r="J618" s="555">
        <v>0.25</v>
      </c>
      <c r="K618" s="546">
        <v>41836.769999999997</v>
      </c>
      <c r="L618" s="545">
        <v>5780.7874999999995</v>
      </c>
      <c r="M618" s="546">
        <v>2720</v>
      </c>
      <c r="N618" s="547">
        <v>43.5</v>
      </c>
      <c r="O618" s="558">
        <v>50337.557499999995</v>
      </c>
      <c r="P618" s="559">
        <v>0.96105563480741796</v>
      </c>
      <c r="Q618" s="560">
        <v>6</v>
      </c>
      <c r="R618" s="561">
        <v>1.4999999999999999E-2</v>
      </c>
      <c r="S618" s="562">
        <v>0</v>
      </c>
      <c r="T618" s="589">
        <v>29</v>
      </c>
      <c r="U618" s="589">
        <v>28</v>
      </c>
      <c r="V618" s="589">
        <v>31</v>
      </c>
      <c r="W618" s="607" t="s">
        <v>328</v>
      </c>
    </row>
    <row r="619" spans="1:23">
      <c r="A619" s="557">
        <v>44335</v>
      </c>
      <c r="B619" s="545">
        <v>5904</v>
      </c>
      <c r="C619" s="545">
        <v>0</v>
      </c>
      <c r="D619" s="545">
        <v>80</v>
      </c>
      <c r="E619" s="545">
        <v>73</v>
      </c>
      <c r="F619" s="545"/>
      <c r="G619" s="545">
        <v>3</v>
      </c>
      <c r="H619" s="616">
        <v>158</v>
      </c>
      <c r="I619" s="545">
        <v>400</v>
      </c>
      <c r="J619" s="545">
        <v>0.16</v>
      </c>
      <c r="K619" s="545">
        <v>36663.839999999997</v>
      </c>
      <c r="L619" s="545">
        <v>0</v>
      </c>
      <c r="M619" s="545">
        <v>2720</v>
      </c>
      <c r="N619" s="545">
        <v>44.5</v>
      </c>
      <c r="O619" s="545">
        <v>39383.839999999997</v>
      </c>
      <c r="P619" s="545">
        <v>0.96771021144074743</v>
      </c>
      <c r="Q619" s="560">
        <v>6</v>
      </c>
      <c r="R619" s="561">
        <v>1.4999999999999999E-2</v>
      </c>
      <c r="S619" s="562">
        <v>0</v>
      </c>
      <c r="T619" s="589">
        <v>29</v>
      </c>
      <c r="U619" s="589">
        <v>28</v>
      </c>
      <c r="V619" s="589">
        <v>31</v>
      </c>
      <c r="W619" s="607" t="s">
        <v>328</v>
      </c>
    </row>
    <row r="620" spans="1:23">
      <c r="A620" s="557">
        <v>44336</v>
      </c>
      <c r="B620" s="545">
        <v>5496</v>
      </c>
      <c r="C620" s="545">
        <v>107.75</v>
      </c>
      <c r="D620" s="545">
        <v>80</v>
      </c>
      <c r="E620" s="545">
        <v>77</v>
      </c>
      <c r="F620" s="545"/>
      <c r="G620" s="545">
        <v>3</v>
      </c>
      <c r="H620" s="616">
        <v>117</v>
      </c>
      <c r="I620" s="545">
        <v>400</v>
      </c>
      <c r="J620" s="545">
        <v>0.27</v>
      </c>
      <c r="K620" s="545">
        <v>34130.159999999996</v>
      </c>
      <c r="L620" s="545">
        <v>5780.7874999999995</v>
      </c>
      <c r="M620" s="545">
        <v>2720</v>
      </c>
      <c r="N620" s="545">
        <v>45.5</v>
      </c>
      <c r="O620" s="545">
        <v>42630.947499999995</v>
      </c>
      <c r="P620" s="545">
        <v>0.96522655426765014</v>
      </c>
      <c r="Q620" s="560">
        <v>6</v>
      </c>
      <c r="R620" s="561">
        <v>1.4999999999999999E-2</v>
      </c>
      <c r="S620" s="562">
        <v>0</v>
      </c>
      <c r="T620" s="589">
        <v>29</v>
      </c>
      <c r="U620" s="589">
        <v>27</v>
      </c>
      <c r="V620" s="589">
        <v>31</v>
      </c>
      <c r="W620" s="607" t="s">
        <v>328</v>
      </c>
    </row>
    <row r="621" spans="1:23">
      <c r="A621" s="557">
        <v>44337</v>
      </c>
      <c r="B621" s="545">
        <v>5791</v>
      </c>
      <c r="C621" s="545">
        <v>0</v>
      </c>
      <c r="D621" s="545">
        <v>70</v>
      </c>
      <c r="E621" s="545">
        <v>83</v>
      </c>
      <c r="F621" s="545"/>
      <c r="G621" s="545">
        <v>0</v>
      </c>
      <c r="H621" s="616">
        <v>52</v>
      </c>
      <c r="I621" s="545">
        <v>400</v>
      </c>
      <c r="J621" s="545">
        <v>0.27</v>
      </c>
      <c r="K621" s="545">
        <v>35962.11</v>
      </c>
      <c r="L621" s="545">
        <v>0</v>
      </c>
      <c r="M621" s="545">
        <v>2380</v>
      </c>
      <c r="N621" s="545">
        <v>46.5</v>
      </c>
      <c r="O621" s="545">
        <v>38342.11</v>
      </c>
      <c r="P621" s="545">
        <v>0.96020560437738356</v>
      </c>
      <c r="Q621" s="560">
        <v>6</v>
      </c>
      <c r="R621" s="561">
        <v>1.4999999999999999E-2</v>
      </c>
      <c r="S621" s="562">
        <v>0</v>
      </c>
      <c r="T621" s="589">
        <v>29</v>
      </c>
      <c r="U621" s="589">
        <v>27</v>
      </c>
      <c r="V621" s="589">
        <v>31</v>
      </c>
      <c r="W621" s="556" t="s">
        <v>329</v>
      </c>
    </row>
    <row r="622" spans="1:23">
      <c r="A622" s="557">
        <v>44338</v>
      </c>
      <c r="B622" s="546">
        <v>5284</v>
      </c>
      <c r="C622" s="545">
        <v>0</v>
      </c>
      <c r="D622" s="546">
        <v>80</v>
      </c>
      <c r="E622" s="545">
        <v>78</v>
      </c>
      <c r="F622" s="545"/>
      <c r="G622" s="545">
        <v>5</v>
      </c>
      <c r="H622" s="616">
        <v>116</v>
      </c>
      <c r="I622" s="546">
        <v>400</v>
      </c>
      <c r="J622" s="555">
        <v>0.27</v>
      </c>
      <c r="K622" s="546">
        <v>32813.64</v>
      </c>
      <c r="L622" s="545">
        <v>0</v>
      </c>
      <c r="M622" s="546">
        <v>2720</v>
      </c>
      <c r="N622" s="547">
        <v>47.5</v>
      </c>
      <c r="O622" s="558">
        <v>35533.64</v>
      </c>
      <c r="P622" s="559">
        <v>0.95741982243159995</v>
      </c>
      <c r="Q622" s="560">
        <v>6</v>
      </c>
      <c r="R622" s="561">
        <v>1.4999999999999999E-2</v>
      </c>
      <c r="S622" s="562">
        <v>0</v>
      </c>
      <c r="T622" s="589">
        <v>29</v>
      </c>
      <c r="U622" s="589">
        <v>27</v>
      </c>
      <c r="V622" s="589">
        <v>31</v>
      </c>
      <c r="W622" s="556" t="s">
        <v>330</v>
      </c>
    </row>
    <row r="623" spans="1:23">
      <c r="A623" s="557">
        <v>44339</v>
      </c>
      <c r="B623" s="546">
        <v>5055</v>
      </c>
      <c r="C623" s="545">
        <v>0</v>
      </c>
      <c r="D623" s="546">
        <v>60</v>
      </c>
      <c r="E623" s="545">
        <v>66</v>
      </c>
      <c r="F623" s="545"/>
      <c r="G623" s="545">
        <v>3</v>
      </c>
      <c r="H623" s="587">
        <v>79</v>
      </c>
      <c r="I623" s="546">
        <v>400</v>
      </c>
      <c r="J623" s="555">
        <v>0.37</v>
      </c>
      <c r="K623" s="546">
        <v>31391.55</v>
      </c>
      <c r="L623" s="545">
        <v>0</v>
      </c>
      <c r="M623" s="546">
        <v>2040</v>
      </c>
      <c r="N623" s="547">
        <v>48.5</v>
      </c>
      <c r="O623" s="558">
        <v>33431.550000000003</v>
      </c>
      <c r="P623" s="559">
        <v>0.95720507479644001</v>
      </c>
      <c r="Q623" s="560">
        <v>6</v>
      </c>
      <c r="R623" s="561">
        <v>1.4999999999999999E-2</v>
      </c>
      <c r="S623" s="562">
        <v>0</v>
      </c>
      <c r="T623" s="589">
        <v>29</v>
      </c>
      <c r="U623" s="589">
        <v>27</v>
      </c>
      <c r="V623" s="589">
        <v>31</v>
      </c>
      <c r="W623" s="556"/>
    </row>
    <row r="624" spans="1:23">
      <c r="A624" s="557">
        <v>44340</v>
      </c>
      <c r="B624" s="546">
        <v>5531</v>
      </c>
      <c r="C624" s="545">
        <v>0</v>
      </c>
      <c r="D624" s="546">
        <v>100</v>
      </c>
      <c r="E624" s="545">
        <v>93</v>
      </c>
      <c r="F624" s="545"/>
      <c r="G624" s="545">
        <v>2</v>
      </c>
      <c r="H624" s="616">
        <v>165</v>
      </c>
      <c r="I624" s="546">
        <v>400</v>
      </c>
      <c r="J624" s="555">
        <v>0.25</v>
      </c>
      <c r="K624" s="546">
        <v>34347.51</v>
      </c>
      <c r="L624" s="545">
        <v>0</v>
      </c>
      <c r="M624" s="546">
        <v>3400</v>
      </c>
      <c r="N624" s="547">
        <v>49.5</v>
      </c>
      <c r="O624" s="558">
        <v>37747.51</v>
      </c>
      <c r="P624" s="482">
        <v>0.94838820301783266</v>
      </c>
      <c r="Q624" s="437">
        <v>6</v>
      </c>
      <c r="R624" s="438">
        <v>1.4999999999999999E-2</v>
      </c>
      <c r="S624" s="439">
        <v>0</v>
      </c>
      <c r="T624" s="589">
        <v>29</v>
      </c>
      <c r="U624" s="589">
        <v>27</v>
      </c>
      <c r="V624" s="589">
        <v>31</v>
      </c>
      <c r="W624" s="607" t="s">
        <v>331</v>
      </c>
    </row>
    <row r="625" spans="1:23">
      <c r="A625" s="557">
        <v>44341</v>
      </c>
      <c r="B625" s="545">
        <v>5061</v>
      </c>
      <c r="C625" s="545">
        <v>0</v>
      </c>
      <c r="D625" s="545">
        <v>130</v>
      </c>
      <c r="E625" s="545">
        <v>121</v>
      </c>
      <c r="F625" s="545"/>
      <c r="G625" s="545">
        <v>1</v>
      </c>
      <c r="H625" s="616">
        <v>137</v>
      </c>
      <c r="I625" s="546">
        <v>400</v>
      </c>
      <c r="J625" s="555">
        <v>0.15</v>
      </c>
      <c r="K625" s="545">
        <v>31428.81</v>
      </c>
      <c r="L625" s="545">
        <v>0</v>
      </c>
      <c r="M625" s="545">
        <v>4420</v>
      </c>
      <c r="N625" s="548">
        <v>50.5</v>
      </c>
      <c r="O625" s="549">
        <v>35848.81</v>
      </c>
      <c r="P625" s="550">
        <v>0.96583969465648856</v>
      </c>
      <c r="Q625" s="551">
        <v>6</v>
      </c>
      <c r="R625" s="552">
        <v>1.4999999999999999E-2</v>
      </c>
      <c r="S625" s="553">
        <v>0</v>
      </c>
      <c r="T625" s="589">
        <v>29</v>
      </c>
      <c r="U625" s="589">
        <v>27</v>
      </c>
      <c r="V625" s="589">
        <v>31</v>
      </c>
      <c r="W625" s="626" t="s">
        <v>332</v>
      </c>
    </row>
    <row r="626" spans="1:23" ht="29.1">
      <c r="A626" s="557">
        <v>44342</v>
      </c>
      <c r="B626" s="474">
        <v>5523</v>
      </c>
      <c r="C626" s="474">
        <v>107.75</v>
      </c>
      <c r="D626" s="474">
        <v>110</v>
      </c>
      <c r="E626" s="474">
        <v>113</v>
      </c>
      <c r="F626" s="474"/>
      <c r="G626" s="545">
        <v>1</v>
      </c>
      <c r="H626" s="587">
        <v>184</v>
      </c>
      <c r="I626" s="479">
        <v>400</v>
      </c>
      <c r="J626" s="501"/>
      <c r="K626" s="474">
        <v>34297.83</v>
      </c>
      <c r="L626" s="474">
        <v>5780.7874999999995</v>
      </c>
      <c r="M626" s="474">
        <v>3740</v>
      </c>
      <c r="N626" s="475">
        <v>51.5</v>
      </c>
      <c r="O626" s="476">
        <v>43818.6175</v>
      </c>
      <c r="P626" s="477">
        <v>0.96002085868242659</v>
      </c>
      <c r="Q626" s="469">
        <v>6</v>
      </c>
      <c r="R626" s="470">
        <v>1.4999999999999999E-2</v>
      </c>
      <c r="S626" s="471">
        <v>0</v>
      </c>
      <c r="T626" s="589">
        <v>29</v>
      </c>
      <c r="U626" s="589">
        <v>27</v>
      </c>
      <c r="V626" s="589">
        <v>30</v>
      </c>
      <c r="W626" s="484" t="s">
        <v>333</v>
      </c>
    </row>
    <row r="627" spans="1:23">
      <c r="A627" s="557">
        <v>44343</v>
      </c>
      <c r="B627" s="479">
        <v>5366</v>
      </c>
      <c r="C627" s="474">
        <v>107.75</v>
      </c>
      <c r="D627" s="479">
        <v>100</v>
      </c>
      <c r="E627" s="505">
        <v>85</v>
      </c>
      <c r="F627" s="505"/>
      <c r="G627" s="545">
        <v>1</v>
      </c>
      <c r="H627" s="587">
        <v>111</v>
      </c>
      <c r="I627" s="479">
        <v>400</v>
      </c>
      <c r="J627" s="500"/>
      <c r="K627" s="479">
        <v>33322.86</v>
      </c>
      <c r="L627" s="474">
        <v>5780.7874999999995</v>
      </c>
      <c r="M627" s="479">
        <v>3400</v>
      </c>
      <c r="N627" s="480">
        <v>52.5</v>
      </c>
      <c r="O627" s="481">
        <v>42503.647499999999</v>
      </c>
      <c r="P627" s="482">
        <v>0.94521754447771711</v>
      </c>
      <c r="Q627" s="437">
        <v>6</v>
      </c>
      <c r="R627" s="438">
        <v>1.4999999999999999E-2</v>
      </c>
      <c r="S627" s="439">
        <v>0</v>
      </c>
      <c r="T627" s="589">
        <v>28</v>
      </c>
      <c r="U627" s="589">
        <v>26</v>
      </c>
      <c r="V627" s="589">
        <v>30</v>
      </c>
      <c r="W627" s="484"/>
    </row>
    <row r="628" spans="1:23">
      <c r="A628" s="557">
        <v>44344</v>
      </c>
      <c r="B628" s="386">
        <v>5583</v>
      </c>
      <c r="C628" s="474">
        <v>107.75</v>
      </c>
      <c r="D628" s="386">
        <v>100</v>
      </c>
      <c r="E628" s="505">
        <v>89</v>
      </c>
      <c r="F628" s="505"/>
      <c r="G628" s="545">
        <v>0</v>
      </c>
      <c r="H628" s="587">
        <v>145</v>
      </c>
      <c r="I628" s="479">
        <v>400</v>
      </c>
      <c r="J628" s="502"/>
      <c r="K628" s="386">
        <v>34670.43</v>
      </c>
      <c r="L628" s="474">
        <v>5780.7874999999995</v>
      </c>
      <c r="M628" s="386">
        <v>3400</v>
      </c>
      <c r="N628" s="435">
        <v>53.5</v>
      </c>
      <c r="O628" s="436">
        <v>43851.217499999999</v>
      </c>
      <c r="P628" s="461">
        <v>0.96258620689655172</v>
      </c>
      <c r="Q628" s="437">
        <v>6</v>
      </c>
      <c r="R628" s="438">
        <v>1.4999999999999999E-2</v>
      </c>
      <c r="S628" s="439">
        <v>0</v>
      </c>
      <c r="T628" s="589">
        <v>28</v>
      </c>
      <c r="U628" s="589">
        <v>26</v>
      </c>
      <c r="V628" s="589">
        <v>30</v>
      </c>
      <c r="W628" s="483"/>
    </row>
    <row r="629" spans="1:23">
      <c r="A629" s="557">
        <v>44345</v>
      </c>
      <c r="B629" s="386">
        <v>5369</v>
      </c>
      <c r="C629" s="474">
        <v>0</v>
      </c>
      <c r="D629" s="386">
        <v>60</v>
      </c>
      <c r="E629" s="505">
        <v>67</v>
      </c>
      <c r="F629" s="505"/>
      <c r="G629" s="545">
        <v>3</v>
      </c>
      <c r="H629" s="587">
        <v>62</v>
      </c>
      <c r="I629" s="479">
        <v>400</v>
      </c>
      <c r="J629" s="502"/>
      <c r="K629" s="386">
        <v>33341.49</v>
      </c>
      <c r="L629" s="474">
        <v>0</v>
      </c>
      <c r="M629" s="386">
        <v>2040</v>
      </c>
      <c r="N629" s="435">
        <v>54.5</v>
      </c>
      <c r="O629" s="436">
        <v>35381.49</v>
      </c>
      <c r="P629" s="461">
        <v>0.95279503105590058</v>
      </c>
      <c r="Q629" s="437">
        <v>6</v>
      </c>
      <c r="R629" s="438">
        <v>1.4999999999999999E-2</v>
      </c>
      <c r="S629" s="439">
        <v>0</v>
      </c>
      <c r="T629" s="589">
        <v>28</v>
      </c>
      <c r="U629" s="589">
        <v>26</v>
      </c>
      <c r="V629" s="589">
        <v>30</v>
      </c>
      <c r="W629" s="485"/>
    </row>
    <row r="630" spans="1:23">
      <c r="A630" s="557">
        <v>44346</v>
      </c>
      <c r="B630" s="386">
        <v>5367</v>
      </c>
      <c r="C630" s="474">
        <v>107.75</v>
      </c>
      <c r="D630" s="386">
        <v>30</v>
      </c>
      <c r="E630" s="505">
        <v>31</v>
      </c>
      <c r="F630" s="505"/>
      <c r="G630" s="545">
        <v>3</v>
      </c>
      <c r="H630" s="587">
        <v>59</v>
      </c>
      <c r="I630" s="479">
        <v>400</v>
      </c>
      <c r="J630" s="502"/>
      <c r="K630" s="386">
        <v>33329.07</v>
      </c>
      <c r="L630" s="474">
        <v>5780.7874999999995</v>
      </c>
      <c r="M630" s="386">
        <v>1020</v>
      </c>
      <c r="N630" s="435">
        <v>55.5</v>
      </c>
      <c r="O630" s="436">
        <v>40129.857499999998</v>
      </c>
      <c r="P630" s="461">
        <v>0.95159574468085106</v>
      </c>
      <c r="Q630" s="437">
        <v>6</v>
      </c>
      <c r="R630" s="438">
        <v>1.4999999999999999E-2</v>
      </c>
      <c r="S630" s="439">
        <v>0</v>
      </c>
      <c r="T630" s="589">
        <v>0</v>
      </c>
      <c r="U630" s="589">
        <v>25</v>
      </c>
      <c r="V630" s="589">
        <v>30</v>
      </c>
      <c r="W630" s="485" t="s">
        <v>334</v>
      </c>
    </row>
    <row r="631" spans="1:23">
      <c r="A631" s="557">
        <v>44347</v>
      </c>
      <c r="B631" s="386"/>
      <c r="C631" s="474"/>
      <c r="D631" s="386"/>
      <c r="E631" s="505"/>
      <c r="F631" s="505"/>
      <c r="G631" s="505"/>
      <c r="H631" s="505"/>
      <c r="I631" s="479"/>
      <c r="J631" s="502"/>
      <c r="K631" s="386"/>
      <c r="L631" s="474"/>
      <c r="M631" s="386"/>
      <c r="N631" s="435"/>
      <c r="O631" s="436"/>
      <c r="P631" s="461"/>
      <c r="Q631" s="437"/>
      <c r="R631" s="438"/>
      <c r="S631" s="439"/>
      <c r="T631" s="439"/>
      <c r="U631" s="439"/>
      <c r="V631" s="439"/>
      <c r="W631" s="483"/>
    </row>
    <row r="632" spans="1:23">
      <c r="A632" s="443" t="s">
        <v>161</v>
      </c>
      <c r="B632" s="444">
        <f t="shared" ref="B632:D632" si="104">SUM(B601:B631)</f>
        <v>175683</v>
      </c>
      <c r="C632" s="444">
        <f t="shared" si="104"/>
        <v>2047.25</v>
      </c>
      <c r="D632" s="444">
        <f t="shared" si="104"/>
        <v>2130</v>
      </c>
      <c r="E632" s="444"/>
      <c r="F632" s="444"/>
      <c r="G632" s="444"/>
      <c r="H632" s="444"/>
      <c r="I632" s="444"/>
      <c r="J632" s="503"/>
      <c r="K632" s="444">
        <f t="shared" ref="K632:M632" si="105">SUM(K601:K631)</f>
        <v>1090991.4300000002</v>
      </c>
      <c r="L632" s="444">
        <f t="shared" si="105"/>
        <v>109834.96250000004</v>
      </c>
      <c r="M632" s="444">
        <f t="shared" si="105"/>
        <v>72420</v>
      </c>
      <c r="N632" s="444"/>
      <c r="O632" s="444">
        <f>SUM(O601:O630)</f>
        <v>1273246.3924999998</v>
      </c>
      <c r="P632" s="444"/>
      <c r="Q632" s="437"/>
      <c r="R632" s="438"/>
      <c r="S632" s="439"/>
      <c r="T632" s="439"/>
      <c r="U632" s="439"/>
      <c r="V632" s="439"/>
      <c r="W632" s="439"/>
    </row>
    <row r="633" spans="1:23">
      <c r="A633" s="706"/>
      <c r="B633" s="411"/>
      <c r="C633" s="411"/>
      <c r="D633" s="411"/>
      <c r="E633" s="411"/>
      <c r="F633" s="411"/>
      <c r="G633" s="411"/>
      <c r="H633" s="411"/>
      <c r="I633" s="411"/>
      <c r="J633" s="530"/>
      <c r="K633" s="411"/>
      <c r="L633" s="411"/>
      <c r="M633" s="411"/>
      <c r="N633" s="411"/>
      <c r="O633" s="411"/>
      <c r="P633" s="411"/>
      <c r="Q633" s="492"/>
      <c r="R633" s="493"/>
      <c r="S633" s="458"/>
      <c r="T633" s="458"/>
      <c r="U633" s="458"/>
      <c r="V633" s="458"/>
      <c r="W633" s="458"/>
    </row>
    <row r="634" spans="1:23" ht="15" customHeight="1">
      <c r="A634" s="696" t="s">
        <v>14</v>
      </c>
      <c r="B634" s="798" t="s">
        <v>145</v>
      </c>
      <c r="C634" s="798"/>
      <c r="D634" s="798"/>
      <c r="E634" s="798"/>
      <c r="F634" s="798"/>
      <c r="G634" s="798"/>
      <c r="H634" s="798"/>
      <c r="I634" s="798"/>
      <c r="J634" s="696"/>
      <c r="K634" s="798" t="s">
        <v>146</v>
      </c>
      <c r="L634" s="798"/>
      <c r="M634" s="798"/>
      <c r="N634" s="696" t="s">
        <v>147</v>
      </c>
      <c r="O634" s="596" t="s">
        <v>148</v>
      </c>
      <c r="P634" s="596" t="s">
        <v>175</v>
      </c>
      <c r="Q634" s="596" t="s">
        <v>149</v>
      </c>
      <c r="R634" s="596" t="s">
        <v>150</v>
      </c>
      <c r="S634" s="713" t="s">
        <v>165</v>
      </c>
      <c r="T634" s="820" t="s">
        <v>317</v>
      </c>
      <c r="U634" s="821"/>
      <c r="V634" s="822"/>
      <c r="W634" s="713" t="s">
        <v>176</v>
      </c>
    </row>
    <row r="635" spans="1:23" ht="21">
      <c r="A635" s="696" t="s">
        <v>14</v>
      </c>
      <c r="B635" s="696" t="s">
        <v>145</v>
      </c>
      <c r="C635" s="696"/>
      <c r="D635" s="696"/>
      <c r="E635" s="696"/>
      <c r="F635" s="696"/>
      <c r="G635" s="696"/>
      <c r="H635" s="696"/>
      <c r="I635" s="696"/>
      <c r="J635" s="696"/>
      <c r="K635" s="696" t="s">
        <v>146</v>
      </c>
      <c r="L635" s="696"/>
      <c r="M635" s="696"/>
      <c r="N635" s="696" t="s">
        <v>147</v>
      </c>
      <c r="O635" s="596" t="s">
        <v>148</v>
      </c>
      <c r="P635" s="596" t="s">
        <v>175</v>
      </c>
      <c r="Q635" s="596" t="s">
        <v>149</v>
      </c>
      <c r="R635" s="596" t="s">
        <v>150</v>
      </c>
      <c r="S635" s="713" t="s">
        <v>165</v>
      </c>
      <c r="T635" s="713" t="s">
        <v>317</v>
      </c>
      <c r="U635" s="713"/>
      <c r="V635" s="713"/>
      <c r="W635" s="713" t="s">
        <v>176</v>
      </c>
    </row>
    <row r="636" spans="1:23">
      <c r="A636" s="588"/>
      <c r="B636" s="598" t="s">
        <v>156</v>
      </c>
      <c r="C636" s="598" t="s">
        <v>157</v>
      </c>
      <c r="D636" s="598" t="s">
        <v>158</v>
      </c>
      <c r="E636" s="598" t="s">
        <v>236</v>
      </c>
      <c r="F636" s="598"/>
      <c r="G636" s="598" t="s">
        <v>302</v>
      </c>
      <c r="H636" s="661" t="s">
        <v>303</v>
      </c>
      <c r="I636" s="600" t="s">
        <v>237</v>
      </c>
      <c r="J636" s="601"/>
      <c r="K636" s="598" t="s">
        <v>156</v>
      </c>
      <c r="L636" s="598" t="s">
        <v>157</v>
      </c>
      <c r="M636" s="598" t="s">
        <v>158</v>
      </c>
      <c r="N636" s="602"/>
      <c r="O636" s="603"/>
      <c r="P636" s="604"/>
      <c r="Q636" s="605"/>
      <c r="R636" s="606"/>
      <c r="S636" s="638"/>
      <c r="T636" s="638" t="s">
        <v>318</v>
      </c>
      <c r="U636" s="638" t="s">
        <v>319</v>
      </c>
      <c r="V636" s="638" t="s">
        <v>320</v>
      </c>
      <c r="W636" s="639"/>
    </row>
    <row r="637" spans="1:23">
      <c r="A637" s="588">
        <v>44348</v>
      </c>
      <c r="B637" s="598">
        <v>5432</v>
      </c>
      <c r="C637" s="598">
        <v>0</v>
      </c>
      <c r="D637" s="598">
        <v>80</v>
      </c>
      <c r="E637" s="598">
        <v>99</v>
      </c>
      <c r="F637" s="598"/>
      <c r="G637" s="598">
        <v>3</v>
      </c>
      <c r="H637" s="637">
        <v>163</v>
      </c>
      <c r="I637" s="600">
        <v>400</v>
      </c>
      <c r="J637" s="608">
        <v>0.4</v>
      </c>
      <c r="K637" s="598">
        <v>33732.720000000001</v>
      </c>
      <c r="L637" s="598">
        <v>0</v>
      </c>
      <c r="M637" s="598">
        <v>2720</v>
      </c>
      <c r="N637" s="602">
        <v>26.5</v>
      </c>
      <c r="O637" s="603">
        <v>36452.720000000001</v>
      </c>
      <c r="P637" s="604">
        <v>0.9513134851138354</v>
      </c>
      <c r="Q637" s="605">
        <v>6</v>
      </c>
      <c r="R637" s="606">
        <v>1.4999999999999999E-2</v>
      </c>
      <c r="S637" s="638">
        <v>0</v>
      </c>
      <c r="T637" s="638">
        <v>28</v>
      </c>
      <c r="U637" s="638">
        <v>25</v>
      </c>
      <c r="V637" s="638">
        <v>29</v>
      </c>
      <c r="W637" s="639" t="s">
        <v>335</v>
      </c>
    </row>
    <row r="638" spans="1:23">
      <c r="A638" s="588">
        <v>44349</v>
      </c>
      <c r="B638" s="598">
        <v>5451</v>
      </c>
      <c r="C638" s="598">
        <v>107.75</v>
      </c>
      <c r="D638" s="598">
        <v>130</v>
      </c>
      <c r="E638" s="598">
        <v>95</v>
      </c>
      <c r="F638" s="598"/>
      <c r="G638" s="598">
        <v>3</v>
      </c>
      <c r="H638" s="637">
        <v>122</v>
      </c>
      <c r="I638" s="600">
        <v>400</v>
      </c>
      <c r="J638" s="608">
        <v>0.45</v>
      </c>
      <c r="K638" s="598">
        <v>33850.71</v>
      </c>
      <c r="L638" s="598">
        <v>5780.7874999999995</v>
      </c>
      <c r="M638" s="598">
        <v>4420</v>
      </c>
      <c r="N638" s="602">
        <v>27.5</v>
      </c>
      <c r="O638" s="603">
        <v>44051.497499999998</v>
      </c>
      <c r="P638" s="604">
        <v>0.95665145665145668</v>
      </c>
      <c r="Q638" s="605">
        <v>6</v>
      </c>
      <c r="R638" s="606">
        <v>1.4999999999999999E-2</v>
      </c>
      <c r="S638" s="638">
        <v>0</v>
      </c>
      <c r="T638" s="638">
        <v>27</v>
      </c>
      <c r="U638" s="638">
        <v>25</v>
      </c>
      <c r="V638" s="638">
        <v>29</v>
      </c>
      <c r="W638" s="639" t="s">
        <v>336</v>
      </c>
    </row>
    <row r="639" spans="1:23">
      <c r="A639" s="588">
        <v>44350</v>
      </c>
      <c r="B639" s="598">
        <v>5394</v>
      </c>
      <c r="C639" s="598">
        <v>0</v>
      </c>
      <c r="D639" s="598">
        <v>120</v>
      </c>
      <c r="E639" s="598">
        <v>42</v>
      </c>
      <c r="F639" s="598"/>
      <c r="G639" s="598">
        <v>2</v>
      </c>
      <c r="H639" s="637">
        <v>121</v>
      </c>
      <c r="I639" s="600">
        <v>400</v>
      </c>
      <c r="J639" s="608">
        <v>0.44</v>
      </c>
      <c r="K639" s="598">
        <v>33496.74</v>
      </c>
      <c r="L639" s="598">
        <v>0</v>
      </c>
      <c r="M639" s="598">
        <v>4080</v>
      </c>
      <c r="N639" s="602">
        <v>28.5</v>
      </c>
      <c r="O639" s="603">
        <v>37576.74</v>
      </c>
      <c r="P639" s="604">
        <v>0.94598386531041745</v>
      </c>
      <c r="Q639" s="605">
        <v>6</v>
      </c>
      <c r="R639" s="606">
        <v>1.4999999999999999E-2</v>
      </c>
      <c r="S639" s="638">
        <v>0</v>
      </c>
      <c r="T639" s="638">
        <v>27</v>
      </c>
      <c r="U639" s="638">
        <v>25</v>
      </c>
      <c r="V639" s="638">
        <v>29</v>
      </c>
      <c r="W639" s="639" t="s">
        <v>336</v>
      </c>
    </row>
    <row r="640" spans="1:23">
      <c r="A640" s="588">
        <v>44351</v>
      </c>
      <c r="B640" s="598">
        <v>5208</v>
      </c>
      <c r="C640" s="598">
        <v>107.75</v>
      </c>
      <c r="D640" s="598">
        <v>80</v>
      </c>
      <c r="E640" s="598">
        <v>40</v>
      </c>
      <c r="F640" s="598"/>
      <c r="G640" s="598">
        <v>2</v>
      </c>
      <c r="H640" s="637">
        <v>102</v>
      </c>
      <c r="I640" s="600">
        <v>400</v>
      </c>
      <c r="J640" s="608">
        <v>0.46</v>
      </c>
      <c r="K640" s="598">
        <v>32341.68</v>
      </c>
      <c r="L640" s="598">
        <v>5780.7874999999995</v>
      </c>
      <c r="M640" s="598">
        <v>2720</v>
      </c>
      <c r="N640" s="602">
        <v>29.5</v>
      </c>
      <c r="O640" s="603">
        <v>40842.467499999999</v>
      </c>
      <c r="P640" s="604">
        <v>0.94863387978142077</v>
      </c>
      <c r="Q640" s="605">
        <v>6</v>
      </c>
      <c r="R640" s="606">
        <v>1.4999999999999999E-2</v>
      </c>
      <c r="S640" s="638">
        <v>0</v>
      </c>
      <c r="T640" s="638">
        <v>27</v>
      </c>
      <c r="U640" s="638">
        <v>25</v>
      </c>
      <c r="V640" s="638">
        <v>28</v>
      </c>
      <c r="W640" s="639" t="s">
        <v>336</v>
      </c>
    </row>
    <row r="641" spans="1:23">
      <c r="A641" s="588">
        <v>44352</v>
      </c>
      <c r="B641" s="598">
        <v>5275</v>
      </c>
      <c r="C641" s="598">
        <v>0</v>
      </c>
      <c r="D641" s="598">
        <v>100</v>
      </c>
      <c r="E641" s="598">
        <v>35</v>
      </c>
      <c r="F641" s="598"/>
      <c r="G641" s="598">
        <v>0</v>
      </c>
      <c r="H641" s="637">
        <v>102</v>
      </c>
      <c r="I641" s="600">
        <v>320</v>
      </c>
      <c r="J641" s="608">
        <v>0.46</v>
      </c>
      <c r="K641" s="598">
        <v>32757.75</v>
      </c>
      <c r="L641" s="598">
        <v>0</v>
      </c>
      <c r="M641" s="598">
        <v>3400</v>
      </c>
      <c r="N641" s="602">
        <v>30.5</v>
      </c>
      <c r="O641" s="603">
        <v>36157.75</v>
      </c>
      <c r="P641" s="604">
        <v>0.93511788689948594</v>
      </c>
      <c r="Q641" s="605">
        <v>6</v>
      </c>
      <c r="R641" s="606">
        <v>1.4999999999999999E-2</v>
      </c>
      <c r="S641" s="638">
        <v>0</v>
      </c>
      <c r="T641" s="638">
        <v>27</v>
      </c>
      <c r="U641" s="638">
        <v>25</v>
      </c>
      <c r="V641" s="638">
        <v>28</v>
      </c>
      <c r="W641" s="639"/>
    </row>
    <row r="642" spans="1:23">
      <c r="A642" s="588">
        <v>44353</v>
      </c>
      <c r="B642" s="598">
        <v>4400</v>
      </c>
      <c r="C642" s="598">
        <v>0</v>
      </c>
      <c r="D642" s="598">
        <v>70</v>
      </c>
      <c r="E642" s="598">
        <v>49</v>
      </c>
      <c r="F642" s="598"/>
      <c r="G642" s="598">
        <v>0</v>
      </c>
      <c r="H642" s="637">
        <v>45</v>
      </c>
      <c r="I642" s="600">
        <v>300</v>
      </c>
      <c r="J642" s="608">
        <v>0.46</v>
      </c>
      <c r="K642" s="598">
        <v>27324</v>
      </c>
      <c r="L642" s="598">
        <v>0</v>
      </c>
      <c r="M642" s="598">
        <v>2380</v>
      </c>
      <c r="N642" s="602">
        <v>31.5</v>
      </c>
      <c r="O642" s="603">
        <v>29704</v>
      </c>
      <c r="P642" s="604">
        <v>0.92069470600544046</v>
      </c>
      <c r="Q642" s="605">
        <v>6</v>
      </c>
      <c r="R642" s="606">
        <v>1.4999999999999999E-2</v>
      </c>
      <c r="S642" s="638">
        <v>0</v>
      </c>
      <c r="T642" s="638">
        <v>27</v>
      </c>
      <c r="U642" s="638">
        <v>25</v>
      </c>
      <c r="V642" s="638">
        <v>28</v>
      </c>
      <c r="W642" s="639" t="s">
        <v>337</v>
      </c>
    </row>
    <row r="643" spans="1:23" ht="21">
      <c r="A643" s="588">
        <v>44354</v>
      </c>
      <c r="B643" s="598">
        <v>5277</v>
      </c>
      <c r="C643" s="598">
        <v>107.75</v>
      </c>
      <c r="D643" s="598">
        <v>80</v>
      </c>
      <c r="E643" s="598">
        <v>3</v>
      </c>
      <c r="F643" s="598"/>
      <c r="G643" s="598">
        <v>2</v>
      </c>
      <c r="H643" s="637">
        <v>111</v>
      </c>
      <c r="I643" s="600">
        <v>240</v>
      </c>
      <c r="J643" s="608">
        <v>0.46</v>
      </c>
      <c r="K643" s="598">
        <v>32770.17</v>
      </c>
      <c r="L643" s="598">
        <v>5780.7874999999995</v>
      </c>
      <c r="M643" s="598">
        <v>2720</v>
      </c>
      <c r="N643" s="602">
        <v>32.5</v>
      </c>
      <c r="O643" s="603">
        <v>41270.957499999997</v>
      </c>
      <c r="P643" s="604">
        <v>0.93480956598759968</v>
      </c>
      <c r="Q643" s="605">
        <v>6</v>
      </c>
      <c r="R643" s="606">
        <v>1.4999999999999999E-2</v>
      </c>
      <c r="S643" s="638">
        <v>0</v>
      </c>
      <c r="T643" s="638">
        <v>26</v>
      </c>
      <c r="U643" s="638">
        <v>25</v>
      </c>
      <c r="V643" s="638">
        <v>28</v>
      </c>
      <c r="W643" s="639" t="s">
        <v>338</v>
      </c>
    </row>
    <row r="644" spans="1:23" ht="21">
      <c r="A644" s="588">
        <v>44355</v>
      </c>
      <c r="B644" s="598">
        <v>5342</v>
      </c>
      <c r="C644" s="598">
        <v>107.75</v>
      </c>
      <c r="D644" s="598">
        <v>110</v>
      </c>
      <c r="E644" s="598">
        <v>2</v>
      </c>
      <c r="F644" s="598"/>
      <c r="G644" s="598">
        <v>2</v>
      </c>
      <c r="H644" s="637">
        <v>113</v>
      </c>
      <c r="I644" s="600">
        <v>160</v>
      </c>
      <c r="J644" s="608">
        <v>0.5</v>
      </c>
      <c r="K644" s="598">
        <v>33173.82</v>
      </c>
      <c r="L644" s="598">
        <v>5780.7874999999995</v>
      </c>
      <c r="M644" s="598">
        <v>3740</v>
      </c>
      <c r="N644" s="602">
        <v>33.5</v>
      </c>
      <c r="O644" s="603">
        <v>42694.607499999998</v>
      </c>
      <c r="P644" s="604">
        <v>0.94800354924578523</v>
      </c>
      <c r="Q644" s="605">
        <v>6</v>
      </c>
      <c r="R644" s="606">
        <v>1.4999999999999999E-2</v>
      </c>
      <c r="S644" s="638">
        <v>0</v>
      </c>
      <c r="T644" s="638">
        <v>25</v>
      </c>
      <c r="U644" s="638">
        <v>25</v>
      </c>
      <c r="V644" s="638">
        <v>28</v>
      </c>
      <c r="W644" s="639" t="s">
        <v>339</v>
      </c>
    </row>
    <row r="645" spans="1:23">
      <c r="A645" s="588">
        <v>44356</v>
      </c>
      <c r="B645" s="598">
        <v>5093</v>
      </c>
      <c r="C645" s="598">
        <v>23.75</v>
      </c>
      <c r="D645" s="598">
        <v>70</v>
      </c>
      <c r="E645" s="598">
        <v>148</v>
      </c>
      <c r="F645" s="598"/>
      <c r="G645" s="598">
        <v>2</v>
      </c>
      <c r="H645" s="637">
        <v>146</v>
      </c>
      <c r="I645" s="600">
        <v>208</v>
      </c>
      <c r="J645" s="608">
        <v>0.5</v>
      </c>
      <c r="K645" s="598">
        <v>31627.53</v>
      </c>
      <c r="L645" s="598">
        <v>1274.1875</v>
      </c>
      <c r="M645" s="598">
        <v>2380</v>
      </c>
      <c r="N645" s="602">
        <v>34.5</v>
      </c>
      <c r="O645" s="603">
        <v>35281.717499999999</v>
      </c>
      <c r="P645" s="604">
        <v>0.95787097987586989</v>
      </c>
      <c r="Q645" s="605">
        <v>6</v>
      </c>
      <c r="R645" s="606">
        <v>1.4999999999999999E-2</v>
      </c>
      <c r="S645" s="638">
        <v>0</v>
      </c>
      <c r="T645" s="638">
        <v>61</v>
      </c>
      <c r="U645" s="638">
        <v>62</v>
      </c>
      <c r="V645" s="638">
        <v>62</v>
      </c>
      <c r="W645" s="639" t="s">
        <v>340</v>
      </c>
    </row>
    <row r="646" spans="1:23">
      <c r="A646" s="588">
        <v>44357</v>
      </c>
      <c r="B646" s="598">
        <v>5510</v>
      </c>
      <c r="C646" s="598">
        <v>0</v>
      </c>
      <c r="D646" s="598">
        <v>120</v>
      </c>
      <c r="E646" s="598">
        <v>71</v>
      </c>
      <c r="F646" s="598"/>
      <c r="G646" s="598">
        <v>3</v>
      </c>
      <c r="H646" s="637">
        <v>136</v>
      </c>
      <c r="I646" s="600">
        <v>208</v>
      </c>
      <c r="J646" s="608">
        <v>0.43</v>
      </c>
      <c r="K646" s="598">
        <v>34217.1</v>
      </c>
      <c r="L646" s="598">
        <v>0</v>
      </c>
      <c r="M646" s="598">
        <v>4080</v>
      </c>
      <c r="N646" s="602">
        <v>35.5</v>
      </c>
      <c r="O646" s="603">
        <v>38297.1</v>
      </c>
      <c r="P646" s="604">
        <v>0.95147642894146089</v>
      </c>
      <c r="Q646" s="605">
        <v>6</v>
      </c>
      <c r="R646" s="606">
        <v>1.4999999999999999E-2</v>
      </c>
      <c r="S646" s="638">
        <v>0</v>
      </c>
      <c r="T646" s="638">
        <v>61</v>
      </c>
      <c r="U646" s="638">
        <v>62</v>
      </c>
      <c r="V646" s="638">
        <v>62</v>
      </c>
      <c r="W646" s="639"/>
    </row>
    <row r="647" spans="1:23">
      <c r="A647" s="588">
        <v>44358</v>
      </c>
      <c r="B647" s="598">
        <v>5096</v>
      </c>
      <c r="C647" s="598">
        <v>0</v>
      </c>
      <c r="D647" s="598">
        <v>90</v>
      </c>
      <c r="E647" s="598">
        <v>112</v>
      </c>
      <c r="F647" s="598"/>
      <c r="G647" s="598">
        <v>2</v>
      </c>
      <c r="H647" s="637">
        <v>77</v>
      </c>
      <c r="I647" s="600">
        <v>208</v>
      </c>
      <c r="J647" s="608">
        <v>0.46</v>
      </c>
      <c r="K647" s="598">
        <v>31646.16</v>
      </c>
      <c r="L647" s="598">
        <v>0</v>
      </c>
      <c r="M647" s="598">
        <v>3060</v>
      </c>
      <c r="N647" s="602">
        <v>36.5</v>
      </c>
      <c r="O647" s="603">
        <v>34706.160000000003</v>
      </c>
      <c r="P647" s="604">
        <v>0.95216741405082217</v>
      </c>
      <c r="Q647" s="605">
        <v>6</v>
      </c>
      <c r="R647" s="606">
        <v>1.4999999999999999E-2</v>
      </c>
      <c r="S647" s="638">
        <v>0</v>
      </c>
      <c r="T647" s="638">
        <v>61</v>
      </c>
      <c r="U647" s="638">
        <v>62</v>
      </c>
      <c r="V647" s="638">
        <v>62</v>
      </c>
      <c r="W647" s="639"/>
    </row>
    <row r="648" spans="1:23">
      <c r="A648" s="557">
        <v>44359</v>
      </c>
      <c r="B648" s="600">
        <v>5114</v>
      </c>
      <c r="C648" s="598">
        <v>107.75</v>
      </c>
      <c r="D648" s="600">
        <v>80</v>
      </c>
      <c r="E648" s="598">
        <v>70</v>
      </c>
      <c r="F648" s="598"/>
      <c r="G648" s="598">
        <v>3</v>
      </c>
      <c r="H648" s="637">
        <v>34</v>
      </c>
      <c r="I648" s="600">
        <v>220.00000000000003</v>
      </c>
      <c r="J648" s="608">
        <v>0.41</v>
      </c>
      <c r="K648" s="600">
        <v>31757.94</v>
      </c>
      <c r="L648" s="598">
        <v>5780.7874999999995</v>
      </c>
      <c r="M648" s="600">
        <v>2720</v>
      </c>
      <c r="N648" s="601">
        <v>37.5</v>
      </c>
      <c r="O648" s="609">
        <v>40258.727500000001</v>
      </c>
      <c r="P648" s="610">
        <v>0.9440649806165774</v>
      </c>
      <c r="Q648" s="611">
        <v>6</v>
      </c>
      <c r="R648" s="612">
        <v>1.4999999999999999E-2</v>
      </c>
      <c r="S648" s="640">
        <v>0</v>
      </c>
      <c r="T648" s="638">
        <v>60</v>
      </c>
      <c r="U648" s="638">
        <v>62</v>
      </c>
      <c r="V648" s="638">
        <v>62</v>
      </c>
      <c r="W648" s="639"/>
    </row>
    <row r="649" spans="1:23">
      <c r="A649" s="590">
        <v>44360</v>
      </c>
      <c r="B649" s="600">
        <v>4931</v>
      </c>
      <c r="C649" s="598">
        <v>0</v>
      </c>
      <c r="D649" s="600">
        <v>70</v>
      </c>
      <c r="E649" s="598">
        <v>165</v>
      </c>
      <c r="F649" s="598"/>
      <c r="G649" s="598">
        <v>3</v>
      </c>
      <c r="H649" s="637">
        <v>81</v>
      </c>
      <c r="I649" s="600">
        <v>308</v>
      </c>
      <c r="J649" s="608">
        <v>0.45</v>
      </c>
      <c r="K649" s="600">
        <v>30621.51</v>
      </c>
      <c r="L649" s="598">
        <v>0</v>
      </c>
      <c r="M649" s="600">
        <v>2380</v>
      </c>
      <c r="N649" s="601">
        <v>38.5</v>
      </c>
      <c r="O649" s="609">
        <v>33001.509999999995</v>
      </c>
      <c r="P649" s="610">
        <v>0.93531866464339908</v>
      </c>
      <c r="Q649" s="611">
        <v>6</v>
      </c>
      <c r="R649" s="612">
        <v>1.4999999999999999E-2</v>
      </c>
      <c r="S649" s="640">
        <v>0</v>
      </c>
      <c r="T649" s="638">
        <v>60</v>
      </c>
      <c r="U649" s="638">
        <v>62</v>
      </c>
      <c r="V649" s="638">
        <v>62</v>
      </c>
      <c r="W649" s="641"/>
    </row>
    <row r="650" spans="1:23">
      <c r="A650" s="590">
        <v>44361</v>
      </c>
      <c r="B650" s="598">
        <v>5141</v>
      </c>
      <c r="C650" s="598">
        <v>107.75</v>
      </c>
      <c r="D650" s="598">
        <v>120</v>
      </c>
      <c r="E650" s="598">
        <v>67</v>
      </c>
      <c r="F650" s="598"/>
      <c r="G650" s="598">
        <v>3</v>
      </c>
      <c r="H650" s="642">
        <v>88</v>
      </c>
      <c r="I650" s="600">
        <v>400</v>
      </c>
      <c r="J650" s="608">
        <v>0.4</v>
      </c>
      <c r="K650" s="598">
        <v>31925.61</v>
      </c>
      <c r="L650" s="598">
        <v>5780.7874999999995</v>
      </c>
      <c r="M650" s="598">
        <v>4080</v>
      </c>
      <c r="N650" s="602">
        <v>39.5</v>
      </c>
      <c r="O650" s="603">
        <v>41786.397499999999</v>
      </c>
      <c r="P650" s="604">
        <v>0.95291936978683967</v>
      </c>
      <c r="Q650" s="605">
        <v>6</v>
      </c>
      <c r="R650" s="606">
        <v>1.4999999999999999E-2</v>
      </c>
      <c r="S650" s="638">
        <v>0</v>
      </c>
      <c r="T650" s="638">
        <v>60</v>
      </c>
      <c r="U650" s="638">
        <v>61</v>
      </c>
      <c r="V650" s="638">
        <v>62</v>
      </c>
      <c r="W650" s="639"/>
    </row>
    <row r="651" spans="1:23">
      <c r="A651" s="590">
        <v>44362</v>
      </c>
      <c r="B651" s="615">
        <v>5088</v>
      </c>
      <c r="C651" s="615">
        <v>0</v>
      </c>
      <c r="D651" s="615">
        <v>80</v>
      </c>
      <c r="E651" s="615">
        <v>79</v>
      </c>
      <c r="F651" s="628"/>
      <c r="G651" s="628">
        <v>3.7000000001862645</v>
      </c>
      <c r="H651" s="637">
        <v>103</v>
      </c>
      <c r="I651" s="632">
        <v>400</v>
      </c>
      <c r="J651" s="618">
        <v>0.44</v>
      </c>
      <c r="K651" s="615">
        <v>31596.48</v>
      </c>
      <c r="L651" s="615">
        <v>0</v>
      </c>
      <c r="M651" s="615">
        <v>2720</v>
      </c>
      <c r="N651" s="619">
        <v>40.5</v>
      </c>
      <c r="O651" s="620">
        <v>34316.479999999996</v>
      </c>
      <c r="P651" s="621">
        <v>0.94152479644707621</v>
      </c>
      <c r="Q651" s="622">
        <v>6</v>
      </c>
      <c r="R651" s="623">
        <v>1.4999999999999999E-2</v>
      </c>
      <c r="S651" s="643">
        <v>0</v>
      </c>
      <c r="T651" s="638">
        <v>60</v>
      </c>
      <c r="U651" s="638">
        <v>61</v>
      </c>
      <c r="V651" s="638">
        <v>62</v>
      </c>
      <c r="W651" s="644"/>
    </row>
    <row r="652" spans="1:23">
      <c r="A652" s="590">
        <v>44363</v>
      </c>
      <c r="B652" s="545">
        <v>5309</v>
      </c>
      <c r="C652" s="545">
        <v>0</v>
      </c>
      <c r="D652" s="545">
        <v>90</v>
      </c>
      <c r="E652" s="545">
        <v>86</v>
      </c>
      <c r="F652" s="629"/>
      <c r="G652" s="629">
        <v>0.29999999981373549</v>
      </c>
      <c r="H652" s="637">
        <v>160</v>
      </c>
      <c r="I652" s="633">
        <v>400</v>
      </c>
      <c r="J652" s="555">
        <v>0.37</v>
      </c>
      <c r="K652" s="545">
        <v>32968.89</v>
      </c>
      <c r="L652" s="545">
        <v>0</v>
      </c>
      <c r="M652" s="545">
        <v>3060</v>
      </c>
      <c r="N652" s="548">
        <v>41.5</v>
      </c>
      <c r="O652" s="549">
        <v>36028.89</v>
      </c>
      <c r="P652" s="550">
        <v>0.94248180365702117</v>
      </c>
      <c r="Q652" s="551">
        <v>6</v>
      </c>
      <c r="R652" s="552">
        <v>1.4999999999999999E-2</v>
      </c>
      <c r="S652" s="645">
        <v>0</v>
      </c>
      <c r="T652" s="638">
        <v>60</v>
      </c>
      <c r="U652" s="638">
        <v>61</v>
      </c>
      <c r="V652" s="638">
        <v>62</v>
      </c>
      <c r="W652" s="639" t="s">
        <v>341</v>
      </c>
    </row>
    <row r="653" spans="1:23">
      <c r="A653" s="590">
        <v>44364</v>
      </c>
      <c r="B653" s="546">
        <v>4184</v>
      </c>
      <c r="C653" s="545">
        <v>107.75</v>
      </c>
      <c r="D653" s="546">
        <v>100</v>
      </c>
      <c r="E653" s="545">
        <v>96</v>
      </c>
      <c r="F653" s="629"/>
      <c r="G653" s="629">
        <v>0</v>
      </c>
      <c r="H653" s="637">
        <v>75</v>
      </c>
      <c r="I653" s="633">
        <v>400</v>
      </c>
      <c r="J653" s="555">
        <v>0.3</v>
      </c>
      <c r="K653" s="546">
        <v>25982.639999999999</v>
      </c>
      <c r="L653" s="545">
        <v>5780.7874999999995</v>
      </c>
      <c r="M653" s="546">
        <v>3400</v>
      </c>
      <c r="N653" s="547">
        <v>42.5</v>
      </c>
      <c r="O653" s="558">
        <v>35163.427499999998</v>
      </c>
      <c r="P653" s="559">
        <v>0.9213829552961903</v>
      </c>
      <c r="Q653" s="560">
        <v>6</v>
      </c>
      <c r="R653" s="561">
        <v>1.4999999999999999E-2</v>
      </c>
      <c r="S653" s="646">
        <v>0</v>
      </c>
      <c r="T653" s="638">
        <v>60</v>
      </c>
      <c r="U653" s="638">
        <v>61</v>
      </c>
      <c r="V653" s="638">
        <v>61</v>
      </c>
      <c r="W653" s="639" t="s">
        <v>342</v>
      </c>
    </row>
    <row r="654" spans="1:23">
      <c r="A654" s="557">
        <v>44365</v>
      </c>
      <c r="B654" s="545">
        <v>5086</v>
      </c>
      <c r="C654" s="545">
        <v>0</v>
      </c>
      <c r="D654" s="545">
        <v>70</v>
      </c>
      <c r="E654" s="545">
        <v>63</v>
      </c>
      <c r="F654" s="629"/>
      <c r="G654" s="629">
        <v>1</v>
      </c>
      <c r="H654" s="637">
        <v>93</v>
      </c>
      <c r="I654" s="634">
        <v>400</v>
      </c>
      <c r="J654" s="545">
        <v>0.25</v>
      </c>
      <c r="K654" s="545">
        <v>31584.06</v>
      </c>
      <c r="L654" s="545">
        <v>0</v>
      </c>
      <c r="M654" s="545">
        <v>2380</v>
      </c>
      <c r="N654" s="545">
        <v>43.5</v>
      </c>
      <c r="O654" s="545">
        <v>33964.06</v>
      </c>
      <c r="P654" s="545">
        <v>0.9349264705882353</v>
      </c>
      <c r="Q654" s="560">
        <v>6</v>
      </c>
      <c r="R654" s="561">
        <v>1.4999999999999999E-2</v>
      </c>
      <c r="S654" s="646">
        <v>0</v>
      </c>
      <c r="T654" s="638">
        <v>60</v>
      </c>
      <c r="U654" s="638">
        <v>61</v>
      </c>
      <c r="V654" s="638">
        <v>61</v>
      </c>
      <c r="W654" s="639"/>
    </row>
    <row r="655" spans="1:23">
      <c r="A655" s="557">
        <v>44366</v>
      </c>
      <c r="B655" s="545">
        <v>4757</v>
      </c>
      <c r="C655" s="545">
        <v>0</v>
      </c>
      <c r="D655" s="545">
        <v>80</v>
      </c>
      <c r="E655" s="545">
        <v>86</v>
      </c>
      <c r="F655" s="629"/>
      <c r="G655" s="629">
        <v>2</v>
      </c>
      <c r="H655" s="637">
        <v>50</v>
      </c>
      <c r="I655" s="634">
        <v>400</v>
      </c>
      <c r="J655" s="545">
        <v>0.16</v>
      </c>
      <c r="K655" s="545">
        <v>29540.97</v>
      </c>
      <c r="L655" s="545">
        <v>0</v>
      </c>
      <c r="M655" s="545">
        <v>2720</v>
      </c>
      <c r="N655" s="545">
        <v>44.5</v>
      </c>
      <c r="O655" s="545">
        <v>32260.97</v>
      </c>
      <c r="P655" s="545">
        <v>0.91147729450086223</v>
      </c>
      <c r="Q655" s="560">
        <v>6</v>
      </c>
      <c r="R655" s="561">
        <v>1.4999999999999999E-2</v>
      </c>
      <c r="S655" s="646">
        <v>0</v>
      </c>
      <c r="T655" s="638">
        <v>60</v>
      </c>
      <c r="U655" s="638">
        <v>61</v>
      </c>
      <c r="V655" s="638">
        <v>61</v>
      </c>
      <c r="W655" s="639"/>
    </row>
    <row r="656" spans="1:23">
      <c r="A656" s="557">
        <v>44367</v>
      </c>
      <c r="B656" s="545">
        <v>4734</v>
      </c>
      <c r="C656" s="545">
        <v>0</v>
      </c>
      <c r="D656" s="545">
        <v>70</v>
      </c>
      <c r="E656" s="545">
        <v>74</v>
      </c>
      <c r="F656" s="629"/>
      <c r="G656" s="629">
        <v>2</v>
      </c>
      <c r="H656" s="637">
        <v>44</v>
      </c>
      <c r="I656" s="634">
        <v>400</v>
      </c>
      <c r="J656" s="545">
        <v>0.27</v>
      </c>
      <c r="K656" s="545">
        <v>29398.14</v>
      </c>
      <c r="L656" s="545">
        <v>0</v>
      </c>
      <c r="M656" s="545">
        <v>2380</v>
      </c>
      <c r="N656" s="545">
        <v>45.5</v>
      </c>
      <c r="O656" s="545">
        <v>31778.14</v>
      </c>
      <c r="P656" s="545">
        <v>0.91619895490613512</v>
      </c>
      <c r="Q656" s="560">
        <v>6</v>
      </c>
      <c r="R656" s="561">
        <v>1.4999999999999999E-2</v>
      </c>
      <c r="S656" s="646">
        <v>0</v>
      </c>
      <c r="T656" s="638">
        <v>60</v>
      </c>
      <c r="U656" s="638">
        <v>61</v>
      </c>
      <c r="V656" s="638">
        <v>61</v>
      </c>
      <c r="W656" s="647"/>
    </row>
    <row r="657" spans="1:23">
      <c r="A657" s="557">
        <v>44368</v>
      </c>
      <c r="B657" s="546">
        <v>4677</v>
      </c>
      <c r="C657" s="545">
        <v>0</v>
      </c>
      <c r="D657" s="546">
        <v>80</v>
      </c>
      <c r="E657" s="545">
        <v>77</v>
      </c>
      <c r="F657" s="629"/>
      <c r="G657" s="629">
        <v>2</v>
      </c>
      <c r="H657" s="637">
        <v>52</v>
      </c>
      <c r="I657" s="633">
        <v>400</v>
      </c>
      <c r="J657" s="555">
        <v>0.27</v>
      </c>
      <c r="K657" s="546">
        <v>29044.17</v>
      </c>
      <c r="L657" s="545">
        <v>0</v>
      </c>
      <c r="M657" s="546">
        <v>2720</v>
      </c>
      <c r="N657" s="547">
        <v>46.5</v>
      </c>
      <c r="O657" s="558">
        <v>31764.17</v>
      </c>
      <c r="P657" s="559">
        <v>0.93316041500399038</v>
      </c>
      <c r="Q657" s="560">
        <v>6</v>
      </c>
      <c r="R657" s="561">
        <v>1.4999999999999999E-2</v>
      </c>
      <c r="S657" s="646">
        <v>0</v>
      </c>
      <c r="T657" s="638">
        <v>60</v>
      </c>
      <c r="U657" s="638">
        <v>61</v>
      </c>
      <c r="V657" s="638">
        <v>61</v>
      </c>
      <c r="W657" s="647"/>
    </row>
    <row r="658" spans="1:23">
      <c r="A658" s="557">
        <v>44369</v>
      </c>
      <c r="B658" s="546">
        <v>4677</v>
      </c>
      <c r="C658" s="545">
        <v>0</v>
      </c>
      <c r="D658" s="546">
        <v>120</v>
      </c>
      <c r="E658" s="545">
        <v>96</v>
      </c>
      <c r="F658" s="629"/>
      <c r="G658" s="629">
        <v>3</v>
      </c>
      <c r="H658" s="648">
        <v>43</v>
      </c>
      <c r="I658" s="633">
        <v>400</v>
      </c>
      <c r="J658" s="555">
        <v>0.27</v>
      </c>
      <c r="K658" s="546">
        <v>29044.17</v>
      </c>
      <c r="L658" s="545">
        <v>0</v>
      </c>
      <c r="M658" s="546">
        <v>4080</v>
      </c>
      <c r="N658" s="547">
        <v>47.5</v>
      </c>
      <c r="O658" s="558">
        <v>33124.17</v>
      </c>
      <c r="P658" s="559">
        <v>0.96155427631578949</v>
      </c>
      <c r="Q658" s="560">
        <v>6</v>
      </c>
      <c r="R658" s="561">
        <v>1.4999999999999999E-2</v>
      </c>
      <c r="S658" s="646">
        <v>0</v>
      </c>
      <c r="T658" s="638">
        <v>60</v>
      </c>
      <c r="U658" s="638">
        <v>61</v>
      </c>
      <c r="V658" s="638">
        <v>61</v>
      </c>
      <c r="W658" s="647" t="s">
        <v>343</v>
      </c>
    </row>
    <row r="659" spans="1:23">
      <c r="A659" s="557">
        <v>44370</v>
      </c>
      <c r="B659" s="546">
        <v>4563</v>
      </c>
      <c r="C659" s="545">
        <v>107.75</v>
      </c>
      <c r="D659" s="546">
        <v>80</v>
      </c>
      <c r="E659" s="545">
        <v>86</v>
      </c>
      <c r="F659" s="629"/>
      <c r="G659" s="629">
        <v>2</v>
      </c>
      <c r="H659" s="637">
        <v>90</v>
      </c>
      <c r="I659" s="633">
        <v>400</v>
      </c>
      <c r="J659" s="555">
        <v>0.37</v>
      </c>
      <c r="K659" s="546">
        <v>28336.23</v>
      </c>
      <c r="L659" s="545">
        <v>5780.7874999999995</v>
      </c>
      <c r="M659" s="546">
        <v>2720</v>
      </c>
      <c r="N659" s="547">
        <v>48.5</v>
      </c>
      <c r="O659" s="558">
        <v>36837.017500000002</v>
      </c>
      <c r="P659" s="649">
        <v>0.9620493358633776</v>
      </c>
      <c r="Q659" s="650">
        <v>6</v>
      </c>
      <c r="R659" s="651">
        <v>1.4999999999999999E-2</v>
      </c>
      <c r="S659" s="652">
        <v>0</v>
      </c>
      <c r="T659" s="638">
        <v>60</v>
      </c>
      <c r="U659" s="638">
        <v>61</v>
      </c>
      <c r="V659" s="638">
        <v>60</v>
      </c>
      <c r="W659" s="639"/>
    </row>
    <row r="660" spans="1:23" ht="31.5">
      <c r="A660" s="557">
        <v>44371</v>
      </c>
      <c r="B660" s="545">
        <v>4421</v>
      </c>
      <c r="C660" s="545">
        <v>0</v>
      </c>
      <c r="D660" s="545">
        <v>110</v>
      </c>
      <c r="E660" s="545">
        <v>88</v>
      </c>
      <c r="F660" s="629"/>
      <c r="G660" s="629">
        <v>1</v>
      </c>
      <c r="H660" s="637">
        <v>61</v>
      </c>
      <c r="I660" s="633">
        <v>400</v>
      </c>
      <c r="J660" s="555">
        <v>0.25</v>
      </c>
      <c r="K660" s="545">
        <v>27454.41</v>
      </c>
      <c r="L660" s="545">
        <v>0</v>
      </c>
      <c r="M660" s="545">
        <v>3740</v>
      </c>
      <c r="N660" s="548">
        <v>49.5</v>
      </c>
      <c r="O660" s="549">
        <v>31194.41</v>
      </c>
      <c r="P660" s="550">
        <v>0.97378854625550659</v>
      </c>
      <c r="Q660" s="551">
        <v>6</v>
      </c>
      <c r="R660" s="552">
        <v>1.4999999999999999E-2</v>
      </c>
      <c r="S660" s="645">
        <v>0</v>
      </c>
      <c r="T660" s="638">
        <v>60</v>
      </c>
      <c r="U660" s="638">
        <v>61</v>
      </c>
      <c r="V660" s="638">
        <v>60</v>
      </c>
      <c r="W660" s="626" t="s">
        <v>344</v>
      </c>
    </row>
    <row r="661" spans="1:23">
      <c r="A661" s="557">
        <v>44372</v>
      </c>
      <c r="B661" s="474">
        <v>4686</v>
      </c>
      <c r="C661" s="474">
        <v>0</v>
      </c>
      <c r="D661" s="474">
        <v>80</v>
      </c>
      <c r="E661" s="474">
        <v>83</v>
      </c>
      <c r="F661" s="687"/>
      <c r="G661" s="629">
        <v>3</v>
      </c>
      <c r="H661" s="648">
        <v>80</v>
      </c>
      <c r="I661" s="635">
        <v>400</v>
      </c>
      <c r="J661" s="501">
        <v>0.15</v>
      </c>
      <c r="K661" s="474">
        <v>29100.06</v>
      </c>
      <c r="L661" s="474">
        <v>0</v>
      </c>
      <c r="M661" s="474">
        <v>2720</v>
      </c>
      <c r="N661" s="475">
        <v>50.5</v>
      </c>
      <c r="O661" s="653">
        <v>31820.06</v>
      </c>
      <c r="P661" s="654">
        <v>0.95108585346052366</v>
      </c>
      <c r="Q661" s="655">
        <v>6</v>
      </c>
      <c r="R661" s="656">
        <v>1.4999999999999999E-2</v>
      </c>
      <c r="S661" s="657">
        <v>0</v>
      </c>
      <c r="T661" s="638">
        <v>60</v>
      </c>
      <c r="U661" s="638">
        <v>61</v>
      </c>
      <c r="V661" s="638">
        <v>60</v>
      </c>
      <c r="W661" s="484"/>
    </row>
    <row r="662" spans="1:23">
      <c r="A662" s="557">
        <v>44373</v>
      </c>
      <c r="B662" s="479">
        <v>4541</v>
      </c>
      <c r="C662" s="474">
        <v>107.75</v>
      </c>
      <c r="D662" s="479">
        <v>80</v>
      </c>
      <c r="E662" s="505">
        <v>80</v>
      </c>
      <c r="F662" s="630"/>
      <c r="G662" s="629">
        <v>1</v>
      </c>
      <c r="H662" s="648">
        <v>93</v>
      </c>
      <c r="I662" s="635">
        <v>400</v>
      </c>
      <c r="J662" s="500"/>
      <c r="K662" s="479">
        <v>28199.61</v>
      </c>
      <c r="L662" s="474">
        <v>5780.7874999999995</v>
      </c>
      <c r="M662" s="479">
        <v>2720</v>
      </c>
      <c r="N662" s="480">
        <v>51.5</v>
      </c>
      <c r="O662" s="658">
        <v>36700.397499999999</v>
      </c>
      <c r="P662" s="649">
        <v>0.96330080610946123</v>
      </c>
      <c r="Q662" s="650">
        <v>6</v>
      </c>
      <c r="R662" s="651">
        <v>1.4999999999999999E-2</v>
      </c>
      <c r="S662" s="652">
        <v>0</v>
      </c>
      <c r="T662" s="638">
        <v>60</v>
      </c>
      <c r="U662" s="638">
        <v>60</v>
      </c>
      <c r="V662" s="638">
        <v>60</v>
      </c>
      <c r="W662" s="484"/>
    </row>
    <row r="663" spans="1:23">
      <c r="A663" s="557">
        <v>44374</v>
      </c>
      <c r="B663" s="386">
        <v>4339</v>
      </c>
      <c r="C663" s="474">
        <v>0</v>
      </c>
      <c r="D663" s="386">
        <v>80</v>
      </c>
      <c r="E663" s="505">
        <v>48</v>
      </c>
      <c r="F663" s="630"/>
      <c r="G663" s="629">
        <v>0</v>
      </c>
      <c r="H663" s="648">
        <v>67</v>
      </c>
      <c r="I663" s="635">
        <v>400</v>
      </c>
      <c r="J663" s="502"/>
      <c r="K663" s="386">
        <v>26945.19</v>
      </c>
      <c r="L663" s="474">
        <v>0</v>
      </c>
      <c r="M663" s="386">
        <v>2720</v>
      </c>
      <c r="N663" s="435">
        <v>52.5</v>
      </c>
      <c r="O663" s="659">
        <v>29665.19</v>
      </c>
      <c r="P663" s="660">
        <v>0.96550956831330659</v>
      </c>
      <c r="Q663" s="650">
        <v>6</v>
      </c>
      <c r="R663" s="651">
        <v>1.4999999999999999E-2</v>
      </c>
      <c r="S663" s="652">
        <v>0</v>
      </c>
      <c r="T663" s="638">
        <v>60</v>
      </c>
      <c r="U663" s="638">
        <v>60</v>
      </c>
      <c r="V663" s="638">
        <v>60</v>
      </c>
      <c r="W663" s="483"/>
    </row>
    <row r="664" spans="1:23" ht="29.1">
      <c r="A664" s="557">
        <v>44375</v>
      </c>
      <c r="B664" s="386">
        <v>4684</v>
      </c>
      <c r="C664" s="474">
        <v>0</v>
      </c>
      <c r="D664" s="386">
        <v>49</v>
      </c>
      <c r="E664" s="505">
        <v>110</v>
      </c>
      <c r="F664" s="630"/>
      <c r="G664" s="629">
        <v>1</v>
      </c>
      <c r="H664" s="648">
        <v>78</v>
      </c>
      <c r="I664" s="635">
        <v>400</v>
      </c>
      <c r="J664" s="502"/>
      <c r="K664" s="386">
        <v>29087.64</v>
      </c>
      <c r="L664" s="474">
        <v>0</v>
      </c>
      <c r="M664" s="386">
        <v>1666</v>
      </c>
      <c r="N664" s="435">
        <v>53.5</v>
      </c>
      <c r="O664" s="659">
        <v>30753.64</v>
      </c>
      <c r="P664" s="660">
        <v>0.96418279127212847</v>
      </c>
      <c r="Q664" s="650">
        <v>6</v>
      </c>
      <c r="R664" s="651">
        <v>1.4999999999999999E-2</v>
      </c>
      <c r="S664" s="652">
        <v>0</v>
      </c>
      <c r="T664" s="638">
        <v>60</v>
      </c>
      <c r="U664" s="638">
        <v>60</v>
      </c>
      <c r="V664" s="638">
        <v>60</v>
      </c>
      <c r="W664" s="485" t="s">
        <v>345</v>
      </c>
    </row>
    <row r="665" spans="1:23">
      <c r="A665" s="557">
        <v>44376</v>
      </c>
      <c r="B665" s="386">
        <v>4715</v>
      </c>
      <c r="C665" s="474">
        <v>0</v>
      </c>
      <c r="D665" s="386">
        <v>91</v>
      </c>
      <c r="E665" s="505">
        <v>102</v>
      </c>
      <c r="F665" s="630"/>
      <c r="G665" s="629">
        <v>0</v>
      </c>
      <c r="H665" s="648">
        <v>129</v>
      </c>
      <c r="I665" s="635">
        <v>400</v>
      </c>
      <c r="J665" s="502"/>
      <c r="K665" s="386">
        <v>29280.15</v>
      </c>
      <c r="L665" s="474">
        <v>0</v>
      </c>
      <c r="M665" s="386">
        <v>3094</v>
      </c>
      <c r="N665" s="435">
        <v>54.5</v>
      </c>
      <c r="O665" s="659">
        <v>32374.15</v>
      </c>
      <c r="P665" s="660">
        <v>0.96028513238289204</v>
      </c>
      <c r="Q665" s="650">
        <v>6</v>
      </c>
      <c r="R665" s="651">
        <v>1.4999999999999999E-2</v>
      </c>
      <c r="S665" s="652">
        <v>0</v>
      </c>
      <c r="T665" s="638">
        <v>60</v>
      </c>
      <c r="U665" s="638">
        <v>60</v>
      </c>
      <c r="V665" s="638">
        <v>60</v>
      </c>
      <c r="W665" s="485" t="s">
        <v>346</v>
      </c>
    </row>
    <row r="666" spans="1:23" ht="29.1">
      <c r="A666" s="557">
        <v>44377</v>
      </c>
      <c r="B666" s="386">
        <v>4542</v>
      </c>
      <c r="C666" s="474">
        <v>107.75</v>
      </c>
      <c r="D666" s="386">
        <v>120</v>
      </c>
      <c r="E666" s="505">
        <v>83</v>
      </c>
      <c r="F666" s="630"/>
      <c r="G666" s="630">
        <v>1</v>
      </c>
      <c r="H666" s="627">
        <v>131</v>
      </c>
      <c r="I666" s="635">
        <v>400</v>
      </c>
      <c r="J666" s="502"/>
      <c r="K666" s="386">
        <v>28205.82</v>
      </c>
      <c r="L666" s="474">
        <v>5780.7874999999995</v>
      </c>
      <c r="M666" s="386">
        <v>4080</v>
      </c>
      <c r="N666" s="435">
        <v>55.5</v>
      </c>
      <c r="O666" s="659">
        <v>38066.607499999998</v>
      </c>
      <c r="P666" s="660">
        <v>0.96167690027524877</v>
      </c>
      <c r="Q666" s="650">
        <v>6</v>
      </c>
      <c r="R666" s="651">
        <v>1.4999999999999999E-2</v>
      </c>
      <c r="S666" s="652">
        <v>0</v>
      </c>
      <c r="T666" s="652">
        <v>0</v>
      </c>
      <c r="U666" s="652">
        <v>59</v>
      </c>
      <c r="V666" s="652">
        <v>60</v>
      </c>
      <c r="W666" s="483" t="s">
        <v>347</v>
      </c>
    </row>
    <row r="667" spans="1:23">
      <c r="A667" s="443">
        <v>0</v>
      </c>
      <c r="B667" s="444"/>
      <c r="C667" s="444"/>
      <c r="D667" s="444"/>
      <c r="E667" s="444"/>
      <c r="F667" s="631"/>
      <c r="G667" s="631"/>
      <c r="H667" s="577"/>
      <c r="I667" s="636"/>
      <c r="J667" s="503"/>
      <c r="K667" s="444"/>
      <c r="L667" s="444"/>
      <c r="M667" s="444"/>
      <c r="N667" s="444"/>
      <c r="O667" s="444"/>
      <c r="P667" s="444"/>
      <c r="Q667" s="650"/>
      <c r="R667" s="651"/>
      <c r="S667" s="652"/>
      <c r="T667" s="652"/>
      <c r="U667" s="652"/>
      <c r="V667" s="652"/>
      <c r="W667" s="652"/>
    </row>
    <row r="668" spans="1:23">
      <c r="A668" s="706" t="s">
        <v>161</v>
      </c>
      <c r="B668" s="411">
        <v>147667</v>
      </c>
      <c r="C668" s="411">
        <v>1101.25</v>
      </c>
      <c r="D668" s="411">
        <v>2700</v>
      </c>
      <c r="E668" s="411"/>
      <c r="F668" s="411"/>
      <c r="G668" s="411"/>
      <c r="H668" s="411"/>
      <c r="I668" s="411"/>
      <c r="J668" s="530"/>
      <c r="K668" s="411">
        <v>917012.07000000007</v>
      </c>
      <c r="L668" s="411">
        <v>59082.062499999993</v>
      </c>
      <c r="M668" s="411">
        <v>91800</v>
      </c>
      <c r="N668" s="411"/>
      <c r="O668" s="411">
        <v>1067894.1325000001</v>
      </c>
      <c r="P668" s="411"/>
      <c r="Q668" s="492"/>
      <c r="R668" s="493"/>
      <c r="S668" s="458"/>
      <c r="T668" s="458"/>
      <c r="U668" s="458"/>
      <c r="V668" s="458"/>
      <c r="W668" s="458"/>
    </row>
    <row r="669" spans="1:23">
      <c r="A669" s="706"/>
      <c r="B669" s="411"/>
      <c r="C669" s="411"/>
      <c r="D669" s="411"/>
      <c r="E669" s="411"/>
      <c r="F669" s="411"/>
      <c r="G669" s="411"/>
      <c r="H669" s="411"/>
      <c r="I669" s="411"/>
      <c r="J669" s="530"/>
      <c r="K669" s="411"/>
      <c r="L669" s="411"/>
      <c r="M669" s="411"/>
      <c r="N669" s="411"/>
      <c r="O669" s="411"/>
      <c r="P669" s="411"/>
      <c r="Q669" s="492"/>
      <c r="R669" s="493"/>
      <c r="S669" s="458"/>
      <c r="T669" s="458"/>
      <c r="U669" s="458"/>
      <c r="V669" s="458"/>
      <c r="W669" s="458"/>
    </row>
    <row r="670" spans="1:23" ht="57.95">
      <c r="A670" s="706" t="s">
        <v>14</v>
      </c>
      <c r="B670" s="411" t="s">
        <v>145</v>
      </c>
      <c r="C670" s="411"/>
      <c r="D670" s="411"/>
      <c r="E670" s="411"/>
      <c r="F670" s="411"/>
      <c r="G670" s="411"/>
      <c r="H670" s="411"/>
      <c r="I670" s="411"/>
      <c r="J670" s="530"/>
      <c r="K670" s="411" t="s">
        <v>146</v>
      </c>
      <c r="L670" s="411"/>
      <c r="M670" s="411"/>
      <c r="N670" s="411" t="s">
        <v>147</v>
      </c>
      <c r="O670" s="411" t="s">
        <v>148</v>
      </c>
      <c r="P670" s="411" t="s">
        <v>175</v>
      </c>
      <c r="Q670" s="492" t="s">
        <v>149</v>
      </c>
      <c r="R670" s="493" t="s">
        <v>150</v>
      </c>
      <c r="S670" s="458" t="s">
        <v>165</v>
      </c>
      <c r="T670" s="458" t="s">
        <v>317</v>
      </c>
      <c r="U670" s="458"/>
      <c r="V670" s="458"/>
      <c r="W670" s="458" t="s">
        <v>176</v>
      </c>
    </row>
    <row r="671" spans="1:23" ht="29.1">
      <c r="A671" s="706"/>
      <c r="B671" s="411" t="s">
        <v>156</v>
      </c>
      <c r="C671" s="411" t="s">
        <v>157</v>
      </c>
      <c r="D671" s="411" t="s">
        <v>158</v>
      </c>
      <c r="E671" s="411" t="s">
        <v>236</v>
      </c>
      <c r="F671" s="411"/>
      <c r="G671" s="411" t="s">
        <v>302</v>
      </c>
      <c r="H671" s="411" t="s">
        <v>303</v>
      </c>
      <c r="I671" s="411" t="s">
        <v>237</v>
      </c>
      <c r="J671" s="530"/>
      <c r="K671" s="411" t="s">
        <v>156</v>
      </c>
      <c r="L671" s="411" t="s">
        <v>157</v>
      </c>
      <c r="M671" s="411" t="s">
        <v>158</v>
      </c>
      <c r="N671" s="411"/>
      <c r="O671" s="411"/>
      <c r="P671" s="411"/>
      <c r="Q671" s="492"/>
      <c r="R671" s="493"/>
      <c r="S671" s="458"/>
      <c r="T671" s="458" t="s">
        <v>318</v>
      </c>
      <c r="U671" s="458" t="s">
        <v>319</v>
      </c>
      <c r="V671" s="458" t="s">
        <v>320</v>
      </c>
      <c r="W671" s="458"/>
    </row>
    <row r="672" spans="1:23">
      <c r="A672" s="706">
        <v>44409</v>
      </c>
      <c r="B672" s="411">
        <v>5123</v>
      </c>
      <c r="C672" s="411">
        <v>107.75</v>
      </c>
      <c r="D672" s="411">
        <v>60</v>
      </c>
      <c r="E672" s="411">
        <v>46</v>
      </c>
      <c r="F672" s="411"/>
      <c r="G672" s="411">
        <v>2</v>
      </c>
      <c r="H672" s="411">
        <v>40</v>
      </c>
      <c r="I672" s="411">
        <v>200</v>
      </c>
      <c r="J672" s="530">
        <v>0.4</v>
      </c>
      <c r="K672" s="411">
        <v>31813.829999999998</v>
      </c>
      <c r="L672" s="411">
        <v>5780.7874999999995</v>
      </c>
      <c r="M672" s="411">
        <v>2040</v>
      </c>
      <c r="N672" s="411">
        <v>26.5</v>
      </c>
      <c r="O672" s="411">
        <v>39634.6175</v>
      </c>
      <c r="P672" s="411">
        <v>0.89766952864902749</v>
      </c>
      <c r="Q672" s="492">
        <v>6</v>
      </c>
      <c r="R672" s="493">
        <v>1.4999999999999999E-2</v>
      </c>
      <c r="S672" s="458">
        <v>0</v>
      </c>
      <c r="T672" s="458">
        <v>51</v>
      </c>
      <c r="U672" s="458">
        <v>51</v>
      </c>
      <c r="V672" s="458">
        <v>55</v>
      </c>
      <c r="W672" s="458"/>
    </row>
    <row r="673" spans="1:23">
      <c r="A673" s="706">
        <v>44410</v>
      </c>
      <c r="B673" s="411">
        <v>5520</v>
      </c>
      <c r="C673" s="411">
        <v>107.75</v>
      </c>
      <c r="D673" s="411">
        <v>70</v>
      </c>
      <c r="E673" s="411">
        <v>71</v>
      </c>
      <c r="F673" s="411"/>
      <c r="G673" s="411">
        <v>3</v>
      </c>
      <c r="H673" s="411">
        <v>165</v>
      </c>
      <c r="I673" s="411">
        <v>200</v>
      </c>
      <c r="J673" s="530">
        <v>0.45</v>
      </c>
      <c r="K673" s="411">
        <v>34279.199999999997</v>
      </c>
      <c r="L673" s="411">
        <v>5780.7874999999995</v>
      </c>
      <c r="M673" s="411">
        <v>2380</v>
      </c>
      <c r="N673" s="411">
        <v>27.5</v>
      </c>
      <c r="O673" s="411">
        <v>42439.987499999996</v>
      </c>
      <c r="P673" s="411">
        <v>0.90093030847070343</v>
      </c>
      <c r="Q673" s="492">
        <v>6</v>
      </c>
      <c r="R673" s="493">
        <v>1.4999999999999999E-2</v>
      </c>
      <c r="S673" s="458">
        <v>0</v>
      </c>
      <c r="T673" s="458">
        <v>51</v>
      </c>
      <c r="U673" s="458">
        <v>51</v>
      </c>
      <c r="V673" s="458">
        <v>54</v>
      </c>
      <c r="W673" s="458"/>
    </row>
    <row r="674" spans="1:23">
      <c r="A674" s="706">
        <v>44411</v>
      </c>
      <c r="B674" s="411">
        <v>5209</v>
      </c>
      <c r="C674" s="411">
        <v>107.75</v>
      </c>
      <c r="D674" s="411">
        <v>110</v>
      </c>
      <c r="E674" s="411">
        <v>127</v>
      </c>
      <c r="F674" s="411"/>
      <c r="G674" s="411">
        <v>2</v>
      </c>
      <c r="H674" s="411">
        <v>129</v>
      </c>
      <c r="I674" s="411">
        <v>200</v>
      </c>
      <c r="J674" s="530">
        <v>0.44</v>
      </c>
      <c r="K674" s="411">
        <v>32347.89</v>
      </c>
      <c r="L674" s="411">
        <v>5780.7874999999995</v>
      </c>
      <c r="M674" s="411">
        <v>3740</v>
      </c>
      <c r="N674" s="411">
        <v>28.5</v>
      </c>
      <c r="O674" s="411">
        <v>41868.677499999998</v>
      </c>
      <c r="P674" s="411">
        <v>0.91257883672039242</v>
      </c>
      <c r="Q674" s="492">
        <v>6</v>
      </c>
      <c r="R674" s="493">
        <v>1.4999999999999999E-2</v>
      </c>
      <c r="S674" s="458">
        <v>0</v>
      </c>
      <c r="T674" s="458">
        <v>50</v>
      </c>
      <c r="U674" s="458">
        <v>51</v>
      </c>
      <c r="V674" s="458">
        <v>54</v>
      </c>
      <c r="W674" s="458"/>
    </row>
    <row r="675" spans="1:23" ht="57.95">
      <c r="A675" s="706">
        <v>44412</v>
      </c>
      <c r="B675" s="411">
        <v>5725</v>
      </c>
      <c r="C675" s="411">
        <v>215.5</v>
      </c>
      <c r="D675" s="411">
        <v>100</v>
      </c>
      <c r="E675" s="411">
        <v>91</v>
      </c>
      <c r="F675" s="411"/>
      <c r="G675" s="411">
        <v>2</v>
      </c>
      <c r="H675" s="411">
        <v>150</v>
      </c>
      <c r="I675" s="411">
        <v>200</v>
      </c>
      <c r="J675" s="530">
        <v>0.46</v>
      </c>
      <c r="K675" s="411">
        <v>35552.25</v>
      </c>
      <c r="L675" s="411">
        <v>11561.574999999999</v>
      </c>
      <c r="M675" s="411">
        <v>3400</v>
      </c>
      <c r="N675" s="411">
        <v>29.5</v>
      </c>
      <c r="O675" s="411">
        <v>50513.824999999997</v>
      </c>
      <c r="P675" s="411">
        <v>0.90214308225653961</v>
      </c>
      <c r="Q675" s="492">
        <v>6</v>
      </c>
      <c r="R675" s="493">
        <v>1.4999999999999999E-2</v>
      </c>
      <c r="S675" s="458">
        <v>0</v>
      </c>
      <c r="T675" s="458">
        <v>50</v>
      </c>
      <c r="U675" s="458">
        <v>50</v>
      </c>
      <c r="V675" s="458">
        <v>53</v>
      </c>
      <c r="W675" s="458" t="s">
        <v>348</v>
      </c>
    </row>
    <row r="676" spans="1:23" ht="43.5">
      <c r="A676" s="706">
        <v>44413</v>
      </c>
      <c r="B676" s="411">
        <v>5621</v>
      </c>
      <c r="C676" s="411">
        <v>107.75</v>
      </c>
      <c r="D676" s="411">
        <v>130</v>
      </c>
      <c r="E676" s="411">
        <v>109</v>
      </c>
      <c r="F676" s="411"/>
      <c r="G676" s="411">
        <v>163</v>
      </c>
      <c r="H676" s="411">
        <v>160</v>
      </c>
      <c r="I676" s="411">
        <v>200</v>
      </c>
      <c r="J676" s="530">
        <v>0.46</v>
      </c>
      <c r="K676" s="411">
        <v>34906.409999999996</v>
      </c>
      <c r="L676" s="411">
        <v>5780.7874999999995</v>
      </c>
      <c r="M676" s="411">
        <v>4420</v>
      </c>
      <c r="N676" s="411">
        <v>30.5</v>
      </c>
      <c r="O676" s="411">
        <v>45107.197499999995</v>
      </c>
      <c r="P676" s="411">
        <v>0.90822426886411378</v>
      </c>
      <c r="Q676" s="492">
        <v>6</v>
      </c>
      <c r="R676" s="493">
        <v>1.4999999999999999E-2</v>
      </c>
      <c r="S676" s="458">
        <v>0</v>
      </c>
      <c r="T676" s="458">
        <v>50</v>
      </c>
      <c r="U676" s="458">
        <v>49</v>
      </c>
      <c r="V676" s="458">
        <v>53</v>
      </c>
      <c r="W676" s="458" t="s">
        <v>349</v>
      </c>
    </row>
    <row r="677" spans="1:23" ht="29.1">
      <c r="A677" s="706">
        <v>44414</v>
      </c>
      <c r="B677" s="411">
        <v>5578</v>
      </c>
      <c r="C677" s="411">
        <v>107.75</v>
      </c>
      <c r="D677" s="411">
        <v>110</v>
      </c>
      <c r="E677" s="411">
        <v>100</v>
      </c>
      <c r="F677" s="411"/>
      <c r="G677" s="411">
        <v>6</v>
      </c>
      <c r="H677" s="411">
        <v>146</v>
      </c>
      <c r="I677" s="411">
        <v>200</v>
      </c>
      <c r="J677" s="530">
        <v>0.46</v>
      </c>
      <c r="K677" s="411">
        <v>34639.379999999997</v>
      </c>
      <c r="L677" s="411">
        <v>5780.7874999999995</v>
      </c>
      <c r="M677" s="411">
        <v>3740</v>
      </c>
      <c r="N677" s="411">
        <v>31.5</v>
      </c>
      <c r="O677" s="411">
        <v>44160.167499999996</v>
      </c>
      <c r="P677" s="411">
        <v>0.8889243027888446</v>
      </c>
      <c r="Q677" s="492">
        <v>6</v>
      </c>
      <c r="R677" s="493">
        <v>1.4999999999999999E-2</v>
      </c>
      <c r="S677" s="458">
        <v>0</v>
      </c>
      <c r="T677" s="458">
        <v>50</v>
      </c>
      <c r="U677" s="458">
        <v>50</v>
      </c>
      <c r="V677" s="458">
        <v>51</v>
      </c>
      <c r="W677" s="458" t="s">
        <v>350</v>
      </c>
    </row>
    <row r="678" spans="1:23">
      <c r="A678" s="706">
        <v>44415</v>
      </c>
      <c r="B678" s="411">
        <v>4939</v>
      </c>
      <c r="C678" s="411">
        <v>107.75</v>
      </c>
      <c r="D678" s="411">
        <v>81</v>
      </c>
      <c r="E678" s="411">
        <v>70</v>
      </c>
      <c r="F678" s="411"/>
      <c r="G678" s="411">
        <v>1</v>
      </c>
      <c r="H678" s="411">
        <v>122</v>
      </c>
      <c r="I678" s="411">
        <v>200</v>
      </c>
      <c r="J678" s="530">
        <v>0.46</v>
      </c>
      <c r="K678" s="411">
        <v>30671.19</v>
      </c>
      <c r="L678" s="411">
        <v>5780.7874999999995</v>
      </c>
      <c r="M678" s="411">
        <v>2754</v>
      </c>
      <c r="N678" s="411">
        <v>32.5</v>
      </c>
      <c r="O678" s="411">
        <v>39205.977500000001</v>
      </c>
      <c r="P678" s="411">
        <v>0.91871279761904767</v>
      </c>
      <c r="Q678" s="492">
        <v>6</v>
      </c>
      <c r="R678" s="493">
        <v>1.4999999999999999E-2</v>
      </c>
      <c r="S678" s="458">
        <v>0</v>
      </c>
      <c r="T678" s="458">
        <v>50</v>
      </c>
      <c r="U678" s="458">
        <v>49</v>
      </c>
      <c r="V678" s="458">
        <v>51</v>
      </c>
      <c r="W678" s="458"/>
    </row>
    <row r="679" spans="1:23">
      <c r="A679" s="706">
        <v>44416</v>
      </c>
      <c r="B679" s="411">
        <v>4878</v>
      </c>
      <c r="C679" s="411">
        <v>107.75</v>
      </c>
      <c r="D679" s="411">
        <v>54</v>
      </c>
      <c r="E679" s="411">
        <v>60</v>
      </c>
      <c r="F679" s="411"/>
      <c r="G679" s="411">
        <v>2</v>
      </c>
      <c r="H679" s="411">
        <v>44</v>
      </c>
      <c r="I679" s="411">
        <v>200</v>
      </c>
      <c r="J679" s="530">
        <v>0.5</v>
      </c>
      <c r="K679" s="411">
        <v>30292.38</v>
      </c>
      <c r="L679" s="411">
        <v>5780.7874999999995</v>
      </c>
      <c r="M679" s="411">
        <v>1836</v>
      </c>
      <c r="N679" s="411">
        <v>33.5</v>
      </c>
      <c r="O679" s="411">
        <v>37909.167500000003</v>
      </c>
      <c r="P679" s="411">
        <v>0.91777986829727187</v>
      </c>
      <c r="Q679" s="492">
        <v>6</v>
      </c>
      <c r="R679" s="493">
        <v>1.4999999999999999E-2</v>
      </c>
      <c r="S679" s="458">
        <v>0</v>
      </c>
      <c r="T679" s="458">
        <v>49</v>
      </c>
      <c r="U679" s="458">
        <v>49</v>
      </c>
      <c r="V679" s="458">
        <v>51</v>
      </c>
      <c r="W679" s="458"/>
    </row>
    <row r="680" spans="1:23">
      <c r="A680" s="706">
        <v>44417</v>
      </c>
      <c r="B680" s="411">
        <v>5240</v>
      </c>
      <c r="C680" s="411">
        <v>107.75</v>
      </c>
      <c r="D680" s="411">
        <v>95</v>
      </c>
      <c r="E680" s="411">
        <v>100</v>
      </c>
      <c r="F680" s="411"/>
      <c r="G680" s="411">
        <v>3</v>
      </c>
      <c r="H680" s="411">
        <v>140</v>
      </c>
      <c r="I680" s="411">
        <v>200</v>
      </c>
      <c r="J680" s="530">
        <v>0.5</v>
      </c>
      <c r="K680" s="411">
        <v>32540.400000000001</v>
      </c>
      <c r="L680" s="411">
        <v>5780.7874999999995</v>
      </c>
      <c r="M680" s="411">
        <v>3230</v>
      </c>
      <c r="N680" s="411">
        <v>34.5</v>
      </c>
      <c r="O680" s="411">
        <v>41551.1875</v>
      </c>
      <c r="P680" s="411">
        <v>0.90313684936228888</v>
      </c>
      <c r="Q680" s="492">
        <v>6</v>
      </c>
      <c r="R680" s="493">
        <v>1.4999999999999999E-2</v>
      </c>
      <c r="S680" s="458">
        <v>0</v>
      </c>
      <c r="T680" s="458">
        <v>49</v>
      </c>
      <c r="U680" s="458">
        <v>48</v>
      </c>
      <c r="V680" s="458">
        <v>51</v>
      </c>
      <c r="W680" s="458" t="s">
        <v>351</v>
      </c>
    </row>
    <row r="681" spans="1:23">
      <c r="A681" s="706">
        <v>44418</v>
      </c>
      <c r="B681" s="411">
        <v>4995</v>
      </c>
      <c r="C681" s="411">
        <v>0</v>
      </c>
      <c r="D681" s="411">
        <v>70</v>
      </c>
      <c r="E681" s="411">
        <v>73</v>
      </c>
      <c r="F681" s="411"/>
      <c r="G681" s="411">
        <v>1</v>
      </c>
      <c r="H681" s="411">
        <v>147</v>
      </c>
      <c r="I681" s="411">
        <v>200</v>
      </c>
      <c r="J681" s="530">
        <v>0.43</v>
      </c>
      <c r="K681" s="411">
        <v>31018.95</v>
      </c>
      <c r="L681" s="411">
        <v>0</v>
      </c>
      <c r="M681" s="411">
        <v>2380</v>
      </c>
      <c r="N681" s="411">
        <v>35.5</v>
      </c>
      <c r="O681" s="411">
        <v>33398.949999999997</v>
      </c>
      <c r="P681" s="411">
        <v>0.9052192823486771</v>
      </c>
      <c r="Q681" s="492">
        <v>6</v>
      </c>
      <c r="R681" s="493">
        <v>1.4999999999999999E-2</v>
      </c>
      <c r="S681" s="458">
        <v>0</v>
      </c>
      <c r="T681" s="458">
        <v>49</v>
      </c>
      <c r="U681" s="458">
        <v>48</v>
      </c>
      <c r="V681" s="458">
        <v>51</v>
      </c>
      <c r="W681" s="458"/>
    </row>
    <row r="682" spans="1:23">
      <c r="A682" s="706">
        <v>44419</v>
      </c>
      <c r="B682" s="411">
        <v>5512</v>
      </c>
      <c r="C682" s="411">
        <v>107.75</v>
      </c>
      <c r="D682" s="411">
        <v>100</v>
      </c>
      <c r="E682" s="411">
        <v>82</v>
      </c>
      <c r="F682" s="411"/>
      <c r="G682" s="411">
        <v>0</v>
      </c>
      <c r="H682" s="411">
        <v>164</v>
      </c>
      <c r="I682" s="411">
        <v>200</v>
      </c>
      <c r="J682" s="530">
        <v>0.46</v>
      </c>
      <c r="K682" s="411">
        <v>34229.519999999997</v>
      </c>
      <c r="L682" s="411">
        <v>5780.7874999999995</v>
      </c>
      <c r="M682" s="411">
        <v>3400</v>
      </c>
      <c r="N682" s="411">
        <v>36.5</v>
      </c>
      <c r="O682" s="411">
        <v>43410.307499999995</v>
      </c>
      <c r="P682" s="411">
        <v>0.90257082037006708</v>
      </c>
      <c r="Q682" s="492">
        <v>6</v>
      </c>
      <c r="R682" s="493">
        <v>1.4999999999999999E-2</v>
      </c>
      <c r="S682" s="458">
        <v>0</v>
      </c>
      <c r="T682" s="458">
        <v>48</v>
      </c>
      <c r="U682" s="458">
        <v>48</v>
      </c>
      <c r="V682" s="458">
        <v>51</v>
      </c>
      <c r="W682" s="458" t="s">
        <v>352</v>
      </c>
    </row>
    <row r="683" spans="1:23">
      <c r="A683" s="706">
        <v>44420</v>
      </c>
      <c r="B683" s="411">
        <v>5664</v>
      </c>
      <c r="C683" s="411">
        <v>215.5</v>
      </c>
      <c r="D683" s="411">
        <v>80</v>
      </c>
      <c r="E683" s="411">
        <v>8</v>
      </c>
      <c r="F683" s="411"/>
      <c r="G683" s="411">
        <v>0</v>
      </c>
      <c r="H683" s="411">
        <v>161</v>
      </c>
      <c r="I683" s="411">
        <v>140</v>
      </c>
      <c r="J683" s="530">
        <v>0.41</v>
      </c>
      <c r="K683" s="411">
        <v>35173.440000000002</v>
      </c>
      <c r="L683" s="411">
        <v>11561.574999999999</v>
      </c>
      <c r="M683" s="411">
        <v>2720</v>
      </c>
      <c r="N683" s="411">
        <v>37.5</v>
      </c>
      <c r="O683" s="411">
        <v>49455.014999999999</v>
      </c>
      <c r="P683" s="411">
        <v>0.90667520409796698</v>
      </c>
      <c r="Q683" s="492">
        <v>6</v>
      </c>
      <c r="R683" s="493">
        <v>1.4999999999999999E-2</v>
      </c>
      <c r="S683" s="458">
        <v>0</v>
      </c>
      <c r="T683" s="458">
        <v>48</v>
      </c>
      <c r="U683" s="458">
        <v>46</v>
      </c>
      <c r="V683" s="458">
        <v>51</v>
      </c>
      <c r="W683" s="458" t="s">
        <v>353</v>
      </c>
    </row>
    <row r="684" spans="1:23" ht="29.1">
      <c r="A684" s="706">
        <v>44421</v>
      </c>
      <c r="B684" s="411">
        <v>4020</v>
      </c>
      <c r="C684" s="411">
        <v>107.75</v>
      </c>
      <c r="D684" s="411">
        <v>120</v>
      </c>
      <c r="E684" s="411">
        <v>0</v>
      </c>
      <c r="F684" s="411"/>
      <c r="G684" s="411">
        <v>0</v>
      </c>
      <c r="H684" s="411">
        <v>158</v>
      </c>
      <c r="I684" s="411">
        <v>100</v>
      </c>
      <c r="J684" s="530">
        <v>0.45</v>
      </c>
      <c r="K684" s="411">
        <v>24964.2</v>
      </c>
      <c r="L684" s="411">
        <v>5780.7874999999995</v>
      </c>
      <c r="M684" s="411">
        <v>4080</v>
      </c>
      <c r="N684" s="411">
        <v>38.5</v>
      </c>
      <c r="O684" s="411">
        <v>34824.987500000003</v>
      </c>
      <c r="P684" s="411">
        <v>0.92712177121771222</v>
      </c>
      <c r="Q684" s="492">
        <v>6</v>
      </c>
      <c r="R684" s="493">
        <v>1.4999999999999999E-2</v>
      </c>
      <c r="S684" s="458">
        <v>0</v>
      </c>
      <c r="T684" s="458">
        <v>48</v>
      </c>
      <c r="U684" s="458">
        <v>46</v>
      </c>
      <c r="V684" s="458">
        <v>50</v>
      </c>
      <c r="W684" s="458" t="s">
        <v>354</v>
      </c>
    </row>
    <row r="685" spans="1:23">
      <c r="A685" s="706">
        <v>44422</v>
      </c>
      <c r="B685" s="411">
        <v>3633</v>
      </c>
      <c r="C685" s="411">
        <v>0</v>
      </c>
      <c r="D685" s="411">
        <v>100</v>
      </c>
      <c r="E685" s="411">
        <v>0</v>
      </c>
      <c r="F685" s="411"/>
      <c r="G685" s="411">
        <v>0</v>
      </c>
      <c r="H685" s="411">
        <v>130</v>
      </c>
      <c r="I685" s="411">
        <v>88</v>
      </c>
      <c r="J685" s="530">
        <v>0.4</v>
      </c>
      <c r="K685" s="411">
        <v>22560.93</v>
      </c>
      <c r="L685" s="411">
        <v>0</v>
      </c>
      <c r="M685" s="411">
        <v>3400</v>
      </c>
      <c r="N685" s="411">
        <v>39.5</v>
      </c>
      <c r="O685" s="411">
        <v>25960.93</v>
      </c>
      <c r="P685" s="411">
        <v>0.90530774981310735</v>
      </c>
      <c r="Q685" s="492">
        <v>6</v>
      </c>
      <c r="R685" s="493">
        <v>1.4999999999999999E-2</v>
      </c>
      <c r="S685" s="458">
        <v>0</v>
      </c>
      <c r="T685" s="458">
        <v>48</v>
      </c>
      <c r="U685" s="458">
        <v>46</v>
      </c>
      <c r="V685" s="458">
        <v>50</v>
      </c>
      <c r="W685" s="458" t="s">
        <v>355</v>
      </c>
    </row>
    <row r="686" spans="1:23">
      <c r="A686" s="706">
        <v>44423</v>
      </c>
      <c r="B686" s="411">
        <v>5338</v>
      </c>
      <c r="C686" s="411">
        <v>107.75</v>
      </c>
      <c r="D686" s="411">
        <v>40</v>
      </c>
      <c r="E686" s="411">
        <v>0</v>
      </c>
      <c r="F686" s="411"/>
      <c r="G686" s="411">
        <v>1</v>
      </c>
      <c r="H686" s="411">
        <v>48</v>
      </c>
      <c r="I686" s="411">
        <v>120</v>
      </c>
      <c r="J686" s="530">
        <v>0.44</v>
      </c>
      <c r="K686" s="411">
        <v>33148.980000000003</v>
      </c>
      <c r="L686" s="411">
        <v>5780.7874999999995</v>
      </c>
      <c r="M686" s="411">
        <v>1360</v>
      </c>
      <c r="N686" s="411">
        <v>40.5</v>
      </c>
      <c r="O686" s="411">
        <v>40289.767500000002</v>
      </c>
      <c r="P686" s="411">
        <v>0.90736019037905835</v>
      </c>
      <c r="Q686" s="492">
        <v>6</v>
      </c>
      <c r="R686" s="493">
        <v>1.4999999999999999E-2</v>
      </c>
      <c r="S686" s="458">
        <v>0</v>
      </c>
      <c r="T686" s="458">
        <v>48</v>
      </c>
      <c r="U686" s="458">
        <v>46</v>
      </c>
      <c r="V686" s="458">
        <v>49</v>
      </c>
      <c r="W686" s="458" t="s">
        <v>355</v>
      </c>
    </row>
    <row r="687" spans="1:23">
      <c r="A687" s="706">
        <v>44332</v>
      </c>
      <c r="B687" s="411">
        <v>3769</v>
      </c>
      <c r="C687" s="411">
        <v>107.75</v>
      </c>
      <c r="D687" s="411">
        <v>90</v>
      </c>
      <c r="E687" s="411">
        <v>112</v>
      </c>
      <c r="F687" s="411"/>
      <c r="G687" s="411">
        <v>44</v>
      </c>
      <c r="H687" s="411">
        <v>128</v>
      </c>
      <c r="I687" s="411">
        <v>160</v>
      </c>
      <c r="J687" s="530">
        <v>0.37</v>
      </c>
      <c r="K687" s="411">
        <v>23405.49</v>
      </c>
      <c r="L687" s="411">
        <v>5780.7874999999995</v>
      </c>
      <c r="M687" s="411">
        <v>3060</v>
      </c>
      <c r="N687" s="411">
        <v>41.5</v>
      </c>
      <c r="O687" s="411">
        <v>32246.2775</v>
      </c>
      <c r="P687" s="411">
        <v>0.91369696969696967</v>
      </c>
      <c r="Q687" s="492">
        <v>6</v>
      </c>
      <c r="R687" s="493">
        <v>1.4999999999999999E-2</v>
      </c>
      <c r="S687" s="458">
        <v>0</v>
      </c>
      <c r="T687" s="458">
        <v>47</v>
      </c>
      <c r="U687" s="458">
        <v>46</v>
      </c>
      <c r="V687" s="458">
        <v>49</v>
      </c>
      <c r="W687" s="458" t="s">
        <v>356</v>
      </c>
    </row>
    <row r="688" spans="1:23">
      <c r="A688" s="706">
        <v>44425</v>
      </c>
      <c r="B688" s="411">
        <v>5204</v>
      </c>
      <c r="C688" s="411">
        <v>215.5</v>
      </c>
      <c r="D688" s="411">
        <v>90</v>
      </c>
      <c r="E688" s="411">
        <v>116</v>
      </c>
      <c r="F688" s="411"/>
      <c r="G688" s="411">
        <v>14</v>
      </c>
      <c r="H688" s="411">
        <v>98</v>
      </c>
      <c r="I688" s="411">
        <v>200</v>
      </c>
      <c r="J688" s="530">
        <v>0.3</v>
      </c>
      <c r="K688" s="411">
        <v>32316.84</v>
      </c>
      <c r="L688" s="411">
        <v>11561.574999999999</v>
      </c>
      <c r="M688" s="411">
        <v>3060</v>
      </c>
      <c r="N688" s="411">
        <v>42.5</v>
      </c>
      <c r="O688" s="411">
        <v>46938.415000000001</v>
      </c>
      <c r="P688" s="411">
        <v>0.91700440528634364</v>
      </c>
      <c r="Q688" s="492">
        <v>6</v>
      </c>
      <c r="R688" s="493">
        <v>1.4999999999999999E-2</v>
      </c>
      <c r="S688" s="458">
        <v>0</v>
      </c>
      <c r="T688" s="458">
        <v>46</v>
      </c>
      <c r="U688" s="458">
        <v>45</v>
      </c>
      <c r="V688" s="458">
        <v>49</v>
      </c>
      <c r="W688" s="458" t="s">
        <v>356</v>
      </c>
    </row>
    <row r="689" spans="1:23" ht="43.5">
      <c r="A689" s="706">
        <v>44426</v>
      </c>
      <c r="B689" s="411">
        <v>5390</v>
      </c>
      <c r="C689" s="411">
        <v>0</v>
      </c>
      <c r="D689" s="411">
        <v>110</v>
      </c>
      <c r="E689" s="411">
        <v>30</v>
      </c>
      <c r="F689" s="411"/>
      <c r="G689" s="411">
        <v>134</v>
      </c>
      <c r="H689" s="411">
        <v>132</v>
      </c>
      <c r="I689" s="411">
        <v>200</v>
      </c>
      <c r="J689" s="530">
        <v>0.25</v>
      </c>
      <c r="K689" s="411">
        <v>33471.9</v>
      </c>
      <c r="L689" s="411">
        <v>0</v>
      </c>
      <c r="M689" s="411">
        <v>3740</v>
      </c>
      <c r="N689" s="411">
        <v>43.5</v>
      </c>
      <c r="O689" s="411">
        <v>37211.9</v>
      </c>
      <c r="P689" s="411">
        <v>0.94445417907832485</v>
      </c>
      <c r="Q689" s="492">
        <v>6</v>
      </c>
      <c r="R689" s="493">
        <v>1.4999999999999999E-2</v>
      </c>
      <c r="S689" s="458">
        <v>0</v>
      </c>
      <c r="T689" s="458">
        <v>46</v>
      </c>
      <c r="U689" s="458">
        <v>45</v>
      </c>
      <c r="V689" s="458">
        <v>49</v>
      </c>
      <c r="W689" s="458" t="s">
        <v>357</v>
      </c>
    </row>
    <row r="690" spans="1:23" ht="43.5">
      <c r="A690" s="706">
        <v>44427</v>
      </c>
      <c r="B690" s="411">
        <v>5794</v>
      </c>
      <c r="C690" s="411">
        <v>107.75</v>
      </c>
      <c r="D690" s="411">
        <v>106</v>
      </c>
      <c r="E690" s="411">
        <v>109</v>
      </c>
      <c r="F690" s="411"/>
      <c r="G690" s="411">
        <v>158</v>
      </c>
      <c r="H690" s="411">
        <v>161</v>
      </c>
      <c r="I690" s="411">
        <v>200</v>
      </c>
      <c r="J690" s="530">
        <v>0.16</v>
      </c>
      <c r="K690" s="411">
        <v>35980.74</v>
      </c>
      <c r="L690" s="411">
        <v>5780.7874999999995</v>
      </c>
      <c r="M690" s="411">
        <v>3604</v>
      </c>
      <c r="N690" s="411">
        <v>44.5</v>
      </c>
      <c r="O690" s="411">
        <v>45365.527499999997</v>
      </c>
      <c r="P690" s="411">
        <v>0.90545397718393494</v>
      </c>
      <c r="Q690" s="492">
        <v>6</v>
      </c>
      <c r="R690" s="493">
        <v>1.4999999999999999E-2</v>
      </c>
      <c r="S690" s="458">
        <v>0</v>
      </c>
      <c r="T690" s="458">
        <v>45</v>
      </c>
      <c r="U690" s="458">
        <v>45</v>
      </c>
      <c r="V690" s="458">
        <v>49</v>
      </c>
      <c r="W690" s="458" t="s">
        <v>357</v>
      </c>
    </row>
    <row r="691" spans="1:23">
      <c r="A691" s="706">
        <v>44428</v>
      </c>
      <c r="B691" s="411">
        <v>5278</v>
      </c>
      <c r="C691" s="411">
        <v>323.25</v>
      </c>
      <c r="D691" s="411">
        <v>67</v>
      </c>
      <c r="E691" s="411">
        <v>50</v>
      </c>
      <c r="F691" s="411"/>
      <c r="G691" s="411">
        <v>11</v>
      </c>
      <c r="H691" s="411">
        <v>246</v>
      </c>
      <c r="I691" s="411">
        <v>200</v>
      </c>
      <c r="J691" s="530">
        <v>0.27</v>
      </c>
      <c r="K691" s="411">
        <v>32776.379999999997</v>
      </c>
      <c r="L691" s="411">
        <v>17342.362499999999</v>
      </c>
      <c r="M691" s="411">
        <v>2278</v>
      </c>
      <c r="N691" s="411">
        <v>45.5</v>
      </c>
      <c r="O691" s="411">
        <v>52396.742499999993</v>
      </c>
      <c r="P691" s="411">
        <v>0.9098431304947423</v>
      </c>
      <c r="Q691" s="492">
        <v>6</v>
      </c>
      <c r="R691" s="493">
        <v>1.4999999999999999E-2</v>
      </c>
      <c r="S691" s="458">
        <v>0</v>
      </c>
      <c r="T691" s="458">
        <v>45</v>
      </c>
      <c r="U691" s="458">
        <v>45</v>
      </c>
      <c r="V691" s="458">
        <v>46</v>
      </c>
      <c r="W691" s="458"/>
    </row>
    <row r="692" spans="1:23">
      <c r="A692" s="706">
        <v>44429</v>
      </c>
      <c r="B692" s="411">
        <v>5749</v>
      </c>
      <c r="C692" s="411">
        <v>107.75</v>
      </c>
      <c r="D692" s="411">
        <v>81</v>
      </c>
      <c r="E692" s="411">
        <v>97</v>
      </c>
      <c r="F692" s="411"/>
      <c r="G692" s="411">
        <v>3</v>
      </c>
      <c r="H692" s="411">
        <v>154</v>
      </c>
      <c r="I692" s="411">
        <v>200</v>
      </c>
      <c r="J692" s="530">
        <v>0.27</v>
      </c>
      <c r="K692" s="411">
        <v>35701.29</v>
      </c>
      <c r="L692" s="411">
        <v>5780.7874999999995</v>
      </c>
      <c r="M692" s="411">
        <v>2754</v>
      </c>
      <c r="N692" s="411">
        <v>46.5</v>
      </c>
      <c r="O692" s="411">
        <v>44236.077499999999</v>
      </c>
      <c r="P692" s="411">
        <v>0.92323751405171028</v>
      </c>
      <c r="Q692" s="492">
        <v>6</v>
      </c>
      <c r="R692" s="493">
        <v>1.4999999999999999E-2</v>
      </c>
      <c r="S692" s="458">
        <v>0</v>
      </c>
      <c r="T692" s="458">
        <v>45</v>
      </c>
      <c r="U692" s="458">
        <v>44</v>
      </c>
      <c r="V692" s="458">
        <v>46</v>
      </c>
      <c r="W692" s="458"/>
    </row>
    <row r="693" spans="1:23">
      <c r="A693" s="706">
        <v>44430</v>
      </c>
      <c r="B693" s="411">
        <v>5414</v>
      </c>
      <c r="C693" s="411">
        <v>215.5</v>
      </c>
      <c r="D693" s="411">
        <v>76</v>
      </c>
      <c r="E693" s="411">
        <v>68</v>
      </c>
      <c r="F693" s="411"/>
      <c r="G693" s="411">
        <v>2</v>
      </c>
      <c r="H693" s="411">
        <v>52</v>
      </c>
      <c r="I693" s="411">
        <v>200</v>
      </c>
      <c r="J693" s="530">
        <v>0.27</v>
      </c>
      <c r="K693" s="411">
        <v>33620.94</v>
      </c>
      <c r="L693" s="411">
        <v>11561.574999999999</v>
      </c>
      <c r="M693" s="411">
        <v>2584</v>
      </c>
      <c r="N693" s="411">
        <v>47.5</v>
      </c>
      <c r="O693" s="411">
        <v>47766.514999999999</v>
      </c>
      <c r="P693" s="411">
        <v>0.92090491580200717</v>
      </c>
      <c r="Q693" s="492">
        <v>6</v>
      </c>
      <c r="R693" s="493">
        <v>1.4999999999999999E-2</v>
      </c>
      <c r="S693" s="458">
        <v>0</v>
      </c>
      <c r="T693" s="458">
        <v>44</v>
      </c>
      <c r="U693" s="458">
        <v>43</v>
      </c>
      <c r="V693" s="458">
        <v>46</v>
      </c>
      <c r="W693" s="458"/>
    </row>
    <row r="694" spans="1:23">
      <c r="A694" s="706">
        <v>44431</v>
      </c>
      <c r="B694" s="411">
        <v>5712</v>
      </c>
      <c r="C694" s="411">
        <v>107.75</v>
      </c>
      <c r="D694" s="411">
        <v>100</v>
      </c>
      <c r="E694" s="411">
        <v>85</v>
      </c>
      <c r="F694" s="411"/>
      <c r="G694" s="411">
        <v>3</v>
      </c>
      <c r="H694" s="411">
        <v>180</v>
      </c>
      <c r="I694" s="411">
        <v>200</v>
      </c>
      <c r="J694" s="530">
        <v>0.37</v>
      </c>
      <c r="K694" s="411">
        <v>35471.519999999997</v>
      </c>
      <c r="L694" s="411">
        <v>5780.7874999999995</v>
      </c>
      <c r="M694" s="411">
        <v>3400</v>
      </c>
      <c r="N694" s="411">
        <v>48.5</v>
      </c>
      <c r="O694" s="411">
        <v>44652.307499999995</v>
      </c>
      <c r="P694" s="411">
        <v>0.92367399741267786</v>
      </c>
      <c r="Q694" s="492">
        <v>6</v>
      </c>
      <c r="R694" s="493">
        <v>1.4999999999999999E-2</v>
      </c>
      <c r="S694" s="458">
        <v>0</v>
      </c>
      <c r="T694" s="458">
        <v>44</v>
      </c>
      <c r="U694" s="458">
        <v>43</v>
      </c>
      <c r="V694" s="458">
        <v>45</v>
      </c>
      <c r="W694" s="458"/>
    </row>
    <row r="695" spans="1:23">
      <c r="A695" s="706">
        <v>44432</v>
      </c>
      <c r="B695" s="411">
        <v>5501</v>
      </c>
      <c r="C695" s="411">
        <v>0</v>
      </c>
      <c r="D695" s="411">
        <v>90</v>
      </c>
      <c r="E695" s="411">
        <v>35</v>
      </c>
      <c r="F695" s="411"/>
      <c r="G695" s="411">
        <v>3</v>
      </c>
      <c r="H695" s="411">
        <v>167</v>
      </c>
      <c r="I695" s="411">
        <v>360</v>
      </c>
      <c r="J695" s="530">
        <v>0.25</v>
      </c>
      <c r="K695" s="411">
        <v>34161.21</v>
      </c>
      <c r="L695" s="411">
        <v>0</v>
      </c>
      <c r="M695" s="411">
        <v>3060</v>
      </c>
      <c r="N695" s="411">
        <v>49.5</v>
      </c>
      <c r="O695" s="411">
        <v>37221.21</v>
      </c>
      <c r="P695" s="411">
        <v>0.92298657718120802</v>
      </c>
      <c r="Q695" s="492">
        <v>6</v>
      </c>
      <c r="R695" s="493">
        <v>1.4999999999999999E-2</v>
      </c>
      <c r="S695" s="458">
        <v>0</v>
      </c>
      <c r="T695" s="458">
        <v>44</v>
      </c>
      <c r="U695" s="458">
        <v>43</v>
      </c>
      <c r="V695" s="458">
        <v>45</v>
      </c>
      <c r="W695" s="458"/>
    </row>
    <row r="696" spans="1:23" ht="29.1">
      <c r="A696" s="706">
        <v>44433</v>
      </c>
      <c r="B696" s="411">
        <v>6146</v>
      </c>
      <c r="C696" s="411">
        <v>215.5</v>
      </c>
      <c r="D696" s="411">
        <v>150</v>
      </c>
      <c r="E696" s="411">
        <v>4</v>
      </c>
      <c r="F696" s="411"/>
      <c r="G696" s="411">
        <v>4</v>
      </c>
      <c r="H696" s="411">
        <v>153</v>
      </c>
      <c r="I696" s="411">
        <v>300</v>
      </c>
      <c r="J696" s="530">
        <v>0.15</v>
      </c>
      <c r="K696" s="411">
        <v>38166.659999999996</v>
      </c>
      <c r="L696" s="411">
        <v>11561.574999999999</v>
      </c>
      <c r="M696" s="411">
        <v>5100</v>
      </c>
      <c r="N696" s="411">
        <v>50.5</v>
      </c>
      <c r="O696" s="411">
        <v>54828.234999999993</v>
      </c>
      <c r="P696" s="411">
        <v>0.90702479338842978</v>
      </c>
      <c r="Q696" s="492">
        <v>6</v>
      </c>
      <c r="R696" s="493">
        <v>1.4999999999999999E-2</v>
      </c>
      <c r="S696" s="458">
        <v>0</v>
      </c>
      <c r="T696" s="458">
        <v>43</v>
      </c>
      <c r="U696" s="458">
        <v>43</v>
      </c>
      <c r="V696" s="458">
        <v>44</v>
      </c>
      <c r="W696" s="458" t="s">
        <v>358</v>
      </c>
    </row>
    <row r="697" spans="1:23">
      <c r="A697" s="706">
        <v>44434</v>
      </c>
      <c r="B697" s="411">
        <v>6190</v>
      </c>
      <c r="C697" s="411">
        <v>107.75</v>
      </c>
      <c r="D697" s="411">
        <v>120</v>
      </c>
      <c r="E697" s="411">
        <v>22</v>
      </c>
      <c r="F697" s="411"/>
      <c r="G697" s="411">
        <v>87</v>
      </c>
      <c r="H697" s="411">
        <v>208</v>
      </c>
      <c r="I697" s="411">
        <v>200</v>
      </c>
      <c r="J697" s="530"/>
      <c r="K697" s="411">
        <v>38439.9</v>
      </c>
      <c r="L697" s="411">
        <v>5780.7874999999995</v>
      </c>
      <c r="M697" s="411">
        <v>4080</v>
      </c>
      <c r="N697" s="411">
        <v>51.5</v>
      </c>
      <c r="O697" s="411">
        <v>48300.6875</v>
      </c>
      <c r="P697" s="411">
        <v>0.91163475699558172</v>
      </c>
      <c r="Q697" s="492">
        <v>6</v>
      </c>
      <c r="R697" s="493">
        <v>1.4999999999999999E-2</v>
      </c>
      <c r="S697" s="458">
        <v>0</v>
      </c>
      <c r="T697" s="458">
        <v>42</v>
      </c>
      <c r="U697" s="458">
        <v>43</v>
      </c>
      <c r="V697" s="458">
        <v>44</v>
      </c>
      <c r="W697" s="458"/>
    </row>
    <row r="698" spans="1:23" ht="29.1">
      <c r="A698" s="706">
        <v>44435</v>
      </c>
      <c r="B698" s="411">
        <v>6333</v>
      </c>
      <c r="C698" s="411">
        <v>107.75</v>
      </c>
      <c r="D698" s="411">
        <v>130</v>
      </c>
      <c r="E698" s="411">
        <v>53</v>
      </c>
      <c r="F698" s="411"/>
      <c r="G698" s="411">
        <v>3</v>
      </c>
      <c r="H698" s="411">
        <v>174</v>
      </c>
      <c r="I698" s="411">
        <v>200</v>
      </c>
      <c r="J698" s="530"/>
      <c r="K698" s="411">
        <v>39327.93</v>
      </c>
      <c r="L698" s="411">
        <v>5780.7874999999995</v>
      </c>
      <c r="M698" s="411">
        <v>4420</v>
      </c>
      <c r="N698" s="411">
        <v>52.5</v>
      </c>
      <c r="O698" s="411">
        <v>49528.717499999999</v>
      </c>
      <c r="P698" s="411">
        <v>0.91135415167650025</v>
      </c>
      <c r="Q698" s="492">
        <v>6</v>
      </c>
      <c r="R698" s="493">
        <v>1.4999999999999999E-2</v>
      </c>
      <c r="S698" s="458">
        <v>0</v>
      </c>
      <c r="T698" s="458">
        <v>42</v>
      </c>
      <c r="U698" s="458">
        <v>43</v>
      </c>
      <c r="V698" s="458">
        <v>43</v>
      </c>
      <c r="W698" s="458" t="s">
        <v>359</v>
      </c>
    </row>
    <row r="699" spans="1:23">
      <c r="A699" s="706">
        <v>44436</v>
      </c>
      <c r="B699" s="411">
        <v>5744</v>
      </c>
      <c r="C699" s="411">
        <v>323.25</v>
      </c>
      <c r="D699" s="411">
        <v>80</v>
      </c>
      <c r="E699" s="411">
        <v>69</v>
      </c>
      <c r="F699" s="411"/>
      <c r="G699" s="411">
        <v>0</v>
      </c>
      <c r="H699" s="411">
        <v>91</v>
      </c>
      <c r="I699" s="411">
        <v>200</v>
      </c>
      <c r="J699" s="530"/>
      <c r="K699" s="411">
        <v>35670.239999999998</v>
      </c>
      <c r="L699" s="411">
        <v>17342.362499999999</v>
      </c>
      <c r="M699" s="411">
        <v>2720</v>
      </c>
      <c r="N699" s="411">
        <v>53.5</v>
      </c>
      <c r="O699" s="411">
        <v>55732.602499999994</v>
      </c>
      <c r="P699" s="411">
        <v>0.90914846470402022</v>
      </c>
      <c r="Q699" s="492">
        <v>6</v>
      </c>
      <c r="R699" s="493">
        <v>1.4999999999999999E-2</v>
      </c>
      <c r="S699" s="458">
        <v>0</v>
      </c>
      <c r="T699" s="458">
        <v>40</v>
      </c>
      <c r="U699" s="458">
        <v>41</v>
      </c>
      <c r="V699" s="458">
        <v>43</v>
      </c>
      <c r="W699" s="458"/>
    </row>
    <row r="700" spans="1:23">
      <c r="A700" s="706">
        <v>44437</v>
      </c>
      <c r="B700" s="411">
        <v>6016</v>
      </c>
      <c r="C700" s="411">
        <v>215.5</v>
      </c>
      <c r="D700" s="411">
        <v>90</v>
      </c>
      <c r="E700" s="411">
        <v>58</v>
      </c>
      <c r="F700" s="411"/>
      <c r="G700" s="411">
        <v>0</v>
      </c>
      <c r="H700" s="411">
        <v>33</v>
      </c>
      <c r="I700" s="411">
        <v>200</v>
      </c>
      <c r="J700" s="530"/>
      <c r="K700" s="411">
        <v>37359.360000000001</v>
      </c>
      <c r="L700" s="411">
        <v>11561.574999999999</v>
      </c>
      <c r="M700" s="411">
        <v>3060</v>
      </c>
      <c r="N700" s="411">
        <v>54.5</v>
      </c>
      <c r="O700" s="411">
        <v>51980.934999999998</v>
      </c>
      <c r="P700" s="411">
        <v>0.89523809523809528</v>
      </c>
      <c r="Q700" s="492">
        <v>6</v>
      </c>
      <c r="R700" s="493">
        <v>1.4999999999999999E-2</v>
      </c>
      <c r="S700" s="458">
        <v>0</v>
      </c>
      <c r="T700" s="458">
        <v>40</v>
      </c>
      <c r="U700" s="458">
        <v>40</v>
      </c>
      <c r="V700" s="458">
        <v>43</v>
      </c>
      <c r="W700" s="458"/>
    </row>
    <row r="701" spans="1:23" ht="29.1">
      <c r="A701" s="706">
        <v>44438</v>
      </c>
      <c r="B701" s="411">
        <v>6899</v>
      </c>
      <c r="C701" s="411">
        <v>0</v>
      </c>
      <c r="D701" s="411">
        <v>100</v>
      </c>
      <c r="E701" s="411">
        <v>32</v>
      </c>
      <c r="F701" s="411"/>
      <c r="G701" s="411">
        <v>24</v>
      </c>
      <c r="H701" s="411">
        <v>153</v>
      </c>
      <c r="I701" s="411">
        <v>200</v>
      </c>
      <c r="J701" s="530"/>
      <c r="K701" s="411">
        <v>42842.79</v>
      </c>
      <c r="L701" s="411">
        <v>0</v>
      </c>
      <c r="M701" s="411">
        <v>3400</v>
      </c>
      <c r="N701" s="411">
        <v>55.5</v>
      </c>
      <c r="O701" s="411">
        <v>46242.79</v>
      </c>
      <c r="P701" s="411">
        <v>0.90645118906845357</v>
      </c>
      <c r="Q701" s="492">
        <v>6</v>
      </c>
      <c r="R701" s="493">
        <v>1.4999999999999999E-2</v>
      </c>
      <c r="S701" s="458">
        <v>0</v>
      </c>
      <c r="T701" s="458">
        <v>40</v>
      </c>
      <c r="U701" s="458">
        <v>40</v>
      </c>
      <c r="V701" s="458">
        <v>43</v>
      </c>
      <c r="W701" s="458" t="s">
        <v>360</v>
      </c>
    </row>
    <row r="702" spans="1:23">
      <c r="A702" s="706">
        <v>44439</v>
      </c>
      <c r="B702" s="411">
        <v>6590</v>
      </c>
      <c r="C702" s="411">
        <v>215.5</v>
      </c>
      <c r="D702" s="411">
        <v>150</v>
      </c>
      <c r="E702" s="411">
        <v>35</v>
      </c>
      <c r="F702" s="411"/>
      <c r="G702" s="411">
        <v>0</v>
      </c>
      <c r="H702" s="411">
        <v>202</v>
      </c>
      <c r="I702" s="411">
        <v>140</v>
      </c>
      <c r="J702" s="530"/>
      <c r="K702" s="411">
        <v>40923.9</v>
      </c>
      <c r="L702" s="411">
        <v>11561.574999999999</v>
      </c>
      <c r="M702" s="411">
        <v>5100</v>
      </c>
      <c r="N702" s="411">
        <v>56.5</v>
      </c>
      <c r="O702" s="411">
        <v>57585.474999999999</v>
      </c>
      <c r="P702" s="411">
        <v>0.92051962564603995</v>
      </c>
      <c r="Q702" s="492">
        <v>6</v>
      </c>
      <c r="R702" s="493">
        <v>1.4999999999999999E-2</v>
      </c>
      <c r="S702" s="458">
        <v>0</v>
      </c>
      <c r="T702" s="458">
        <v>39</v>
      </c>
      <c r="U702" s="458">
        <v>40</v>
      </c>
      <c r="V702" s="458">
        <v>42</v>
      </c>
      <c r="W702" s="458" t="s">
        <v>361</v>
      </c>
    </row>
    <row r="703" spans="1:23">
      <c r="A703" s="706" t="s">
        <v>161</v>
      </c>
      <c r="B703" s="411">
        <v>168724</v>
      </c>
      <c r="C703" s="411">
        <v>3986.75</v>
      </c>
      <c r="D703" s="411">
        <v>2950</v>
      </c>
      <c r="E703" s="411"/>
      <c r="F703" s="411"/>
      <c r="G703" s="411"/>
      <c r="H703" s="411"/>
      <c r="I703" s="411"/>
      <c r="J703" s="530"/>
      <c r="K703" s="411">
        <v>1047776.04</v>
      </c>
      <c r="L703" s="411">
        <v>213889.13750000007</v>
      </c>
      <c r="M703" s="411">
        <v>100300</v>
      </c>
      <c r="N703" s="411"/>
      <c r="O703" s="411">
        <v>1304379.7025000001</v>
      </c>
      <c r="P703" s="411"/>
      <c r="Q703" s="492"/>
      <c r="R703" s="493"/>
      <c r="S703" s="458"/>
      <c r="T703" s="458"/>
      <c r="U703" s="458"/>
      <c r="V703" s="458"/>
      <c r="W703" s="458"/>
    </row>
    <row r="704" spans="1:23">
      <c r="A704" s="706"/>
      <c r="B704" s="411"/>
      <c r="C704" s="411"/>
      <c r="D704" s="411"/>
      <c r="E704" s="411"/>
      <c r="F704" s="411"/>
      <c r="G704" s="411"/>
      <c r="H704" s="411"/>
      <c r="I704" s="411"/>
      <c r="J704" s="530"/>
      <c r="K704" s="411"/>
      <c r="L704" s="411"/>
      <c r="M704" s="411"/>
      <c r="N704" s="411"/>
      <c r="O704" s="411"/>
      <c r="P704" s="411"/>
      <c r="Q704" s="492"/>
      <c r="R704" s="493"/>
      <c r="S704" s="458"/>
      <c r="T704" s="458"/>
      <c r="U704" s="458"/>
      <c r="V704" s="458"/>
      <c r="W704" s="458"/>
    </row>
    <row r="705" spans="1:38">
      <c r="A705" s="706"/>
      <c r="B705" s="411"/>
      <c r="C705" s="411"/>
      <c r="D705" s="411"/>
      <c r="E705" s="411"/>
      <c r="F705" s="411"/>
      <c r="G705" s="411"/>
      <c r="H705" s="411"/>
      <c r="I705" s="411"/>
      <c r="J705" s="530"/>
      <c r="K705" s="411"/>
      <c r="L705" s="411"/>
      <c r="M705" s="411"/>
      <c r="N705" s="411"/>
      <c r="O705" s="411"/>
      <c r="P705" s="411"/>
      <c r="Q705" s="492"/>
      <c r="R705" s="493"/>
      <c r="S705" s="458"/>
      <c r="T705" s="458"/>
      <c r="U705" s="458"/>
      <c r="V705" s="458"/>
      <c r="W705" s="458"/>
    </row>
    <row r="706" spans="1:38" ht="32.25" customHeight="1">
      <c r="A706" s="696" t="s">
        <v>14</v>
      </c>
      <c r="B706" s="798" t="s">
        <v>145</v>
      </c>
      <c r="C706" s="798"/>
      <c r="D706" s="798"/>
      <c r="E706" s="798"/>
      <c r="F706" s="798"/>
      <c r="G706" s="798"/>
      <c r="H706" s="798"/>
      <c r="I706" s="798"/>
      <c r="J706" s="696"/>
      <c r="K706" s="798" t="s">
        <v>146</v>
      </c>
      <c r="L706" s="798"/>
      <c r="M706" s="798"/>
      <c r="N706" s="696" t="s">
        <v>147</v>
      </c>
      <c r="O706" s="596" t="s">
        <v>148</v>
      </c>
      <c r="P706" s="596" t="s">
        <v>175</v>
      </c>
      <c r="Q706" s="596" t="s">
        <v>149</v>
      </c>
      <c r="R706" s="596" t="s">
        <v>150</v>
      </c>
      <c r="S706" s="597" t="s">
        <v>165</v>
      </c>
      <c r="T706" s="795" t="s">
        <v>317</v>
      </c>
      <c r="U706" s="796"/>
      <c r="V706" s="797"/>
      <c r="W706" s="597" t="s">
        <v>176</v>
      </c>
      <c r="Y706" s="807" t="s">
        <v>14</v>
      </c>
      <c r="Z706" s="805" t="s">
        <v>151</v>
      </c>
      <c r="AA706" s="790"/>
      <c r="AB706" s="809"/>
      <c r="AC706" s="805" t="s">
        <v>152</v>
      </c>
      <c r="AD706" s="806"/>
      <c r="AE706" s="805"/>
      <c r="AF706" s="806"/>
      <c r="AG706" s="412"/>
      <c r="AH706" s="799" t="s">
        <v>154</v>
      </c>
      <c r="AI706" s="800"/>
      <c r="AJ706" s="801"/>
      <c r="AK706" s="802" t="s">
        <v>155</v>
      </c>
      <c r="AL706" s="802" t="s">
        <v>166</v>
      </c>
    </row>
    <row r="707" spans="1:38" ht="18.75" customHeight="1">
      <c r="A707" s="696"/>
      <c r="B707" s="696" t="s">
        <v>156</v>
      </c>
      <c r="C707" s="696" t="s">
        <v>157</v>
      </c>
      <c r="D707" s="696" t="s">
        <v>158</v>
      </c>
      <c r="E707" s="722" t="s">
        <v>268</v>
      </c>
      <c r="F707" s="696" t="s">
        <v>362</v>
      </c>
      <c r="G707" s="696" t="s">
        <v>302</v>
      </c>
      <c r="H707" s="696" t="s">
        <v>303</v>
      </c>
      <c r="I707" s="696" t="s">
        <v>269</v>
      </c>
      <c r="J707" s="696"/>
      <c r="K707" s="696" t="s">
        <v>156</v>
      </c>
      <c r="L707" s="696" t="s">
        <v>157</v>
      </c>
      <c r="M707" s="696" t="s">
        <v>158</v>
      </c>
      <c r="N707" s="696"/>
      <c r="O707" s="596"/>
      <c r="P707" s="596"/>
      <c r="Q707" s="596"/>
      <c r="R707" s="596"/>
      <c r="S707" s="597"/>
      <c r="T707" s="597" t="s">
        <v>318</v>
      </c>
      <c r="U707" s="597" t="s">
        <v>319</v>
      </c>
      <c r="V707" s="597" t="s">
        <v>320</v>
      </c>
      <c r="W707" s="597"/>
      <c r="Y707" s="808"/>
      <c r="Z707" s="363" t="s">
        <v>145</v>
      </c>
      <c r="AA707" s="366" t="s">
        <v>159</v>
      </c>
      <c r="AB707" s="367" t="s">
        <v>160</v>
      </c>
      <c r="AC707" s="363" t="s">
        <v>145</v>
      </c>
      <c r="AD707" s="365" t="s">
        <v>160</v>
      </c>
      <c r="AE707" s="363" t="s">
        <v>145</v>
      </c>
      <c r="AF707" s="365" t="s">
        <v>160</v>
      </c>
      <c r="AG707" s="412"/>
      <c r="AH707" s="363" t="s">
        <v>156</v>
      </c>
      <c r="AI707" s="364" t="s">
        <v>157</v>
      </c>
      <c r="AJ707" s="365" t="s">
        <v>158</v>
      </c>
      <c r="AK707" s="803"/>
      <c r="AL707" s="803"/>
    </row>
    <row r="708" spans="1:38">
      <c r="A708" s="588">
        <f>'Current month'!A4</f>
        <v>44774</v>
      </c>
      <c r="B708" s="598">
        <f>'Current month'!E4</f>
        <v>21838</v>
      </c>
      <c r="C708" s="598">
        <f>'Current month'!CT4</f>
        <v>7973.5</v>
      </c>
      <c r="D708" s="598">
        <f>'Current month'!CD4</f>
        <v>190</v>
      </c>
      <c r="E708" s="723">
        <f>'Current month'!Z4</f>
        <v>315</v>
      </c>
      <c r="F708" s="598">
        <f>'Current month'!CD4</f>
        <v>190</v>
      </c>
      <c r="G708" s="598">
        <f>'Current month'!X4</f>
        <v>504</v>
      </c>
      <c r="H708" s="599">
        <f>'Current month'!V4</f>
        <v>565</v>
      </c>
      <c r="I708" s="600">
        <f>'Current month'!AC4</f>
        <v>377.77777777777777</v>
      </c>
      <c r="J708" s="601">
        <v>0.4</v>
      </c>
      <c r="K708" s="598">
        <f t="shared" ref="K708:K737" si="106">B708*6.21</f>
        <v>135613.98000000001</v>
      </c>
      <c r="L708" s="598">
        <f>C708*53.65</f>
        <v>427778.27499999997</v>
      </c>
      <c r="M708" s="598">
        <f t="shared" ref="M708:M737" si="107" xml:space="preserve"> (D708-(S708*25))*34+S708*2500</f>
        <v>6460</v>
      </c>
      <c r="N708" s="602">
        <v>26.5</v>
      </c>
      <c r="O708" s="603">
        <f t="shared" ref="O708:O737" si="108">K708+L708+M708</f>
        <v>569852.255</v>
      </c>
      <c r="P708" s="604">
        <f>'Current month'!F4</f>
        <v>0.98418135111992433</v>
      </c>
      <c r="Q708" s="605">
        <f>'Current month'!EO4</f>
        <v>271</v>
      </c>
      <c r="R708" s="606">
        <f>'Current month'!EP4</f>
        <v>0.748</v>
      </c>
      <c r="S708" s="589">
        <f>'Current month'!AD4</f>
        <v>0</v>
      </c>
      <c r="T708" s="589">
        <f>'Current month'!CM4</f>
        <v>59</v>
      </c>
      <c r="U708" s="589">
        <f>'Current month'!CO4</f>
        <v>60</v>
      </c>
      <c r="V708" s="589">
        <f>'Current month'!CQ4</f>
        <v>60</v>
      </c>
      <c r="W708" s="607"/>
      <c r="Y708" s="368">
        <f>A708</f>
        <v>44774</v>
      </c>
      <c r="Z708" s="429">
        <f>'Current month'!V4</f>
        <v>565</v>
      </c>
      <c r="AA708" s="393">
        <f t="shared" ref="AA708:AA738" si="109">Z708/B708</f>
        <v>2.5872332631193332E-2</v>
      </c>
      <c r="AB708" s="382">
        <f t="shared" ref="AB708:AB737" si="110">Z708*6.21</f>
        <v>3508.65</v>
      </c>
      <c r="AC708" s="429">
        <f>'Current month'!DG4</f>
        <v>748.01</v>
      </c>
      <c r="AD708" s="430">
        <f t="shared" ref="AD708:AD737" si="111">AC708*55.95</f>
        <v>41851.159500000002</v>
      </c>
      <c r="AE708" s="429"/>
      <c r="AF708" s="430">
        <f t="shared" ref="AF708:AF737" si="112">AE708*55.95</f>
        <v>0</v>
      </c>
      <c r="AG708" s="426"/>
      <c r="AH708" s="380">
        <f>$K$40-K708</f>
        <v>40801.102258064493</v>
      </c>
      <c r="AI708" s="381">
        <f>$L$40-L708</f>
        <v>-372978.8596774193</v>
      </c>
      <c r="AJ708" s="382">
        <f t="shared" ref="AJ708:AJ717" si="113">$M$40-M708</f>
        <v>16368.051612903226</v>
      </c>
      <c r="AK708" s="394">
        <f t="shared" ref="AK708:AK715" si="114">AH708+AI708+AJ708</f>
        <v>-315809.70580645156</v>
      </c>
      <c r="AL708" s="440">
        <v>0</v>
      </c>
    </row>
    <row r="709" spans="1:38">
      <c r="A709" s="588">
        <f>'Current month'!A5</f>
        <v>44775</v>
      </c>
      <c r="B709" s="598">
        <f>'Current month'!E5</f>
        <v>21797</v>
      </c>
      <c r="C709" s="598">
        <f>'Current month'!CT5</f>
        <v>-4848.75</v>
      </c>
      <c r="D709" s="598">
        <f>'Current month'!CD5</f>
        <v>200</v>
      </c>
      <c r="E709" s="723">
        <f>'Current month'!Z5</f>
        <v>269</v>
      </c>
      <c r="F709" s="598">
        <f>'Current month'!CD5</f>
        <v>200</v>
      </c>
      <c r="G709" s="598">
        <f>'Current month'!X5</f>
        <v>536</v>
      </c>
      <c r="H709" s="599">
        <f>'Current month'!V5</f>
        <v>1061</v>
      </c>
      <c r="I709" s="600">
        <f>'Current month'!AC5</f>
        <v>300</v>
      </c>
      <c r="J709" s="608">
        <v>0.45</v>
      </c>
      <c r="K709" s="598">
        <f t="shared" si="106"/>
        <v>135359.37</v>
      </c>
      <c r="L709" s="598">
        <f t="shared" ref="L709:L737" si="115">C709*53.65</f>
        <v>-260135.4375</v>
      </c>
      <c r="M709" s="598">
        <f t="shared" si="107"/>
        <v>6800</v>
      </c>
      <c r="N709" s="602">
        <v>27.5</v>
      </c>
      <c r="O709" s="603">
        <f t="shared" si="108"/>
        <v>-117976.0675</v>
      </c>
      <c r="P709" s="604">
        <f>'Current month'!F5</f>
        <v>0.96665040578296157</v>
      </c>
      <c r="Q709" s="605">
        <f>'Current month'!EO5</f>
        <v>332</v>
      </c>
      <c r="R709" s="606">
        <f>'Current month'!EP5</f>
        <v>0.79100000000000004</v>
      </c>
      <c r="S709" s="589">
        <f>'Current month'!AD5</f>
        <v>0</v>
      </c>
      <c r="T709" s="589">
        <f>'Current month'!CM5</f>
        <v>55</v>
      </c>
      <c r="U709" s="589">
        <f>'Current month'!CO5</f>
        <v>55</v>
      </c>
      <c r="V709" s="589">
        <f>'Current month'!CQ5</f>
        <v>55</v>
      </c>
      <c r="W709" s="716"/>
      <c r="Y709" s="368">
        <f t="shared" ref="Y709:Y737" si="116">A709</f>
        <v>44775</v>
      </c>
      <c r="Z709" s="429">
        <f>'Current month'!V5</f>
        <v>1061</v>
      </c>
      <c r="AA709" s="393">
        <f t="shared" ref="AA709" si="117">Z709/B709</f>
        <v>4.8676423361012987E-2</v>
      </c>
      <c r="AB709" s="382">
        <f t="shared" ref="AB709" si="118">Z709*6.21</f>
        <v>6588.81</v>
      </c>
      <c r="AC709" s="429">
        <f>'Current month'!DG5</f>
        <v>730.88</v>
      </c>
      <c r="AD709" s="430">
        <f t="shared" si="111"/>
        <v>40892.736000000004</v>
      </c>
      <c r="AE709" s="429"/>
      <c r="AF709" s="430">
        <f t="shared" si="112"/>
        <v>0</v>
      </c>
      <c r="AG709" s="426"/>
      <c r="AH709" s="380">
        <f>$K$40-K709</f>
        <v>41055.712258064508</v>
      </c>
      <c r="AI709" s="381">
        <f>$L$40-L709</f>
        <v>314934.85282258067</v>
      </c>
      <c r="AJ709" s="382">
        <f t="shared" si="113"/>
        <v>16028.051612903226</v>
      </c>
      <c r="AK709" s="394">
        <f t="shared" si="114"/>
        <v>372018.61669354839</v>
      </c>
      <c r="AL709" s="440">
        <v>10</v>
      </c>
    </row>
    <row r="710" spans="1:38">
      <c r="A710" s="588">
        <f>'Current month'!A6</f>
        <v>44776</v>
      </c>
      <c r="B710" s="598">
        <f>'Current month'!E6</f>
        <v>23484</v>
      </c>
      <c r="C710" s="598">
        <f>'Current month'!CT6</f>
        <v>2047.25</v>
      </c>
      <c r="D710" s="598">
        <f>'Current month'!CD6</f>
        <v>180</v>
      </c>
      <c r="E710" s="723">
        <f>'Current month'!Z6</f>
        <v>276</v>
      </c>
      <c r="F710" s="598">
        <f>'Current month'!CD6</f>
        <v>180</v>
      </c>
      <c r="G710" s="598">
        <f>'Current month'!X6</f>
        <v>522</v>
      </c>
      <c r="H710" s="599">
        <f>'Current month'!V6</f>
        <v>1616</v>
      </c>
      <c r="I710" s="600">
        <f>'Current month'!AC6</f>
        <v>244.44444444444446</v>
      </c>
      <c r="J710" s="608">
        <v>0.44</v>
      </c>
      <c r="K710" s="598">
        <f t="shared" si="106"/>
        <v>145835.63999999998</v>
      </c>
      <c r="L710" s="598">
        <f t="shared" si="115"/>
        <v>109834.96249999999</v>
      </c>
      <c r="M710" s="598">
        <f t="shared" si="107"/>
        <v>6120</v>
      </c>
      <c r="N710" s="602">
        <v>28.5</v>
      </c>
      <c r="O710" s="603">
        <f t="shared" si="108"/>
        <v>261790.60249999998</v>
      </c>
      <c r="P710" s="604">
        <f>'Current month'!F6</f>
        <v>0.96905174548155482</v>
      </c>
      <c r="Q710" s="605">
        <f>'Current month'!EO6</f>
        <v>0</v>
      </c>
      <c r="R710" s="606">
        <f>'Current month'!EP6</f>
        <v>0.74</v>
      </c>
      <c r="S710" s="589">
        <f>'Current month'!AD6</f>
        <v>0</v>
      </c>
      <c r="T710" s="589">
        <f>'Current month'!CM6</f>
        <v>48</v>
      </c>
      <c r="U710" s="589">
        <f>'Current month'!CO6</f>
        <v>50</v>
      </c>
      <c r="V710" s="715">
        <f>'Current month'!CQ6</f>
        <v>48</v>
      </c>
      <c r="W710" s="714"/>
      <c r="Y710" s="368">
        <f t="shared" si="116"/>
        <v>44776</v>
      </c>
      <c r="Z710" s="429">
        <f>'Current month'!V6</f>
        <v>1616</v>
      </c>
      <c r="AA710" s="393">
        <f t="shared" si="109"/>
        <v>6.8812808720831203E-2</v>
      </c>
      <c r="AB710" s="382">
        <f t="shared" si="110"/>
        <v>10035.36</v>
      </c>
      <c r="AC710" s="429">
        <f>'Current month'!DG6</f>
        <v>1084.9000000000001</v>
      </c>
      <c r="AD710" s="430">
        <f t="shared" si="111"/>
        <v>60700.155000000006</v>
      </c>
      <c r="AE710" s="429"/>
      <c r="AF710" s="430">
        <f t="shared" si="112"/>
        <v>0</v>
      </c>
      <c r="AG710" s="426"/>
      <c r="AH710" s="380">
        <f>$K$40-K710</f>
        <v>30579.442258064519</v>
      </c>
      <c r="AI710" s="381">
        <f>$L$40-L710</f>
        <v>-55035.54717741935</v>
      </c>
      <c r="AJ710" s="382">
        <f t="shared" si="113"/>
        <v>16708.051612903226</v>
      </c>
      <c r="AK710" s="394">
        <f t="shared" si="114"/>
        <v>-7748.0533064516057</v>
      </c>
      <c r="AL710" s="440">
        <v>6</v>
      </c>
    </row>
    <row r="711" spans="1:38">
      <c r="A711" s="588">
        <f>'Current month'!A7</f>
        <v>44777</v>
      </c>
      <c r="B711" s="598" t="str">
        <f>'Current month'!E7</f>
        <v>0</v>
      </c>
      <c r="C711" s="598" t="str">
        <f>'Current month'!CT7</f>
        <v>0</v>
      </c>
      <c r="D711" s="598">
        <f>'Current month'!CD7</f>
        <v>0</v>
      </c>
      <c r="E711" s="723">
        <f>'Current month'!Z7</f>
        <v>-320384</v>
      </c>
      <c r="F711" s="598">
        <f>'Current month'!CD7</f>
        <v>0</v>
      </c>
      <c r="G711" s="598" t="str">
        <f>'Current month'!X7</f>
        <v>0</v>
      </c>
      <c r="H711" s="599" t="str">
        <f>'Current month'!V7</f>
        <v>0</v>
      </c>
      <c r="I711" s="600">
        <f>'Current month'!AC7</f>
        <v>0</v>
      </c>
      <c r="J711" s="608">
        <v>0.46</v>
      </c>
      <c r="K711" s="598">
        <f t="shared" si="106"/>
        <v>0</v>
      </c>
      <c r="L711" s="598">
        <f t="shared" si="115"/>
        <v>0</v>
      </c>
      <c r="M711" s="598">
        <f t="shared" si="107"/>
        <v>0</v>
      </c>
      <c r="N711" s="602">
        <v>29.5</v>
      </c>
      <c r="O711" s="603">
        <f t="shared" si="108"/>
        <v>0</v>
      </c>
      <c r="P711" s="604" t="e">
        <f>'Current month'!F7</f>
        <v>#DIV/0!</v>
      </c>
      <c r="Q711" s="605">
        <f>'Current month'!EO7</f>
        <v>0</v>
      </c>
      <c r="R711" s="606">
        <f>'Current month'!EP7</f>
        <v>0</v>
      </c>
      <c r="S711" s="589">
        <f>'Current month'!AD7</f>
        <v>0</v>
      </c>
      <c r="T711" s="589">
        <f>'Current month'!CM7</f>
        <v>0</v>
      </c>
      <c r="U711" s="589">
        <f>'Current month'!CO7</f>
        <v>0</v>
      </c>
      <c r="V711" s="589">
        <f>'Current month'!CQ7</f>
        <v>0</v>
      </c>
      <c r="W711" s="717"/>
      <c r="Y711" s="368">
        <f t="shared" si="116"/>
        <v>44777</v>
      </c>
      <c r="Z711" s="429" t="str">
        <f>'Current month'!V7</f>
        <v>0</v>
      </c>
      <c r="AA711" s="393" t="e">
        <f t="shared" si="109"/>
        <v>#DIV/0!</v>
      </c>
      <c r="AB711" s="382">
        <f t="shared" si="110"/>
        <v>0</v>
      </c>
      <c r="AC711" s="429">
        <f>'Current month'!DG7</f>
        <v>0</v>
      </c>
      <c r="AD711" s="430">
        <f t="shared" si="111"/>
        <v>0</v>
      </c>
      <c r="AE711" s="429"/>
      <c r="AF711" s="430">
        <f t="shared" si="112"/>
        <v>0</v>
      </c>
      <c r="AG711" s="426"/>
      <c r="AH711" s="380">
        <f>$K$40-K711</f>
        <v>176415.0822580645</v>
      </c>
      <c r="AI711" s="381">
        <f>$L$40-L711</f>
        <v>54799.415322580644</v>
      </c>
      <c r="AJ711" s="382">
        <f t="shared" si="113"/>
        <v>22828.051612903226</v>
      </c>
      <c r="AK711" s="394">
        <f t="shared" si="114"/>
        <v>254042.54919354836</v>
      </c>
      <c r="AL711" s="440">
        <v>5</v>
      </c>
    </row>
    <row r="712" spans="1:38">
      <c r="A712" s="588">
        <f>'Current month'!A8</f>
        <v>44778</v>
      </c>
      <c r="B712" s="598">
        <f>'Current month'!E8</f>
        <v>0</v>
      </c>
      <c r="C712" s="598" t="str">
        <f>'Current month'!CT8</f>
        <v>0</v>
      </c>
      <c r="D712" s="598">
        <f>'Current month'!CD8</f>
        <v>0</v>
      </c>
      <c r="E712" s="723">
        <f>'Current month'!Z8</f>
        <v>0</v>
      </c>
      <c r="F712" s="598">
        <f>'Current month'!CD8</f>
        <v>0</v>
      </c>
      <c r="G712" s="598">
        <f>'Current month'!X8</f>
        <v>0</v>
      </c>
      <c r="H712" s="599">
        <f>'Current month'!V8</f>
        <v>0</v>
      </c>
      <c r="I712" s="600">
        <f>'Current month'!AC8</f>
        <v>0</v>
      </c>
      <c r="J712" s="608">
        <v>0.46</v>
      </c>
      <c r="K712" s="598">
        <f t="shared" si="106"/>
        <v>0</v>
      </c>
      <c r="L712" s="598">
        <f t="shared" si="115"/>
        <v>0</v>
      </c>
      <c r="M712" s="598">
        <f t="shared" si="107"/>
        <v>0</v>
      </c>
      <c r="N712" s="602">
        <v>30.5</v>
      </c>
      <c r="O712" s="603">
        <f t="shared" si="108"/>
        <v>0</v>
      </c>
      <c r="P712" s="604" t="e">
        <f>'Current month'!F8</f>
        <v>#DIV/0!</v>
      </c>
      <c r="Q712" s="605">
        <f>'Current month'!EO8</f>
        <v>0</v>
      </c>
      <c r="R712" s="606">
        <f>'Current month'!EP8</f>
        <v>0</v>
      </c>
      <c r="S712" s="589">
        <f>'Current month'!AD8</f>
        <v>0</v>
      </c>
      <c r="T712" s="589">
        <f>'Current month'!CM8</f>
        <v>0</v>
      </c>
      <c r="U712" s="589">
        <f>'Current month'!CO8</f>
        <v>0</v>
      </c>
      <c r="V712" s="589">
        <f>'Current month'!CQ8</f>
        <v>0</v>
      </c>
      <c r="W712" s="607"/>
      <c r="Y712" s="368">
        <f t="shared" si="116"/>
        <v>44778</v>
      </c>
      <c r="Z712" s="429">
        <f>'Current month'!V8</f>
        <v>0</v>
      </c>
      <c r="AA712" s="393" t="e">
        <f t="shared" si="109"/>
        <v>#DIV/0!</v>
      </c>
      <c r="AB712" s="382">
        <f t="shared" si="110"/>
        <v>0</v>
      </c>
      <c r="AC712" s="429">
        <f>'Current month'!DG8</f>
        <v>0</v>
      </c>
      <c r="AD712" s="430">
        <f t="shared" si="111"/>
        <v>0</v>
      </c>
      <c r="AE712" s="429"/>
      <c r="AF712" s="430">
        <f t="shared" si="112"/>
        <v>0</v>
      </c>
      <c r="AG712" s="426"/>
      <c r="AH712" s="380">
        <f t="shared" ref="AH712:AH738" si="119">$K$40-K712</f>
        <v>176415.0822580645</v>
      </c>
      <c r="AI712" s="381">
        <f t="shared" ref="AI712:AI738" si="120">$L$40-L712</f>
        <v>54799.415322580644</v>
      </c>
      <c r="AJ712" s="382">
        <f t="shared" si="113"/>
        <v>22828.051612903226</v>
      </c>
      <c r="AK712" s="394">
        <f t="shared" si="114"/>
        <v>254042.54919354836</v>
      </c>
      <c r="AL712" s="440">
        <v>0</v>
      </c>
    </row>
    <row r="713" spans="1:38">
      <c r="A713" s="588">
        <f>'Current month'!A9</f>
        <v>44779</v>
      </c>
      <c r="B713" s="598">
        <f>'Current month'!E9</f>
        <v>0</v>
      </c>
      <c r="C713" s="598" t="str">
        <f>'Current month'!CT9</f>
        <v>0</v>
      </c>
      <c r="D713" s="598">
        <f>'Current month'!CD9</f>
        <v>0</v>
      </c>
      <c r="E713" s="723">
        <f>'Current month'!Z9</f>
        <v>0</v>
      </c>
      <c r="F713" s="598">
        <f>'Current month'!CD9</f>
        <v>0</v>
      </c>
      <c r="G713" s="598">
        <f>'Current month'!X9</f>
        <v>0</v>
      </c>
      <c r="H713" s="599">
        <f>'Current month'!V9</f>
        <v>0</v>
      </c>
      <c r="I713" s="600">
        <f>'Current month'!AC9</f>
        <v>0</v>
      </c>
      <c r="J713" s="608">
        <v>0.46</v>
      </c>
      <c r="K713" s="598">
        <f t="shared" si="106"/>
        <v>0</v>
      </c>
      <c r="L713" s="598">
        <f t="shared" si="115"/>
        <v>0</v>
      </c>
      <c r="M713" s="598">
        <f t="shared" si="107"/>
        <v>0</v>
      </c>
      <c r="N713" s="602">
        <v>31.5</v>
      </c>
      <c r="O713" s="603">
        <f t="shared" si="108"/>
        <v>0</v>
      </c>
      <c r="P713" s="604" t="e">
        <f>'Current month'!F9</f>
        <v>#DIV/0!</v>
      </c>
      <c r="Q713" s="605">
        <f>'Current month'!EO10</f>
        <v>0</v>
      </c>
      <c r="R713" s="606">
        <f>'Current month'!EP9</f>
        <v>0</v>
      </c>
      <c r="S713" s="589">
        <f>'Current month'!AD9</f>
        <v>0</v>
      </c>
      <c r="T713" s="589">
        <f>'Current month'!CM9</f>
        <v>0</v>
      </c>
      <c r="U713" s="589">
        <f>'Current month'!CO9</f>
        <v>0</v>
      </c>
      <c r="V713" s="589">
        <f>'Current month'!CQ9</f>
        <v>0</v>
      </c>
      <c r="W713" s="607"/>
      <c r="Y713" s="368">
        <f t="shared" si="116"/>
        <v>44779</v>
      </c>
      <c r="Z713" s="429">
        <f>'Current month'!V9</f>
        <v>0</v>
      </c>
      <c r="AA713" s="393" t="e">
        <f t="shared" si="109"/>
        <v>#DIV/0!</v>
      </c>
      <c r="AB713" s="382">
        <f t="shared" si="110"/>
        <v>0</v>
      </c>
      <c r="AC713" s="429">
        <f>'Current month'!DG9</f>
        <v>0</v>
      </c>
      <c r="AD713" s="430">
        <f t="shared" si="111"/>
        <v>0</v>
      </c>
      <c r="AE713" s="429"/>
      <c r="AF713" s="430">
        <f t="shared" si="112"/>
        <v>0</v>
      </c>
      <c r="AG713" s="426"/>
      <c r="AH713" s="380">
        <f t="shared" si="119"/>
        <v>176415.0822580645</v>
      </c>
      <c r="AI713" s="381">
        <f t="shared" si="120"/>
        <v>54799.415322580644</v>
      </c>
      <c r="AJ713" s="382">
        <f t="shared" si="113"/>
        <v>22828.051612903226</v>
      </c>
      <c r="AK713" s="394">
        <f t="shared" si="114"/>
        <v>254042.54919354836</v>
      </c>
      <c r="AL713" s="440">
        <v>12</v>
      </c>
    </row>
    <row r="714" spans="1:38">
      <c r="A714" s="588">
        <f>'Current month'!A10</f>
        <v>44780</v>
      </c>
      <c r="B714" s="598">
        <f>'Current month'!E10</f>
        <v>0</v>
      </c>
      <c r="C714" s="598" t="str">
        <f>'Current month'!CT10</f>
        <v>0</v>
      </c>
      <c r="D714" s="598">
        <f>'Current month'!CD10</f>
        <v>0</v>
      </c>
      <c r="E714" s="723">
        <f>'Current month'!Z10</f>
        <v>0</v>
      </c>
      <c r="F714" s="598">
        <f>'Current month'!CD10</f>
        <v>0</v>
      </c>
      <c r="G714" s="598">
        <f>'Current month'!X10</f>
        <v>0</v>
      </c>
      <c r="H714" s="599">
        <f>'Current month'!V10</f>
        <v>0</v>
      </c>
      <c r="I714" s="600">
        <f>'Current month'!AC10</f>
        <v>0</v>
      </c>
      <c r="J714" s="608">
        <v>0.46</v>
      </c>
      <c r="K714" s="598">
        <f t="shared" si="106"/>
        <v>0</v>
      </c>
      <c r="L714" s="598">
        <f t="shared" si="115"/>
        <v>0</v>
      </c>
      <c r="M714" s="598">
        <f t="shared" si="107"/>
        <v>0</v>
      </c>
      <c r="N714" s="602">
        <v>32.5</v>
      </c>
      <c r="O714" s="603">
        <f t="shared" si="108"/>
        <v>0</v>
      </c>
      <c r="P714" s="604" t="e">
        <f>'Current month'!F10</f>
        <v>#DIV/0!</v>
      </c>
      <c r="Q714" s="605">
        <f>'Current month'!EO11</f>
        <v>0</v>
      </c>
      <c r="R714" s="606">
        <f>'Current month'!EP10</f>
        <v>0</v>
      </c>
      <c r="S714" s="589">
        <f>'Current month'!AD10</f>
        <v>0</v>
      </c>
      <c r="T714" s="589">
        <f>'Current month'!CM10</f>
        <v>0</v>
      </c>
      <c r="U714" s="589">
        <f>'Current month'!CO10</f>
        <v>0</v>
      </c>
      <c r="V714" s="589">
        <f>'Current month'!CQ10</f>
        <v>0</v>
      </c>
      <c r="W714" s="607"/>
      <c r="Y714" s="368">
        <f t="shared" si="116"/>
        <v>44780</v>
      </c>
      <c r="Z714" s="429">
        <f>'Current month'!V10</f>
        <v>0</v>
      </c>
      <c r="AA714" s="393" t="e">
        <f t="shared" si="109"/>
        <v>#DIV/0!</v>
      </c>
      <c r="AB714" s="382">
        <f t="shared" si="110"/>
        <v>0</v>
      </c>
      <c r="AC714" s="429">
        <f>'Current month'!DG10</f>
        <v>0</v>
      </c>
      <c r="AD714" s="430">
        <f t="shared" si="111"/>
        <v>0</v>
      </c>
      <c r="AE714" s="429"/>
      <c r="AF714" s="430">
        <f t="shared" si="112"/>
        <v>0</v>
      </c>
      <c r="AG714" s="426"/>
      <c r="AH714" s="380">
        <f t="shared" si="119"/>
        <v>176415.0822580645</v>
      </c>
      <c r="AI714" s="381">
        <f t="shared" si="120"/>
        <v>54799.415322580644</v>
      </c>
      <c r="AJ714" s="382">
        <f t="shared" si="113"/>
        <v>22828.051612903226</v>
      </c>
      <c r="AK714" s="394">
        <f t="shared" si="114"/>
        <v>254042.54919354836</v>
      </c>
      <c r="AL714" s="440">
        <v>0</v>
      </c>
    </row>
    <row r="715" spans="1:38" ht="15">
      <c r="A715" s="588">
        <f>'Current month'!A11</f>
        <v>44781</v>
      </c>
      <c r="B715" s="598">
        <f>'Current month'!E11</f>
        <v>0</v>
      </c>
      <c r="C715" s="598" t="str">
        <f>'Current month'!CT11</f>
        <v>0</v>
      </c>
      <c r="D715" s="598">
        <f>'Current month'!CD11</f>
        <v>0</v>
      </c>
      <c r="E715" s="723">
        <f>'Current month'!Z11</f>
        <v>0</v>
      </c>
      <c r="F715" s="598">
        <f>'Current month'!CD11</f>
        <v>0</v>
      </c>
      <c r="G715" s="598">
        <f>'Current month'!X11</f>
        <v>0</v>
      </c>
      <c r="H715" s="599">
        <f>'Current month'!V11</f>
        <v>0</v>
      </c>
      <c r="I715" s="600">
        <f>'Current month'!AC11</f>
        <v>0</v>
      </c>
      <c r="J715" s="608">
        <v>0.5</v>
      </c>
      <c r="K715" s="598">
        <f t="shared" ref="K715" si="121">B715*6.21</f>
        <v>0</v>
      </c>
      <c r="L715" s="598">
        <f t="shared" si="115"/>
        <v>0</v>
      </c>
      <c r="M715" s="598">
        <f t="shared" si="107"/>
        <v>0</v>
      </c>
      <c r="N715" s="602">
        <v>33.5</v>
      </c>
      <c r="O715" s="603">
        <f t="shared" ref="O715" si="122">K715+L715+M715</f>
        <v>0</v>
      </c>
      <c r="P715" s="604" t="e">
        <f>'Current month'!F11</f>
        <v>#DIV/0!</v>
      </c>
      <c r="Q715" s="605">
        <f>'Current month'!EO12</f>
        <v>0</v>
      </c>
      <c r="R715" s="606">
        <f>'Current month'!EP11</f>
        <v>0</v>
      </c>
      <c r="S715" s="589">
        <f>'Current month'!AD11</f>
        <v>0</v>
      </c>
      <c r="T715" s="589">
        <f>'Current month'!CM11</f>
        <v>0</v>
      </c>
      <c r="U715" s="589">
        <f>'Current month'!CO11</f>
        <v>0</v>
      </c>
      <c r="V715" s="589">
        <f>'Current month'!CQ11</f>
        <v>0</v>
      </c>
      <c r="W715" s="607"/>
      <c r="Y715" s="368">
        <f t="shared" si="116"/>
        <v>44781</v>
      </c>
      <c r="Z715" s="429">
        <f>'Current month'!V11</f>
        <v>0</v>
      </c>
      <c r="AA715" s="393" t="e">
        <f t="shared" si="109"/>
        <v>#DIV/0!</v>
      </c>
      <c r="AB715" s="382">
        <f t="shared" si="110"/>
        <v>0</v>
      </c>
      <c r="AC715" s="429">
        <f>'Current month'!DG11</f>
        <v>0</v>
      </c>
      <c r="AD715" s="430">
        <f t="shared" si="111"/>
        <v>0</v>
      </c>
      <c r="AE715" s="429"/>
      <c r="AF715" s="430">
        <f t="shared" si="112"/>
        <v>0</v>
      </c>
      <c r="AG715" s="426"/>
      <c r="AH715" s="380">
        <f t="shared" si="119"/>
        <v>176415.0822580645</v>
      </c>
      <c r="AI715" s="381">
        <f t="shared" si="120"/>
        <v>54799.415322580644</v>
      </c>
      <c r="AJ715" s="382">
        <f t="shared" si="113"/>
        <v>22828.051612903226</v>
      </c>
      <c r="AK715" s="394">
        <f t="shared" si="114"/>
        <v>254042.54919354836</v>
      </c>
      <c r="AL715" s="440">
        <v>0</v>
      </c>
    </row>
    <row r="716" spans="1:38">
      <c r="A716" s="588">
        <f>'Current month'!A12</f>
        <v>44782</v>
      </c>
      <c r="B716" s="598">
        <f>'Current month'!E12</f>
        <v>0</v>
      </c>
      <c r="C716" s="598" t="str">
        <f>'Current month'!CT12</f>
        <v>0</v>
      </c>
      <c r="D716" s="598">
        <f>'Current month'!CD12</f>
        <v>0</v>
      </c>
      <c r="E716" s="723">
        <f>'Current month'!Z12</f>
        <v>0</v>
      </c>
      <c r="F716" s="598">
        <f>'Current month'!CD12</f>
        <v>0</v>
      </c>
      <c r="G716" s="598">
        <f>'Current month'!X12</f>
        <v>0</v>
      </c>
      <c r="H716" s="599">
        <f>'Current month'!V12</f>
        <v>0</v>
      </c>
      <c r="I716" s="600">
        <f>'Current month'!AC12</f>
        <v>0</v>
      </c>
      <c r="J716" s="608">
        <v>0.5</v>
      </c>
      <c r="K716" s="598">
        <f t="shared" si="106"/>
        <v>0</v>
      </c>
      <c r="L716" s="598">
        <f t="shared" si="115"/>
        <v>0</v>
      </c>
      <c r="M716" s="598">
        <f t="shared" si="107"/>
        <v>0</v>
      </c>
      <c r="N716" s="602">
        <v>34.5</v>
      </c>
      <c r="O716" s="603">
        <f t="shared" si="108"/>
        <v>0</v>
      </c>
      <c r="P716" s="604" t="e">
        <f>'Current month'!F12</f>
        <v>#DIV/0!</v>
      </c>
      <c r="Q716" s="605">
        <f>'Current month'!EO12</f>
        <v>0</v>
      </c>
      <c r="R716" s="606">
        <f>'Current month'!EP12</f>
        <v>0</v>
      </c>
      <c r="S716" s="589">
        <f>'Current month'!AD12</f>
        <v>0</v>
      </c>
      <c r="T716" s="589">
        <f>'Current month'!CM12</f>
        <v>0</v>
      </c>
      <c r="U716" s="589">
        <f>'Current month'!CO12</f>
        <v>0</v>
      </c>
      <c r="V716" s="589">
        <f>'Current month'!CQ12</f>
        <v>0</v>
      </c>
      <c r="W716" s="607"/>
      <c r="Y716" s="368">
        <f t="shared" si="116"/>
        <v>44782</v>
      </c>
      <c r="Z716" s="429">
        <f>'Current month'!V12</f>
        <v>0</v>
      </c>
      <c r="AA716" s="393" t="e">
        <f t="shared" si="109"/>
        <v>#DIV/0!</v>
      </c>
      <c r="AB716" s="382">
        <f t="shared" si="110"/>
        <v>0</v>
      </c>
      <c r="AC716" s="429">
        <f>'Current month'!DG12</f>
        <v>0</v>
      </c>
      <c r="AD716" s="430">
        <f t="shared" si="111"/>
        <v>0</v>
      </c>
      <c r="AE716" s="429"/>
      <c r="AF716" s="430">
        <f t="shared" si="112"/>
        <v>0</v>
      </c>
      <c r="AG716" s="426"/>
      <c r="AH716" s="380">
        <f t="shared" si="119"/>
        <v>176415.0822580645</v>
      </c>
      <c r="AI716" s="381">
        <f t="shared" si="120"/>
        <v>54799.415322580644</v>
      </c>
      <c r="AJ716" s="382">
        <f t="shared" si="113"/>
        <v>22828.051612903226</v>
      </c>
      <c r="AK716" s="394">
        <f>AH716+AI716+AJ716</f>
        <v>254042.54919354836</v>
      </c>
      <c r="AL716" s="440">
        <v>5</v>
      </c>
    </row>
    <row r="717" spans="1:38">
      <c r="A717" s="588">
        <f>'Current month'!A13</f>
        <v>44783</v>
      </c>
      <c r="B717" s="598">
        <f>'Current month'!E13</f>
        <v>0</v>
      </c>
      <c r="C717" s="727" t="str">
        <f>'Current month'!CT13</f>
        <v>0</v>
      </c>
      <c r="D717" s="727">
        <f>'Current month'!CD13</f>
        <v>0</v>
      </c>
      <c r="E717" s="723">
        <f>'Current month'!Z13</f>
        <v>0</v>
      </c>
      <c r="F717" s="598">
        <f>'Current month'!CD13</f>
        <v>0</v>
      </c>
      <c r="G717" s="598">
        <f>'Current month'!X13</f>
        <v>0</v>
      </c>
      <c r="H717" s="599">
        <f>'Current month'!V13</f>
        <v>0</v>
      </c>
      <c r="I717" s="600">
        <f>'Current month'!AC13</f>
        <v>0</v>
      </c>
      <c r="J717" s="608">
        <v>0.43</v>
      </c>
      <c r="K717" s="598">
        <f t="shared" si="106"/>
        <v>0</v>
      </c>
      <c r="L717" s="598">
        <f t="shared" si="115"/>
        <v>0</v>
      </c>
      <c r="M717" s="598">
        <f t="shared" si="107"/>
        <v>0</v>
      </c>
      <c r="N717" s="602">
        <v>35.5</v>
      </c>
      <c r="O717" s="603">
        <f t="shared" si="108"/>
        <v>0</v>
      </c>
      <c r="P717" s="604" t="e">
        <f>'Current month'!F13</f>
        <v>#DIV/0!</v>
      </c>
      <c r="Q717" s="605">
        <f>'Current month'!EO13</f>
        <v>0</v>
      </c>
      <c r="R717" s="606">
        <f>'Current month'!EP13</f>
        <v>0</v>
      </c>
      <c r="S717" s="589">
        <f>'Current month'!AD13</f>
        <v>0</v>
      </c>
      <c r="T717" s="589">
        <f>'Current month'!CM13</f>
        <v>0</v>
      </c>
      <c r="U717" s="589">
        <f>'Current month'!CO13</f>
        <v>0</v>
      </c>
      <c r="V717" s="589">
        <f>'Current month'!CQ13</f>
        <v>0</v>
      </c>
      <c r="W717" s="607"/>
      <c r="Y717" s="368">
        <f t="shared" si="116"/>
        <v>44783</v>
      </c>
      <c r="Z717" s="429">
        <f>'Current month'!V13</f>
        <v>0</v>
      </c>
      <c r="AA717" s="393" t="e">
        <f t="shared" si="109"/>
        <v>#DIV/0!</v>
      </c>
      <c r="AB717" s="382">
        <f t="shared" si="110"/>
        <v>0</v>
      </c>
      <c r="AC717" s="429">
        <f>'Current month'!DG13</f>
        <v>0</v>
      </c>
      <c r="AD717" s="430">
        <f t="shared" si="111"/>
        <v>0</v>
      </c>
      <c r="AE717" s="429"/>
      <c r="AF717" s="430">
        <f t="shared" si="112"/>
        <v>0</v>
      </c>
      <c r="AG717" s="426"/>
      <c r="AH717" s="380">
        <f t="shared" si="119"/>
        <v>176415.0822580645</v>
      </c>
      <c r="AI717" s="381">
        <f t="shared" si="120"/>
        <v>54799.415322580644</v>
      </c>
      <c r="AJ717" s="382">
        <f t="shared" si="113"/>
        <v>22828.051612903226</v>
      </c>
      <c r="AK717" s="394">
        <f t="shared" ref="AK717:AK738" si="123">AH717+AI717+AJ717</f>
        <v>254042.54919354836</v>
      </c>
      <c r="AL717" s="440">
        <v>5</v>
      </c>
    </row>
    <row r="718" spans="1:38">
      <c r="A718" s="588">
        <f>'Current month'!A14</f>
        <v>44784</v>
      </c>
      <c r="B718" s="598">
        <f>'Current month'!E14</f>
        <v>0</v>
      </c>
      <c r="C718" s="598" t="str">
        <f>'Current month'!CT14</f>
        <v>0</v>
      </c>
      <c r="D718" s="598">
        <f>'Current month'!CD14</f>
        <v>0</v>
      </c>
      <c r="E718" s="723">
        <f>'Current month'!Z14</f>
        <v>0</v>
      </c>
      <c r="F718" s="598">
        <f>'Current month'!CD14</f>
        <v>0</v>
      </c>
      <c r="G718" s="598">
        <f>'Current month'!X14</f>
        <v>0</v>
      </c>
      <c r="H718" s="599">
        <f>'Current month'!V14</f>
        <v>0</v>
      </c>
      <c r="I718" s="600">
        <f>'Current month'!AC14</f>
        <v>0</v>
      </c>
      <c r="J718" s="608">
        <v>0.46</v>
      </c>
      <c r="K718" s="598">
        <f t="shared" si="106"/>
        <v>0</v>
      </c>
      <c r="L718" s="598">
        <f t="shared" si="115"/>
        <v>0</v>
      </c>
      <c r="M718" s="598">
        <f t="shared" si="107"/>
        <v>0</v>
      </c>
      <c r="N718" s="602">
        <v>36.5</v>
      </c>
      <c r="O718" s="603">
        <f t="shared" si="108"/>
        <v>0</v>
      </c>
      <c r="P718" s="604" t="e">
        <f>'Current month'!F14</f>
        <v>#DIV/0!</v>
      </c>
      <c r="Q718" s="605">
        <f>'Current month'!EO14</f>
        <v>0</v>
      </c>
      <c r="R718" s="606">
        <f>'Current month'!EP14</f>
        <v>0</v>
      </c>
      <c r="S718" s="589">
        <f>'Current month'!AD14</f>
        <v>0</v>
      </c>
      <c r="T718" s="589">
        <f>'Current month'!CM14</f>
        <v>0</v>
      </c>
      <c r="U718" s="589">
        <f>'Current month'!CO14</f>
        <v>0</v>
      </c>
      <c r="V718" s="589">
        <f>'Current month'!CQ14</f>
        <v>0</v>
      </c>
      <c r="W718" s="607"/>
      <c r="Y718" s="368">
        <f t="shared" si="116"/>
        <v>44784</v>
      </c>
      <c r="Z718" s="429">
        <f>'Current month'!V14</f>
        <v>0</v>
      </c>
      <c r="AA718" s="393" t="e">
        <f t="shared" si="109"/>
        <v>#DIV/0!</v>
      </c>
      <c r="AB718" s="382">
        <f t="shared" si="110"/>
        <v>0</v>
      </c>
      <c r="AC718" s="429">
        <f>'Current month'!DG14</f>
        <v>0</v>
      </c>
      <c r="AD718" s="430">
        <f t="shared" si="111"/>
        <v>0</v>
      </c>
      <c r="AE718" s="429"/>
      <c r="AF718" s="430">
        <f t="shared" si="112"/>
        <v>0</v>
      </c>
      <c r="AG718" s="412"/>
      <c r="AH718" s="380">
        <f t="shared" si="119"/>
        <v>176415.0822580645</v>
      </c>
      <c r="AI718" s="381">
        <f t="shared" si="120"/>
        <v>54799.415322580644</v>
      </c>
      <c r="AJ718" s="382">
        <f t="shared" ref="AJ718:AJ738" si="124">$M$40-M718</f>
        <v>22828.051612903226</v>
      </c>
      <c r="AK718" s="394">
        <f t="shared" si="123"/>
        <v>254042.54919354836</v>
      </c>
      <c r="AL718" s="440">
        <v>9</v>
      </c>
    </row>
    <row r="719" spans="1:38">
      <c r="A719" s="588">
        <f>'Current month'!A15</f>
        <v>44785</v>
      </c>
      <c r="B719" s="598">
        <f>'Current month'!E15</f>
        <v>0</v>
      </c>
      <c r="C719" s="598" t="str">
        <f>'Current month'!CT15</f>
        <v>0</v>
      </c>
      <c r="D719" s="598">
        <f>'Current month'!CD15</f>
        <v>0</v>
      </c>
      <c r="E719" s="723">
        <f>'Current month'!Z15</f>
        <v>0</v>
      </c>
      <c r="F719" s="598">
        <f>'Current month'!CD15</f>
        <v>0</v>
      </c>
      <c r="G719" s="598">
        <f>'Current month'!X15</f>
        <v>0</v>
      </c>
      <c r="H719" s="599">
        <f>'Current month'!V15</f>
        <v>0</v>
      </c>
      <c r="I719" s="600">
        <f>'Current month'!AC15</f>
        <v>0</v>
      </c>
      <c r="J719" s="608">
        <v>0.41</v>
      </c>
      <c r="K719" s="598">
        <f t="shared" si="106"/>
        <v>0</v>
      </c>
      <c r="L719" s="598">
        <f t="shared" si="115"/>
        <v>0</v>
      </c>
      <c r="M719" s="598">
        <f t="shared" si="107"/>
        <v>0</v>
      </c>
      <c r="N719" s="602">
        <v>37.5</v>
      </c>
      <c r="O719" s="603">
        <f t="shared" si="108"/>
        <v>0</v>
      </c>
      <c r="P719" s="604" t="e">
        <f>'Current month'!F15</f>
        <v>#DIV/0!</v>
      </c>
      <c r="Q719" s="605">
        <f>'Current month'!EO15</f>
        <v>0</v>
      </c>
      <c r="R719" s="606">
        <f>'Current month'!EP15</f>
        <v>0</v>
      </c>
      <c r="S719" s="589">
        <f>'Current month'!AD15</f>
        <v>0</v>
      </c>
      <c r="T719" s="589">
        <f>'Current month'!CM15</f>
        <v>0</v>
      </c>
      <c r="U719" s="589">
        <f>'Current month'!CO15</f>
        <v>0</v>
      </c>
      <c r="V719" s="589">
        <f>'Current month'!CQ15</f>
        <v>0</v>
      </c>
      <c r="W719" s="607"/>
      <c r="Y719" s="368">
        <f t="shared" si="116"/>
        <v>44785</v>
      </c>
      <c r="Z719" s="429">
        <f>'Current month'!V15</f>
        <v>0</v>
      </c>
      <c r="AA719" s="393" t="e">
        <f t="shared" si="109"/>
        <v>#DIV/0!</v>
      </c>
      <c r="AB719" s="382">
        <f t="shared" si="110"/>
        <v>0</v>
      </c>
      <c r="AC719" s="429">
        <f>'Current month'!DG15</f>
        <v>0</v>
      </c>
      <c r="AD719" s="430">
        <f t="shared" si="111"/>
        <v>0</v>
      </c>
      <c r="AE719" s="429"/>
      <c r="AF719" s="430">
        <f t="shared" si="112"/>
        <v>0</v>
      </c>
      <c r="AG719" s="412"/>
      <c r="AH719" s="380">
        <f t="shared" si="119"/>
        <v>176415.0822580645</v>
      </c>
      <c r="AI719" s="381">
        <f t="shared" si="120"/>
        <v>54799.415322580644</v>
      </c>
      <c r="AJ719" s="382">
        <f t="shared" si="124"/>
        <v>22828.051612903226</v>
      </c>
      <c r="AK719" s="394">
        <f t="shared" si="123"/>
        <v>254042.54919354836</v>
      </c>
      <c r="AL719" s="440">
        <v>0</v>
      </c>
    </row>
    <row r="720" spans="1:38">
      <c r="A720" s="557">
        <f>'Current month'!A16</f>
        <v>44786</v>
      </c>
      <c r="B720" s="598">
        <f>'Current month'!E16</f>
        <v>0</v>
      </c>
      <c r="C720" s="598" t="str">
        <f>'Current month'!CT16</f>
        <v>0</v>
      </c>
      <c r="D720" s="600">
        <f>'Current month'!CD16</f>
        <v>0</v>
      </c>
      <c r="E720" s="723">
        <f>'Current month'!Z16</f>
        <v>0</v>
      </c>
      <c r="F720" s="598">
        <f>'Current month'!CD16</f>
        <v>0</v>
      </c>
      <c r="G720" s="598">
        <f>'Current month'!X16</f>
        <v>0</v>
      </c>
      <c r="H720" s="599">
        <f>'Current month'!V16</f>
        <v>0</v>
      </c>
      <c r="I720" s="600">
        <f>'Current month'!AC16</f>
        <v>0</v>
      </c>
      <c r="J720" s="608">
        <v>0.45</v>
      </c>
      <c r="K720" s="600">
        <f t="shared" si="106"/>
        <v>0</v>
      </c>
      <c r="L720" s="598">
        <f t="shared" si="115"/>
        <v>0</v>
      </c>
      <c r="M720" s="600">
        <f t="shared" si="107"/>
        <v>23100</v>
      </c>
      <c r="N720" s="601">
        <v>38.5</v>
      </c>
      <c r="O720" s="609">
        <f t="shared" si="108"/>
        <v>23100</v>
      </c>
      <c r="P720" s="610" t="e">
        <f>'Current month'!F16</f>
        <v>#DIV/0!</v>
      </c>
      <c r="Q720" s="611">
        <f>'Current month'!EO16</f>
        <v>0</v>
      </c>
      <c r="R720" s="612">
        <f>'Current month'!EP16</f>
        <v>0</v>
      </c>
      <c r="S720" s="613">
        <v>14</v>
      </c>
      <c r="T720" s="589">
        <f>'Current month'!CM16</f>
        <v>0</v>
      </c>
      <c r="U720" s="589">
        <f>'Current month'!CO16</f>
        <v>0</v>
      </c>
      <c r="V720" s="589">
        <f>'Current month'!CQ16</f>
        <v>0</v>
      </c>
      <c r="W720" s="607"/>
      <c r="Y720" s="368">
        <f t="shared" si="116"/>
        <v>44786</v>
      </c>
      <c r="Z720" s="429">
        <f>'Current month'!V16</f>
        <v>0</v>
      </c>
      <c r="AA720" s="393" t="e">
        <f t="shared" si="109"/>
        <v>#DIV/0!</v>
      </c>
      <c r="AB720" s="382">
        <f t="shared" si="110"/>
        <v>0</v>
      </c>
      <c r="AC720" s="429">
        <f>'Current month'!DG16</f>
        <v>0</v>
      </c>
      <c r="AD720" s="430">
        <f t="shared" si="111"/>
        <v>0</v>
      </c>
      <c r="AE720" s="429"/>
      <c r="AF720" s="430">
        <f t="shared" si="112"/>
        <v>0</v>
      </c>
      <c r="AG720" s="412"/>
      <c r="AH720" s="380">
        <f t="shared" si="119"/>
        <v>176415.0822580645</v>
      </c>
      <c r="AI720" s="381">
        <f t="shared" si="120"/>
        <v>54799.415322580644</v>
      </c>
      <c r="AJ720" s="382">
        <f t="shared" si="124"/>
        <v>-271.94838709677424</v>
      </c>
      <c r="AK720" s="394">
        <f t="shared" si="123"/>
        <v>230942.54919354836</v>
      </c>
      <c r="AL720" s="440">
        <v>0</v>
      </c>
    </row>
    <row r="721" spans="1:38" ht="15">
      <c r="A721" s="557">
        <f>'Current month'!A17</f>
        <v>44787</v>
      </c>
      <c r="B721" s="598">
        <f>'Current month'!E17</f>
        <v>0</v>
      </c>
      <c r="C721" s="598" t="str">
        <f>'Current month'!CT17</f>
        <v>0</v>
      </c>
      <c r="D721" s="600">
        <f>'Current month'!CD17</f>
        <v>0</v>
      </c>
      <c r="E721" s="723">
        <f>'Current month'!Z17</f>
        <v>0</v>
      </c>
      <c r="F721" s="598">
        <f>'Current month'!CD17</f>
        <v>0</v>
      </c>
      <c r="G721" s="598">
        <f>'Current month'!X17</f>
        <v>0</v>
      </c>
      <c r="H721" s="599">
        <f>'Current month'!V17</f>
        <v>0</v>
      </c>
      <c r="I721" s="600">
        <f>'Current month'!AC17</f>
        <v>0</v>
      </c>
      <c r="J721" s="608">
        <v>0.4</v>
      </c>
      <c r="K721" s="600">
        <f t="shared" si="106"/>
        <v>0</v>
      </c>
      <c r="L721" s="598">
        <f t="shared" si="115"/>
        <v>0</v>
      </c>
      <c r="M721" s="600">
        <f t="shared" si="107"/>
        <v>0</v>
      </c>
      <c r="N721" s="601">
        <v>39.5</v>
      </c>
      <c r="O721" s="609">
        <f t="shared" si="108"/>
        <v>0</v>
      </c>
      <c r="P721" s="610" t="e">
        <f>'Current month'!F17</f>
        <v>#DIV/0!</v>
      </c>
      <c r="Q721" s="611">
        <f>'Current month'!EO17</f>
        <v>0</v>
      </c>
      <c r="R721" s="612">
        <f>'Current month'!EP17</f>
        <v>0</v>
      </c>
      <c r="S721" s="613">
        <f>'Current month'!AD17</f>
        <v>0</v>
      </c>
      <c r="T721" s="589">
        <f>'Current month'!CM17</f>
        <v>0</v>
      </c>
      <c r="U721" s="589">
        <f>'Current month'!CO17</f>
        <v>0</v>
      </c>
      <c r="V721" s="589">
        <f>'Current month'!CQ17</f>
        <v>0</v>
      </c>
      <c r="W721" s="607"/>
      <c r="Y721" s="368">
        <f t="shared" si="116"/>
        <v>44787</v>
      </c>
      <c r="Z721" s="429">
        <f>'Current month'!V17</f>
        <v>0</v>
      </c>
      <c r="AA721" s="393" t="e">
        <f t="shared" si="109"/>
        <v>#DIV/0!</v>
      </c>
      <c r="AB721" s="382">
        <f t="shared" si="110"/>
        <v>0</v>
      </c>
      <c r="AC721" s="429">
        <f>'Current month'!DG17</f>
        <v>0</v>
      </c>
      <c r="AD721" s="430">
        <f t="shared" si="111"/>
        <v>0</v>
      </c>
      <c r="AE721" s="429"/>
      <c r="AF721" s="430">
        <f t="shared" si="112"/>
        <v>0</v>
      </c>
      <c r="AG721" s="412"/>
      <c r="AH721" s="380">
        <f t="shared" si="119"/>
        <v>176415.0822580645</v>
      </c>
      <c r="AI721" s="381">
        <f t="shared" si="120"/>
        <v>54799.415322580644</v>
      </c>
      <c r="AJ721" s="382">
        <f t="shared" si="124"/>
        <v>22828.051612903226</v>
      </c>
      <c r="AK721" s="394">
        <f t="shared" si="123"/>
        <v>254042.54919354836</v>
      </c>
      <c r="AL721" s="440">
        <v>0</v>
      </c>
    </row>
    <row r="722" spans="1:38" ht="20.25" customHeight="1">
      <c r="A722" s="557">
        <f>'Current month'!A18</f>
        <v>44788</v>
      </c>
      <c r="B722" s="598">
        <f>'Current month'!E18</f>
        <v>0</v>
      </c>
      <c r="C722" s="598" t="str">
        <f>'Current month'!CT18</f>
        <v>0</v>
      </c>
      <c r="D722" s="598">
        <f>'Current month'!CD18</f>
        <v>0</v>
      </c>
      <c r="E722" s="723">
        <f>'Current month'!Z18</f>
        <v>0</v>
      </c>
      <c r="F722" s="598">
        <f>'Current month'!CD18</f>
        <v>0</v>
      </c>
      <c r="G722" s="598">
        <f>'Current month'!X18</f>
        <v>0</v>
      </c>
      <c r="H722" s="739">
        <f>'Current month'!V18</f>
        <v>0</v>
      </c>
      <c r="I722" s="598">
        <f>'Current month'!AC18</f>
        <v>0</v>
      </c>
      <c r="J722" s="608">
        <v>0.44</v>
      </c>
      <c r="K722" s="598">
        <f t="shared" si="106"/>
        <v>0</v>
      </c>
      <c r="L722" s="598">
        <f t="shared" si="115"/>
        <v>0</v>
      </c>
      <c r="M722" s="598">
        <f t="shared" si="107"/>
        <v>0</v>
      </c>
      <c r="N722" s="602">
        <v>40.5</v>
      </c>
      <c r="O722" s="603">
        <f t="shared" si="108"/>
        <v>0</v>
      </c>
      <c r="P722" s="604" t="e">
        <f>'Current month'!F19</f>
        <v>#DIV/0!</v>
      </c>
      <c r="Q722" s="605">
        <f>'Current month'!EO18</f>
        <v>0</v>
      </c>
      <c r="R722" s="606">
        <f>'Current month'!EP18</f>
        <v>0</v>
      </c>
      <c r="S722" s="589">
        <f>'Current month'!AD18</f>
        <v>0</v>
      </c>
      <c r="T722" s="589">
        <f>'Current month'!CM18</f>
        <v>0</v>
      </c>
      <c r="U722" s="589">
        <f>'Current month'!CO18</f>
        <v>0</v>
      </c>
      <c r="V722" s="589">
        <f>'Current month'!CQ18</f>
        <v>0</v>
      </c>
      <c r="W722" s="607"/>
      <c r="Y722" s="368">
        <f t="shared" si="116"/>
        <v>44788</v>
      </c>
      <c r="Z722" s="429">
        <f>'Current month'!V18</f>
        <v>0</v>
      </c>
      <c r="AA722" s="393" t="e">
        <f t="shared" si="109"/>
        <v>#DIV/0!</v>
      </c>
      <c r="AB722" s="382">
        <f t="shared" si="110"/>
        <v>0</v>
      </c>
      <c r="AC722" s="429">
        <f>'Current month'!DG18</f>
        <v>0</v>
      </c>
      <c r="AD722" s="430">
        <f t="shared" si="111"/>
        <v>0</v>
      </c>
      <c r="AE722" s="429"/>
      <c r="AF722" s="430">
        <f t="shared" si="112"/>
        <v>0</v>
      </c>
      <c r="AG722" s="412"/>
      <c r="AH722" s="380">
        <f t="shared" si="119"/>
        <v>176415.0822580645</v>
      </c>
      <c r="AI722" s="381">
        <f t="shared" si="120"/>
        <v>54799.415322580644</v>
      </c>
      <c r="AJ722" s="382">
        <f t="shared" si="124"/>
        <v>22828.051612903226</v>
      </c>
      <c r="AK722" s="394">
        <f t="shared" si="123"/>
        <v>254042.54919354836</v>
      </c>
      <c r="AL722" s="440">
        <v>8</v>
      </c>
    </row>
    <row r="723" spans="1:38">
      <c r="A723" s="557">
        <f>'Current month'!A19</f>
        <v>44789</v>
      </c>
      <c r="B723" s="598">
        <f>'Current month'!E19</f>
        <v>0</v>
      </c>
      <c r="C723" s="615" t="str">
        <f>'Current month'!CT19</f>
        <v>0</v>
      </c>
      <c r="D723" s="615">
        <f>'Current month'!CD19</f>
        <v>0</v>
      </c>
      <c r="E723" s="724">
        <f>'Current month'!Z19</f>
        <v>0</v>
      </c>
      <c r="F723" s="598">
        <f>'Current month'!CD19</f>
        <v>0</v>
      </c>
      <c r="G723" s="628">
        <f>'Current month'!X19</f>
        <v>0</v>
      </c>
      <c r="H723" s="599">
        <f>'Current month'!V19</f>
        <v>0</v>
      </c>
      <c r="I723" s="632">
        <f>'Current month'!AC19</f>
        <v>0</v>
      </c>
      <c r="J723" s="618">
        <v>0.37</v>
      </c>
      <c r="K723" s="615">
        <f t="shared" si="106"/>
        <v>0</v>
      </c>
      <c r="L723" s="615">
        <f t="shared" si="115"/>
        <v>0</v>
      </c>
      <c r="M723" s="615">
        <f t="shared" si="107"/>
        <v>0</v>
      </c>
      <c r="N723" s="619">
        <v>41.5</v>
      </c>
      <c r="O723" s="620">
        <f t="shared" si="108"/>
        <v>0</v>
      </c>
      <c r="P723" s="604" t="e">
        <f>'Current month'!F20</f>
        <v>#DIV/0!</v>
      </c>
      <c r="Q723" s="622">
        <f>'Current month'!EO19</f>
        <v>0</v>
      </c>
      <c r="R723" s="623">
        <f>'Current month'!EP19</f>
        <v>0</v>
      </c>
      <c r="S723" s="624">
        <f>'Current month'!AD19</f>
        <v>0</v>
      </c>
      <c r="T723" s="589">
        <f>'Current month'!CM19</f>
        <v>0</v>
      </c>
      <c r="U723" s="589">
        <f>'Current month'!CO19</f>
        <v>0</v>
      </c>
      <c r="V723" s="589">
        <f>'Current month'!CQ19</f>
        <v>0</v>
      </c>
      <c r="W723" s="607"/>
      <c r="Y723" s="368">
        <f t="shared" si="116"/>
        <v>44789</v>
      </c>
      <c r="Z723" s="429">
        <f>'Current month'!V19</f>
        <v>0</v>
      </c>
      <c r="AA723" s="393" t="e">
        <f t="shared" si="109"/>
        <v>#DIV/0!</v>
      </c>
      <c r="AB723" s="382">
        <f t="shared" si="110"/>
        <v>0</v>
      </c>
      <c r="AC723" s="429">
        <f>'Current month'!DG19</f>
        <v>0</v>
      </c>
      <c r="AD723" s="430">
        <f t="shared" si="111"/>
        <v>0</v>
      </c>
      <c r="AE723" s="429"/>
      <c r="AF723" s="430">
        <f t="shared" si="112"/>
        <v>0</v>
      </c>
      <c r="AG723" s="412"/>
      <c r="AH723" s="380">
        <f t="shared" si="119"/>
        <v>176415.0822580645</v>
      </c>
      <c r="AI723" s="381">
        <f t="shared" si="120"/>
        <v>54799.415322580644</v>
      </c>
      <c r="AJ723" s="382">
        <f t="shared" si="124"/>
        <v>22828.051612903226</v>
      </c>
      <c r="AK723" s="394">
        <f t="shared" si="123"/>
        <v>254042.54919354836</v>
      </c>
      <c r="AL723" s="440">
        <v>5</v>
      </c>
    </row>
    <row r="724" spans="1:38">
      <c r="A724" s="557">
        <f>'Current month'!A20</f>
        <v>44790</v>
      </c>
      <c r="B724" s="598">
        <f>'Current month'!E20</f>
        <v>0</v>
      </c>
      <c r="C724" s="615" t="str">
        <f>'Current month'!CT20</f>
        <v>0</v>
      </c>
      <c r="D724" s="615">
        <f>'Current month'!CD20</f>
        <v>0</v>
      </c>
      <c r="E724" s="724">
        <f>'Current month'!Z20</f>
        <v>0</v>
      </c>
      <c r="F724" s="598">
        <f>'Current month'!CD20</f>
        <v>0</v>
      </c>
      <c r="G724" s="628">
        <f>'Current month'!X20</f>
        <v>0</v>
      </c>
      <c r="H724" s="599">
        <f>'Current month'!V20</f>
        <v>0</v>
      </c>
      <c r="I724" s="632">
        <f>'Current month'!AC20</f>
        <v>0</v>
      </c>
      <c r="J724" s="618">
        <v>1.37</v>
      </c>
      <c r="K724" s="615">
        <f t="shared" ref="K724:K733" si="125">B724*6.21</f>
        <v>0</v>
      </c>
      <c r="L724" s="615">
        <f>C724*53.65</f>
        <v>0</v>
      </c>
      <c r="M724" s="615">
        <f t="shared" ref="M724:M733" si="126" xml:space="preserve"> (D724-(S724*25))*34+S724*2500</f>
        <v>0</v>
      </c>
      <c r="N724" s="619">
        <v>42.5</v>
      </c>
      <c r="O724" s="620">
        <f t="shared" ref="O724:O733" si="127">K724+L724+M724</f>
        <v>0</v>
      </c>
      <c r="P724" s="550" t="e">
        <f>'Current month'!F20</f>
        <v>#DIV/0!</v>
      </c>
      <c r="Q724" s="551">
        <f>'Current month'!EO20</f>
        <v>0</v>
      </c>
      <c r="R724" s="552">
        <f>'Current month'!EP20</f>
        <v>0</v>
      </c>
      <c r="S724" s="553">
        <f>'Current month'!AD20</f>
        <v>0</v>
      </c>
      <c r="T724" s="589">
        <f>'Current month'!CM20</f>
        <v>0</v>
      </c>
      <c r="U724" s="589">
        <f>'Current month'!CO20</f>
        <v>0</v>
      </c>
      <c r="V724" s="589">
        <f>'Current month'!CQ20</f>
        <v>0</v>
      </c>
      <c r="W724" s="607"/>
      <c r="Y724" s="368">
        <f t="shared" si="116"/>
        <v>44790</v>
      </c>
      <c r="Z724" s="429">
        <f>'Current month'!V20</f>
        <v>0</v>
      </c>
      <c r="AA724" s="393" t="e">
        <f t="shared" si="109"/>
        <v>#DIV/0!</v>
      </c>
      <c r="AB724" s="382">
        <f t="shared" si="110"/>
        <v>0</v>
      </c>
      <c r="AC724" s="429">
        <f>'Current month'!DG20</f>
        <v>0</v>
      </c>
      <c r="AD724" s="430">
        <f t="shared" si="111"/>
        <v>0</v>
      </c>
      <c r="AE724" s="429"/>
      <c r="AF724" s="430">
        <f t="shared" si="112"/>
        <v>0</v>
      </c>
      <c r="AG724" s="412"/>
      <c r="AH724" s="380">
        <f t="shared" si="119"/>
        <v>176415.0822580645</v>
      </c>
      <c r="AI724" s="381">
        <f t="shared" si="120"/>
        <v>54799.415322580644</v>
      </c>
      <c r="AJ724" s="382">
        <f t="shared" si="124"/>
        <v>22828.051612903226</v>
      </c>
      <c r="AK724" s="394">
        <f t="shared" si="123"/>
        <v>254042.54919354836</v>
      </c>
      <c r="AL724" s="440">
        <v>0</v>
      </c>
    </row>
    <row r="725" spans="1:38">
      <c r="A725" s="557">
        <f>'Current month'!A21</f>
        <v>44791</v>
      </c>
      <c r="B725" s="598">
        <f>'Current month'!E21</f>
        <v>0</v>
      </c>
      <c r="C725" s="615" t="str">
        <f>'Current month'!CT21</f>
        <v>0</v>
      </c>
      <c r="D725" s="615">
        <f>'Current month'!CD21</f>
        <v>0</v>
      </c>
      <c r="E725" s="724">
        <f>'Current month'!Z21</f>
        <v>0</v>
      </c>
      <c r="F725" s="598">
        <f>'Current month'!CD21</f>
        <v>0</v>
      </c>
      <c r="G725" s="628">
        <f>'Current month'!X21</f>
        <v>0</v>
      </c>
      <c r="H725" s="599">
        <f>'Current month'!V21</f>
        <v>0</v>
      </c>
      <c r="I725" s="632">
        <f>'Current month'!AC21</f>
        <v>0</v>
      </c>
      <c r="J725" s="618">
        <v>2.37</v>
      </c>
      <c r="K725" s="615">
        <f t="shared" si="125"/>
        <v>0</v>
      </c>
      <c r="L725" s="615">
        <f t="shared" ref="L725:L733" si="128">C725*53.65</f>
        <v>0</v>
      </c>
      <c r="M725" s="615">
        <f t="shared" si="126"/>
        <v>0</v>
      </c>
      <c r="N725" s="619">
        <v>43.5</v>
      </c>
      <c r="O725" s="620">
        <f t="shared" si="127"/>
        <v>0</v>
      </c>
      <c r="P725" s="559" t="e">
        <f>'Current month'!F21</f>
        <v>#DIV/0!</v>
      </c>
      <c r="Q725" s="560">
        <f>'Current month'!EO21</f>
        <v>0</v>
      </c>
      <c r="R725" s="561">
        <f>'Current month'!EP21</f>
        <v>0</v>
      </c>
      <c r="S725" s="562">
        <f>'Current month'!AD21</f>
        <v>0</v>
      </c>
      <c r="T725" s="589">
        <f>'Current month'!CM21</f>
        <v>0</v>
      </c>
      <c r="U725" s="589">
        <f>'Current month'!CO21</f>
        <v>0</v>
      </c>
      <c r="V725" s="589">
        <f>'Current month'!CQ21</f>
        <v>0</v>
      </c>
      <c r="W725" s="607"/>
      <c r="Y725" s="368">
        <f t="shared" si="116"/>
        <v>44791</v>
      </c>
      <c r="Z725" s="429">
        <f>'Current month'!V21</f>
        <v>0</v>
      </c>
      <c r="AA725" s="393" t="e">
        <f t="shared" si="109"/>
        <v>#DIV/0!</v>
      </c>
      <c r="AB725" s="382">
        <f t="shared" si="110"/>
        <v>0</v>
      </c>
      <c r="AC725" s="429">
        <f>'Current month'!DG21</f>
        <v>0</v>
      </c>
      <c r="AD725" s="430">
        <f t="shared" si="111"/>
        <v>0</v>
      </c>
      <c r="AE725" s="429"/>
      <c r="AF725" s="430">
        <f t="shared" si="112"/>
        <v>0</v>
      </c>
      <c r="AG725" s="412"/>
      <c r="AH725" s="380">
        <f t="shared" si="119"/>
        <v>176415.0822580645</v>
      </c>
      <c r="AI725" s="381">
        <f t="shared" si="120"/>
        <v>54799.415322580644</v>
      </c>
      <c r="AJ725" s="382">
        <f t="shared" si="124"/>
        <v>22828.051612903226</v>
      </c>
      <c r="AK725" s="394">
        <f t="shared" si="123"/>
        <v>254042.54919354836</v>
      </c>
      <c r="AL725" s="440"/>
    </row>
    <row r="726" spans="1:38">
      <c r="A726" s="557">
        <f>'Current month'!A22</f>
        <v>44792</v>
      </c>
      <c r="B726" s="598">
        <f>'Current month'!E22</f>
        <v>0</v>
      </c>
      <c r="C726" s="615" t="str">
        <f>'Current month'!CT22</f>
        <v>0</v>
      </c>
      <c r="D726" s="615">
        <f>'Current month'!CD22</f>
        <v>0</v>
      </c>
      <c r="E726" s="724">
        <f>'Current month'!Z22</f>
        <v>0</v>
      </c>
      <c r="F726" s="598">
        <f>'Current month'!CD22</f>
        <v>0</v>
      </c>
      <c r="G726" s="628">
        <f>'Current month'!X22</f>
        <v>0</v>
      </c>
      <c r="H726" s="599">
        <f>'Current month'!V22</f>
        <v>0</v>
      </c>
      <c r="I726" s="632">
        <f>'Current month'!AC22</f>
        <v>0</v>
      </c>
      <c r="J726" s="618">
        <v>3.37</v>
      </c>
      <c r="K726" s="615">
        <f>B726*6.21</f>
        <v>0</v>
      </c>
      <c r="L726" s="615">
        <f t="shared" si="128"/>
        <v>0</v>
      </c>
      <c r="M726" s="615">
        <f t="shared" si="126"/>
        <v>0</v>
      </c>
      <c r="N726" s="619">
        <v>44.5</v>
      </c>
      <c r="O726" s="620">
        <f t="shared" si="127"/>
        <v>0</v>
      </c>
      <c r="P726" s="545" t="e">
        <f>'Current month'!F22</f>
        <v>#DIV/0!</v>
      </c>
      <c r="Q726" s="560">
        <f>'Current month'!EO22</f>
        <v>0</v>
      </c>
      <c r="R726" s="561">
        <f>'Current month'!EP22</f>
        <v>0</v>
      </c>
      <c r="S726" s="562">
        <f>'Current month'!AD22</f>
        <v>0</v>
      </c>
      <c r="T726" s="589">
        <f>'Current month'!CM22</f>
        <v>0</v>
      </c>
      <c r="U726" s="589">
        <f>'Current month'!CO22</f>
        <v>0</v>
      </c>
      <c r="V726" s="589">
        <f>'Current month'!CQ22</f>
        <v>0</v>
      </c>
      <c r="W726" s="686"/>
      <c r="Y726" s="368">
        <f t="shared" si="116"/>
        <v>44792</v>
      </c>
      <c r="Z726" s="429">
        <f>'Current month'!V22</f>
        <v>0</v>
      </c>
      <c r="AA726" s="393" t="e">
        <f t="shared" si="109"/>
        <v>#DIV/0!</v>
      </c>
      <c r="AB726" s="382">
        <f t="shared" si="110"/>
        <v>0</v>
      </c>
      <c r="AC726" s="429">
        <f>'Current month'!DG22</f>
        <v>0</v>
      </c>
      <c r="AD726" s="430">
        <f t="shared" si="111"/>
        <v>0</v>
      </c>
      <c r="AE726" s="429"/>
      <c r="AF726" s="430">
        <f t="shared" si="112"/>
        <v>0</v>
      </c>
      <c r="AG726" s="412"/>
      <c r="AH726" s="380">
        <f t="shared" si="119"/>
        <v>176415.0822580645</v>
      </c>
      <c r="AI726" s="381">
        <f t="shared" si="120"/>
        <v>54799.415322580644</v>
      </c>
      <c r="AJ726" s="382">
        <f t="shared" si="124"/>
        <v>22828.051612903226</v>
      </c>
      <c r="AK726" s="394">
        <f t="shared" si="123"/>
        <v>254042.54919354836</v>
      </c>
      <c r="AL726" s="440"/>
    </row>
    <row r="727" spans="1:38">
      <c r="A727" s="557">
        <f>'Current month'!A23</f>
        <v>44793</v>
      </c>
      <c r="B727" s="598">
        <f>'Current month'!E23</f>
        <v>0</v>
      </c>
      <c r="C727" s="615" t="str">
        <f>'Current month'!CT23</f>
        <v>0</v>
      </c>
      <c r="D727" s="615">
        <f>'Current month'!CD23</f>
        <v>0</v>
      </c>
      <c r="E727" s="724">
        <f>'Current month'!Z23</f>
        <v>0</v>
      </c>
      <c r="F727" s="598">
        <f>'Current month'!CD23</f>
        <v>0</v>
      </c>
      <c r="G727" s="628">
        <f>'Current month'!X23</f>
        <v>0</v>
      </c>
      <c r="H727" s="599">
        <f>'Current month'!V23</f>
        <v>0</v>
      </c>
      <c r="I727" s="632">
        <f>'Current month'!AC23</f>
        <v>0</v>
      </c>
      <c r="J727" s="618">
        <v>4.37</v>
      </c>
      <c r="K727" s="615">
        <f t="shared" si="125"/>
        <v>0</v>
      </c>
      <c r="L727" s="615">
        <f t="shared" si="128"/>
        <v>0</v>
      </c>
      <c r="M727" s="615">
        <f t="shared" si="126"/>
        <v>0</v>
      </c>
      <c r="N727" s="619">
        <v>45.5</v>
      </c>
      <c r="O727" s="620">
        <f t="shared" si="127"/>
        <v>0</v>
      </c>
      <c r="P727" s="545" t="e">
        <f>'Current month'!F23</f>
        <v>#DIV/0!</v>
      </c>
      <c r="Q727" s="560">
        <f>'Current month'!EO23</f>
        <v>0</v>
      </c>
      <c r="R727" s="561">
        <f>'Current month'!EP23</f>
        <v>0</v>
      </c>
      <c r="S727" s="562">
        <f>'Current month'!AD23</f>
        <v>0</v>
      </c>
      <c r="T727" s="589">
        <f>'Current month'!CM23</f>
        <v>0</v>
      </c>
      <c r="U727" s="589">
        <f>'Current month'!CO23</f>
        <v>0</v>
      </c>
      <c r="V727" s="589">
        <f>'Current month'!CQ23</f>
        <v>0</v>
      </c>
      <c r="W727" s="716"/>
      <c r="Y727" s="368">
        <f t="shared" si="116"/>
        <v>44793</v>
      </c>
      <c r="Z727" s="429">
        <f>'Current month'!V23</f>
        <v>0</v>
      </c>
      <c r="AA727" s="393" t="e">
        <f t="shared" si="109"/>
        <v>#DIV/0!</v>
      </c>
      <c r="AB727" s="382">
        <f t="shared" si="110"/>
        <v>0</v>
      </c>
      <c r="AC727" s="429">
        <f>'Current month'!DG23</f>
        <v>0</v>
      </c>
      <c r="AD727" s="430">
        <f t="shared" si="111"/>
        <v>0</v>
      </c>
      <c r="AE727" s="429"/>
      <c r="AF727" s="430">
        <f t="shared" si="112"/>
        <v>0</v>
      </c>
      <c r="AG727" s="412"/>
      <c r="AH727" s="380">
        <f t="shared" si="119"/>
        <v>176415.0822580645</v>
      </c>
      <c r="AI727" s="381">
        <f t="shared" si="120"/>
        <v>54799.415322580644</v>
      </c>
      <c r="AJ727" s="382">
        <f t="shared" si="124"/>
        <v>22828.051612903226</v>
      </c>
      <c r="AK727" s="394">
        <f t="shared" si="123"/>
        <v>254042.54919354836</v>
      </c>
      <c r="AL727" s="440"/>
    </row>
    <row r="728" spans="1:38">
      <c r="A728" s="557">
        <f>'Current month'!A24</f>
        <v>44794</v>
      </c>
      <c r="B728" s="598">
        <f>'Current month'!E24</f>
        <v>0</v>
      </c>
      <c r="C728" s="615" t="str">
        <f>'Current month'!CT24</f>
        <v>0</v>
      </c>
      <c r="D728" s="615">
        <f>'Current month'!CD24</f>
        <v>0</v>
      </c>
      <c r="E728" s="724">
        <f>'Current month'!Z24</f>
        <v>0</v>
      </c>
      <c r="F728" s="598">
        <f>'Current month'!CD24</f>
        <v>0</v>
      </c>
      <c r="G728" s="628">
        <f>'Current month'!X24</f>
        <v>0</v>
      </c>
      <c r="H728" s="599">
        <f>'Current month'!V24</f>
        <v>0</v>
      </c>
      <c r="I728" s="632">
        <f>'Current month'!AC24</f>
        <v>0</v>
      </c>
      <c r="J728" s="618">
        <v>5.37</v>
      </c>
      <c r="K728" s="615">
        <f t="shared" si="125"/>
        <v>0</v>
      </c>
      <c r="L728" s="615">
        <f t="shared" si="128"/>
        <v>0</v>
      </c>
      <c r="M728" s="615">
        <f t="shared" si="126"/>
        <v>0</v>
      </c>
      <c r="N728" s="619">
        <v>46.5</v>
      </c>
      <c r="O728" s="620">
        <f t="shared" si="127"/>
        <v>0</v>
      </c>
      <c r="P728" s="545" t="e">
        <f>'Current month'!F24</f>
        <v>#DIV/0!</v>
      </c>
      <c r="Q728" s="560">
        <f>'Current month'!EO24</f>
        <v>0</v>
      </c>
      <c r="R728" s="561">
        <f>'Current month'!EP24</f>
        <v>0</v>
      </c>
      <c r="S728" s="562">
        <f>'Current month'!AD24</f>
        <v>0</v>
      </c>
      <c r="T728" s="589">
        <f>'Current month'!CM24</f>
        <v>0</v>
      </c>
      <c r="U728" s="589">
        <f>'Current month'!CO24</f>
        <v>0</v>
      </c>
      <c r="V728" s="589">
        <f>'Current month'!CQ24</f>
        <v>0</v>
      </c>
      <c r="W728" s="716"/>
      <c r="Y728" s="368">
        <f t="shared" si="116"/>
        <v>44794</v>
      </c>
      <c r="Z728" s="429">
        <f>'Current month'!V24</f>
        <v>0</v>
      </c>
      <c r="AA728" s="393" t="e">
        <f t="shared" si="109"/>
        <v>#DIV/0!</v>
      </c>
      <c r="AB728" s="382">
        <f t="shared" si="110"/>
        <v>0</v>
      </c>
      <c r="AC728" s="429">
        <f>'Current month'!DG24</f>
        <v>0</v>
      </c>
      <c r="AD728" s="430">
        <f t="shared" si="111"/>
        <v>0</v>
      </c>
      <c r="AE728" s="429"/>
      <c r="AF728" s="430">
        <f t="shared" si="112"/>
        <v>0</v>
      </c>
      <c r="AG728" s="412"/>
      <c r="AH728" s="380">
        <f t="shared" si="119"/>
        <v>176415.0822580645</v>
      </c>
      <c r="AI728" s="381">
        <f t="shared" si="120"/>
        <v>54799.415322580644</v>
      </c>
      <c r="AJ728" s="382">
        <f t="shared" si="124"/>
        <v>22828.051612903226</v>
      </c>
      <c r="AK728" s="394">
        <f t="shared" si="123"/>
        <v>254042.54919354836</v>
      </c>
      <c r="AL728" s="440"/>
    </row>
    <row r="729" spans="1:38" ht="27.75" customHeight="1">
      <c r="A729" s="557">
        <f>'Current month'!A25</f>
        <v>44795</v>
      </c>
      <c r="B729" s="598">
        <f>'Current month'!E25</f>
        <v>0</v>
      </c>
      <c r="C729" s="615" t="str">
        <f>'Current month'!CT25</f>
        <v>0</v>
      </c>
      <c r="D729" s="615">
        <f>'Current month'!CD25</f>
        <v>0</v>
      </c>
      <c r="E729" s="724">
        <f>'Current month'!Z25</f>
        <v>0</v>
      </c>
      <c r="F729" s="598">
        <f>'Current month'!CD25</f>
        <v>0</v>
      </c>
      <c r="G729" s="628">
        <f>'Current month'!X25</f>
        <v>0</v>
      </c>
      <c r="H729" s="599">
        <f>'Current month'!V25</f>
        <v>0</v>
      </c>
      <c r="I729" s="632">
        <f>'Current month'!AC25</f>
        <v>0</v>
      </c>
      <c r="J729" s="618">
        <v>6.37</v>
      </c>
      <c r="K729" s="615">
        <f t="shared" si="125"/>
        <v>0</v>
      </c>
      <c r="L729" s="615">
        <f t="shared" si="128"/>
        <v>0</v>
      </c>
      <c r="M729" s="615">
        <f t="shared" si="126"/>
        <v>0</v>
      </c>
      <c r="N729" s="619">
        <v>47.5</v>
      </c>
      <c r="O729" s="620">
        <f t="shared" si="127"/>
        <v>0</v>
      </c>
      <c r="P729" s="559" t="e">
        <f>'Current month'!F25</f>
        <v>#DIV/0!</v>
      </c>
      <c r="Q729" s="560">
        <f>'Current month'!EO25</f>
        <v>0</v>
      </c>
      <c r="R729" s="561">
        <f>'Current month'!EP25</f>
        <v>0</v>
      </c>
      <c r="S729" s="562">
        <f>'Current month'!AD25</f>
        <v>0</v>
      </c>
      <c r="T729" s="589">
        <f>'Current month'!CM25</f>
        <v>0</v>
      </c>
      <c r="U729" s="589">
        <f>'Current month'!CO25</f>
        <v>0</v>
      </c>
      <c r="V729" s="589">
        <f>'Current month'!CQ25</f>
        <v>0</v>
      </c>
      <c r="W729" s="556"/>
      <c r="Y729" s="368">
        <f t="shared" si="116"/>
        <v>44795</v>
      </c>
      <c r="Z729" s="429">
        <f>'Current month'!V25</f>
        <v>0</v>
      </c>
      <c r="AA729" s="393" t="e">
        <f t="shared" si="109"/>
        <v>#DIV/0!</v>
      </c>
      <c r="AB729" s="382">
        <f t="shared" si="110"/>
        <v>0</v>
      </c>
      <c r="AC729" s="429">
        <f>'Current month'!DG25</f>
        <v>0</v>
      </c>
      <c r="AD729" s="430">
        <f t="shared" si="111"/>
        <v>0</v>
      </c>
      <c r="AE729" s="429"/>
      <c r="AF729" s="430">
        <f t="shared" si="112"/>
        <v>0</v>
      </c>
      <c r="AG729" s="412"/>
      <c r="AH729" s="380">
        <f t="shared" si="119"/>
        <v>176415.0822580645</v>
      </c>
      <c r="AI729" s="381">
        <f t="shared" si="120"/>
        <v>54799.415322580644</v>
      </c>
      <c r="AJ729" s="382">
        <f t="shared" si="124"/>
        <v>22828.051612903226</v>
      </c>
      <c r="AK729" s="394">
        <f t="shared" si="123"/>
        <v>254042.54919354836</v>
      </c>
      <c r="AL729" s="440"/>
    </row>
    <row r="730" spans="1:38" ht="36.75" customHeight="1">
      <c r="A730" s="557">
        <f>'Current month'!A26</f>
        <v>44796</v>
      </c>
      <c r="B730" s="598">
        <f>'Current month'!E26</f>
        <v>0</v>
      </c>
      <c r="C730" s="615" t="str">
        <f>'Current month'!CT26</f>
        <v>0</v>
      </c>
      <c r="D730" s="615">
        <f>'Current month'!CD26</f>
        <v>0</v>
      </c>
      <c r="E730" s="724">
        <f>'Current month'!Z26</f>
        <v>0</v>
      </c>
      <c r="F730" s="598">
        <f>'Current month'!CD26</f>
        <v>0</v>
      </c>
      <c r="G730" s="628">
        <f>'Current month'!X26</f>
        <v>0</v>
      </c>
      <c r="H730" s="599">
        <f>'Current month'!V26</f>
        <v>0</v>
      </c>
      <c r="I730" s="632">
        <f>'Current month'!AC26</f>
        <v>0</v>
      </c>
      <c r="J730" s="618">
        <v>7.37</v>
      </c>
      <c r="K730" s="615">
        <f t="shared" si="125"/>
        <v>0</v>
      </c>
      <c r="L730" s="615">
        <f t="shared" si="128"/>
        <v>0</v>
      </c>
      <c r="M730" s="615">
        <f t="shared" si="126"/>
        <v>0</v>
      </c>
      <c r="N730" s="619">
        <v>48.5</v>
      </c>
      <c r="O730" s="620">
        <f t="shared" si="127"/>
        <v>0</v>
      </c>
      <c r="P730" s="559" t="e">
        <f>'Current month'!F26</f>
        <v>#DIV/0!</v>
      </c>
      <c r="Q730" s="560">
        <f>'Current month'!EO26</f>
        <v>0</v>
      </c>
      <c r="R730" s="561">
        <f>'Current month'!EP26</f>
        <v>0</v>
      </c>
      <c r="S730" s="562">
        <f>'Current month'!AD26</f>
        <v>0</v>
      </c>
      <c r="T730" s="589">
        <f>'Current month'!CM26</f>
        <v>0</v>
      </c>
      <c r="U730" s="589">
        <f>'Current month'!CO26</f>
        <v>0</v>
      </c>
      <c r="V730" s="589">
        <f>'Current month'!CQ26</f>
        <v>0</v>
      </c>
      <c r="W730" s="556"/>
      <c r="Y730" s="368">
        <f>A730</f>
        <v>44796</v>
      </c>
      <c r="Z730" s="429">
        <f>'Current month'!V26</f>
        <v>0</v>
      </c>
      <c r="AA730" s="393" t="e">
        <f t="shared" si="109"/>
        <v>#DIV/0!</v>
      </c>
      <c r="AB730" s="382">
        <f t="shared" si="110"/>
        <v>0</v>
      </c>
      <c r="AC730" s="429">
        <f>'Current month'!DG26</f>
        <v>0</v>
      </c>
      <c r="AD730" s="430">
        <f t="shared" si="111"/>
        <v>0</v>
      </c>
      <c r="AE730" s="429"/>
      <c r="AF730" s="430">
        <f t="shared" si="112"/>
        <v>0</v>
      </c>
      <c r="AG730" s="412"/>
      <c r="AH730" s="380">
        <f t="shared" si="119"/>
        <v>176415.0822580645</v>
      </c>
      <c r="AI730" s="381">
        <f t="shared" si="120"/>
        <v>54799.415322580644</v>
      </c>
      <c r="AJ730" s="382">
        <f t="shared" si="124"/>
        <v>22828.051612903226</v>
      </c>
      <c r="AK730" s="396">
        <f t="shared" si="123"/>
        <v>254042.54919354836</v>
      </c>
      <c r="AL730" s="440"/>
    </row>
    <row r="731" spans="1:38">
      <c r="A731" s="557">
        <f>'Current month'!A27</f>
        <v>44797</v>
      </c>
      <c r="B731" s="598">
        <f>'Current month'!E27</f>
        <v>0</v>
      </c>
      <c r="C731" s="615" t="str">
        <f>'Current month'!CT27</f>
        <v>0</v>
      </c>
      <c r="D731" s="615">
        <f>'Current month'!CD27</f>
        <v>0</v>
      </c>
      <c r="E731" s="724">
        <f>'Current month'!Z27</f>
        <v>0</v>
      </c>
      <c r="F731" s="598">
        <f>'Current month'!CD27</f>
        <v>0</v>
      </c>
      <c r="G731" s="628">
        <f>'Current month'!X27</f>
        <v>0</v>
      </c>
      <c r="H731" s="599">
        <f>'Current month'!V27</f>
        <v>0</v>
      </c>
      <c r="I731" s="632">
        <f>'Current month'!AC27</f>
        <v>0</v>
      </c>
      <c r="J731" s="618">
        <v>8.3699999999999992</v>
      </c>
      <c r="K731" s="615">
        <f t="shared" si="125"/>
        <v>0</v>
      </c>
      <c r="L731" s="615">
        <f t="shared" si="128"/>
        <v>0</v>
      </c>
      <c r="M731" s="615">
        <f t="shared" si="126"/>
        <v>0</v>
      </c>
      <c r="N731" s="619">
        <v>49.5</v>
      </c>
      <c r="O731" s="620">
        <f t="shared" si="127"/>
        <v>0</v>
      </c>
      <c r="P731" s="482" t="e">
        <f>'Current month'!F27</f>
        <v>#DIV/0!</v>
      </c>
      <c r="Q731" s="437">
        <f>'Current month'!EO27</f>
        <v>0</v>
      </c>
      <c r="R731" s="438">
        <f>'Current month'!EP27</f>
        <v>0</v>
      </c>
      <c r="S731" s="439">
        <f>'Current month'!AD27</f>
        <v>0</v>
      </c>
      <c r="T731" s="589">
        <f>'Current month'!CM27</f>
        <v>0</v>
      </c>
      <c r="U731" s="589">
        <f>'Current month'!CO27</f>
        <v>0</v>
      </c>
      <c r="V731" s="589">
        <f>'Current month'!CQ27</f>
        <v>0</v>
      </c>
      <c r="W731" s="607"/>
      <c r="Y731" s="368">
        <f t="shared" si="116"/>
        <v>44797</v>
      </c>
      <c r="Z731" s="429">
        <f>'Current month'!V27</f>
        <v>0</v>
      </c>
      <c r="AA731" s="393" t="e">
        <f t="shared" si="109"/>
        <v>#DIV/0!</v>
      </c>
      <c r="AB731" s="382">
        <f t="shared" si="110"/>
        <v>0</v>
      </c>
      <c r="AC731" s="429">
        <f>'Current month'!DG27</f>
        <v>0</v>
      </c>
      <c r="AD731" s="430">
        <f t="shared" si="111"/>
        <v>0</v>
      </c>
      <c r="AE731" s="429"/>
      <c r="AF731" s="430">
        <f t="shared" si="112"/>
        <v>0</v>
      </c>
      <c r="AG731" s="412"/>
      <c r="AH731" s="380">
        <f t="shared" si="119"/>
        <v>176415.0822580645</v>
      </c>
      <c r="AI731" s="381">
        <f t="shared" si="120"/>
        <v>54799.415322580644</v>
      </c>
      <c r="AJ731" s="382">
        <f t="shared" si="124"/>
        <v>22828.051612903226</v>
      </c>
      <c r="AK731" s="396">
        <f t="shared" si="123"/>
        <v>254042.54919354836</v>
      </c>
      <c r="AL731" s="440"/>
    </row>
    <row r="732" spans="1:38">
      <c r="A732" s="557">
        <f>'Current month'!A28</f>
        <v>44798</v>
      </c>
      <c r="B732" s="615">
        <f>'Current month'!E28</f>
        <v>0</v>
      </c>
      <c r="C732" s="615" t="str">
        <f>'Current month'!CT28</f>
        <v>0</v>
      </c>
      <c r="D732" s="615">
        <f>'Current month'!CD28</f>
        <v>0</v>
      </c>
      <c r="E732" s="724">
        <f>'Current month'!Z28</f>
        <v>0</v>
      </c>
      <c r="F732" s="598">
        <f>'Current month'!CD28</f>
        <v>0</v>
      </c>
      <c r="G732" s="628">
        <f>'Current month'!X28</f>
        <v>0</v>
      </c>
      <c r="H732" s="599">
        <f>'Current month'!V28</f>
        <v>0</v>
      </c>
      <c r="I732" s="632">
        <f>'Current month'!AC28</f>
        <v>0</v>
      </c>
      <c r="J732" s="618">
        <v>9.3699999999999992</v>
      </c>
      <c r="K732" s="615">
        <f t="shared" si="125"/>
        <v>0</v>
      </c>
      <c r="L732" s="615">
        <f t="shared" si="128"/>
        <v>0</v>
      </c>
      <c r="M732" s="615">
        <f t="shared" si="126"/>
        <v>0</v>
      </c>
      <c r="N732" s="619">
        <v>50.5</v>
      </c>
      <c r="O732" s="620">
        <f t="shared" si="127"/>
        <v>0</v>
      </c>
      <c r="P732" s="682" t="e">
        <f>'Current month'!F28</f>
        <v>#DIV/0!</v>
      </c>
      <c r="Q732" s="683">
        <f>'Current month'!EO28</f>
        <v>0</v>
      </c>
      <c r="R732" s="684">
        <f>'Current month'!EP28</f>
        <v>0</v>
      </c>
      <c r="S732" s="685">
        <f>'Current month'!AD28</f>
        <v>0</v>
      </c>
      <c r="T732" s="675">
        <f>'Current month'!CM28</f>
        <v>0</v>
      </c>
      <c r="U732" s="675">
        <f>'Current month'!CO28</f>
        <v>0</v>
      </c>
      <c r="V732" s="675">
        <f>'Current month'!CQ28</f>
        <v>0</v>
      </c>
      <c r="W732" s="607"/>
      <c r="Y732" s="368">
        <f t="shared" si="116"/>
        <v>44798</v>
      </c>
      <c r="Z732" s="429">
        <f>'Current month'!V28</f>
        <v>0</v>
      </c>
      <c r="AA732" s="393" t="e">
        <f t="shared" si="109"/>
        <v>#DIV/0!</v>
      </c>
      <c r="AB732" s="382">
        <f t="shared" si="110"/>
        <v>0</v>
      </c>
      <c r="AC732" s="429">
        <f>'Current month'!DG28</f>
        <v>0</v>
      </c>
      <c r="AD732" s="430">
        <f t="shared" si="111"/>
        <v>0</v>
      </c>
      <c r="AE732" s="429"/>
      <c r="AF732" s="430">
        <f t="shared" si="112"/>
        <v>0</v>
      </c>
      <c r="AG732" s="412"/>
      <c r="AH732" s="380">
        <f t="shared" si="119"/>
        <v>176415.0822580645</v>
      </c>
      <c r="AI732" s="381">
        <f t="shared" si="120"/>
        <v>54799.415322580644</v>
      </c>
      <c r="AJ732" s="382">
        <f t="shared" si="124"/>
        <v>22828.051612903226</v>
      </c>
      <c r="AK732" s="396">
        <f t="shared" si="123"/>
        <v>254042.54919354836</v>
      </c>
      <c r="AL732" s="440"/>
    </row>
    <row r="733" spans="1:38">
      <c r="A733" s="557">
        <f>'Current month'!A29</f>
        <v>44799</v>
      </c>
      <c r="B733" s="615">
        <f>'Current month'!E29</f>
        <v>0</v>
      </c>
      <c r="C733" s="615" t="str">
        <f>'Current month'!CT29</f>
        <v>0</v>
      </c>
      <c r="D733" s="615">
        <f>'Current month'!CD29</f>
        <v>0</v>
      </c>
      <c r="E733" s="724">
        <f>'Current month'!Z29</f>
        <v>0</v>
      </c>
      <c r="F733" s="598">
        <f>'Current month'!CD29</f>
        <v>0</v>
      </c>
      <c r="G733" s="628">
        <f>'Current month'!X29</f>
        <v>0</v>
      </c>
      <c r="H733" s="599">
        <f>'Current month'!V29</f>
        <v>0</v>
      </c>
      <c r="I733" s="632">
        <f>'Current month'!AC29</f>
        <v>0</v>
      </c>
      <c r="J733" s="618">
        <v>10.37</v>
      </c>
      <c r="K733" s="615">
        <f t="shared" si="125"/>
        <v>0</v>
      </c>
      <c r="L733" s="615">
        <f t="shared" si="128"/>
        <v>0</v>
      </c>
      <c r="M733" s="615">
        <f t="shared" si="126"/>
        <v>0</v>
      </c>
      <c r="N733" s="619">
        <v>51.5</v>
      </c>
      <c r="O733" s="620">
        <f t="shared" si="127"/>
        <v>0</v>
      </c>
      <c r="P733" s="682" t="e">
        <f>'Current month'!F29</f>
        <v>#DIV/0!</v>
      </c>
      <c r="Q733" s="683">
        <f>'Current month'!EO29</f>
        <v>0</v>
      </c>
      <c r="R733" s="684">
        <f>'Current month'!EP29</f>
        <v>0</v>
      </c>
      <c r="S733" s="685">
        <f>'Current month'!AD29</f>
        <v>0</v>
      </c>
      <c r="T733" s="675">
        <f>'Current month'!CM30</f>
        <v>0</v>
      </c>
      <c r="U733" s="675">
        <f>'Current month'!CO29</f>
        <v>0</v>
      </c>
      <c r="V733" s="675">
        <f>'Current month'!CQ29</f>
        <v>0</v>
      </c>
      <c r="W733" s="676"/>
      <c r="Y733" s="368">
        <f t="shared" si="116"/>
        <v>44799</v>
      </c>
      <c r="Z733" s="429">
        <f>'Current month'!V29</f>
        <v>0</v>
      </c>
      <c r="AA733" s="393" t="e">
        <f t="shared" si="109"/>
        <v>#DIV/0!</v>
      </c>
      <c r="AB733" s="382">
        <f t="shared" si="110"/>
        <v>0</v>
      </c>
      <c r="AC733" s="429">
        <f>'Current month'!DG29</f>
        <v>0</v>
      </c>
      <c r="AD733" s="430">
        <f t="shared" si="111"/>
        <v>0</v>
      </c>
      <c r="AE733" s="429"/>
      <c r="AF733" s="430">
        <f t="shared" si="112"/>
        <v>0</v>
      </c>
      <c r="AG733" s="412"/>
      <c r="AH733" s="380">
        <f t="shared" si="119"/>
        <v>176415.0822580645</v>
      </c>
      <c r="AI733" s="381">
        <f t="shared" si="120"/>
        <v>54799.415322580644</v>
      </c>
      <c r="AJ733" s="382">
        <f t="shared" si="124"/>
        <v>22828.051612903226</v>
      </c>
      <c r="AK733" s="396">
        <f t="shared" si="123"/>
        <v>254042.54919354836</v>
      </c>
      <c r="AL733" s="440"/>
    </row>
    <row r="734" spans="1:38" ht="15">
      <c r="A734" s="662">
        <f>'Current month'!A30</f>
        <v>44800</v>
      </c>
      <c r="B734" s="615">
        <f>'Current month'!E30</f>
        <v>0</v>
      </c>
      <c r="C734" s="664" t="str">
        <f>'Current month'!CT30</f>
        <v>0</v>
      </c>
      <c r="D734" s="663">
        <f>'Current month'!CD30</f>
        <v>0</v>
      </c>
      <c r="E734" s="725">
        <f>'Current month'!Z30</f>
        <v>0</v>
      </c>
      <c r="F734" s="598">
        <f>'Current month'!CD30</f>
        <v>0</v>
      </c>
      <c r="G734" s="665">
        <f>'Current month'!X30</f>
        <v>0</v>
      </c>
      <c r="H734" s="666">
        <f>'Current month'!V30</f>
        <v>0</v>
      </c>
      <c r="I734" s="667">
        <f>'Current month'!AC30</f>
        <v>0</v>
      </c>
      <c r="J734" s="668"/>
      <c r="K734" s="663">
        <f t="shared" si="106"/>
        <v>0</v>
      </c>
      <c r="L734" s="664">
        <f t="shared" si="115"/>
        <v>0</v>
      </c>
      <c r="M734" s="663">
        <f t="shared" si="107"/>
        <v>0</v>
      </c>
      <c r="N734" s="669">
        <v>52.5</v>
      </c>
      <c r="O734" s="670">
        <f t="shared" si="108"/>
        <v>0</v>
      </c>
      <c r="P734" s="671" t="e">
        <f>'Current month'!F30</f>
        <v>#DIV/0!</v>
      </c>
      <c r="Q734" s="672">
        <f>'Current month'!EO30</f>
        <v>0</v>
      </c>
      <c r="R734" s="673">
        <f>'Current month'!EP30</f>
        <v>0</v>
      </c>
      <c r="S734" s="674">
        <f>'Current month'!AD30</f>
        <v>0</v>
      </c>
      <c r="T734" s="675">
        <f>'Current month'!CM30</f>
        <v>0</v>
      </c>
      <c r="U734" s="675">
        <f>'Current month'!CO30</f>
        <v>0</v>
      </c>
      <c r="V734" s="675">
        <f>'Current month'!CQ30</f>
        <v>0</v>
      </c>
      <c r="W734" s="485"/>
      <c r="Y734" s="368">
        <f t="shared" si="116"/>
        <v>44800</v>
      </c>
      <c r="Z734" s="429">
        <f>'Current month'!V30</f>
        <v>0</v>
      </c>
      <c r="AA734" s="393" t="e">
        <f t="shared" si="109"/>
        <v>#DIV/0!</v>
      </c>
      <c r="AB734" s="382">
        <f t="shared" si="110"/>
        <v>0</v>
      </c>
      <c r="AC734" s="429">
        <f>'Current month'!DG30</f>
        <v>0</v>
      </c>
      <c r="AD734" s="430">
        <f t="shared" si="111"/>
        <v>0</v>
      </c>
      <c r="AE734" s="429"/>
      <c r="AF734" s="430">
        <f t="shared" si="112"/>
        <v>0</v>
      </c>
      <c r="AG734" s="412"/>
      <c r="AH734" s="380">
        <f t="shared" si="119"/>
        <v>176415.0822580645</v>
      </c>
      <c r="AI734" s="381">
        <f t="shared" si="120"/>
        <v>54799.415322580644</v>
      </c>
      <c r="AJ734" s="382">
        <f t="shared" si="124"/>
        <v>22828.051612903226</v>
      </c>
      <c r="AK734" s="396">
        <f t="shared" si="123"/>
        <v>254042.54919354836</v>
      </c>
      <c r="AL734" s="440"/>
    </row>
    <row r="735" spans="1:38">
      <c r="A735" s="662">
        <f>'Current month'!A31</f>
        <v>44801</v>
      </c>
      <c r="B735" s="677">
        <f>'Current month'!E31</f>
        <v>0</v>
      </c>
      <c r="C735" s="664" t="str">
        <f>'Current month'!CT31</f>
        <v>0</v>
      </c>
      <c r="D735" s="677">
        <f>'Current month'!CD31</f>
        <v>0</v>
      </c>
      <c r="E735" s="725">
        <f>'Current month'!Z31</f>
        <v>0</v>
      </c>
      <c r="F735" s="598">
        <f>'Current month'!CD31</f>
        <v>0</v>
      </c>
      <c r="G735" s="665">
        <f>'Current month'!X31</f>
        <v>0</v>
      </c>
      <c r="H735" s="666">
        <f>'Current month'!V31</f>
        <v>0</v>
      </c>
      <c r="I735" s="667">
        <f>'Current month'!AC31</f>
        <v>0</v>
      </c>
      <c r="J735" s="678"/>
      <c r="K735" s="677">
        <f t="shared" si="106"/>
        <v>0</v>
      </c>
      <c r="L735" s="664">
        <f t="shared" si="115"/>
        <v>0</v>
      </c>
      <c r="M735" s="677">
        <f t="shared" si="107"/>
        <v>0</v>
      </c>
      <c r="N735" s="679">
        <v>53.5</v>
      </c>
      <c r="O735" s="680">
        <f t="shared" si="108"/>
        <v>0</v>
      </c>
      <c r="P735" s="681" t="e">
        <f>'Current month'!F31</f>
        <v>#DIV/0!</v>
      </c>
      <c r="Q735" s="672">
        <f>'Current month'!EO31</f>
        <v>0</v>
      </c>
      <c r="R735" s="673">
        <f>'Current month'!EP31</f>
        <v>0</v>
      </c>
      <c r="S735" s="674">
        <f>'Current month'!AD31</f>
        <v>0</v>
      </c>
      <c r="T735" s="675">
        <f>'Current month'!CM32</f>
        <v>0</v>
      </c>
      <c r="U735" s="675">
        <f>'Current month'!CO31</f>
        <v>0</v>
      </c>
      <c r="V735" s="675">
        <f>'Current month'!CQ31</f>
        <v>0</v>
      </c>
      <c r="Y735" s="368">
        <f t="shared" si="116"/>
        <v>44801</v>
      </c>
      <c r="Z735" s="429">
        <f>'Current month'!V31</f>
        <v>0</v>
      </c>
      <c r="AA735" s="393" t="e">
        <f t="shared" si="109"/>
        <v>#DIV/0!</v>
      </c>
      <c r="AB735" s="382">
        <f t="shared" si="110"/>
        <v>0</v>
      </c>
      <c r="AC735" s="429">
        <f>'Current month'!DG31</f>
        <v>0</v>
      </c>
      <c r="AD735" s="430">
        <f t="shared" si="111"/>
        <v>0</v>
      </c>
      <c r="AE735" s="429"/>
      <c r="AF735" s="430">
        <f t="shared" si="112"/>
        <v>0</v>
      </c>
      <c r="AG735" s="412"/>
      <c r="AH735" s="380">
        <f t="shared" si="119"/>
        <v>176415.0822580645</v>
      </c>
      <c r="AI735" s="381">
        <f t="shared" si="120"/>
        <v>54799.415322580644</v>
      </c>
      <c r="AJ735" s="382">
        <f t="shared" si="124"/>
        <v>22828.051612903226</v>
      </c>
      <c r="AK735" s="396">
        <f t="shared" si="123"/>
        <v>254042.54919354836</v>
      </c>
      <c r="AL735" s="440"/>
    </row>
    <row r="736" spans="1:38">
      <c r="A736" s="557">
        <f>'Current month'!A32</f>
        <v>44802</v>
      </c>
      <c r="B736" s="615">
        <f>'Current month'!E32</f>
        <v>0</v>
      </c>
      <c r="C736" s="615" t="str">
        <f>'Current month'!CT32</f>
        <v>0</v>
      </c>
      <c r="D736" s="615">
        <f>'Current month'!CD32</f>
        <v>0</v>
      </c>
      <c r="E736" s="724">
        <f>'Current month'!Z32</f>
        <v>0</v>
      </c>
      <c r="F736" s="598">
        <f>'Current month'!CD32</f>
        <v>0</v>
      </c>
      <c r="G736" s="628">
        <f>'Current month'!X32</f>
        <v>0</v>
      </c>
      <c r="H736" s="599">
        <f>'Current month'!V32</f>
        <v>0</v>
      </c>
      <c r="I736" s="632">
        <f>'Current month'!AC32</f>
        <v>0</v>
      </c>
      <c r="J736" s="618"/>
      <c r="K736" s="615">
        <f t="shared" si="106"/>
        <v>0</v>
      </c>
      <c r="L736" s="615">
        <f t="shared" si="115"/>
        <v>0</v>
      </c>
      <c r="M736" s="615">
        <f t="shared" si="107"/>
        <v>0</v>
      </c>
      <c r="N736" s="619">
        <v>54.5</v>
      </c>
      <c r="O736" s="620">
        <f t="shared" si="108"/>
        <v>0</v>
      </c>
      <c r="P736" s="682" t="e">
        <f>'Current month'!F32</f>
        <v>#DIV/0!</v>
      </c>
      <c r="Q736" s="683">
        <f>'Current month'!EO32</f>
        <v>0</v>
      </c>
      <c r="R736" s="684">
        <f>'Current month'!EP32</f>
        <v>0</v>
      </c>
      <c r="S736" s="685">
        <f>'Current month'!AD32</f>
        <v>0</v>
      </c>
      <c r="T736" s="675">
        <f>'Current month'!CM32</f>
        <v>0</v>
      </c>
      <c r="U736" s="675">
        <f>'Current month'!CO32</f>
        <v>0</v>
      </c>
      <c r="V736" s="675">
        <f>'Current month'!CQ32</f>
        <v>0</v>
      </c>
      <c r="Y736" s="368">
        <f t="shared" si="116"/>
        <v>44802</v>
      </c>
      <c r="Z736" s="429">
        <f>'Current month'!V32</f>
        <v>0</v>
      </c>
      <c r="AA736" s="393" t="e">
        <f t="shared" si="109"/>
        <v>#DIV/0!</v>
      </c>
      <c r="AB736" s="382">
        <f t="shared" si="110"/>
        <v>0</v>
      </c>
      <c r="AC736" s="429">
        <f>'Current month'!DG32</f>
        <v>0</v>
      </c>
      <c r="AD736" s="430">
        <f t="shared" si="111"/>
        <v>0</v>
      </c>
      <c r="AE736" s="429"/>
      <c r="AF736" s="430">
        <f t="shared" si="112"/>
        <v>0</v>
      </c>
      <c r="AG736" s="412"/>
      <c r="AH736" s="380">
        <f t="shared" si="119"/>
        <v>176415.0822580645</v>
      </c>
      <c r="AI736" s="381">
        <f t="shared" si="120"/>
        <v>54799.415322580644</v>
      </c>
      <c r="AJ736" s="382">
        <f t="shared" si="124"/>
        <v>22828.051612903226</v>
      </c>
      <c r="AK736" s="396">
        <f t="shared" si="123"/>
        <v>254042.54919354836</v>
      </c>
      <c r="AL736" s="440"/>
    </row>
    <row r="737" spans="1:38">
      <c r="A737" s="557">
        <f>'Current month'!A33</f>
        <v>44803</v>
      </c>
      <c r="B737" s="615">
        <f>'Current month'!E33</f>
        <v>0</v>
      </c>
      <c r="C737" s="615" t="str">
        <f>'Current month'!CT33</f>
        <v>0</v>
      </c>
      <c r="D737" s="615">
        <f>'Current month'!CD33</f>
        <v>0</v>
      </c>
      <c r="E737" s="724">
        <f>'Current month'!Z33</f>
        <v>0</v>
      </c>
      <c r="F737" s="598">
        <f>'Current month'!CD33</f>
        <v>0</v>
      </c>
      <c r="G737" s="628">
        <f>'Current month'!X33</f>
        <v>0</v>
      </c>
      <c r="H737" s="599">
        <f>'Current month'!V33</f>
        <v>0</v>
      </c>
      <c r="I737" s="632">
        <f>'Current month'!AC33</f>
        <v>0</v>
      </c>
      <c r="J737" s="618"/>
      <c r="K737" s="615">
        <f t="shared" si="106"/>
        <v>0</v>
      </c>
      <c r="L737" s="615">
        <f t="shared" si="115"/>
        <v>0</v>
      </c>
      <c r="M737" s="615">
        <f t="shared" si="107"/>
        <v>0</v>
      </c>
      <c r="N737" s="619">
        <v>55.5</v>
      </c>
      <c r="O737" s="620">
        <f t="shared" si="108"/>
        <v>0</v>
      </c>
      <c r="P737" s="682" t="e">
        <f>'Current month'!F33</f>
        <v>#DIV/0!</v>
      </c>
      <c r="Q737" s="683">
        <f>'Current month'!EO33</f>
        <v>0</v>
      </c>
      <c r="R737" s="684">
        <f>'Current month'!EP33</f>
        <v>0</v>
      </c>
      <c r="S737" s="685">
        <f>'Current month'!AD33</f>
        <v>0</v>
      </c>
      <c r="T737" s="675">
        <f>'Current month'!CM33</f>
        <v>0</v>
      </c>
      <c r="U737" s="675">
        <f>'Current month'!CO33</f>
        <v>0</v>
      </c>
      <c r="V737" s="675">
        <f>'Current month'!CQ33</f>
        <v>0</v>
      </c>
      <c r="W737" s="485"/>
      <c r="Y737" s="368">
        <f t="shared" si="116"/>
        <v>44803</v>
      </c>
      <c r="Z737" s="429">
        <f>'Current month'!V33</f>
        <v>0</v>
      </c>
      <c r="AA737" s="393" t="e">
        <f t="shared" si="109"/>
        <v>#DIV/0!</v>
      </c>
      <c r="AB737" s="382">
        <f t="shared" si="110"/>
        <v>0</v>
      </c>
      <c r="AC737" s="429">
        <f>'Current month'!DG33</f>
        <v>0</v>
      </c>
      <c r="AD737" s="430">
        <f t="shared" si="111"/>
        <v>0</v>
      </c>
      <c r="AE737" s="429"/>
      <c r="AF737" s="430">
        <f t="shared" si="112"/>
        <v>0</v>
      </c>
      <c r="AG737" s="412"/>
      <c r="AH737" s="380">
        <f t="shared" si="119"/>
        <v>176415.0822580645</v>
      </c>
      <c r="AI737" s="381">
        <f t="shared" si="120"/>
        <v>54799.415322580644</v>
      </c>
      <c r="AJ737" s="382">
        <f t="shared" si="124"/>
        <v>22828.051612903226</v>
      </c>
      <c r="AK737" s="396">
        <f t="shared" si="123"/>
        <v>254042.54919354836</v>
      </c>
      <c r="AL737" s="440"/>
    </row>
    <row r="738" spans="1:38">
      <c r="A738" s="557">
        <f>'Current month'!A34</f>
        <v>44804</v>
      </c>
      <c r="B738" s="615">
        <f>'Current month'!E34</f>
        <v>0</v>
      </c>
      <c r="C738" s="615" t="str">
        <f>'Current month'!CT34</f>
        <v>0</v>
      </c>
      <c r="D738" s="615">
        <f>'Current month'!CD34</f>
        <v>0</v>
      </c>
      <c r="E738" s="724">
        <f>'Current month'!Z34</f>
        <v>0</v>
      </c>
      <c r="F738" s="598">
        <f>'Current month'!CD34</f>
        <v>0</v>
      </c>
      <c r="G738" s="628">
        <f>'Current month'!X34</f>
        <v>0</v>
      </c>
      <c r="H738" s="599">
        <f>'Current month'!V34</f>
        <v>2994789</v>
      </c>
      <c r="I738" s="632">
        <f>'Current month'!AC34</f>
        <v>0</v>
      </c>
      <c r="J738" s="618"/>
      <c r="K738" s="615">
        <f t="shared" ref="K738:K739" si="129">B738*6.21</f>
        <v>0</v>
      </c>
      <c r="L738" s="615">
        <f>C738*53.65</f>
        <v>0</v>
      </c>
      <c r="M738" s="615" t="e">
        <f t="shared" ref="M738:M739" si="130" xml:space="preserve"> (D738-(S738*25))*34+S738*2500</f>
        <v>#REF!</v>
      </c>
      <c r="N738" s="619">
        <v>56.5</v>
      </c>
      <c r="O738" s="620" t="e">
        <f t="shared" ref="O738:O739" si="131">K738+L738+M738</f>
        <v>#REF!</v>
      </c>
      <c r="P738" s="682" t="e">
        <f>'Current month'!#REF!</f>
        <v>#REF!</v>
      </c>
      <c r="Q738" s="683" t="e">
        <f>'Current month'!#REF!</f>
        <v>#REF!</v>
      </c>
      <c r="R738" s="684" t="e">
        <f>'Current month'!#REF!</f>
        <v>#REF!</v>
      </c>
      <c r="S738" s="685" t="e">
        <f>'Current month'!#REF!</f>
        <v>#REF!</v>
      </c>
      <c r="T738" s="675" t="e">
        <f>'Current month'!#REF!</f>
        <v>#REF!</v>
      </c>
      <c r="U738" s="675" t="e">
        <f>'Current month'!#REF!</f>
        <v>#REF!</v>
      </c>
      <c r="V738" s="675" t="e">
        <f>'Current month'!#REF!</f>
        <v>#REF!</v>
      </c>
      <c r="W738" s="483"/>
      <c r="Y738" s="368">
        <f t="shared" ref="Y738" si="132">A738</f>
        <v>44804</v>
      </c>
      <c r="Z738" s="429" t="e">
        <f>'Current month'!#REF!</f>
        <v>#REF!</v>
      </c>
      <c r="AA738" s="393" t="e">
        <f t="shared" si="109"/>
        <v>#REF!</v>
      </c>
      <c r="AB738" s="382" t="e">
        <f t="shared" ref="AB738" si="133">Z738*6.21</f>
        <v>#REF!</v>
      </c>
      <c r="AC738" s="429" t="e">
        <f>'Current month'!#REF!</f>
        <v>#REF!</v>
      </c>
      <c r="AD738" s="430" t="e">
        <f t="shared" ref="AD738" si="134">AC738*55.95</f>
        <v>#REF!</v>
      </c>
      <c r="AE738" s="429"/>
      <c r="AF738" s="430">
        <f t="shared" ref="AF738" si="135">AE738*55.95</f>
        <v>0</v>
      </c>
      <c r="AG738" s="412"/>
      <c r="AH738" s="380">
        <f t="shared" si="119"/>
        <v>176415.0822580645</v>
      </c>
      <c r="AI738" s="381">
        <f t="shared" si="120"/>
        <v>54799.415322580644</v>
      </c>
      <c r="AJ738" s="382" t="e">
        <f t="shared" si="124"/>
        <v>#REF!</v>
      </c>
      <c r="AK738" s="396" t="e">
        <f t="shared" si="123"/>
        <v>#REF!</v>
      </c>
      <c r="AL738" s="440"/>
    </row>
    <row r="739" spans="1:38">
      <c r="A739" s="443" t="s">
        <v>161</v>
      </c>
      <c r="B739" s="386">
        <f>'Current month'!E35</f>
        <v>67119</v>
      </c>
      <c r="C739" s="444">
        <f t="shared" ref="C739:D739" si="136">SUM(C708:C738)</f>
        <v>5172</v>
      </c>
      <c r="D739" s="444">
        <f t="shared" si="136"/>
        <v>570</v>
      </c>
      <c r="E739" s="444"/>
      <c r="F739" s="598">
        <f>'Current month'!CD35</f>
        <v>570</v>
      </c>
      <c r="G739" s="628">
        <f>'Current month'!X35</f>
        <v>1562</v>
      </c>
      <c r="H739" s="599">
        <f>'Current month'!V35</f>
        <v>2998031</v>
      </c>
      <c r="I739" s="632">
        <f>'Current month'!AC35</f>
        <v>0</v>
      </c>
      <c r="J739" s="618"/>
      <c r="K739" s="615">
        <f t="shared" si="129"/>
        <v>416808.99</v>
      </c>
      <c r="L739" s="615">
        <f t="shared" ref="L739" si="137">C739*53.65</f>
        <v>277477.8</v>
      </c>
      <c r="M739" s="615">
        <f t="shared" si="130"/>
        <v>19380</v>
      </c>
      <c r="N739" s="619">
        <v>57.5</v>
      </c>
      <c r="O739" s="620">
        <f t="shared" si="131"/>
        <v>713666.79</v>
      </c>
      <c r="P739" s="444"/>
      <c r="Q739" s="437"/>
      <c r="R739" s="438"/>
      <c r="S739" s="439"/>
      <c r="T739" s="439"/>
      <c r="U739" s="439"/>
      <c r="V739" s="439"/>
      <c r="W739" s="439"/>
      <c r="Y739" s="409" t="s">
        <v>161</v>
      </c>
      <c r="Z739" s="410" t="e">
        <f t="shared" ref="Z739:AE739" si="138">SUM(Z708:Z738)</f>
        <v>#REF!</v>
      </c>
      <c r="AA739" s="410" t="e">
        <f t="shared" si="138"/>
        <v>#DIV/0!</v>
      </c>
      <c r="AB739" s="410" t="e">
        <f t="shared" si="138"/>
        <v>#REF!</v>
      </c>
      <c r="AC739" s="410" t="e">
        <f t="shared" si="138"/>
        <v>#REF!</v>
      </c>
      <c r="AD739" s="410" t="e">
        <f t="shared" si="138"/>
        <v>#REF!</v>
      </c>
      <c r="AE739" s="410">
        <f t="shared" si="138"/>
        <v>0</v>
      </c>
      <c r="AF739" s="410">
        <f>SUM(AF708:AF738)</f>
        <v>0</v>
      </c>
      <c r="AG739" s="412"/>
      <c r="AH739" s="397">
        <f>SUM(AH708:AH735)</f>
        <v>4522813.3132258039</v>
      </c>
      <c r="AI739" s="397">
        <f>SUM(AI708:AI735)</f>
        <v>1256905.8290322577</v>
      </c>
      <c r="AJ739" s="397">
        <f>SUM(AJ708:AJ735)</f>
        <v>596705.44516129058</v>
      </c>
      <c r="AK739" s="397">
        <f>SUM(AK708:AK735)</f>
        <v>6376424.5874193525</v>
      </c>
      <c r="AL739" s="440"/>
    </row>
    <row r="740" spans="1:38">
      <c r="J740" s="504"/>
    </row>
    <row r="741" spans="1:38">
      <c r="A741" s="362"/>
      <c r="B741" s="362"/>
      <c r="C741" s="362"/>
      <c r="D741" s="362"/>
      <c r="E741" s="362"/>
      <c r="F741" s="362"/>
      <c r="G741" s="362"/>
      <c r="H741" s="362"/>
      <c r="I741" s="362"/>
      <c r="J741" s="362"/>
    </row>
    <row r="742" spans="1:38">
      <c r="A742" s="706"/>
      <c r="B742" s="792"/>
      <c r="C742" s="792"/>
      <c r="D742" s="792"/>
      <c r="E742" s="694"/>
      <c r="F742" s="694"/>
      <c r="G742" s="694"/>
      <c r="H742" s="694"/>
      <c r="I742" s="694"/>
      <c r="J742" s="694"/>
      <c r="K742" s="792"/>
      <c r="L742" s="792"/>
      <c r="M742" s="792"/>
      <c r="N742" s="792"/>
      <c r="O742" s="793"/>
      <c r="P742" s="695"/>
      <c r="Q742" s="793"/>
      <c r="R742" s="793"/>
      <c r="Y742" s="706"/>
      <c r="Z742" s="804"/>
      <c r="AA742" s="804"/>
      <c r="AB742" s="804"/>
      <c r="AC742" s="804"/>
      <c r="AD742" s="804"/>
      <c r="AE742" s="804"/>
      <c r="AF742" s="804"/>
    </row>
    <row r="743" spans="1:38">
      <c r="A743" s="412">
        <f>'Current month'!A39</f>
        <v>0</v>
      </c>
      <c r="B743" s="694"/>
      <c r="C743" s="694"/>
      <c r="D743" s="694"/>
      <c r="E743" s="694"/>
      <c r="F743" s="694"/>
      <c r="G743" s="694"/>
      <c r="H743" s="694"/>
      <c r="I743" s="694"/>
      <c r="J743" s="694"/>
      <c r="K743" s="694"/>
      <c r="L743" s="694"/>
      <c r="M743" s="694"/>
      <c r="N743" s="792"/>
      <c r="O743" s="793"/>
      <c r="P743" s="695"/>
      <c r="Q743" s="793"/>
      <c r="R743" s="793"/>
      <c r="Z743" s="694"/>
      <c r="AA743" s="694"/>
      <c r="AB743" s="694"/>
      <c r="AC743" s="694"/>
      <c r="AD743" s="694"/>
      <c r="AE743" s="694"/>
      <c r="AF743" s="694"/>
    </row>
    <row r="744" spans="1:38">
      <c r="B744" s="459"/>
      <c r="C744" s="459"/>
      <c r="D744" s="459"/>
      <c r="E744" s="459"/>
      <c r="F744" s="459"/>
      <c r="G744" s="459"/>
      <c r="H744" s="459"/>
      <c r="I744" s="459"/>
      <c r="J744" s="459"/>
      <c r="K744" s="411"/>
      <c r="L744" s="411"/>
      <c r="M744" s="411"/>
      <c r="N744" s="459"/>
      <c r="O744" s="459"/>
      <c r="P744" s="459"/>
      <c r="Q744" s="459"/>
      <c r="R744" s="531"/>
      <c r="Z744" s="459"/>
      <c r="AA744" s="459"/>
      <c r="AB744" s="411"/>
      <c r="AC744" s="459"/>
      <c r="AD744" s="524"/>
      <c r="AE744" s="459"/>
      <c r="AF744" s="524"/>
    </row>
    <row r="746" spans="1:38">
      <c r="Q746" s="472"/>
      <c r="R746" s="472"/>
    </row>
    <row r="750" spans="1:38">
      <c r="A750" s="706"/>
      <c r="B750" s="792"/>
      <c r="C750" s="792"/>
      <c r="D750" s="792"/>
      <c r="E750" s="694"/>
      <c r="F750" s="694"/>
      <c r="G750" s="694"/>
      <c r="H750" s="694"/>
      <c r="I750" s="694"/>
      <c r="J750" s="694"/>
      <c r="K750" s="792"/>
      <c r="L750" s="792"/>
      <c r="M750" s="792"/>
      <c r="N750" s="792"/>
      <c r="O750" s="793"/>
      <c r="P750" s="695"/>
      <c r="Q750" s="695"/>
      <c r="R750" s="695"/>
      <c r="S750" s="794"/>
      <c r="T750" s="707"/>
      <c r="U750" s="707"/>
      <c r="V750" s="707"/>
      <c r="W750" s="707"/>
    </row>
    <row r="751" spans="1:38" ht="30.75" customHeight="1">
      <c r="B751" s="695"/>
      <c r="C751" s="694"/>
      <c r="D751" s="694"/>
      <c r="E751" s="694"/>
      <c r="F751" s="694"/>
      <c r="G751" s="694"/>
      <c r="H751" s="694"/>
      <c r="I751" s="694"/>
      <c r="J751" s="694"/>
      <c r="K751" s="694"/>
      <c r="L751" s="694"/>
      <c r="M751" s="694"/>
      <c r="N751" s="792"/>
      <c r="O751" s="793"/>
      <c r="P751" s="695"/>
      <c r="Q751" s="695"/>
      <c r="R751" s="695"/>
      <c r="S751" s="794"/>
      <c r="T751" s="707"/>
      <c r="U751" s="707"/>
      <c r="V751" s="707"/>
      <c r="W751" s="707"/>
    </row>
    <row r="752" spans="1:38">
      <c r="B752" s="459"/>
      <c r="C752" s="459"/>
      <c r="D752" s="459"/>
      <c r="E752" s="459"/>
      <c r="F752" s="459"/>
      <c r="G752" s="459"/>
      <c r="H752" s="459"/>
      <c r="I752" s="459"/>
      <c r="J752" s="459"/>
      <c r="K752" s="459"/>
      <c r="L752" s="459"/>
      <c r="M752" s="459"/>
      <c r="N752" s="459"/>
      <c r="O752" s="459"/>
      <c r="P752" s="459"/>
      <c r="Q752" s="459"/>
      <c r="R752" s="459"/>
      <c r="S752" s="459"/>
      <c r="T752" s="459"/>
      <c r="U752" s="459"/>
      <c r="V752" s="459"/>
      <c r="W752" s="459"/>
    </row>
    <row r="764" spans="1:23">
      <c r="A764" s="694"/>
      <c r="B764" s="694"/>
      <c r="C764" s="694"/>
      <c r="D764" s="694"/>
      <c r="E764" s="694"/>
      <c r="F764" s="694"/>
      <c r="G764" s="694"/>
      <c r="H764" s="694"/>
      <c r="I764" s="694"/>
      <c r="J764" s="694"/>
      <c r="K764" s="694"/>
      <c r="L764" s="694"/>
      <c r="M764" s="694"/>
      <c r="N764" s="694"/>
      <c r="O764" s="695"/>
      <c r="P764" s="695"/>
      <c r="Q764" s="695"/>
      <c r="R764" s="695"/>
      <c r="S764" s="707"/>
      <c r="T764" s="707"/>
      <c r="U764" s="707"/>
      <c r="V764" s="707"/>
      <c r="W764" s="707"/>
    </row>
    <row r="765" spans="1:23">
      <c r="A765" s="694"/>
      <c r="B765" s="694"/>
      <c r="C765" s="694"/>
      <c r="D765" s="694"/>
      <c r="E765" s="694"/>
      <c r="F765" s="694"/>
      <c r="G765" s="694"/>
      <c r="H765" s="694"/>
      <c r="I765" s="694"/>
      <c r="J765" s="694"/>
      <c r="K765" s="694"/>
      <c r="L765" s="694"/>
      <c r="M765" s="694"/>
      <c r="N765" s="694"/>
      <c r="O765" s="695"/>
      <c r="P765" s="695"/>
      <c r="Q765" s="695"/>
      <c r="R765" s="695"/>
      <c r="S765" s="707"/>
      <c r="T765" s="707"/>
      <c r="U765" s="707"/>
      <c r="V765" s="707"/>
      <c r="W765" s="707"/>
    </row>
    <row r="766" spans="1:23">
      <c r="A766" s="506"/>
      <c r="B766" s="507"/>
      <c r="C766" s="507"/>
      <c r="D766" s="507"/>
      <c r="E766" s="507"/>
      <c r="F766" s="507"/>
      <c r="G766" s="507"/>
      <c r="H766" s="507"/>
      <c r="I766" s="508"/>
      <c r="J766" s="509"/>
      <c r="K766" s="507"/>
      <c r="L766" s="507"/>
      <c r="M766" s="507"/>
      <c r="N766" s="510"/>
      <c r="O766" s="511"/>
      <c r="P766" s="512"/>
      <c r="Q766" s="513"/>
      <c r="R766" s="514"/>
      <c r="S766" s="515"/>
      <c r="T766" s="515"/>
      <c r="U766" s="515"/>
      <c r="V766" s="515"/>
      <c r="W766" s="516"/>
    </row>
    <row r="767" spans="1:23">
      <c r="A767" s="506"/>
      <c r="B767" s="507"/>
      <c r="C767" s="507"/>
      <c r="D767" s="507"/>
      <c r="E767" s="507"/>
      <c r="F767" s="507"/>
      <c r="G767" s="507"/>
      <c r="H767" s="507"/>
      <c r="I767" s="508"/>
      <c r="J767" s="517"/>
      <c r="K767" s="507"/>
      <c r="L767" s="507"/>
      <c r="M767" s="507"/>
      <c r="N767" s="510"/>
      <c r="O767" s="511"/>
      <c r="P767" s="512"/>
      <c r="Q767" s="513"/>
      <c r="R767" s="514"/>
      <c r="S767" s="515"/>
      <c r="T767" s="515"/>
      <c r="U767" s="515"/>
      <c r="V767" s="515"/>
      <c r="W767" s="516"/>
    </row>
    <row r="768" spans="1:23">
      <c r="A768" s="506"/>
      <c r="B768" s="507"/>
      <c r="C768" s="507"/>
      <c r="D768" s="507"/>
      <c r="E768" s="507"/>
      <c r="F768" s="507"/>
      <c r="G768" s="507"/>
      <c r="H768" s="507"/>
      <c r="I768" s="508"/>
      <c r="J768" s="517"/>
      <c r="K768" s="507"/>
      <c r="L768" s="507"/>
      <c r="M768" s="507"/>
      <c r="N768" s="510"/>
      <c r="O768" s="511"/>
      <c r="P768" s="512"/>
      <c r="Q768" s="513"/>
      <c r="R768" s="514"/>
      <c r="S768" s="515"/>
      <c r="T768" s="515"/>
      <c r="U768" s="515"/>
      <c r="V768" s="515"/>
      <c r="W768" s="516"/>
    </row>
    <row r="769" spans="1:23">
      <c r="A769" s="506"/>
      <c r="B769" s="507"/>
      <c r="C769" s="507"/>
      <c r="D769" s="507"/>
      <c r="E769" s="507"/>
      <c r="F769" s="507"/>
      <c r="G769" s="507"/>
      <c r="H769" s="507"/>
      <c r="I769" s="508"/>
      <c r="J769" s="517"/>
      <c r="K769" s="507"/>
      <c r="L769" s="507"/>
      <c r="M769" s="507"/>
      <c r="N769" s="510"/>
      <c r="O769" s="511"/>
      <c r="P769" s="512"/>
      <c r="Q769" s="513"/>
      <c r="R769" s="514"/>
      <c r="S769" s="515"/>
      <c r="T769" s="515"/>
      <c r="U769" s="515"/>
      <c r="V769" s="515"/>
      <c r="W769" s="516"/>
    </row>
    <row r="770" spans="1:23">
      <c r="A770" s="506"/>
      <c r="B770" s="507"/>
      <c r="C770" s="507"/>
      <c r="D770" s="507"/>
      <c r="E770" s="507"/>
      <c r="F770" s="507"/>
      <c r="G770" s="507"/>
      <c r="H770" s="507"/>
      <c r="I770" s="508"/>
      <c r="J770" s="517"/>
      <c r="K770" s="507"/>
      <c r="L770" s="507"/>
      <c r="M770" s="507"/>
      <c r="N770" s="510"/>
      <c r="O770" s="511"/>
      <c r="P770" s="512"/>
      <c r="Q770" s="513"/>
      <c r="R770" s="514"/>
      <c r="S770" s="515"/>
      <c r="T770" s="515"/>
      <c r="U770" s="515"/>
      <c r="V770" s="515"/>
      <c r="W770" s="516"/>
    </row>
    <row r="771" spans="1:23">
      <c r="A771" s="506"/>
      <c r="B771" s="507"/>
      <c r="C771" s="507"/>
      <c r="D771" s="507"/>
      <c r="E771" s="507"/>
      <c r="F771" s="507"/>
      <c r="G771" s="507"/>
      <c r="H771" s="507"/>
      <c r="I771" s="508"/>
      <c r="J771" s="517"/>
      <c r="K771" s="507"/>
      <c r="L771" s="507"/>
      <c r="M771" s="507"/>
      <c r="N771" s="510"/>
      <c r="O771" s="511"/>
      <c r="P771" s="512"/>
      <c r="Q771" s="513"/>
      <c r="R771" s="514"/>
      <c r="S771" s="515"/>
      <c r="T771" s="515"/>
      <c r="U771" s="515"/>
      <c r="V771" s="515"/>
      <c r="W771" s="516"/>
    </row>
    <row r="772" spans="1:23">
      <c r="A772" s="506"/>
      <c r="B772" s="507"/>
      <c r="C772" s="507"/>
      <c r="D772" s="507"/>
      <c r="E772" s="507"/>
      <c r="F772" s="507"/>
      <c r="G772" s="507"/>
      <c r="H772" s="507"/>
      <c r="I772" s="508"/>
      <c r="J772" s="517"/>
      <c r="K772" s="507"/>
      <c r="L772" s="507"/>
      <c r="M772" s="507"/>
      <c r="N772" s="510"/>
      <c r="O772" s="511"/>
      <c r="P772" s="512"/>
      <c r="Q772" s="513"/>
      <c r="R772" s="514"/>
      <c r="S772" s="515"/>
      <c r="T772" s="515"/>
      <c r="U772" s="515"/>
      <c r="V772" s="515"/>
      <c r="W772" s="516"/>
    </row>
    <row r="773" spans="1:23">
      <c r="A773" s="506"/>
      <c r="B773" s="507"/>
      <c r="C773" s="507"/>
      <c r="D773" s="507"/>
      <c r="E773" s="507"/>
      <c r="F773" s="507"/>
      <c r="G773" s="507"/>
      <c r="H773" s="507"/>
      <c r="I773" s="508"/>
      <c r="J773" s="517"/>
      <c r="K773" s="507"/>
      <c r="L773" s="507"/>
      <c r="M773" s="507"/>
      <c r="N773" s="510"/>
      <c r="O773" s="511"/>
      <c r="P773" s="512"/>
      <c r="Q773" s="513"/>
      <c r="R773" s="514"/>
      <c r="S773" s="515"/>
      <c r="T773" s="515"/>
      <c r="U773" s="515"/>
      <c r="V773" s="515"/>
      <c r="W773" s="516"/>
    </row>
    <row r="774" spans="1:23">
      <c r="A774" s="506"/>
      <c r="B774" s="507"/>
      <c r="C774" s="507"/>
      <c r="D774" s="507"/>
      <c r="E774" s="507"/>
      <c r="F774" s="507"/>
      <c r="G774" s="507"/>
      <c r="H774" s="507"/>
      <c r="I774" s="508"/>
      <c r="J774" s="517"/>
      <c r="K774" s="507"/>
      <c r="L774" s="507"/>
      <c r="M774" s="507"/>
      <c r="N774" s="510"/>
      <c r="O774" s="511"/>
      <c r="P774" s="512"/>
      <c r="Q774" s="513"/>
      <c r="R774" s="514"/>
      <c r="S774" s="515"/>
      <c r="T774" s="515"/>
      <c r="U774" s="515"/>
      <c r="V774" s="515"/>
      <c r="W774" s="516"/>
    </row>
    <row r="775" spans="1:23">
      <c r="A775" s="506"/>
      <c r="B775" s="507"/>
      <c r="C775" s="507"/>
      <c r="D775" s="507"/>
      <c r="E775" s="507"/>
      <c r="F775" s="507"/>
      <c r="G775" s="507"/>
      <c r="H775" s="507"/>
      <c r="I775" s="508"/>
      <c r="J775" s="517"/>
      <c r="K775" s="507"/>
      <c r="L775" s="507"/>
      <c r="M775" s="507"/>
      <c r="N775" s="510"/>
      <c r="O775" s="511"/>
      <c r="P775" s="512"/>
      <c r="Q775" s="513"/>
      <c r="R775" s="514"/>
      <c r="S775" s="515"/>
      <c r="T775" s="515"/>
      <c r="U775" s="515"/>
      <c r="V775" s="515"/>
      <c r="W775" s="516"/>
    </row>
    <row r="776" spans="1:23">
      <c r="A776" s="506"/>
      <c r="B776" s="507"/>
      <c r="C776" s="507"/>
      <c r="D776" s="507"/>
      <c r="E776" s="507"/>
      <c r="F776" s="507"/>
      <c r="G776" s="507"/>
      <c r="H776" s="507"/>
      <c r="I776" s="508"/>
      <c r="J776" s="517"/>
      <c r="K776" s="507"/>
      <c r="L776" s="507"/>
      <c r="M776" s="507"/>
      <c r="N776" s="510"/>
      <c r="O776" s="511"/>
      <c r="P776" s="512"/>
      <c r="Q776" s="513"/>
      <c r="R776" s="514"/>
      <c r="S776" s="515"/>
      <c r="T776" s="515"/>
      <c r="U776" s="515"/>
      <c r="V776" s="515"/>
      <c r="W776" s="516"/>
    </row>
    <row r="777" spans="1:23">
      <c r="A777" s="506"/>
      <c r="B777" s="507"/>
      <c r="C777" s="507"/>
      <c r="D777" s="507"/>
      <c r="E777" s="507"/>
      <c r="F777" s="507"/>
      <c r="G777" s="507"/>
      <c r="H777" s="507"/>
      <c r="I777" s="508"/>
      <c r="J777" s="517"/>
      <c r="K777" s="507"/>
      <c r="L777" s="507"/>
      <c r="M777" s="507"/>
      <c r="N777" s="510"/>
      <c r="O777" s="511"/>
      <c r="P777" s="512"/>
      <c r="Q777" s="513"/>
      <c r="R777" s="514"/>
      <c r="S777" s="515"/>
      <c r="T777" s="515"/>
      <c r="U777" s="515"/>
      <c r="V777" s="515"/>
      <c r="W777" s="518"/>
    </row>
    <row r="778" spans="1:23">
      <c r="A778" s="519"/>
      <c r="B778" s="508"/>
      <c r="C778" s="507"/>
      <c r="D778" s="508"/>
      <c r="E778" s="507"/>
      <c r="F778" s="507"/>
      <c r="G778" s="507"/>
      <c r="H778" s="507"/>
      <c r="I778" s="508"/>
      <c r="J778" s="517"/>
      <c r="K778" s="508"/>
      <c r="L778" s="507"/>
      <c r="M778" s="508"/>
      <c r="N778" s="509"/>
      <c r="O778" s="449"/>
      <c r="P778" s="520"/>
      <c r="Q778" s="492"/>
      <c r="R778" s="493"/>
      <c r="S778" s="458"/>
      <c r="T778" s="458"/>
      <c r="U778" s="458"/>
      <c r="V778" s="458"/>
      <c r="W778" s="518"/>
    </row>
    <row r="779" spans="1:23">
      <c r="A779" s="519"/>
      <c r="B779" s="508"/>
      <c r="C779" s="507"/>
      <c r="D779" s="508"/>
      <c r="E779" s="507"/>
      <c r="F779" s="507"/>
      <c r="G779" s="507"/>
      <c r="H779" s="507"/>
      <c r="I779" s="508"/>
      <c r="J779" s="517"/>
      <c r="K779" s="508"/>
      <c r="L779" s="507"/>
      <c r="M779" s="508"/>
      <c r="N779" s="509"/>
      <c r="O779" s="449"/>
      <c r="P779" s="520"/>
      <c r="Q779" s="492"/>
      <c r="R779" s="493"/>
      <c r="S779" s="458"/>
      <c r="T779" s="458"/>
      <c r="U779" s="458"/>
      <c r="V779" s="458"/>
      <c r="W779" s="518"/>
    </row>
    <row r="780" spans="1:23">
      <c r="A780" s="519"/>
      <c r="B780" s="507"/>
      <c r="C780" s="507"/>
      <c r="D780" s="507"/>
      <c r="E780" s="507"/>
      <c r="F780" s="507"/>
      <c r="G780" s="507"/>
      <c r="H780" s="507"/>
      <c r="I780" s="508"/>
      <c r="J780" s="517"/>
      <c r="K780" s="507"/>
      <c r="L780" s="507"/>
      <c r="M780" s="507"/>
      <c r="N780" s="510"/>
      <c r="O780" s="511"/>
      <c r="P780" s="512"/>
      <c r="Q780" s="513"/>
      <c r="R780" s="514"/>
      <c r="S780" s="515"/>
      <c r="T780" s="515"/>
      <c r="U780" s="515"/>
      <c r="V780" s="515"/>
      <c r="W780" s="518"/>
    </row>
    <row r="781" spans="1:23">
      <c r="A781" s="519"/>
      <c r="B781" s="507"/>
      <c r="C781" s="507"/>
      <c r="D781" s="507"/>
      <c r="E781" s="507"/>
      <c r="F781" s="507"/>
      <c r="G781" s="507"/>
      <c r="H781" s="507"/>
      <c r="I781" s="508"/>
      <c r="J781" s="517"/>
      <c r="K781" s="507"/>
      <c r="L781" s="507"/>
      <c r="M781" s="507"/>
      <c r="N781" s="510"/>
      <c r="O781" s="511"/>
      <c r="P781" s="512"/>
      <c r="Q781" s="513"/>
      <c r="R781" s="514"/>
      <c r="S781" s="515"/>
      <c r="T781" s="515"/>
      <c r="U781" s="515"/>
      <c r="V781" s="515"/>
      <c r="W781" s="518"/>
    </row>
    <row r="782" spans="1:23">
      <c r="A782" s="519"/>
      <c r="B782" s="507"/>
      <c r="C782" s="507"/>
      <c r="D782" s="507"/>
      <c r="E782" s="507"/>
      <c r="F782" s="507"/>
      <c r="G782" s="507"/>
      <c r="H782" s="507"/>
      <c r="I782" s="508"/>
      <c r="J782" s="517"/>
      <c r="K782" s="507"/>
      <c r="L782" s="507"/>
      <c r="M782" s="507"/>
      <c r="N782" s="510"/>
      <c r="O782" s="511"/>
      <c r="P782" s="512"/>
      <c r="Q782" s="513"/>
      <c r="R782" s="514"/>
      <c r="S782" s="515"/>
      <c r="T782" s="515"/>
      <c r="U782" s="515"/>
      <c r="V782" s="515"/>
      <c r="W782" s="516"/>
    </row>
    <row r="783" spans="1:23">
      <c r="A783" s="519"/>
      <c r="B783" s="508"/>
      <c r="C783" s="507"/>
      <c r="D783" s="508"/>
      <c r="E783" s="507"/>
      <c r="F783" s="507"/>
      <c r="G783" s="507"/>
      <c r="H783" s="507"/>
      <c r="I783" s="508"/>
      <c r="J783" s="517"/>
      <c r="K783" s="508"/>
      <c r="L783" s="507"/>
      <c r="M783" s="508"/>
      <c r="N783" s="509"/>
      <c r="O783" s="449"/>
      <c r="P783" s="520"/>
      <c r="Q783" s="492"/>
      <c r="R783" s="493"/>
      <c r="S783" s="458"/>
      <c r="T783" s="458"/>
      <c r="U783" s="458"/>
      <c r="V783" s="458"/>
      <c r="W783" s="518"/>
    </row>
    <row r="784" spans="1:23">
      <c r="A784" s="519"/>
      <c r="B784" s="508"/>
      <c r="C784" s="507"/>
      <c r="D784" s="508"/>
      <c r="E784" s="507"/>
      <c r="F784" s="507"/>
      <c r="G784" s="507"/>
      <c r="H784" s="507"/>
      <c r="I784" s="508"/>
      <c r="J784" s="517"/>
      <c r="K784" s="508"/>
      <c r="L784" s="507"/>
      <c r="M784" s="508"/>
      <c r="N784" s="509"/>
      <c r="O784" s="449"/>
      <c r="P784" s="520"/>
      <c r="Q784" s="492"/>
      <c r="R784" s="493"/>
      <c r="S784" s="458"/>
      <c r="T784" s="458"/>
      <c r="U784" s="458"/>
      <c r="V784" s="458"/>
      <c r="W784" s="518"/>
    </row>
    <row r="785" spans="1:23">
      <c r="A785" s="519"/>
      <c r="B785" s="508"/>
      <c r="C785" s="507"/>
      <c r="D785" s="508"/>
      <c r="E785" s="507"/>
      <c r="F785" s="507"/>
      <c r="G785" s="507"/>
      <c r="H785" s="507"/>
      <c r="I785" s="508"/>
      <c r="J785" s="517"/>
      <c r="K785" s="508"/>
      <c r="L785" s="507"/>
      <c r="M785" s="508"/>
      <c r="N785" s="509"/>
      <c r="O785" s="449"/>
      <c r="P785" s="520"/>
      <c r="Q785" s="492"/>
      <c r="R785" s="493"/>
      <c r="S785" s="458"/>
      <c r="T785" s="458"/>
      <c r="U785" s="458"/>
      <c r="V785" s="458"/>
      <c r="W785" s="518"/>
    </row>
    <row r="786" spans="1:23">
      <c r="A786" s="519"/>
      <c r="B786" s="507"/>
      <c r="C786" s="507"/>
      <c r="D786" s="507"/>
      <c r="E786" s="507"/>
      <c r="F786" s="507"/>
      <c r="G786" s="507"/>
      <c r="H786" s="507"/>
      <c r="I786" s="508"/>
      <c r="J786" s="517"/>
      <c r="K786" s="507"/>
      <c r="L786" s="507"/>
      <c r="M786" s="507"/>
      <c r="N786" s="510"/>
      <c r="O786" s="511"/>
      <c r="P786" s="512"/>
      <c r="Q786" s="513"/>
      <c r="R786" s="514"/>
      <c r="S786" s="515"/>
      <c r="T786" s="515"/>
      <c r="U786" s="515"/>
      <c r="V786" s="515"/>
      <c r="W786" s="518"/>
    </row>
    <row r="787" spans="1:23">
      <c r="A787" s="519"/>
      <c r="B787" s="508"/>
      <c r="C787" s="507"/>
      <c r="D787" s="508"/>
      <c r="E787" s="507"/>
      <c r="F787" s="507"/>
      <c r="G787" s="507"/>
      <c r="H787" s="507"/>
      <c r="I787" s="508"/>
      <c r="J787" s="517"/>
      <c r="K787" s="508"/>
      <c r="L787" s="507"/>
      <c r="M787" s="508"/>
      <c r="N787" s="509"/>
      <c r="O787" s="449"/>
      <c r="P787" s="520"/>
      <c r="Q787" s="492"/>
      <c r="R787" s="493"/>
      <c r="S787" s="458"/>
      <c r="T787" s="458"/>
      <c r="U787" s="458"/>
      <c r="V787" s="458"/>
      <c r="W787" s="518"/>
    </row>
    <row r="788" spans="1:23">
      <c r="A788" s="519"/>
      <c r="B788" s="508"/>
      <c r="C788" s="507"/>
      <c r="D788" s="508"/>
      <c r="E788" s="507"/>
      <c r="F788" s="507"/>
      <c r="G788" s="507"/>
      <c r="H788" s="507"/>
      <c r="I788" s="508"/>
      <c r="J788" s="517"/>
      <c r="K788" s="508"/>
      <c r="L788" s="507"/>
      <c r="M788" s="508"/>
      <c r="N788" s="509"/>
      <c r="O788" s="449"/>
      <c r="P788" s="520"/>
      <c r="Q788" s="492"/>
      <c r="R788" s="493"/>
      <c r="S788" s="458"/>
      <c r="T788" s="458"/>
      <c r="U788" s="458"/>
      <c r="V788" s="458"/>
      <c r="W788" s="518"/>
    </row>
    <row r="789" spans="1:23">
      <c r="A789" s="519"/>
      <c r="B789" s="508"/>
      <c r="C789" s="507"/>
      <c r="D789" s="508"/>
      <c r="E789" s="507"/>
      <c r="F789" s="507"/>
      <c r="G789" s="507"/>
      <c r="H789" s="507"/>
      <c r="I789" s="508"/>
      <c r="J789" s="517"/>
      <c r="K789" s="508"/>
      <c r="L789" s="507"/>
      <c r="M789" s="508"/>
      <c r="N789" s="509"/>
      <c r="O789" s="449"/>
      <c r="P789" s="520"/>
      <c r="Q789" s="492"/>
      <c r="R789" s="493"/>
      <c r="S789" s="458"/>
      <c r="T789" s="458"/>
      <c r="U789" s="458"/>
      <c r="V789" s="458"/>
      <c r="W789" s="518"/>
    </row>
    <row r="790" spans="1:23">
      <c r="A790" s="519"/>
      <c r="B790" s="507"/>
      <c r="C790" s="507"/>
      <c r="D790" s="507"/>
      <c r="E790" s="507"/>
      <c r="F790" s="507"/>
      <c r="G790" s="507"/>
      <c r="H790" s="507"/>
      <c r="I790" s="508"/>
      <c r="J790" s="517"/>
      <c r="K790" s="507"/>
      <c r="L790" s="507"/>
      <c r="M790" s="507"/>
      <c r="N790" s="510"/>
      <c r="O790" s="511"/>
      <c r="P790" s="512"/>
      <c r="Q790" s="513"/>
      <c r="R790" s="514"/>
      <c r="S790" s="515"/>
      <c r="T790" s="515"/>
      <c r="U790" s="515"/>
      <c r="V790" s="515"/>
      <c r="W790" s="521"/>
    </row>
    <row r="791" spans="1:23">
      <c r="A791" s="519"/>
      <c r="B791" s="507"/>
      <c r="C791" s="507"/>
      <c r="D791" s="507"/>
      <c r="E791" s="507"/>
      <c r="F791" s="507"/>
      <c r="G791" s="507"/>
      <c r="H791" s="507"/>
      <c r="I791" s="508"/>
      <c r="J791" s="522"/>
      <c r="K791" s="507"/>
      <c r="L791" s="507"/>
      <c r="M791" s="507"/>
      <c r="N791" s="510"/>
      <c r="O791" s="511"/>
      <c r="P791" s="512"/>
      <c r="Q791" s="513"/>
      <c r="R791" s="514"/>
      <c r="S791" s="515"/>
      <c r="T791" s="515"/>
      <c r="U791" s="515"/>
      <c r="V791" s="515"/>
      <c r="W791" s="521"/>
    </row>
    <row r="792" spans="1:23">
      <c r="A792" s="519"/>
      <c r="B792" s="508"/>
      <c r="C792" s="507"/>
      <c r="D792" s="508"/>
      <c r="E792" s="523"/>
      <c r="F792" s="523"/>
      <c r="G792" s="523"/>
      <c r="H792" s="523"/>
      <c r="I792" s="508"/>
      <c r="J792" s="517"/>
      <c r="K792" s="508"/>
      <c r="L792" s="507"/>
      <c r="M792" s="508"/>
      <c r="N792" s="509"/>
      <c r="O792" s="449"/>
      <c r="P792" s="520"/>
      <c r="Q792" s="492"/>
      <c r="R792" s="493"/>
      <c r="S792" s="458"/>
      <c r="T792" s="458"/>
      <c r="U792" s="458"/>
      <c r="V792" s="458"/>
      <c r="W792" s="521"/>
    </row>
    <row r="793" spans="1:23">
      <c r="A793" s="519"/>
      <c r="B793" s="524"/>
      <c r="C793" s="507"/>
      <c r="D793" s="524"/>
      <c r="E793" s="523"/>
      <c r="F793" s="523"/>
      <c r="G793" s="523"/>
      <c r="H793" s="523"/>
      <c r="I793" s="508"/>
      <c r="J793" s="525"/>
      <c r="K793" s="524"/>
      <c r="L793" s="507"/>
      <c r="M793" s="524"/>
      <c r="N793" s="526"/>
      <c r="O793" s="527"/>
      <c r="P793" s="528"/>
      <c r="Q793" s="492"/>
      <c r="R793" s="493"/>
      <c r="S793" s="458"/>
      <c r="T793" s="458"/>
      <c r="U793" s="458"/>
      <c r="V793" s="458"/>
      <c r="W793" s="529"/>
    </row>
    <row r="794" spans="1:23">
      <c r="A794" s="519"/>
      <c r="B794" s="524"/>
      <c r="C794" s="507"/>
      <c r="D794" s="524"/>
      <c r="E794" s="523"/>
      <c r="F794" s="523"/>
      <c r="G794" s="523"/>
      <c r="H794" s="523"/>
      <c r="I794" s="508"/>
      <c r="J794" s="525"/>
      <c r="K794" s="524"/>
      <c r="L794" s="507"/>
      <c r="M794" s="524"/>
      <c r="N794" s="526"/>
      <c r="O794" s="527"/>
      <c r="P794" s="528"/>
      <c r="Q794" s="492"/>
      <c r="R794" s="493"/>
      <c r="S794" s="458"/>
      <c r="T794" s="458"/>
      <c r="U794" s="458"/>
      <c r="V794" s="458"/>
      <c r="W794" s="529"/>
    </row>
    <row r="795" spans="1:23">
      <c r="A795" s="519"/>
      <c r="B795" s="524"/>
      <c r="C795" s="507"/>
      <c r="D795" s="524"/>
      <c r="E795" s="523"/>
      <c r="F795" s="523"/>
      <c r="G795" s="523"/>
      <c r="H795" s="523"/>
      <c r="I795" s="508"/>
      <c r="J795" s="525"/>
      <c r="K795" s="524"/>
      <c r="L795" s="507"/>
      <c r="M795" s="524"/>
      <c r="N795" s="526"/>
      <c r="O795" s="527"/>
      <c r="P795" s="528"/>
      <c r="Q795" s="492"/>
      <c r="R795" s="493"/>
      <c r="S795" s="458"/>
      <c r="T795" s="458"/>
      <c r="U795" s="458"/>
      <c r="V795" s="458"/>
      <c r="W795" s="529"/>
    </row>
    <row r="796" spans="1:23">
      <c r="A796" s="519"/>
      <c r="B796" s="524"/>
      <c r="C796" s="507"/>
      <c r="D796" s="524"/>
      <c r="E796" s="524"/>
      <c r="F796" s="524"/>
      <c r="G796" s="524"/>
      <c r="H796" s="524"/>
      <c r="I796" s="524"/>
      <c r="J796" s="525"/>
      <c r="K796" s="524"/>
      <c r="L796" s="524"/>
      <c r="M796" s="524"/>
      <c r="N796" s="526"/>
      <c r="O796" s="527"/>
      <c r="P796" s="528"/>
      <c r="Q796" s="492"/>
      <c r="R796" s="493"/>
      <c r="S796" s="458"/>
      <c r="T796" s="458"/>
      <c r="U796" s="458"/>
      <c r="V796" s="458"/>
      <c r="W796" s="529"/>
    </row>
    <row r="797" spans="1:23">
      <c r="A797" s="706"/>
      <c r="B797" s="411"/>
      <c r="C797" s="411"/>
      <c r="D797" s="411"/>
      <c r="E797" s="411"/>
      <c r="F797" s="411"/>
      <c r="G797" s="411"/>
      <c r="H797" s="411"/>
      <c r="I797" s="411"/>
      <c r="J797" s="530"/>
      <c r="K797" s="411"/>
      <c r="L797" s="411"/>
      <c r="M797" s="411"/>
      <c r="N797" s="411"/>
      <c r="O797" s="411"/>
      <c r="P797" s="411"/>
      <c r="Q797" s="492"/>
      <c r="R797" s="493"/>
      <c r="S797" s="458"/>
      <c r="T797" s="458"/>
      <c r="U797" s="458"/>
      <c r="V797" s="458"/>
      <c r="W797" s="458"/>
    </row>
    <row r="798" spans="1:23">
      <c r="J798" s="504"/>
    </row>
    <row r="799" spans="1:23">
      <c r="J799" s="504"/>
    </row>
    <row r="800" spans="1:23">
      <c r="A800" s="706"/>
      <c r="B800" s="792"/>
      <c r="C800" s="792"/>
      <c r="D800" s="792"/>
      <c r="E800" s="694"/>
      <c r="F800" s="694"/>
      <c r="G800" s="694"/>
      <c r="H800" s="694"/>
      <c r="I800" s="694"/>
      <c r="J800" s="694"/>
      <c r="K800" s="792"/>
      <c r="L800" s="792"/>
      <c r="M800" s="792"/>
      <c r="N800" s="792"/>
      <c r="O800" s="793"/>
      <c r="P800" s="695"/>
      <c r="Q800" s="793"/>
      <c r="R800" s="793"/>
    </row>
    <row r="801" spans="2:18">
      <c r="B801" s="694"/>
      <c r="C801" s="694"/>
      <c r="D801" s="694"/>
      <c r="E801" s="694"/>
      <c r="F801" s="694"/>
      <c r="G801" s="694"/>
      <c r="H801" s="694"/>
      <c r="I801" s="694"/>
      <c r="J801" s="694"/>
      <c r="K801" s="694"/>
      <c r="L801" s="694"/>
      <c r="M801" s="694"/>
      <c r="N801" s="792"/>
      <c r="O801" s="793"/>
      <c r="P801" s="695"/>
      <c r="Q801" s="793"/>
      <c r="R801" s="793"/>
    </row>
    <row r="802" spans="2:18">
      <c r="B802" s="459"/>
      <c r="C802" s="459"/>
      <c r="D802" s="459"/>
      <c r="E802" s="459"/>
      <c r="F802" s="459"/>
      <c r="G802" s="459"/>
      <c r="H802" s="459"/>
      <c r="I802" s="459"/>
      <c r="J802" s="459"/>
      <c r="K802" s="411"/>
      <c r="L802" s="411"/>
      <c r="M802" s="411"/>
      <c r="N802" s="459"/>
      <c r="O802" s="459"/>
      <c r="P802" s="459"/>
      <c r="Q802" s="459"/>
      <c r="R802" s="531"/>
    </row>
  </sheetData>
  <mergeCells count="218">
    <mergeCell ref="B800:D800"/>
    <mergeCell ref="K800:M800"/>
    <mergeCell ref="N800:N801"/>
    <mergeCell ref="O800:O801"/>
    <mergeCell ref="Q800:Q801"/>
    <mergeCell ref="R800:R801"/>
    <mergeCell ref="Z316:AB316"/>
    <mergeCell ref="AC316:AD316"/>
    <mergeCell ref="AE316:AF316"/>
    <mergeCell ref="Z352:AB352"/>
    <mergeCell ref="AC352:AD352"/>
    <mergeCell ref="AE352:AF352"/>
    <mergeCell ref="B706:I706"/>
    <mergeCell ref="K706:M706"/>
    <mergeCell ref="B527:I527"/>
    <mergeCell ref="K527:M527"/>
    <mergeCell ref="B634:I634"/>
    <mergeCell ref="K634:M634"/>
    <mergeCell ref="T634:V634"/>
    <mergeCell ref="AH316:AJ316"/>
    <mergeCell ref="AK316:AK317"/>
    <mergeCell ref="AL316:AL317"/>
    <mergeCell ref="A316:A317"/>
    <mergeCell ref="B316:D316"/>
    <mergeCell ref="K316:M316"/>
    <mergeCell ref="N316:N317"/>
    <mergeCell ref="O316:O317"/>
    <mergeCell ref="P316:P317"/>
    <mergeCell ref="S316:S317"/>
    <mergeCell ref="W316:W317"/>
    <mergeCell ref="Y316:Y317"/>
    <mergeCell ref="Z245:AB245"/>
    <mergeCell ref="AC245:AD245"/>
    <mergeCell ref="AE245:AF245"/>
    <mergeCell ref="AH245:AJ245"/>
    <mergeCell ref="AK245:AK246"/>
    <mergeCell ref="AL245:AL246"/>
    <mergeCell ref="A245:A246"/>
    <mergeCell ref="B245:D245"/>
    <mergeCell ref="K245:M245"/>
    <mergeCell ref="N245:N246"/>
    <mergeCell ref="O245:O246"/>
    <mergeCell ref="P245:P246"/>
    <mergeCell ref="S245:S246"/>
    <mergeCell ref="W245:W246"/>
    <mergeCell ref="Y245:Y246"/>
    <mergeCell ref="A209:A210"/>
    <mergeCell ref="B209:D209"/>
    <mergeCell ref="K209:M209"/>
    <mergeCell ref="N209:N210"/>
    <mergeCell ref="O209:O210"/>
    <mergeCell ref="P209:P210"/>
    <mergeCell ref="S209:S210"/>
    <mergeCell ref="W209:W210"/>
    <mergeCell ref="Y209:Y210"/>
    <mergeCell ref="Z132:AB132"/>
    <mergeCell ref="AC132:AD132"/>
    <mergeCell ref="AE132:AF132"/>
    <mergeCell ref="AH132:AJ132"/>
    <mergeCell ref="AK132:AK133"/>
    <mergeCell ref="AL132:AL133"/>
    <mergeCell ref="B168:D168"/>
    <mergeCell ref="K168:M168"/>
    <mergeCell ref="N168:N169"/>
    <mergeCell ref="O168:O169"/>
    <mergeCell ref="Q168:Q169"/>
    <mergeCell ref="R168:R169"/>
    <mergeCell ref="Z168:AB168"/>
    <mergeCell ref="AC168:AD168"/>
    <mergeCell ref="AE168:AF168"/>
    <mergeCell ref="Z209:AB209"/>
    <mergeCell ref="AC209:AD209"/>
    <mergeCell ref="AE209:AF209"/>
    <mergeCell ref="AH209:AJ209"/>
    <mergeCell ref="AK209:AK210"/>
    <mergeCell ref="AL209:AL210"/>
    <mergeCell ref="A132:A133"/>
    <mergeCell ref="B132:D132"/>
    <mergeCell ref="K132:M132"/>
    <mergeCell ref="N132:N133"/>
    <mergeCell ref="O132:O133"/>
    <mergeCell ref="P132:P133"/>
    <mergeCell ref="S132:S133"/>
    <mergeCell ref="W132:W133"/>
    <mergeCell ref="Y132:Y133"/>
    <mergeCell ref="Z173:AB173"/>
    <mergeCell ref="AC173:AD173"/>
    <mergeCell ref="AE173:AF173"/>
    <mergeCell ref="AH173:AJ173"/>
    <mergeCell ref="AK173:AK174"/>
    <mergeCell ref="AL173:AL174"/>
    <mergeCell ref="A173:A174"/>
    <mergeCell ref="B173:D173"/>
    <mergeCell ref="K173:M173"/>
    <mergeCell ref="O43:O44"/>
    <mergeCell ref="Y43:Y44"/>
    <mergeCell ref="Z43:AB43"/>
    <mergeCell ref="K43:M43"/>
    <mergeCell ref="N43:N44"/>
    <mergeCell ref="AH2:AJ2"/>
    <mergeCell ref="AK2:AK3"/>
    <mergeCell ref="B38:D38"/>
    <mergeCell ref="K38:M38"/>
    <mergeCell ref="N38:N39"/>
    <mergeCell ref="O38:O39"/>
    <mergeCell ref="Q38:Q39"/>
    <mergeCell ref="R38:R39"/>
    <mergeCell ref="Z38:AB38"/>
    <mergeCell ref="AC38:AD38"/>
    <mergeCell ref="AE38:AF38"/>
    <mergeCell ref="AC43:AD43"/>
    <mergeCell ref="AE43:AF43"/>
    <mergeCell ref="Z77:AB77"/>
    <mergeCell ref="AC77:AD77"/>
    <mergeCell ref="AE77:AF77"/>
    <mergeCell ref="AH82:AJ82"/>
    <mergeCell ref="AK82:AK83"/>
    <mergeCell ref="A1:AF1"/>
    <mergeCell ref="A2:A3"/>
    <mergeCell ref="B2:D2"/>
    <mergeCell ref="K2:M2"/>
    <mergeCell ref="N2:N3"/>
    <mergeCell ref="O2:O3"/>
    <mergeCell ref="Q2:Q3"/>
    <mergeCell ref="R2:R3"/>
    <mergeCell ref="Y2:Y3"/>
    <mergeCell ref="Z2:AB2"/>
    <mergeCell ref="AC2:AD2"/>
    <mergeCell ref="AE2:AF2"/>
    <mergeCell ref="A82:A83"/>
    <mergeCell ref="B82:D82"/>
    <mergeCell ref="K82:M82"/>
    <mergeCell ref="N82:N83"/>
    <mergeCell ref="O82:O83"/>
    <mergeCell ref="AH43:AJ43"/>
    <mergeCell ref="AK43:AK44"/>
    <mergeCell ref="A43:A44"/>
    <mergeCell ref="B43:D43"/>
    <mergeCell ref="AL82:AL83"/>
    <mergeCell ref="B118:D118"/>
    <mergeCell ref="K118:M118"/>
    <mergeCell ref="N118:N119"/>
    <mergeCell ref="O118:O119"/>
    <mergeCell ref="Q118:Q119"/>
    <mergeCell ref="R118:R119"/>
    <mergeCell ref="Z118:AB118"/>
    <mergeCell ref="AC118:AD118"/>
    <mergeCell ref="AE118:AF118"/>
    <mergeCell ref="S82:S83"/>
    <mergeCell ref="Y82:Y83"/>
    <mergeCell ref="Z82:AB82"/>
    <mergeCell ref="AC82:AD82"/>
    <mergeCell ref="AE82:AF82"/>
    <mergeCell ref="AL74:AP74"/>
    <mergeCell ref="B77:D77"/>
    <mergeCell ref="K77:M77"/>
    <mergeCell ref="N77:N78"/>
    <mergeCell ref="O77:O78"/>
    <mergeCell ref="Q77:Q78"/>
    <mergeCell ref="R77:R78"/>
    <mergeCell ref="AH706:AJ706"/>
    <mergeCell ref="AK706:AK707"/>
    <mergeCell ref="AL706:AL707"/>
    <mergeCell ref="B742:D742"/>
    <mergeCell ref="K742:M742"/>
    <mergeCell ref="N742:N743"/>
    <mergeCell ref="O742:O743"/>
    <mergeCell ref="Q742:Q743"/>
    <mergeCell ref="R742:R743"/>
    <mergeCell ref="Z742:AB742"/>
    <mergeCell ref="AC742:AD742"/>
    <mergeCell ref="AE742:AF742"/>
    <mergeCell ref="AE706:AF706"/>
    <mergeCell ref="Y706:Y707"/>
    <mergeCell ref="Z706:AB706"/>
    <mergeCell ref="AC706:AD706"/>
    <mergeCell ref="N173:N174"/>
    <mergeCell ref="O173:O174"/>
    <mergeCell ref="P173:P174"/>
    <mergeCell ref="S173:S174"/>
    <mergeCell ref="W173:W174"/>
    <mergeCell ref="Y173:Y174"/>
    <mergeCell ref="B750:D750"/>
    <mergeCell ref="K750:M750"/>
    <mergeCell ref="N750:N751"/>
    <mergeCell ref="O750:O751"/>
    <mergeCell ref="S750:S751"/>
    <mergeCell ref="T706:V706"/>
    <mergeCell ref="B599:I599"/>
    <mergeCell ref="K599:M599"/>
    <mergeCell ref="T599:V599"/>
    <mergeCell ref="Z281:AB281"/>
    <mergeCell ref="AC281:AD281"/>
    <mergeCell ref="AE281:AF281"/>
    <mergeCell ref="AH281:AJ281"/>
    <mergeCell ref="AK281:AK282"/>
    <mergeCell ref="AL281:AL282"/>
    <mergeCell ref="A281:A282"/>
    <mergeCell ref="B281:D281"/>
    <mergeCell ref="K281:M281"/>
    <mergeCell ref="N281:N282"/>
    <mergeCell ref="O281:O282"/>
    <mergeCell ref="P281:P282"/>
    <mergeCell ref="S281:S282"/>
    <mergeCell ref="W281:W282"/>
    <mergeCell ref="Y281:Y282"/>
    <mergeCell ref="AH352:AJ352"/>
    <mergeCell ref="AK352:AK353"/>
    <mergeCell ref="AL352:AL353"/>
    <mergeCell ref="A352:A353"/>
    <mergeCell ref="B352:D352"/>
    <mergeCell ref="K352:M352"/>
    <mergeCell ref="N352:N353"/>
    <mergeCell ref="O352:O353"/>
    <mergeCell ref="P352:P353"/>
    <mergeCell ref="S352:S353"/>
    <mergeCell ref="W352:W353"/>
    <mergeCell ref="Y352:Y353"/>
  </mergeCells>
  <conditionalFormatting sqref="A2 A4:A34 Q84:R88 Y84:Y114 S84:W115 S82:W82 S739:W739 S708:W708 S706:T706 S750:W750 S134:W165 S132:W132 S175:W206 S173:W173 S211:W211 S218:W218 S220:W220 S222:W242 S209:W209 S258:W279 S247:W247 S254:W254 S256:W256 S245:W245 S283:W283 S290:W290 S292:W292 S296:W314 S281:W281 S318:W318 S325:W325 S327:W327 S331:W349 S316:W316 S354:W354 S361:W361 S363:W363 S367:W419 S352:W352 S766:W766 S773:W773 S775:W775 S779:W797 S764:W764 S422:W455 S459:W459 S466:W466 S468:W468 S473:W597 S457:W457 W706 T709:V735 W737:W738 W733:W734">
    <cfRule type="cellIs" dxfId="4227" priority="462" operator="lessThan">
      <formula>0</formula>
    </cfRule>
  </conditionalFormatting>
  <conditionalFormatting sqref="Y2 Y4:Y34">
    <cfRule type="cellIs" dxfId="4226" priority="461" operator="lessThan">
      <formula>0</formula>
    </cfRule>
  </conditionalFormatting>
  <conditionalFormatting sqref="A43 A45:A73">
    <cfRule type="cellIs" dxfId="4225" priority="460" operator="lessThan">
      <formula>0</formula>
    </cfRule>
  </conditionalFormatting>
  <conditionalFormatting sqref="Y43">
    <cfRule type="cellIs" dxfId="4224" priority="452" operator="lessThan">
      <formula>0</formula>
    </cfRule>
  </conditionalFormatting>
  <conditionalFormatting sqref="Y45:Y73">
    <cfRule type="cellIs" dxfId="4223" priority="451" operator="lessThan">
      <formula>0</formula>
    </cfRule>
  </conditionalFormatting>
  <conditionalFormatting sqref="Q2:R2 Q4:R34">
    <cfRule type="cellIs" dxfId="4222" priority="459" operator="lessThan">
      <formula>0</formula>
    </cfRule>
  </conditionalFormatting>
  <conditionalFormatting sqref="Q4">
    <cfRule type="cellIs" dxfId="4221" priority="458" operator="lessThan">
      <formula>0</formula>
    </cfRule>
  </conditionalFormatting>
  <conditionalFormatting sqref="Q23:R23">
    <cfRule type="cellIs" dxfId="4220" priority="457" operator="lessThan">
      <formula>0</formula>
    </cfRule>
  </conditionalFormatting>
  <conditionalFormatting sqref="Q43:R43 Q45:R56 Q58:R68 Q70:R73">
    <cfRule type="cellIs" dxfId="4219" priority="456" operator="lessThan">
      <formula>0</formula>
    </cfRule>
  </conditionalFormatting>
  <conditionalFormatting sqref="Q45">
    <cfRule type="cellIs" dxfId="4218" priority="455" operator="lessThan">
      <formula>0</formula>
    </cfRule>
  </conditionalFormatting>
  <conditionalFormatting sqref="Q64:R64">
    <cfRule type="cellIs" dxfId="4217" priority="454" operator="lessThan">
      <formula>0</formula>
    </cfRule>
  </conditionalFormatting>
  <conditionalFormatting sqref="Q38:R38">
    <cfRule type="cellIs" dxfId="4216" priority="453" operator="lessThan">
      <formula>0</formula>
    </cfRule>
  </conditionalFormatting>
  <conditionalFormatting sqref="Y43:AK55 Y58:Y59 AG58:AG59 Z58:AF67 Y56:AG57 AH56:AK67 Z68:AA69 AH68:AJ69 AA70:AA73 AC68:AC73 AE68:AE73 AH70:AI73">
    <cfRule type="colorScale" priority="450">
      <colorScale>
        <cfvo type="min"/>
        <cfvo type="percentile" val="50"/>
        <cfvo type="max"/>
        <color rgb="FFF8696B"/>
        <color rgb="FFFCFCFF"/>
        <color rgb="FF5A8AC6"/>
      </colorScale>
    </cfRule>
  </conditionalFormatting>
  <conditionalFormatting sqref="Q57:R57">
    <cfRule type="cellIs" dxfId="4215" priority="449" operator="lessThan">
      <formula>0</formula>
    </cfRule>
  </conditionalFormatting>
  <conditionalFormatting sqref="Q69">
    <cfRule type="cellIs" dxfId="4214" priority="448" operator="lessThan">
      <formula>0</formula>
    </cfRule>
  </conditionalFormatting>
  <conditionalFormatting sqref="R69">
    <cfRule type="cellIs" dxfId="4213" priority="447" operator="lessThan">
      <formula>0</formula>
    </cfRule>
  </conditionalFormatting>
  <conditionalFormatting sqref="A82 A84:A114">
    <cfRule type="cellIs" dxfId="4212" priority="446" operator="lessThan">
      <formula>0</formula>
    </cfRule>
  </conditionalFormatting>
  <conditionalFormatting sqref="Y82">
    <cfRule type="cellIs" dxfId="4211" priority="443" operator="lessThan">
      <formula>0</formula>
    </cfRule>
  </conditionalFormatting>
  <conditionalFormatting sqref="Q82:R82 Q101:R106 Q89 Q108:R115">
    <cfRule type="cellIs" dxfId="4210" priority="445" operator="lessThan">
      <formula>0</formula>
    </cfRule>
  </conditionalFormatting>
  <conditionalFormatting sqref="Q102:R102">
    <cfRule type="cellIs" dxfId="4209" priority="444" operator="lessThan">
      <formula>0</formula>
    </cfRule>
  </conditionalFormatting>
  <conditionalFormatting sqref="AG96:AG97 Y82:AK83 Z84:AK93 Z96:AF105 Z94:AG95 AH94:AK105 AC106:AC107 AE106:AE107 Y84:Y114 AH106:AJ114 Z106:AA114">
    <cfRule type="colorScale" priority="442">
      <colorScale>
        <cfvo type="min"/>
        <cfvo type="percentile" val="50"/>
        <cfvo type="max"/>
        <color rgb="FFF8696B"/>
        <color rgb="FFFCFCFF"/>
        <color rgb="FF5A8AC6"/>
      </colorScale>
    </cfRule>
  </conditionalFormatting>
  <conditionalFormatting sqref="Q107">
    <cfRule type="cellIs" dxfId="4208" priority="441" operator="lessThan">
      <formula>0</formula>
    </cfRule>
  </conditionalFormatting>
  <conditionalFormatting sqref="R107">
    <cfRule type="cellIs" dxfId="4207" priority="440" operator="lessThan">
      <formula>0</formula>
    </cfRule>
  </conditionalFormatting>
  <conditionalFormatting sqref="B84:B89">
    <cfRule type="cellIs" dxfId="4206" priority="439" operator="lessThan">
      <formula>0</formula>
    </cfRule>
  </conditionalFormatting>
  <conditionalFormatting sqref="B90:B95">
    <cfRule type="cellIs" dxfId="4205" priority="438" operator="lessThan">
      <formula>0</formula>
    </cfRule>
  </conditionalFormatting>
  <conditionalFormatting sqref="Q94:Q95 Q90:Q92">
    <cfRule type="cellIs" dxfId="4204" priority="437" operator="lessThan">
      <formula>0</formula>
    </cfRule>
  </conditionalFormatting>
  <conditionalFormatting sqref="AH2:AK26 AH27:AJ28 AH29:AI32">
    <cfRule type="colorScale" priority="436">
      <colorScale>
        <cfvo type="min"/>
        <cfvo type="percentile" val="50"/>
        <cfvo type="max"/>
        <color rgb="FFF8696B"/>
        <color rgb="FFFCFCFF"/>
        <color rgb="FF5A8AC6"/>
      </colorScale>
    </cfRule>
  </conditionalFormatting>
  <conditionalFormatting sqref="R89:R95">
    <cfRule type="cellIs" dxfId="4203" priority="435" operator="lessThan">
      <formula>0</formula>
    </cfRule>
  </conditionalFormatting>
  <conditionalFormatting sqref="Q118:R118">
    <cfRule type="cellIs" dxfId="4202" priority="434" operator="lessThan">
      <formula>0</formula>
    </cfRule>
  </conditionalFormatting>
  <conditionalFormatting sqref="Q77:R77">
    <cfRule type="cellIs" dxfId="4201" priority="433" operator="lessThan">
      <formula>0</formula>
    </cfRule>
  </conditionalFormatting>
  <conditionalFormatting sqref="B96:B100">
    <cfRule type="cellIs" dxfId="4200" priority="432" operator="lessThan">
      <formula>0</formula>
    </cfRule>
  </conditionalFormatting>
  <conditionalFormatting sqref="R96:R100">
    <cfRule type="cellIs" dxfId="4199" priority="430" operator="lessThan">
      <formula>0</formula>
    </cfRule>
  </conditionalFormatting>
  <conditionalFormatting sqref="Q96:Q100">
    <cfRule type="cellIs" dxfId="4198" priority="431" operator="lessThan">
      <formula>0</formula>
    </cfRule>
  </conditionalFormatting>
  <conditionalFormatting sqref="AL82:AL83">
    <cfRule type="colorScale" priority="428">
      <colorScale>
        <cfvo type="min"/>
        <cfvo type="percentile" val="50"/>
        <cfvo type="max"/>
        <color rgb="FFF8696B"/>
        <color rgb="FFFCFCFF"/>
        <color rgb="FF5A8AC6"/>
      </colorScale>
    </cfRule>
  </conditionalFormatting>
  <conditionalFormatting sqref="AL84:AL96 AL99:AL100">
    <cfRule type="cellIs" dxfId="4197" priority="427" operator="lessThan">
      <formula>0</formula>
    </cfRule>
  </conditionalFormatting>
  <conditionalFormatting sqref="AL97:AL98">
    <cfRule type="cellIs" dxfId="4196" priority="426" operator="lessThan">
      <formula>0</formula>
    </cfRule>
  </conditionalFormatting>
  <conditionalFormatting sqref="AL101:AL115">
    <cfRule type="cellIs" dxfId="4195" priority="425" operator="lessThan">
      <formula>0</formula>
    </cfRule>
  </conditionalFormatting>
  <conditionalFormatting sqref="Y708:Y738 Q708:R735">
    <cfRule type="cellIs" dxfId="4194" priority="420" operator="lessThan">
      <formula>0</formula>
    </cfRule>
  </conditionalFormatting>
  <conditionalFormatting sqref="A706 A708:A735">
    <cfRule type="cellIs" dxfId="4193" priority="419" operator="lessThan">
      <formula>0</formula>
    </cfRule>
  </conditionalFormatting>
  <conditionalFormatting sqref="Y706">
    <cfRule type="cellIs" dxfId="4192" priority="417" operator="lessThan">
      <formula>0</formula>
    </cfRule>
  </conditionalFormatting>
  <conditionalFormatting sqref="Q706:R706 Q739:R739">
    <cfRule type="cellIs" dxfId="4191" priority="418" operator="lessThan">
      <formula>0</formula>
    </cfRule>
  </conditionalFormatting>
  <conditionalFormatting sqref="Y706:AK707 Z708:AK708 AG718:AG721 AH718:AK729 AH730:AJ738 Y708:Y737 AG709:AK717 Y738:AF738 Z709:AF737">
    <cfRule type="colorScale" priority="416">
      <colorScale>
        <cfvo type="min"/>
        <cfvo type="percentile" val="50"/>
        <cfvo type="max"/>
        <color rgb="FFF8696B"/>
        <color rgb="FFFCFCFF"/>
        <color rgb="FF5A8AC6"/>
      </colorScale>
    </cfRule>
  </conditionalFormatting>
  <conditionalFormatting sqref="Q742:R742">
    <cfRule type="cellIs" dxfId="4190" priority="415" operator="lessThan">
      <formula>0</formula>
    </cfRule>
  </conditionalFormatting>
  <conditionalFormatting sqref="AL706:AL707">
    <cfRule type="colorScale" priority="412">
      <colorScale>
        <cfvo type="min"/>
        <cfvo type="percentile" val="50"/>
        <cfvo type="max"/>
        <color rgb="FFF8696B"/>
        <color rgb="FFFCFCFF"/>
        <color rgb="FF5A8AC6"/>
      </colorScale>
    </cfRule>
  </conditionalFormatting>
  <conditionalFormatting sqref="AL708:AL720 AL723:AL724">
    <cfRule type="cellIs" dxfId="4189" priority="411" operator="lessThan">
      <formula>0</formula>
    </cfRule>
  </conditionalFormatting>
  <conditionalFormatting sqref="AL721:AL722">
    <cfRule type="cellIs" dxfId="4188" priority="410" operator="lessThan">
      <formula>0</formula>
    </cfRule>
  </conditionalFormatting>
  <conditionalFormatting sqref="AL725:AL739">
    <cfRule type="cellIs" dxfId="4187" priority="409" operator="lessThan">
      <formula>0</formula>
    </cfRule>
  </conditionalFormatting>
  <conditionalFormatting sqref="W717 W729:W730 S709:S735">
    <cfRule type="cellIs" dxfId="4186" priority="408" operator="lessThan">
      <formula>0</formula>
    </cfRule>
  </conditionalFormatting>
  <conditionalFormatting sqref="Q750:R750">
    <cfRule type="cellIs" dxfId="4185" priority="405" operator="lessThan">
      <formula>0</formula>
    </cfRule>
  </conditionalFormatting>
  <conditionalFormatting sqref="Y134:Y164 Q134:R163">
    <cfRule type="cellIs" dxfId="4184" priority="403" operator="lessThan">
      <formula>0</formula>
    </cfRule>
  </conditionalFormatting>
  <conditionalFormatting sqref="A132 A134:A164">
    <cfRule type="cellIs" dxfId="4183" priority="402" operator="lessThan">
      <formula>0</formula>
    </cfRule>
  </conditionalFormatting>
  <conditionalFormatting sqref="Y132">
    <cfRule type="cellIs" dxfId="4182" priority="400" operator="lessThan">
      <formula>0</formula>
    </cfRule>
  </conditionalFormatting>
  <conditionalFormatting sqref="Q132:R132 Q164:R165">
    <cfRule type="cellIs" dxfId="4181" priority="401" operator="lessThan">
      <formula>0</formula>
    </cfRule>
  </conditionalFormatting>
  <conditionalFormatting sqref="Y132:AK133 Z134:AK134 AG144:AG147 AH144:AK155 AH156:AJ164 Y134:Y164 AG135:AK143 Z135:AF163 Z164:AD164">
    <cfRule type="colorScale" priority="399">
      <colorScale>
        <cfvo type="min"/>
        <cfvo type="percentile" val="50"/>
        <cfvo type="max"/>
        <color rgb="FFF8696B"/>
        <color rgb="FFFCFCFF"/>
        <color rgb="FF5A8AC6"/>
      </colorScale>
    </cfRule>
  </conditionalFormatting>
  <conditionalFormatting sqref="Q168:R168">
    <cfRule type="cellIs" dxfId="4180" priority="398" operator="lessThan">
      <formula>0</formula>
    </cfRule>
  </conditionalFormatting>
  <conditionalFormatting sqref="AL132:AL133">
    <cfRule type="colorScale" priority="397">
      <colorScale>
        <cfvo type="min"/>
        <cfvo type="percentile" val="50"/>
        <cfvo type="max"/>
        <color rgb="FFF8696B"/>
        <color rgb="FFFCFCFF"/>
        <color rgb="FF5A8AC6"/>
      </colorScale>
    </cfRule>
  </conditionalFormatting>
  <conditionalFormatting sqref="AL134:AL146 AL149:AL150">
    <cfRule type="cellIs" dxfId="4179" priority="396" operator="lessThan">
      <formula>0</formula>
    </cfRule>
  </conditionalFormatting>
  <conditionalFormatting sqref="AL147:AL148">
    <cfRule type="cellIs" dxfId="4178" priority="395" operator="lessThan">
      <formula>0</formula>
    </cfRule>
  </conditionalFormatting>
  <conditionalFormatting sqref="AL151:AL165">
    <cfRule type="cellIs" dxfId="4177" priority="394" operator="lessThan">
      <formula>0</formula>
    </cfRule>
  </conditionalFormatting>
  <conditionalFormatting sqref="AG185:AG188 AH185:AK196 AH197:AJ205 AG173:AK184">
    <cfRule type="colorScale" priority="386">
      <colorScale>
        <cfvo type="min"/>
        <cfvo type="percentile" val="50"/>
        <cfvo type="max"/>
        <color rgb="FFF8696B"/>
        <color rgb="FFFCFCFF"/>
        <color rgb="FF5A8AC6"/>
      </colorScale>
    </cfRule>
  </conditionalFormatting>
  <conditionalFormatting sqref="AL173:AL174">
    <cfRule type="colorScale" priority="385">
      <colorScale>
        <cfvo type="min"/>
        <cfvo type="percentile" val="50"/>
        <cfvo type="max"/>
        <color rgb="FFF8696B"/>
        <color rgb="FFFCFCFF"/>
        <color rgb="FF5A8AC6"/>
      </colorScale>
    </cfRule>
  </conditionalFormatting>
  <conditionalFormatting sqref="AL175:AL187 AL190:AL191">
    <cfRule type="cellIs" dxfId="4176" priority="384" operator="lessThan">
      <formula>0</formula>
    </cfRule>
  </conditionalFormatting>
  <conditionalFormatting sqref="AL188:AL189">
    <cfRule type="cellIs" dxfId="4175" priority="383" operator="lessThan">
      <formula>0</formula>
    </cfRule>
  </conditionalFormatting>
  <conditionalFormatting sqref="AL192:AL206">
    <cfRule type="cellIs" dxfId="4174" priority="382" operator="lessThan">
      <formula>0</formula>
    </cfRule>
  </conditionalFormatting>
  <conditionalFormatting sqref="Y175:Y205 Q175:R205">
    <cfRule type="cellIs" dxfId="4173" priority="378" operator="lessThan">
      <formula>0</formula>
    </cfRule>
  </conditionalFormatting>
  <conditionalFormatting sqref="A173 A175:A205">
    <cfRule type="cellIs" dxfId="4172" priority="377" operator="lessThan">
      <formula>0</formula>
    </cfRule>
  </conditionalFormatting>
  <conditionalFormatting sqref="Y173">
    <cfRule type="cellIs" dxfId="4171" priority="375" operator="lessThan">
      <formula>0</formula>
    </cfRule>
  </conditionalFormatting>
  <conditionalFormatting sqref="Q173:R173 Q206:R206">
    <cfRule type="cellIs" dxfId="4170" priority="376" operator="lessThan">
      <formula>0</formula>
    </cfRule>
  </conditionalFormatting>
  <conditionalFormatting sqref="Y173:AF174 Y175:Y205 Z175:AF204 Z205:AD205">
    <cfRule type="colorScale" priority="374">
      <colorScale>
        <cfvo type="min"/>
        <cfvo type="percentile" val="50"/>
        <cfvo type="max"/>
        <color rgb="FFF8696B"/>
        <color rgb="FFFCFCFF"/>
        <color rgb="FF5A8AC6"/>
      </colorScale>
    </cfRule>
  </conditionalFormatting>
  <conditionalFormatting sqref="W712:W714">
    <cfRule type="cellIs" dxfId="4169" priority="368" operator="lessThan">
      <formula>0</formula>
    </cfRule>
  </conditionalFormatting>
  <conditionalFormatting sqref="Q209:R209 Q242:R242">
    <cfRule type="cellIs" dxfId="4168" priority="329" operator="lessThan">
      <formula>0</formula>
    </cfRule>
  </conditionalFormatting>
  <conditionalFormatting sqref="Y209">
    <cfRule type="cellIs" dxfId="4167" priority="328" operator="lessThan">
      <formula>0</formula>
    </cfRule>
  </conditionalFormatting>
  <conditionalFormatting sqref="S212:V217 S219:V219 S221:V221">
    <cfRule type="cellIs" dxfId="4166" priority="326" operator="lessThan">
      <formula>0</formula>
    </cfRule>
  </conditionalFormatting>
  <conditionalFormatting sqref="W212:W213">
    <cfRule type="cellIs" dxfId="4165" priority="323" operator="lessThan">
      <formula>0</formula>
    </cfRule>
  </conditionalFormatting>
  <conditionalFormatting sqref="W214">
    <cfRule type="cellIs" dxfId="4164" priority="322" operator="lessThan">
      <formula>0</formula>
    </cfRule>
  </conditionalFormatting>
  <conditionalFormatting sqref="W215:W217">
    <cfRule type="cellIs" dxfId="4163" priority="321" operator="lessThan">
      <formula>0</formula>
    </cfRule>
  </conditionalFormatting>
  <conditionalFormatting sqref="W219">
    <cfRule type="cellIs" dxfId="4162" priority="320" operator="lessThan">
      <formula>0</formula>
    </cfRule>
  </conditionalFormatting>
  <conditionalFormatting sqref="W221">
    <cfRule type="cellIs" dxfId="4161" priority="319" operator="lessThan">
      <formula>0</formula>
    </cfRule>
  </conditionalFormatting>
  <conditionalFormatting sqref="AG221:AG224 AH221:AK232 AH233:AJ241 AG209:AK220">
    <cfRule type="colorScale" priority="344">
      <colorScale>
        <cfvo type="min"/>
        <cfvo type="percentile" val="50"/>
        <cfvo type="max"/>
        <color rgb="FFF8696B"/>
        <color rgb="FFFCFCFF"/>
        <color rgb="FF5A8AC6"/>
      </colorScale>
    </cfRule>
  </conditionalFormatting>
  <conditionalFormatting sqref="AL209:AL210">
    <cfRule type="colorScale" priority="343">
      <colorScale>
        <cfvo type="min"/>
        <cfvo type="percentile" val="50"/>
        <cfvo type="max"/>
        <color rgb="FFF8696B"/>
        <color rgb="FFFCFCFF"/>
        <color rgb="FF5A8AC6"/>
      </colorScale>
    </cfRule>
  </conditionalFormatting>
  <conditionalFormatting sqref="AL211:AL223 AL226:AL227">
    <cfRule type="cellIs" dxfId="4160" priority="342" operator="lessThan">
      <formula>0</formula>
    </cfRule>
  </conditionalFormatting>
  <conditionalFormatting sqref="AL224:AL225">
    <cfRule type="cellIs" dxfId="4159" priority="341" operator="lessThan">
      <formula>0</formula>
    </cfRule>
  </conditionalFormatting>
  <conditionalFormatting sqref="AL228:AL242">
    <cfRule type="cellIs" dxfId="4158" priority="340" operator="lessThan">
      <formula>0</formula>
    </cfRule>
  </conditionalFormatting>
  <conditionalFormatting sqref="Y211:Y241 Q211:R241">
    <cfRule type="cellIs" dxfId="4157" priority="331" operator="lessThan">
      <formula>0</formula>
    </cfRule>
  </conditionalFormatting>
  <conditionalFormatting sqref="A209 A211:A241">
    <cfRule type="cellIs" dxfId="4156" priority="330" operator="lessThan">
      <formula>0</formula>
    </cfRule>
  </conditionalFormatting>
  <conditionalFormatting sqref="Y209:AF210 Y211:Y241 Z211:AF240 Z241:AD241">
    <cfRule type="colorScale" priority="327">
      <colorScale>
        <cfvo type="min"/>
        <cfvo type="percentile" val="50"/>
        <cfvo type="max"/>
        <color rgb="FFF8696B"/>
        <color rgb="FFFCFCFF"/>
        <color rgb="FF5A8AC6"/>
      </colorScale>
    </cfRule>
  </conditionalFormatting>
  <conditionalFormatting sqref="Q279:R279">
    <cfRule type="cellIs" dxfId="4155" priority="316" operator="lessThan">
      <formula>0</formula>
    </cfRule>
  </conditionalFormatting>
  <conditionalFormatting sqref="AL279">
    <cfRule type="cellIs" dxfId="4154" priority="310" operator="lessThan">
      <formula>0</formula>
    </cfRule>
  </conditionalFormatting>
  <conditionalFormatting sqref="Q247:R277 Y247:Y277">
    <cfRule type="cellIs" dxfId="4153" priority="301" operator="lessThan">
      <formula>0</formula>
    </cfRule>
  </conditionalFormatting>
  <conditionalFormatting sqref="A245 A247:A277">
    <cfRule type="cellIs" dxfId="4152" priority="300" operator="lessThan">
      <formula>0</formula>
    </cfRule>
  </conditionalFormatting>
  <conditionalFormatting sqref="Y245">
    <cfRule type="cellIs" dxfId="4151" priority="298" operator="lessThan">
      <formula>0</formula>
    </cfRule>
  </conditionalFormatting>
  <conditionalFormatting sqref="Q245:R245 Q278:R278">
    <cfRule type="cellIs" dxfId="4150" priority="299" operator="lessThan">
      <formula>0</formula>
    </cfRule>
  </conditionalFormatting>
  <conditionalFormatting sqref="Y245:AK246 AG257:AG260 AH257:AK268 AH269:AJ277 AG247:AK256 Y247:Y277">
    <cfRule type="colorScale" priority="297">
      <colorScale>
        <cfvo type="min"/>
        <cfvo type="percentile" val="50"/>
        <cfvo type="max"/>
        <color rgb="FFF8696B"/>
        <color rgb="FFFCFCFF"/>
        <color rgb="FF5A8AC6"/>
      </colorScale>
    </cfRule>
  </conditionalFormatting>
  <conditionalFormatting sqref="AL245:AL246">
    <cfRule type="colorScale" priority="296">
      <colorScale>
        <cfvo type="min"/>
        <cfvo type="percentile" val="50"/>
        <cfvo type="max"/>
        <color rgb="FFF8696B"/>
        <color rgb="FFFCFCFF"/>
        <color rgb="FF5A8AC6"/>
      </colorScale>
    </cfRule>
  </conditionalFormatting>
  <conditionalFormatting sqref="AL247:AL259 AL262:AL263">
    <cfRule type="cellIs" dxfId="4149" priority="295" operator="lessThan">
      <formula>0</formula>
    </cfRule>
  </conditionalFormatting>
  <conditionalFormatting sqref="AL260:AL261">
    <cfRule type="cellIs" dxfId="4148" priority="294" operator="lessThan">
      <formula>0</formula>
    </cfRule>
  </conditionalFormatting>
  <conditionalFormatting sqref="AL264:AL278">
    <cfRule type="cellIs" dxfId="4147" priority="293" operator="lessThan">
      <formula>0</formula>
    </cfRule>
  </conditionalFormatting>
  <conditionalFormatting sqref="S248:V253 S255:V255 S257:V257">
    <cfRule type="cellIs" dxfId="4146" priority="292" operator="lessThan">
      <formula>0</formula>
    </cfRule>
  </conditionalFormatting>
  <conditionalFormatting sqref="W248:W249">
    <cfRule type="cellIs" dxfId="4145" priority="289" operator="lessThan">
      <formula>0</formula>
    </cfRule>
  </conditionalFormatting>
  <conditionalFormatting sqref="W250">
    <cfRule type="cellIs" dxfId="4144" priority="288" operator="lessThan">
      <formula>0</formula>
    </cfRule>
  </conditionalFormatting>
  <conditionalFormatting sqref="W251:W253">
    <cfRule type="cellIs" dxfId="4143" priority="287" operator="lessThan">
      <formula>0</formula>
    </cfRule>
  </conditionalFormatting>
  <conditionalFormatting sqref="W255">
    <cfRule type="cellIs" dxfId="4142" priority="286" operator="lessThan">
      <formula>0</formula>
    </cfRule>
  </conditionalFormatting>
  <conditionalFormatting sqref="W257">
    <cfRule type="cellIs" dxfId="4141" priority="285" operator="lessThan">
      <formula>0</formula>
    </cfRule>
  </conditionalFormatting>
  <conditionalFormatting sqref="Z247:AF277">
    <cfRule type="colorScale" priority="284">
      <colorScale>
        <cfvo type="min"/>
        <cfvo type="percentile" val="50"/>
        <cfvo type="max"/>
        <color rgb="FFF8696B"/>
        <color rgb="FFFCFCFF"/>
        <color rgb="FF5A8AC6"/>
      </colorScale>
    </cfRule>
  </conditionalFormatting>
  <conditionalFormatting sqref="Y283:Y313">
    <cfRule type="cellIs" dxfId="4140" priority="264" operator="lessThan">
      <formula>0</formula>
    </cfRule>
  </conditionalFormatting>
  <conditionalFormatting sqref="Y281">
    <cfRule type="cellIs" dxfId="4139" priority="261" operator="lessThan">
      <formula>0</formula>
    </cfRule>
  </conditionalFormatting>
  <conditionalFormatting sqref="Y281:AK282 Z283:AK283 AG293:AG296 AH293:AK304 AH305:AJ313 Y283:Y312 AG284:AK292 Z284:AF312 Y313:AF313">
    <cfRule type="colorScale" priority="260">
      <colorScale>
        <cfvo type="min"/>
        <cfvo type="percentile" val="50"/>
        <cfvo type="max"/>
        <color rgb="FFF8696B"/>
        <color rgb="FFFCFCFF"/>
        <color rgb="FF5A8AC6"/>
      </colorScale>
    </cfRule>
  </conditionalFormatting>
  <conditionalFormatting sqref="AL281:AL282">
    <cfRule type="colorScale" priority="259">
      <colorScale>
        <cfvo type="min"/>
        <cfvo type="percentile" val="50"/>
        <cfvo type="max"/>
        <color rgb="FFF8696B"/>
        <color rgb="FFFCFCFF"/>
        <color rgb="FF5A8AC6"/>
      </colorScale>
    </cfRule>
  </conditionalFormatting>
  <conditionalFormatting sqref="AL283:AL295 AL298:AL299">
    <cfRule type="cellIs" dxfId="4138" priority="258" operator="lessThan">
      <formula>0</formula>
    </cfRule>
  </conditionalFormatting>
  <conditionalFormatting sqref="AL296:AL297">
    <cfRule type="cellIs" dxfId="4137" priority="257" operator="lessThan">
      <formula>0</formula>
    </cfRule>
  </conditionalFormatting>
  <conditionalFormatting sqref="AL300:AL314">
    <cfRule type="cellIs" dxfId="4136" priority="256" operator="lessThan">
      <formula>0</formula>
    </cfRule>
  </conditionalFormatting>
  <conditionalFormatting sqref="Q283:R313">
    <cfRule type="cellIs" dxfId="4135" priority="246" operator="lessThan">
      <formula>0</formula>
    </cfRule>
  </conditionalFormatting>
  <conditionalFormatting sqref="A281 A283:A313">
    <cfRule type="cellIs" dxfId="4134" priority="245" operator="lessThan">
      <formula>0</formula>
    </cfRule>
  </conditionalFormatting>
  <conditionalFormatting sqref="Q281:R281 Q314:R314">
    <cfRule type="cellIs" dxfId="4133" priority="244" operator="lessThan">
      <formula>0</formula>
    </cfRule>
  </conditionalFormatting>
  <conditionalFormatting sqref="S284:V289 S291:V291 S293:V295">
    <cfRule type="cellIs" dxfId="4132" priority="243" operator="lessThan">
      <formula>0</formula>
    </cfRule>
  </conditionalFormatting>
  <conditionalFormatting sqref="W284:W285">
    <cfRule type="cellIs" dxfId="4131" priority="240" operator="lessThan">
      <formula>0</formula>
    </cfRule>
  </conditionalFormatting>
  <conditionalFormatting sqref="W286">
    <cfRule type="cellIs" dxfId="4130" priority="239" operator="lessThan">
      <formula>0</formula>
    </cfRule>
  </conditionalFormatting>
  <conditionalFormatting sqref="W287:W289">
    <cfRule type="cellIs" dxfId="4129" priority="238" operator="lessThan">
      <formula>0</formula>
    </cfRule>
  </conditionalFormatting>
  <conditionalFormatting sqref="W291">
    <cfRule type="cellIs" dxfId="4128" priority="237" operator="lessThan">
      <formula>0</formula>
    </cfRule>
  </conditionalFormatting>
  <conditionalFormatting sqref="W293">
    <cfRule type="cellIs" dxfId="4127" priority="236" operator="lessThan">
      <formula>0</formula>
    </cfRule>
  </conditionalFormatting>
  <conditionalFormatting sqref="W294:W295">
    <cfRule type="cellIs" dxfId="4126" priority="235" operator="lessThan">
      <formula>0</formula>
    </cfRule>
  </conditionalFormatting>
  <conditionalFormatting sqref="Y318:Y348">
    <cfRule type="cellIs" dxfId="4125" priority="216" operator="lessThan">
      <formula>0</formula>
    </cfRule>
  </conditionalFormatting>
  <conditionalFormatting sqref="Y316">
    <cfRule type="cellIs" dxfId="4124" priority="213" operator="lessThan">
      <formula>0</formula>
    </cfRule>
  </conditionalFormatting>
  <conditionalFormatting sqref="Y316:AK317 Z318:AK318 AG328:AG331 AH328:AK339 AH340:AJ348 Y318:Y347 AG319:AK327 Z319:AF347 Y348:AF348">
    <cfRule type="colorScale" priority="212">
      <colorScale>
        <cfvo type="min"/>
        <cfvo type="percentile" val="50"/>
        <cfvo type="max"/>
        <color rgb="FFF8696B"/>
        <color rgb="FFFCFCFF"/>
        <color rgb="FF5A8AC6"/>
      </colorScale>
    </cfRule>
  </conditionalFormatting>
  <conditionalFormatting sqref="AL316:AL317">
    <cfRule type="colorScale" priority="211">
      <colorScale>
        <cfvo type="min"/>
        <cfvo type="percentile" val="50"/>
        <cfvo type="max"/>
        <color rgb="FFF8696B"/>
        <color rgb="FFFCFCFF"/>
        <color rgb="FF5A8AC6"/>
      </colorScale>
    </cfRule>
  </conditionalFormatting>
  <conditionalFormatting sqref="AL318:AL330 AL333:AL334">
    <cfRule type="cellIs" dxfId="4123" priority="210" operator="lessThan">
      <formula>0</formula>
    </cfRule>
  </conditionalFormatting>
  <conditionalFormatting sqref="AL331:AL332">
    <cfRule type="cellIs" dxfId="4122" priority="209" operator="lessThan">
      <formula>0</formula>
    </cfRule>
  </conditionalFormatting>
  <conditionalFormatting sqref="AL335:AL349">
    <cfRule type="cellIs" dxfId="4121" priority="208" operator="lessThan">
      <formula>0</formula>
    </cfRule>
  </conditionalFormatting>
  <conditionalFormatting sqref="Q318:R348">
    <cfRule type="cellIs" dxfId="4120" priority="198" operator="lessThan">
      <formula>0</formula>
    </cfRule>
  </conditionalFormatting>
  <conditionalFormatting sqref="A318:A348">
    <cfRule type="cellIs" dxfId="4119" priority="197" operator="lessThan">
      <formula>0</formula>
    </cfRule>
  </conditionalFormatting>
  <conditionalFormatting sqref="Q349:R349">
    <cfRule type="cellIs" dxfId="4118" priority="196" operator="lessThan">
      <formula>0</formula>
    </cfRule>
  </conditionalFormatting>
  <conditionalFormatting sqref="S319:V324 S326:V326 S328:V330">
    <cfRule type="cellIs" dxfId="4117" priority="195" operator="lessThan">
      <formula>0</formula>
    </cfRule>
  </conditionalFormatting>
  <conditionalFormatting sqref="W319:W320">
    <cfRule type="cellIs" dxfId="4116" priority="192" operator="lessThan">
      <formula>0</formula>
    </cfRule>
  </conditionalFormatting>
  <conditionalFormatting sqref="W321">
    <cfRule type="cellIs" dxfId="4115" priority="191" operator="lessThan">
      <formula>0</formula>
    </cfRule>
  </conditionalFormatting>
  <conditionalFormatting sqref="W322:W324">
    <cfRule type="cellIs" dxfId="4114" priority="190" operator="lessThan">
      <formula>0</formula>
    </cfRule>
  </conditionalFormatting>
  <conditionalFormatting sqref="W326">
    <cfRule type="cellIs" dxfId="4113" priority="189" operator="lessThan">
      <formula>0</formula>
    </cfRule>
  </conditionalFormatting>
  <conditionalFormatting sqref="W328">
    <cfRule type="cellIs" dxfId="4112" priority="188" operator="lessThan">
      <formula>0</formula>
    </cfRule>
  </conditionalFormatting>
  <conditionalFormatting sqref="W329:W330">
    <cfRule type="cellIs" dxfId="4111" priority="187" operator="lessThan">
      <formula>0</formula>
    </cfRule>
  </conditionalFormatting>
  <conditionalFormatting sqref="A316">
    <cfRule type="cellIs" dxfId="4110" priority="186" operator="lessThan">
      <formula>0</formula>
    </cfRule>
  </conditionalFormatting>
  <conditionalFormatting sqref="Q316:R316">
    <cfRule type="cellIs" dxfId="4109" priority="185" operator="lessThan">
      <formula>0</formula>
    </cfRule>
  </conditionalFormatting>
  <conditionalFormatting sqref="AG364:AG367 AH364:AK375 AH376:AJ384 AG352:AK363">
    <cfRule type="colorScale" priority="179">
      <colorScale>
        <cfvo type="min"/>
        <cfvo type="percentile" val="50"/>
        <cfvo type="max"/>
        <color rgb="FFF8696B"/>
        <color rgb="FFFCFCFF"/>
        <color rgb="FF5A8AC6"/>
      </colorScale>
    </cfRule>
  </conditionalFormatting>
  <conditionalFormatting sqref="AL352:AL353">
    <cfRule type="colorScale" priority="178">
      <colorScale>
        <cfvo type="min"/>
        <cfvo type="percentile" val="50"/>
        <cfvo type="max"/>
        <color rgb="FFF8696B"/>
        <color rgb="FFFCFCFF"/>
        <color rgb="FF5A8AC6"/>
      </colorScale>
    </cfRule>
  </conditionalFormatting>
  <conditionalFormatting sqref="AL354:AL366 AL369:AL370">
    <cfRule type="cellIs" dxfId="4108" priority="177" operator="lessThan">
      <formula>0</formula>
    </cfRule>
  </conditionalFormatting>
  <conditionalFormatting sqref="AL367:AL368">
    <cfRule type="cellIs" dxfId="4107" priority="176" operator="lessThan">
      <formula>0</formula>
    </cfRule>
  </conditionalFormatting>
  <conditionalFormatting sqref="AL371:AL419">
    <cfRule type="cellIs" dxfId="4106" priority="175" operator="lessThan">
      <formula>0</formula>
    </cfRule>
  </conditionalFormatting>
  <conditionalFormatting sqref="Y354:Y384 Q354:R384">
    <cfRule type="cellIs" dxfId="4105" priority="165" operator="lessThan">
      <formula>0</formula>
    </cfRule>
  </conditionalFormatting>
  <conditionalFormatting sqref="A352 A354:A384">
    <cfRule type="cellIs" dxfId="4104" priority="164" operator="lessThan">
      <formula>0</formula>
    </cfRule>
  </conditionalFormatting>
  <conditionalFormatting sqref="Y352">
    <cfRule type="cellIs" dxfId="4103" priority="162" operator="lessThan">
      <formula>0</formula>
    </cfRule>
  </conditionalFormatting>
  <conditionalFormatting sqref="Q352:R352 Q385:R419">
    <cfRule type="cellIs" dxfId="4102" priority="163" operator="lessThan">
      <formula>0</formula>
    </cfRule>
  </conditionalFormatting>
  <conditionalFormatting sqref="Y352:AF384">
    <cfRule type="colorScale" priority="161">
      <colorScale>
        <cfvo type="min"/>
        <cfvo type="percentile" val="50"/>
        <cfvo type="max"/>
        <color rgb="FFF8696B"/>
        <color rgb="FFFCFCFF"/>
        <color rgb="FF5A8AC6"/>
      </colorScale>
    </cfRule>
  </conditionalFormatting>
  <conditionalFormatting sqref="S355:V360 S362:V362 S364:V366">
    <cfRule type="cellIs" dxfId="4101" priority="160" operator="lessThan">
      <formula>0</formula>
    </cfRule>
  </conditionalFormatting>
  <conditionalFormatting sqref="W355:W356">
    <cfRule type="cellIs" dxfId="4100" priority="157" operator="lessThan">
      <formula>0</formula>
    </cfRule>
  </conditionalFormatting>
  <conditionalFormatting sqref="W357">
    <cfRule type="cellIs" dxfId="4099" priority="156" operator="lessThan">
      <formula>0</formula>
    </cfRule>
  </conditionalFormatting>
  <conditionalFormatting sqref="W358:W360">
    <cfRule type="cellIs" dxfId="4098" priority="155" operator="lessThan">
      <formula>0</formula>
    </cfRule>
  </conditionalFormatting>
  <conditionalFormatting sqref="W362">
    <cfRule type="cellIs" dxfId="4097" priority="154" operator="lessThan">
      <formula>0</formula>
    </cfRule>
  </conditionalFormatting>
  <conditionalFormatting sqref="W364">
    <cfRule type="cellIs" dxfId="4096" priority="153" operator="lessThan">
      <formula>0</formula>
    </cfRule>
  </conditionalFormatting>
  <conditionalFormatting sqref="W365:W366">
    <cfRule type="cellIs" dxfId="4095" priority="152" operator="lessThan">
      <formula>0</formula>
    </cfRule>
  </conditionalFormatting>
  <conditionalFormatting sqref="Q766:R796">
    <cfRule type="cellIs" dxfId="4094" priority="143" operator="lessThan">
      <formula>0</formula>
    </cfRule>
  </conditionalFormatting>
  <conditionalFormatting sqref="A764 A766:A796">
    <cfRule type="cellIs" dxfId="4093" priority="142" operator="lessThan">
      <formula>0</formula>
    </cfRule>
  </conditionalFormatting>
  <conditionalFormatting sqref="Q764:R764 Q797:R797">
    <cfRule type="cellIs" dxfId="4092" priority="141" operator="lessThan">
      <formula>0</formula>
    </cfRule>
  </conditionalFormatting>
  <conditionalFormatting sqref="Q800:R800">
    <cfRule type="cellIs" dxfId="4091" priority="140" operator="lessThan">
      <formula>0</formula>
    </cfRule>
  </conditionalFormatting>
  <conditionalFormatting sqref="S767:V772 S774:V774 S776:V778">
    <cfRule type="cellIs" dxfId="4090" priority="139" operator="lessThan">
      <formula>0</formula>
    </cfRule>
  </conditionalFormatting>
  <conditionalFormatting sqref="W767:W768">
    <cfRule type="cellIs" dxfId="4089" priority="136" operator="lessThan">
      <formula>0</formula>
    </cfRule>
  </conditionalFormatting>
  <conditionalFormatting sqref="W769">
    <cfRule type="cellIs" dxfId="4088" priority="135" operator="lessThan">
      <formula>0</formula>
    </cfRule>
  </conditionalFormatting>
  <conditionalFormatting sqref="W770:W772">
    <cfRule type="cellIs" dxfId="4087" priority="134" operator="lessThan">
      <formula>0</formula>
    </cfRule>
  </conditionalFormatting>
  <conditionalFormatting sqref="W774">
    <cfRule type="cellIs" dxfId="4086" priority="133" operator="lessThan">
      <formula>0</formula>
    </cfRule>
  </conditionalFormatting>
  <conditionalFormatting sqref="W776">
    <cfRule type="cellIs" dxfId="4085" priority="132" operator="lessThan">
      <formula>0</formula>
    </cfRule>
  </conditionalFormatting>
  <conditionalFormatting sqref="W777:W778">
    <cfRule type="cellIs" dxfId="4084" priority="131" operator="lessThan">
      <formula>0</formula>
    </cfRule>
  </conditionalFormatting>
  <conditionalFormatting sqref="A389:A418">
    <cfRule type="cellIs" dxfId="4083" priority="130" operator="lessThan">
      <formula>0</formula>
    </cfRule>
  </conditionalFormatting>
  <conditionalFormatting sqref="Q455:R455">
    <cfRule type="cellIs" dxfId="4082" priority="126" operator="lessThan">
      <formula>0</formula>
    </cfRule>
  </conditionalFormatting>
  <conditionalFormatting sqref="Q424:R454">
    <cfRule type="cellIs" dxfId="4081" priority="112" operator="lessThan">
      <formula>0</formula>
    </cfRule>
  </conditionalFormatting>
  <conditionalFormatting sqref="A424:A454">
    <cfRule type="cellIs" dxfId="4080" priority="110" operator="lessThan">
      <formula>0</formula>
    </cfRule>
  </conditionalFormatting>
  <conditionalFormatting sqref="Q422:R423">
    <cfRule type="cellIs" dxfId="4079" priority="109" operator="lessThan">
      <formula>0</formula>
    </cfRule>
  </conditionalFormatting>
  <conditionalFormatting sqref="Q459:R489">
    <cfRule type="cellIs" dxfId="4078" priority="107" operator="lessThan">
      <formula>0</formula>
    </cfRule>
  </conditionalFormatting>
  <conditionalFormatting sqref="A457 A459:A489">
    <cfRule type="cellIs" dxfId="4077" priority="106" operator="lessThan">
      <formula>0</formula>
    </cfRule>
  </conditionalFormatting>
  <conditionalFormatting sqref="Q457:R457 Q490:R597">
    <cfRule type="cellIs" dxfId="4076" priority="105" operator="lessThan">
      <formula>0</formula>
    </cfRule>
  </conditionalFormatting>
  <conditionalFormatting sqref="S460:V465 S467:V467 S469:V472">
    <cfRule type="cellIs" dxfId="4075" priority="104" operator="lessThan">
      <formula>0</formula>
    </cfRule>
  </conditionalFormatting>
  <conditionalFormatting sqref="W460:W461">
    <cfRule type="cellIs" dxfId="4074" priority="101" operator="lessThan">
      <formula>0</formula>
    </cfRule>
  </conditionalFormatting>
  <conditionalFormatting sqref="W462">
    <cfRule type="cellIs" dxfId="4073" priority="100" operator="lessThan">
      <formula>0</formula>
    </cfRule>
  </conditionalFormatting>
  <conditionalFormatting sqref="W463:W465">
    <cfRule type="cellIs" dxfId="4072" priority="99" operator="lessThan">
      <formula>0</formula>
    </cfRule>
  </conditionalFormatting>
  <conditionalFormatting sqref="W467">
    <cfRule type="cellIs" dxfId="4071" priority="98" operator="lessThan">
      <formula>0</formula>
    </cfRule>
  </conditionalFormatting>
  <conditionalFormatting sqref="W469">
    <cfRule type="cellIs" dxfId="4070" priority="97" operator="lessThan">
      <formula>0</formula>
    </cfRule>
  </conditionalFormatting>
  <conditionalFormatting sqref="W470:W471">
    <cfRule type="cellIs" dxfId="4069" priority="96" operator="lessThan">
      <formula>0</formula>
    </cfRule>
  </conditionalFormatting>
  <conditionalFormatting sqref="W472">
    <cfRule type="cellIs" dxfId="4068" priority="95" operator="lessThan">
      <formula>0</formula>
    </cfRule>
  </conditionalFormatting>
  <conditionalFormatting sqref="A494:A521">
    <cfRule type="cellIs" dxfId="4067" priority="94" operator="lessThan">
      <formula>0</formula>
    </cfRule>
  </conditionalFormatting>
  <conditionalFormatting sqref="A528:A559">
    <cfRule type="cellIs" dxfId="4066" priority="93" operator="lessThan">
      <formula>0</formula>
    </cfRule>
  </conditionalFormatting>
  <conditionalFormatting sqref="A566:A595">
    <cfRule type="cellIs" dxfId="4065" priority="91" operator="lessThan">
      <formula>0</formula>
    </cfRule>
  </conditionalFormatting>
  <conditionalFormatting sqref="W718">
    <cfRule type="cellIs" dxfId="4064" priority="89" operator="lessThan">
      <formula>0</formula>
    </cfRule>
  </conditionalFormatting>
  <conditionalFormatting sqref="W719">
    <cfRule type="cellIs" dxfId="4063" priority="88" operator="lessThan">
      <formula>0</formula>
    </cfRule>
  </conditionalFormatting>
  <conditionalFormatting sqref="W720">
    <cfRule type="cellIs" dxfId="4062" priority="87" operator="lessThan">
      <formula>0</formula>
    </cfRule>
  </conditionalFormatting>
  <conditionalFormatting sqref="W722">
    <cfRule type="cellIs" dxfId="4061" priority="86" operator="lessThan">
      <formula>0</formula>
    </cfRule>
  </conditionalFormatting>
  <conditionalFormatting sqref="W724">
    <cfRule type="cellIs" dxfId="4060" priority="85" operator="lessThan">
      <formula>0</formula>
    </cfRule>
  </conditionalFormatting>
  <conditionalFormatting sqref="W725">
    <cfRule type="cellIs" dxfId="4059" priority="84" operator="lessThan">
      <formula>0</formula>
    </cfRule>
  </conditionalFormatting>
  <conditionalFormatting sqref="W731">
    <cfRule type="cellIs" dxfId="4058" priority="81" operator="lessThan">
      <formula>0</formula>
    </cfRule>
  </conditionalFormatting>
  <conditionalFormatting sqref="S633:W633 S601:W601 S599:T599 W599 T602:V630 S668:W705">
    <cfRule type="cellIs" dxfId="4057" priority="80" operator="lessThan">
      <formula>0</formula>
    </cfRule>
  </conditionalFormatting>
  <conditionalFormatting sqref="Q601:R630">
    <cfRule type="cellIs" dxfId="4056" priority="79" operator="lessThan">
      <formula>0</formula>
    </cfRule>
  </conditionalFormatting>
  <conditionalFormatting sqref="A599 A601:A631">
    <cfRule type="cellIs" dxfId="4055" priority="78" operator="lessThan">
      <formula>0</formula>
    </cfRule>
  </conditionalFormatting>
  <conditionalFormatting sqref="Q599:R599 Q633:R633 Q668:R705">
    <cfRule type="cellIs" dxfId="4054" priority="77" operator="lessThan">
      <formula>0</formula>
    </cfRule>
  </conditionalFormatting>
  <conditionalFormatting sqref="W610 W608 W616 S602:S630 W621:W623 W625:W630">
    <cfRule type="cellIs" dxfId="4053" priority="76" operator="lessThan">
      <formula>0</formula>
    </cfRule>
  </conditionalFormatting>
  <conditionalFormatting sqref="W602:W603">
    <cfRule type="cellIs" dxfId="4052" priority="75" operator="lessThan">
      <formula>0</formula>
    </cfRule>
  </conditionalFormatting>
  <conditionalFormatting sqref="W604">
    <cfRule type="cellIs" dxfId="4051" priority="74" operator="lessThan">
      <formula>0</formula>
    </cfRule>
  </conditionalFormatting>
  <conditionalFormatting sqref="W605:W607">
    <cfRule type="cellIs" dxfId="4050" priority="73" operator="lessThan">
      <formula>0</formula>
    </cfRule>
  </conditionalFormatting>
  <conditionalFormatting sqref="W609">
    <cfRule type="cellIs" dxfId="4049" priority="72" operator="lessThan">
      <formula>0</formula>
    </cfRule>
  </conditionalFormatting>
  <conditionalFormatting sqref="W614">
    <cfRule type="cellIs" dxfId="4048" priority="71" operator="lessThan">
      <formula>0</formula>
    </cfRule>
  </conditionalFormatting>
  <conditionalFormatting sqref="W611">
    <cfRule type="cellIs" dxfId="4047" priority="70" operator="lessThan">
      <formula>0</formula>
    </cfRule>
  </conditionalFormatting>
  <conditionalFormatting sqref="W612">
    <cfRule type="cellIs" dxfId="4046" priority="69" operator="lessThan">
      <formula>0</formula>
    </cfRule>
  </conditionalFormatting>
  <conditionalFormatting sqref="W613">
    <cfRule type="cellIs" dxfId="4045" priority="68" operator="lessThan">
      <formula>0</formula>
    </cfRule>
  </conditionalFormatting>
  <conditionalFormatting sqref="W615">
    <cfRule type="cellIs" dxfId="4044" priority="67" operator="lessThan">
      <formula>0</formula>
    </cfRule>
  </conditionalFormatting>
  <conditionalFormatting sqref="W617">
    <cfRule type="cellIs" dxfId="4043" priority="66" operator="lessThan">
      <formula>0</formula>
    </cfRule>
  </conditionalFormatting>
  <conditionalFormatting sqref="W618">
    <cfRule type="cellIs" dxfId="4042" priority="65" operator="lessThan">
      <formula>0</formula>
    </cfRule>
  </conditionalFormatting>
  <conditionalFormatting sqref="W619">
    <cfRule type="cellIs" dxfId="4041" priority="64" operator="lessThan">
      <formula>0</formula>
    </cfRule>
  </conditionalFormatting>
  <conditionalFormatting sqref="W620">
    <cfRule type="cellIs" dxfId="4040" priority="63" operator="lessThan">
      <formula>0</formula>
    </cfRule>
  </conditionalFormatting>
  <conditionalFormatting sqref="W624">
    <cfRule type="cellIs" dxfId="4039" priority="62" operator="lessThan">
      <formula>0</formula>
    </cfRule>
  </conditionalFormatting>
  <conditionalFormatting sqref="S631:W632">
    <cfRule type="cellIs" dxfId="4038" priority="61" operator="lessThan">
      <formula>0</formula>
    </cfRule>
  </conditionalFormatting>
  <conditionalFormatting sqref="Q631:R631">
    <cfRule type="cellIs" dxfId="4037" priority="60" operator="lessThan">
      <formula>0</formula>
    </cfRule>
  </conditionalFormatting>
  <conditionalFormatting sqref="Q632:R632">
    <cfRule type="cellIs" dxfId="4036" priority="58" operator="lessThan">
      <formula>0</formula>
    </cfRule>
  </conditionalFormatting>
  <conditionalFormatting sqref="W711">
    <cfRule type="cellIs" dxfId="4035" priority="57" operator="lessThan">
      <formula>0</formula>
    </cfRule>
  </conditionalFormatting>
  <conditionalFormatting sqref="S666:W667 S636:W636 S634:T634 W634 T637:V665">
    <cfRule type="cellIs" dxfId="4034" priority="35" operator="lessThan">
      <formula>0</formula>
    </cfRule>
  </conditionalFormatting>
  <conditionalFormatting sqref="Q636:R666">
    <cfRule type="cellIs" dxfId="4033" priority="34" operator="lessThan">
      <formula>0</formula>
    </cfRule>
  </conditionalFormatting>
  <conditionalFormatting sqref="A634 A636:A666">
    <cfRule type="cellIs" dxfId="4032" priority="33" operator="lessThan">
      <formula>0</formula>
    </cfRule>
  </conditionalFormatting>
  <conditionalFormatting sqref="Q634:R634 Q667:R667">
    <cfRule type="cellIs" dxfId="4031" priority="32" operator="lessThan">
      <formula>0</formula>
    </cfRule>
  </conditionalFormatting>
  <conditionalFormatting sqref="W645 W651 S637:S665 W656:W658 W660:W665">
    <cfRule type="cellIs" dxfId="4030" priority="31" operator="lessThan">
      <formula>0</formula>
    </cfRule>
  </conditionalFormatting>
  <conditionalFormatting sqref="W637:W638">
    <cfRule type="cellIs" dxfId="4029" priority="30" operator="lessThan">
      <formula>0</formula>
    </cfRule>
  </conditionalFormatting>
  <conditionalFormatting sqref="W640:W642">
    <cfRule type="cellIs" dxfId="4028" priority="29" operator="lessThan">
      <formula>0</formula>
    </cfRule>
  </conditionalFormatting>
  <conditionalFormatting sqref="W644">
    <cfRule type="cellIs" dxfId="4027" priority="28" operator="lessThan">
      <formula>0</formula>
    </cfRule>
  </conditionalFormatting>
  <conditionalFormatting sqref="W649">
    <cfRule type="cellIs" dxfId="4026" priority="27" operator="lessThan">
      <formula>0</formula>
    </cfRule>
  </conditionalFormatting>
  <conditionalFormatting sqref="W646">
    <cfRule type="cellIs" dxfId="4025" priority="26" operator="lessThan">
      <formula>0</formula>
    </cfRule>
  </conditionalFormatting>
  <conditionalFormatting sqref="W647">
    <cfRule type="cellIs" dxfId="4024" priority="25" operator="lessThan">
      <formula>0</formula>
    </cfRule>
  </conditionalFormatting>
  <conditionalFormatting sqref="W648">
    <cfRule type="cellIs" dxfId="4023" priority="24" operator="lessThan">
      <formula>0</formula>
    </cfRule>
  </conditionalFormatting>
  <conditionalFormatting sqref="W650">
    <cfRule type="cellIs" dxfId="4022" priority="23" operator="lessThan">
      <formula>0</formula>
    </cfRule>
  </conditionalFormatting>
  <conditionalFormatting sqref="W652">
    <cfRule type="cellIs" dxfId="4021" priority="22" operator="lessThan">
      <formula>0</formula>
    </cfRule>
  </conditionalFormatting>
  <conditionalFormatting sqref="W653">
    <cfRule type="cellIs" dxfId="4020" priority="21" operator="lessThan">
      <formula>0</formula>
    </cfRule>
  </conditionalFormatting>
  <conditionalFormatting sqref="W654">
    <cfRule type="cellIs" dxfId="4019" priority="20" operator="lessThan">
      <formula>0</formula>
    </cfRule>
  </conditionalFormatting>
  <conditionalFormatting sqref="W655">
    <cfRule type="cellIs" dxfId="4018" priority="19" operator="lessThan">
      <formula>0</formula>
    </cfRule>
  </conditionalFormatting>
  <conditionalFormatting sqref="W659">
    <cfRule type="cellIs" dxfId="4017" priority="18" operator="lessThan">
      <formula>0</formula>
    </cfRule>
  </conditionalFormatting>
  <conditionalFormatting sqref="W639">
    <cfRule type="cellIs" dxfId="4016" priority="17" operator="lessThan">
      <formula>0</formula>
    </cfRule>
  </conditionalFormatting>
  <conditionalFormatting sqref="W643">
    <cfRule type="cellIs" dxfId="4015" priority="16" operator="lessThan">
      <formula>0</formula>
    </cfRule>
  </conditionalFormatting>
  <conditionalFormatting sqref="W721">
    <cfRule type="cellIs" dxfId="4014" priority="15" operator="lessThan">
      <formula>0</formula>
    </cfRule>
  </conditionalFormatting>
  <conditionalFormatting sqref="W723">
    <cfRule type="cellIs" dxfId="4013" priority="14" operator="lessThan">
      <formula>0</formula>
    </cfRule>
  </conditionalFormatting>
  <conditionalFormatting sqref="W709">
    <cfRule type="cellIs" dxfId="4012" priority="11" operator="lessThan">
      <formula>0</formula>
    </cfRule>
  </conditionalFormatting>
  <conditionalFormatting sqref="W715">
    <cfRule type="cellIs" dxfId="4011" priority="10" operator="lessThan">
      <formula>0</formula>
    </cfRule>
  </conditionalFormatting>
  <conditionalFormatting sqref="W716">
    <cfRule type="cellIs" dxfId="4010" priority="9" operator="lessThan">
      <formula>0</formula>
    </cfRule>
  </conditionalFormatting>
  <conditionalFormatting sqref="W732">
    <cfRule type="cellIs" dxfId="4009" priority="6" operator="lessThan">
      <formula>0</formula>
    </cfRule>
  </conditionalFormatting>
  <conditionalFormatting sqref="T736:V738">
    <cfRule type="cellIs" dxfId="4008" priority="5" operator="lessThan">
      <formula>0</formula>
    </cfRule>
  </conditionalFormatting>
  <conditionalFormatting sqref="Q736:R738">
    <cfRule type="cellIs" dxfId="4007" priority="4" operator="lessThan">
      <formula>0</formula>
    </cfRule>
  </conditionalFormatting>
  <conditionalFormatting sqref="A736:A738">
    <cfRule type="cellIs" dxfId="4006" priority="3" operator="lessThan">
      <formula>0</formula>
    </cfRule>
  </conditionalFormatting>
  <conditionalFormatting sqref="S736:S738">
    <cfRule type="cellIs" dxfId="4005" priority="2" operator="lessThan">
      <formula>0</formula>
    </cfRule>
  </conditionalFormatting>
  <conditionalFormatting sqref="W727:W728">
    <cfRule type="cellIs" dxfId="4004"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0000"/>
  </sheetPr>
  <dimension ref="A1:EX56"/>
  <sheetViews>
    <sheetView tabSelected="1" zoomScale="70" zoomScaleNormal="70" zoomScaleSheetLayoutView="100" workbookViewId="0">
      <pane xSplit="1" ySplit="2" topLeftCell="B3" activePane="bottomRight" state="frozen"/>
      <selection pane="bottomRight" activeCell="Q6" sqref="Q6"/>
      <selection pane="bottomLeft"/>
      <selection pane="topRight"/>
    </sheetView>
  </sheetViews>
  <sheetFormatPr defaultRowHeight="14.45"/>
  <cols>
    <col min="1" max="1" width="9.5703125" customWidth="1"/>
    <col min="2" max="2" width="12.42578125" customWidth="1"/>
    <col min="3" max="3" width="10.5703125" style="79" customWidth="1"/>
    <col min="4" max="4" width="12.42578125" customWidth="1"/>
    <col min="5" max="5" width="11" style="79" customWidth="1"/>
    <col min="6" max="6" width="12" customWidth="1"/>
    <col min="7" max="7" width="9.140625" customWidth="1"/>
    <col min="8" max="10" width="9.42578125" customWidth="1"/>
    <col min="11" max="16" width="9.140625" customWidth="1"/>
    <col min="17" max="17" width="11.7109375" customWidth="1"/>
    <col min="18" max="18" width="9.85546875" customWidth="1"/>
    <col min="19" max="19" width="14.28515625" customWidth="1"/>
    <col min="20" max="20" width="9.85546875" customWidth="1"/>
    <col min="21" max="21" width="11.7109375" customWidth="1"/>
    <col min="22" max="22" width="9.85546875" customWidth="1"/>
    <col min="23" max="23" width="14.28515625" customWidth="1"/>
    <col min="24" max="24" width="13.28515625" customWidth="1"/>
    <col min="25" max="26" width="10" customWidth="1"/>
    <col min="27" max="27" width="3.85546875" customWidth="1"/>
    <col min="28" max="29" width="9.85546875" customWidth="1"/>
    <col min="30" max="30" width="9.140625" customWidth="1"/>
    <col min="31" max="31" width="12" customWidth="1"/>
    <col min="32" max="32" width="9.140625" customWidth="1"/>
    <col min="33" max="34" width="10" customWidth="1"/>
    <col min="35" max="35" width="9.140625" customWidth="1"/>
    <col min="36" max="36" width="8.85546875" customWidth="1"/>
    <col min="37" max="37" width="13.7109375" customWidth="1"/>
    <col min="38" max="43" width="9.140625" customWidth="1"/>
    <col min="44" max="46" width="9.7109375" customWidth="1"/>
    <col min="47" max="62" width="9.140625" customWidth="1"/>
    <col min="63" max="63" width="12.85546875" customWidth="1"/>
    <col min="64" max="64" width="8.5703125" customWidth="1"/>
    <col min="65" max="65" width="13.140625" customWidth="1"/>
    <col min="66" max="66" width="9.7109375" customWidth="1"/>
    <col min="67" max="67" width="9.85546875" customWidth="1"/>
    <col min="68" max="68" width="9.140625" customWidth="1"/>
    <col min="69" max="69" width="12.85546875" customWidth="1"/>
    <col min="70" max="70" width="9.140625" customWidth="1"/>
    <col min="71" max="71" width="11" customWidth="1"/>
    <col min="72" max="72" width="14.5703125" customWidth="1"/>
    <col min="73" max="73" width="10" customWidth="1"/>
    <col min="74" max="76" width="9.7109375" customWidth="1"/>
    <col min="77" max="77" width="12.42578125" customWidth="1"/>
    <col min="78" max="81" width="9.7109375" customWidth="1"/>
    <col min="82" max="82" width="11.85546875" customWidth="1"/>
    <col min="83" max="83" width="10" customWidth="1"/>
    <col min="84" max="84" width="10.28515625" customWidth="1"/>
    <col min="85" max="85" width="10.5703125" bestFit="1" customWidth="1"/>
    <col min="86" max="86" width="6" customWidth="1"/>
    <col min="87" max="87" width="9.42578125" customWidth="1"/>
    <col min="88" max="88" width="11.85546875" customWidth="1"/>
    <col min="97" max="97" width="13.5703125" bestFit="1" customWidth="1"/>
    <col min="98" max="98" width="10.140625" bestFit="1" customWidth="1"/>
    <col min="100" max="100" width="16.140625" customWidth="1"/>
    <col min="104" max="104" width="8.7109375" customWidth="1"/>
    <col min="105" max="105" width="14.5703125" bestFit="1" customWidth="1"/>
    <col min="106" max="106" width="11.5703125" bestFit="1" customWidth="1"/>
    <col min="109" max="109" width="10.140625" bestFit="1" customWidth="1"/>
    <col min="111" max="111" width="9.7109375" bestFit="1" customWidth="1"/>
    <col min="136" max="139" width="8.7109375" customWidth="1"/>
    <col min="140" max="140" width="10.28515625" bestFit="1" customWidth="1"/>
    <col min="142" max="142" width="11.28515625" customWidth="1"/>
    <col min="144" max="144" width="12" customWidth="1"/>
    <col min="147" max="147" width="13.140625" customWidth="1"/>
    <col min="148" max="148" width="16.28515625" customWidth="1"/>
    <col min="149" max="149" width="19.140625" customWidth="1"/>
    <col min="154" max="154" width="77.140625" customWidth="1"/>
  </cols>
  <sheetData>
    <row r="1" spans="1:152" s="38" customFormat="1" ht="39.75" customHeight="1" thickBot="1">
      <c r="B1" s="826" t="s">
        <v>363</v>
      </c>
      <c r="C1" s="827"/>
      <c r="D1" s="827"/>
      <c r="E1" s="827"/>
      <c r="F1" s="827"/>
      <c r="G1" s="827"/>
      <c r="H1" s="827"/>
      <c r="I1" s="829" t="s">
        <v>364</v>
      </c>
      <c r="J1" s="829"/>
      <c r="K1" s="829"/>
      <c r="L1" s="829"/>
      <c r="M1" s="829" t="s">
        <v>365</v>
      </c>
      <c r="N1" s="829"/>
      <c r="O1" s="829"/>
      <c r="P1" s="829"/>
      <c r="Q1" s="39" t="s">
        <v>366</v>
      </c>
      <c r="R1" s="692" t="s">
        <v>367</v>
      </c>
      <c r="S1" s="40" t="s">
        <v>368</v>
      </c>
      <c r="T1" s="692" t="s">
        <v>367</v>
      </c>
      <c r="U1" s="39" t="s">
        <v>369</v>
      </c>
      <c r="V1" s="692" t="s">
        <v>367</v>
      </c>
      <c r="W1" s="40" t="s">
        <v>370</v>
      </c>
      <c r="X1" s="41" t="s">
        <v>367</v>
      </c>
      <c r="Y1" s="826" t="s">
        <v>371</v>
      </c>
      <c r="Z1" s="828"/>
      <c r="AA1" s="44"/>
      <c r="AB1" s="42" t="s">
        <v>372</v>
      </c>
      <c r="AC1" s="42" t="s">
        <v>373</v>
      </c>
      <c r="AD1" s="43" t="s">
        <v>374</v>
      </c>
      <c r="AE1" s="42"/>
      <c r="AF1" s="42"/>
      <c r="AG1" s="45"/>
      <c r="AH1" s="45"/>
      <c r="AI1" s="830" t="s">
        <v>375</v>
      </c>
      <c r="AJ1" s="830"/>
      <c r="AK1" s="719" t="s">
        <v>376</v>
      </c>
      <c r="AL1" s="719"/>
      <c r="AM1" s="720" t="s">
        <v>377</v>
      </c>
      <c r="AN1" s="719" t="s">
        <v>367</v>
      </c>
      <c r="AO1" s="720"/>
      <c r="AP1" s="719" t="s">
        <v>367</v>
      </c>
      <c r="AQ1" s="824" t="s">
        <v>81</v>
      </c>
      <c r="AR1" s="825"/>
      <c r="AS1" s="824" t="s">
        <v>378</v>
      </c>
      <c r="AT1" s="825"/>
      <c r="AU1" s="826" t="s">
        <v>76</v>
      </c>
      <c r="AV1" s="828"/>
      <c r="AW1" s="826" t="s">
        <v>51</v>
      </c>
      <c r="AX1" s="828"/>
      <c r="AY1" s="826" t="s">
        <v>56</v>
      </c>
      <c r="AZ1" s="828"/>
      <c r="BA1" s="826" t="s">
        <v>61</v>
      </c>
      <c r="BB1" s="828"/>
      <c r="BC1" s="826" t="s">
        <v>63</v>
      </c>
      <c r="BD1" s="828"/>
      <c r="BE1" s="826" t="s">
        <v>67</v>
      </c>
      <c r="BF1" s="828"/>
      <c r="BG1" s="826" t="s">
        <v>70</v>
      </c>
      <c r="BH1" s="828"/>
      <c r="BI1" s="826" t="s">
        <v>73</v>
      </c>
      <c r="BJ1" s="828"/>
      <c r="BK1" s="44"/>
      <c r="BL1" s="44"/>
      <c r="BM1" s="44"/>
      <c r="BN1" s="44"/>
      <c r="BO1" s="44"/>
      <c r="BP1" s="44"/>
      <c r="BQ1" s="693"/>
      <c r="BR1" s="693"/>
      <c r="BS1" s="693"/>
      <c r="BT1" s="693"/>
      <c r="BU1" s="824" t="s">
        <v>75</v>
      </c>
      <c r="BV1" s="825"/>
      <c r="BW1" s="824" t="s">
        <v>379</v>
      </c>
      <c r="BX1" s="825"/>
      <c r="BY1" s="826" t="s">
        <v>380</v>
      </c>
      <c r="BZ1" s="828"/>
      <c r="CA1" s="824" t="s">
        <v>381</v>
      </c>
      <c r="CB1" s="825"/>
      <c r="CC1" s="45"/>
      <c r="CD1" s="45"/>
      <c r="CE1" s="45"/>
      <c r="CF1" s="46" t="s">
        <v>382</v>
      </c>
      <c r="CG1" s="47"/>
      <c r="CH1" s="47"/>
      <c r="CI1" s="47"/>
      <c r="CJ1" s="48" t="s">
        <v>174</v>
      </c>
      <c r="CK1" s="49"/>
      <c r="DE1" s="831" t="s">
        <v>383</v>
      </c>
      <c r="DF1" s="832"/>
      <c r="DG1" s="833"/>
      <c r="DH1" s="826" t="s">
        <v>384</v>
      </c>
      <c r="DI1" s="827"/>
      <c r="DJ1" s="828"/>
      <c r="DK1" s="831" t="s">
        <v>51</v>
      </c>
      <c r="DL1" s="832"/>
      <c r="DM1" s="833"/>
      <c r="DN1" s="831" t="s">
        <v>56</v>
      </c>
      <c r="DO1" s="832"/>
      <c r="DP1" s="833"/>
      <c r="DQ1" s="831" t="s">
        <v>61</v>
      </c>
      <c r="DR1" s="832"/>
      <c r="DS1" s="833"/>
      <c r="DT1" s="831" t="s">
        <v>63</v>
      </c>
      <c r="DU1" s="832"/>
      <c r="DV1" s="833"/>
      <c r="DW1" s="831" t="s">
        <v>67</v>
      </c>
      <c r="DX1" s="832"/>
      <c r="DY1" s="833"/>
      <c r="DZ1" s="831" t="s">
        <v>70</v>
      </c>
      <c r="EA1" s="832"/>
      <c r="EB1" s="833"/>
      <c r="EC1" s="831" t="s">
        <v>73</v>
      </c>
      <c r="ED1" s="832"/>
      <c r="EE1" s="833"/>
      <c r="EF1" s="50"/>
      <c r="EG1" s="50"/>
      <c r="EH1" s="50"/>
      <c r="EI1" s="50"/>
      <c r="EJ1" s="50"/>
      <c r="EK1" s="50"/>
      <c r="EL1" s="50"/>
      <c r="EM1" s="50"/>
      <c r="EN1" s="50"/>
      <c r="EO1" s="50"/>
      <c r="EP1" s="50"/>
      <c r="EQ1" s="830" t="s">
        <v>385</v>
      </c>
      <c r="ER1" s="830"/>
      <c r="ES1" s="830"/>
      <c r="ET1" s="823" t="s">
        <v>386</v>
      </c>
      <c r="EU1" s="823"/>
      <c r="EV1" s="823"/>
    </row>
    <row r="2" spans="1:152" ht="29.1">
      <c r="A2" s="51" t="s">
        <v>14</v>
      </c>
      <c r="B2" s="52" t="s">
        <v>20</v>
      </c>
      <c r="C2" s="53" t="s">
        <v>367</v>
      </c>
      <c r="D2" s="54" t="s">
        <v>16</v>
      </c>
      <c r="E2" s="55" t="s">
        <v>367</v>
      </c>
      <c r="F2" s="54" t="s">
        <v>175</v>
      </c>
      <c r="G2" s="214" t="s">
        <v>23</v>
      </c>
      <c r="H2" s="215" t="s">
        <v>387</v>
      </c>
      <c r="I2" s="54" t="s">
        <v>16</v>
      </c>
      <c r="J2" s="53" t="s">
        <v>367</v>
      </c>
      <c r="K2" s="56" t="s">
        <v>388</v>
      </c>
      <c r="L2" s="53" t="s">
        <v>367</v>
      </c>
      <c r="M2" s="54" t="s">
        <v>16</v>
      </c>
      <c r="N2" s="53" t="s">
        <v>367</v>
      </c>
      <c r="O2" s="56" t="s">
        <v>388</v>
      </c>
      <c r="P2" s="53" t="s">
        <v>367</v>
      </c>
      <c r="Q2" s="54" t="s">
        <v>16</v>
      </c>
      <c r="R2" s="53" t="s">
        <v>367</v>
      </c>
      <c r="S2" s="54" t="s">
        <v>16</v>
      </c>
      <c r="T2" s="53" t="s">
        <v>367</v>
      </c>
      <c r="U2" s="54" t="s">
        <v>16</v>
      </c>
      <c r="V2" s="53" t="s">
        <v>367</v>
      </c>
      <c r="W2" s="54" t="s">
        <v>16</v>
      </c>
      <c r="X2" s="53" t="s">
        <v>367</v>
      </c>
      <c r="Y2" s="54" t="s">
        <v>389</v>
      </c>
      <c r="Z2" s="57" t="s">
        <v>367</v>
      </c>
      <c r="AA2" s="57"/>
      <c r="AB2" s="58"/>
      <c r="AC2" s="58"/>
      <c r="AD2" s="58">
        <v>38</v>
      </c>
      <c r="AE2" s="58" t="s">
        <v>390</v>
      </c>
      <c r="AF2" s="58" t="s">
        <v>391</v>
      </c>
      <c r="AG2" s="59" t="s">
        <v>392</v>
      </c>
      <c r="AH2" s="59"/>
      <c r="AI2" s="58" t="s">
        <v>393</v>
      </c>
      <c r="AJ2" s="58" t="s">
        <v>367</v>
      </c>
      <c r="AK2" s="58"/>
      <c r="AL2" s="58" t="s">
        <v>367</v>
      </c>
      <c r="AM2" s="58"/>
      <c r="AN2" s="58"/>
      <c r="AO2" s="58"/>
      <c r="AP2" s="58"/>
      <c r="AQ2" s="54" t="s">
        <v>394</v>
      </c>
      <c r="AR2" s="54" t="s">
        <v>395</v>
      </c>
      <c r="AS2" s="54"/>
      <c r="AT2" s="54"/>
      <c r="AU2" s="54" t="s">
        <v>396</v>
      </c>
      <c r="AV2" s="54" t="s">
        <v>391</v>
      </c>
      <c r="AW2" s="54" t="s">
        <v>51</v>
      </c>
      <c r="AX2" s="54" t="s">
        <v>391</v>
      </c>
      <c r="AY2" s="54" t="s">
        <v>56</v>
      </c>
      <c r="AZ2" s="54" t="s">
        <v>391</v>
      </c>
      <c r="BA2" s="54" t="s">
        <v>61</v>
      </c>
      <c r="BB2" s="54" t="s">
        <v>395</v>
      </c>
      <c r="BC2" s="54" t="s">
        <v>63</v>
      </c>
      <c r="BD2" s="54" t="s">
        <v>395</v>
      </c>
      <c r="BE2" s="54" t="s">
        <v>67</v>
      </c>
      <c r="BF2" s="54" t="s">
        <v>395</v>
      </c>
      <c r="BG2" s="54" t="s">
        <v>70</v>
      </c>
      <c r="BH2" s="54" t="s">
        <v>395</v>
      </c>
      <c r="BI2" s="54" t="s">
        <v>73</v>
      </c>
      <c r="BJ2" s="54" t="s">
        <v>391</v>
      </c>
      <c r="BK2" s="54" t="s">
        <v>397</v>
      </c>
      <c r="BL2" s="54" t="s">
        <v>391</v>
      </c>
      <c r="BM2" s="54" t="s">
        <v>398</v>
      </c>
      <c r="BN2" s="54" t="s">
        <v>391</v>
      </c>
      <c r="BO2" s="54" t="s">
        <v>399</v>
      </c>
      <c r="BP2" s="54" t="s">
        <v>391</v>
      </c>
      <c r="BQ2" s="58" t="s">
        <v>400</v>
      </c>
      <c r="BR2" s="58" t="s">
        <v>395</v>
      </c>
      <c r="BS2" s="58" t="s">
        <v>401</v>
      </c>
      <c r="BT2" s="58" t="s">
        <v>402</v>
      </c>
      <c r="BU2" s="54" t="s">
        <v>403</v>
      </c>
      <c r="BV2" s="54" t="s">
        <v>395</v>
      </c>
      <c r="BW2" s="54"/>
      <c r="BX2" s="54"/>
      <c r="BY2" s="54" t="s">
        <v>404</v>
      </c>
      <c r="BZ2" s="54" t="s">
        <v>395</v>
      </c>
      <c r="CA2" s="54"/>
      <c r="CB2" s="54"/>
      <c r="CC2" s="58" t="s">
        <v>404</v>
      </c>
      <c r="CD2" s="59" t="s">
        <v>405</v>
      </c>
      <c r="CE2" s="59" t="s">
        <v>406</v>
      </c>
      <c r="CF2" s="60" t="s">
        <v>407</v>
      </c>
      <c r="CG2" s="61" t="s">
        <v>408</v>
      </c>
      <c r="CH2" s="61" t="s">
        <v>409</v>
      </c>
      <c r="CI2" s="61" t="s">
        <v>367</v>
      </c>
      <c r="CJ2" s="54" t="s">
        <v>410</v>
      </c>
      <c r="CK2" s="54" t="s">
        <v>411</v>
      </c>
      <c r="CL2" s="58" t="s">
        <v>123</v>
      </c>
      <c r="CM2" s="58" t="s">
        <v>412</v>
      </c>
      <c r="CN2" s="58" t="s">
        <v>408</v>
      </c>
      <c r="CO2" s="58" t="s">
        <v>413</v>
      </c>
      <c r="CP2" s="58" t="s">
        <v>408</v>
      </c>
      <c r="CQ2" s="58" t="s">
        <v>414</v>
      </c>
      <c r="CR2" s="58" t="s">
        <v>408</v>
      </c>
      <c r="CS2" s="58" t="s">
        <v>415</v>
      </c>
      <c r="CT2" s="62" t="s">
        <v>395</v>
      </c>
      <c r="CU2" s="62" t="s">
        <v>416</v>
      </c>
      <c r="CV2" s="728" t="s">
        <v>417</v>
      </c>
      <c r="CW2" s="62" t="s">
        <v>418</v>
      </c>
      <c r="CX2" s="62" t="s">
        <v>419</v>
      </c>
      <c r="CY2" s="62" t="s">
        <v>420</v>
      </c>
      <c r="CZ2" s="58" t="s">
        <v>418</v>
      </c>
      <c r="DA2" s="58" t="s">
        <v>419</v>
      </c>
      <c r="DB2" s="62" t="s">
        <v>421</v>
      </c>
      <c r="DC2" s="58" t="s">
        <v>418</v>
      </c>
      <c r="DD2" s="58" t="s">
        <v>419</v>
      </c>
      <c r="DE2" s="54"/>
      <c r="DF2" s="58" t="s">
        <v>418</v>
      </c>
      <c r="DG2" s="58" t="s">
        <v>419</v>
      </c>
      <c r="DH2" s="54"/>
      <c r="DI2" s="62" t="s">
        <v>418</v>
      </c>
      <c r="DJ2" s="62" t="s">
        <v>419</v>
      </c>
      <c r="DK2" s="54"/>
      <c r="DL2" s="62" t="s">
        <v>418</v>
      </c>
      <c r="DM2" s="62" t="s">
        <v>419</v>
      </c>
      <c r="DN2" s="54"/>
      <c r="DO2" s="62" t="s">
        <v>418</v>
      </c>
      <c r="DP2" s="62" t="s">
        <v>419</v>
      </c>
      <c r="DQ2" s="54"/>
      <c r="DR2" s="62" t="s">
        <v>418</v>
      </c>
      <c r="DS2" s="62" t="s">
        <v>419</v>
      </c>
      <c r="DT2" s="54"/>
      <c r="DU2" s="62" t="s">
        <v>418</v>
      </c>
      <c r="DV2" s="62" t="s">
        <v>419</v>
      </c>
      <c r="DW2" s="54"/>
      <c r="DX2" s="62" t="s">
        <v>418</v>
      </c>
      <c r="DY2" s="62" t="s">
        <v>419</v>
      </c>
      <c r="DZ2" s="54"/>
      <c r="EA2" s="62" t="s">
        <v>418</v>
      </c>
      <c r="EB2" s="62" t="s">
        <v>419</v>
      </c>
      <c r="EC2" s="54"/>
      <c r="ED2" s="62" t="s">
        <v>418</v>
      </c>
      <c r="EE2" s="62" t="s">
        <v>419</v>
      </c>
      <c r="EF2" s="63">
        <v>145</v>
      </c>
      <c r="EG2" s="64" t="s">
        <v>367</v>
      </c>
      <c r="EH2" s="65">
        <v>146</v>
      </c>
      <c r="EI2" s="574" t="s">
        <v>367</v>
      </c>
      <c r="EJ2" s="574" t="s">
        <v>422</v>
      </c>
      <c r="EK2" s="574" t="s">
        <v>367</v>
      </c>
      <c r="EL2" s="574" t="s">
        <v>423</v>
      </c>
      <c r="EM2" s="574" t="s">
        <v>367</v>
      </c>
      <c r="EN2" s="66" t="s">
        <v>424</v>
      </c>
      <c r="EO2" s="66" t="s">
        <v>149</v>
      </c>
      <c r="EP2" s="67" t="s">
        <v>150</v>
      </c>
      <c r="EQ2" s="574" t="s">
        <v>131</v>
      </c>
      <c r="ER2" s="574" t="s">
        <v>132</v>
      </c>
      <c r="ES2" s="574" t="s">
        <v>133</v>
      </c>
      <c r="ET2" s="575">
        <v>0.75</v>
      </c>
      <c r="EU2" s="575">
        <v>0</v>
      </c>
      <c r="EV2" s="575">
        <v>0.25</v>
      </c>
    </row>
    <row r="3" spans="1:152" s="76" customFormat="1" ht="15">
      <c r="A3" s="68">
        <v>44773</v>
      </c>
      <c r="B3" s="304">
        <v>4947456</v>
      </c>
      <c r="C3" s="70">
        <v>24271</v>
      </c>
      <c r="D3" s="305">
        <v>3887248</v>
      </c>
      <c r="E3" s="70">
        <v>23114</v>
      </c>
      <c r="F3" s="721">
        <v>0.95232994108194968</v>
      </c>
      <c r="G3" s="305">
        <v>1070</v>
      </c>
      <c r="H3" s="305">
        <v>1110</v>
      </c>
      <c r="I3" s="305">
        <v>292000</v>
      </c>
      <c r="J3" s="78">
        <v>0</v>
      </c>
      <c r="K3" s="307">
        <v>803</v>
      </c>
      <c r="L3" s="78">
        <v>0</v>
      </c>
      <c r="M3" s="303">
        <v>644837</v>
      </c>
      <c r="N3" s="78">
        <v>0</v>
      </c>
      <c r="O3" s="303">
        <v>1033</v>
      </c>
      <c r="P3" s="78">
        <v>0</v>
      </c>
      <c r="Q3" s="303">
        <v>3453800</v>
      </c>
      <c r="R3" s="78">
        <v>3453800</v>
      </c>
      <c r="S3" s="303">
        <v>3315500</v>
      </c>
      <c r="T3" s="78">
        <v>3315500</v>
      </c>
      <c r="U3" s="303">
        <v>2994789</v>
      </c>
      <c r="V3" s="78">
        <v>534</v>
      </c>
      <c r="W3" s="303">
        <v>2327276</v>
      </c>
      <c r="X3" s="78">
        <v>513</v>
      </c>
      <c r="Y3" s="303">
        <v>319524</v>
      </c>
      <c r="Z3" s="78">
        <v>279</v>
      </c>
      <c r="AA3" s="538"/>
      <c r="AB3" s="718">
        <v>0.72222222222222221</v>
      </c>
      <c r="AC3" s="308">
        <v>288.88888888888886</v>
      </c>
      <c r="AD3" s="307"/>
      <c r="AE3" s="303">
        <v>1340</v>
      </c>
      <c r="AF3" s="78">
        <v>0</v>
      </c>
      <c r="AG3" s="495">
        <v>549830</v>
      </c>
      <c r="AH3" s="71">
        <v>490</v>
      </c>
      <c r="AI3" s="303">
        <v>1180</v>
      </c>
      <c r="AJ3" s="563">
        <v>0</v>
      </c>
      <c r="AK3" s="303">
        <v>6029</v>
      </c>
      <c r="AL3" s="563">
        <v>3</v>
      </c>
      <c r="AM3" s="69">
        <v>58271</v>
      </c>
      <c r="AN3" s="563">
        <v>351</v>
      </c>
      <c r="AO3" s="69"/>
      <c r="AP3" s="563">
        <v>0</v>
      </c>
      <c r="AQ3" s="303">
        <v>640810</v>
      </c>
      <c r="AR3" s="78">
        <v>220</v>
      </c>
      <c r="AS3" s="352">
        <v>5172</v>
      </c>
      <c r="AT3" s="78">
        <v>32</v>
      </c>
      <c r="AU3" s="534">
        <v>58009</v>
      </c>
      <c r="AV3" s="78">
        <v>20</v>
      </c>
      <c r="AW3" s="307">
        <v>9445</v>
      </c>
      <c r="AX3" s="78">
        <v>4</v>
      </c>
      <c r="AY3" s="303">
        <v>11189</v>
      </c>
      <c r="AZ3" s="78">
        <v>4</v>
      </c>
      <c r="BA3" s="303">
        <v>19913</v>
      </c>
      <c r="BB3" s="78">
        <v>10</v>
      </c>
      <c r="BC3" s="303">
        <v>21369</v>
      </c>
      <c r="BD3" s="78">
        <v>7</v>
      </c>
      <c r="BE3" s="495">
        <v>21334</v>
      </c>
      <c r="BF3" s="71" t="s">
        <v>255</v>
      </c>
      <c r="BG3" s="303">
        <v>14700</v>
      </c>
      <c r="BH3" s="71">
        <v>6</v>
      </c>
      <c r="BI3" s="303">
        <v>6836</v>
      </c>
      <c r="BJ3" s="71">
        <v>1</v>
      </c>
      <c r="BK3" s="303">
        <v>28292</v>
      </c>
      <c r="BL3" s="71">
        <v>4</v>
      </c>
      <c r="BM3" s="303">
        <v>5951</v>
      </c>
      <c r="BN3" s="71">
        <v>3</v>
      </c>
      <c r="BO3" s="303">
        <v>33371</v>
      </c>
      <c r="BP3" s="71">
        <v>66</v>
      </c>
      <c r="BQ3" s="303">
        <v>3641</v>
      </c>
      <c r="BR3" s="71">
        <v>0</v>
      </c>
      <c r="BS3" s="71">
        <v>16</v>
      </c>
      <c r="BT3" s="71">
        <v>204</v>
      </c>
      <c r="BU3" s="303">
        <v>660530</v>
      </c>
      <c r="BV3" s="71">
        <v>190</v>
      </c>
      <c r="BW3" s="303"/>
      <c r="BX3" s="71">
        <v>0</v>
      </c>
      <c r="BY3" s="303">
        <v>854250</v>
      </c>
      <c r="BZ3" s="71">
        <v>0</v>
      </c>
      <c r="CA3" s="495">
        <v>28696</v>
      </c>
      <c r="CB3" s="71">
        <v>33</v>
      </c>
      <c r="CC3" s="75">
        <v>-220</v>
      </c>
      <c r="CD3" s="71">
        <v>190</v>
      </c>
      <c r="CE3" s="72">
        <v>55</v>
      </c>
      <c r="CF3" s="495">
        <v>152</v>
      </c>
      <c r="CG3" s="496">
        <v>19718.480566335173</v>
      </c>
      <c r="CH3" s="309"/>
      <c r="CI3" s="726"/>
      <c r="CJ3" s="306">
        <v>2694183</v>
      </c>
      <c r="CK3" s="71">
        <v>2425073</v>
      </c>
      <c r="CL3" s="75">
        <v>13847166.83</v>
      </c>
      <c r="CM3" s="535">
        <v>64</v>
      </c>
      <c r="CN3" s="564">
        <v>6896</v>
      </c>
      <c r="CO3" s="306">
        <v>65</v>
      </c>
      <c r="CP3" s="73">
        <v>7003.75</v>
      </c>
      <c r="CQ3" s="535">
        <v>65</v>
      </c>
      <c r="CR3" s="566">
        <v>7003.75</v>
      </c>
      <c r="CS3" s="565">
        <v>20903.5</v>
      </c>
      <c r="CT3" s="567">
        <v>1508.5</v>
      </c>
      <c r="CU3" s="303"/>
      <c r="CV3" s="306">
        <v>46855</v>
      </c>
      <c r="CW3" s="71">
        <v>43</v>
      </c>
      <c r="CX3" s="75">
        <v>245.53</v>
      </c>
      <c r="CY3" s="693">
        <v>35987</v>
      </c>
      <c r="CZ3" s="71">
        <v>9</v>
      </c>
      <c r="DA3" s="75">
        <v>51.39</v>
      </c>
      <c r="DB3" s="306">
        <v>15312</v>
      </c>
      <c r="DC3" s="71">
        <v>17</v>
      </c>
      <c r="DD3" s="75">
        <v>97.07</v>
      </c>
      <c r="DE3" s="306">
        <v>855886</v>
      </c>
      <c r="DF3" s="71">
        <v>127</v>
      </c>
      <c r="DG3" s="75">
        <v>725.17</v>
      </c>
      <c r="DH3" s="303">
        <v>11369</v>
      </c>
      <c r="DI3" s="71">
        <v>16</v>
      </c>
      <c r="DJ3" s="75">
        <v>91.36</v>
      </c>
      <c r="DK3" s="306">
        <v>10879</v>
      </c>
      <c r="DL3" s="71">
        <v>12</v>
      </c>
      <c r="DM3" s="75">
        <v>68.52</v>
      </c>
      <c r="DN3" s="306">
        <v>6636</v>
      </c>
      <c r="DO3" s="71">
        <v>15</v>
      </c>
      <c r="DP3" s="75">
        <v>85.65</v>
      </c>
      <c r="DQ3" s="306">
        <v>2309</v>
      </c>
      <c r="DR3" s="71">
        <v>2</v>
      </c>
      <c r="DS3" s="75">
        <v>11.42</v>
      </c>
      <c r="DT3" s="306">
        <v>8084</v>
      </c>
      <c r="DU3" s="71">
        <v>14</v>
      </c>
      <c r="DV3" s="75">
        <v>79.94</v>
      </c>
      <c r="DW3" s="306">
        <v>7482</v>
      </c>
      <c r="DX3" s="71">
        <v>9</v>
      </c>
      <c r="DY3" s="75">
        <v>51.39</v>
      </c>
      <c r="DZ3" s="306">
        <v>8072</v>
      </c>
      <c r="EA3" s="71">
        <v>11</v>
      </c>
      <c r="EB3" s="75">
        <v>62.81</v>
      </c>
      <c r="EC3" s="306">
        <v>7995</v>
      </c>
      <c r="ED3" s="71">
        <v>12</v>
      </c>
      <c r="EE3" s="75">
        <v>68.52</v>
      </c>
      <c r="EF3" s="309"/>
      <c r="EG3" s="75">
        <v>0</v>
      </c>
      <c r="EH3" s="309"/>
      <c r="EI3" s="75">
        <v>0</v>
      </c>
      <c r="EJ3" s="310"/>
      <c r="EK3" s="75">
        <v>0</v>
      </c>
      <c r="EL3" s="495"/>
      <c r="EM3" s="75">
        <v>0</v>
      </c>
      <c r="EN3" s="310">
        <v>97</v>
      </c>
      <c r="EO3" s="346">
        <v>300</v>
      </c>
      <c r="EP3" s="491">
        <v>0.75819999999999999</v>
      </c>
      <c r="EQ3" s="347"/>
      <c r="ER3" s="334"/>
      <c r="ES3" s="537"/>
      <c r="ET3" s="536"/>
      <c r="EU3" s="536"/>
      <c r="EV3" s="536"/>
    </row>
    <row r="4" spans="1:152" s="74" customFormat="1" ht="15">
      <c r="A4" s="68">
        <v>44774</v>
      </c>
      <c r="B4" s="304">
        <v>4969645</v>
      </c>
      <c r="C4" s="70">
        <f t="shared" ref="C4" si="0">IF((B4-B3)&lt;0,"0",(B4-B3))</f>
        <v>22189</v>
      </c>
      <c r="D4" s="305">
        <v>3909086</v>
      </c>
      <c r="E4" s="70">
        <f t="shared" ref="E4" si="1">IF((D4-D3)&lt;0,"0",(D4-D3))</f>
        <v>21838</v>
      </c>
      <c r="F4" s="721">
        <f t="shared" ref="F4" si="2">E4/C4</f>
        <v>0.98418135111992433</v>
      </c>
      <c r="G4" s="74">
        <v>1070</v>
      </c>
      <c r="H4" s="305">
        <v>1110</v>
      </c>
      <c r="I4" s="305">
        <v>292000</v>
      </c>
      <c r="J4" s="78">
        <v>0</v>
      </c>
      <c r="K4" s="307">
        <v>803</v>
      </c>
      <c r="L4" s="78">
        <v>1</v>
      </c>
      <c r="M4" s="303">
        <v>644807</v>
      </c>
      <c r="N4" s="78">
        <v>1</v>
      </c>
      <c r="O4" s="303">
        <v>1033</v>
      </c>
      <c r="P4" s="78">
        <v>1</v>
      </c>
      <c r="Q4" s="303">
        <v>3466300</v>
      </c>
      <c r="R4" s="78">
        <f>IF((Q4-Q3)&lt;0,"0",(Q4-Q3))</f>
        <v>12500</v>
      </c>
      <c r="S4" s="303">
        <v>3366300</v>
      </c>
      <c r="T4" s="78">
        <f t="shared" ref="T4:X4" si="3">IF((S4-S3)&lt;0,"0",(S4-S3))</f>
        <v>50800</v>
      </c>
      <c r="U4" s="303">
        <v>2995354</v>
      </c>
      <c r="V4" s="78">
        <f t="shared" si="3"/>
        <v>565</v>
      </c>
      <c r="W4" s="303">
        <v>2327780</v>
      </c>
      <c r="X4" s="78">
        <f t="shared" si="3"/>
        <v>504</v>
      </c>
      <c r="Y4" s="303">
        <v>319839</v>
      </c>
      <c r="Z4" s="78">
        <f>Y4-Y3</f>
        <v>315</v>
      </c>
      <c r="AA4" s="538"/>
      <c r="AB4" s="718">
        <f>8.5/9</f>
        <v>0.94444444444444442</v>
      </c>
      <c r="AC4" s="308">
        <f t="shared" ref="AC4" si="4">AB4*400</f>
        <v>377.77777777777777</v>
      </c>
      <c r="AD4" s="307"/>
      <c r="AE4" s="303">
        <v>1340</v>
      </c>
      <c r="AF4" s="78">
        <f t="shared" ref="AF4:AF33" si="5">IF((AE4-AE3)&lt;0,"0",(AE4-AE3))</f>
        <v>0</v>
      </c>
      <c r="AG4" s="495">
        <v>550300</v>
      </c>
      <c r="AH4" s="71">
        <f t="shared" ref="AH4" si="6">IF((AG4-AG3)&lt;0,"0",(AG4-AG3))</f>
        <v>470</v>
      </c>
      <c r="AI4" s="303">
        <v>1180</v>
      </c>
      <c r="AJ4" s="563">
        <f t="shared" ref="AJ4:AP4" si="7">IF((AI4-AI3)&lt;0,"0",(AI4-AI3))</f>
        <v>0</v>
      </c>
      <c r="AK4" s="303">
        <v>6030</v>
      </c>
      <c r="AL4" s="563">
        <f t="shared" si="7"/>
        <v>1</v>
      </c>
      <c r="AM4" s="69">
        <v>58658</v>
      </c>
      <c r="AN4" s="563">
        <f t="shared" si="7"/>
        <v>387</v>
      </c>
      <c r="AO4" s="69"/>
      <c r="AP4" s="563">
        <f t="shared" si="7"/>
        <v>0</v>
      </c>
      <c r="AQ4" s="303">
        <v>641040</v>
      </c>
      <c r="AR4" s="78">
        <f t="shared" ref="AR4:BD4" si="8">IF((AQ4-AQ3)&lt;0,"0",(AQ4-AQ3))</f>
        <v>230</v>
      </c>
      <c r="AS4" s="352">
        <v>5205</v>
      </c>
      <c r="AT4" s="78">
        <f t="shared" si="8"/>
        <v>33</v>
      </c>
      <c r="AU4" s="534">
        <v>58030</v>
      </c>
      <c r="AV4" s="78">
        <f t="shared" si="8"/>
        <v>21</v>
      </c>
      <c r="AW4" s="307">
        <v>9448</v>
      </c>
      <c r="AX4" s="78">
        <f t="shared" si="8"/>
        <v>3</v>
      </c>
      <c r="AY4" s="303">
        <v>11191</v>
      </c>
      <c r="AZ4" s="78">
        <f t="shared" si="8"/>
        <v>2</v>
      </c>
      <c r="BA4" s="303">
        <v>19921</v>
      </c>
      <c r="BB4" s="78">
        <f t="shared" si="8"/>
        <v>8</v>
      </c>
      <c r="BC4" s="303">
        <v>21370</v>
      </c>
      <c r="BD4" s="78">
        <f t="shared" si="8"/>
        <v>1</v>
      </c>
      <c r="BE4" s="495">
        <v>21346</v>
      </c>
      <c r="BF4" s="71">
        <f t="shared" ref="BF4:BH4" si="9">IF((BE4-BE3)&lt;0,"0",(BE4-BE3))</f>
        <v>12</v>
      </c>
      <c r="BG4" s="303">
        <v>14706</v>
      </c>
      <c r="BH4" s="71">
        <f t="shared" si="9"/>
        <v>6</v>
      </c>
      <c r="BI4" s="303">
        <v>6837</v>
      </c>
      <c r="BJ4" s="71">
        <f t="shared" ref="BJ4" si="10">IF((BI4-BI3)&lt;0,"0",(BI4-BI3))</f>
        <v>1</v>
      </c>
      <c r="BK4" s="303">
        <v>28298</v>
      </c>
      <c r="BL4" s="71">
        <f t="shared" ref="BL4" si="11">IF((BK4-BK3)&lt;0,"0",(BK4-BK3))</f>
        <v>6</v>
      </c>
      <c r="BM4" s="303">
        <v>5960</v>
      </c>
      <c r="BN4" s="71">
        <f t="shared" ref="BN4" si="12">IF((BM4-BM3)&lt;0,"0",(BM4-BM3))</f>
        <v>9</v>
      </c>
      <c r="BO4" s="303">
        <v>33434</v>
      </c>
      <c r="BP4" s="71">
        <f t="shared" ref="BP4" si="13">IF((BO4-BO3)&lt;0,"0",(BO4-BO3))</f>
        <v>63</v>
      </c>
      <c r="BQ4" s="303">
        <v>3641</v>
      </c>
      <c r="BR4" s="71">
        <f t="shared" ref="BR4" si="14">IF((BQ4-BQ3)&lt;0,"0",(BQ4-BQ3))</f>
        <v>0</v>
      </c>
      <c r="BS4" s="71">
        <f t="shared" ref="BS4" si="15">BH4+BF4+BB4</f>
        <v>26</v>
      </c>
      <c r="BT4" s="71">
        <f t="shared" ref="BT4" si="16">AR4-BS4</f>
        <v>204</v>
      </c>
      <c r="BU4" s="303">
        <v>660720</v>
      </c>
      <c r="BV4" s="71">
        <f t="shared" ref="BV4" si="17">IF((BU4-BU3)&lt;0,"0",(BU4-BU3))</f>
        <v>190</v>
      </c>
      <c r="BW4" s="303"/>
      <c r="BX4" s="71">
        <f t="shared" ref="BX4" si="18">IF((BW4-BW3)&lt;0,"0",(BW4-BW3))</f>
        <v>0</v>
      </c>
      <c r="BY4" s="303">
        <v>854250</v>
      </c>
      <c r="BZ4" s="71">
        <f>IF((BY4-BY3)&lt;0,"0",(BY4-BY3))</f>
        <v>0</v>
      </c>
      <c r="CA4" s="495">
        <v>28725</v>
      </c>
      <c r="CB4" s="71">
        <f t="shared" ref="CB4" si="19">IF((CA4-CA3)&lt;0,"0",(CA4-CA3))</f>
        <v>29</v>
      </c>
      <c r="CC4" s="75">
        <f t="shared" ref="CC4" si="20">BZ4-AR4</f>
        <v>-230</v>
      </c>
      <c r="CD4" s="71">
        <f t="shared" ref="CD4" si="21">SUM(BV4, BZ4)</f>
        <v>190</v>
      </c>
      <c r="CE4" s="72">
        <f xml:space="preserve"> SUM(AV4,AX4,AZ4,BB4,BD4,BF4,BH4,BJ4,BN4)</f>
        <v>63</v>
      </c>
      <c r="CF4" s="495">
        <v>152</v>
      </c>
      <c r="CG4" s="496">
        <f t="shared" ref="CG4" si="22">(IF(CF4&lt;=116.4,((116.4*116.4*ACOS((116.4-CF4)/116.4))-((116.4-CF4)*SQRT(2*116.4*CF4-CF4*CF4)))*669.8,((3.1416*116.4*116.4)-((116.4*116.4*ACOS((116.4-(2*116.4-CF4))/116.4))-((116.4-(2*116.4-CF4))*SQRT(2*116.4*(2*116.4-CF4)-((2*116.4-CF4)*(2*116.4-CF4))))))*669.8))/1000</f>
        <v>19718.480566335173</v>
      </c>
      <c r="CH4" s="309"/>
      <c r="CI4" s="726">
        <f>CG3-CG4+CH4</f>
        <v>0</v>
      </c>
      <c r="CJ4" s="306">
        <v>2697143</v>
      </c>
      <c r="CK4" s="71">
        <f t="shared" ref="CK4" si="23">IF((CJ4-CJ3)&lt;0,"0",(CJ4-CJ3))</f>
        <v>2960</v>
      </c>
      <c r="CL4" s="75">
        <f t="shared" ref="CL4" si="24">CK4*5.71</f>
        <v>16901.599999999999</v>
      </c>
      <c r="CM4" s="535">
        <v>59</v>
      </c>
      <c r="CN4" s="564"/>
      <c r="CO4" s="306">
        <v>60</v>
      </c>
      <c r="CP4" s="73">
        <f t="shared" ref="CP4" si="25">(CO4*10775)/100</f>
        <v>6465</v>
      </c>
      <c r="CQ4" s="535">
        <v>60</v>
      </c>
      <c r="CR4" s="566">
        <f t="shared" ref="CR4" si="26">(CQ4*10775)/100</f>
        <v>6465</v>
      </c>
      <c r="CS4" s="565">
        <f t="shared" ref="CS4" si="27">CN4+CP4+CR4</f>
        <v>12930</v>
      </c>
      <c r="CT4" s="567">
        <f t="shared" ref="CT4" si="28">IF((CS3-CS4+CU3)=CS3,"0",(CS3-CS4+CU3))</f>
        <v>7973.5</v>
      </c>
      <c r="CU4" s="303"/>
      <c r="CV4" s="306">
        <v>46893</v>
      </c>
      <c r="CW4" s="71">
        <f t="shared" ref="CW4" si="29">IF((CV4-CV3)&lt;0,"0",(CV4-CV3))</f>
        <v>38</v>
      </c>
      <c r="CX4" s="75">
        <f t="shared" ref="CX4" si="30">CW4*5.71</f>
        <v>216.98</v>
      </c>
      <c r="CY4" s="693">
        <v>35995</v>
      </c>
      <c r="CZ4" s="71">
        <f t="shared" ref="CZ4" si="31">IF((CY4-CY3)&lt;0,"0",(CY4-CY3))</f>
        <v>8</v>
      </c>
      <c r="DA4" s="75">
        <f t="shared" ref="DA4" si="32">CZ4*5.71</f>
        <v>45.68</v>
      </c>
      <c r="DB4" s="306">
        <v>15328</v>
      </c>
      <c r="DC4" s="71">
        <f t="shared" ref="DC4" si="33">IF((DB4-DB3)&lt;0,"0",(DB4-DB3))</f>
        <v>16</v>
      </c>
      <c r="DD4" s="75">
        <f t="shared" ref="DD4" si="34">DC4*5.71</f>
        <v>91.36</v>
      </c>
      <c r="DE4" s="306">
        <v>856017</v>
      </c>
      <c r="DF4" s="71">
        <f t="shared" ref="DF4" si="35">IF((DE4-DE3)&lt;0,"0",(DE4-DE3))</f>
        <v>131</v>
      </c>
      <c r="DG4" s="75">
        <f t="shared" ref="DG4" si="36">DF4*5.71</f>
        <v>748.01</v>
      </c>
      <c r="DH4" s="303">
        <v>11385</v>
      </c>
      <c r="DI4" s="71">
        <f t="shared" ref="DI4" si="37">IF((DH4-DH3)&lt;0,"0",(DH4-DH3))</f>
        <v>16</v>
      </c>
      <c r="DJ4" s="75">
        <f t="shared" ref="DJ4" si="38">DI4*5.71</f>
        <v>91.36</v>
      </c>
      <c r="DK4" s="306">
        <v>10890</v>
      </c>
      <c r="DL4" s="71">
        <f t="shared" ref="DL4" si="39">IF((DK4-DK3)&lt;0,"0",(DK4-DK3))</f>
        <v>11</v>
      </c>
      <c r="DM4" s="75">
        <f t="shared" ref="DM4" si="40">DL4*5.71</f>
        <v>62.81</v>
      </c>
      <c r="DN4" s="306">
        <v>6645</v>
      </c>
      <c r="DO4" s="71">
        <f t="shared" ref="DO4" si="41">IF((DN4-DN3)&lt;0,"0",(DN4-DN3))</f>
        <v>9</v>
      </c>
      <c r="DP4" s="75">
        <f t="shared" ref="DP4" si="42">DO4*5.71</f>
        <v>51.39</v>
      </c>
      <c r="DQ4" s="306">
        <v>2310</v>
      </c>
      <c r="DR4" s="71">
        <f t="shared" ref="DR4" si="43">IF((DQ4-DQ3)&lt;0,"0",(DQ4-DQ3))</f>
        <v>1</v>
      </c>
      <c r="DS4" s="75">
        <f t="shared" ref="DS4" si="44">DR4*5.71</f>
        <v>5.71</v>
      </c>
      <c r="DT4" s="306">
        <v>8098</v>
      </c>
      <c r="DU4" s="71">
        <f t="shared" ref="DU4" si="45">IF((DT4-DT3)&lt;0,"0",(DT4-DT3))</f>
        <v>14</v>
      </c>
      <c r="DV4" s="75">
        <f t="shared" ref="DV4" si="46">DU4*5.71</f>
        <v>79.94</v>
      </c>
      <c r="DW4" s="306">
        <v>7492</v>
      </c>
      <c r="DX4" s="71">
        <f t="shared" ref="DX4" si="47">IF((DW4-DW3)&lt;0,"0",(DW4-DW3))</f>
        <v>10</v>
      </c>
      <c r="DY4" s="75">
        <f t="shared" ref="DY4" si="48">DX4*5.71</f>
        <v>57.1</v>
      </c>
      <c r="DZ4" s="306">
        <v>8082</v>
      </c>
      <c r="EA4" s="71">
        <f t="shared" ref="EA4" si="49">IF((DZ4-DZ3)&lt;0,"0",(DZ4-DZ3))</f>
        <v>10</v>
      </c>
      <c r="EB4" s="75">
        <f t="shared" ref="EB4" si="50">EA4*5.71</f>
        <v>57.1</v>
      </c>
      <c r="EC4" s="306">
        <v>8000</v>
      </c>
      <c r="ED4" s="71">
        <f t="shared" ref="ED4" si="51">IF((EC4-EC3)&lt;0,"0",(EC4-EC3))</f>
        <v>5</v>
      </c>
      <c r="EE4" s="75">
        <f t="shared" ref="EE4" si="52">ED4*5.71</f>
        <v>28.55</v>
      </c>
      <c r="EF4" s="309"/>
      <c r="EG4" s="75">
        <f>(EF4-EF3)</f>
        <v>0</v>
      </c>
      <c r="EH4" s="309"/>
      <c r="EI4" s="75">
        <f t="shared" ref="EI4:EK4" si="53">(EH4-EH3)</f>
        <v>0</v>
      </c>
      <c r="EJ4" s="310"/>
      <c r="EK4" s="75">
        <f t="shared" si="53"/>
        <v>0</v>
      </c>
      <c r="EL4" s="495"/>
      <c r="EM4" s="75">
        <f t="shared" ref="EM4" si="54">(EL4-EL3)</f>
        <v>0</v>
      </c>
      <c r="EN4" s="310">
        <v>100</v>
      </c>
      <c r="EO4" s="346">
        <v>271</v>
      </c>
      <c r="EP4" s="491">
        <v>0.748</v>
      </c>
      <c r="EQ4" s="347"/>
      <c r="ER4" s="334"/>
      <c r="ES4" s="537"/>
      <c r="ET4" s="536"/>
      <c r="EU4" s="536"/>
      <c r="EV4" s="536"/>
    </row>
    <row r="5" spans="1:152" s="74" customFormat="1" ht="15">
      <c r="A5" s="68">
        <v>44775</v>
      </c>
      <c r="B5" s="304">
        <v>4992194</v>
      </c>
      <c r="C5" s="70">
        <f t="shared" ref="C5:C34" si="55">IF((B5-B4)&lt;0,"0",(B5-B4))</f>
        <v>22549</v>
      </c>
      <c r="D5" s="305">
        <v>3930883</v>
      </c>
      <c r="E5" s="70">
        <f t="shared" ref="E5:E33" si="56">IF((D5-D4)&lt;0,"0",(D5-D4))</f>
        <v>21797</v>
      </c>
      <c r="F5" s="721">
        <f t="shared" ref="F5:F33" si="57">E5/C5</f>
        <v>0.96665040578296157</v>
      </c>
      <c r="G5" s="305">
        <v>1070</v>
      </c>
      <c r="H5" s="305">
        <v>1110</v>
      </c>
      <c r="I5" s="305">
        <v>292000</v>
      </c>
      <c r="J5" s="78">
        <f t="shared" ref="J5" si="58">IF((I5-I4)&lt;0,"0",(I5-I4))</f>
        <v>0</v>
      </c>
      <c r="K5" s="307">
        <v>803</v>
      </c>
      <c r="L5" s="78">
        <f t="shared" ref="L5" si="59">IF((K5-K4)&lt;0,"0",(K5-K4))</f>
        <v>0</v>
      </c>
      <c r="M5" s="303">
        <v>644837</v>
      </c>
      <c r="N5" s="78">
        <f t="shared" ref="N5" si="60">IF((M5-M4)&lt;0,"0",(M5-M4))</f>
        <v>30</v>
      </c>
      <c r="O5" s="303">
        <v>1033</v>
      </c>
      <c r="P5" s="78">
        <f t="shared" ref="P5" si="61">IF((O5-O4)&lt;0,"0",(O5-O4))</f>
        <v>0</v>
      </c>
      <c r="Q5" s="303">
        <v>3478700</v>
      </c>
      <c r="R5" s="78">
        <f>IF((Q5-Q4)&lt;0,"0",(Q5-Q4))</f>
        <v>12400</v>
      </c>
      <c r="S5" s="303">
        <v>3369300</v>
      </c>
      <c r="T5" s="78">
        <f t="shared" ref="T5:T33" si="62">IF((S5-S4)&lt;0,"0",(S5-S4))</f>
        <v>3000</v>
      </c>
      <c r="U5" s="303">
        <v>2996415</v>
      </c>
      <c r="V5" s="78">
        <f t="shared" ref="V5:V33" si="63">IF((U5-U4)&lt;0,"0",(U5-U4))</f>
        <v>1061</v>
      </c>
      <c r="W5" s="303">
        <v>2328316</v>
      </c>
      <c r="X5" s="78">
        <f t="shared" ref="X5:X33" si="64">IF((W5-W4)&lt;0,"0",(W5-W4))</f>
        <v>536</v>
      </c>
      <c r="Y5" s="303">
        <v>320108</v>
      </c>
      <c r="Z5" s="78">
        <f t="shared" ref="Z5:Z34" si="65">Y5-Y4</f>
        <v>269</v>
      </c>
      <c r="AA5" s="538"/>
      <c r="AB5" s="718">
        <f>6.75/9</f>
        <v>0.75</v>
      </c>
      <c r="AC5" s="308">
        <f t="shared" ref="AC5:AC33" si="66">AB5*400</f>
        <v>300</v>
      </c>
      <c r="AD5" s="307"/>
      <c r="AE5" s="303">
        <v>1340</v>
      </c>
      <c r="AF5" s="78">
        <f t="shared" si="5"/>
        <v>0</v>
      </c>
      <c r="AG5" s="495">
        <v>550770</v>
      </c>
      <c r="AH5" s="71">
        <f t="shared" ref="AH5:AH33" si="67">IF((AG5-AG4)&lt;0,"0",(AG5-AG4))</f>
        <v>470</v>
      </c>
      <c r="AI5" s="303">
        <v>1180</v>
      </c>
      <c r="AJ5" s="563">
        <f t="shared" ref="AJ5:AJ33" si="68">IF((AI5-AI4)&lt;0,"0",(AI5-AI4))</f>
        <v>0</v>
      </c>
      <c r="AK5" s="303">
        <v>6030</v>
      </c>
      <c r="AL5" s="563">
        <f t="shared" ref="AL5:AL33" si="69">IF((AK5-AK4)&lt;0,"0",(AK5-AK4))</f>
        <v>0</v>
      </c>
      <c r="AM5" s="69">
        <v>58997</v>
      </c>
      <c r="AN5" s="563">
        <f t="shared" ref="AN5:AN33" si="70">IF((AM5-AM4)&lt;0,"0",(AM5-AM4))</f>
        <v>339</v>
      </c>
      <c r="AO5" s="69"/>
      <c r="AP5" s="563">
        <f t="shared" ref="AP5:AP33" si="71">IF((AO5-AO4)&lt;0,"0",(AO5-AO4))</f>
        <v>0</v>
      </c>
      <c r="AQ5" s="303">
        <v>641220</v>
      </c>
      <c r="AR5" s="78">
        <f t="shared" ref="AR5:AR33" si="72">IF((AQ5-AQ4)&lt;0,"0",(AQ5-AQ4))</f>
        <v>180</v>
      </c>
      <c r="AS5" s="352">
        <v>5240</v>
      </c>
      <c r="AT5" s="78">
        <f t="shared" ref="AT5:AT33" si="73">IF((AS5-AS4)&lt;0,"0",(AS5-AS4))</f>
        <v>35</v>
      </c>
      <c r="AU5" s="534">
        <v>58055</v>
      </c>
      <c r="AV5" s="78">
        <f t="shared" ref="AV5:AV33" si="74">IF((AU5-AU4)&lt;0,"0",(AU5-AU4))</f>
        <v>25</v>
      </c>
      <c r="AW5" s="307">
        <v>9449</v>
      </c>
      <c r="AX5" s="78">
        <f t="shared" ref="AX5:AX33" si="75">IF((AW5-AW4)&lt;0,"0",(AW5-AW4))</f>
        <v>1</v>
      </c>
      <c r="AY5" s="303">
        <v>11194</v>
      </c>
      <c r="AZ5" s="78">
        <f t="shared" ref="AZ5:AZ33" si="76">IF((AY5-AY4)&lt;0,"0",(AY5-AY4))</f>
        <v>3</v>
      </c>
      <c r="BA5" s="303">
        <v>19939</v>
      </c>
      <c r="BB5" s="78">
        <f t="shared" ref="BB5:BB33" si="77">IF((BA5-BA4)&lt;0,"0",(BA5-BA4))</f>
        <v>18</v>
      </c>
      <c r="BC5" s="303">
        <v>21385</v>
      </c>
      <c r="BD5" s="78">
        <f t="shared" ref="BD5:BD33" si="78">IF((BC5-BC4)&lt;0,"0",(BC5-BC4))</f>
        <v>15</v>
      </c>
      <c r="BE5" s="495">
        <v>21347</v>
      </c>
      <c r="BF5" s="71">
        <f t="shared" ref="BF5:BF33" si="79">IF((BE5-BE4)&lt;0,"0",(BE5-BE4))</f>
        <v>1</v>
      </c>
      <c r="BG5" s="303">
        <v>14711</v>
      </c>
      <c r="BH5" s="71">
        <f t="shared" ref="BH5:BH33" si="80">IF((BG5-BG4)&lt;0,"0",(BG5-BG4))</f>
        <v>5</v>
      </c>
      <c r="BI5" s="303">
        <v>6839</v>
      </c>
      <c r="BJ5" s="71">
        <f t="shared" ref="BJ5:BJ33" si="81">IF((BI5-BI4)&lt;0,"0",(BI5-BI4))</f>
        <v>2</v>
      </c>
      <c r="BK5" s="303">
        <v>28302</v>
      </c>
      <c r="BL5" s="71">
        <f t="shared" ref="BL5:BL33" si="82">IF((BK5-BK4)&lt;0,"0",(BK5-BK4))</f>
        <v>4</v>
      </c>
      <c r="BM5" s="303">
        <v>5967</v>
      </c>
      <c r="BN5" s="71">
        <f t="shared" ref="BN5:BN33" si="83">IF((BM5-BM4)&lt;0,"0",(BM5-BM4))</f>
        <v>7</v>
      </c>
      <c r="BO5" s="303">
        <v>33502</v>
      </c>
      <c r="BP5" s="71">
        <f t="shared" ref="BP5:BP33" si="84">IF((BO5-BO4)&lt;0,"0",(BO5-BO4))</f>
        <v>68</v>
      </c>
      <c r="BQ5" s="303">
        <v>3641</v>
      </c>
      <c r="BR5" s="71">
        <f t="shared" ref="BR5:BR33" si="85">IF((BQ5-BQ4)&lt;0,"0",(BQ5-BQ4))</f>
        <v>0</v>
      </c>
      <c r="BS5" s="71">
        <f t="shared" ref="BS5:BS33" si="86">BH5+BF5+BB5</f>
        <v>24</v>
      </c>
      <c r="BT5" s="71">
        <f t="shared" ref="BT5:BT33" si="87">AR5-BS5</f>
        <v>156</v>
      </c>
      <c r="BU5" s="303">
        <v>660920</v>
      </c>
      <c r="BV5" s="71">
        <f t="shared" ref="BV5:BV33" si="88">IF((BU5-BU4)&lt;0,"0",(BU5-BU4))</f>
        <v>200</v>
      </c>
      <c r="BW5" s="303"/>
      <c r="BX5" s="71">
        <f t="shared" ref="BX5:BX33" si="89">IF((BW5-BW4)&lt;0,"0",(BW5-BW4))</f>
        <v>0</v>
      </c>
      <c r="BY5" s="303">
        <v>854250</v>
      </c>
      <c r="BZ5" s="71">
        <f t="shared" ref="BZ5:BZ33" si="90">IF((BY5-BY4)&lt;0,"0",(BY5-BY4))</f>
        <v>0</v>
      </c>
      <c r="CA5" s="495">
        <v>28748</v>
      </c>
      <c r="CB5" s="71">
        <f t="shared" ref="CB5:CB33" si="91">IF((CA5-CA4)&lt;0,"0",(CA5-CA4))</f>
        <v>23</v>
      </c>
      <c r="CC5" s="75">
        <f t="shared" ref="CC5:CC30" si="92">BZ5-AR5</f>
        <v>-180</v>
      </c>
      <c r="CD5" s="71">
        <f t="shared" ref="CD5:CD33" si="93">SUM(BV5, BZ5)</f>
        <v>200</v>
      </c>
      <c r="CE5" s="72">
        <f t="shared" ref="CE5:CE33" si="94" xml:space="preserve"> SUM(AV5,AX5,AZ5,BB5,BD5,BF5,BH5,BJ5,BN5)</f>
        <v>77</v>
      </c>
      <c r="CF5" s="495">
        <v>152</v>
      </c>
      <c r="CG5" s="496">
        <f t="shared" ref="CG5:CG33" si="95">(IF(CF5&lt;=116.4,((116.4*116.4*ACOS((116.4-CF5)/116.4))-((116.4-CF5)*SQRT(2*116.4*CF5-CF5*CF5)))*669.8,((3.1416*116.4*116.4)-((116.4*116.4*ACOS((116.4-(2*116.4-CF5))/116.4))-((116.4-(2*116.4-CF5))*SQRT(2*116.4*(2*116.4-CF5)-((2*116.4-CF5)*(2*116.4-CF5))))))*669.8))/1000</f>
        <v>19718.480566335173</v>
      </c>
      <c r="CH5" s="309"/>
      <c r="CI5" s="726">
        <f t="shared" ref="CI5:CI33" si="96">CG4-CG5+CH5</f>
        <v>0</v>
      </c>
      <c r="CJ5" s="306">
        <v>2700335</v>
      </c>
      <c r="CK5" s="71">
        <f t="shared" ref="CK5:CK33" si="97">IF((CJ5-CJ4)&lt;0,"0",(CJ5-CJ4))</f>
        <v>3192</v>
      </c>
      <c r="CL5" s="75">
        <f t="shared" ref="CL5:CL33" si="98">CK5*5.71</f>
        <v>18226.32</v>
      </c>
      <c r="CM5" s="535">
        <v>55</v>
      </c>
      <c r="CN5" s="564">
        <f t="shared" ref="CN5:CN33" si="99">(CM5*10775)/100</f>
        <v>5926.25</v>
      </c>
      <c r="CO5" s="306">
        <v>55</v>
      </c>
      <c r="CP5" s="73">
        <f t="shared" ref="CP5:CP33" si="100">(CO5*10775)/100</f>
        <v>5926.25</v>
      </c>
      <c r="CQ5" s="535">
        <v>55</v>
      </c>
      <c r="CR5" s="566">
        <f t="shared" ref="CR5:CR33" si="101">(CQ5*10775)/100</f>
        <v>5926.25</v>
      </c>
      <c r="CS5" s="565">
        <f t="shared" ref="CS5:CS33" si="102">CN5+CP5+CR5</f>
        <v>17778.75</v>
      </c>
      <c r="CT5" s="567">
        <f t="shared" ref="CT5:CT33" si="103">IF((CS4-CS5+CU4)=CS4,"0",(CS4-CS5+CU4))</f>
        <v>-4848.75</v>
      </c>
      <c r="CU5" s="303"/>
      <c r="CV5" s="306">
        <v>46936</v>
      </c>
      <c r="CW5" s="71">
        <f t="shared" ref="CW5:CW33" si="104">IF((CV5-CV4)&lt;0,"0",(CV5-CV4))</f>
        <v>43</v>
      </c>
      <c r="CX5" s="75">
        <f t="shared" ref="CX5:CX33" si="105">CW5*5.71</f>
        <v>245.53</v>
      </c>
      <c r="CY5" s="693">
        <v>36003</v>
      </c>
      <c r="CZ5" s="71">
        <f t="shared" ref="CZ5:CZ33" si="106">IF((CY5-CY4)&lt;0,"0",(CY5-CY4))</f>
        <v>8</v>
      </c>
      <c r="DA5" s="75">
        <f t="shared" ref="DA5:DA33" si="107">CZ5*5.71</f>
        <v>45.68</v>
      </c>
      <c r="DB5" s="306">
        <v>15346</v>
      </c>
      <c r="DC5" s="71">
        <f t="shared" ref="DC5:DC33" si="108">IF((DB5-DB4)&lt;0,"0",(DB5-DB4))</f>
        <v>18</v>
      </c>
      <c r="DD5" s="75">
        <f t="shared" ref="DD5:DD33" si="109">DC5*5.71</f>
        <v>102.78</v>
      </c>
      <c r="DE5" s="306">
        <v>856145</v>
      </c>
      <c r="DF5" s="71">
        <f t="shared" ref="DF5:DF33" si="110">IF((DE5-DE4)&lt;0,"0",(DE5-DE4))</f>
        <v>128</v>
      </c>
      <c r="DG5" s="75">
        <f t="shared" ref="DG5:DG33" si="111">DF5*5.71</f>
        <v>730.88</v>
      </c>
      <c r="DH5" s="303">
        <v>11403</v>
      </c>
      <c r="DI5" s="71">
        <f t="shared" ref="DI5:DI33" si="112">IF((DH5-DH4)&lt;0,"0",(DH5-DH4))</f>
        <v>18</v>
      </c>
      <c r="DJ5" s="75">
        <f t="shared" ref="DJ5:DJ33" si="113">DI5*5.71</f>
        <v>102.78</v>
      </c>
      <c r="DK5" s="306">
        <v>10904</v>
      </c>
      <c r="DL5" s="71">
        <f t="shared" ref="DL5:DL33" si="114">IF((DK5-DK4)&lt;0,"0",(DK5-DK4))</f>
        <v>14</v>
      </c>
      <c r="DM5" s="75">
        <f t="shared" ref="DM5:DM33" si="115">DL5*5.71</f>
        <v>79.94</v>
      </c>
      <c r="DN5" s="306">
        <v>6655</v>
      </c>
      <c r="DO5" s="71">
        <f t="shared" ref="DO5:DO33" si="116">IF((DN5-DN4)&lt;0,"0",(DN5-DN4))</f>
        <v>10</v>
      </c>
      <c r="DP5" s="75">
        <f t="shared" ref="DP5:DP33" si="117">DO5*5.71</f>
        <v>57.1</v>
      </c>
      <c r="DQ5" s="306">
        <v>2312</v>
      </c>
      <c r="DR5" s="71">
        <f t="shared" ref="DR5:DR33" si="118">IF((DQ5-DQ4)&lt;0,"0",(DQ5-DQ4))</f>
        <v>2</v>
      </c>
      <c r="DS5" s="75">
        <f t="shared" ref="DS5:DS33" si="119">DR5*5.71</f>
        <v>11.42</v>
      </c>
      <c r="DT5" s="306">
        <v>8115</v>
      </c>
      <c r="DU5" s="71">
        <f t="shared" ref="DU5:DU33" si="120">IF((DT5-DT4)&lt;0,"0",(DT5-DT4))</f>
        <v>17</v>
      </c>
      <c r="DV5" s="75">
        <f t="shared" ref="DV5:DV33" si="121">DU5*5.71</f>
        <v>97.07</v>
      </c>
      <c r="DW5" s="306">
        <v>7503</v>
      </c>
      <c r="DX5" s="71">
        <f t="shared" ref="DX5:DX33" si="122">IF((DW5-DW4)&lt;0,"0",(DW5-DW4))</f>
        <v>11</v>
      </c>
      <c r="DY5" s="75">
        <f t="shared" ref="DY5:DY33" si="123">DX5*5.71</f>
        <v>62.81</v>
      </c>
      <c r="DZ5" s="306">
        <v>8092</v>
      </c>
      <c r="EA5" s="71">
        <f t="shared" ref="EA5:EA33" si="124">IF((DZ5-DZ4)&lt;0,"0",(DZ5-DZ4))</f>
        <v>10</v>
      </c>
      <c r="EB5" s="75">
        <f t="shared" ref="EB5:EB33" si="125">EA5*5.71</f>
        <v>57.1</v>
      </c>
      <c r="EC5" s="306">
        <v>8019</v>
      </c>
      <c r="ED5" s="71">
        <f t="shared" ref="ED5:ED33" si="126">IF((EC5-EC4)&lt;0,"0",(EC5-EC4))</f>
        <v>19</v>
      </c>
      <c r="EE5" s="75">
        <f t="shared" ref="EE5:EE33" si="127">ED5*5.71</f>
        <v>108.49</v>
      </c>
      <c r="EF5" s="309"/>
      <c r="EG5" s="75">
        <f t="shared" ref="EG5:EG33" si="128">(EF5-EF4)</f>
        <v>0</v>
      </c>
      <c r="EH5" s="309"/>
      <c r="EI5" s="75">
        <f t="shared" ref="EI5:EI33" si="129">(EH5-EH4)</f>
        <v>0</v>
      </c>
      <c r="EJ5" s="310"/>
      <c r="EK5" s="75">
        <f t="shared" ref="EK5:EK33" si="130">(EJ5-EJ4)</f>
        <v>0</v>
      </c>
      <c r="EL5" s="495"/>
      <c r="EM5" s="75">
        <f t="shared" ref="EM5:EM33" si="131">(EL5-EL4)</f>
        <v>0</v>
      </c>
      <c r="EN5" s="310">
        <v>105</v>
      </c>
      <c r="EO5" s="346">
        <v>332</v>
      </c>
      <c r="EP5" s="491">
        <v>0.79100000000000004</v>
      </c>
      <c r="EQ5" s="347"/>
      <c r="ER5" s="334"/>
      <c r="ES5" s="537"/>
      <c r="ET5" s="536"/>
      <c r="EU5" s="536"/>
      <c r="EV5" s="536"/>
    </row>
    <row r="6" spans="1:152" s="76" customFormat="1" ht="15">
      <c r="A6" s="68">
        <v>44776</v>
      </c>
      <c r="B6" s="304">
        <v>5016428</v>
      </c>
      <c r="C6" s="70">
        <f t="shared" si="55"/>
        <v>24234</v>
      </c>
      <c r="D6" s="305">
        <v>3954367</v>
      </c>
      <c r="E6" s="70">
        <f t="shared" si="56"/>
        <v>23484</v>
      </c>
      <c r="F6" s="721">
        <f t="shared" si="57"/>
        <v>0.96905174548155482</v>
      </c>
      <c r="G6" s="305">
        <v>1070</v>
      </c>
      <c r="H6" s="305">
        <v>1110</v>
      </c>
      <c r="I6" s="305">
        <v>292000</v>
      </c>
      <c r="J6" s="78">
        <f t="shared" ref="J6" si="132">IF((I6-I5)&lt;0,"0",(I6-I5))</f>
        <v>0</v>
      </c>
      <c r="K6" s="307">
        <v>803</v>
      </c>
      <c r="L6" s="78">
        <f t="shared" ref="L6" si="133">IF((K6-K5)&lt;0,"0",(K6-K5))</f>
        <v>0</v>
      </c>
      <c r="M6" s="303">
        <v>644837</v>
      </c>
      <c r="N6" s="78">
        <f t="shared" ref="N6" si="134">IF((M6-M5)&lt;0,"0",(M6-M5))</f>
        <v>0</v>
      </c>
      <c r="O6" s="303">
        <v>1033</v>
      </c>
      <c r="P6" s="78">
        <f t="shared" ref="P6" si="135">IF((O6-O5)&lt;0,"0",(O6-O5))</f>
        <v>0</v>
      </c>
      <c r="Q6" s="303"/>
      <c r="R6" s="78" t="str">
        <f>IF((Q6-Q5)&lt;0,"0",(Q6-Q5))</f>
        <v>0</v>
      </c>
      <c r="S6" s="303"/>
      <c r="T6" s="78" t="str">
        <f t="shared" si="62"/>
        <v>0</v>
      </c>
      <c r="U6" s="303">
        <v>2998031</v>
      </c>
      <c r="V6" s="78">
        <f t="shared" si="63"/>
        <v>1616</v>
      </c>
      <c r="W6" s="303">
        <v>2328838</v>
      </c>
      <c r="X6" s="78">
        <f t="shared" si="64"/>
        <v>522</v>
      </c>
      <c r="Y6" s="303">
        <v>320384</v>
      </c>
      <c r="Z6" s="78">
        <f t="shared" si="65"/>
        <v>276</v>
      </c>
      <c r="AA6" s="538"/>
      <c r="AB6" s="718">
        <f>5.5/9</f>
        <v>0.61111111111111116</v>
      </c>
      <c r="AC6" s="308">
        <f t="shared" si="66"/>
        <v>244.44444444444446</v>
      </c>
      <c r="AD6" s="307"/>
      <c r="AE6" s="303">
        <v>1340</v>
      </c>
      <c r="AF6" s="78">
        <f t="shared" si="5"/>
        <v>0</v>
      </c>
      <c r="AG6" s="495">
        <v>551240</v>
      </c>
      <c r="AH6" s="71">
        <f t="shared" si="67"/>
        <v>470</v>
      </c>
      <c r="AI6" s="303"/>
      <c r="AJ6" s="563" t="str">
        <f t="shared" si="68"/>
        <v>0</v>
      </c>
      <c r="AK6" s="303">
        <v>6033</v>
      </c>
      <c r="AL6" s="563">
        <f t="shared" si="69"/>
        <v>3</v>
      </c>
      <c r="AM6" s="69">
        <v>59372</v>
      </c>
      <c r="AN6" s="563">
        <f t="shared" si="70"/>
        <v>375</v>
      </c>
      <c r="AO6" s="69"/>
      <c r="AP6" s="563">
        <f t="shared" si="71"/>
        <v>0</v>
      </c>
      <c r="AQ6" s="303">
        <v>641450</v>
      </c>
      <c r="AR6" s="78">
        <f t="shared" si="72"/>
        <v>230</v>
      </c>
      <c r="AS6" s="352">
        <v>5272</v>
      </c>
      <c r="AT6" s="78">
        <f t="shared" si="73"/>
        <v>32</v>
      </c>
      <c r="AU6" s="534">
        <v>58075</v>
      </c>
      <c r="AV6" s="78">
        <f t="shared" si="74"/>
        <v>20</v>
      </c>
      <c r="AW6" s="307">
        <v>9451</v>
      </c>
      <c r="AX6" s="78">
        <f t="shared" si="75"/>
        <v>2</v>
      </c>
      <c r="AY6" s="303">
        <v>11197</v>
      </c>
      <c r="AZ6" s="78">
        <f t="shared" si="76"/>
        <v>3</v>
      </c>
      <c r="BA6" s="303">
        <v>19950</v>
      </c>
      <c r="BB6" s="78">
        <f t="shared" si="77"/>
        <v>11</v>
      </c>
      <c r="BC6" s="303">
        <v>21393</v>
      </c>
      <c r="BD6" s="78">
        <f t="shared" si="78"/>
        <v>8</v>
      </c>
      <c r="BE6" s="495">
        <v>21348</v>
      </c>
      <c r="BF6" s="71">
        <f t="shared" si="79"/>
        <v>1</v>
      </c>
      <c r="BG6" s="303">
        <v>14718</v>
      </c>
      <c r="BH6" s="71">
        <f t="shared" si="80"/>
        <v>7</v>
      </c>
      <c r="BI6" s="303">
        <v>6844</v>
      </c>
      <c r="BJ6" s="71">
        <f t="shared" si="81"/>
        <v>5</v>
      </c>
      <c r="BK6" s="303">
        <v>28309</v>
      </c>
      <c r="BL6" s="71">
        <f t="shared" si="82"/>
        <v>7</v>
      </c>
      <c r="BM6" s="303">
        <v>5979</v>
      </c>
      <c r="BN6" s="71">
        <f t="shared" si="83"/>
        <v>12</v>
      </c>
      <c r="BO6" s="303">
        <v>33579</v>
      </c>
      <c r="BP6" s="71">
        <f t="shared" si="84"/>
        <v>77</v>
      </c>
      <c r="BQ6" s="303">
        <v>3641</v>
      </c>
      <c r="BR6" s="71">
        <f t="shared" si="85"/>
        <v>0</v>
      </c>
      <c r="BS6" s="71">
        <f t="shared" si="86"/>
        <v>19</v>
      </c>
      <c r="BT6" s="71">
        <f t="shared" si="87"/>
        <v>211</v>
      </c>
      <c r="BU6" s="303">
        <v>661100</v>
      </c>
      <c r="BV6" s="71">
        <f t="shared" si="88"/>
        <v>180</v>
      </c>
      <c r="BW6" s="303"/>
      <c r="BX6" s="71">
        <f t="shared" si="89"/>
        <v>0</v>
      </c>
      <c r="BY6" s="303">
        <v>854250</v>
      </c>
      <c r="BZ6" s="71">
        <f t="shared" si="90"/>
        <v>0</v>
      </c>
      <c r="CA6" s="495">
        <v>28786</v>
      </c>
      <c r="CB6" s="71">
        <f t="shared" si="91"/>
        <v>38</v>
      </c>
      <c r="CC6" s="75">
        <f>BZ6-AR6</f>
        <v>-230</v>
      </c>
      <c r="CD6" s="71">
        <f t="shared" si="93"/>
        <v>180</v>
      </c>
      <c r="CE6" s="72">
        <f t="shared" si="94"/>
        <v>69</v>
      </c>
      <c r="CF6" s="495">
        <v>152</v>
      </c>
      <c r="CG6" s="496">
        <f t="shared" si="95"/>
        <v>19718.480566335173</v>
      </c>
      <c r="CH6" s="309"/>
      <c r="CI6" s="726">
        <f t="shared" si="96"/>
        <v>0</v>
      </c>
      <c r="CJ6" s="306">
        <v>2704260</v>
      </c>
      <c r="CK6" s="71">
        <f t="shared" si="97"/>
        <v>3925</v>
      </c>
      <c r="CL6" s="75">
        <f t="shared" si="98"/>
        <v>22411.75</v>
      </c>
      <c r="CM6" s="535">
        <v>48</v>
      </c>
      <c r="CN6" s="564">
        <f t="shared" si="99"/>
        <v>5172</v>
      </c>
      <c r="CO6" s="306">
        <v>50</v>
      </c>
      <c r="CP6" s="73">
        <f t="shared" si="100"/>
        <v>5387.5</v>
      </c>
      <c r="CQ6" s="535">
        <v>48</v>
      </c>
      <c r="CR6" s="566">
        <f t="shared" si="101"/>
        <v>5172</v>
      </c>
      <c r="CS6" s="565">
        <f t="shared" si="102"/>
        <v>15731.5</v>
      </c>
      <c r="CT6" s="567">
        <f t="shared" si="103"/>
        <v>2047.25</v>
      </c>
      <c r="CU6" s="303"/>
      <c r="CV6" s="306">
        <v>46983</v>
      </c>
      <c r="CW6" s="71">
        <f t="shared" si="104"/>
        <v>47</v>
      </c>
      <c r="CX6" s="75">
        <f t="shared" si="105"/>
        <v>268.37</v>
      </c>
      <c r="CY6" s="693">
        <v>36012</v>
      </c>
      <c r="CZ6" s="71">
        <f t="shared" si="106"/>
        <v>9</v>
      </c>
      <c r="DA6" s="75">
        <f t="shared" si="107"/>
        <v>51.39</v>
      </c>
      <c r="DB6" s="306">
        <v>15363</v>
      </c>
      <c r="DC6" s="71">
        <f t="shared" si="108"/>
        <v>17</v>
      </c>
      <c r="DD6" s="75">
        <f t="shared" si="109"/>
        <v>97.07</v>
      </c>
      <c r="DE6" s="306">
        <v>856335</v>
      </c>
      <c r="DF6" s="71">
        <f t="shared" si="110"/>
        <v>190</v>
      </c>
      <c r="DG6" s="75">
        <f t="shared" si="111"/>
        <v>1084.9000000000001</v>
      </c>
      <c r="DH6" s="303">
        <v>11421</v>
      </c>
      <c r="DI6" s="71">
        <f t="shared" si="112"/>
        <v>18</v>
      </c>
      <c r="DJ6" s="75">
        <f t="shared" si="113"/>
        <v>102.78</v>
      </c>
      <c r="DK6" s="306">
        <v>10919</v>
      </c>
      <c r="DL6" s="71">
        <f t="shared" si="114"/>
        <v>15</v>
      </c>
      <c r="DM6" s="75">
        <f t="shared" si="115"/>
        <v>85.65</v>
      </c>
      <c r="DN6" s="306">
        <v>6668</v>
      </c>
      <c r="DO6" s="71">
        <f t="shared" si="116"/>
        <v>13</v>
      </c>
      <c r="DP6" s="75">
        <f t="shared" si="117"/>
        <v>74.23</v>
      </c>
      <c r="DQ6" s="306">
        <v>2314</v>
      </c>
      <c r="DR6" s="71">
        <f t="shared" si="118"/>
        <v>2</v>
      </c>
      <c r="DS6" s="75">
        <f t="shared" si="119"/>
        <v>11.42</v>
      </c>
      <c r="DT6" s="306">
        <v>8134</v>
      </c>
      <c r="DU6" s="71">
        <f t="shared" si="120"/>
        <v>19</v>
      </c>
      <c r="DV6" s="75">
        <f t="shared" si="121"/>
        <v>108.49</v>
      </c>
      <c r="DW6" s="306">
        <v>7516</v>
      </c>
      <c r="DX6" s="71">
        <f t="shared" si="122"/>
        <v>13</v>
      </c>
      <c r="DY6" s="75">
        <f t="shared" si="123"/>
        <v>74.23</v>
      </c>
      <c r="DZ6" s="306">
        <v>8105</v>
      </c>
      <c r="EA6" s="71">
        <f t="shared" si="124"/>
        <v>13</v>
      </c>
      <c r="EB6" s="75">
        <f t="shared" si="125"/>
        <v>74.23</v>
      </c>
      <c r="EC6" s="306">
        <v>8036</v>
      </c>
      <c r="ED6" s="71">
        <f t="shared" si="126"/>
        <v>17</v>
      </c>
      <c r="EE6" s="75">
        <f t="shared" si="127"/>
        <v>97.07</v>
      </c>
      <c r="EF6" s="309"/>
      <c r="EG6" s="75">
        <f t="shared" si="128"/>
        <v>0</v>
      </c>
      <c r="EH6" s="309"/>
      <c r="EI6" s="75">
        <f t="shared" si="129"/>
        <v>0</v>
      </c>
      <c r="EJ6" s="310"/>
      <c r="EK6" s="75">
        <f t="shared" si="130"/>
        <v>0</v>
      </c>
      <c r="EL6" s="495"/>
      <c r="EM6" s="75">
        <f t="shared" si="131"/>
        <v>0</v>
      </c>
      <c r="EN6" s="310"/>
      <c r="EO6" s="346"/>
      <c r="EP6" s="491">
        <v>0.74</v>
      </c>
      <c r="EQ6" s="347"/>
      <c r="ER6" s="334"/>
      <c r="ES6" s="537"/>
      <c r="ET6" s="536"/>
      <c r="EU6" s="536"/>
      <c r="EV6" s="536"/>
    </row>
    <row r="7" spans="1:152" s="76" customFormat="1" ht="15">
      <c r="A7" s="68">
        <v>44777</v>
      </c>
      <c r="B7" s="304"/>
      <c r="C7" s="70" t="str">
        <f t="shared" si="55"/>
        <v>0</v>
      </c>
      <c r="D7" s="305"/>
      <c r="E7" s="70" t="str">
        <f t="shared" si="56"/>
        <v>0</v>
      </c>
      <c r="F7" s="721" t="e">
        <f t="shared" si="57"/>
        <v>#DIV/0!</v>
      </c>
      <c r="G7" s="305"/>
      <c r="H7" s="305"/>
      <c r="I7" s="305"/>
      <c r="J7" s="78" t="str">
        <f t="shared" ref="J7" si="136">IF((I7-I6)&lt;0,"0",(I7-I6))</f>
        <v>0</v>
      </c>
      <c r="K7" s="307"/>
      <c r="L7" s="78" t="str">
        <f t="shared" ref="L7" si="137">IF((K7-K6)&lt;0,"0",(K7-K6))</f>
        <v>0</v>
      </c>
      <c r="M7" s="303"/>
      <c r="N7" s="78" t="str">
        <f t="shared" ref="N7" si="138">IF((M7-M6)&lt;0,"0",(M7-M6))</f>
        <v>0</v>
      </c>
      <c r="O7" s="303"/>
      <c r="P7" s="78" t="str">
        <f t="shared" ref="P7" si="139">IF((O7-O6)&lt;0,"0",(O7-O6))</f>
        <v>0</v>
      </c>
      <c r="Q7" s="303"/>
      <c r="R7" s="78">
        <f>IF((Q7-Q6)&lt;0,"0",(Q7-Q6))</f>
        <v>0</v>
      </c>
      <c r="S7" s="303"/>
      <c r="T7" s="78">
        <f t="shared" si="62"/>
        <v>0</v>
      </c>
      <c r="U7" s="303"/>
      <c r="V7" s="731" t="str">
        <f t="shared" si="63"/>
        <v>0</v>
      </c>
      <c r="W7" s="303"/>
      <c r="X7" s="78" t="str">
        <f t="shared" si="64"/>
        <v>0</v>
      </c>
      <c r="Y7" s="303"/>
      <c r="Z7" s="78">
        <f t="shared" si="65"/>
        <v>-320384</v>
      </c>
      <c r="AA7" s="538"/>
      <c r="AB7" s="718"/>
      <c r="AC7" s="308">
        <f t="shared" si="66"/>
        <v>0</v>
      </c>
      <c r="AD7" s="307"/>
      <c r="AE7" s="303"/>
      <c r="AF7" s="78" t="str">
        <f t="shared" si="5"/>
        <v>0</v>
      </c>
      <c r="AG7" s="495"/>
      <c r="AH7" s="71" t="str">
        <f t="shared" si="67"/>
        <v>0</v>
      </c>
      <c r="AI7" s="303"/>
      <c r="AJ7" s="563">
        <f t="shared" si="68"/>
        <v>0</v>
      </c>
      <c r="AK7" s="303"/>
      <c r="AL7" s="563" t="str">
        <f t="shared" si="69"/>
        <v>0</v>
      </c>
      <c r="AM7" s="69"/>
      <c r="AN7" s="563" t="str">
        <f t="shared" si="70"/>
        <v>0</v>
      </c>
      <c r="AO7" s="69"/>
      <c r="AP7" s="563">
        <f t="shared" si="71"/>
        <v>0</v>
      </c>
      <c r="AQ7" s="303"/>
      <c r="AR7" s="78" t="str">
        <f t="shared" si="72"/>
        <v>0</v>
      </c>
      <c r="AS7" s="352"/>
      <c r="AT7" s="78" t="str">
        <f t="shared" si="73"/>
        <v>0</v>
      </c>
      <c r="AU7" s="534"/>
      <c r="AV7" s="78" t="str">
        <f t="shared" si="74"/>
        <v>0</v>
      </c>
      <c r="AW7" s="307"/>
      <c r="AX7" s="78" t="str">
        <f t="shared" si="75"/>
        <v>0</v>
      </c>
      <c r="AY7" s="303"/>
      <c r="AZ7" s="78" t="str">
        <f t="shared" si="76"/>
        <v>0</v>
      </c>
      <c r="BA7" s="303"/>
      <c r="BB7" s="78" t="str">
        <f t="shared" si="77"/>
        <v>0</v>
      </c>
      <c r="BC7" s="303"/>
      <c r="BD7" s="78" t="str">
        <f t="shared" si="78"/>
        <v>0</v>
      </c>
      <c r="BE7" s="495"/>
      <c r="BF7" s="71" t="str">
        <f t="shared" si="79"/>
        <v>0</v>
      </c>
      <c r="BG7" s="303"/>
      <c r="BH7" s="71" t="str">
        <f t="shared" si="80"/>
        <v>0</v>
      </c>
      <c r="BI7" s="303"/>
      <c r="BJ7" s="71" t="str">
        <f t="shared" si="81"/>
        <v>0</v>
      </c>
      <c r="BK7" s="303"/>
      <c r="BL7" s="71" t="str">
        <f t="shared" si="82"/>
        <v>0</v>
      </c>
      <c r="BM7" s="303"/>
      <c r="BN7" s="71" t="str">
        <f t="shared" si="83"/>
        <v>0</v>
      </c>
      <c r="BO7" s="303"/>
      <c r="BP7" s="71" t="str">
        <f t="shared" si="84"/>
        <v>0</v>
      </c>
      <c r="BQ7" s="303"/>
      <c r="BR7" s="71" t="str">
        <f t="shared" si="85"/>
        <v>0</v>
      </c>
      <c r="BS7" s="71">
        <f t="shared" si="86"/>
        <v>0</v>
      </c>
      <c r="BT7" s="71">
        <f t="shared" si="87"/>
        <v>0</v>
      </c>
      <c r="BU7" s="303"/>
      <c r="BV7" s="71" t="str">
        <f t="shared" si="88"/>
        <v>0</v>
      </c>
      <c r="BW7" s="303"/>
      <c r="BX7" s="71">
        <f t="shared" si="89"/>
        <v>0</v>
      </c>
      <c r="BY7" s="303"/>
      <c r="BZ7" s="71" t="str">
        <f t="shared" si="90"/>
        <v>0</v>
      </c>
      <c r="CA7" s="495"/>
      <c r="CB7" s="71" t="str">
        <f t="shared" si="91"/>
        <v>0</v>
      </c>
      <c r="CC7" s="75">
        <f>BZ7-AR7</f>
        <v>0</v>
      </c>
      <c r="CD7" s="71">
        <f t="shared" si="93"/>
        <v>0</v>
      </c>
      <c r="CE7" s="72">
        <f t="shared" si="94"/>
        <v>0</v>
      </c>
      <c r="CF7" s="495"/>
      <c r="CG7" s="496">
        <f t="shared" si="95"/>
        <v>0</v>
      </c>
      <c r="CH7" s="309"/>
      <c r="CI7" s="726">
        <f t="shared" si="96"/>
        <v>19718.480566335173</v>
      </c>
      <c r="CJ7" s="306"/>
      <c r="CK7" s="71" t="str">
        <f t="shared" si="97"/>
        <v>0</v>
      </c>
      <c r="CL7" s="75">
        <f t="shared" si="98"/>
        <v>0</v>
      </c>
      <c r="CM7" s="535"/>
      <c r="CN7" s="564">
        <f t="shared" si="99"/>
        <v>0</v>
      </c>
      <c r="CO7" s="306"/>
      <c r="CP7" s="73">
        <f t="shared" si="100"/>
        <v>0</v>
      </c>
      <c r="CQ7" s="535"/>
      <c r="CR7" s="566">
        <f t="shared" si="101"/>
        <v>0</v>
      </c>
      <c r="CS7" s="565">
        <f t="shared" si="102"/>
        <v>0</v>
      </c>
      <c r="CT7" s="567" t="str">
        <f t="shared" si="103"/>
        <v>0</v>
      </c>
      <c r="CU7" s="303"/>
      <c r="CV7" s="306"/>
      <c r="CW7" s="71" t="str">
        <f t="shared" si="104"/>
        <v>0</v>
      </c>
      <c r="CX7" s="75">
        <f t="shared" si="105"/>
        <v>0</v>
      </c>
      <c r="CY7" s="693"/>
      <c r="CZ7" s="71" t="str">
        <f t="shared" si="106"/>
        <v>0</v>
      </c>
      <c r="DA7" s="75">
        <f t="shared" si="107"/>
        <v>0</v>
      </c>
      <c r="DB7" s="306"/>
      <c r="DC7" s="71" t="str">
        <f t="shared" si="108"/>
        <v>0</v>
      </c>
      <c r="DD7" s="75">
        <f t="shared" si="109"/>
        <v>0</v>
      </c>
      <c r="DE7" s="306"/>
      <c r="DF7" s="71" t="str">
        <f t="shared" si="110"/>
        <v>0</v>
      </c>
      <c r="DG7" s="75">
        <f t="shared" si="111"/>
        <v>0</v>
      </c>
      <c r="DH7" s="303"/>
      <c r="DI7" s="71" t="str">
        <f t="shared" si="112"/>
        <v>0</v>
      </c>
      <c r="DJ7" s="75">
        <f t="shared" si="113"/>
        <v>0</v>
      </c>
      <c r="DK7" s="306"/>
      <c r="DL7" s="71" t="str">
        <f t="shared" si="114"/>
        <v>0</v>
      </c>
      <c r="DM7" s="75">
        <f t="shared" si="115"/>
        <v>0</v>
      </c>
      <c r="DN7" s="306"/>
      <c r="DO7" s="71" t="str">
        <f t="shared" si="116"/>
        <v>0</v>
      </c>
      <c r="DP7" s="75">
        <f t="shared" si="117"/>
        <v>0</v>
      </c>
      <c r="DQ7" s="306"/>
      <c r="DR7" s="71" t="str">
        <f t="shared" si="118"/>
        <v>0</v>
      </c>
      <c r="DS7" s="75">
        <f t="shared" si="119"/>
        <v>0</v>
      </c>
      <c r="DT7" s="306"/>
      <c r="DU7" s="71" t="str">
        <f t="shared" si="120"/>
        <v>0</v>
      </c>
      <c r="DV7" s="75">
        <f t="shared" si="121"/>
        <v>0</v>
      </c>
      <c r="DW7" s="306"/>
      <c r="DX7" s="71" t="str">
        <f t="shared" si="122"/>
        <v>0</v>
      </c>
      <c r="DY7" s="75">
        <f t="shared" si="123"/>
        <v>0</v>
      </c>
      <c r="DZ7" s="306"/>
      <c r="EA7" s="71" t="str">
        <f t="shared" si="124"/>
        <v>0</v>
      </c>
      <c r="EB7" s="75">
        <f t="shared" si="125"/>
        <v>0</v>
      </c>
      <c r="EC7" s="306"/>
      <c r="ED7" s="71" t="str">
        <f t="shared" si="126"/>
        <v>0</v>
      </c>
      <c r="EE7" s="75">
        <f t="shared" si="127"/>
        <v>0</v>
      </c>
      <c r="EF7" s="309"/>
      <c r="EG7" s="75">
        <f t="shared" si="128"/>
        <v>0</v>
      </c>
      <c r="EH7" s="309"/>
      <c r="EI7" s="75">
        <f t="shared" si="129"/>
        <v>0</v>
      </c>
      <c r="EJ7" s="310"/>
      <c r="EK7" s="75">
        <f t="shared" si="130"/>
        <v>0</v>
      </c>
      <c r="EL7" s="495"/>
      <c r="EM7" s="75">
        <f t="shared" si="131"/>
        <v>0</v>
      </c>
      <c r="EN7" s="310"/>
      <c r="EO7" s="346"/>
      <c r="EP7" s="491"/>
      <c r="EQ7" s="347"/>
      <c r="ER7" s="334"/>
      <c r="ES7" s="537"/>
      <c r="ET7" s="536"/>
      <c r="EU7" s="536"/>
      <c r="EV7" s="536"/>
    </row>
    <row r="8" spans="1:152" s="76" customFormat="1" ht="15">
      <c r="A8" s="68">
        <v>44778</v>
      </c>
      <c r="B8" s="304"/>
      <c r="C8" s="70">
        <f t="shared" si="55"/>
        <v>0</v>
      </c>
      <c r="D8" s="305"/>
      <c r="E8" s="70">
        <f t="shared" si="56"/>
        <v>0</v>
      </c>
      <c r="F8" s="721" t="e">
        <f t="shared" si="57"/>
        <v>#DIV/0!</v>
      </c>
      <c r="G8" s="305"/>
      <c r="H8" s="305"/>
      <c r="I8" s="305"/>
      <c r="J8" s="78">
        <f t="shared" ref="J8:J10" si="140">IF((I8-I7)&lt;0,"0",(I8-I7))</f>
        <v>0</v>
      </c>
      <c r="K8" s="307"/>
      <c r="L8" s="78">
        <f t="shared" ref="L8:L9" si="141">IF((K8-K7)&lt;0,"0",(K8-K7))</f>
        <v>0</v>
      </c>
      <c r="M8" s="303"/>
      <c r="N8" s="78">
        <f t="shared" ref="N8:N10" si="142">IF((M8-M7)&lt;0,"0",(M8-M7))</f>
        <v>0</v>
      </c>
      <c r="O8" s="303"/>
      <c r="P8" s="78">
        <f t="shared" ref="P8:P9" si="143">IF((O8-O7)&lt;0,"0",(O8-O7))</f>
        <v>0</v>
      </c>
      <c r="Q8" s="303"/>
      <c r="R8" s="78">
        <f t="shared" ref="R8:R21" si="144">IF((Q8-Q7)&lt;0,"0",(Q8-Q7))</f>
        <v>0</v>
      </c>
      <c r="S8" s="303"/>
      <c r="T8" s="78">
        <f t="shared" si="62"/>
        <v>0</v>
      </c>
      <c r="V8" s="730">
        <f t="shared" si="63"/>
        <v>0</v>
      </c>
      <c r="W8" s="307"/>
      <c r="X8" s="78">
        <f t="shared" si="64"/>
        <v>0</v>
      </c>
      <c r="Y8" s="303"/>
      <c r="Z8" s="78">
        <f t="shared" si="65"/>
        <v>0</v>
      </c>
      <c r="AA8" s="538"/>
      <c r="AB8" s="718"/>
      <c r="AC8" s="308">
        <f t="shared" si="66"/>
        <v>0</v>
      </c>
      <c r="AD8" s="307"/>
      <c r="AE8" s="303"/>
      <c r="AF8" s="78">
        <f t="shared" si="5"/>
        <v>0</v>
      </c>
      <c r="AG8" s="495"/>
      <c r="AH8" s="71">
        <f t="shared" si="67"/>
        <v>0</v>
      </c>
      <c r="AI8" s="303"/>
      <c r="AJ8" s="563">
        <f t="shared" si="68"/>
        <v>0</v>
      </c>
      <c r="AK8" s="303"/>
      <c r="AL8" s="563">
        <f t="shared" si="69"/>
        <v>0</v>
      </c>
      <c r="AM8" s="69"/>
      <c r="AN8" s="563">
        <f t="shared" si="70"/>
        <v>0</v>
      </c>
      <c r="AO8" s="69"/>
      <c r="AP8" s="563">
        <f t="shared" si="71"/>
        <v>0</v>
      </c>
      <c r="AQ8" s="303"/>
      <c r="AR8" s="78">
        <f t="shared" si="72"/>
        <v>0</v>
      </c>
      <c r="AS8" s="352"/>
      <c r="AT8" s="78">
        <f t="shared" si="73"/>
        <v>0</v>
      </c>
      <c r="AU8" s="534"/>
      <c r="AV8" s="78">
        <f t="shared" si="74"/>
        <v>0</v>
      </c>
      <c r="AW8" s="307"/>
      <c r="AX8" s="78">
        <f t="shared" si="75"/>
        <v>0</v>
      </c>
      <c r="AY8" s="303"/>
      <c r="AZ8" s="78">
        <f t="shared" si="76"/>
        <v>0</v>
      </c>
      <c r="BA8" s="303"/>
      <c r="BB8" s="78">
        <f t="shared" si="77"/>
        <v>0</v>
      </c>
      <c r="BC8" s="303"/>
      <c r="BD8" s="78">
        <f t="shared" si="78"/>
        <v>0</v>
      </c>
      <c r="BE8" s="495"/>
      <c r="BF8" s="71">
        <f t="shared" si="79"/>
        <v>0</v>
      </c>
      <c r="BG8" s="303"/>
      <c r="BH8" s="71">
        <f t="shared" si="80"/>
        <v>0</v>
      </c>
      <c r="BI8" s="303"/>
      <c r="BJ8" s="71">
        <f t="shared" si="81"/>
        <v>0</v>
      </c>
      <c r="BK8" s="303"/>
      <c r="BL8" s="71">
        <f t="shared" si="82"/>
        <v>0</v>
      </c>
      <c r="BM8" s="303"/>
      <c r="BN8" s="71">
        <f t="shared" si="83"/>
        <v>0</v>
      </c>
      <c r="BO8" s="303"/>
      <c r="BP8" s="71">
        <f t="shared" si="84"/>
        <v>0</v>
      </c>
      <c r="BQ8" s="303"/>
      <c r="BR8" s="71">
        <f t="shared" si="85"/>
        <v>0</v>
      </c>
      <c r="BS8" s="71">
        <f t="shared" si="86"/>
        <v>0</v>
      </c>
      <c r="BT8" s="71">
        <f t="shared" si="87"/>
        <v>0</v>
      </c>
      <c r="BU8" s="303"/>
      <c r="BV8" s="71">
        <f t="shared" si="88"/>
        <v>0</v>
      </c>
      <c r="BW8" s="303"/>
      <c r="BX8" s="71">
        <f t="shared" si="89"/>
        <v>0</v>
      </c>
      <c r="BY8" s="303"/>
      <c r="BZ8" s="71">
        <f t="shared" si="90"/>
        <v>0</v>
      </c>
      <c r="CA8" s="495"/>
      <c r="CB8" s="71">
        <f t="shared" si="91"/>
        <v>0</v>
      </c>
      <c r="CC8" s="75">
        <f t="shared" si="92"/>
        <v>0</v>
      </c>
      <c r="CD8" s="71">
        <f t="shared" si="93"/>
        <v>0</v>
      </c>
      <c r="CE8" s="72">
        <f t="shared" si="94"/>
        <v>0</v>
      </c>
      <c r="CF8" s="495"/>
      <c r="CG8" s="496">
        <f t="shared" si="95"/>
        <v>0</v>
      </c>
      <c r="CH8" s="309"/>
      <c r="CI8" s="726">
        <f t="shared" si="96"/>
        <v>0</v>
      </c>
      <c r="CJ8" s="306"/>
      <c r="CK8" s="71">
        <f t="shared" si="97"/>
        <v>0</v>
      </c>
      <c r="CL8" s="75">
        <f t="shared" si="98"/>
        <v>0</v>
      </c>
      <c r="CM8" s="535"/>
      <c r="CN8" s="564">
        <f t="shared" si="99"/>
        <v>0</v>
      </c>
      <c r="CO8" s="306"/>
      <c r="CP8" s="73">
        <f t="shared" si="100"/>
        <v>0</v>
      </c>
      <c r="CQ8" s="535"/>
      <c r="CR8" s="566">
        <f t="shared" si="101"/>
        <v>0</v>
      </c>
      <c r="CS8" s="565">
        <f t="shared" si="102"/>
        <v>0</v>
      </c>
      <c r="CT8" s="567" t="str">
        <f t="shared" si="103"/>
        <v>0</v>
      </c>
      <c r="CU8" s="303"/>
      <c r="CV8" s="306"/>
      <c r="CW8" s="71">
        <f t="shared" si="104"/>
        <v>0</v>
      </c>
      <c r="CX8" s="75">
        <f t="shared" si="105"/>
        <v>0</v>
      </c>
      <c r="CY8" s="693"/>
      <c r="CZ8" s="71">
        <f t="shared" si="106"/>
        <v>0</v>
      </c>
      <c r="DA8" s="75">
        <f t="shared" si="107"/>
        <v>0</v>
      </c>
      <c r="DB8" s="306"/>
      <c r="DC8" s="71">
        <f t="shared" si="108"/>
        <v>0</v>
      </c>
      <c r="DD8" s="75">
        <f t="shared" si="109"/>
        <v>0</v>
      </c>
      <c r="DE8" s="306"/>
      <c r="DF8" s="71">
        <f t="shared" si="110"/>
        <v>0</v>
      </c>
      <c r="DG8" s="75">
        <f t="shared" si="111"/>
        <v>0</v>
      </c>
      <c r="DH8" s="303"/>
      <c r="DI8" s="71">
        <f t="shared" si="112"/>
        <v>0</v>
      </c>
      <c r="DJ8" s="75">
        <f t="shared" si="113"/>
        <v>0</v>
      </c>
      <c r="DK8" s="306"/>
      <c r="DL8" s="71">
        <f t="shared" si="114"/>
        <v>0</v>
      </c>
      <c r="DM8" s="75">
        <f t="shared" si="115"/>
        <v>0</v>
      </c>
      <c r="DN8" s="306"/>
      <c r="DO8" s="71">
        <f t="shared" si="116"/>
        <v>0</v>
      </c>
      <c r="DP8" s="75">
        <f t="shared" si="117"/>
        <v>0</v>
      </c>
      <c r="DQ8" s="306"/>
      <c r="DR8" s="71">
        <f t="shared" si="118"/>
        <v>0</v>
      </c>
      <c r="DS8" s="75">
        <f t="shared" si="119"/>
        <v>0</v>
      </c>
      <c r="DT8" s="306"/>
      <c r="DU8" s="71">
        <f t="shared" si="120"/>
        <v>0</v>
      </c>
      <c r="DV8" s="75">
        <f t="shared" si="121"/>
        <v>0</v>
      </c>
      <c r="DW8" s="306"/>
      <c r="DX8" s="71">
        <f t="shared" si="122"/>
        <v>0</v>
      </c>
      <c r="DY8" s="75">
        <f t="shared" si="123"/>
        <v>0</v>
      </c>
      <c r="DZ8" s="306"/>
      <c r="EA8" s="71">
        <f t="shared" si="124"/>
        <v>0</v>
      </c>
      <c r="EB8" s="75">
        <f t="shared" si="125"/>
        <v>0</v>
      </c>
      <c r="EC8" s="306"/>
      <c r="ED8" s="71">
        <f t="shared" si="126"/>
        <v>0</v>
      </c>
      <c r="EE8" s="75">
        <f t="shared" si="127"/>
        <v>0</v>
      </c>
      <c r="EF8" s="309"/>
      <c r="EG8" s="75">
        <f t="shared" si="128"/>
        <v>0</v>
      </c>
      <c r="EH8" s="309"/>
      <c r="EI8" s="75">
        <f t="shared" si="129"/>
        <v>0</v>
      </c>
      <c r="EJ8" s="310"/>
      <c r="EK8" s="75">
        <f t="shared" si="130"/>
        <v>0</v>
      </c>
      <c r="EL8" s="495"/>
      <c r="EM8" s="75">
        <f t="shared" si="131"/>
        <v>0</v>
      </c>
      <c r="EN8" s="310"/>
      <c r="EO8" s="310"/>
      <c r="EP8" s="491"/>
      <c r="EQ8" s="347"/>
      <c r="ER8" s="334"/>
      <c r="ES8" s="537"/>
      <c r="ET8" s="536"/>
      <c r="EU8" s="536"/>
      <c r="EV8" s="536"/>
    </row>
    <row r="9" spans="1:152" s="76" customFormat="1" ht="15">
      <c r="A9" s="68">
        <v>44779</v>
      </c>
      <c r="B9" s="304"/>
      <c r="C9" s="70">
        <f t="shared" si="55"/>
        <v>0</v>
      </c>
      <c r="D9" s="305"/>
      <c r="E9" s="70">
        <f t="shared" si="56"/>
        <v>0</v>
      </c>
      <c r="F9" s="721" t="e">
        <f t="shared" si="57"/>
        <v>#DIV/0!</v>
      </c>
      <c r="G9" s="305"/>
      <c r="H9" s="305"/>
      <c r="I9" s="737"/>
      <c r="J9" s="78">
        <f t="shared" si="140"/>
        <v>0</v>
      </c>
      <c r="K9" s="307"/>
      <c r="L9" s="78">
        <f t="shared" si="141"/>
        <v>0</v>
      </c>
      <c r="M9" s="303"/>
      <c r="N9" s="78">
        <f t="shared" si="142"/>
        <v>0</v>
      </c>
      <c r="O9" s="303"/>
      <c r="P9" s="78">
        <f t="shared" si="143"/>
        <v>0</v>
      </c>
      <c r="Q9" s="303"/>
      <c r="R9" s="78">
        <f t="shared" si="144"/>
        <v>0</v>
      </c>
      <c r="S9" s="303"/>
      <c r="T9" s="78">
        <f t="shared" si="62"/>
        <v>0</v>
      </c>
      <c r="U9" s="303"/>
      <c r="V9" s="732">
        <f t="shared" si="63"/>
        <v>0</v>
      </c>
      <c r="W9" s="303"/>
      <c r="X9" s="78">
        <f t="shared" si="64"/>
        <v>0</v>
      </c>
      <c r="Y9" s="303"/>
      <c r="Z9" s="78">
        <f t="shared" si="65"/>
        <v>0</v>
      </c>
      <c r="AA9" s="538"/>
      <c r="AB9" s="718"/>
      <c r="AC9" s="308">
        <f t="shared" si="66"/>
        <v>0</v>
      </c>
      <c r="AD9" s="307"/>
      <c r="AE9" s="303"/>
      <c r="AF9" s="78">
        <f t="shared" si="5"/>
        <v>0</v>
      </c>
      <c r="AG9" s="495"/>
      <c r="AH9" s="71">
        <f t="shared" si="67"/>
        <v>0</v>
      </c>
      <c r="AI9" s="303"/>
      <c r="AJ9" s="563">
        <f t="shared" si="68"/>
        <v>0</v>
      </c>
      <c r="AK9" s="303"/>
      <c r="AL9" s="563">
        <f t="shared" si="69"/>
        <v>0</v>
      </c>
      <c r="AM9" s="69"/>
      <c r="AN9" s="563">
        <f t="shared" si="70"/>
        <v>0</v>
      </c>
      <c r="AO9" s="69"/>
      <c r="AP9" s="563">
        <f t="shared" si="71"/>
        <v>0</v>
      </c>
      <c r="AQ9" s="303"/>
      <c r="AR9" s="78">
        <f t="shared" si="72"/>
        <v>0</v>
      </c>
      <c r="AS9" s="352"/>
      <c r="AT9" s="78">
        <f t="shared" si="73"/>
        <v>0</v>
      </c>
      <c r="AU9" s="534"/>
      <c r="AV9" s="78">
        <f t="shared" si="74"/>
        <v>0</v>
      </c>
      <c r="AW9" s="307"/>
      <c r="AX9" s="78">
        <f t="shared" si="75"/>
        <v>0</v>
      </c>
      <c r="AY9" s="303"/>
      <c r="AZ9" s="78">
        <f>IF((AY9-AY8)&lt;0,"0",(AY9-AY8))</f>
        <v>0</v>
      </c>
      <c r="BA9" s="303"/>
      <c r="BB9" s="78">
        <f t="shared" si="77"/>
        <v>0</v>
      </c>
      <c r="BC9" s="303"/>
      <c r="BD9" s="78">
        <f t="shared" si="78"/>
        <v>0</v>
      </c>
      <c r="BE9" s="495"/>
      <c r="BF9" s="71">
        <f t="shared" si="79"/>
        <v>0</v>
      </c>
      <c r="BG9" s="303"/>
      <c r="BH9" s="71">
        <f t="shared" si="80"/>
        <v>0</v>
      </c>
      <c r="BI9" s="303"/>
      <c r="BJ9" s="71">
        <f t="shared" si="81"/>
        <v>0</v>
      </c>
      <c r="BK9" s="303"/>
      <c r="BL9" s="71">
        <f t="shared" si="82"/>
        <v>0</v>
      </c>
      <c r="BM9" s="303"/>
      <c r="BN9" s="71">
        <f t="shared" si="83"/>
        <v>0</v>
      </c>
      <c r="BO9" s="303"/>
      <c r="BP9" s="71">
        <f t="shared" si="84"/>
        <v>0</v>
      </c>
      <c r="BQ9" s="303"/>
      <c r="BR9" s="71">
        <f t="shared" si="85"/>
        <v>0</v>
      </c>
      <c r="BS9" s="71">
        <f t="shared" si="86"/>
        <v>0</v>
      </c>
      <c r="BT9" s="71">
        <f t="shared" si="87"/>
        <v>0</v>
      </c>
      <c r="BU9" s="303"/>
      <c r="BV9" s="71">
        <f t="shared" si="88"/>
        <v>0</v>
      </c>
      <c r="BW9" s="303"/>
      <c r="BX9" s="71">
        <f t="shared" si="89"/>
        <v>0</v>
      </c>
      <c r="BY9" s="303"/>
      <c r="BZ9" s="71">
        <f t="shared" si="90"/>
        <v>0</v>
      </c>
      <c r="CA9" s="495"/>
      <c r="CB9" s="71">
        <f t="shared" si="91"/>
        <v>0</v>
      </c>
      <c r="CC9" s="75">
        <f t="shared" si="92"/>
        <v>0</v>
      </c>
      <c r="CD9" s="71">
        <f t="shared" si="93"/>
        <v>0</v>
      </c>
      <c r="CE9" s="72">
        <f t="shared" si="94"/>
        <v>0</v>
      </c>
      <c r="CF9" s="495"/>
      <c r="CG9" s="496">
        <f t="shared" si="95"/>
        <v>0</v>
      </c>
      <c r="CH9" s="309"/>
      <c r="CI9" s="726">
        <f t="shared" si="96"/>
        <v>0</v>
      </c>
      <c r="CJ9" s="306"/>
      <c r="CK9" s="71">
        <f t="shared" si="97"/>
        <v>0</v>
      </c>
      <c r="CL9" s="75">
        <f t="shared" si="98"/>
        <v>0</v>
      </c>
      <c r="CM9" s="535"/>
      <c r="CN9" s="564">
        <f t="shared" si="99"/>
        <v>0</v>
      </c>
      <c r="CO9" s="306"/>
      <c r="CP9" s="73">
        <f t="shared" si="100"/>
        <v>0</v>
      </c>
      <c r="CQ9" s="535"/>
      <c r="CR9" s="566">
        <f t="shared" si="101"/>
        <v>0</v>
      </c>
      <c r="CS9" s="565">
        <f t="shared" si="102"/>
        <v>0</v>
      </c>
      <c r="CT9" s="567" t="str">
        <f t="shared" si="103"/>
        <v>0</v>
      </c>
      <c r="CU9" s="303"/>
      <c r="CV9" s="306"/>
      <c r="CW9" s="71">
        <f t="shared" si="104"/>
        <v>0</v>
      </c>
      <c r="CX9" s="75">
        <f t="shared" si="105"/>
        <v>0</v>
      </c>
      <c r="CY9" s="693"/>
      <c r="CZ9" s="71">
        <f t="shared" si="106"/>
        <v>0</v>
      </c>
      <c r="DA9" s="75">
        <f t="shared" si="107"/>
        <v>0</v>
      </c>
      <c r="DB9" s="306"/>
      <c r="DC9" s="71">
        <f t="shared" si="108"/>
        <v>0</v>
      </c>
      <c r="DD9" s="75">
        <f t="shared" si="109"/>
        <v>0</v>
      </c>
      <c r="DE9" s="306"/>
      <c r="DF9" s="71">
        <f t="shared" si="110"/>
        <v>0</v>
      </c>
      <c r="DG9" s="75">
        <f t="shared" si="111"/>
        <v>0</v>
      </c>
      <c r="DH9" s="303"/>
      <c r="DI9" s="71">
        <f t="shared" si="112"/>
        <v>0</v>
      </c>
      <c r="DJ9" s="75">
        <f t="shared" si="113"/>
        <v>0</v>
      </c>
      <c r="DK9" s="306"/>
      <c r="DL9" s="71">
        <f t="shared" si="114"/>
        <v>0</v>
      </c>
      <c r="DM9" s="75">
        <f t="shared" si="115"/>
        <v>0</v>
      </c>
      <c r="DN9" s="306"/>
      <c r="DO9" s="71">
        <f t="shared" si="116"/>
        <v>0</v>
      </c>
      <c r="DP9" s="75">
        <f t="shared" si="117"/>
        <v>0</v>
      </c>
      <c r="DQ9" s="306"/>
      <c r="DR9" s="71">
        <f t="shared" si="118"/>
        <v>0</v>
      </c>
      <c r="DS9" s="75">
        <f t="shared" si="119"/>
        <v>0</v>
      </c>
      <c r="DT9" s="306"/>
      <c r="DU9" s="71">
        <f t="shared" si="120"/>
        <v>0</v>
      </c>
      <c r="DV9" s="75">
        <f t="shared" si="121"/>
        <v>0</v>
      </c>
      <c r="DW9" s="306"/>
      <c r="DX9" s="71">
        <f t="shared" si="122"/>
        <v>0</v>
      </c>
      <c r="DY9" s="75">
        <f t="shared" si="123"/>
        <v>0</v>
      </c>
      <c r="DZ9" s="306"/>
      <c r="EA9" s="71">
        <f t="shared" si="124"/>
        <v>0</v>
      </c>
      <c r="EB9" s="75">
        <f t="shared" si="125"/>
        <v>0</v>
      </c>
      <c r="EC9" s="306"/>
      <c r="ED9" s="71">
        <f t="shared" si="126"/>
        <v>0</v>
      </c>
      <c r="EE9" s="75">
        <f t="shared" si="127"/>
        <v>0</v>
      </c>
      <c r="EF9" s="309"/>
      <c r="EG9" s="75">
        <f t="shared" si="128"/>
        <v>0</v>
      </c>
      <c r="EH9" s="309"/>
      <c r="EI9" s="75">
        <f t="shared" si="129"/>
        <v>0</v>
      </c>
      <c r="EJ9" s="310"/>
      <c r="EK9" s="75">
        <f t="shared" si="130"/>
        <v>0</v>
      </c>
      <c r="EL9" s="495"/>
      <c r="EM9" s="75">
        <f t="shared" si="131"/>
        <v>0</v>
      </c>
      <c r="EP9" s="491"/>
      <c r="EQ9" s="347"/>
      <c r="ER9" s="334"/>
      <c r="ES9" s="537"/>
      <c r="ET9" s="536"/>
      <c r="EU9" s="536"/>
      <c r="EV9" s="536"/>
    </row>
    <row r="10" spans="1:152" s="76" customFormat="1" ht="15">
      <c r="A10" s="68">
        <v>44780</v>
      </c>
      <c r="B10" s="304"/>
      <c r="C10" s="70">
        <f t="shared" si="55"/>
        <v>0</v>
      </c>
      <c r="D10" s="305"/>
      <c r="E10" s="70">
        <f t="shared" si="56"/>
        <v>0</v>
      </c>
      <c r="F10" s="721" t="e">
        <f t="shared" si="57"/>
        <v>#DIV/0!</v>
      </c>
      <c r="G10" s="305"/>
      <c r="H10" s="535"/>
      <c r="I10" s="738"/>
      <c r="J10" s="78">
        <f t="shared" si="140"/>
        <v>0</v>
      </c>
      <c r="K10" s="307"/>
      <c r="L10" s="78">
        <f t="shared" ref="L10" si="145">IF((K10-K9)&lt;0,"0",(K10-K9))</f>
        <v>0</v>
      </c>
      <c r="M10" s="305"/>
      <c r="N10" s="78">
        <f t="shared" si="142"/>
        <v>0</v>
      </c>
      <c r="O10" s="303"/>
      <c r="P10" s="78">
        <f t="shared" ref="P10" si="146">IF((O10-O9)&lt;0,"0",(O10-O9))</f>
        <v>0</v>
      </c>
      <c r="Q10" s="303"/>
      <c r="R10" s="78">
        <f t="shared" si="144"/>
        <v>0</v>
      </c>
      <c r="S10" s="303"/>
      <c r="T10" s="78">
        <f t="shared" si="62"/>
        <v>0</v>
      </c>
      <c r="U10" s="303"/>
      <c r="V10" s="78">
        <f t="shared" si="63"/>
        <v>0</v>
      </c>
      <c r="W10" s="303"/>
      <c r="X10" s="78">
        <f t="shared" si="64"/>
        <v>0</v>
      </c>
      <c r="Y10" s="303"/>
      <c r="Z10" s="78">
        <f t="shared" si="65"/>
        <v>0</v>
      </c>
      <c r="AA10" s="538"/>
      <c r="AB10" s="718"/>
      <c r="AC10" s="308">
        <f t="shared" si="66"/>
        <v>0</v>
      </c>
      <c r="AD10" s="307"/>
      <c r="AE10" s="303"/>
      <c r="AF10" s="78">
        <f t="shared" si="5"/>
        <v>0</v>
      </c>
      <c r="AG10" s="495"/>
      <c r="AH10" s="71">
        <f t="shared" si="67"/>
        <v>0</v>
      </c>
      <c r="AI10" s="303"/>
      <c r="AJ10" s="563">
        <f t="shared" si="68"/>
        <v>0</v>
      </c>
      <c r="AK10" s="303"/>
      <c r="AL10" s="563">
        <f t="shared" si="69"/>
        <v>0</v>
      </c>
      <c r="AM10" s="69"/>
      <c r="AN10" s="563">
        <f t="shared" si="70"/>
        <v>0</v>
      </c>
      <c r="AO10" s="69"/>
      <c r="AP10" s="563">
        <f t="shared" si="71"/>
        <v>0</v>
      </c>
      <c r="AQ10" s="303"/>
      <c r="AR10" s="78">
        <f t="shared" si="72"/>
        <v>0</v>
      </c>
      <c r="AS10" s="352"/>
      <c r="AT10" s="78">
        <f t="shared" si="73"/>
        <v>0</v>
      </c>
      <c r="AU10" s="534"/>
      <c r="AV10" s="78">
        <f t="shared" si="74"/>
        <v>0</v>
      </c>
      <c r="AW10" s="307"/>
      <c r="AX10" s="78">
        <f t="shared" si="75"/>
        <v>0</v>
      </c>
      <c r="AY10" s="303"/>
      <c r="AZ10" s="78">
        <f>IF((AY10-AY9)&lt;0,"0",(AY10-AY9))</f>
        <v>0</v>
      </c>
      <c r="BA10" s="303"/>
      <c r="BB10" s="78">
        <f t="shared" si="77"/>
        <v>0</v>
      </c>
      <c r="BC10" s="303"/>
      <c r="BD10" s="78">
        <f t="shared" si="78"/>
        <v>0</v>
      </c>
      <c r="BE10" s="495"/>
      <c r="BF10" s="71">
        <f t="shared" si="79"/>
        <v>0</v>
      </c>
      <c r="BG10" s="303"/>
      <c r="BH10" s="71">
        <f t="shared" si="80"/>
        <v>0</v>
      </c>
      <c r="BI10" s="303"/>
      <c r="BJ10" s="71">
        <f t="shared" si="81"/>
        <v>0</v>
      </c>
      <c r="BK10" s="303"/>
      <c r="BL10" s="71">
        <f t="shared" si="82"/>
        <v>0</v>
      </c>
      <c r="BM10" s="303"/>
      <c r="BN10" s="71">
        <f t="shared" si="83"/>
        <v>0</v>
      </c>
      <c r="BO10" s="303"/>
      <c r="BP10" s="71">
        <f t="shared" si="84"/>
        <v>0</v>
      </c>
      <c r="BQ10" s="303"/>
      <c r="BR10" s="71">
        <f t="shared" si="85"/>
        <v>0</v>
      </c>
      <c r="BS10" s="71">
        <f t="shared" si="86"/>
        <v>0</v>
      </c>
      <c r="BT10" s="71">
        <f t="shared" si="87"/>
        <v>0</v>
      </c>
      <c r="BU10" s="303"/>
      <c r="BV10" s="71">
        <f t="shared" si="88"/>
        <v>0</v>
      </c>
      <c r="BW10" s="303"/>
      <c r="BX10" s="71">
        <f t="shared" si="89"/>
        <v>0</v>
      </c>
      <c r="BY10" s="303"/>
      <c r="BZ10" s="71">
        <f t="shared" si="90"/>
        <v>0</v>
      </c>
      <c r="CA10" s="495"/>
      <c r="CB10" s="71">
        <f t="shared" si="91"/>
        <v>0</v>
      </c>
      <c r="CC10" s="75">
        <f t="shared" si="92"/>
        <v>0</v>
      </c>
      <c r="CD10" s="71">
        <f t="shared" si="93"/>
        <v>0</v>
      </c>
      <c r="CE10" s="72">
        <f t="shared" si="94"/>
        <v>0</v>
      </c>
      <c r="CF10" s="495"/>
      <c r="CG10" s="496">
        <f t="shared" si="95"/>
        <v>0</v>
      </c>
      <c r="CH10" s="309"/>
      <c r="CI10" s="726">
        <f t="shared" si="96"/>
        <v>0</v>
      </c>
      <c r="CJ10" s="306"/>
      <c r="CK10" s="71">
        <f t="shared" si="97"/>
        <v>0</v>
      </c>
      <c r="CL10" s="75">
        <f t="shared" si="98"/>
        <v>0</v>
      </c>
      <c r="CM10" s="535"/>
      <c r="CN10" s="564">
        <f t="shared" si="99"/>
        <v>0</v>
      </c>
      <c r="CO10" s="306"/>
      <c r="CP10" s="73">
        <f t="shared" si="100"/>
        <v>0</v>
      </c>
      <c r="CQ10" s="535"/>
      <c r="CR10" s="566">
        <f t="shared" si="101"/>
        <v>0</v>
      </c>
      <c r="CS10" s="565">
        <f t="shared" si="102"/>
        <v>0</v>
      </c>
      <c r="CT10" s="567" t="str">
        <f>IF((CS9-CS10+CU9)=CS9,"0",(CS9-CS10+CU9))</f>
        <v>0</v>
      </c>
      <c r="CU10" s="303"/>
      <c r="CV10" s="306"/>
      <c r="CW10" s="71">
        <f t="shared" si="104"/>
        <v>0</v>
      </c>
      <c r="CX10" s="75">
        <f t="shared" si="105"/>
        <v>0</v>
      </c>
      <c r="CY10" s="693"/>
      <c r="CZ10" s="71">
        <f t="shared" si="106"/>
        <v>0</v>
      </c>
      <c r="DA10" s="75">
        <f t="shared" si="107"/>
        <v>0</v>
      </c>
      <c r="DB10" s="306"/>
      <c r="DC10" s="71">
        <f t="shared" si="108"/>
        <v>0</v>
      </c>
      <c r="DD10" s="75">
        <f t="shared" si="109"/>
        <v>0</v>
      </c>
      <c r="DE10" s="306"/>
      <c r="DF10" s="71">
        <f t="shared" si="110"/>
        <v>0</v>
      </c>
      <c r="DG10" s="75">
        <f t="shared" si="111"/>
        <v>0</v>
      </c>
      <c r="DH10" s="303"/>
      <c r="DI10" s="71">
        <f t="shared" si="112"/>
        <v>0</v>
      </c>
      <c r="DJ10" s="75">
        <f t="shared" si="113"/>
        <v>0</v>
      </c>
      <c r="DK10" s="306"/>
      <c r="DL10" s="71">
        <f t="shared" si="114"/>
        <v>0</v>
      </c>
      <c r="DM10" s="75">
        <f t="shared" si="115"/>
        <v>0</v>
      </c>
      <c r="DN10" s="306"/>
      <c r="DO10" s="71">
        <f t="shared" si="116"/>
        <v>0</v>
      </c>
      <c r="DP10" s="75">
        <f t="shared" si="117"/>
        <v>0</v>
      </c>
      <c r="DQ10" s="306"/>
      <c r="DR10" s="71">
        <f t="shared" si="118"/>
        <v>0</v>
      </c>
      <c r="DS10" s="75">
        <f t="shared" si="119"/>
        <v>0</v>
      </c>
      <c r="DT10" s="306"/>
      <c r="DU10" s="71">
        <f t="shared" si="120"/>
        <v>0</v>
      </c>
      <c r="DV10" s="75">
        <f t="shared" si="121"/>
        <v>0</v>
      </c>
      <c r="DW10" s="306"/>
      <c r="DX10" s="71">
        <f t="shared" si="122"/>
        <v>0</v>
      </c>
      <c r="DY10" s="75">
        <f t="shared" si="123"/>
        <v>0</v>
      </c>
      <c r="DZ10" s="306"/>
      <c r="EA10" s="71">
        <f t="shared" si="124"/>
        <v>0</v>
      </c>
      <c r="EB10" s="75">
        <f t="shared" si="125"/>
        <v>0</v>
      </c>
      <c r="EC10" s="306"/>
      <c r="ED10" s="71">
        <f t="shared" si="126"/>
        <v>0</v>
      </c>
      <c r="EE10" s="75">
        <f t="shared" si="127"/>
        <v>0</v>
      </c>
      <c r="EF10" s="309"/>
      <c r="EG10" s="75">
        <f t="shared" si="128"/>
        <v>0</v>
      </c>
      <c r="EH10" s="309"/>
      <c r="EI10" s="75">
        <f t="shared" si="129"/>
        <v>0</v>
      </c>
      <c r="EJ10" s="310"/>
      <c r="EK10" s="75">
        <f t="shared" si="130"/>
        <v>0</v>
      </c>
      <c r="EL10" s="495"/>
      <c r="EM10" s="75">
        <f t="shared" si="131"/>
        <v>0</v>
      </c>
      <c r="EN10" s="310"/>
      <c r="EO10" s="346"/>
      <c r="EP10" s="491"/>
      <c r="EQ10" s="347"/>
      <c r="ER10" s="334"/>
      <c r="ES10" s="537"/>
      <c r="ET10" s="536"/>
      <c r="EU10" s="536"/>
      <c r="EV10" s="536"/>
    </row>
    <row r="11" spans="1:152" s="76" customFormat="1" ht="15">
      <c r="A11" s="68">
        <v>44781</v>
      </c>
      <c r="B11" s="304"/>
      <c r="C11" s="70">
        <f t="shared" si="55"/>
        <v>0</v>
      </c>
      <c r="D11" s="305"/>
      <c r="E11" s="70">
        <f t="shared" si="56"/>
        <v>0</v>
      </c>
      <c r="F11" s="721" t="e">
        <f t="shared" si="57"/>
        <v>#DIV/0!</v>
      </c>
      <c r="G11" s="305"/>
      <c r="H11" s="535"/>
      <c r="I11" s="736"/>
      <c r="J11" s="78">
        <f t="shared" ref="J11" si="147">IF((I11-I10)&lt;0,"0",(I11-I10))</f>
        <v>0</v>
      </c>
      <c r="K11" s="307"/>
      <c r="L11" s="78">
        <f t="shared" ref="L11" si="148">IF((K11-K10)&lt;0,"0",(K11-K10))</f>
        <v>0</v>
      </c>
      <c r="M11" s="305"/>
      <c r="N11" s="78">
        <f t="shared" ref="N11" si="149">IF((M11-M10)&lt;0,"0",(M11-M10))</f>
        <v>0</v>
      </c>
      <c r="O11" s="303"/>
      <c r="P11" s="78">
        <f t="shared" ref="P11" si="150">IF((O11-O10)&lt;0,"0",(O11-O10))</f>
        <v>0</v>
      </c>
      <c r="Q11" s="303"/>
      <c r="R11" s="78">
        <f t="shared" si="144"/>
        <v>0</v>
      </c>
      <c r="S11" s="303"/>
      <c r="T11" s="78">
        <f t="shared" si="62"/>
        <v>0</v>
      </c>
      <c r="U11" s="303"/>
      <c r="V11" s="78">
        <f t="shared" si="63"/>
        <v>0</v>
      </c>
      <c r="W11" s="303"/>
      <c r="X11" s="78">
        <f t="shared" si="64"/>
        <v>0</v>
      </c>
      <c r="Y11" s="303"/>
      <c r="Z11" s="78">
        <f t="shared" si="65"/>
        <v>0</v>
      </c>
      <c r="AA11" s="538"/>
      <c r="AB11" s="718"/>
      <c r="AC11" s="308">
        <f t="shared" si="66"/>
        <v>0</v>
      </c>
      <c r="AD11" s="307"/>
      <c r="AE11" s="303"/>
      <c r="AF11" s="78">
        <f t="shared" si="5"/>
        <v>0</v>
      </c>
      <c r="AG11" s="495"/>
      <c r="AH11" s="71">
        <f t="shared" si="67"/>
        <v>0</v>
      </c>
      <c r="AI11" s="303"/>
      <c r="AJ11" s="563">
        <f t="shared" si="68"/>
        <v>0</v>
      </c>
      <c r="AK11" s="303"/>
      <c r="AL11" s="563">
        <f t="shared" si="69"/>
        <v>0</v>
      </c>
      <c r="AM11" s="69"/>
      <c r="AN11" s="563">
        <f t="shared" si="70"/>
        <v>0</v>
      </c>
      <c r="AO11" s="69"/>
      <c r="AP11" s="563">
        <f t="shared" si="71"/>
        <v>0</v>
      </c>
      <c r="AQ11" s="303"/>
      <c r="AR11" s="78">
        <f t="shared" si="72"/>
        <v>0</v>
      </c>
      <c r="AS11" s="352"/>
      <c r="AT11" s="78">
        <f t="shared" si="73"/>
        <v>0</v>
      </c>
      <c r="AU11" s="534"/>
      <c r="AV11" s="78">
        <f t="shared" si="74"/>
        <v>0</v>
      </c>
      <c r="AW11" s="307"/>
      <c r="AX11" s="78">
        <f t="shared" si="75"/>
        <v>0</v>
      </c>
      <c r="AY11" s="303"/>
      <c r="AZ11" s="78">
        <f t="shared" si="76"/>
        <v>0</v>
      </c>
      <c r="BA11" s="303"/>
      <c r="BB11" s="78">
        <f t="shared" si="77"/>
        <v>0</v>
      </c>
      <c r="BC11" s="303"/>
      <c r="BD11" s="78">
        <f t="shared" si="78"/>
        <v>0</v>
      </c>
      <c r="BE11" s="495"/>
      <c r="BF11" s="71">
        <f t="shared" si="79"/>
        <v>0</v>
      </c>
      <c r="BG11" s="303"/>
      <c r="BH11" s="71">
        <f t="shared" si="80"/>
        <v>0</v>
      </c>
      <c r="BI11" s="303"/>
      <c r="BJ11" s="71">
        <f t="shared" si="81"/>
        <v>0</v>
      </c>
      <c r="BK11" s="303"/>
      <c r="BL11" s="71">
        <f t="shared" si="82"/>
        <v>0</v>
      </c>
      <c r="BM11" s="303"/>
      <c r="BN11" s="71">
        <f t="shared" si="83"/>
        <v>0</v>
      </c>
      <c r="BO11" s="303"/>
      <c r="BP11" s="71">
        <f t="shared" si="84"/>
        <v>0</v>
      </c>
      <c r="BQ11" s="303"/>
      <c r="BR11" s="71">
        <f t="shared" si="85"/>
        <v>0</v>
      </c>
      <c r="BS11" s="71">
        <f t="shared" si="86"/>
        <v>0</v>
      </c>
      <c r="BT11" s="71">
        <f t="shared" si="87"/>
        <v>0</v>
      </c>
      <c r="BU11" s="303"/>
      <c r="BV11" s="71">
        <f t="shared" si="88"/>
        <v>0</v>
      </c>
      <c r="BW11" s="303"/>
      <c r="BX11" s="71">
        <f t="shared" si="89"/>
        <v>0</v>
      </c>
      <c r="BY11" s="303"/>
      <c r="BZ11" s="71">
        <f t="shared" si="90"/>
        <v>0</v>
      </c>
      <c r="CA11" s="495"/>
      <c r="CB11" s="71">
        <f t="shared" si="91"/>
        <v>0</v>
      </c>
      <c r="CC11" s="75">
        <f t="shared" si="92"/>
        <v>0</v>
      </c>
      <c r="CD11" s="71">
        <f t="shared" si="93"/>
        <v>0</v>
      </c>
      <c r="CE11" s="72">
        <f t="shared" si="94"/>
        <v>0</v>
      </c>
      <c r="CF11" s="495"/>
      <c r="CG11" s="496">
        <f t="shared" si="95"/>
        <v>0</v>
      </c>
      <c r="CH11" s="309"/>
      <c r="CI11" s="726">
        <f t="shared" si="96"/>
        <v>0</v>
      </c>
      <c r="CJ11" s="306"/>
      <c r="CK11" s="71">
        <f t="shared" si="97"/>
        <v>0</v>
      </c>
      <c r="CL11" s="75">
        <f t="shared" si="98"/>
        <v>0</v>
      </c>
      <c r="CM11" s="535"/>
      <c r="CN11" s="564">
        <f t="shared" si="99"/>
        <v>0</v>
      </c>
      <c r="CO11" s="306"/>
      <c r="CP11" s="73">
        <f t="shared" si="100"/>
        <v>0</v>
      </c>
      <c r="CQ11" s="535"/>
      <c r="CR11" s="566">
        <f t="shared" si="101"/>
        <v>0</v>
      </c>
      <c r="CS11" s="565">
        <f t="shared" si="102"/>
        <v>0</v>
      </c>
      <c r="CT11" s="567" t="str">
        <f t="shared" si="103"/>
        <v>0</v>
      </c>
      <c r="CU11" s="303"/>
      <c r="CV11" s="306"/>
      <c r="CW11" s="71">
        <f t="shared" si="104"/>
        <v>0</v>
      </c>
      <c r="CX11" s="75">
        <f t="shared" si="105"/>
        <v>0</v>
      </c>
      <c r="CY11" s="693"/>
      <c r="CZ11" s="71">
        <f t="shared" si="106"/>
        <v>0</v>
      </c>
      <c r="DA11" s="75">
        <f t="shared" si="107"/>
        <v>0</v>
      </c>
      <c r="DB11" s="306"/>
      <c r="DC11" s="71">
        <f t="shared" si="108"/>
        <v>0</v>
      </c>
      <c r="DD11" s="75">
        <f t="shared" si="109"/>
        <v>0</v>
      </c>
      <c r="DE11" s="306"/>
      <c r="DF11" s="71">
        <f t="shared" si="110"/>
        <v>0</v>
      </c>
      <c r="DG11" s="75">
        <f t="shared" si="111"/>
        <v>0</v>
      </c>
      <c r="DH11" s="303"/>
      <c r="DI11" s="71">
        <f t="shared" si="112"/>
        <v>0</v>
      </c>
      <c r="DJ11" s="75">
        <f t="shared" si="113"/>
        <v>0</v>
      </c>
      <c r="DK11" s="306"/>
      <c r="DL11" s="71">
        <f t="shared" si="114"/>
        <v>0</v>
      </c>
      <c r="DM11" s="75">
        <f t="shared" si="115"/>
        <v>0</v>
      </c>
      <c r="DN11" s="306"/>
      <c r="DO11" s="71">
        <f t="shared" si="116"/>
        <v>0</v>
      </c>
      <c r="DP11" s="75">
        <f t="shared" si="117"/>
        <v>0</v>
      </c>
      <c r="DQ11" s="306"/>
      <c r="DR11" s="71">
        <f t="shared" si="118"/>
        <v>0</v>
      </c>
      <c r="DS11" s="75">
        <f t="shared" si="119"/>
        <v>0</v>
      </c>
      <c r="DT11" s="306"/>
      <c r="DU11" s="71">
        <f t="shared" si="120"/>
        <v>0</v>
      </c>
      <c r="DV11" s="75">
        <f t="shared" si="121"/>
        <v>0</v>
      </c>
      <c r="DW11" s="306"/>
      <c r="DX11" s="71">
        <f t="shared" si="122"/>
        <v>0</v>
      </c>
      <c r="DY11" s="75">
        <f t="shared" si="123"/>
        <v>0</v>
      </c>
      <c r="DZ11" s="306"/>
      <c r="EA11" s="71">
        <f t="shared" si="124"/>
        <v>0</v>
      </c>
      <c r="EB11" s="75">
        <f t="shared" si="125"/>
        <v>0</v>
      </c>
      <c r="EC11" s="306"/>
      <c r="ED11" s="71">
        <f t="shared" si="126"/>
        <v>0</v>
      </c>
      <c r="EE11" s="75">
        <f t="shared" si="127"/>
        <v>0</v>
      </c>
      <c r="EF11" s="309"/>
      <c r="EG11" s="75">
        <f t="shared" si="128"/>
        <v>0</v>
      </c>
      <c r="EH11" s="309"/>
      <c r="EI11" s="75">
        <f t="shared" si="129"/>
        <v>0</v>
      </c>
      <c r="EJ11" s="310"/>
      <c r="EK11" s="75">
        <f t="shared" si="130"/>
        <v>0</v>
      </c>
      <c r="EL11" s="495"/>
      <c r="EM11" s="75">
        <f t="shared" si="131"/>
        <v>0</v>
      </c>
      <c r="EN11" s="310"/>
      <c r="EO11" s="346"/>
      <c r="EP11" s="491"/>
      <c r="EQ11" s="347"/>
      <c r="ER11" s="334"/>
      <c r="ES11" s="537"/>
      <c r="ET11" s="536"/>
      <c r="EU11" s="536"/>
      <c r="EV11" s="536"/>
    </row>
    <row r="12" spans="1:152" s="76" customFormat="1" ht="15">
      <c r="A12" s="68">
        <v>44782</v>
      </c>
      <c r="B12" s="304"/>
      <c r="C12" s="70">
        <f t="shared" si="55"/>
        <v>0</v>
      </c>
      <c r="D12" s="305"/>
      <c r="E12" s="70">
        <f t="shared" si="56"/>
        <v>0</v>
      </c>
      <c r="F12" s="721" t="e">
        <f t="shared" si="57"/>
        <v>#DIV/0!</v>
      </c>
      <c r="G12" s="305"/>
      <c r="H12" s="305"/>
      <c r="I12" s="735"/>
      <c r="J12" s="78">
        <f t="shared" ref="J12" si="151">IF((I12-I11)&lt;0,"0",(I12-I11))</f>
        <v>0</v>
      </c>
      <c r="K12" s="307"/>
      <c r="L12" s="78">
        <f t="shared" ref="L12" si="152">IF((K12-K11)&lt;0,"0",(K12-K11))</f>
        <v>0</v>
      </c>
      <c r="M12" s="303"/>
      <c r="N12" s="78">
        <f t="shared" ref="N12" si="153">IF((M12-M11)&lt;0,"0",(M12-M11))</f>
        <v>0</v>
      </c>
      <c r="O12" s="303"/>
      <c r="P12" s="78">
        <f t="shared" ref="P12" si="154">IF((O12-O11)&lt;0,"0",(O12-O11))</f>
        <v>0</v>
      </c>
      <c r="Q12" s="303"/>
      <c r="R12" s="78">
        <f t="shared" si="144"/>
        <v>0</v>
      </c>
      <c r="S12" s="303"/>
      <c r="T12" s="78">
        <f t="shared" si="62"/>
        <v>0</v>
      </c>
      <c r="U12" s="303"/>
      <c r="V12" s="78">
        <f t="shared" si="63"/>
        <v>0</v>
      </c>
      <c r="W12" s="303"/>
      <c r="X12" s="78">
        <f t="shared" si="64"/>
        <v>0</v>
      </c>
      <c r="Y12" s="303"/>
      <c r="Z12" s="78">
        <f t="shared" si="65"/>
        <v>0</v>
      </c>
      <c r="AA12" s="538"/>
      <c r="AB12" s="718"/>
      <c r="AC12" s="308">
        <f t="shared" si="66"/>
        <v>0</v>
      </c>
      <c r="AD12" s="307"/>
      <c r="AE12" s="303"/>
      <c r="AF12" s="78">
        <f t="shared" si="5"/>
        <v>0</v>
      </c>
      <c r="AG12" s="495"/>
      <c r="AH12" s="71">
        <f t="shared" si="67"/>
        <v>0</v>
      </c>
      <c r="AI12" s="303"/>
      <c r="AJ12" s="563">
        <f t="shared" si="68"/>
        <v>0</v>
      </c>
      <c r="AK12" s="303"/>
      <c r="AL12" s="563">
        <f t="shared" si="69"/>
        <v>0</v>
      </c>
      <c r="AM12" s="69"/>
      <c r="AN12" s="563">
        <f t="shared" si="70"/>
        <v>0</v>
      </c>
      <c r="AO12" s="69"/>
      <c r="AP12" s="563">
        <f t="shared" si="71"/>
        <v>0</v>
      </c>
      <c r="AQ12" s="303"/>
      <c r="AR12" s="78">
        <f t="shared" si="72"/>
        <v>0</v>
      </c>
      <c r="AS12" s="352"/>
      <c r="AT12" s="78">
        <f t="shared" si="73"/>
        <v>0</v>
      </c>
      <c r="AU12" s="534"/>
      <c r="AV12" s="78">
        <f t="shared" si="74"/>
        <v>0</v>
      </c>
      <c r="AW12" s="307"/>
      <c r="AX12" s="78">
        <f t="shared" si="75"/>
        <v>0</v>
      </c>
      <c r="AY12" s="303"/>
      <c r="AZ12" s="78">
        <f t="shared" si="76"/>
        <v>0</v>
      </c>
      <c r="BA12" s="303"/>
      <c r="BB12" s="78">
        <f t="shared" si="77"/>
        <v>0</v>
      </c>
      <c r="BC12" s="303"/>
      <c r="BD12" s="78">
        <f t="shared" si="78"/>
        <v>0</v>
      </c>
      <c r="BE12" s="495"/>
      <c r="BF12" s="71">
        <f t="shared" si="79"/>
        <v>0</v>
      </c>
      <c r="BG12" s="303"/>
      <c r="BH12" s="71">
        <f t="shared" si="80"/>
        <v>0</v>
      </c>
      <c r="BI12" s="303"/>
      <c r="BJ12" s="71">
        <f t="shared" si="81"/>
        <v>0</v>
      </c>
      <c r="BK12" s="303"/>
      <c r="BL12" s="71">
        <f t="shared" si="82"/>
        <v>0</v>
      </c>
      <c r="BM12" s="303"/>
      <c r="BN12" s="71">
        <f t="shared" si="83"/>
        <v>0</v>
      </c>
      <c r="BO12" s="303"/>
      <c r="BP12" s="71">
        <f t="shared" si="84"/>
        <v>0</v>
      </c>
      <c r="BQ12" s="303"/>
      <c r="BR12" s="71">
        <f t="shared" si="85"/>
        <v>0</v>
      </c>
      <c r="BS12" s="71">
        <f t="shared" si="86"/>
        <v>0</v>
      </c>
      <c r="BT12" s="71">
        <f t="shared" si="87"/>
        <v>0</v>
      </c>
      <c r="BU12" s="303"/>
      <c r="BV12" s="71">
        <f t="shared" si="88"/>
        <v>0</v>
      </c>
      <c r="BW12" s="303"/>
      <c r="BX12" s="71">
        <f t="shared" si="89"/>
        <v>0</v>
      </c>
      <c r="BY12" s="303"/>
      <c r="BZ12" s="71">
        <f t="shared" si="90"/>
        <v>0</v>
      </c>
      <c r="CA12" s="495"/>
      <c r="CB12" s="71">
        <f t="shared" si="91"/>
        <v>0</v>
      </c>
      <c r="CC12" s="75">
        <f t="shared" si="92"/>
        <v>0</v>
      </c>
      <c r="CD12" s="71">
        <f t="shared" si="93"/>
        <v>0</v>
      </c>
      <c r="CE12" s="72">
        <f t="shared" si="94"/>
        <v>0</v>
      </c>
      <c r="CF12" s="495"/>
      <c r="CG12" s="496">
        <f t="shared" si="95"/>
        <v>0</v>
      </c>
      <c r="CH12" s="309"/>
      <c r="CI12" s="726">
        <f t="shared" si="96"/>
        <v>0</v>
      </c>
      <c r="CJ12" s="306"/>
      <c r="CK12" s="71">
        <f t="shared" si="97"/>
        <v>0</v>
      </c>
      <c r="CL12" s="75">
        <f t="shared" si="98"/>
        <v>0</v>
      </c>
      <c r="CM12" s="535"/>
      <c r="CN12" s="564">
        <f t="shared" si="99"/>
        <v>0</v>
      </c>
      <c r="CO12" s="306"/>
      <c r="CP12" s="73">
        <f t="shared" si="100"/>
        <v>0</v>
      </c>
      <c r="CQ12" s="535"/>
      <c r="CR12" s="566">
        <f t="shared" si="101"/>
        <v>0</v>
      </c>
      <c r="CS12" s="565">
        <f t="shared" si="102"/>
        <v>0</v>
      </c>
      <c r="CT12" s="567" t="str">
        <f t="shared" si="103"/>
        <v>0</v>
      </c>
      <c r="CU12" s="303"/>
      <c r="CV12" s="306"/>
      <c r="CW12" s="71">
        <f t="shared" si="104"/>
        <v>0</v>
      </c>
      <c r="CX12" s="75">
        <f t="shared" si="105"/>
        <v>0</v>
      </c>
      <c r="CY12" s="693"/>
      <c r="CZ12" s="71">
        <f t="shared" si="106"/>
        <v>0</v>
      </c>
      <c r="DA12" s="75">
        <f t="shared" si="107"/>
        <v>0</v>
      </c>
      <c r="DB12" s="306"/>
      <c r="DC12" s="71">
        <f t="shared" si="108"/>
        <v>0</v>
      </c>
      <c r="DD12" s="75">
        <f t="shared" si="109"/>
        <v>0</v>
      </c>
      <c r="DE12" s="306"/>
      <c r="DF12" s="71">
        <f t="shared" si="110"/>
        <v>0</v>
      </c>
      <c r="DG12" s="75">
        <f t="shared" si="111"/>
        <v>0</v>
      </c>
      <c r="DH12" s="303"/>
      <c r="DI12" s="71">
        <f t="shared" si="112"/>
        <v>0</v>
      </c>
      <c r="DJ12" s="75">
        <f t="shared" si="113"/>
        <v>0</v>
      </c>
      <c r="DK12" s="306"/>
      <c r="DL12" s="71">
        <f t="shared" si="114"/>
        <v>0</v>
      </c>
      <c r="DM12" s="75">
        <f t="shared" si="115"/>
        <v>0</v>
      </c>
      <c r="DN12" s="306"/>
      <c r="DO12" s="71">
        <f t="shared" si="116"/>
        <v>0</v>
      </c>
      <c r="DP12" s="75">
        <f t="shared" si="117"/>
        <v>0</v>
      </c>
      <c r="DQ12" s="306"/>
      <c r="DR12" s="71">
        <f t="shared" si="118"/>
        <v>0</v>
      </c>
      <c r="DS12" s="75">
        <f t="shared" si="119"/>
        <v>0</v>
      </c>
      <c r="DT12" s="306"/>
      <c r="DU12" s="71">
        <f t="shared" si="120"/>
        <v>0</v>
      </c>
      <c r="DV12" s="75">
        <f t="shared" si="121"/>
        <v>0</v>
      </c>
      <c r="DW12" s="306"/>
      <c r="DX12" s="71">
        <f t="shared" si="122"/>
        <v>0</v>
      </c>
      <c r="DY12" s="75">
        <f t="shared" si="123"/>
        <v>0</v>
      </c>
      <c r="DZ12" s="306"/>
      <c r="EA12" s="71">
        <f t="shared" si="124"/>
        <v>0</v>
      </c>
      <c r="EB12" s="75">
        <f t="shared" si="125"/>
        <v>0</v>
      </c>
      <c r="EC12" s="306"/>
      <c r="ED12" s="71">
        <f t="shared" si="126"/>
        <v>0</v>
      </c>
      <c r="EE12" s="75">
        <f t="shared" si="127"/>
        <v>0</v>
      </c>
      <c r="EF12" s="309"/>
      <c r="EG12" s="75">
        <f t="shared" si="128"/>
        <v>0</v>
      </c>
      <c r="EH12" s="309"/>
      <c r="EI12" s="75">
        <f t="shared" si="129"/>
        <v>0</v>
      </c>
      <c r="EJ12" s="310"/>
      <c r="EK12" s="75">
        <f t="shared" si="130"/>
        <v>0</v>
      </c>
      <c r="EL12" s="495"/>
      <c r="EM12" s="75">
        <f t="shared" si="131"/>
        <v>0</v>
      </c>
      <c r="EN12" s="310"/>
      <c r="EO12" s="346"/>
      <c r="EP12" s="491"/>
      <c r="EQ12" s="347"/>
      <c r="ER12" s="334"/>
      <c r="ES12" s="537"/>
      <c r="ET12" s="536"/>
      <c r="EU12" s="536"/>
      <c r="EV12" s="536"/>
    </row>
    <row r="13" spans="1:152" s="76" customFormat="1" ht="15">
      <c r="A13" s="68">
        <v>44783</v>
      </c>
      <c r="B13" s="304"/>
      <c r="C13" s="70">
        <f t="shared" si="55"/>
        <v>0</v>
      </c>
      <c r="D13" s="305"/>
      <c r="E13" s="70">
        <f t="shared" si="56"/>
        <v>0</v>
      </c>
      <c r="F13" s="721" t="e">
        <f t="shared" si="57"/>
        <v>#DIV/0!</v>
      </c>
      <c r="G13" s="305"/>
      <c r="H13" s="305"/>
      <c r="I13" s="305"/>
      <c r="J13" s="78">
        <f t="shared" ref="J13" si="155">IF((I13-I12)&lt;0,"0",(I13-I12))</f>
        <v>0</v>
      </c>
      <c r="K13" s="307"/>
      <c r="L13" s="78">
        <f t="shared" ref="L13" si="156">IF((K13-K12)&lt;0,"0",(K13-K12))</f>
        <v>0</v>
      </c>
      <c r="M13" s="303"/>
      <c r="N13" s="78">
        <f t="shared" ref="N13" si="157">IF((M13-M12)&lt;0,"0",(M13-M12))</f>
        <v>0</v>
      </c>
      <c r="O13" s="303"/>
      <c r="P13" s="78">
        <f t="shared" ref="P13" si="158">IF((O13-O12)&lt;0,"0",(O13-O12))</f>
        <v>0</v>
      </c>
      <c r="Q13" s="303"/>
      <c r="R13" s="78">
        <f t="shared" si="144"/>
        <v>0</v>
      </c>
      <c r="S13" s="303"/>
      <c r="T13" s="78">
        <f t="shared" si="62"/>
        <v>0</v>
      </c>
      <c r="U13" s="303"/>
      <c r="V13" s="78">
        <f t="shared" si="63"/>
        <v>0</v>
      </c>
      <c r="W13" s="303"/>
      <c r="X13" s="78">
        <f t="shared" si="64"/>
        <v>0</v>
      </c>
      <c r="Y13" s="303"/>
      <c r="Z13" s="78">
        <f t="shared" si="65"/>
        <v>0</v>
      </c>
      <c r="AA13" s="538"/>
      <c r="AB13" s="718"/>
      <c r="AC13" s="308">
        <f>AB13*400</f>
        <v>0</v>
      </c>
      <c r="AD13" s="307"/>
      <c r="AE13" s="303"/>
      <c r="AF13" s="78">
        <f t="shared" si="5"/>
        <v>0</v>
      </c>
      <c r="AG13" s="495"/>
      <c r="AH13" s="71">
        <f t="shared" si="67"/>
        <v>0</v>
      </c>
      <c r="AI13" s="303"/>
      <c r="AJ13" s="563">
        <f t="shared" si="68"/>
        <v>0</v>
      </c>
      <c r="AK13" s="303"/>
      <c r="AL13" s="563">
        <f t="shared" si="69"/>
        <v>0</v>
      </c>
      <c r="AM13" s="69"/>
      <c r="AN13" s="563">
        <f t="shared" si="70"/>
        <v>0</v>
      </c>
      <c r="AO13" s="69"/>
      <c r="AP13" s="563">
        <f t="shared" si="71"/>
        <v>0</v>
      </c>
      <c r="AQ13" s="303"/>
      <c r="AR13" s="78">
        <f t="shared" si="72"/>
        <v>0</v>
      </c>
      <c r="AS13" s="352"/>
      <c r="AT13" s="78">
        <f t="shared" si="73"/>
        <v>0</v>
      </c>
      <c r="AU13" s="534"/>
      <c r="AV13" s="78">
        <f t="shared" si="74"/>
        <v>0</v>
      </c>
      <c r="AW13" s="307"/>
      <c r="AX13" s="78">
        <f t="shared" si="75"/>
        <v>0</v>
      </c>
      <c r="AY13" s="303"/>
      <c r="AZ13" s="78">
        <f t="shared" si="76"/>
        <v>0</v>
      </c>
      <c r="BA13" s="303"/>
      <c r="BB13" s="78">
        <f t="shared" si="77"/>
        <v>0</v>
      </c>
      <c r="BC13" s="303"/>
      <c r="BD13" s="78">
        <f t="shared" si="78"/>
        <v>0</v>
      </c>
      <c r="BE13" s="495"/>
      <c r="BF13" s="71">
        <f t="shared" si="79"/>
        <v>0</v>
      </c>
      <c r="BG13" s="303"/>
      <c r="BH13" s="71">
        <f t="shared" si="80"/>
        <v>0</v>
      </c>
      <c r="BI13" s="303"/>
      <c r="BJ13" s="71">
        <f t="shared" si="81"/>
        <v>0</v>
      </c>
      <c r="BK13" s="303"/>
      <c r="BL13" s="71">
        <f t="shared" si="82"/>
        <v>0</v>
      </c>
      <c r="BM13" s="303"/>
      <c r="BN13" s="71">
        <f t="shared" si="83"/>
        <v>0</v>
      </c>
      <c r="BO13" s="303"/>
      <c r="BP13" s="71">
        <f t="shared" si="84"/>
        <v>0</v>
      </c>
      <c r="BQ13" s="303"/>
      <c r="BR13" s="71">
        <f t="shared" si="85"/>
        <v>0</v>
      </c>
      <c r="BS13" s="71">
        <f t="shared" si="86"/>
        <v>0</v>
      </c>
      <c r="BT13" s="71">
        <f>AR13-BS13</f>
        <v>0</v>
      </c>
      <c r="BU13" s="303"/>
      <c r="BV13" s="71">
        <f t="shared" si="88"/>
        <v>0</v>
      </c>
      <c r="BW13" s="303"/>
      <c r="BX13" s="71">
        <f t="shared" si="89"/>
        <v>0</v>
      </c>
      <c r="BY13" s="303"/>
      <c r="BZ13" s="71">
        <f t="shared" si="90"/>
        <v>0</v>
      </c>
      <c r="CA13" s="495"/>
      <c r="CB13" s="71">
        <f t="shared" si="91"/>
        <v>0</v>
      </c>
      <c r="CC13" s="75">
        <f t="shared" si="92"/>
        <v>0</v>
      </c>
      <c r="CD13" s="71">
        <f t="shared" si="93"/>
        <v>0</v>
      </c>
      <c r="CE13" s="72">
        <f t="shared" si="94"/>
        <v>0</v>
      </c>
      <c r="CF13" s="495"/>
      <c r="CG13" s="496">
        <f t="shared" si="95"/>
        <v>0</v>
      </c>
      <c r="CH13" s="309"/>
      <c r="CI13" s="726">
        <f t="shared" si="96"/>
        <v>0</v>
      </c>
      <c r="CJ13" s="306"/>
      <c r="CK13" s="71">
        <f t="shared" si="97"/>
        <v>0</v>
      </c>
      <c r="CL13" s="75">
        <f t="shared" si="98"/>
        <v>0</v>
      </c>
      <c r="CM13" s="535"/>
      <c r="CN13" s="564">
        <f t="shared" si="99"/>
        <v>0</v>
      </c>
      <c r="CO13" s="306"/>
      <c r="CP13" s="73">
        <f t="shared" si="100"/>
        <v>0</v>
      </c>
      <c r="CQ13" s="535"/>
      <c r="CR13" s="566">
        <f t="shared" si="101"/>
        <v>0</v>
      </c>
      <c r="CS13" s="565">
        <f t="shared" si="102"/>
        <v>0</v>
      </c>
      <c r="CT13" s="567" t="str">
        <f t="shared" si="103"/>
        <v>0</v>
      </c>
      <c r="CU13" s="303"/>
      <c r="CV13" s="306"/>
      <c r="CW13" s="71">
        <f t="shared" si="104"/>
        <v>0</v>
      </c>
      <c r="CX13" s="75">
        <f t="shared" si="105"/>
        <v>0</v>
      </c>
      <c r="CY13" s="693"/>
      <c r="CZ13" s="71">
        <f t="shared" si="106"/>
        <v>0</v>
      </c>
      <c r="DA13" s="75">
        <f t="shared" si="107"/>
        <v>0</v>
      </c>
      <c r="DB13" s="306"/>
      <c r="DC13" s="71">
        <f t="shared" si="108"/>
        <v>0</v>
      </c>
      <c r="DD13" s="75">
        <f t="shared" si="109"/>
        <v>0</v>
      </c>
      <c r="DE13" s="306"/>
      <c r="DF13" s="71">
        <f t="shared" si="110"/>
        <v>0</v>
      </c>
      <c r="DG13" s="75">
        <f t="shared" si="111"/>
        <v>0</v>
      </c>
      <c r="DH13" s="303"/>
      <c r="DI13" s="71">
        <f t="shared" si="112"/>
        <v>0</v>
      </c>
      <c r="DJ13" s="75">
        <f t="shared" si="113"/>
        <v>0</v>
      </c>
      <c r="DK13" s="306"/>
      <c r="DL13" s="71">
        <f t="shared" si="114"/>
        <v>0</v>
      </c>
      <c r="DM13" s="75">
        <f t="shared" si="115"/>
        <v>0</v>
      </c>
      <c r="DN13" s="306"/>
      <c r="DO13" s="71">
        <f t="shared" si="116"/>
        <v>0</v>
      </c>
      <c r="DP13" s="75">
        <f t="shared" si="117"/>
        <v>0</v>
      </c>
      <c r="DQ13" s="306"/>
      <c r="DR13" s="71">
        <f>IF((DQ13-DQ12)&lt;0,"0",(DQ13-DQ12))</f>
        <v>0</v>
      </c>
      <c r="DS13" s="75">
        <f t="shared" si="119"/>
        <v>0</v>
      </c>
      <c r="DT13" s="306"/>
      <c r="DU13" s="71">
        <f t="shared" si="120"/>
        <v>0</v>
      </c>
      <c r="DV13" s="75">
        <f t="shared" si="121"/>
        <v>0</v>
      </c>
      <c r="DW13" s="306"/>
      <c r="DX13" s="71">
        <f t="shared" si="122"/>
        <v>0</v>
      </c>
      <c r="DY13" s="75">
        <f t="shared" si="123"/>
        <v>0</v>
      </c>
      <c r="DZ13" s="306"/>
      <c r="EA13" s="71">
        <f t="shared" si="124"/>
        <v>0</v>
      </c>
      <c r="EB13" s="75">
        <f t="shared" si="125"/>
        <v>0</v>
      </c>
      <c r="EC13" s="306"/>
      <c r="ED13" s="71">
        <f t="shared" si="126"/>
        <v>0</v>
      </c>
      <c r="EE13" s="75">
        <f t="shared" si="127"/>
        <v>0</v>
      </c>
      <c r="EF13" s="309"/>
      <c r="EG13" s="75">
        <f t="shared" si="128"/>
        <v>0</v>
      </c>
      <c r="EH13" s="309"/>
      <c r="EI13" s="75">
        <f t="shared" si="129"/>
        <v>0</v>
      </c>
      <c r="EJ13" s="310"/>
      <c r="EK13" s="75">
        <f t="shared" si="130"/>
        <v>0</v>
      </c>
      <c r="EL13" s="495"/>
      <c r="EM13" s="75">
        <f t="shared" si="131"/>
        <v>0</v>
      </c>
      <c r="EN13" s="310"/>
      <c r="EO13" s="346"/>
      <c r="EP13" s="491"/>
      <c r="EQ13" s="347"/>
      <c r="ER13" s="334"/>
      <c r="ES13" s="537"/>
      <c r="ET13" s="536"/>
      <c r="EU13" s="536"/>
      <c r="EV13" s="536"/>
    </row>
    <row r="14" spans="1:152" s="76" customFormat="1" ht="15">
      <c r="A14" s="68">
        <v>44784</v>
      </c>
      <c r="B14" s="304"/>
      <c r="C14" s="70">
        <f>IF((B14-B13)&lt;0,"0",(B14-B13))</f>
        <v>0</v>
      </c>
      <c r="D14" s="305"/>
      <c r="E14" s="70">
        <f t="shared" si="56"/>
        <v>0</v>
      </c>
      <c r="F14" s="721" t="e">
        <f>E14/C14</f>
        <v>#DIV/0!</v>
      </c>
      <c r="G14" s="305"/>
      <c r="H14" s="305"/>
      <c r="I14" s="305"/>
      <c r="J14" s="78">
        <f t="shared" ref="J14" si="159">IF((I14-I13)&lt;0,"0",(I14-I13))</f>
        <v>0</v>
      </c>
      <c r="K14" s="307"/>
      <c r="L14" s="78">
        <f t="shared" ref="L14" si="160">IF((K14-K13)&lt;0,"0",(K14-K13))</f>
        <v>0</v>
      </c>
      <c r="M14" s="303"/>
      <c r="N14" s="78">
        <f t="shared" ref="N14" si="161">IF((M14-M13)&lt;0,"0",(M14-M13))</f>
        <v>0</v>
      </c>
      <c r="O14" s="303"/>
      <c r="P14" s="78">
        <f t="shared" ref="P14" si="162">IF((O14-O13)&lt;0,"0",(O14-O13))</f>
        <v>0</v>
      </c>
      <c r="Q14" s="303"/>
      <c r="R14" s="78">
        <f t="shared" si="144"/>
        <v>0</v>
      </c>
      <c r="S14" s="303"/>
      <c r="T14" s="78">
        <f t="shared" si="62"/>
        <v>0</v>
      </c>
      <c r="U14" s="303"/>
      <c r="V14" s="78">
        <f t="shared" si="63"/>
        <v>0</v>
      </c>
      <c r="W14" s="303"/>
      <c r="X14" s="78">
        <f t="shared" si="64"/>
        <v>0</v>
      </c>
      <c r="Y14" s="303"/>
      <c r="Z14" s="78">
        <f t="shared" si="65"/>
        <v>0</v>
      </c>
      <c r="AA14" s="538"/>
      <c r="AB14" s="718"/>
      <c r="AC14" s="308">
        <f t="shared" ref="AC14:AC15" si="163">AB14*400</f>
        <v>0</v>
      </c>
      <c r="AD14" s="307"/>
      <c r="AE14" s="303"/>
      <c r="AF14" s="78">
        <f t="shared" si="5"/>
        <v>0</v>
      </c>
      <c r="AG14" s="495"/>
      <c r="AH14" s="71">
        <f t="shared" si="67"/>
        <v>0</v>
      </c>
      <c r="AI14" s="303"/>
      <c r="AJ14" s="563">
        <f t="shared" si="68"/>
        <v>0</v>
      </c>
      <c r="AK14" s="303"/>
      <c r="AL14" s="563">
        <f t="shared" ref="AL14:AL15" si="164">IF((AK14-AK13)&lt;0,"0",(AK14-AK13))</f>
        <v>0</v>
      </c>
      <c r="AM14" s="69"/>
      <c r="AN14" s="563">
        <f t="shared" ref="AN14:AN15" si="165">IF((AM14-AM13)&lt;0,"0",(AM14-AM13))</f>
        <v>0</v>
      </c>
      <c r="AO14" s="69"/>
      <c r="AP14" s="563">
        <f t="shared" ref="AP14:AP15" si="166">IF((AO14-AO13)&lt;0,"0",(AO14-AO13))</f>
        <v>0</v>
      </c>
      <c r="AQ14" s="303"/>
      <c r="AR14" s="78">
        <f t="shared" si="72"/>
        <v>0</v>
      </c>
      <c r="AS14" s="352"/>
      <c r="AT14" s="78">
        <f t="shared" si="73"/>
        <v>0</v>
      </c>
      <c r="AU14" s="534"/>
      <c r="AV14" s="78">
        <f t="shared" si="74"/>
        <v>0</v>
      </c>
      <c r="AW14" s="307"/>
      <c r="AX14" s="78">
        <f t="shared" si="75"/>
        <v>0</v>
      </c>
      <c r="AY14" s="303"/>
      <c r="AZ14" s="78">
        <f t="shared" si="76"/>
        <v>0</v>
      </c>
      <c r="BA14" s="303"/>
      <c r="BB14" s="78">
        <f t="shared" si="77"/>
        <v>0</v>
      </c>
      <c r="BC14" s="303"/>
      <c r="BD14" s="78">
        <f t="shared" si="78"/>
        <v>0</v>
      </c>
      <c r="BE14" s="495"/>
      <c r="BF14" s="71">
        <f t="shared" si="79"/>
        <v>0</v>
      </c>
      <c r="BG14" s="303"/>
      <c r="BH14" s="71">
        <f t="shared" si="80"/>
        <v>0</v>
      </c>
      <c r="BI14" s="303"/>
      <c r="BJ14" s="71">
        <f t="shared" si="81"/>
        <v>0</v>
      </c>
      <c r="BK14" s="303"/>
      <c r="BL14" s="71">
        <f t="shared" si="82"/>
        <v>0</v>
      </c>
      <c r="BM14" s="303"/>
      <c r="BN14" s="71">
        <f t="shared" si="83"/>
        <v>0</v>
      </c>
      <c r="BO14" s="303"/>
      <c r="BP14" s="71">
        <f t="shared" si="84"/>
        <v>0</v>
      </c>
      <c r="BQ14" s="303"/>
      <c r="BR14" s="71">
        <f t="shared" ref="BR14:BR18" si="167">IF((BQ14-BQ13)&lt;0,"0",(BQ14-BQ13))</f>
        <v>0</v>
      </c>
      <c r="BS14" s="71">
        <f t="shared" ref="BS14:BS18" si="168">BH14+BF14+BB14</f>
        <v>0</v>
      </c>
      <c r="BT14" s="71">
        <f t="shared" ref="BT14:BT18" si="169">AR14-BS14</f>
        <v>0</v>
      </c>
      <c r="BU14" s="303"/>
      <c r="BV14" s="71">
        <f t="shared" si="88"/>
        <v>0</v>
      </c>
      <c r="BW14" s="303"/>
      <c r="BX14" s="71">
        <f t="shared" si="89"/>
        <v>0</v>
      </c>
      <c r="BY14" s="303"/>
      <c r="BZ14" s="71">
        <f t="shared" si="90"/>
        <v>0</v>
      </c>
      <c r="CA14" s="495"/>
      <c r="CB14" s="71">
        <f t="shared" ref="CB14:CB15" si="170">IF((CA14-CA13)&lt;0,"0",(CA14-CA13))</f>
        <v>0</v>
      </c>
      <c r="CC14" s="75">
        <f t="shared" si="92"/>
        <v>0</v>
      </c>
      <c r="CD14" s="71">
        <f t="shared" ref="CD14:CD15" si="171">SUM(BV14, BZ14)</f>
        <v>0</v>
      </c>
      <c r="CE14" s="72">
        <f t="shared" ref="CE14:CE15" si="172" xml:space="preserve"> SUM(AV14,AX14,AZ14,BB14,BD14,BF14,BH14,BJ14,BN14)</f>
        <v>0</v>
      </c>
      <c r="CF14" s="495"/>
      <c r="CG14" s="496">
        <f t="shared" si="95"/>
        <v>0</v>
      </c>
      <c r="CH14" s="309"/>
      <c r="CI14" s="726">
        <f t="shared" ref="CI14:CI21" si="173">CG13-CG14+CH14</f>
        <v>0</v>
      </c>
      <c r="CJ14" s="306"/>
      <c r="CK14" s="71">
        <f t="shared" ref="CK14:CK21" si="174">IF((CJ14-CJ13)&lt;0,"0",(CJ14-CJ13))</f>
        <v>0</v>
      </c>
      <c r="CL14" s="75">
        <f t="shared" ref="CL14:CL21" si="175">CK14*5.71</f>
        <v>0</v>
      </c>
      <c r="CM14" s="535"/>
      <c r="CN14" s="564">
        <f t="shared" si="99"/>
        <v>0</v>
      </c>
      <c r="CO14" s="306"/>
      <c r="CP14" s="73">
        <f t="shared" si="100"/>
        <v>0</v>
      </c>
      <c r="CQ14" s="535"/>
      <c r="CR14" s="566">
        <f t="shared" ref="CR14" si="176">(CQ14*10775)/100</f>
        <v>0</v>
      </c>
      <c r="CS14" s="565">
        <f t="shared" ref="CS14" si="177">CN14+CP14+CR14</f>
        <v>0</v>
      </c>
      <c r="CT14" s="567" t="str">
        <f t="shared" ref="CT14" si="178">IF((CS13-CS14+CU13)=CS13,"0",(CS13-CS14+CU13))</f>
        <v>0</v>
      </c>
      <c r="CU14" s="303"/>
      <c r="CV14" s="306"/>
      <c r="CW14" s="71">
        <f t="shared" ref="CW14:CW15" si="179">IF((CV14-CV13)&lt;0,"0",(CV14-CV13))</f>
        <v>0</v>
      </c>
      <c r="CX14" s="75">
        <f t="shared" ref="CX14:CX15" si="180">CW14*5.71</f>
        <v>0</v>
      </c>
      <c r="CY14" s="693"/>
      <c r="CZ14" s="71">
        <f t="shared" ref="CZ14:CZ15" si="181">IF((CY14-CY13)&lt;0,"0",(CY14-CY13))</f>
        <v>0</v>
      </c>
      <c r="DA14" s="75">
        <f t="shared" ref="DA14:DA15" si="182">CZ14*5.71</f>
        <v>0</v>
      </c>
      <c r="DB14" s="306"/>
      <c r="DC14" s="71">
        <f t="shared" ref="DC14:DC15" si="183">IF((DB14-DB13)&lt;0,"0",(DB14-DB13))</f>
        <v>0</v>
      </c>
      <c r="DD14" s="75">
        <f t="shared" ref="DD14:DD15" si="184">DC14*5.71</f>
        <v>0</v>
      </c>
      <c r="DE14" s="306"/>
      <c r="DF14" s="71">
        <f t="shared" ref="DF14" si="185">IF((DE14-DE13)&lt;0,"0",(DE14-DE13))</f>
        <v>0</v>
      </c>
      <c r="DG14" s="75">
        <f t="shared" ref="DG14" si="186">DF14*5.71</f>
        <v>0</v>
      </c>
      <c r="DH14" s="303"/>
      <c r="DI14" s="71">
        <f t="shared" ref="DI14" si="187">IF((DH14-DH13)&lt;0,"0",(DH14-DH13))</f>
        <v>0</v>
      </c>
      <c r="DJ14" s="75">
        <f t="shared" ref="DJ14" si="188">DI14*5.71</f>
        <v>0</v>
      </c>
      <c r="DK14" s="306"/>
      <c r="DL14" s="71">
        <f t="shared" ref="DL14:DL15" si="189">IF((DK14-DK13)&lt;0,"0",(DK14-DK13))</f>
        <v>0</v>
      </c>
      <c r="DM14" s="75">
        <f t="shared" ref="DM14:DM15" si="190">DL14*5.71</f>
        <v>0</v>
      </c>
      <c r="DN14" s="306"/>
      <c r="DO14" s="71">
        <f t="shared" ref="DO14:DO15" si="191">IF((DN14-DN13)&lt;0,"0",(DN14-DN13))</f>
        <v>0</v>
      </c>
      <c r="DP14" s="75">
        <f t="shared" ref="DP14:DP15" si="192">DO14*5.71</f>
        <v>0</v>
      </c>
      <c r="DQ14" s="306"/>
      <c r="DR14" s="71">
        <f>IF((DQ14-DQ13)&lt;0,"0",(DQ14-DQ13))</f>
        <v>0</v>
      </c>
      <c r="DS14" s="75">
        <f t="shared" ref="DS14" si="193">DR14*5.71</f>
        <v>0</v>
      </c>
      <c r="DT14" s="306"/>
      <c r="DU14" s="71">
        <f t="shared" ref="DU14" si="194">IF((DT14-DT13)&lt;0,"0",(DT14-DT13))</f>
        <v>0</v>
      </c>
      <c r="DV14" s="75">
        <f t="shared" ref="DV14" si="195">DU14*5.71</f>
        <v>0</v>
      </c>
      <c r="DW14" s="306"/>
      <c r="DX14" s="71">
        <f t="shared" ref="DX14" si="196">IF((DW14-DW13)&lt;0,"0",(DW14-DW13))</f>
        <v>0</v>
      </c>
      <c r="DY14" s="75">
        <f t="shared" ref="DY14" si="197">DX14*5.71</f>
        <v>0</v>
      </c>
      <c r="DZ14" s="306"/>
      <c r="EA14" s="71">
        <f t="shared" ref="EA14" si="198">IF((DZ14-DZ13)&lt;0,"0",(DZ14-DZ13))</f>
        <v>0</v>
      </c>
      <c r="EB14" s="75">
        <f t="shared" ref="EB14" si="199">EA14*5.71</f>
        <v>0</v>
      </c>
      <c r="EC14" s="306"/>
      <c r="ED14" s="71">
        <f t="shared" ref="ED14" si="200">IF((EC14-EC13)&lt;0,"0",(EC14-EC13))</f>
        <v>0</v>
      </c>
      <c r="EE14" s="75">
        <f t="shared" ref="EE14" si="201">ED14*5.71</f>
        <v>0</v>
      </c>
      <c r="EF14" s="309"/>
      <c r="EG14" s="75"/>
      <c r="EH14" s="309"/>
      <c r="EI14" s="75"/>
      <c r="EJ14" s="310"/>
      <c r="EK14" s="75"/>
      <c r="EL14" s="495"/>
      <c r="EM14" s="75"/>
      <c r="EN14" s="310"/>
      <c r="EO14" s="346"/>
      <c r="EP14" s="491"/>
      <c r="EQ14" s="347"/>
      <c r="ER14" s="334"/>
      <c r="ES14" s="537"/>
      <c r="ET14" s="536"/>
      <c r="EU14" s="536"/>
      <c r="EV14" s="536"/>
    </row>
    <row r="15" spans="1:152" s="76" customFormat="1" ht="15">
      <c r="A15" s="68">
        <v>44785</v>
      </c>
      <c r="B15" s="304"/>
      <c r="C15" s="70">
        <f>IF((B15-B14)&lt;0,"0",(B15-B14))</f>
        <v>0</v>
      </c>
      <c r="D15" s="305"/>
      <c r="E15" s="70">
        <f>IF((D15-D14)&lt;0,"0",(D15-D14))</f>
        <v>0</v>
      </c>
      <c r="F15" s="721" t="e">
        <f>E15/C15</f>
        <v>#DIV/0!</v>
      </c>
      <c r="G15" s="305"/>
      <c r="H15" s="305"/>
      <c r="I15" s="305"/>
      <c r="J15" s="78">
        <f t="shared" ref="J15" si="202">IF((I15-I14)&lt;0,"0",(I15-I14))</f>
        <v>0</v>
      </c>
      <c r="K15" s="307"/>
      <c r="L15" s="78">
        <f t="shared" ref="L15" si="203">IF((K15-K14)&lt;0,"0",(K15-K14))</f>
        <v>0</v>
      </c>
      <c r="M15" s="303"/>
      <c r="N15" s="78">
        <f t="shared" ref="N15" si="204">IF((M15-M14)&lt;0,"0",(M15-M14))</f>
        <v>0</v>
      </c>
      <c r="O15" s="303"/>
      <c r="P15" s="78">
        <f t="shared" ref="P15" si="205">IF((O15-O14)&lt;0,"0",(O15-O14))</f>
        <v>0</v>
      </c>
      <c r="Q15" s="303"/>
      <c r="R15" s="78">
        <f t="shared" si="144"/>
        <v>0</v>
      </c>
      <c r="S15" s="303"/>
      <c r="T15" s="78">
        <f t="shared" si="62"/>
        <v>0</v>
      </c>
      <c r="U15" s="303"/>
      <c r="V15" s="78">
        <f t="shared" si="63"/>
        <v>0</v>
      </c>
      <c r="W15" s="303"/>
      <c r="X15" s="78">
        <f t="shared" si="64"/>
        <v>0</v>
      </c>
      <c r="Y15" s="303"/>
      <c r="Z15" s="78">
        <f t="shared" si="65"/>
        <v>0</v>
      </c>
      <c r="AA15" s="538"/>
      <c r="AB15" s="718"/>
      <c r="AC15" s="308">
        <f t="shared" si="163"/>
        <v>0</v>
      </c>
      <c r="AD15" s="307"/>
      <c r="AE15" s="303"/>
      <c r="AF15" s="78">
        <f t="shared" si="5"/>
        <v>0</v>
      </c>
      <c r="AG15" s="495"/>
      <c r="AH15" s="71">
        <f t="shared" si="67"/>
        <v>0</v>
      </c>
      <c r="AI15" s="303"/>
      <c r="AJ15" s="563">
        <f t="shared" si="68"/>
        <v>0</v>
      </c>
      <c r="AK15" s="303"/>
      <c r="AL15" s="563">
        <f t="shared" si="164"/>
        <v>0</v>
      </c>
      <c r="AM15" s="69"/>
      <c r="AN15" s="563">
        <f t="shared" si="165"/>
        <v>0</v>
      </c>
      <c r="AO15" s="69"/>
      <c r="AP15" s="563">
        <f t="shared" si="166"/>
        <v>0</v>
      </c>
      <c r="AQ15" s="303"/>
      <c r="AR15" s="78">
        <f t="shared" si="72"/>
        <v>0</v>
      </c>
      <c r="AS15" s="352"/>
      <c r="AT15" s="78">
        <f t="shared" si="73"/>
        <v>0</v>
      </c>
      <c r="AU15" s="534"/>
      <c r="AV15" s="78">
        <f t="shared" si="74"/>
        <v>0</v>
      </c>
      <c r="AW15" s="307"/>
      <c r="AX15" s="78">
        <f t="shared" si="75"/>
        <v>0</v>
      </c>
      <c r="AY15" s="303"/>
      <c r="AZ15" s="78">
        <f t="shared" si="76"/>
        <v>0</v>
      </c>
      <c r="BA15" s="303"/>
      <c r="BB15" s="78">
        <f t="shared" si="77"/>
        <v>0</v>
      </c>
      <c r="BC15" s="303"/>
      <c r="BD15" s="78">
        <f t="shared" si="78"/>
        <v>0</v>
      </c>
      <c r="BE15" s="495"/>
      <c r="BF15" s="71">
        <f t="shared" si="79"/>
        <v>0</v>
      </c>
      <c r="BG15" s="303"/>
      <c r="BH15" s="71">
        <f t="shared" si="80"/>
        <v>0</v>
      </c>
      <c r="BI15" s="303"/>
      <c r="BJ15" s="71">
        <f t="shared" si="81"/>
        <v>0</v>
      </c>
      <c r="BK15" s="303"/>
      <c r="BL15" s="71">
        <f t="shared" si="82"/>
        <v>0</v>
      </c>
      <c r="BM15" s="303"/>
      <c r="BN15" s="71">
        <f t="shared" si="83"/>
        <v>0</v>
      </c>
      <c r="BO15" s="303"/>
      <c r="BP15" s="71">
        <f t="shared" si="84"/>
        <v>0</v>
      </c>
      <c r="BQ15" s="303"/>
      <c r="BR15" s="71">
        <f t="shared" si="167"/>
        <v>0</v>
      </c>
      <c r="BS15" s="71">
        <f t="shared" si="168"/>
        <v>0</v>
      </c>
      <c r="BT15" s="71">
        <f t="shared" si="169"/>
        <v>0</v>
      </c>
      <c r="BU15" s="303"/>
      <c r="BV15" s="71">
        <f t="shared" si="88"/>
        <v>0</v>
      </c>
      <c r="BW15" s="303"/>
      <c r="BX15" s="71">
        <f t="shared" si="89"/>
        <v>0</v>
      </c>
      <c r="BY15" s="303"/>
      <c r="BZ15" s="71">
        <f t="shared" si="90"/>
        <v>0</v>
      </c>
      <c r="CA15" s="495"/>
      <c r="CB15" s="71">
        <f t="shared" si="170"/>
        <v>0</v>
      </c>
      <c r="CC15" s="75">
        <f t="shared" si="92"/>
        <v>0</v>
      </c>
      <c r="CD15" s="71">
        <f t="shared" si="171"/>
        <v>0</v>
      </c>
      <c r="CE15" s="72">
        <f t="shared" si="172"/>
        <v>0</v>
      </c>
      <c r="CF15" s="495"/>
      <c r="CG15" s="496">
        <f t="shared" si="95"/>
        <v>0</v>
      </c>
      <c r="CH15" s="309"/>
      <c r="CI15" s="726">
        <f t="shared" si="173"/>
        <v>0</v>
      </c>
      <c r="CJ15" s="306"/>
      <c r="CK15" s="71">
        <f t="shared" si="174"/>
        <v>0</v>
      </c>
      <c r="CL15" s="75">
        <f t="shared" si="175"/>
        <v>0</v>
      </c>
      <c r="CM15" s="535"/>
      <c r="CN15" s="564">
        <f t="shared" si="99"/>
        <v>0</v>
      </c>
      <c r="CO15" s="306"/>
      <c r="CP15" s="73">
        <f t="shared" si="100"/>
        <v>0</v>
      </c>
      <c r="CQ15" s="535"/>
      <c r="CR15" s="566">
        <f t="shared" si="101"/>
        <v>0</v>
      </c>
      <c r="CS15" s="565">
        <f t="shared" si="102"/>
        <v>0</v>
      </c>
      <c r="CT15" s="567" t="str">
        <f t="shared" si="103"/>
        <v>0</v>
      </c>
      <c r="CU15" s="303"/>
      <c r="CV15" s="306"/>
      <c r="CW15" s="71">
        <f t="shared" si="179"/>
        <v>0</v>
      </c>
      <c r="CX15" s="75">
        <f t="shared" si="180"/>
        <v>0</v>
      </c>
      <c r="CY15" s="693"/>
      <c r="CZ15" s="71">
        <f t="shared" si="181"/>
        <v>0</v>
      </c>
      <c r="DA15" s="75">
        <f t="shared" si="182"/>
        <v>0</v>
      </c>
      <c r="DB15" s="306"/>
      <c r="DC15" s="71">
        <f t="shared" si="183"/>
        <v>0</v>
      </c>
      <c r="DD15" s="75">
        <f t="shared" si="184"/>
        <v>0</v>
      </c>
      <c r="DE15" s="306"/>
      <c r="DF15" s="71">
        <f t="shared" si="110"/>
        <v>0</v>
      </c>
      <c r="DG15" s="75">
        <f t="shared" si="111"/>
        <v>0</v>
      </c>
      <c r="DH15" s="303"/>
      <c r="DI15" s="71">
        <f t="shared" si="112"/>
        <v>0</v>
      </c>
      <c r="DJ15" s="75">
        <f t="shared" si="113"/>
        <v>0</v>
      </c>
      <c r="DK15" s="306"/>
      <c r="DL15" s="71">
        <f t="shared" si="189"/>
        <v>0</v>
      </c>
      <c r="DM15" s="75">
        <f t="shared" si="190"/>
        <v>0</v>
      </c>
      <c r="DN15" s="306"/>
      <c r="DO15" s="71">
        <f t="shared" si="191"/>
        <v>0</v>
      </c>
      <c r="DP15" s="75">
        <f t="shared" si="192"/>
        <v>0</v>
      </c>
      <c r="DQ15" s="306"/>
      <c r="DR15" s="71">
        <f t="shared" si="118"/>
        <v>0</v>
      </c>
      <c r="DS15" s="75">
        <f t="shared" si="119"/>
        <v>0</v>
      </c>
      <c r="DT15" s="306"/>
      <c r="DU15" s="71">
        <f t="shared" si="120"/>
        <v>0</v>
      </c>
      <c r="DV15" s="75">
        <f t="shared" si="121"/>
        <v>0</v>
      </c>
      <c r="DW15" s="306"/>
      <c r="DX15" s="71">
        <f t="shared" si="122"/>
        <v>0</v>
      </c>
      <c r="DY15" s="75">
        <f t="shared" si="123"/>
        <v>0</v>
      </c>
      <c r="DZ15" s="306"/>
      <c r="EA15" s="71">
        <f t="shared" si="124"/>
        <v>0</v>
      </c>
      <c r="EB15" s="75">
        <f t="shared" si="125"/>
        <v>0</v>
      </c>
      <c r="EC15" s="306"/>
      <c r="ED15" s="71">
        <f t="shared" si="126"/>
        <v>0</v>
      </c>
      <c r="EE15" s="75">
        <f t="shared" si="127"/>
        <v>0</v>
      </c>
      <c r="EF15" s="309"/>
      <c r="EG15" s="75">
        <f t="shared" si="128"/>
        <v>0</v>
      </c>
      <c r="EH15" s="309"/>
      <c r="EI15" s="75">
        <f t="shared" si="129"/>
        <v>0</v>
      </c>
      <c r="EJ15" s="310"/>
      <c r="EK15" s="75">
        <f t="shared" si="130"/>
        <v>0</v>
      </c>
      <c r="EL15" s="495"/>
      <c r="EM15" s="75">
        <f t="shared" si="131"/>
        <v>0</v>
      </c>
      <c r="EN15" s="310"/>
      <c r="EO15" s="346"/>
      <c r="EP15" s="491"/>
      <c r="EQ15" s="347"/>
      <c r="ER15" s="334"/>
      <c r="ES15" s="537"/>
      <c r="ET15" s="536"/>
      <c r="EU15" s="536"/>
      <c r="EV15" s="536"/>
    </row>
    <row r="16" spans="1:152" s="76" customFormat="1" ht="15">
      <c r="A16" s="68">
        <v>44786</v>
      </c>
      <c r="B16" s="304"/>
      <c r="C16" s="70">
        <f t="shared" si="55"/>
        <v>0</v>
      </c>
      <c r="D16" s="305"/>
      <c r="E16" s="70">
        <f>IF((D16-D15)&lt;0,"0",(D16-D15))</f>
        <v>0</v>
      </c>
      <c r="F16" s="721" t="e">
        <f t="shared" si="57"/>
        <v>#DIV/0!</v>
      </c>
      <c r="G16" s="305"/>
      <c r="H16" s="305"/>
      <c r="I16" s="305"/>
      <c r="J16" s="78">
        <f t="shared" ref="J16" si="206">IF((I16-I15)&lt;0,"0",(I16-I15))</f>
        <v>0</v>
      </c>
      <c r="K16" s="307"/>
      <c r="L16" s="78">
        <f t="shared" ref="L16" si="207">IF((K16-K15)&lt;0,"0",(K16-K15))</f>
        <v>0</v>
      </c>
      <c r="M16" s="303"/>
      <c r="N16" s="78">
        <f t="shared" ref="N16" si="208">IF((M16-M15)&lt;0,"0",(M16-M15))</f>
        <v>0</v>
      </c>
      <c r="O16" s="303"/>
      <c r="P16" s="78">
        <f t="shared" ref="P16" si="209">IF((O16-O15)&lt;0,"0",(O16-O15))</f>
        <v>0</v>
      </c>
      <c r="Q16" s="303"/>
      <c r="R16" s="78">
        <f t="shared" si="144"/>
        <v>0</v>
      </c>
      <c r="S16" s="303"/>
      <c r="T16" s="78">
        <f t="shared" si="62"/>
        <v>0</v>
      </c>
      <c r="U16" s="303"/>
      <c r="V16" s="78">
        <f t="shared" si="63"/>
        <v>0</v>
      </c>
      <c r="W16" s="303"/>
      <c r="X16" s="78">
        <f t="shared" si="64"/>
        <v>0</v>
      </c>
      <c r="Y16" s="303"/>
      <c r="Z16" s="78">
        <f t="shared" si="65"/>
        <v>0</v>
      </c>
      <c r="AA16" s="538"/>
      <c r="AB16" s="718"/>
      <c r="AC16" s="308">
        <f t="shared" si="66"/>
        <v>0</v>
      </c>
      <c r="AD16" s="307"/>
      <c r="AE16" s="303"/>
      <c r="AF16" s="78">
        <f t="shared" si="5"/>
        <v>0</v>
      </c>
      <c r="AG16" s="495"/>
      <c r="AH16" s="71">
        <f t="shared" si="67"/>
        <v>0</v>
      </c>
      <c r="AI16" s="303"/>
      <c r="AJ16" s="563">
        <f t="shared" si="68"/>
        <v>0</v>
      </c>
      <c r="AK16" s="303"/>
      <c r="AL16" s="563">
        <f t="shared" si="69"/>
        <v>0</v>
      </c>
      <c r="AM16" s="69"/>
      <c r="AN16" s="563">
        <f t="shared" si="70"/>
        <v>0</v>
      </c>
      <c r="AO16" s="69"/>
      <c r="AP16" s="563">
        <f t="shared" si="71"/>
        <v>0</v>
      </c>
      <c r="AQ16" s="303"/>
      <c r="AR16" s="78">
        <f t="shared" si="72"/>
        <v>0</v>
      </c>
      <c r="AS16" s="352"/>
      <c r="AT16" s="78">
        <f t="shared" si="73"/>
        <v>0</v>
      </c>
      <c r="AU16" s="534"/>
      <c r="AV16" s="78">
        <f t="shared" si="74"/>
        <v>0</v>
      </c>
      <c r="AW16" s="307"/>
      <c r="AX16" s="78">
        <f t="shared" si="75"/>
        <v>0</v>
      </c>
      <c r="AY16" s="303"/>
      <c r="AZ16" s="78">
        <f t="shared" si="76"/>
        <v>0</v>
      </c>
      <c r="BA16" s="303"/>
      <c r="BB16" s="78">
        <f t="shared" si="77"/>
        <v>0</v>
      </c>
      <c r="BC16" s="303"/>
      <c r="BD16" s="78">
        <f t="shared" si="78"/>
        <v>0</v>
      </c>
      <c r="BE16" s="495"/>
      <c r="BF16" s="71">
        <f t="shared" si="79"/>
        <v>0</v>
      </c>
      <c r="BG16" s="303"/>
      <c r="BH16" s="71">
        <f t="shared" si="80"/>
        <v>0</v>
      </c>
      <c r="BI16" s="303"/>
      <c r="BJ16" s="71">
        <f t="shared" si="81"/>
        <v>0</v>
      </c>
      <c r="BK16" s="303"/>
      <c r="BL16" s="71">
        <f t="shared" si="82"/>
        <v>0</v>
      </c>
      <c r="BM16" s="303"/>
      <c r="BN16" s="71">
        <f t="shared" si="83"/>
        <v>0</v>
      </c>
      <c r="BO16" s="303"/>
      <c r="BP16" s="71">
        <f t="shared" si="84"/>
        <v>0</v>
      </c>
      <c r="BQ16" s="303"/>
      <c r="BR16" s="71">
        <f t="shared" si="167"/>
        <v>0</v>
      </c>
      <c r="BS16" s="71">
        <f t="shared" si="168"/>
        <v>0</v>
      </c>
      <c r="BT16" s="71">
        <f t="shared" si="169"/>
        <v>0</v>
      </c>
      <c r="BU16" s="734"/>
      <c r="BV16" s="71">
        <f t="shared" si="88"/>
        <v>0</v>
      </c>
      <c r="BW16" s="303"/>
      <c r="BX16" s="71">
        <f t="shared" si="89"/>
        <v>0</v>
      </c>
      <c r="BY16" s="303"/>
      <c r="BZ16" s="71">
        <f t="shared" si="90"/>
        <v>0</v>
      </c>
      <c r="CA16" s="495"/>
      <c r="CB16" s="71">
        <f t="shared" si="91"/>
        <v>0</v>
      </c>
      <c r="CC16" s="75">
        <f t="shared" si="92"/>
        <v>0</v>
      </c>
      <c r="CD16" s="71">
        <f t="shared" si="93"/>
        <v>0</v>
      </c>
      <c r="CE16" s="72">
        <f t="shared" si="94"/>
        <v>0</v>
      </c>
      <c r="CF16" s="495"/>
      <c r="CG16" s="496">
        <f t="shared" si="95"/>
        <v>0</v>
      </c>
      <c r="CH16" s="309"/>
      <c r="CI16" s="726">
        <f t="shared" si="173"/>
        <v>0</v>
      </c>
      <c r="CJ16" s="306"/>
      <c r="CK16" s="71">
        <f t="shared" si="174"/>
        <v>0</v>
      </c>
      <c r="CL16" s="75">
        <f t="shared" si="175"/>
        <v>0</v>
      </c>
      <c r="CM16" s="535"/>
      <c r="CN16" s="564">
        <f t="shared" si="99"/>
        <v>0</v>
      </c>
      <c r="CO16" s="306"/>
      <c r="CP16" s="73">
        <f t="shared" si="100"/>
        <v>0</v>
      </c>
      <c r="CQ16" s="535"/>
      <c r="CR16" s="566">
        <f t="shared" si="101"/>
        <v>0</v>
      </c>
      <c r="CS16" s="565">
        <f t="shared" si="102"/>
        <v>0</v>
      </c>
      <c r="CT16" s="567" t="str">
        <f t="shared" si="103"/>
        <v>0</v>
      </c>
      <c r="CU16" s="303"/>
      <c r="CV16" s="306"/>
      <c r="CW16" s="71">
        <f t="shared" si="104"/>
        <v>0</v>
      </c>
      <c r="CX16" s="75">
        <f t="shared" si="105"/>
        <v>0</v>
      </c>
      <c r="CY16" s="693"/>
      <c r="CZ16" s="71">
        <f t="shared" si="106"/>
        <v>0</v>
      </c>
      <c r="DA16" s="75">
        <f t="shared" si="107"/>
        <v>0</v>
      </c>
      <c r="DB16" s="306"/>
      <c r="DC16" s="71">
        <f t="shared" si="108"/>
        <v>0</v>
      </c>
      <c r="DD16" s="75">
        <f t="shared" si="109"/>
        <v>0</v>
      </c>
      <c r="DE16" s="306"/>
      <c r="DF16" s="71">
        <f t="shared" si="110"/>
        <v>0</v>
      </c>
      <c r="DG16" s="75">
        <f t="shared" si="111"/>
        <v>0</v>
      </c>
      <c r="DH16" s="303"/>
      <c r="DI16" s="71">
        <f t="shared" si="112"/>
        <v>0</v>
      </c>
      <c r="DJ16" s="75">
        <f t="shared" si="113"/>
        <v>0</v>
      </c>
      <c r="DK16" s="306"/>
      <c r="DL16" s="71">
        <f t="shared" si="114"/>
        <v>0</v>
      </c>
      <c r="DM16" s="75">
        <f t="shared" si="115"/>
        <v>0</v>
      </c>
      <c r="DN16" s="306"/>
      <c r="DO16" s="71">
        <f t="shared" si="116"/>
        <v>0</v>
      </c>
      <c r="DP16" s="75">
        <f t="shared" si="117"/>
        <v>0</v>
      </c>
      <c r="DQ16" s="306"/>
      <c r="DR16" s="71">
        <f t="shared" si="118"/>
        <v>0</v>
      </c>
      <c r="DS16" s="75">
        <f t="shared" si="119"/>
        <v>0</v>
      </c>
      <c r="DT16" s="306"/>
      <c r="DU16" s="71">
        <f t="shared" si="120"/>
        <v>0</v>
      </c>
      <c r="DV16" s="75">
        <f t="shared" si="121"/>
        <v>0</v>
      </c>
      <c r="DW16" s="306"/>
      <c r="DX16" s="71">
        <f t="shared" si="122"/>
        <v>0</v>
      </c>
      <c r="DY16" s="75">
        <f t="shared" si="123"/>
        <v>0</v>
      </c>
      <c r="DZ16" s="306"/>
      <c r="EA16" s="71">
        <f t="shared" si="124"/>
        <v>0</v>
      </c>
      <c r="EB16" s="75">
        <f t="shared" si="125"/>
        <v>0</v>
      </c>
      <c r="EC16" s="306"/>
      <c r="ED16" s="71">
        <f t="shared" si="126"/>
        <v>0</v>
      </c>
      <c r="EE16" s="75">
        <f t="shared" si="127"/>
        <v>0</v>
      </c>
      <c r="EF16" s="309"/>
      <c r="EG16" s="75">
        <f t="shared" si="128"/>
        <v>0</v>
      </c>
      <c r="EH16" s="309"/>
      <c r="EI16" s="75">
        <f t="shared" si="129"/>
        <v>0</v>
      </c>
      <c r="EJ16" s="310"/>
      <c r="EK16" s="75">
        <f t="shared" si="130"/>
        <v>0</v>
      </c>
      <c r="EL16" s="495"/>
      <c r="EM16" s="75">
        <f t="shared" si="131"/>
        <v>0</v>
      </c>
      <c r="EN16" s="310"/>
      <c r="EO16" s="346"/>
      <c r="EP16" s="491"/>
      <c r="EQ16" s="347"/>
      <c r="ER16" s="334"/>
      <c r="ES16" s="537"/>
      <c r="ET16" s="536"/>
      <c r="EU16" s="536"/>
      <c r="EV16" s="536"/>
    </row>
    <row r="17" spans="1:154" s="77" customFormat="1" ht="15">
      <c r="A17" s="68">
        <v>44787</v>
      </c>
      <c r="B17" s="304"/>
      <c r="C17" s="70">
        <f t="shared" si="55"/>
        <v>0</v>
      </c>
      <c r="D17" s="305"/>
      <c r="E17" s="70">
        <f t="shared" si="56"/>
        <v>0</v>
      </c>
      <c r="F17" s="721" t="e">
        <f t="shared" si="57"/>
        <v>#DIV/0!</v>
      </c>
      <c r="G17" s="305"/>
      <c r="H17" s="305"/>
      <c r="I17" s="305"/>
      <c r="J17" s="78">
        <f t="shared" ref="J17" si="210">IF((I17-I16)&lt;0,"0",(I17-I16))</f>
        <v>0</v>
      </c>
      <c r="K17" s="307"/>
      <c r="L17" s="78">
        <f t="shared" ref="L17" si="211">IF((K17-K16)&lt;0,"0",(K17-K16))</f>
        <v>0</v>
      </c>
      <c r="M17" s="303"/>
      <c r="N17" s="78">
        <f t="shared" ref="N17" si="212">IF((M17-M16)&lt;0,"0",(M17-M16))</f>
        <v>0</v>
      </c>
      <c r="O17" s="303"/>
      <c r="P17" s="78">
        <f>IF((O17-O16)&lt;0,"0",(O17-O16))</f>
        <v>0</v>
      </c>
      <c r="Q17" s="303"/>
      <c r="R17" s="78">
        <f t="shared" si="144"/>
        <v>0</v>
      </c>
      <c r="S17" s="303"/>
      <c r="T17" s="78">
        <f t="shared" si="62"/>
        <v>0</v>
      </c>
      <c r="U17" s="303"/>
      <c r="V17" s="78">
        <f t="shared" si="63"/>
        <v>0</v>
      </c>
      <c r="W17" s="303"/>
      <c r="X17" s="78">
        <f t="shared" si="64"/>
        <v>0</v>
      </c>
      <c r="Y17" s="303"/>
      <c r="Z17" s="78">
        <f t="shared" si="65"/>
        <v>0</v>
      </c>
      <c r="AA17" s="538"/>
      <c r="AB17" s="718"/>
      <c r="AC17" s="308">
        <f t="shared" si="66"/>
        <v>0</v>
      </c>
      <c r="AD17" s="307"/>
      <c r="AE17" s="729"/>
      <c r="AF17" s="78">
        <f>IF((AE17-AE16)&lt;0,"0",(AE17-AE16))</f>
        <v>0</v>
      </c>
      <c r="AG17" s="495"/>
      <c r="AH17" s="71">
        <f t="shared" si="67"/>
        <v>0</v>
      </c>
      <c r="AI17" s="303"/>
      <c r="AJ17" s="563">
        <f t="shared" si="68"/>
        <v>0</v>
      </c>
      <c r="AK17" s="303"/>
      <c r="AL17" s="563">
        <f>IF((AK17-AK16)&lt;0,"0",(AK17-AK16))</f>
        <v>0</v>
      </c>
      <c r="AM17" s="69"/>
      <c r="AN17" s="563">
        <f t="shared" si="70"/>
        <v>0</v>
      </c>
      <c r="AO17" s="69"/>
      <c r="AP17" s="563">
        <f t="shared" si="71"/>
        <v>0</v>
      </c>
      <c r="AQ17" s="303"/>
      <c r="AR17" s="78">
        <f t="shared" si="72"/>
        <v>0</v>
      </c>
      <c r="AS17" s="352"/>
      <c r="AT17" s="78">
        <f t="shared" si="73"/>
        <v>0</v>
      </c>
      <c r="AU17" s="534"/>
      <c r="AV17" s="78">
        <f t="shared" si="74"/>
        <v>0</v>
      </c>
      <c r="AW17" s="307"/>
      <c r="AX17" s="78">
        <f t="shared" si="75"/>
        <v>0</v>
      </c>
      <c r="AY17" s="303"/>
      <c r="AZ17" s="78">
        <f t="shared" si="76"/>
        <v>0</v>
      </c>
      <c r="BA17" s="303"/>
      <c r="BB17" s="78">
        <f t="shared" si="77"/>
        <v>0</v>
      </c>
      <c r="BC17" s="303"/>
      <c r="BD17" s="78">
        <f t="shared" si="78"/>
        <v>0</v>
      </c>
      <c r="BE17" s="495"/>
      <c r="BF17" s="71">
        <f t="shared" si="79"/>
        <v>0</v>
      </c>
      <c r="BG17" s="303"/>
      <c r="BH17" s="71">
        <f t="shared" si="80"/>
        <v>0</v>
      </c>
      <c r="BI17" s="303"/>
      <c r="BJ17" s="71">
        <f t="shared" si="81"/>
        <v>0</v>
      </c>
      <c r="BK17" s="303"/>
      <c r="BL17" s="71">
        <f t="shared" si="82"/>
        <v>0</v>
      </c>
      <c r="BM17" s="303"/>
      <c r="BN17" s="71">
        <f t="shared" si="83"/>
        <v>0</v>
      </c>
      <c r="BO17" s="303"/>
      <c r="BP17" s="71">
        <f t="shared" si="84"/>
        <v>0</v>
      </c>
      <c r="BQ17" s="303"/>
      <c r="BR17" s="71">
        <f t="shared" si="167"/>
        <v>0</v>
      </c>
      <c r="BS17" s="71">
        <f t="shared" si="168"/>
        <v>0</v>
      </c>
      <c r="BT17" s="71">
        <f t="shared" si="169"/>
        <v>0</v>
      </c>
      <c r="BU17" s="303"/>
      <c r="BV17" s="71">
        <f t="shared" si="88"/>
        <v>0</v>
      </c>
      <c r="BW17" s="303"/>
      <c r="BX17" s="71">
        <f t="shared" si="89"/>
        <v>0</v>
      </c>
      <c r="BY17" s="303"/>
      <c r="BZ17" s="71">
        <f t="shared" si="90"/>
        <v>0</v>
      </c>
      <c r="CA17" s="495"/>
      <c r="CB17" s="71">
        <f t="shared" si="91"/>
        <v>0</v>
      </c>
      <c r="CC17" s="75">
        <f t="shared" si="92"/>
        <v>0</v>
      </c>
      <c r="CD17" s="71">
        <f t="shared" si="93"/>
        <v>0</v>
      </c>
      <c r="CE17" s="72">
        <f t="shared" si="94"/>
        <v>0</v>
      </c>
      <c r="CF17" s="495"/>
      <c r="CG17" s="496">
        <f t="shared" si="95"/>
        <v>0</v>
      </c>
      <c r="CH17" s="309"/>
      <c r="CI17" s="726">
        <f t="shared" si="173"/>
        <v>0</v>
      </c>
      <c r="CJ17" s="306"/>
      <c r="CK17" s="71">
        <f t="shared" si="174"/>
        <v>0</v>
      </c>
      <c r="CL17" s="75">
        <f t="shared" si="175"/>
        <v>0</v>
      </c>
      <c r="CM17" s="535"/>
      <c r="CN17" s="564">
        <f t="shared" si="99"/>
        <v>0</v>
      </c>
      <c r="CO17" s="306"/>
      <c r="CP17" s="73">
        <f t="shared" si="100"/>
        <v>0</v>
      </c>
      <c r="CQ17" s="535"/>
      <c r="CR17" s="566">
        <f t="shared" si="101"/>
        <v>0</v>
      </c>
      <c r="CS17" s="565">
        <f t="shared" si="102"/>
        <v>0</v>
      </c>
      <c r="CT17" s="567" t="str">
        <f t="shared" si="103"/>
        <v>0</v>
      </c>
      <c r="CU17" s="303"/>
      <c r="CV17" s="306"/>
      <c r="CW17" s="71">
        <f t="shared" si="104"/>
        <v>0</v>
      </c>
      <c r="CX17" s="75">
        <f t="shared" si="105"/>
        <v>0</v>
      </c>
      <c r="CY17" s="693"/>
      <c r="CZ17" s="71">
        <f t="shared" si="106"/>
        <v>0</v>
      </c>
      <c r="DA17" s="75">
        <f t="shared" si="107"/>
        <v>0</v>
      </c>
      <c r="DB17" s="306"/>
      <c r="DC17" s="71">
        <f t="shared" si="108"/>
        <v>0</v>
      </c>
      <c r="DD17" s="75">
        <f t="shared" si="109"/>
        <v>0</v>
      </c>
      <c r="DE17" s="306"/>
      <c r="DF17" s="71">
        <f t="shared" si="110"/>
        <v>0</v>
      </c>
      <c r="DG17" s="75">
        <f t="shared" si="111"/>
        <v>0</v>
      </c>
      <c r="DH17" s="303"/>
      <c r="DI17" s="71">
        <f t="shared" si="112"/>
        <v>0</v>
      </c>
      <c r="DJ17" s="75">
        <f t="shared" si="113"/>
        <v>0</v>
      </c>
      <c r="DK17" s="306"/>
      <c r="DL17" s="71">
        <f t="shared" si="114"/>
        <v>0</v>
      </c>
      <c r="DM17" s="75">
        <f t="shared" si="115"/>
        <v>0</v>
      </c>
      <c r="DN17" s="306"/>
      <c r="DO17" s="71">
        <f t="shared" si="116"/>
        <v>0</v>
      </c>
      <c r="DP17" s="75">
        <f t="shared" si="117"/>
        <v>0</v>
      </c>
      <c r="DQ17" s="306"/>
      <c r="DR17" s="71">
        <f t="shared" si="118"/>
        <v>0</v>
      </c>
      <c r="DS17" s="75">
        <f t="shared" si="119"/>
        <v>0</v>
      </c>
      <c r="DT17" s="306"/>
      <c r="DU17" s="71">
        <f t="shared" si="120"/>
        <v>0</v>
      </c>
      <c r="DV17" s="75">
        <f t="shared" si="121"/>
        <v>0</v>
      </c>
      <c r="DW17" s="306"/>
      <c r="DX17" s="71">
        <f t="shared" si="122"/>
        <v>0</v>
      </c>
      <c r="DY17" s="75">
        <f t="shared" si="123"/>
        <v>0</v>
      </c>
      <c r="DZ17" s="306"/>
      <c r="EA17" s="71">
        <f t="shared" si="124"/>
        <v>0</v>
      </c>
      <c r="EB17" s="75">
        <f t="shared" si="125"/>
        <v>0</v>
      </c>
      <c r="EC17" s="306"/>
      <c r="ED17" s="71">
        <f t="shared" si="126"/>
        <v>0</v>
      </c>
      <c r="EE17" s="75">
        <f t="shared" si="127"/>
        <v>0</v>
      </c>
      <c r="EF17" s="309"/>
      <c r="EG17" s="75">
        <f t="shared" si="128"/>
        <v>0</v>
      </c>
      <c r="EH17" s="309"/>
      <c r="EI17" s="75">
        <f t="shared" si="129"/>
        <v>0</v>
      </c>
      <c r="EJ17" s="310"/>
      <c r="EK17" s="75">
        <f t="shared" si="130"/>
        <v>0</v>
      </c>
      <c r="EL17" s="495"/>
      <c r="EM17" s="75">
        <f t="shared" si="131"/>
        <v>0</v>
      </c>
      <c r="EN17" s="310"/>
      <c r="EO17" s="346"/>
      <c r="EP17" s="491"/>
      <c r="EQ17" s="347"/>
      <c r="ER17" s="334"/>
      <c r="ES17" s="537"/>
      <c r="ET17" s="536"/>
      <c r="EU17" s="536"/>
      <c r="EV17" s="536"/>
    </row>
    <row r="18" spans="1:154" s="76" customFormat="1" ht="15">
      <c r="A18" s="68">
        <v>44788</v>
      </c>
      <c r="B18" s="304"/>
      <c r="C18" s="70">
        <f t="shared" si="55"/>
        <v>0</v>
      </c>
      <c r="D18" s="305"/>
      <c r="E18" s="70">
        <f t="shared" si="56"/>
        <v>0</v>
      </c>
      <c r="F18" s="721" t="e">
        <f t="shared" si="57"/>
        <v>#DIV/0!</v>
      </c>
      <c r="G18" s="305"/>
      <c r="H18" s="305"/>
      <c r="I18" s="305"/>
      <c r="J18" s="78">
        <f t="shared" ref="J18" si="213">IF((I18-I17)&lt;0,"0",(I18-I17))</f>
        <v>0</v>
      </c>
      <c r="K18" s="307"/>
      <c r="L18" s="78">
        <f t="shared" ref="L18" si="214">IF((K18-K17)&lt;0,"0",(K18-K17))</f>
        <v>0</v>
      </c>
      <c r="M18" s="303"/>
      <c r="N18" s="78">
        <f t="shared" ref="N18" si="215">IF((M18-M17)&lt;0,"0",(M18-M17))</f>
        <v>0</v>
      </c>
      <c r="O18" s="303"/>
      <c r="P18" s="78">
        <f t="shared" ref="P18" si="216">IF((O18-O17)&lt;0,"0",(O18-O17))</f>
        <v>0</v>
      </c>
      <c r="Q18" s="303"/>
      <c r="R18" s="78">
        <f t="shared" si="144"/>
        <v>0</v>
      </c>
      <c r="S18" s="303"/>
      <c r="T18" s="78">
        <f t="shared" si="62"/>
        <v>0</v>
      </c>
      <c r="U18" s="303"/>
      <c r="V18" s="78">
        <f>IF((U18-U17)&lt;0,"0",(U18-U17))</f>
        <v>0</v>
      </c>
      <c r="W18" s="303"/>
      <c r="X18" s="78">
        <f t="shared" si="64"/>
        <v>0</v>
      </c>
      <c r="Y18" s="303"/>
      <c r="Z18" s="78">
        <f t="shared" si="65"/>
        <v>0</v>
      </c>
      <c r="AA18" s="538"/>
      <c r="AB18" s="718"/>
      <c r="AC18" s="308">
        <f t="shared" si="66"/>
        <v>0</v>
      </c>
      <c r="AD18" s="307"/>
      <c r="AE18" s="734"/>
      <c r="AF18" s="78">
        <f>IF((AE18-AE17)&lt;0,"0",(AE18-AE17))</f>
        <v>0</v>
      </c>
      <c r="AG18" s="495"/>
      <c r="AH18" s="71">
        <f t="shared" si="67"/>
        <v>0</v>
      </c>
      <c r="AI18" s="303"/>
      <c r="AJ18" s="563">
        <f t="shared" si="68"/>
        <v>0</v>
      </c>
      <c r="AK18" s="303"/>
      <c r="AL18" s="563">
        <f>IF((AK18-AK17)&lt;0,"0",(AK18-AK17))</f>
        <v>0</v>
      </c>
      <c r="AM18" s="69"/>
      <c r="AN18" s="563">
        <f t="shared" si="70"/>
        <v>0</v>
      </c>
      <c r="AO18" s="69"/>
      <c r="AP18" s="563">
        <f t="shared" si="71"/>
        <v>0</v>
      </c>
      <c r="AQ18" s="303"/>
      <c r="AR18" s="78">
        <f>IF((AQ18-AQ17)&lt;0,"0",(AQ18-AQ17))</f>
        <v>0</v>
      </c>
      <c r="AS18" s="352"/>
      <c r="AT18" s="78">
        <f t="shared" si="73"/>
        <v>0</v>
      </c>
      <c r="AU18" s="534"/>
      <c r="AV18" s="78">
        <f t="shared" si="74"/>
        <v>0</v>
      </c>
      <c r="AW18" s="307"/>
      <c r="AX18" s="78">
        <f t="shared" si="75"/>
        <v>0</v>
      </c>
      <c r="AY18" s="303"/>
      <c r="AZ18" s="78">
        <f t="shared" si="76"/>
        <v>0</v>
      </c>
      <c r="BA18" s="303"/>
      <c r="BB18" s="78">
        <f t="shared" si="77"/>
        <v>0</v>
      </c>
      <c r="BC18" s="303"/>
      <c r="BD18" s="78">
        <f t="shared" si="78"/>
        <v>0</v>
      </c>
      <c r="BE18" s="495"/>
      <c r="BF18" s="71">
        <f t="shared" si="79"/>
        <v>0</v>
      </c>
      <c r="BG18" s="303"/>
      <c r="BH18" s="71">
        <f t="shared" si="80"/>
        <v>0</v>
      </c>
      <c r="BI18" s="303"/>
      <c r="BJ18" s="71">
        <f t="shared" si="81"/>
        <v>0</v>
      </c>
      <c r="BK18" s="303"/>
      <c r="BL18" s="71">
        <f t="shared" si="82"/>
        <v>0</v>
      </c>
      <c r="BM18" s="303"/>
      <c r="BN18" s="71">
        <f t="shared" si="83"/>
        <v>0</v>
      </c>
      <c r="BO18" s="303"/>
      <c r="BP18" s="71">
        <f t="shared" si="84"/>
        <v>0</v>
      </c>
      <c r="BQ18" s="303"/>
      <c r="BR18" s="71">
        <f t="shared" si="167"/>
        <v>0</v>
      </c>
      <c r="BS18" s="71">
        <f t="shared" si="168"/>
        <v>0</v>
      </c>
      <c r="BT18" s="71">
        <f t="shared" si="169"/>
        <v>0</v>
      </c>
      <c r="BU18" s="303"/>
      <c r="BV18" s="71">
        <f t="shared" si="88"/>
        <v>0</v>
      </c>
      <c r="BW18" s="303"/>
      <c r="BX18" s="71">
        <f t="shared" si="89"/>
        <v>0</v>
      </c>
      <c r="BY18" s="303"/>
      <c r="BZ18" s="71">
        <f t="shared" si="90"/>
        <v>0</v>
      </c>
      <c r="CA18" s="495"/>
      <c r="CB18" s="741">
        <f t="shared" si="91"/>
        <v>0</v>
      </c>
      <c r="CC18" s="75">
        <f t="shared" si="92"/>
        <v>0</v>
      </c>
      <c r="CD18" s="71">
        <f t="shared" si="93"/>
        <v>0</v>
      </c>
      <c r="CE18" s="72">
        <f t="shared" si="94"/>
        <v>0</v>
      </c>
      <c r="CF18" s="495"/>
      <c r="CG18" s="496">
        <f t="shared" si="95"/>
        <v>0</v>
      </c>
      <c r="CH18" s="309"/>
      <c r="CI18" s="726">
        <f t="shared" si="173"/>
        <v>0</v>
      </c>
      <c r="CJ18" s="306"/>
      <c r="CK18" s="71">
        <f t="shared" si="174"/>
        <v>0</v>
      </c>
      <c r="CL18" s="75">
        <f t="shared" si="175"/>
        <v>0</v>
      </c>
      <c r="CM18" s="535"/>
      <c r="CN18" s="564">
        <f t="shared" si="99"/>
        <v>0</v>
      </c>
      <c r="CO18" s="306"/>
      <c r="CP18" s="73">
        <f t="shared" si="100"/>
        <v>0</v>
      </c>
      <c r="CQ18" s="535"/>
      <c r="CR18" s="566">
        <f t="shared" si="101"/>
        <v>0</v>
      </c>
      <c r="CS18" s="565">
        <f t="shared" si="102"/>
        <v>0</v>
      </c>
      <c r="CT18" s="567" t="str">
        <f t="shared" si="103"/>
        <v>0</v>
      </c>
      <c r="CU18" s="303"/>
      <c r="CV18" s="306"/>
      <c r="CW18" s="71">
        <f t="shared" si="104"/>
        <v>0</v>
      </c>
      <c r="CX18" s="75">
        <f t="shared" si="105"/>
        <v>0</v>
      </c>
      <c r="CY18" s="693"/>
      <c r="CZ18" s="71">
        <f t="shared" si="106"/>
        <v>0</v>
      </c>
      <c r="DA18" s="75">
        <f t="shared" si="107"/>
        <v>0</v>
      </c>
      <c r="DB18" s="306"/>
      <c r="DC18" s="71">
        <f t="shared" si="108"/>
        <v>0</v>
      </c>
      <c r="DD18" s="75">
        <f t="shared" si="109"/>
        <v>0</v>
      </c>
      <c r="DE18" s="306"/>
      <c r="DF18" s="71">
        <f t="shared" si="110"/>
        <v>0</v>
      </c>
      <c r="DG18" s="75">
        <f t="shared" si="111"/>
        <v>0</v>
      </c>
      <c r="DH18" s="303"/>
      <c r="DI18" s="71">
        <f t="shared" si="112"/>
        <v>0</v>
      </c>
      <c r="DJ18" s="75">
        <f t="shared" si="113"/>
        <v>0</v>
      </c>
      <c r="DK18" s="306"/>
      <c r="DL18" s="71">
        <f t="shared" si="114"/>
        <v>0</v>
      </c>
      <c r="DM18" s="75">
        <f t="shared" si="115"/>
        <v>0</v>
      </c>
      <c r="DN18" s="306"/>
      <c r="DO18" s="71">
        <f t="shared" si="116"/>
        <v>0</v>
      </c>
      <c r="DP18" s="75">
        <f t="shared" si="117"/>
        <v>0</v>
      </c>
      <c r="DQ18" s="306"/>
      <c r="DR18" s="71">
        <f t="shared" si="118"/>
        <v>0</v>
      </c>
      <c r="DS18" s="75">
        <f t="shared" si="119"/>
        <v>0</v>
      </c>
      <c r="DT18" s="306"/>
      <c r="DU18" s="71">
        <f t="shared" si="120"/>
        <v>0</v>
      </c>
      <c r="DV18" s="75">
        <f t="shared" si="121"/>
        <v>0</v>
      </c>
      <c r="DW18" s="306"/>
      <c r="DX18" s="71">
        <f t="shared" si="122"/>
        <v>0</v>
      </c>
      <c r="DY18" s="75">
        <f t="shared" si="123"/>
        <v>0</v>
      </c>
      <c r="DZ18" s="306"/>
      <c r="EA18" s="71">
        <f t="shared" si="124"/>
        <v>0</v>
      </c>
      <c r="EB18" s="75">
        <f t="shared" si="125"/>
        <v>0</v>
      </c>
      <c r="EC18" s="306"/>
      <c r="ED18" s="71">
        <f t="shared" si="126"/>
        <v>0</v>
      </c>
      <c r="EE18" s="75">
        <f t="shared" si="127"/>
        <v>0</v>
      </c>
      <c r="EF18" s="309"/>
      <c r="EG18" s="75">
        <f t="shared" si="128"/>
        <v>0</v>
      </c>
      <c r="EH18" s="309"/>
      <c r="EI18" s="75">
        <f t="shared" si="129"/>
        <v>0</v>
      </c>
      <c r="EJ18" s="310"/>
      <c r="EK18" s="75">
        <f t="shared" si="130"/>
        <v>0</v>
      </c>
      <c r="EL18" s="495"/>
      <c r="EM18" s="75">
        <f t="shared" si="131"/>
        <v>0</v>
      </c>
      <c r="EN18" s="310"/>
      <c r="EO18" s="346"/>
      <c r="EP18" s="491"/>
      <c r="EQ18" s="347"/>
      <c r="ER18" s="334"/>
      <c r="ES18" s="537"/>
      <c r="ET18" s="536"/>
      <c r="EU18" s="536"/>
      <c r="EV18" s="536"/>
    </row>
    <row r="19" spans="1:154" s="76" customFormat="1" ht="15">
      <c r="A19" s="68">
        <v>44789</v>
      </c>
      <c r="B19" s="304"/>
      <c r="C19" s="70">
        <f t="shared" si="55"/>
        <v>0</v>
      </c>
      <c r="D19" s="305"/>
      <c r="E19" s="70">
        <f t="shared" si="56"/>
        <v>0</v>
      </c>
      <c r="F19" s="740" t="e">
        <f t="shared" si="57"/>
        <v>#DIV/0!</v>
      </c>
      <c r="G19" s="305"/>
      <c r="H19" s="305"/>
      <c r="I19" s="305"/>
      <c r="J19" s="78">
        <f t="shared" ref="J19" si="217">IF((I19-I18)&lt;0,"0",(I19-I18))</f>
        <v>0</v>
      </c>
      <c r="K19" s="307"/>
      <c r="L19" s="78">
        <f t="shared" ref="L19" si="218">IF((K19-K18)&lt;0,"0",(K19-K18))</f>
        <v>0</v>
      </c>
      <c r="M19" s="303"/>
      <c r="N19" s="78">
        <f t="shared" ref="N19" si="219">IF((M19-M18)&lt;0,"0",(M19-M18))</f>
        <v>0</v>
      </c>
      <c r="O19" s="303"/>
      <c r="P19" s="78">
        <f t="shared" ref="P19" si="220">IF((O19-O18)&lt;0,"0",(O19-O18))</f>
        <v>0</v>
      </c>
      <c r="Q19" s="303"/>
      <c r="R19" s="78">
        <f t="shared" si="144"/>
        <v>0</v>
      </c>
      <c r="S19" s="303"/>
      <c r="T19" s="78">
        <f t="shared" si="62"/>
        <v>0</v>
      </c>
      <c r="U19" s="303"/>
      <c r="V19" s="78">
        <f t="shared" si="63"/>
        <v>0</v>
      </c>
      <c r="W19" s="303"/>
      <c r="X19" s="78">
        <f t="shared" si="64"/>
        <v>0</v>
      </c>
      <c r="Y19" s="303"/>
      <c r="Z19" s="78">
        <f t="shared" si="65"/>
        <v>0</v>
      </c>
      <c r="AA19" s="538"/>
      <c r="AB19" s="718"/>
      <c r="AC19" s="308">
        <f t="shared" si="66"/>
        <v>0</v>
      </c>
      <c r="AD19" s="307"/>
      <c r="AE19" s="734"/>
      <c r="AF19" s="78">
        <f>IF((AE19-AE18)&lt;0,"0",(AE19-AE18))</f>
        <v>0</v>
      </c>
      <c r="AG19" s="495"/>
      <c r="AH19" s="71">
        <f t="shared" si="67"/>
        <v>0</v>
      </c>
      <c r="AI19" s="303"/>
      <c r="AJ19" s="563">
        <f t="shared" si="68"/>
        <v>0</v>
      </c>
      <c r="AK19" s="303"/>
      <c r="AL19" s="563">
        <f t="shared" si="69"/>
        <v>0</v>
      </c>
      <c r="AM19" s="69"/>
      <c r="AN19" s="563">
        <f t="shared" si="70"/>
        <v>0</v>
      </c>
      <c r="AO19" s="69"/>
      <c r="AP19" s="563">
        <f t="shared" si="71"/>
        <v>0</v>
      </c>
      <c r="AQ19" s="303"/>
      <c r="AR19" s="78">
        <f t="shared" si="72"/>
        <v>0</v>
      </c>
      <c r="AS19" s="352"/>
      <c r="AT19" s="78">
        <f t="shared" si="73"/>
        <v>0</v>
      </c>
      <c r="AU19" s="534"/>
      <c r="AV19" s="78">
        <f t="shared" si="74"/>
        <v>0</v>
      </c>
      <c r="AW19" s="307"/>
      <c r="AX19" s="78">
        <f t="shared" si="75"/>
        <v>0</v>
      </c>
      <c r="AY19" s="303"/>
      <c r="AZ19" s="78">
        <f t="shared" si="76"/>
        <v>0</v>
      </c>
      <c r="BA19" s="303"/>
      <c r="BB19" s="78">
        <f t="shared" si="77"/>
        <v>0</v>
      </c>
      <c r="BC19" s="303"/>
      <c r="BD19" s="78">
        <f t="shared" si="78"/>
        <v>0</v>
      </c>
      <c r="BE19" s="495"/>
      <c r="BF19" s="71">
        <f t="shared" si="79"/>
        <v>0</v>
      </c>
      <c r="BG19" s="303"/>
      <c r="BH19" s="71">
        <f t="shared" si="80"/>
        <v>0</v>
      </c>
      <c r="BI19" s="303"/>
      <c r="BJ19" s="71">
        <f t="shared" si="81"/>
        <v>0</v>
      </c>
      <c r="BK19" s="303"/>
      <c r="BL19" s="71">
        <f t="shared" si="82"/>
        <v>0</v>
      </c>
      <c r="BM19" s="303"/>
      <c r="BN19" s="71">
        <f t="shared" si="83"/>
        <v>0</v>
      </c>
      <c r="BO19" s="303"/>
      <c r="BP19" s="71">
        <f t="shared" si="84"/>
        <v>0</v>
      </c>
      <c r="BQ19" s="303"/>
      <c r="BR19" s="71">
        <f t="shared" si="85"/>
        <v>0</v>
      </c>
      <c r="BS19" s="71">
        <f t="shared" si="86"/>
        <v>0</v>
      </c>
      <c r="BT19" s="71">
        <f t="shared" si="87"/>
        <v>0</v>
      </c>
      <c r="BU19" s="303"/>
      <c r="BV19" s="71">
        <f t="shared" si="88"/>
        <v>0</v>
      </c>
      <c r="BW19" s="303"/>
      <c r="BX19" s="71">
        <f t="shared" si="89"/>
        <v>0</v>
      </c>
      <c r="BY19" s="303"/>
      <c r="BZ19" s="71">
        <f t="shared" si="90"/>
        <v>0</v>
      </c>
      <c r="CA19" s="495"/>
      <c r="CB19" s="71">
        <f t="shared" si="91"/>
        <v>0</v>
      </c>
      <c r="CC19" s="75">
        <f t="shared" si="92"/>
        <v>0</v>
      </c>
      <c r="CD19" s="71">
        <f t="shared" si="93"/>
        <v>0</v>
      </c>
      <c r="CE19" s="72">
        <f t="shared" si="94"/>
        <v>0</v>
      </c>
      <c r="CF19" s="495"/>
      <c r="CG19" s="496">
        <f t="shared" si="95"/>
        <v>0</v>
      </c>
      <c r="CH19" s="309"/>
      <c r="CI19" s="726">
        <f>CG18-CG19+CH19</f>
        <v>0</v>
      </c>
      <c r="CJ19" s="306"/>
      <c r="CK19" s="71">
        <f>IF((CJ19-CJ18)&lt;0,"0",(CJ19-CJ18))</f>
        <v>0</v>
      </c>
      <c r="CL19" s="75">
        <f>CK19*5.71</f>
        <v>0</v>
      </c>
      <c r="CM19" s="535"/>
      <c r="CN19" s="564">
        <f t="shared" si="99"/>
        <v>0</v>
      </c>
      <c r="CO19" s="306"/>
      <c r="CP19" s="73">
        <f t="shared" si="100"/>
        <v>0</v>
      </c>
      <c r="CQ19" s="535"/>
      <c r="CR19" s="566">
        <f t="shared" si="101"/>
        <v>0</v>
      </c>
      <c r="CS19" s="565">
        <f t="shared" si="102"/>
        <v>0</v>
      </c>
      <c r="CT19" s="567" t="str">
        <f t="shared" si="103"/>
        <v>0</v>
      </c>
      <c r="CU19" s="303"/>
      <c r="CV19" s="306"/>
      <c r="CW19" s="71">
        <f t="shared" si="104"/>
        <v>0</v>
      </c>
      <c r="CX19" s="75">
        <f t="shared" si="105"/>
        <v>0</v>
      </c>
      <c r="CY19" s="693"/>
      <c r="CZ19" s="71">
        <f t="shared" si="106"/>
        <v>0</v>
      </c>
      <c r="DA19" s="75">
        <f t="shared" si="107"/>
        <v>0</v>
      </c>
      <c r="DB19" s="306"/>
      <c r="DC19" s="71">
        <f t="shared" si="108"/>
        <v>0</v>
      </c>
      <c r="DD19" s="75">
        <f t="shared" si="109"/>
        <v>0</v>
      </c>
      <c r="DE19" s="306"/>
      <c r="DF19" s="71">
        <f t="shared" si="110"/>
        <v>0</v>
      </c>
      <c r="DG19" s="75">
        <f t="shared" si="111"/>
        <v>0</v>
      </c>
      <c r="DH19" s="303"/>
      <c r="DI19" s="71">
        <f t="shared" si="112"/>
        <v>0</v>
      </c>
      <c r="DJ19" s="75">
        <f t="shared" si="113"/>
        <v>0</v>
      </c>
      <c r="DK19" s="306"/>
      <c r="DL19" s="71">
        <f t="shared" si="114"/>
        <v>0</v>
      </c>
      <c r="DM19" s="75">
        <f t="shared" si="115"/>
        <v>0</v>
      </c>
      <c r="DN19" s="306"/>
      <c r="DO19" s="71">
        <f t="shared" si="116"/>
        <v>0</v>
      </c>
      <c r="DP19" s="75">
        <f t="shared" si="117"/>
        <v>0</v>
      </c>
      <c r="DQ19" s="306"/>
      <c r="DR19" s="71">
        <f t="shared" si="118"/>
        <v>0</v>
      </c>
      <c r="DS19" s="75">
        <f t="shared" si="119"/>
        <v>0</v>
      </c>
      <c r="DT19" s="306"/>
      <c r="DU19" s="71">
        <f t="shared" si="120"/>
        <v>0</v>
      </c>
      <c r="DV19" s="75">
        <f t="shared" si="121"/>
        <v>0</v>
      </c>
      <c r="DW19" s="306"/>
      <c r="DX19" s="71">
        <f t="shared" si="122"/>
        <v>0</v>
      </c>
      <c r="DY19" s="75">
        <f t="shared" si="123"/>
        <v>0</v>
      </c>
      <c r="DZ19" s="306"/>
      <c r="EA19" s="71">
        <f t="shared" si="124"/>
        <v>0</v>
      </c>
      <c r="EB19" s="75">
        <f t="shared" si="125"/>
        <v>0</v>
      </c>
      <c r="EC19" s="306"/>
      <c r="ED19" s="71">
        <f t="shared" si="126"/>
        <v>0</v>
      </c>
      <c r="EE19" s="75">
        <f t="shared" si="127"/>
        <v>0</v>
      </c>
      <c r="EF19" s="309"/>
      <c r="EG19" s="75">
        <f t="shared" si="128"/>
        <v>0</v>
      </c>
      <c r="EH19" s="309"/>
      <c r="EI19" s="75">
        <f t="shared" si="129"/>
        <v>0</v>
      </c>
      <c r="EJ19" s="310"/>
      <c r="EK19" s="75">
        <f t="shared" si="130"/>
        <v>0</v>
      </c>
      <c r="EL19" s="495"/>
      <c r="EM19" s="75">
        <f t="shared" si="131"/>
        <v>0</v>
      </c>
      <c r="EN19" s="310"/>
      <c r="EO19" s="346"/>
      <c r="EP19" s="491"/>
      <c r="EQ19" s="347"/>
      <c r="ER19" s="334"/>
      <c r="ES19" s="537"/>
      <c r="ET19" s="536"/>
      <c r="EU19" s="536"/>
      <c r="EV19" s="536"/>
    </row>
    <row r="20" spans="1:154" s="76" customFormat="1" ht="15">
      <c r="A20" s="68">
        <v>44790</v>
      </c>
      <c r="B20" s="304"/>
      <c r="C20" s="70">
        <f t="shared" si="55"/>
        <v>0</v>
      </c>
      <c r="D20" s="305"/>
      <c r="E20" s="70">
        <f t="shared" si="56"/>
        <v>0</v>
      </c>
      <c r="F20" s="721" t="e">
        <f t="shared" si="57"/>
        <v>#DIV/0!</v>
      </c>
      <c r="G20" s="305"/>
      <c r="H20" s="305"/>
      <c r="I20" s="305"/>
      <c r="J20" s="78">
        <f t="shared" ref="J20" si="221">IF((I20-I19)&lt;0,"0",(I20-I19))</f>
        <v>0</v>
      </c>
      <c r="K20" s="307"/>
      <c r="L20" s="78">
        <f t="shared" ref="L20" si="222">IF((K20-K19)&lt;0,"0",(K20-K19))</f>
        <v>0</v>
      </c>
      <c r="M20" s="303"/>
      <c r="N20" s="78">
        <f t="shared" ref="N20" si="223">IF((M20-M19)&lt;0,"0",(M20-M19))</f>
        <v>0</v>
      </c>
      <c r="O20" s="303"/>
      <c r="P20" s="78">
        <f t="shared" ref="P20" si="224">IF((O20-O19)&lt;0,"0",(O20-O19))</f>
        <v>0</v>
      </c>
      <c r="Q20" s="303"/>
      <c r="R20" s="78">
        <f t="shared" si="144"/>
        <v>0</v>
      </c>
      <c r="S20" s="303"/>
      <c r="T20" s="78">
        <f t="shared" si="62"/>
        <v>0</v>
      </c>
      <c r="U20" s="303"/>
      <c r="V20" s="78">
        <f t="shared" si="63"/>
        <v>0</v>
      </c>
      <c r="W20" s="303"/>
      <c r="X20" s="78">
        <f t="shared" si="64"/>
        <v>0</v>
      </c>
      <c r="Z20" s="78">
        <f t="shared" si="65"/>
        <v>0</v>
      </c>
      <c r="AA20" s="538"/>
      <c r="AB20" s="718"/>
      <c r="AC20" s="308">
        <f t="shared" si="66"/>
        <v>0</v>
      </c>
      <c r="AD20" s="307"/>
      <c r="AE20" s="734"/>
      <c r="AF20" s="78">
        <f t="shared" si="5"/>
        <v>0</v>
      </c>
      <c r="AG20" s="495"/>
      <c r="AH20" s="71">
        <f t="shared" si="67"/>
        <v>0</v>
      </c>
      <c r="AI20" s="303"/>
      <c r="AJ20" s="563">
        <f t="shared" si="68"/>
        <v>0</v>
      </c>
      <c r="AK20" s="303"/>
      <c r="AL20" s="563">
        <f t="shared" si="69"/>
        <v>0</v>
      </c>
      <c r="AM20" s="69"/>
      <c r="AN20" s="563">
        <f t="shared" si="70"/>
        <v>0</v>
      </c>
      <c r="AO20" s="69"/>
      <c r="AP20" s="563">
        <f t="shared" si="71"/>
        <v>0</v>
      </c>
      <c r="AQ20" s="729"/>
      <c r="AR20" s="78">
        <f t="shared" si="72"/>
        <v>0</v>
      </c>
      <c r="AS20" s="352"/>
      <c r="AT20" s="78">
        <f t="shared" si="73"/>
        <v>0</v>
      </c>
      <c r="AU20" s="534"/>
      <c r="AV20" s="78">
        <f t="shared" si="74"/>
        <v>0</v>
      </c>
      <c r="AW20" s="307"/>
      <c r="AX20" s="78">
        <f t="shared" si="75"/>
        <v>0</v>
      </c>
      <c r="AY20" s="303"/>
      <c r="AZ20" s="78">
        <f t="shared" si="76"/>
        <v>0</v>
      </c>
      <c r="BA20" s="303"/>
      <c r="BB20" s="78">
        <f t="shared" si="77"/>
        <v>0</v>
      </c>
      <c r="BC20" s="303"/>
      <c r="BD20" s="78">
        <f t="shared" si="78"/>
        <v>0</v>
      </c>
      <c r="BE20" s="495"/>
      <c r="BF20" s="71">
        <f t="shared" si="79"/>
        <v>0</v>
      </c>
      <c r="BG20" s="303"/>
      <c r="BH20" s="71">
        <f t="shared" si="80"/>
        <v>0</v>
      </c>
      <c r="BI20" s="303"/>
      <c r="BJ20" s="71">
        <f t="shared" si="81"/>
        <v>0</v>
      </c>
      <c r="BK20" s="303"/>
      <c r="BL20" s="71">
        <f t="shared" si="82"/>
        <v>0</v>
      </c>
      <c r="BM20" s="303"/>
      <c r="BN20" s="71">
        <f t="shared" si="83"/>
        <v>0</v>
      </c>
      <c r="BO20" s="303"/>
      <c r="BP20" s="71">
        <f t="shared" si="84"/>
        <v>0</v>
      </c>
      <c r="BQ20" s="303"/>
      <c r="BR20" s="71">
        <f t="shared" si="85"/>
        <v>0</v>
      </c>
      <c r="BS20" s="71">
        <f t="shared" si="86"/>
        <v>0</v>
      </c>
      <c r="BT20" s="71">
        <f t="shared" si="87"/>
        <v>0</v>
      </c>
      <c r="BU20" s="303"/>
      <c r="BV20" s="71">
        <f t="shared" si="88"/>
        <v>0</v>
      </c>
      <c r="BW20" s="303"/>
      <c r="BX20" s="71">
        <f t="shared" si="89"/>
        <v>0</v>
      </c>
      <c r="BY20" s="303"/>
      <c r="BZ20" s="71">
        <f t="shared" si="90"/>
        <v>0</v>
      </c>
      <c r="CA20" s="495"/>
      <c r="CB20" s="71">
        <f t="shared" si="91"/>
        <v>0</v>
      </c>
      <c r="CC20" s="75">
        <f t="shared" si="92"/>
        <v>0</v>
      </c>
      <c r="CD20" s="71">
        <f t="shared" si="93"/>
        <v>0</v>
      </c>
      <c r="CE20" s="72">
        <f t="shared" si="94"/>
        <v>0</v>
      </c>
      <c r="CF20" s="495"/>
      <c r="CG20" s="496">
        <f t="shared" si="95"/>
        <v>0</v>
      </c>
      <c r="CH20" s="309"/>
      <c r="CI20" s="726">
        <f t="shared" si="173"/>
        <v>0</v>
      </c>
      <c r="CJ20" s="306"/>
      <c r="CK20" s="71">
        <f>IF((CJ20-CJ19)&lt;0,"0",(CJ20-CJ19))</f>
        <v>0</v>
      </c>
      <c r="CL20" s="75">
        <f>CK20*5.71</f>
        <v>0</v>
      </c>
      <c r="CM20" s="535"/>
      <c r="CN20" s="564">
        <f t="shared" si="99"/>
        <v>0</v>
      </c>
      <c r="CO20" s="306"/>
      <c r="CP20" s="73">
        <f t="shared" si="100"/>
        <v>0</v>
      </c>
      <c r="CQ20" s="535"/>
      <c r="CR20" s="566">
        <f t="shared" si="101"/>
        <v>0</v>
      </c>
      <c r="CS20" s="565">
        <f t="shared" si="102"/>
        <v>0</v>
      </c>
      <c r="CT20" s="567" t="str">
        <f t="shared" si="103"/>
        <v>0</v>
      </c>
      <c r="CU20" s="303"/>
      <c r="CV20" s="306"/>
      <c r="CW20" s="71">
        <f t="shared" si="104"/>
        <v>0</v>
      </c>
      <c r="CX20" s="75">
        <f t="shared" si="105"/>
        <v>0</v>
      </c>
      <c r="CY20" s="693"/>
      <c r="CZ20" s="71">
        <f t="shared" si="106"/>
        <v>0</v>
      </c>
      <c r="DA20" s="75">
        <f t="shared" si="107"/>
        <v>0</v>
      </c>
      <c r="DB20" s="306"/>
      <c r="DC20" s="71">
        <f t="shared" si="108"/>
        <v>0</v>
      </c>
      <c r="DD20" s="75">
        <f t="shared" si="109"/>
        <v>0</v>
      </c>
      <c r="DE20" s="306"/>
      <c r="DF20" s="71">
        <f t="shared" si="110"/>
        <v>0</v>
      </c>
      <c r="DG20" s="75">
        <f t="shared" si="111"/>
        <v>0</v>
      </c>
      <c r="DH20" s="303"/>
      <c r="DI20" s="71">
        <f t="shared" si="112"/>
        <v>0</v>
      </c>
      <c r="DJ20" s="75">
        <f t="shared" si="113"/>
        <v>0</v>
      </c>
      <c r="DK20" s="306"/>
      <c r="DL20" s="71">
        <f t="shared" si="114"/>
        <v>0</v>
      </c>
      <c r="DM20" s="75">
        <f t="shared" si="115"/>
        <v>0</v>
      </c>
      <c r="DN20" s="306"/>
      <c r="DO20" s="71">
        <f t="shared" si="116"/>
        <v>0</v>
      </c>
      <c r="DP20" s="75">
        <f t="shared" si="117"/>
        <v>0</v>
      </c>
      <c r="DQ20" s="306"/>
      <c r="DR20" s="71">
        <f t="shared" si="118"/>
        <v>0</v>
      </c>
      <c r="DS20" s="75">
        <f t="shared" si="119"/>
        <v>0</v>
      </c>
      <c r="DT20" s="306"/>
      <c r="DU20" s="71">
        <f t="shared" si="120"/>
        <v>0</v>
      </c>
      <c r="DV20" s="75">
        <f t="shared" si="121"/>
        <v>0</v>
      </c>
      <c r="DW20" s="306"/>
      <c r="DX20" s="71">
        <f t="shared" si="122"/>
        <v>0</v>
      </c>
      <c r="DY20" s="75">
        <f t="shared" si="123"/>
        <v>0</v>
      </c>
      <c r="DZ20" s="306"/>
      <c r="EA20" s="71">
        <f t="shared" si="124"/>
        <v>0</v>
      </c>
      <c r="EB20" s="75">
        <f t="shared" si="125"/>
        <v>0</v>
      </c>
      <c r="EC20" s="306"/>
      <c r="ED20" s="71">
        <f t="shared" si="126"/>
        <v>0</v>
      </c>
      <c r="EE20" s="75">
        <f t="shared" si="127"/>
        <v>0</v>
      </c>
      <c r="EF20" s="309"/>
      <c r="EG20" s="75">
        <f t="shared" si="128"/>
        <v>0</v>
      </c>
      <c r="EH20" s="309"/>
      <c r="EI20" s="75">
        <f t="shared" si="129"/>
        <v>0</v>
      </c>
      <c r="EJ20" s="310"/>
      <c r="EK20" s="75">
        <f t="shared" si="130"/>
        <v>0</v>
      </c>
      <c r="EL20" s="495"/>
      <c r="EM20" s="75">
        <f t="shared" si="131"/>
        <v>0</v>
      </c>
      <c r="EN20" s="310"/>
      <c r="EO20" s="346"/>
      <c r="EP20" s="491"/>
      <c r="EQ20" s="347"/>
      <c r="ER20" s="334"/>
      <c r="ES20" s="537"/>
      <c r="ET20" s="536"/>
      <c r="EU20" s="536"/>
      <c r="EV20" s="536"/>
      <c r="EX20" s="607"/>
    </row>
    <row r="21" spans="1:154" s="76" customFormat="1" ht="15">
      <c r="A21" s="68">
        <v>44791</v>
      </c>
      <c r="B21" s="304"/>
      <c r="C21" s="70">
        <f t="shared" si="55"/>
        <v>0</v>
      </c>
      <c r="D21" s="305"/>
      <c r="E21" s="70">
        <f t="shared" si="56"/>
        <v>0</v>
      </c>
      <c r="F21" s="721" t="e">
        <f t="shared" si="57"/>
        <v>#DIV/0!</v>
      </c>
      <c r="G21" s="305"/>
      <c r="H21" s="305"/>
      <c r="I21" s="305"/>
      <c r="J21" s="78">
        <f t="shared" ref="J21" si="225">IF((I21-I20)&lt;0,"0",(I21-I20))</f>
        <v>0</v>
      </c>
      <c r="K21" s="307"/>
      <c r="L21" s="78">
        <f t="shared" ref="L21" si="226">IF((K21-K20)&lt;0,"0",(K21-K20))</f>
        <v>0</v>
      </c>
      <c r="M21" s="303"/>
      <c r="N21" s="78">
        <f t="shared" ref="N21" si="227">IF((M21-M20)&lt;0,"0",(M21-M20))</f>
        <v>0</v>
      </c>
      <c r="O21" s="303"/>
      <c r="P21" s="78">
        <f t="shared" ref="P21" si="228">IF((O21-O20)&lt;0,"0",(O21-O20))</f>
        <v>0</v>
      </c>
      <c r="Q21" s="303"/>
      <c r="R21" s="78">
        <f t="shared" si="144"/>
        <v>0</v>
      </c>
      <c r="S21" s="303"/>
      <c r="T21" s="78">
        <f t="shared" si="62"/>
        <v>0</v>
      </c>
      <c r="U21" s="303"/>
      <c r="V21" s="78">
        <f t="shared" si="63"/>
        <v>0</v>
      </c>
      <c r="W21" s="303"/>
      <c r="X21" s="78">
        <f t="shared" si="64"/>
        <v>0</v>
      </c>
      <c r="Y21" s="303"/>
      <c r="Z21" s="78">
        <f t="shared" si="65"/>
        <v>0</v>
      </c>
      <c r="AA21" s="538"/>
      <c r="AB21" s="718"/>
      <c r="AC21" s="308">
        <f t="shared" si="66"/>
        <v>0</v>
      </c>
      <c r="AD21" s="307"/>
      <c r="AE21" s="734"/>
      <c r="AF21" s="78">
        <f t="shared" si="5"/>
        <v>0</v>
      </c>
      <c r="AG21" s="495"/>
      <c r="AH21" s="71">
        <f t="shared" si="67"/>
        <v>0</v>
      </c>
      <c r="AI21" s="303"/>
      <c r="AJ21" s="563">
        <f t="shared" si="68"/>
        <v>0</v>
      </c>
      <c r="AK21" s="303"/>
      <c r="AL21" s="563">
        <f t="shared" si="69"/>
        <v>0</v>
      </c>
      <c r="AM21" s="69"/>
      <c r="AN21" s="563">
        <f t="shared" si="70"/>
        <v>0</v>
      </c>
      <c r="AO21" s="69"/>
      <c r="AP21" s="563">
        <f t="shared" si="71"/>
        <v>0</v>
      </c>
      <c r="AQ21" s="303"/>
      <c r="AR21" s="78">
        <f t="shared" si="72"/>
        <v>0</v>
      </c>
      <c r="AS21" s="352"/>
      <c r="AT21" s="78">
        <f t="shared" si="73"/>
        <v>0</v>
      </c>
      <c r="AU21" s="534"/>
      <c r="AV21" s="78">
        <f t="shared" si="74"/>
        <v>0</v>
      </c>
      <c r="AW21" s="307"/>
      <c r="AX21" s="78">
        <f t="shared" si="75"/>
        <v>0</v>
      </c>
      <c r="AY21" s="303"/>
      <c r="AZ21" s="78">
        <f t="shared" si="76"/>
        <v>0</v>
      </c>
      <c r="BA21" s="303"/>
      <c r="BB21" s="78">
        <f t="shared" si="77"/>
        <v>0</v>
      </c>
      <c r="BC21" s="303"/>
      <c r="BD21" s="78">
        <f t="shared" si="78"/>
        <v>0</v>
      </c>
      <c r="BE21" s="495"/>
      <c r="BF21" s="71">
        <f t="shared" si="79"/>
        <v>0</v>
      </c>
      <c r="BG21" s="303"/>
      <c r="BH21" s="71">
        <f t="shared" si="80"/>
        <v>0</v>
      </c>
      <c r="BI21" s="303"/>
      <c r="BJ21" s="71">
        <f t="shared" si="81"/>
        <v>0</v>
      </c>
      <c r="BK21" s="303"/>
      <c r="BL21" s="71">
        <f t="shared" si="82"/>
        <v>0</v>
      </c>
      <c r="BM21" s="303"/>
      <c r="BN21" s="71">
        <f t="shared" si="83"/>
        <v>0</v>
      </c>
      <c r="BO21" s="303"/>
      <c r="BP21" s="71">
        <f t="shared" si="84"/>
        <v>0</v>
      </c>
      <c r="BQ21" s="303"/>
      <c r="BR21" s="71">
        <f t="shared" si="85"/>
        <v>0</v>
      </c>
      <c r="BS21" s="71">
        <f t="shared" si="86"/>
        <v>0</v>
      </c>
      <c r="BT21" s="71">
        <f t="shared" si="87"/>
        <v>0</v>
      </c>
      <c r="BU21" s="303"/>
      <c r="BV21" s="71">
        <f t="shared" si="88"/>
        <v>0</v>
      </c>
      <c r="BW21" s="303"/>
      <c r="BX21" s="71">
        <f t="shared" si="89"/>
        <v>0</v>
      </c>
      <c r="BY21" s="303"/>
      <c r="BZ21" s="71">
        <f t="shared" si="90"/>
        <v>0</v>
      </c>
      <c r="CA21" s="495"/>
      <c r="CB21" s="71">
        <f t="shared" si="91"/>
        <v>0</v>
      </c>
      <c r="CC21" s="75">
        <f>BZ21-AR21</f>
        <v>0</v>
      </c>
      <c r="CD21" s="71">
        <f t="shared" si="93"/>
        <v>0</v>
      </c>
      <c r="CE21" s="72">
        <f t="shared" si="94"/>
        <v>0</v>
      </c>
      <c r="CF21" s="495"/>
      <c r="CG21" s="496">
        <f t="shared" si="95"/>
        <v>0</v>
      </c>
      <c r="CH21" s="309"/>
      <c r="CI21" s="726">
        <f t="shared" si="173"/>
        <v>0</v>
      </c>
      <c r="CJ21" s="306"/>
      <c r="CK21" s="71">
        <f t="shared" si="174"/>
        <v>0</v>
      </c>
      <c r="CL21" s="75">
        <f t="shared" si="175"/>
        <v>0</v>
      </c>
      <c r="CM21" s="535"/>
      <c r="CN21" s="564">
        <f t="shared" si="99"/>
        <v>0</v>
      </c>
      <c r="CO21" s="306"/>
      <c r="CP21" s="73">
        <f t="shared" si="100"/>
        <v>0</v>
      </c>
      <c r="CQ21" s="535"/>
      <c r="CR21" s="566">
        <f t="shared" si="101"/>
        <v>0</v>
      </c>
      <c r="CS21" s="565">
        <f t="shared" si="102"/>
        <v>0</v>
      </c>
      <c r="CT21" s="567" t="str">
        <f t="shared" si="103"/>
        <v>0</v>
      </c>
      <c r="CU21" s="303"/>
      <c r="CV21" s="306"/>
      <c r="CW21" s="71">
        <f t="shared" si="104"/>
        <v>0</v>
      </c>
      <c r="CX21" s="75">
        <f t="shared" si="105"/>
        <v>0</v>
      </c>
      <c r="CY21" s="693"/>
      <c r="CZ21" s="71">
        <f t="shared" si="106"/>
        <v>0</v>
      </c>
      <c r="DA21" s="75">
        <f t="shared" si="107"/>
        <v>0</v>
      </c>
      <c r="DB21" s="306"/>
      <c r="DC21" s="71">
        <f t="shared" si="108"/>
        <v>0</v>
      </c>
      <c r="DD21" s="75">
        <f t="shared" si="109"/>
        <v>0</v>
      </c>
      <c r="DE21" s="306"/>
      <c r="DF21" s="71">
        <f t="shared" si="110"/>
        <v>0</v>
      </c>
      <c r="DG21" s="75">
        <f t="shared" si="111"/>
        <v>0</v>
      </c>
      <c r="DH21" s="303"/>
      <c r="DI21" s="71">
        <f t="shared" si="112"/>
        <v>0</v>
      </c>
      <c r="DJ21" s="75">
        <f t="shared" si="113"/>
        <v>0</v>
      </c>
      <c r="DK21" s="306"/>
      <c r="DL21" s="71">
        <f t="shared" si="114"/>
        <v>0</v>
      </c>
      <c r="DM21" s="75">
        <f t="shared" si="115"/>
        <v>0</v>
      </c>
      <c r="DN21" s="306"/>
      <c r="DO21" s="71">
        <f t="shared" si="116"/>
        <v>0</v>
      </c>
      <c r="DP21" s="75">
        <f t="shared" si="117"/>
        <v>0</v>
      </c>
      <c r="DQ21" s="306"/>
      <c r="DR21" s="71">
        <f t="shared" si="118"/>
        <v>0</v>
      </c>
      <c r="DS21" s="75">
        <f t="shared" si="119"/>
        <v>0</v>
      </c>
      <c r="DT21" s="306"/>
      <c r="DU21" s="71">
        <f t="shared" si="120"/>
        <v>0</v>
      </c>
      <c r="DV21" s="75">
        <f t="shared" si="121"/>
        <v>0</v>
      </c>
      <c r="DW21" s="306"/>
      <c r="DX21" s="71">
        <f t="shared" si="122"/>
        <v>0</v>
      </c>
      <c r="DY21" s="75">
        <f t="shared" si="123"/>
        <v>0</v>
      </c>
      <c r="EA21" s="71">
        <f t="shared" si="124"/>
        <v>0</v>
      </c>
      <c r="EB21" s="75">
        <f t="shared" si="125"/>
        <v>0</v>
      </c>
      <c r="EC21" s="306"/>
      <c r="ED21" s="71">
        <f t="shared" si="126"/>
        <v>0</v>
      </c>
      <c r="EE21" s="75">
        <f t="shared" si="127"/>
        <v>0</v>
      </c>
      <c r="EF21" s="309"/>
      <c r="EG21" s="75">
        <f t="shared" si="128"/>
        <v>0</v>
      </c>
      <c r="EH21" s="309"/>
      <c r="EI21" s="75">
        <f t="shared" si="129"/>
        <v>0</v>
      </c>
      <c r="EJ21" s="310"/>
      <c r="EK21" s="75">
        <f t="shared" si="130"/>
        <v>0</v>
      </c>
      <c r="EL21" s="495"/>
      <c r="EM21" s="75">
        <f t="shared" si="131"/>
        <v>0</v>
      </c>
      <c r="EN21" s="310"/>
      <c r="EO21" s="346"/>
      <c r="EP21" s="491"/>
      <c r="EQ21" s="347"/>
      <c r="ER21" s="334"/>
      <c r="ES21" s="537"/>
      <c r="ET21" s="536"/>
      <c r="EU21" s="536"/>
      <c r="EV21" s="536"/>
    </row>
    <row r="22" spans="1:154" s="76" customFormat="1" ht="15">
      <c r="A22" s="68">
        <v>44792</v>
      </c>
      <c r="B22" s="304"/>
      <c r="C22" s="70">
        <f t="shared" si="55"/>
        <v>0</v>
      </c>
      <c r="D22" s="305"/>
      <c r="E22" s="70">
        <f t="shared" si="56"/>
        <v>0</v>
      </c>
      <c r="F22" s="721" t="e">
        <f t="shared" si="57"/>
        <v>#DIV/0!</v>
      </c>
      <c r="G22" s="305"/>
      <c r="H22" s="305"/>
      <c r="I22" s="305"/>
      <c r="J22" s="78">
        <f t="shared" ref="J22" si="229">IF((I22-I21)&lt;0,"0",(I22-I21))</f>
        <v>0</v>
      </c>
      <c r="K22" s="307"/>
      <c r="L22" s="78">
        <f t="shared" ref="L22" si="230">IF((K22-K21)&lt;0,"0",(K22-K21))</f>
        <v>0</v>
      </c>
      <c r="M22" s="303"/>
      <c r="N22" s="78">
        <f t="shared" ref="N22" si="231">IF((M22-M21)&lt;0,"0",(M22-M21))</f>
        <v>0</v>
      </c>
      <c r="O22" s="303"/>
      <c r="P22" s="78">
        <f>IF((O22-O21)&lt;0,"0",(O22-O21))</f>
        <v>0</v>
      </c>
      <c r="Q22" s="303"/>
      <c r="R22" s="78">
        <f t="shared" ref="R22:R34" si="232">IF((Q22-Q21)&lt;0,"0",(Q22-Q21))</f>
        <v>0</v>
      </c>
      <c r="S22" s="303"/>
      <c r="T22" s="78">
        <f t="shared" si="62"/>
        <v>0</v>
      </c>
      <c r="U22" s="303"/>
      <c r="V22" s="78">
        <f t="shared" si="63"/>
        <v>0</v>
      </c>
      <c r="W22" s="303"/>
      <c r="X22" s="78">
        <f t="shared" si="64"/>
        <v>0</v>
      </c>
      <c r="Y22" s="303"/>
      <c r="Z22" s="78">
        <f t="shared" si="65"/>
        <v>0</v>
      </c>
      <c r="AA22" s="538"/>
      <c r="AB22" s="718"/>
      <c r="AC22" s="308">
        <f t="shared" si="66"/>
        <v>0</v>
      </c>
      <c r="AD22" s="307"/>
      <c r="AE22" s="303"/>
      <c r="AF22" s="78">
        <f t="shared" si="5"/>
        <v>0</v>
      </c>
      <c r="AG22" s="495"/>
      <c r="AH22" s="71">
        <f t="shared" si="67"/>
        <v>0</v>
      </c>
      <c r="AI22" s="303"/>
      <c r="AJ22" s="563">
        <f t="shared" si="68"/>
        <v>0</v>
      </c>
      <c r="AK22" s="303"/>
      <c r="AL22" s="563">
        <f t="shared" si="69"/>
        <v>0</v>
      </c>
      <c r="AM22" s="69"/>
      <c r="AN22" s="563">
        <f t="shared" si="70"/>
        <v>0</v>
      </c>
      <c r="AO22" s="69"/>
      <c r="AP22" s="563">
        <f t="shared" si="71"/>
        <v>0</v>
      </c>
      <c r="AQ22" s="303"/>
      <c r="AR22" s="78">
        <f t="shared" si="72"/>
        <v>0</v>
      </c>
      <c r="AS22" s="352"/>
      <c r="AT22" s="78">
        <f t="shared" si="73"/>
        <v>0</v>
      </c>
      <c r="AU22" s="534"/>
      <c r="AV22" s="78">
        <f t="shared" si="74"/>
        <v>0</v>
      </c>
      <c r="AW22" s="307"/>
      <c r="AX22" s="78">
        <f t="shared" si="75"/>
        <v>0</v>
      </c>
      <c r="AY22" s="303"/>
      <c r="AZ22" s="78">
        <f t="shared" si="76"/>
        <v>0</v>
      </c>
      <c r="BA22" s="303"/>
      <c r="BB22" s="78">
        <f t="shared" si="77"/>
        <v>0</v>
      </c>
      <c r="BC22" s="303"/>
      <c r="BD22" s="78">
        <f t="shared" si="78"/>
        <v>0</v>
      </c>
      <c r="BE22" s="495"/>
      <c r="BF22" s="71">
        <f t="shared" si="79"/>
        <v>0</v>
      </c>
      <c r="BG22" s="303"/>
      <c r="BH22" s="71">
        <f t="shared" si="80"/>
        <v>0</v>
      </c>
      <c r="BI22" s="303"/>
      <c r="BJ22" s="71">
        <f t="shared" si="81"/>
        <v>0</v>
      </c>
      <c r="BK22" s="303"/>
      <c r="BL22" s="71">
        <f t="shared" si="82"/>
        <v>0</v>
      </c>
      <c r="BM22" s="303"/>
      <c r="BN22" s="71">
        <f t="shared" si="83"/>
        <v>0</v>
      </c>
      <c r="BO22" s="303"/>
      <c r="BP22" s="71">
        <f t="shared" si="84"/>
        <v>0</v>
      </c>
      <c r="BQ22" s="303"/>
      <c r="BR22" s="71">
        <f t="shared" si="85"/>
        <v>0</v>
      </c>
      <c r="BS22" s="71">
        <f t="shared" si="86"/>
        <v>0</v>
      </c>
      <c r="BT22" s="71">
        <f t="shared" si="87"/>
        <v>0</v>
      </c>
      <c r="BU22" s="303"/>
      <c r="BV22" s="71">
        <f t="shared" si="88"/>
        <v>0</v>
      </c>
      <c r="BW22" s="303"/>
      <c r="BX22" s="71">
        <f t="shared" si="89"/>
        <v>0</v>
      </c>
      <c r="BY22" s="303"/>
      <c r="BZ22" s="71">
        <f t="shared" si="90"/>
        <v>0</v>
      </c>
      <c r="CA22" s="495"/>
      <c r="CB22" s="71">
        <f t="shared" si="91"/>
        <v>0</v>
      </c>
      <c r="CC22" s="75">
        <f t="shared" ref="CC22:CC27" si="233">BZ22-AR22</f>
        <v>0</v>
      </c>
      <c r="CD22" s="71">
        <f t="shared" si="93"/>
        <v>0</v>
      </c>
      <c r="CE22" s="72">
        <f t="shared" si="94"/>
        <v>0</v>
      </c>
      <c r="CF22" s="495"/>
      <c r="CG22" s="496">
        <f t="shared" si="95"/>
        <v>0</v>
      </c>
      <c r="CH22" s="309"/>
      <c r="CI22" s="726">
        <f t="shared" si="96"/>
        <v>0</v>
      </c>
      <c r="CJ22" s="306"/>
      <c r="CK22" s="71">
        <f t="shared" si="97"/>
        <v>0</v>
      </c>
      <c r="CL22" s="75">
        <f t="shared" si="98"/>
        <v>0</v>
      </c>
      <c r="CM22" s="535"/>
      <c r="CN22" s="564">
        <f t="shared" si="99"/>
        <v>0</v>
      </c>
      <c r="CO22" s="306"/>
      <c r="CP22" s="73">
        <f t="shared" si="100"/>
        <v>0</v>
      </c>
      <c r="CQ22" s="535"/>
      <c r="CR22" s="566">
        <f t="shared" si="101"/>
        <v>0</v>
      </c>
      <c r="CS22" s="565">
        <f t="shared" si="102"/>
        <v>0</v>
      </c>
      <c r="CT22" s="567" t="str">
        <f t="shared" si="103"/>
        <v>0</v>
      </c>
      <c r="CU22" s="303"/>
      <c r="CV22" s="306"/>
      <c r="CW22" s="71">
        <f t="shared" si="104"/>
        <v>0</v>
      </c>
      <c r="CX22" s="75">
        <f t="shared" si="105"/>
        <v>0</v>
      </c>
      <c r="CY22" s="693"/>
      <c r="CZ22" s="71">
        <f t="shared" si="106"/>
        <v>0</v>
      </c>
      <c r="DA22" s="75">
        <f t="shared" si="107"/>
        <v>0</v>
      </c>
      <c r="DB22" s="306"/>
      <c r="DC22" s="71">
        <f t="shared" si="108"/>
        <v>0</v>
      </c>
      <c r="DD22" s="75">
        <f t="shared" si="109"/>
        <v>0</v>
      </c>
      <c r="DE22" s="306"/>
      <c r="DF22" s="71">
        <f t="shared" si="110"/>
        <v>0</v>
      </c>
      <c r="DG22" s="75">
        <f t="shared" si="111"/>
        <v>0</v>
      </c>
      <c r="DH22" s="303"/>
      <c r="DI22" s="71">
        <f t="shared" si="112"/>
        <v>0</v>
      </c>
      <c r="DJ22" s="75">
        <f t="shared" si="113"/>
        <v>0</v>
      </c>
      <c r="DK22" s="306"/>
      <c r="DL22" s="71">
        <f t="shared" si="114"/>
        <v>0</v>
      </c>
      <c r="DM22" s="75">
        <f t="shared" si="115"/>
        <v>0</v>
      </c>
      <c r="DN22" s="306"/>
      <c r="DO22" s="71">
        <f t="shared" si="116"/>
        <v>0</v>
      </c>
      <c r="DP22" s="75">
        <f t="shared" si="117"/>
        <v>0</v>
      </c>
      <c r="DQ22" s="306"/>
      <c r="DR22" s="71">
        <f t="shared" si="118"/>
        <v>0</v>
      </c>
      <c r="DS22" s="75">
        <f t="shared" si="119"/>
        <v>0</v>
      </c>
      <c r="DT22" s="306"/>
      <c r="DU22" s="71">
        <f t="shared" si="120"/>
        <v>0</v>
      </c>
      <c r="DV22" s="75">
        <f t="shared" si="121"/>
        <v>0</v>
      </c>
      <c r="DW22" s="306"/>
      <c r="DX22" s="71">
        <f t="shared" si="122"/>
        <v>0</v>
      </c>
      <c r="DY22" s="75">
        <f t="shared" si="123"/>
        <v>0</v>
      </c>
      <c r="DZ22" s="306"/>
      <c r="EA22" s="71">
        <f t="shared" si="124"/>
        <v>0</v>
      </c>
      <c r="EB22" s="75">
        <f t="shared" si="125"/>
        <v>0</v>
      </c>
      <c r="EC22" s="306"/>
      <c r="ED22" s="71">
        <f t="shared" si="126"/>
        <v>0</v>
      </c>
      <c r="EE22" s="75">
        <f t="shared" si="127"/>
        <v>0</v>
      </c>
      <c r="EF22" s="309"/>
      <c r="EG22" s="75">
        <f t="shared" si="128"/>
        <v>0</v>
      </c>
      <c r="EH22" s="309"/>
      <c r="EI22" s="75">
        <f t="shared" si="129"/>
        <v>0</v>
      </c>
      <c r="EJ22" s="310"/>
      <c r="EK22" s="75">
        <f t="shared" si="130"/>
        <v>0</v>
      </c>
      <c r="EL22" s="495"/>
      <c r="EM22" s="75">
        <f t="shared" si="131"/>
        <v>0</v>
      </c>
      <c r="EN22" s="310"/>
      <c r="EO22" s="346"/>
      <c r="EP22" s="491"/>
      <c r="EQ22" s="347"/>
      <c r="ER22" s="334"/>
      <c r="ES22" s="537"/>
      <c r="ET22" s="536"/>
      <c r="EU22" s="536"/>
      <c r="EV22" s="536"/>
    </row>
    <row r="23" spans="1:154" s="76" customFormat="1" ht="15">
      <c r="A23" s="68">
        <v>44793</v>
      </c>
      <c r="B23" s="304"/>
      <c r="C23" s="70">
        <f t="shared" si="55"/>
        <v>0</v>
      </c>
      <c r="D23" s="305"/>
      <c r="E23" s="70">
        <f t="shared" si="56"/>
        <v>0</v>
      </c>
      <c r="F23" s="721" t="e">
        <f t="shared" si="57"/>
        <v>#DIV/0!</v>
      </c>
      <c r="G23" s="305"/>
      <c r="H23" s="305"/>
      <c r="I23" s="305"/>
      <c r="J23" s="78">
        <f t="shared" ref="J23" si="234">IF((I23-I22)&lt;0,"0",(I23-I22))</f>
        <v>0</v>
      </c>
      <c r="K23" s="307"/>
      <c r="L23" s="78">
        <f t="shared" ref="L23" si="235">IF((K23-K22)&lt;0,"0",(K23-K22))</f>
        <v>0</v>
      </c>
      <c r="M23" s="303"/>
      <c r="N23" s="78">
        <f t="shared" ref="N23" si="236">IF((M23-M22)&lt;0,"0",(M23-M22))</f>
        <v>0</v>
      </c>
      <c r="O23" s="303"/>
      <c r="P23" s="78">
        <f>IF((O23-O22)&lt;0,"0",(O23-O22))</f>
        <v>0</v>
      </c>
      <c r="Q23" s="303"/>
      <c r="R23" s="78">
        <f t="shared" si="232"/>
        <v>0</v>
      </c>
      <c r="S23" s="303"/>
      <c r="T23" s="78">
        <f t="shared" si="62"/>
        <v>0</v>
      </c>
      <c r="U23" s="303"/>
      <c r="V23" s="78">
        <f t="shared" si="63"/>
        <v>0</v>
      </c>
      <c r="W23" s="303"/>
      <c r="X23" s="78">
        <f t="shared" si="64"/>
        <v>0</v>
      </c>
      <c r="Y23" s="303"/>
      <c r="Z23" s="78">
        <f t="shared" si="65"/>
        <v>0</v>
      </c>
      <c r="AA23" s="538"/>
      <c r="AB23" s="718"/>
      <c r="AC23" s="308">
        <f t="shared" si="66"/>
        <v>0</v>
      </c>
      <c r="AD23" s="307"/>
      <c r="AE23" s="303"/>
      <c r="AF23" s="78">
        <f t="shared" si="5"/>
        <v>0</v>
      </c>
      <c r="AG23" s="495"/>
      <c r="AH23" s="71">
        <f t="shared" si="67"/>
        <v>0</v>
      </c>
      <c r="AI23" s="742"/>
      <c r="AJ23" s="563">
        <f t="shared" si="68"/>
        <v>0</v>
      </c>
      <c r="AK23" s="303"/>
      <c r="AL23" s="563">
        <f t="shared" si="69"/>
        <v>0</v>
      </c>
      <c r="AM23" s="69"/>
      <c r="AN23" s="563">
        <f t="shared" si="70"/>
        <v>0</v>
      </c>
      <c r="AO23" s="69"/>
      <c r="AP23" s="563">
        <f t="shared" si="71"/>
        <v>0</v>
      </c>
      <c r="AQ23" s="303"/>
      <c r="AR23" s="78">
        <f t="shared" si="72"/>
        <v>0</v>
      </c>
      <c r="AS23" s="352"/>
      <c r="AT23" s="78">
        <f t="shared" si="73"/>
        <v>0</v>
      </c>
      <c r="AU23" s="534"/>
      <c r="AV23" s="78">
        <f t="shared" si="74"/>
        <v>0</v>
      </c>
      <c r="AW23" s="307"/>
      <c r="AX23" s="78">
        <f t="shared" si="75"/>
        <v>0</v>
      </c>
      <c r="AY23" s="303"/>
      <c r="AZ23" s="78">
        <f t="shared" si="76"/>
        <v>0</v>
      </c>
      <c r="BA23" s="303"/>
      <c r="BB23" s="78">
        <f t="shared" si="77"/>
        <v>0</v>
      </c>
      <c r="BC23" s="303"/>
      <c r="BD23" s="78">
        <f t="shared" si="78"/>
        <v>0</v>
      </c>
      <c r="BE23" s="495"/>
      <c r="BF23" s="71">
        <f t="shared" si="79"/>
        <v>0</v>
      </c>
      <c r="BG23" s="303"/>
      <c r="BH23" s="71">
        <f t="shared" si="80"/>
        <v>0</v>
      </c>
      <c r="BI23" s="303"/>
      <c r="BJ23" s="71">
        <f t="shared" si="81"/>
        <v>0</v>
      </c>
      <c r="BK23" s="303"/>
      <c r="BL23" s="71">
        <f t="shared" si="82"/>
        <v>0</v>
      </c>
      <c r="BM23" s="303"/>
      <c r="BN23" s="71">
        <f t="shared" si="83"/>
        <v>0</v>
      </c>
      <c r="BO23" s="303"/>
      <c r="BP23" s="71">
        <f t="shared" si="84"/>
        <v>0</v>
      </c>
      <c r="BQ23" s="303"/>
      <c r="BR23" s="71">
        <f t="shared" si="85"/>
        <v>0</v>
      </c>
      <c r="BS23" s="71">
        <f t="shared" si="86"/>
        <v>0</v>
      </c>
      <c r="BT23" s="71">
        <f t="shared" si="87"/>
        <v>0</v>
      </c>
      <c r="BU23" s="303"/>
      <c r="BV23" s="71">
        <f t="shared" si="88"/>
        <v>0</v>
      </c>
      <c r="BW23" s="303"/>
      <c r="BX23" s="71">
        <f t="shared" si="89"/>
        <v>0</v>
      </c>
      <c r="BY23" s="303"/>
      <c r="BZ23" s="71">
        <f t="shared" si="90"/>
        <v>0</v>
      </c>
      <c r="CA23" s="495"/>
      <c r="CB23" s="71">
        <f t="shared" si="91"/>
        <v>0</v>
      </c>
      <c r="CC23" s="75">
        <f t="shared" si="233"/>
        <v>0</v>
      </c>
      <c r="CD23" s="71">
        <f t="shared" si="93"/>
        <v>0</v>
      </c>
      <c r="CE23" s="72">
        <f t="shared" si="94"/>
        <v>0</v>
      </c>
      <c r="CF23" s="495"/>
      <c r="CG23" s="496">
        <f t="shared" si="95"/>
        <v>0</v>
      </c>
      <c r="CH23" s="309"/>
      <c r="CI23" s="726">
        <f t="shared" si="96"/>
        <v>0</v>
      </c>
      <c r="CJ23" s="306"/>
      <c r="CK23" s="71">
        <f t="shared" si="97"/>
        <v>0</v>
      </c>
      <c r="CL23" s="75">
        <f t="shared" si="98"/>
        <v>0</v>
      </c>
      <c r="CM23" s="535"/>
      <c r="CN23" s="564">
        <f t="shared" si="99"/>
        <v>0</v>
      </c>
      <c r="CO23" s="306"/>
      <c r="CP23" s="73">
        <f t="shared" si="100"/>
        <v>0</v>
      </c>
      <c r="CQ23" s="535"/>
      <c r="CR23" s="566">
        <f t="shared" si="101"/>
        <v>0</v>
      </c>
      <c r="CS23" s="565">
        <f t="shared" si="102"/>
        <v>0</v>
      </c>
      <c r="CT23" s="567" t="str">
        <f t="shared" si="103"/>
        <v>0</v>
      </c>
      <c r="CU23" s="303"/>
      <c r="CV23" s="306"/>
      <c r="CW23" s="71">
        <f t="shared" si="104"/>
        <v>0</v>
      </c>
      <c r="CX23" s="75">
        <f t="shared" si="105"/>
        <v>0</v>
      </c>
      <c r="CY23" s="693"/>
      <c r="CZ23" s="71">
        <f t="shared" si="106"/>
        <v>0</v>
      </c>
      <c r="DA23" s="75">
        <f t="shared" si="107"/>
        <v>0</v>
      </c>
      <c r="DB23" s="306"/>
      <c r="DC23" s="71">
        <f t="shared" si="108"/>
        <v>0</v>
      </c>
      <c r="DD23" s="75">
        <f t="shared" si="109"/>
        <v>0</v>
      </c>
      <c r="DE23" s="306"/>
      <c r="DF23" s="71">
        <f t="shared" si="110"/>
        <v>0</v>
      </c>
      <c r="DG23" s="75">
        <f t="shared" si="111"/>
        <v>0</v>
      </c>
      <c r="DH23" s="303"/>
      <c r="DI23" s="71">
        <f t="shared" si="112"/>
        <v>0</v>
      </c>
      <c r="DJ23" s="75">
        <f t="shared" si="113"/>
        <v>0</v>
      </c>
      <c r="DK23" s="306"/>
      <c r="DL23" s="71">
        <f t="shared" si="114"/>
        <v>0</v>
      </c>
      <c r="DM23" s="75">
        <f t="shared" si="115"/>
        <v>0</v>
      </c>
      <c r="DN23" s="306"/>
      <c r="DO23" s="71">
        <f t="shared" si="116"/>
        <v>0</v>
      </c>
      <c r="DP23" s="75">
        <f t="shared" si="117"/>
        <v>0</v>
      </c>
      <c r="DQ23" s="306"/>
      <c r="DR23" s="71">
        <f t="shared" si="118"/>
        <v>0</v>
      </c>
      <c r="DS23" s="75">
        <f t="shared" si="119"/>
        <v>0</v>
      </c>
      <c r="DT23" s="306"/>
      <c r="DU23" s="71">
        <f t="shared" si="120"/>
        <v>0</v>
      </c>
      <c r="DV23" s="75">
        <f t="shared" si="121"/>
        <v>0</v>
      </c>
      <c r="DW23" s="306"/>
      <c r="DX23" s="71">
        <f t="shared" si="122"/>
        <v>0</v>
      </c>
      <c r="DY23" s="75">
        <f t="shared" si="123"/>
        <v>0</v>
      </c>
      <c r="DZ23" s="306"/>
      <c r="EA23" s="71">
        <f t="shared" si="124"/>
        <v>0</v>
      </c>
      <c r="EB23" s="75">
        <f t="shared" si="125"/>
        <v>0</v>
      </c>
      <c r="EC23" s="306"/>
      <c r="ED23" s="71">
        <f t="shared" si="126"/>
        <v>0</v>
      </c>
      <c r="EE23" s="75">
        <f t="shared" si="127"/>
        <v>0</v>
      </c>
      <c r="EF23" s="309"/>
      <c r="EG23" s="75">
        <f t="shared" si="128"/>
        <v>0</v>
      </c>
      <c r="EH23" s="309"/>
      <c r="EI23" s="75">
        <f t="shared" si="129"/>
        <v>0</v>
      </c>
      <c r="EJ23" s="310"/>
      <c r="EK23" s="75">
        <f t="shared" si="130"/>
        <v>0</v>
      </c>
      <c r="EL23" s="495"/>
      <c r="EM23" s="75">
        <f t="shared" si="131"/>
        <v>0</v>
      </c>
      <c r="EN23" s="310"/>
      <c r="EO23" s="346"/>
      <c r="EP23" s="491"/>
      <c r="EQ23" s="347"/>
      <c r="ER23" s="334"/>
      <c r="ES23" s="537"/>
      <c r="ET23" s="536"/>
      <c r="EU23" s="536"/>
      <c r="EV23" s="536"/>
    </row>
    <row r="24" spans="1:154" s="76" customFormat="1" ht="15">
      <c r="A24" s="68">
        <v>44794</v>
      </c>
      <c r="B24" s="304"/>
      <c r="C24" s="70">
        <f t="shared" si="55"/>
        <v>0</v>
      </c>
      <c r="D24" s="305"/>
      <c r="E24" s="70">
        <f t="shared" ref="E24" si="237">IF((D24-D23)&lt;0,"0",(D24-D23))</f>
        <v>0</v>
      </c>
      <c r="F24" s="721" t="e">
        <f t="shared" ref="F24" si="238">E24/C24</f>
        <v>#DIV/0!</v>
      </c>
      <c r="G24" s="305"/>
      <c r="H24" s="305"/>
      <c r="I24" s="305"/>
      <c r="J24" s="78">
        <f t="shared" ref="J24" si="239">IF((I24-I23)&lt;0,"0",(I24-I23))</f>
        <v>0</v>
      </c>
      <c r="K24" s="307"/>
      <c r="L24" s="78">
        <f t="shared" ref="L24" si="240">IF((K24-K23)&lt;0,"0",(K24-K23))</f>
        <v>0</v>
      </c>
      <c r="M24" s="303"/>
      <c r="N24" s="78">
        <f t="shared" ref="N24" si="241">IF((M24-M23)&lt;0,"0",(M24-M23))</f>
        <v>0</v>
      </c>
      <c r="O24" s="303"/>
      <c r="P24" s="78">
        <f>IF((O24-O23)&lt;0,"0",(O24-O23))</f>
        <v>0</v>
      </c>
      <c r="Q24" s="303"/>
      <c r="R24" s="78">
        <f t="shared" ref="R24" si="242">IF((Q24-Q23)&lt;0,"0",(Q24-Q23))</f>
        <v>0</v>
      </c>
      <c r="S24" s="303"/>
      <c r="T24" s="78">
        <f t="shared" si="62"/>
        <v>0</v>
      </c>
      <c r="U24" s="303"/>
      <c r="V24" s="78">
        <f t="shared" ref="V24" si="243">IF((U24-U23)&lt;0,"0",(U24-U23))</f>
        <v>0</v>
      </c>
      <c r="W24" s="303"/>
      <c r="X24" s="78">
        <f t="shared" si="64"/>
        <v>0</v>
      </c>
      <c r="Y24" s="303"/>
      <c r="Z24" s="78">
        <f t="shared" ref="Z24" si="244">Y24-Y23</f>
        <v>0</v>
      </c>
      <c r="AA24" s="538"/>
      <c r="AB24" s="718"/>
      <c r="AC24" s="308">
        <f t="shared" si="66"/>
        <v>0</v>
      </c>
      <c r="AD24" s="307"/>
      <c r="AE24" s="303"/>
      <c r="AF24" s="78">
        <f t="shared" ref="AF24" si="245">IF((AE24-AE23)&lt;0,"0",(AE24-AE23))</f>
        <v>0</v>
      </c>
      <c r="AG24" s="495"/>
      <c r="AH24" s="71">
        <f t="shared" si="67"/>
        <v>0</v>
      </c>
      <c r="AI24" s="742"/>
      <c r="AJ24" s="563">
        <f t="shared" si="68"/>
        <v>0</v>
      </c>
      <c r="AK24" s="303"/>
      <c r="AL24" s="563">
        <f t="shared" si="69"/>
        <v>0</v>
      </c>
      <c r="AM24" s="69"/>
      <c r="AN24" s="563">
        <f t="shared" si="70"/>
        <v>0</v>
      </c>
      <c r="AO24" s="69"/>
      <c r="AP24" s="563">
        <f t="shared" si="71"/>
        <v>0</v>
      </c>
      <c r="AQ24" s="303"/>
      <c r="AR24" s="78">
        <f t="shared" si="72"/>
        <v>0</v>
      </c>
      <c r="AS24" s="352"/>
      <c r="AT24" s="78">
        <f t="shared" si="73"/>
        <v>0</v>
      </c>
      <c r="AU24" s="534"/>
      <c r="AV24" s="78">
        <f t="shared" si="74"/>
        <v>0</v>
      </c>
      <c r="AW24" s="307"/>
      <c r="AX24" s="78">
        <f t="shared" si="75"/>
        <v>0</v>
      </c>
      <c r="AY24" s="303"/>
      <c r="AZ24" s="78">
        <f t="shared" si="76"/>
        <v>0</v>
      </c>
      <c r="BA24" s="303"/>
      <c r="BB24" s="78">
        <f t="shared" si="77"/>
        <v>0</v>
      </c>
      <c r="BC24" s="303"/>
      <c r="BD24" s="78">
        <f t="shared" si="78"/>
        <v>0</v>
      </c>
      <c r="BE24" s="495"/>
      <c r="BF24" s="71">
        <f t="shared" si="79"/>
        <v>0</v>
      </c>
      <c r="BG24" s="303"/>
      <c r="BH24" s="71">
        <f t="shared" si="80"/>
        <v>0</v>
      </c>
      <c r="BI24" s="303"/>
      <c r="BJ24" s="71">
        <f t="shared" si="81"/>
        <v>0</v>
      </c>
      <c r="BK24" s="303"/>
      <c r="BL24" s="71">
        <f t="shared" si="82"/>
        <v>0</v>
      </c>
      <c r="BM24" s="303"/>
      <c r="BN24" s="71">
        <f t="shared" si="83"/>
        <v>0</v>
      </c>
      <c r="BO24" s="303"/>
      <c r="BP24" s="71">
        <f t="shared" si="84"/>
        <v>0</v>
      </c>
      <c r="BQ24" s="303"/>
      <c r="BR24" s="71">
        <f t="shared" si="85"/>
        <v>0</v>
      </c>
      <c r="BS24" s="71">
        <f t="shared" si="86"/>
        <v>0</v>
      </c>
      <c r="BT24" s="71">
        <f t="shared" si="87"/>
        <v>0</v>
      </c>
      <c r="BU24" s="303"/>
      <c r="BV24" s="71">
        <f t="shared" si="88"/>
        <v>0</v>
      </c>
      <c r="BW24" s="303"/>
      <c r="BX24" s="71">
        <f t="shared" si="89"/>
        <v>0</v>
      </c>
      <c r="BY24" s="303"/>
      <c r="BZ24" s="71">
        <f t="shared" si="90"/>
        <v>0</v>
      </c>
      <c r="CA24" s="495"/>
      <c r="CB24" s="71">
        <f t="shared" si="91"/>
        <v>0</v>
      </c>
      <c r="CC24" s="75">
        <f t="shared" si="233"/>
        <v>0</v>
      </c>
      <c r="CD24" s="71">
        <f t="shared" si="93"/>
        <v>0</v>
      </c>
      <c r="CE24" s="72">
        <f t="shared" si="94"/>
        <v>0</v>
      </c>
      <c r="CF24" s="495"/>
      <c r="CG24" s="496">
        <f t="shared" si="95"/>
        <v>0</v>
      </c>
      <c r="CH24" s="309"/>
      <c r="CI24" s="726">
        <f t="shared" si="96"/>
        <v>0</v>
      </c>
      <c r="CJ24" s="306"/>
      <c r="CK24" s="71">
        <f t="shared" si="97"/>
        <v>0</v>
      </c>
      <c r="CL24" s="75">
        <f t="shared" si="98"/>
        <v>0</v>
      </c>
      <c r="CM24" s="535"/>
      <c r="CN24" s="564">
        <f t="shared" si="99"/>
        <v>0</v>
      </c>
      <c r="CO24" s="306"/>
      <c r="CP24" s="73">
        <f t="shared" si="100"/>
        <v>0</v>
      </c>
      <c r="CQ24" s="535"/>
      <c r="CR24" s="566">
        <f t="shared" si="101"/>
        <v>0</v>
      </c>
      <c r="CS24" s="565">
        <f t="shared" si="102"/>
        <v>0</v>
      </c>
      <c r="CT24" s="567" t="str">
        <f t="shared" si="103"/>
        <v>0</v>
      </c>
      <c r="CU24" s="303"/>
      <c r="CV24" s="306"/>
      <c r="CW24" s="71">
        <f t="shared" si="104"/>
        <v>0</v>
      </c>
      <c r="CX24" s="75">
        <f t="shared" si="105"/>
        <v>0</v>
      </c>
      <c r="CY24" s="693"/>
      <c r="CZ24" s="71">
        <f t="shared" si="106"/>
        <v>0</v>
      </c>
      <c r="DA24" s="75">
        <f t="shared" si="107"/>
        <v>0</v>
      </c>
      <c r="DB24" s="306"/>
      <c r="DC24" s="71">
        <f t="shared" si="108"/>
        <v>0</v>
      </c>
      <c r="DD24" s="75">
        <f t="shared" si="109"/>
        <v>0</v>
      </c>
      <c r="DE24" s="306"/>
      <c r="DF24" s="71">
        <f t="shared" si="110"/>
        <v>0</v>
      </c>
      <c r="DG24" s="75">
        <f t="shared" si="111"/>
        <v>0</v>
      </c>
      <c r="DH24" s="303"/>
      <c r="DI24" s="71">
        <f t="shared" si="112"/>
        <v>0</v>
      </c>
      <c r="DJ24" s="75">
        <f t="shared" si="113"/>
        <v>0</v>
      </c>
      <c r="DK24" s="306"/>
      <c r="DL24" s="71">
        <f t="shared" si="114"/>
        <v>0</v>
      </c>
      <c r="DM24" s="75">
        <f t="shared" si="115"/>
        <v>0</v>
      </c>
      <c r="DN24" s="306"/>
      <c r="DO24" s="71">
        <f t="shared" si="116"/>
        <v>0</v>
      </c>
      <c r="DP24" s="75">
        <f t="shared" si="117"/>
        <v>0</v>
      </c>
      <c r="DQ24" s="306"/>
      <c r="DR24" s="71">
        <f t="shared" si="118"/>
        <v>0</v>
      </c>
      <c r="DS24" s="75">
        <f t="shared" si="119"/>
        <v>0</v>
      </c>
      <c r="DT24" s="306"/>
      <c r="DU24" s="71">
        <f t="shared" si="120"/>
        <v>0</v>
      </c>
      <c r="DV24" s="75">
        <f t="shared" si="121"/>
        <v>0</v>
      </c>
      <c r="DW24" s="306"/>
      <c r="DX24" s="71">
        <f t="shared" si="122"/>
        <v>0</v>
      </c>
      <c r="DY24" s="75">
        <f t="shared" si="123"/>
        <v>0</v>
      </c>
      <c r="DZ24" s="306"/>
      <c r="EA24" s="71">
        <f t="shared" si="124"/>
        <v>0</v>
      </c>
      <c r="EB24" s="75">
        <f t="shared" si="125"/>
        <v>0</v>
      </c>
      <c r="EC24" s="306"/>
      <c r="ED24" s="71">
        <f t="shared" si="126"/>
        <v>0</v>
      </c>
      <c r="EE24" s="75">
        <f t="shared" si="127"/>
        <v>0</v>
      </c>
      <c r="EF24" s="309"/>
      <c r="EG24" s="75">
        <f t="shared" si="128"/>
        <v>0</v>
      </c>
      <c r="EH24" s="309"/>
      <c r="EI24" s="75">
        <f t="shared" si="129"/>
        <v>0</v>
      </c>
      <c r="EJ24" s="310"/>
      <c r="EK24" s="75">
        <f t="shared" si="130"/>
        <v>0</v>
      </c>
      <c r="EL24" s="495"/>
      <c r="EM24" s="75">
        <f t="shared" si="131"/>
        <v>0</v>
      </c>
      <c r="EN24" s="310"/>
      <c r="EO24" s="346"/>
      <c r="EP24" s="491"/>
      <c r="EQ24" s="347"/>
      <c r="ER24" s="334"/>
      <c r="ES24" s="537"/>
      <c r="ET24" s="536"/>
      <c r="EU24" s="536"/>
      <c r="EV24" s="536"/>
    </row>
    <row r="25" spans="1:154" s="76" customFormat="1" ht="15">
      <c r="A25" s="68">
        <v>44795</v>
      </c>
      <c r="B25" s="304"/>
      <c r="C25" s="70">
        <f t="shared" si="55"/>
        <v>0</v>
      </c>
      <c r="D25" s="305"/>
      <c r="E25" s="70">
        <f t="shared" si="56"/>
        <v>0</v>
      </c>
      <c r="F25" s="721" t="e">
        <f t="shared" si="57"/>
        <v>#DIV/0!</v>
      </c>
      <c r="G25" s="305"/>
      <c r="H25" s="305"/>
      <c r="I25" s="305"/>
      <c r="J25" s="78">
        <f t="shared" ref="J25" si="246">IF((I25-I24)&lt;0,"0",(I25-I24))</f>
        <v>0</v>
      </c>
      <c r="K25" s="307"/>
      <c r="L25" s="78">
        <f t="shared" ref="L25" si="247">IF((K25-K24)&lt;0,"0",(K25-K24))</f>
        <v>0</v>
      </c>
      <c r="M25" s="303"/>
      <c r="N25" s="78">
        <f t="shared" ref="N25" si="248">IF((M25-M24)&lt;0,"0",(M25-M24))</f>
        <v>0</v>
      </c>
      <c r="O25" s="303"/>
      <c r="P25" s="78">
        <f>IF((O25-O24)&lt;0,"0",(O25-O24))</f>
        <v>0</v>
      </c>
      <c r="Q25" s="303"/>
      <c r="R25" s="78">
        <f t="shared" si="232"/>
        <v>0</v>
      </c>
      <c r="S25" s="303"/>
      <c r="T25" s="78">
        <f>IF((S25-S24)&lt;0,"0",(S25-S24))</f>
        <v>0</v>
      </c>
      <c r="U25" s="303"/>
      <c r="V25" s="78">
        <f t="shared" si="63"/>
        <v>0</v>
      </c>
      <c r="W25" s="303"/>
      <c r="X25" s="78">
        <f t="shared" si="64"/>
        <v>0</v>
      </c>
      <c r="Y25" s="303"/>
      <c r="Z25" s="78">
        <f t="shared" si="65"/>
        <v>0</v>
      </c>
      <c r="AA25" s="538"/>
      <c r="AB25" s="718"/>
      <c r="AC25" s="308">
        <f t="shared" si="66"/>
        <v>0</v>
      </c>
      <c r="AD25" s="307"/>
      <c r="AE25" s="303"/>
      <c r="AF25" s="78">
        <f t="shared" si="5"/>
        <v>0</v>
      </c>
      <c r="AG25" s="495"/>
      <c r="AH25" s="71">
        <f t="shared" si="67"/>
        <v>0</v>
      </c>
      <c r="AI25" s="742"/>
      <c r="AJ25" s="563">
        <f t="shared" si="68"/>
        <v>0</v>
      </c>
      <c r="AK25" s="303"/>
      <c r="AL25" s="563">
        <f t="shared" si="69"/>
        <v>0</v>
      </c>
      <c r="AM25" s="69"/>
      <c r="AN25" s="563">
        <f t="shared" si="70"/>
        <v>0</v>
      </c>
      <c r="AO25" s="69"/>
      <c r="AP25" s="563">
        <f t="shared" si="71"/>
        <v>0</v>
      </c>
      <c r="AQ25" s="303"/>
      <c r="AR25" s="78">
        <f t="shared" si="72"/>
        <v>0</v>
      </c>
      <c r="AS25" s="352"/>
      <c r="AT25" s="78">
        <f>IF((AS25-AS24)&lt;0,"0",(AS25-AS24))</f>
        <v>0</v>
      </c>
      <c r="AU25" s="534"/>
      <c r="AV25" s="78">
        <f t="shared" si="74"/>
        <v>0</v>
      </c>
      <c r="AW25" s="307"/>
      <c r="AX25" s="78">
        <f t="shared" si="75"/>
        <v>0</v>
      </c>
      <c r="AY25" s="303"/>
      <c r="AZ25" s="78">
        <f t="shared" si="76"/>
        <v>0</v>
      </c>
      <c r="BA25" s="303"/>
      <c r="BB25" s="78">
        <f t="shared" si="77"/>
        <v>0</v>
      </c>
      <c r="BC25" s="303"/>
      <c r="BD25" s="78">
        <f t="shared" si="78"/>
        <v>0</v>
      </c>
      <c r="BE25" s="495"/>
      <c r="BF25" s="71">
        <f t="shared" si="79"/>
        <v>0</v>
      </c>
      <c r="BG25" s="303"/>
      <c r="BH25" s="71">
        <f t="shared" si="80"/>
        <v>0</v>
      </c>
      <c r="BI25" s="303"/>
      <c r="BJ25" s="71">
        <f t="shared" si="81"/>
        <v>0</v>
      </c>
      <c r="BK25" s="303"/>
      <c r="BL25" s="71">
        <f t="shared" si="82"/>
        <v>0</v>
      </c>
      <c r="BM25" s="303"/>
      <c r="BN25" s="71">
        <f t="shared" si="83"/>
        <v>0</v>
      </c>
      <c r="BO25" s="303"/>
      <c r="BP25" s="71">
        <f t="shared" si="84"/>
        <v>0</v>
      </c>
      <c r="BQ25" s="303"/>
      <c r="BR25" s="71">
        <f t="shared" si="85"/>
        <v>0</v>
      </c>
      <c r="BS25" s="71">
        <f t="shared" si="86"/>
        <v>0</v>
      </c>
      <c r="BT25" s="71">
        <f t="shared" si="87"/>
        <v>0</v>
      </c>
      <c r="BU25" s="303"/>
      <c r="BV25" s="71">
        <f t="shared" si="88"/>
        <v>0</v>
      </c>
      <c r="BW25" s="303"/>
      <c r="BX25" s="71">
        <f t="shared" si="89"/>
        <v>0</v>
      </c>
      <c r="BY25" s="303"/>
      <c r="BZ25" s="71">
        <f t="shared" si="90"/>
        <v>0</v>
      </c>
      <c r="CA25" s="495"/>
      <c r="CB25" s="71">
        <f t="shared" si="91"/>
        <v>0</v>
      </c>
      <c r="CC25" s="75">
        <f t="shared" si="233"/>
        <v>0</v>
      </c>
      <c r="CD25" s="71">
        <f t="shared" si="93"/>
        <v>0</v>
      </c>
      <c r="CE25" s="72">
        <f t="shared" si="94"/>
        <v>0</v>
      </c>
      <c r="CF25" s="495"/>
      <c r="CG25" s="496">
        <f t="shared" si="95"/>
        <v>0</v>
      </c>
      <c r="CH25" s="309"/>
      <c r="CI25" s="726">
        <f t="shared" si="96"/>
        <v>0</v>
      </c>
      <c r="CJ25" s="306"/>
      <c r="CK25" s="71">
        <f t="shared" si="97"/>
        <v>0</v>
      </c>
      <c r="CL25" s="75">
        <f t="shared" si="98"/>
        <v>0</v>
      </c>
      <c r="CM25" s="535"/>
      <c r="CN25" s="564">
        <f t="shared" si="99"/>
        <v>0</v>
      </c>
      <c r="CO25" s="306"/>
      <c r="CP25" s="73">
        <f t="shared" si="100"/>
        <v>0</v>
      </c>
      <c r="CQ25" s="535"/>
      <c r="CR25" s="566">
        <f t="shared" si="101"/>
        <v>0</v>
      </c>
      <c r="CS25" s="565">
        <f t="shared" si="102"/>
        <v>0</v>
      </c>
      <c r="CT25" s="567" t="str">
        <f t="shared" si="103"/>
        <v>0</v>
      </c>
      <c r="CU25" s="303"/>
      <c r="CV25" s="306"/>
      <c r="CW25" s="71">
        <f t="shared" si="104"/>
        <v>0</v>
      </c>
      <c r="CX25" s="75">
        <f t="shared" si="105"/>
        <v>0</v>
      </c>
      <c r="CY25" s="693"/>
      <c r="CZ25" s="71">
        <f t="shared" si="106"/>
        <v>0</v>
      </c>
      <c r="DA25" s="75">
        <f t="shared" si="107"/>
        <v>0</v>
      </c>
      <c r="DB25" s="306"/>
      <c r="DC25" s="71">
        <f t="shared" si="108"/>
        <v>0</v>
      </c>
      <c r="DD25" s="75">
        <f t="shared" si="109"/>
        <v>0</v>
      </c>
      <c r="DE25" s="306"/>
      <c r="DF25" s="71">
        <f t="shared" si="110"/>
        <v>0</v>
      </c>
      <c r="DG25" s="75">
        <f t="shared" si="111"/>
        <v>0</v>
      </c>
      <c r="DH25" s="303"/>
      <c r="DI25" s="71">
        <f t="shared" si="112"/>
        <v>0</v>
      </c>
      <c r="DJ25" s="75">
        <f t="shared" si="113"/>
        <v>0</v>
      </c>
      <c r="DK25" s="306"/>
      <c r="DL25" s="71">
        <f t="shared" si="114"/>
        <v>0</v>
      </c>
      <c r="DM25" s="75">
        <f t="shared" si="115"/>
        <v>0</v>
      </c>
      <c r="DN25" s="306"/>
      <c r="DO25" s="71">
        <f t="shared" si="116"/>
        <v>0</v>
      </c>
      <c r="DP25" s="75">
        <f t="shared" si="117"/>
        <v>0</v>
      </c>
      <c r="DQ25" s="306"/>
      <c r="DR25" s="71">
        <f t="shared" si="118"/>
        <v>0</v>
      </c>
      <c r="DS25" s="75">
        <f t="shared" si="119"/>
        <v>0</v>
      </c>
      <c r="DT25" s="306"/>
      <c r="DU25" s="71">
        <f t="shared" si="120"/>
        <v>0</v>
      </c>
      <c r="DV25" s="75">
        <f t="shared" si="121"/>
        <v>0</v>
      </c>
      <c r="DW25" s="306"/>
      <c r="DX25" s="71">
        <f t="shared" si="122"/>
        <v>0</v>
      </c>
      <c r="DY25" s="75">
        <f t="shared" si="123"/>
        <v>0</v>
      </c>
      <c r="DZ25" s="306"/>
      <c r="EA25" s="71">
        <f t="shared" si="124"/>
        <v>0</v>
      </c>
      <c r="EB25" s="75">
        <f t="shared" si="125"/>
        <v>0</v>
      </c>
      <c r="EC25" s="306"/>
      <c r="ED25" s="71">
        <f t="shared" si="126"/>
        <v>0</v>
      </c>
      <c r="EE25" s="75">
        <f t="shared" si="127"/>
        <v>0</v>
      </c>
      <c r="EF25" s="309"/>
      <c r="EG25" s="75">
        <f t="shared" si="128"/>
        <v>0</v>
      </c>
      <c r="EH25" s="309"/>
      <c r="EI25" s="75">
        <f t="shared" si="129"/>
        <v>0</v>
      </c>
      <c r="EJ25" s="310"/>
      <c r="EK25" s="75">
        <f t="shared" si="130"/>
        <v>0</v>
      </c>
      <c r="EL25" s="495"/>
      <c r="EM25" s="75">
        <f t="shared" si="131"/>
        <v>0</v>
      </c>
      <c r="EN25" s="310"/>
      <c r="EO25" s="346"/>
      <c r="EP25" s="491"/>
      <c r="EQ25" s="347"/>
      <c r="ER25" s="334"/>
      <c r="ES25" s="537"/>
      <c r="ET25" s="536"/>
      <c r="EU25" s="536"/>
      <c r="EV25" s="536"/>
    </row>
    <row r="26" spans="1:154" s="76" customFormat="1" ht="15">
      <c r="A26" s="68">
        <v>44796</v>
      </c>
      <c r="B26" s="304"/>
      <c r="C26" s="70">
        <f t="shared" si="55"/>
        <v>0</v>
      </c>
      <c r="D26" s="305"/>
      <c r="E26" s="70">
        <f t="shared" si="56"/>
        <v>0</v>
      </c>
      <c r="F26" s="721" t="e">
        <f t="shared" si="57"/>
        <v>#DIV/0!</v>
      </c>
      <c r="G26" s="305"/>
      <c r="H26" s="305"/>
      <c r="I26" s="305"/>
      <c r="J26" s="78">
        <f t="shared" ref="J26" si="249">IF((I26-I25)&lt;0,"0",(I26-I25))</f>
        <v>0</v>
      </c>
      <c r="K26" s="307"/>
      <c r="L26" s="78">
        <f t="shared" ref="L26" si="250">IF((K26-K25)&lt;0,"0",(K26-K25))</f>
        <v>0</v>
      </c>
      <c r="M26" s="303"/>
      <c r="N26" s="78">
        <f t="shared" ref="N26" si="251">IF((M26-M25)&lt;0,"0",(M26-M25))</f>
        <v>0</v>
      </c>
      <c r="O26" s="303"/>
      <c r="P26" s="78">
        <f>IF((O26-O25)&lt;0,"0",(O26-O25))</f>
        <v>0</v>
      </c>
      <c r="Q26" s="303"/>
      <c r="R26" s="78">
        <f t="shared" si="232"/>
        <v>0</v>
      </c>
      <c r="S26" s="303"/>
      <c r="T26" s="78">
        <f>IF((S26-S25)&lt;0,"0",(S26-S25))</f>
        <v>0</v>
      </c>
      <c r="U26" s="303"/>
      <c r="V26" s="78">
        <f t="shared" si="63"/>
        <v>0</v>
      </c>
      <c r="W26" s="303"/>
      <c r="X26" s="78">
        <f t="shared" si="64"/>
        <v>0</v>
      </c>
      <c r="Y26" s="303"/>
      <c r="Z26" s="78">
        <f t="shared" si="65"/>
        <v>0</v>
      </c>
      <c r="AA26" s="538"/>
      <c r="AB26" s="718"/>
      <c r="AC26" s="308">
        <f t="shared" si="66"/>
        <v>0</v>
      </c>
      <c r="AD26" s="307"/>
      <c r="AE26" s="303"/>
      <c r="AF26" s="78">
        <f t="shared" si="5"/>
        <v>0</v>
      </c>
      <c r="AG26" s="495"/>
      <c r="AH26" s="71">
        <f t="shared" si="67"/>
        <v>0</v>
      </c>
      <c r="AI26" s="742"/>
      <c r="AJ26" s="563">
        <f t="shared" si="68"/>
        <v>0</v>
      </c>
      <c r="AK26" s="303"/>
      <c r="AL26" s="563">
        <f t="shared" si="69"/>
        <v>0</v>
      </c>
      <c r="AM26" s="69"/>
      <c r="AN26" s="563">
        <f t="shared" si="70"/>
        <v>0</v>
      </c>
      <c r="AO26" s="69"/>
      <c r="AP26" s="563">
        <f t="shared" si="71"/>
        <v>0</v>
      </c>
      <c r="AQ26" s="303"/>
      <c r="AR26" s="78">
        <f t="shared" si="72"/>
        <v>0</v>
      </c>
      <c r="AS26" s="352"/>
      <c r="AT26" s="78">
        <f>IF((AS26-AS25)&lt;0,"0",(AS26-AS25))</f>
        <v>0</v>
      </c>
      <c r="AU26" s="534"/>
      <c r="AV26" s="78">
        <f t="shared" si="74"/>
        <v>0</v>
      </c>
      <c r="AW26" s="307"/>
      <c r="AX26" s="78">
        <f t="shared" si="75"/>
        <v>0</v>
      </c>
      <c r="AY26" s="303"/>
      <c r="AZ26" s="78">
        <f t="shared" si="76"/>
        <v>0</v>
      </c>
      <c r="BA26" s="303"/>
      <c r="BB26" s="78">
        <f t="shared" si="77"/>
        <v>0</v>
      </c>
      <c r="BC26" s="303"/>
      <c r="BD26" s="78">
        <f t="shared" si="78"/>
        <v>0</v>
      </c>
      <c r="BE26" s="495"/>
      <c r="BF26" s="71">
        <f t="shared" si="79"/>
        <v>0</v>
      </c>
      <c r="BG26" s="303"/>
      <c r="BH26" s="71">
        <f t="shared" si="80"/>
        <v>0</v>
      </c>
      <c r="BI26" s="303"/>
      <c r="BJ26" s="71">
        <f t="shared" si="81"/>
        <v>0</v>
      </c>
      <c r="BK26" s="303"/>
      <c r="BL26" s="71">
        <f t="shared" si="82"/>
        <v>0</v>
      </c>
      <c r="BM26" s="303"/>
      <c r="BN26" s="71">
        <f t="shared" si="83"/>
        <v>0</v>
      </c>
      <c r="BO26" s="303"/>
      <c r="BP26" s="71">
        <f t="shared" si="84"/>
        <v>0</v>
      </c>
      <c r="BQ26" s="303"/>
      <c r="BR26" s="71">
        <f t="shared" si="85"/>
        <v>0</v>
      </c>
      <c r="BS26" s="71">
        <f t="shared" si="86"/>
        <v>0</v>
      </c>
      <c r="BT26" s="71">
        <f t="shared" si="87"/>
        <v>0</v>
      </c>
      <c r="BU26" s="303"/>
      <c r="BV26" s="71">
        <f t="shared" si="88"/>
        <v>0</v>
      </c>
      <c r="BW26" s="303"/>
      <c r="BX26" s="71">
        <f t="shared" si="89"/>
        <v>0</v>
      </c>
      <c r="BY26" s="303"/>
      <c r="BZ26" s="71">
        <f t="shared" si="90"/>
        <v>0</v>
      </c>
      <c r="CA26" s="495"/>
      <c r="CB26" s="71">
        <f t="shared" si="91"/>
        <v>0</v>
      </c>
      <c r="CC26" s="75">
        <f t="shared" si="233"/>
        <v>0</v>
      </c>
      <c r="CD26" s="71">
        <f t="shared" si="93"/>
        <v>0</v>
      </c>
      <c r="CE26" s="72">
        <f t="shared" si="94"/>
        <v>0</v>
      </c>
      <c r="CF26" s="495"/>
      <c r="CG26" s="496">
        <f t="shared" si="95"/>
        <v>0</v>
      </c>
      <c r="CH26" s="309"/>
      <c r="CI26" s="726">
        <f t="shared" si="96"/>
        <v>0</v>
      </c>
      <c r="CJ26" s="306"/>
      <c r="CK26" s="71">
        <f t="shared" si="97"/>
        <v>0</v>
      </c>
      <c r="CL26" s="75">
        <f t="shared" si="98"/>
        <v>0</v>
      </c>
      <c r="CM26" s="535"/>
      <c r="CN26" s="564">
        <f t="shared" si="99"/>
        <v>0</v>
      </c>
      <c r="CO26" s="306"/>
      <c r="CP26" s="73">
        <f t="shared" si="100"/>
        <v>0</v>
      </c>
      <c r="CQ26" s="535"/>
      <c r="CR26" s="566">
        <f t="shared" si="101"/>
        <v>0</v>
      </c>
      <c r="CS26" s="565">
        <f t="shared" si="102"/>
        <v>0</v>
      </c>
      <c r="CT26" s="567" t="str">
        <f t="shared" si="103"/>
        <v>0</v>
      </c>
      <c r="CU26" s="303"/>
      <c r="CV26" s="306"/>
      <c r="CW26" s="71">
        <f t="shared" si="104"/>
        <v>0</v>
      </c>
      <c r="CX26" s="75">
        <f t="shared" si="105"/>
        <v>0</v>
      </c>
      <c r="CY26" s="693"/>
      <c r="CZ26" s="71">
        <f t="shared" si="106"/>
        <v>0</v>
      </c>
      <c r="DA26" s="75">
        <f t="shared" si="107"/>
        <v>0</v>
      </c>
      <c r="DB26" s="306"/>
      <c r="DC26" s="71">
        <f t="shared" si="108"/>
        <v>0</v>
      </c>
      <c r="DD26" s="75">
        <f t="shared" si="109"/>
        <v>0</v>
      </c>
      <c r="DE26" s="306"/>
      <c r="DF26" s="71">
        <f t="shared" si="110"/>
        <v>0</v>
      </c>
      <c r="DG26" s="75">
        <f t="shared" si="111"/>
        <v>0</v>
      </c>
      <c r="DH26" s="303"/>
      <c r="DI26" s="71">
        <f t="shared" si="112"/>
        <v>0</v>
      </c>
      <c r="DJ26" s="75">
        <f t="shared" si="113"/>
        <v>0</v>
      </c>
      <c r="DK26" s="306"/>
      <c r="DL26" s="71">
        <f t="shared" si="114"/>
        <v>0</v>
      </c>
      <c r="DM26" s="75">
        <f t="shared" si="115"/>
        <v>0</v>
      </c>
      <c r="DN26" s="306"/>
      <c r="DO26" s="71">
        <f t="shared" si="116"/>
        <v>0</v>
      </c>
      <c r="DP26" s="75">
        <f t="shared" si="117"/>
        <v>0</v>
      </c>
      <c r="DQ26" s="306"/>
      <c r="DR26" s="71">
        <f t="shared" si="118"/>
        <v>0</v>
      </c>
      <c r="DS26" s="75">
        <f t="shared" si="119"/>
        <v>0</v>
      </c>
      <c r="DT26" s="306"/>
      <c r="DU26" s="71">
        <f t="shared" si="120"/>
        <v>0</v>
      </c>
      <c r="DV26" s="75">
        <f t="shared" si="121"/>
        <v>0</v>
      </c>
      <c r="DW26" s="306"/>
      <c r="DX26" s="71">
        <f t="shared" si="122"/>
        <v>0</v>
      </c>
      <c r="DY26" s="75">
        <f t="shared" si="123"/>
        <v>0</v>
      </c>
      <c r="DZ26" s="306"/>
      <c r="EA26" s="71">
        <f t="shared" si="124"/>
        <v>0</v>
      </c>
      <c r="EB26" s="75">
        <f t="shared" si="125"/>
        <v>0</v>
      </c>
      <c r="EC26" s="306"/>
      <c r="ED26" s="71">
        <f t="shared" si="126"/>
        <v>0</v>
      </c>
      <c r="EE26" s="75">
        <f t="shared" si="127"/>
        <v>0</v>
      </c>
      <c r="EF26" s="309"/>
      <c r="EG26" s="75">
        <f t="shared" si="128"/>
        <v>0</v>
      </c>
      <c r="EH26" s="309"/>
      <c r="EI26" s="75">
        <f t="shared" si="129"/>
        <v>0</v>
      </c>
      <c r="EJ26" s="310"/>
      <c r="EK26" s="75">
        <f t="shared" si="130"/>
        <v>0</v>
      </c>
      <c r="EL26" s="495"/>
      <c r="EM26" s="75">
        <f t="shared" si="131"/>
        <v>0</v>
      </c>
      <c r="EN26" s="310"/>
      <c r="EO26" s="346"/>
      <c r="EP26" s="491"/>
      <c r="EQ26" s="347"/>
      <c r="ER26" s="334"/>
      <c r="ES26" s="537"/>
      <c r="ET26" s="536"/>
      <c r="EU26" s="536"/>
      <c r="EV26" s="536"/>
    </row>
    <row r="27" spans="1:154" s="76" customFormat="1" ht="15">
      <c r="A27" s="68">
        <v>44797</v>
      </c>
      <c r="B27" s="304"/>
      <c r="C27" s="70">
        <f t="shared" si="55"/>
        <v>0</v>
      </c>
      <c r="D27" s="305"/>
      <c r="E27" s="70">
        <f t="shared" si="56"/>
        <v>0</v>
      </c>
      <c r="F27" s="721" t="e">
        <f t="shared" si="57"/>
        <v>#DIV/0!</v>
      </c>
      <c r="G27" s="305"/>
      <c r="H27" s="305"/>
      <c r="I27" s="305"/>
      <c r="J27" s="78">
        <f t="shared" ref="J27" si="252">IF((I27-I26)&lt;0,"0",(I27-I26))</f>
        <v>0</v>
      </c>
      <c r="K27" s="307"/>
      <c r="L27" s="78">
        <f t="shared" ref="L27" si="253">IF((K27-K26)&lt;0,"0",(K27-K26))</f>
        <v>0</v>
      </c>
      <c r="M27" s="303"/>
      <c r="N27" s="78">
        <f t="shared" ref="N27" si="254">IF((M27-M26)&lt;0,"0",(M27-M26))</f>
        <v>0</v>
      </c>
      <c r="O27" s="303"/>
      <c r="P27" s="78">
        <f t="shared" ref="P27" si="255">IF((O27-O26)&lt;0,"0",(O27-O26))</f>
        <v>0</v>
      </c>
      <c r="Q27" s="303"/>
      <c r="R27" s="78">
        <f t="shared" si="232"/>
        <v>0</v>
      </c>
      <c r="S27" s="303"/>
      <c r="T27" s="78">
        <f>IF((S27-S26)&lt;0,"0",(S27-S26))</f>
        <v>0</v>
      </c>
      <c r="U27" s="303"/>
      <c r="V27" s="78">
        <f>IF((U27-U26)&lt;0,"0",(U27-U26))</f>
        <v>0</v>
      </c>
      <c r="W27" s="303"/>
      <c r="X27" s="78">
        <f t="shared" si="64"/>
        <v>0</v>
      </c>
      <c r="Y27" s="303"/>
      <c r="Z27" s="78">
        <f t="shared" si="65"/>
        <v>0</v>
      </c>
      <c r="AA27" s="538"/>
      <c r="AB27" s="718"/>
      <c r="AC27" s="308">
        <f t="shared" si="66"/>
        <v>0</v>
      </c>
      <c r="AD27" s="307"/>
      <c r="AE27" s="303"/>
      <c r="AF27" s="78">
        <f t="shared" si="5"/>
        <v>0</v>
      </c>
      <c r="AG27" s="495"/>
      <c r="AH27" s="71">
        <f t="shared" si="67"/>
        <v>0</v>
      </c>
      <c r="AI27" s="742"/>
      <c r="AJ27" s="563">
        <f t="shared" si="68"/>
        <v>0</v>
      </c>
      <c r="AK27" s="303"/>
      <c r="AL27" s="563">
        <f t="shared" si="69"/>
        <v>0</v>
      </c>
      <c r="AM27" s="69"/>
      <c r="AN27" s="563">
        <f t="shared" si="70"/>
        <v>0</v>
      </c>
      <c r="AO27" s="69"/>
      <c r="AP27" s="563">
        <f t="shared" si="71"/>
        <v>0</v>
      </c>
      <c r="AQ27" s="303"/>
      <c r="AR27" s="78">
        <f t="shared" si="72"/>
        <v>0</v>
      </c>
      <c r="AS27" s="352"/>
      <c r="AT27" s="78">
        <f t="shared" si="73"/>
        <v>0</v>
      </c>
      <c r="AU27" s="534"/>
      <c r="AV27" s="78">
        <f t="shared" si="74"/>
        <v>0</v>
      </c>
      <c r="AW27" s="307"/>
      <c r="AX27" s="78">
        <f t="shared" si="75"/>
        <v>0</v>
      </c>
      <c r="AY27" s="303"/>
      <c r="AZ27" s="78">
        <f t="shared" si="76"/>
        <v>0</v>
      </c>
      <c r="BA27" s="303"/>
      <c r="BB27" s="78">
        <f t="shared" si="77"/>
        <v>0</v>
      </c>
      <c r="BC27" s="303"/>
      <c r="BD27" s="78">
        <f t="shared" si="78"/>
        <v>0</v>
      </c>
      <c r="BE27" s="495"/>
      <c r="BF27" s="71">
        <f t="shared" si="79"/>
        <v>0</v>
      </c>
      <c r="BG27" s="303"/>
      <c r="BH27" s="71">
        <f t="shared" si="80"/>
        <v>0</v>
      </c>
      <c r="BI27" s="303"/>
      <c r="BJ27" s="71">
        <f t="shared" si="81"/>
        <v>0</v>
      </c>
      <c r="BK27" s="303"/>
      <c r="BL27" s="71">
        <f t="shared" si="82"/>
        <v>0</v>
      </c>
      <c r="BM27" s="303"/>
      <c r="BN27" s="71">
        <f t="shared" si="83"/>
        <v>0</v>
      </c>
      <c r="BO27" s="303"/>
      <c r="BP27" s="71">
        <f t="shared" si="84"/>
        <v>0</v>
      </c>
      <c r="BQ27" s="303"/>
      <c r="BR27" s="71">
        <f t="shared" si="85"/>
        <v>0</v>
      </c>
      <c r="BS27" s="71">
        <f t="shared" si="86"/>
        <v>0</v>
      </c>
      <c r="BT27" s="71">
        <f t="shared" si="87"/>
        <v>0</v>
      </c>
      <c r="BU27" s="303"/>
      <c r="BV27" s="71">
        <f t="shared" si="88"/>
        <v>0</v>
      </c>
      <c r="BW27" s="303"/>
      <c r="BX27" s="71">
        <f t="shared" si="89"/>
        <v>0</v>
      </c>
      <c r="BY27" s="303"/>
      <c r="BZ27" s="71">
        <f t="shared" si="90"/>
        <v>0</v>
      </c>
      <c r="CA27" s="495"/>
      <c r="CB27" s="71">
        <f t="shared" si="91"/>
        <v>0</v>
      </c>
      <c r="CC27" s="75">
        <f t="shared" si="233"/>
        <v>0</v>
      </c>
      <c r="CD27" s="71">
        <f t="shared" si="93"/>
        <v>0</v>
      </c>
      <c r="CE27" s="72">
        <f t="shared" si="94"/>
        <v>0</v>
      </c>
      <c r="CF27" s="495"/>
      <c r="CG27" s="496">
        <f t="shared" si="95"/>
        <v>0</v>
      </c>
      <c r="CH27" s="309"/>
      <c r="CI27" s="726">
        <f t="shared" si="96"/>
        <v>0</v>
      </c>
      <c r="CJ27" s="306"/>
      <c r="CK27" s="71">
        <f t="shared" si="97"/>
        <v>0</v>
      </c>
      <c r="CL27" s="75">
        <f t="shared" si="98"/>
        <v>0</v>
      </c>
      <c r="CM27" s="535"/>
      <c r="CN27" s="564">
        <f t="shared" si="99"/>
        <v>0</v>
      </c>
      <c r="CO27" s="306"/>
      <c r="CP27" s="73">
        <f t="shared" si="100"/>
        <v>0</v>
      </c>
      <c r="CQ27" s="535"/>
      <c r="CR27" s="566">
        <f t="shared" si="101"/>
        <v>0</v>
      </c>
      <c r="CS27" s="565">
        <f t="shared" si="102"/>
        <v>0</v>
      </c>
      <c r="CT27" s="567" t="str">
        <f t="shared" si="103"/>
        <v>0</v>
      </c>
      <c r="CU27" s="303"/>
      <c r="CV27" s="306"/>
      <c r="CW27" s="71">
        <f t="shared" si="104"/>
        <v>0</v>
      </c>
      <c r="CX27" s="75">
        <f t="shared" si="105"/>
        <v>0</v>
      </c>
      <c r="CY27" s="693"/>
      <c r="CZ27" s="71">
        <f t="shared" si="106"/>
        <v>0</v>
      </c>
      <c r="DA27" s="75">
        <f t="shared" si="107"/>
        <v>0</v>
      </c>
      <c r="DB27" s="306"/>
      <c r="DC27" s="71">
        <f t="shared" si="108"/>
        <v>0</v>
      </c>
      <c r="DD27" s="75">
        <f t="shared" si="109"/>
        <v>0</v>
      </c>
      <c r="DE27" s="306"/>
      <c r="DF27" s="71">
        <f t="shared" si="110"/>
        <v>0</v>
      </c>
      <c r="DG27" s="75">
        <f t="shared" si="111"/>
        <v>0</v>
      </c>
      <c r="DH27" s="303"/>
      <c r="DI27" s="71">
        <f t="shared" si="112"/>
        <v>0</v>
      </c>
      <c r="DJ27" s="75">
        <f t="shared" si="113"/>
        <v>0</v>
      </c>
      <c r="DK27" s="306"/>
      <c r="DL27" s="71">
        <f t="shared" si="114"/>
        <v>0</v>
      </c>
      <c r="DM27" s="75">
        <f t="shared" si="115"/>
        <v>0</v>
      </c>
      <c r="DN27" s="306"/>
      <c r="DO27" s="71">
        <f t="shared" si="116"/>
        <v>0</v>
      </c>
      <c r="DP27" s="75">
        <f t="shared" si="117"/>
        <v>0</v>
      </c>
      <c r="DQ27" s="306"/>
      <c r="DR27" s="71">
        <f t="shared" si="118"/>
        <v>0</v>
      </c>
      <c r="DS27" s="75">
        <f t="shared" si="119"/>
        <v>0</v>
      </c>
      <c r="DT27" s="306"/>
      <c r="DU27" s="71">
        <f t="shared" si="120"/>
        <v>0</v>
      </c>
      <c r="DV27" s="75">
        <f t="shared" si="121"/>
        <v>0</v>
      </c>
      <c r="DW27" s="306"/>
      <c r="DX27" s="71">
        <f t="shared" si="122"/>
        <v>0</v>
      </c>
      <c r="DY27" s="75">
        <f t="shared" si="123"/>
        <v>0</v>
      </c>
      <c r="DZ27" s="306"/>
      <c r="EA27" s="71">
        <f t="shared" si="124"/>
        <v>0</v>
      </c>
      <c r="EB27" s="75">
        <f t="shared" si="125"/>
        <v>0</v>
      </c>
      <c r="EC27" s="306"/>
      <c r="ED27" s="71">
        <f t="shared" si="126"/>
        <v>0</v>
      </c>
      <c r="EE27" s="75">
        <f t="shared" si="127"/>
        <v>0</v>
      </c>
      <c r="EF27" s="309"/>
      <c r="EG27" s="75">
        <f t="shared" si="128"/>
        <v>0</v>
      </c>
      <c r="EH27" s="309"/>
      <c r="EI27" s="75">
        <f t="shared" si="129"/>
        <v>0</v>
      </c>
      <c r="EJ27" s="310"/>
      <c r="EK27" s="75">
        <f t="shared" si="130"/>
        <v>0</v>
      </c>
      <c r="EL27" s="495"/>
      <c r="EM27" s="75">
        <f t="shared" si="131"/>
        <v>0</v>
      </c>
      <c r="EN27" s="310"/>
      <c r="EO27" s="346"/>
      <c r="EP27" s="491"/>
      <c r="EQ27" s="347"/>
      <c r="ER27" s="334"/>
      <c r="ES27" s="537"/>
      <c r="ET27" s="536"/>
      <c r="EU27" s="536"/>
      <c r="EV27" s="536"/>
    </row>
    <row r="28" spans="1:154" s="76" customFormat="1" ht="15">
      <c r="A28" s="68">
        <v>44798</v>
      </c>
      <c r="B28" s="304"/>
      <c r="C28" s="70">
        <f t="shared" si="55"/>
        <v>0</v>
      </c>
      <c r="D28" s="305"/>
      <c r="E28" s="70">
        <f t="shared" si="56"/>
        <v>0</v>
      </c>
      <c r="F28" s="721" t="e">
        <f t="shared" si="57"/>
        <v>#DIV/0!</v>
      </c>
      <c r="G28" s="305"/>
      <c r="H28" s="305"/>
      <c r="I28" s="305"/>
      <c r="J28" s="78">
        <f t="shared" ref="J28" si="256">IF((I28-I27)&lt;0,"0",(I28-I27))</f>
        <v>0</v>
      </c>
      <c r="K28" s="307"/>
      <c r="L28" s="78">
        <f t="shared" ref="L28" si="257">IF((K28-K27)&lt;0,"0",(K28-K27))</f>
        <v>0</v>
      </c>
      <c r="M28" s="303"/>
      <c r="N28" s="78">
        <f t="shared" ref="N28" si="258">IF((M28-M27)&lt;0,"0",(M28-M27))</f>
        <v>0</v>
      </c>
      <c r="O28" s="303"/>
      <c r="P28" s="78">
        <f t="shared" ref="P28" si="259">IF((O28-O27)&lt;0,"0",(O28-O27))</f>
        <v>0</v>
      </c>
      <c r="Q28" s="303"/>
      <c r="R28" s="78">
        <f t="shared" si="232"/>
        <v>0</v>
      </c>
      <c r="S28" s="303"/>
      <c r="T28" s="78">
        <f t="shared" si="62"/>
        <v>0</v>
      </c>
      <c r="U28" s="303"/>
      <c r="V28" s="78">
        <f>IF((U28-U27)&lt;0,"0",(U28-U27))</f>
        <v>0</v>
      </c>
      <c r="W28" s="303"/>
      <c r="X28" s="78">
        <f t="shared" si="64"/>
        <v>0</v>
      </c>
      <c r="Y28" s="303"/>
      <c r="Z28" s="78">
        <f t="shared" si="65"/>
        <v>0</v>
      </c>
      <c r="AA28" s="538"/>
      <c r="AB28" s="718"/>
      <c r="AC28" s="308">
        <f t="shared" si="66"/>
        <v>0</v>
      </c>
      <c r="AD28" s="307"/>
      <c r="AE28" s="303"/>
      <c r="AF28" s="78">
        <f t="shared" si="5"/>
        <v>0</v>
      </c>
      <c r="AG28" s="495"/>
      <c r="AH28" s="71">
        <f t="shared" si="67"/>
        <v>0</v>
      </c>
      <c r="AI28" s="742"/>
      <c r="AJ28" s="563">
        <f t="shared" si="68"/>
        <v>0</v>
      </c>
      <c r="AK28" s="303"/>
      <c r="AL28" s="563">
        <f t="shared" si="69"/>
        <v>0</v>
      </c>
      <c r="AM28" s="69"/>
      <c r="AN28" s="563">
        <f t="shared" si="70"/>
        <v>0</v>
      </c>
      <c r="AO28" s="69"/>
      <c r="AP28" s="563">
        <f t="shared" si="71"/>
        <v>0</v>
      </c>
      <c r="AQ28" s="303"/>
      <c r="AR28" s="78">
        <f t="shared" si="72"/>
        <v>0</v>
      </c>
      <c r="AS28" s="352"/>
      <c r="AT28" s="78">
        <f t="shared" si="73"/>
        <v>0</v>
      </c>
      <c r="AU28" s="534"/>
      <c r="AV28" s="78">
        <f t="shared" si="74"/>
        <v>0</v>
      </c>
      <c r="AW28" s="307"/>
      <c r="AX28" s="78">
        <f t="shared" si="75"/>
        <v>0</v>
      </c>
      <c r="AY28" s="303"/>
      <c r="AZ28" s="78">
        <f t="shared" si="76"/>
        <v>0</v>
      </c>
      <c r="BA28" s="303"/>
      <c r="BB28" s="78">
        <f t="shared" si="77"/>
        <v>0</v>
      </c>
      <c r="BC28" s="303"/>
      <c r="BD28" s="78">
        <f t="shared" si="78"/>
        <v>0</v>
      </c>
      <c r="BE28" s="495"/>
      <c r="BF28" s="71">
        <f t="shared" si="79"/>
        <v>0</v>
      </c>
      <c r="BG28" s="303"/>
      <c r="BH28" s="71">
        <f t="shared" si="80"/>
        <v>0</v>
      </c>
      <c r="BI28" s="303"/>
      <c r="BJ28" s="71">
        <f t="shared" si="81"/>
        <v>0</v>
      </c>
      <c r="BK28" s="303"/>
      <c r="BL28" s="71">
        <f t="shared" si="82"/>
        <v>0</v>
      </c>
      <c r="BM28" s="303"/>
      <c r="BN28" s="71">
        <f t="shared" si="83"/>
        <v>0</v>
      </c>
      <c r="BO28" s="303"/>
      <c r="BP28" s="71">
        <f t="shared" si="84"/>
        <v>0</v>
      </c>
      <c r="BQ28" s="303"/>
      <c r="BR28" s="71">
        <f t="shared" si="85"/>
        <v>0</v>
      </c>
      <c r="BS28" s="71">
        <f t="shared" si="86"/>
        <v>0</v>
      </c>
      <c r="BT28" s="71">
        <f t="shared" si="87"/>
        <v>0</v>
      </c>
      <c r="BU28" s="303"/>
      <c r="BV28" s="71">
        <f t="shared" si="88"/>
        <v>0</v>
      </c>
      <c r="BW28" s="303"/>
      <c r="BX28" s="71">
        <f t="shared" si="89"/>
        <v>0</v>
      </c>
      <c r="BY28" s="303"/>
      <c r="BZ28" s="71">
        <f t="shared" si="90"/>
        <v>0</v>
      </c>
      <c r="CA28" s="495"/>
      <c r="CB28" s="71">
        <f t="shared" si="91"/>
        <v>0</v>
      </c>
      <c r="CC28" s="75">
        <f>BZ28-AR28</f>
        <v>0</v>
      </c>
      <c r="CD28" s="71">
        <f t="shared" si="93"/>
        <v>0</v>
      </c>
      <c r="CE28" s="72">
        <f t="shared" si="94"/>
        <v>0</v>
      </c>
      <c r="CF28" s="495"/>
      <c r="CG28" s="496">
        <f t="shared" si="95"/>
        <v>0</v>
      </c>
      <c r="CH28" s="309"/>
      <c r="CI28" s="726">
        <f t="shared" si="96"/>
        <v>0</v>
      </c>
      <c r="CJ28" s="306"/>
      <c r="CK28" s="71">
        <f t="shared" si="97"/>
        <v>0</v>
      </c>
      <c r="CL28" s="75">
        <f t="shared" si="98"/>
        <v>0</v>
      </c>
      <c r="CM28" s="535"/>
      <c r="CN28" s="564">
        <f t="shared" si="99"/>
        <v>0</v>
      </c>
      <c r="CO28" s="306"/>
      <c r="CP28" s="73">
        <f t="shared" si="100"/>
        <v>0</v>
      </c>
      <c r="CQ28" s="535"/>
      <c r="CR28" s="566">
        <f t="shared" si="101"/>
        <v>0</v>
      </c>
      <c r="CS28" s="565">
        <f t="shared" si="102"/>
        <v>0</v>
      </c>
      <c r="CT28" s="567" t="str">
        <f t="shared" si="103"/>
        <v>0</v>
      </c>
      <c r="CU28" s="303"/>
      <c r="CV28" s="306"/>
      <c r="CW28" s="71">
        <f t="shared" si="104"/>
        <v>0</v>
      </c>
      <c r="CX28" s="75">
        <f t="shared" si="105"/>
        <v>0</v>
      </c>
      <c r="CY28" s="693"/>
      <c r="CZ28" s="71">
        <f t="shared" si="106"/>
        <v>0</v>
      </c>
      <c r="DA28" s="75">
        <f t="shared" si="107"/>
        <v>0</v>
      </c>
      <c r="DB28" s="306"/>
      <c r="DC28" s="71">
        <f t="shared" si="108"/>
        <v>0</v>
      </c>
      <c r="DD28" s="75">
        <f t="shared" si="109"/>
        <v>0</v>
      </c>
      <c r="DE28" s="306"/>
      <c r="DF28" s="71">
        <f t="shared" si="110"/>
        <v>0</v>
      </c>
      <c r="DG28" s="75">
        <f t="shared" si="111"/>
        <v>0</v>
      </c>
      <c r="DH28" s="303"/>
      <c r="DI28" s="71">
        <f t="shared" si="112"/>
        <v>0</v>
      </c>
      <c r="DJ28" s="75">
        <f t="shared" si="113"/>
        <v>0</v>
      </c>
      <c r="DK28" s="306"/>
      <c r="DL28" s="71">
        <f t="shared" si="114"/>
        <v>0</v>
      </c>
      <c r="DM28" s="75">
        <f t="shared" si="115"/>
        <v>0</v>
      </c>
      <c r="DN28" s="306"/>
      <c r="DO28" s="71">
        <f t="shared" si="116"/>
        <v>0</v>
      </c>
      <c r="DP28" s="75">
        <f t="shared" si="117"/>
        <v>0</v>
      </c>
      <c r="DQ28" s="306"/>
      <c r="DR28" s="71">
        <f t="shared" si="118"/>
        <v>0</v>
      </c>
      <c r="DS28" s="75">
        <f t="shared" si="119"/>
        <v>0</v>
      </c>
      <c r="DT28" s="306"/>
      <c r="DU28" s="71">
        <f t="shared" si="120"/>
        <v>0</v>
      </c>
      <c r="DV28" s="75">
        <f t="shared" si="121"/>
        <v>0</v>
      </c>
      <c r="DW28" s="306"/>
      <c r="DX28" s="71">
        <f t="shared" si="122"/>
        <v>0</v>
      </c>
      <c r="DY28" s="75">
        <f t="shared" si="123"/>
        <v>0</v>
      </c>
      <c r="DZ28" s="306"/>
      <c r="EA28" s="71">
        <f t="shared" si="124"/>
        <v>0</v>
      </c>
      <c r="EB28" s="75">
        <f t="shared" si="125"/>
        <v>0</v>
      </c>
      <c r="EC28" s="306"/>
      <c r="ED28" s="71">
        <f t="shared" si="126"/>
        <v>0</v>
      </c>
      <c r="EE28" s="75">
        <f t="shared" si="127"/>
        <v>0</v>
      </c>
      <c r="EF28" s="309"/>
      <c r="EG28" s="75">
        <f t="shared" si="128"/>
        <v>0</v>
      </c>
      <c r="EH28" s="309"/>
      <c r="EI28" s="75">
        <f t="shared" si="129"/>
        <v>0</v>
      </c>
      <c r="EJ28" s="310"/>
      <c r="EK28" s="75">
        <f t="shared" si="130"/>
        <v>0</v>
      </c>
      <c r="EL28" s="495"/>
      <c r="EM28" s="75">
        <f t="shared" si="131"/>
        <v>0</v>
      </c>
      <c r="EN28" s="310"/>
      <c r="EO28" s="346"/>
      <c r="EP28" s="491"/>
      <c r="EQ28" s="347"/>
      <c r="ER28" s="334"/>
      <c r="ES28" s="537"/>
      <c r="ET28" s="536"/>
      <c r="EU28" s="536"/>
      <c r="EV28" s="536"/>
    </row>
    <row r="29" spans="1:154" s="76" customFormat="1" ht="15">
      <c r="A29" s="68">
        <v>44799</v>
      </c>
      <c r="B29" s="304"/>
      <c r="C29" s="70">
        <f t="shared" si="55"/>
        <v>0</v>
      </c>
      <c r="D29" s="305"/>
      <c r="E29" s="70">
        <f t="shared" si="56"/>
        <v>0</v>
      </c>
      <c r="F29" s="721" t="e">
        <f t="shared" si="57"/>
        <v>#DIV/0!</v>
      </c>
      <c r="G29" s="305"/>
      <c r="H29" s="305"/>
      <c r="I29" s="305"/>
      <c r="J29" s="78">
        <f t="shared" ref="J29" si="260">IF((I29-I28)&lt;0,"0",(I29-I28))</f>
        <v>0</v>
      </c>
      <c r="K29" s="307"/>
      <c r="L29" s="78">
        <f t="shared" ref="L29" si="261">IF((K29-K28)&lt;0,"0",(K29-K28))</f>
        <v>0</v>
      </c>
      <c r="M29" s="303"/>
      <c r="N29" s="78">
        <f t="shared" ref="N29" si="262">IF((M29-M28)&lt;0,"0",(M29-M28))</f>
        <v>0</v>
      </c>
      <c r="O29" s="303"/>
      <c r="P29" s="78">
        <f t="shared" ref="P29" si="263">IF((O29-O28)&lt;0,"0",(O29-O28))</f>
        <v>0</v>
      </c>
      <c r="Q29" s="303"/>
      <c r="R29" s="78">
        <f t="shared" si="232"/>
        <v>0</v>
      </c>
      <c r="S29" s="303"/>
      <c r="T29" s="78">
        <f t="shared" si="62"/>
        <v>0</v>
      </c>
      <c r="U29" s="303"/>
      <c r="V29" s="78">
        <f>IF((U29-U28)&lt;0,"0",(U29-U28))</f>
        <v>0</v>
      </c>
      <c r="W29" s="303"/>
      <c r="X29" s="78">
        <f t="shared" si="64"/>
        <v>0</v>
      </c>
      <c r="Y29" s="303"/>
      <c r="Z29" s="78">
        <f t="shared" si="65"/>
        <v>0</v>
      </c>
      <c r="AA29" s="538"/>
      <c r="AB29" s="718"/>
      <c r="AC29" s="308">
        <f t="shared" si="66"/>
        <v>0</v>
      </c>
      <c r="AD29" s="307"/>
      <c r="AE29" s="303"/>
      <c r="AF29" s="78">
        <f t="shared" si="5"/>
        <v>0</v>
      </c>
      <c r="AG29" s="495"/>
      <c r="AH29" s="71">
        <f t="shared" si="67"/>
        <v>0</v>
      </c>
      <c r="AI29" s="742"/>
      <c r="AJ29" s="563">
        <f t="shared" si="68"/>
        <v>0</v>
      </c>
      <c r="AK29" s="303"/>
      <c r="AL29" s="563">
        <f t="shared" si="69"/>
        <v>0</v>
      </c>
      <c r="AM29" s="69"/>
      <c r="AN29" s="563">
        <f t="shared" si="70"/>
        <v>0</v>
      </c>
      <c r="AO29" s="69"/>
      <c r="AP29" s="563">
        <f t="shared" si="71"/>
        <v>0</v>
      </c>
      <c r="AQ29" s="303"/>
      <c r="AR29" s="78">
        <f t="shared" si="72"/>
        <v>0</v>
      </c>
      <c r="AS29" s="352"/>
      <c r="AT29" s="78">
        <f t="shared" si="73"/>
        <v>0</v>
      </c>
      <c r="AU29" s="534"/>
      <c r="AV29" s="78">
        <f t="shared" si="74"/>
        <v>0</v>
      </c>
      <c r="AW29" s="307"/>
      <c r="AX29" s="78">
        <f t="shared" si="75"/>
        <v>0</v>
      </c>
      <c r="AY29" s="303"/>
      <c r="AZ29" s="78">
        <f t="shared" si="76"/>
        <v>0</v>
      </c>
      <c r="BA29" s="303"/>
      <c r="BB29" s="78">
        <f t="shared" si="77"/>
        <v>0</v>
      </c>
      <c r="BC29" s="303"/>
      <c r="BD29" s="78">
        <f t="shared" si="78"/>
        <v>0</v>
      </c>
      <c r="BE29" s="495"/>
      <c r="BF29" s="71">
        <f t="shared" si="79"/>
        <v>0</v>
      </c>
      <c r="BG29" s="303"/>
      <c r="BH29" s="71">
        <f t="shared" si="80"/>
        <v>0</v>
      </c>
      <c r="BI29" s="303"/>
      <c r="BJ29" s="71">
        <f t="shared" si="81"/>
        <v>0</v>
      </c>
      <c r="BK29" s="303"/>
      <c r="BL29" s="71">
        <f t="shared" si="82"/>
        <v>0</v>
      </c>
      <c r="BM29" s="303"/>
      <c r="BN29" s="71">
        <f t="shared" si="83"/>
        <v>0</v>
      </c>
      <c r="BO29" s="303"/>
      <c r="BP29" s="71">
        <f t="shared" si="84"/>
        <v>0</v>
      </c>
      <c r="BQ29" s="303"/>
      <c r="BR29" s="71">
        <f t="shared" si="85"/>
        <v>0</v>
      </c>
      <c r="BS29" s="71">
        <f t="shared" si="86"/>
        <v>0</v>
      </c>
      <c r="BT29" s="71">
        <f t="shared" si="87"/>
        <v>0</v>
      </c>
      <c r="BU29" s="303"/>
      <c r="BV29" s="71">
        <f t="shared" si="88"/>
        <v>0</v>
      </c>
      <c r="BW29" s="303"/>
      <c r="BX29" s="71">
        <f t="shared" si="89"/>
        <v>0</v>
      </c>
      <c r="BY29" s="303"/>
      <c r="BZ29" s="71">
        <f t="shared" si="90"/>
        <v>0</v>
      </c>
      <c r="CA29" s="495"/>
      <c r="CB29" s="71">
        <f t="shared" si="91"/>
        <v>0</v>
      </c>
      <c r="CC29" s="75">
        <f t="shared" si="92"/>
        <v>0</v>
      </c>
      <c r="CD29" s="71">
        <f t="shared" si="93"/>
        <v>0</v>
      </c>
      <c r="CE29" s="72">
        <f t="shared" si="94"/>
        <v>0</v>
      </c>
      <c r="CF29" s="495"/>
      <c r="CG29" s="496">
        <f t="shared" si="95"/>
        <v>0</v>
      </c>
      <c r="CH29" s="309"/>
      <c r="CI29" s="726">
        <f t="shared" si="96"/>
        <v>0</v>
      </c>
      <c r="CJ29" s="306"/>
      <c r="CK29" s="71">
        <f t="shared" si="97"/>
        <v>0</v>
      </c>
      <c r="CL29" s="75">
        <f t="shared" si="98"/>
        <v>0</v>
      </c>
      <c r="CM29" s="535"/>
      <c r="CN29" s="564">
        <f t="shared" si="99"/>
        <v>0</v>
      </c>
      <c r="CO29" s="306"/>
      <c r="CP29" s="73">
        <f t="shared" si="100"/>
        <v>0</v>
      </c>
      <c r="CQ29" s="535"/>
      <c r="CR29" s="566">
        <f t="shared" si="101"/>
        <v>0</v>
      </c>
      <c r="CS29" s="565">
        <f t="shared" si="102"/>
        <v>0</v>
      </c>
      <c r="CT29" s="567" t="str">
        <f t="shared" si="103"/>
        <v>0</v>
      </c>
      <c r="CU29" s="303"/>
      <c r="CV29" s="306"/>
      <c r="CW29" s="71">
        <f t="shared" si="104"/>
        <v>0</v>
      </c>
      <c r="CX29" s="75">
        <f t="shared" si="105"/>
        <v>0</v>
      </c>
      <c r="CY29" s="693"/>
      <c r="CZ29" s="71">
        <f t="shared" si="106"/>
        <v>0</v>
      </c>
      <c r="DA29" s="75">
        <f t="shared" si="107"/>
        <v>0</v>
      </c>
      <c r="DB29" s="306"/>
      <c r="DC29" s="71">
        <f t="shared" si="108"/>
        <v>0</v>
      </c>
      <c r="DD29" s="75">
        <f t="shared" si="109"/>
        <v>0</v>
      </c>
      <c r="DE29" s="306"/>
      <c r="DF29" s="71">
        <f t="shared" si="110"/>
        <v>0</v>
      </c>
      <c r="DG29" s="75">
        <f t="shared" si="111"/>
        <v>0</v>
      </c>
      <c r="DH29" s="303"/>
      <c r="DI29" s="71">
        <f t="shared" si="112"/>
        <v>0</v>
      </c>
      <c r="DJ29" s="75">
        <f t="shared" si="113"/>
        <v>0</v>
      </c>
      <c r="DK29" s="306"/>
      <c r="DL29" s="71">
        <f t="shared" si="114"/>
        <v>0</v>
      </c>
      <c r="DM29" s="75">
        <f t="shared" si="115"/>
        <v>0</v>
      </c>
      <c r="DN29" s="306"/>
      <c r="DO29" s="71">
        <f t="shared" si="116"/>
        <v>0</v>
      </c>
      <c r="DP29" s="75">
        <f t="shared" si="117"/>
        <v>0</v>
      </c>
      <c r="DQ29" s="306"/>
      <c r="DR29" s="71">
        <f t="shared" si="118"/>
        <v>0</v>
      </c>
      <c r="DS29" s="75">
        <f t="shared" si="119"/>
        <v>0</v>
      </c>
      <c r="DT29" s="306"/>
      <c r="DU29" s="71">
        <f t="shared" si="120"/>
        <v>0</v>
      </c>
      <c r="DV29" s="75">
        <f t="shared" si="121"/>
        <v>0</v>
      </c>
      <c r="DW29" s="306"/>
      <c r="DX29" s="71">
        <f t="shared" si="122"/>
        <v>0</v>
      </c>
      <c r="DY29" s="75">
        <f t="shared" si="123"/>
        <v>0</v>
      </c>
      <c r="DZ29" s="306"/>
      <c r="EA29" s="71">
        <f t="shared" si="124"/>
        <v>0</v>
      </c>
      <c r="EB29" s="75">
        <f t="shared" si="125"/>
        <v>0</v>
      </c>
      <c r="EC29" s="306"/>
      <c r="ED29" s="71">
        <f t="shared" si="126"/>
        <v>0</v>
      </c>
      <c r="EE29" s="75">
        <f t="shared" si="127"/>
        <v>0</v>
      </c>
      <c r="EF29" s="309"/>
      <c r="EG29" s="75">
        <f t="shared" si="128"/>
        <v>0</v>
      </c>
      <c r="EH29" s="309"/>
      <c r="EI29" s="75">
        <f t="shared" si="129"/>
        <v>0</v>
      </c>
      <c r="EJ29" s="310"/>
      <c r="EK29" s="75">
        <f t="shared" si="130"/>
        <v>0</v>
      </c>
      <c r="EL29" s="495"/>
      <c r="EM29" s="75">
        <f t="shared" si="131"/>
        <v>0</v>
      </c>
      <c r="EN29" s="310"/>
      <c r="EO29" s="346"/>
      <c r="EP29" s="491"/>
      <c r="EQ29" s="347"/>
      <c r="ER29" s="334"/>
      <c r="ES29" s="537"/>
      <c r="ET29" s="536"/>
      <c r="EU29" s="536"/>
      <c r="EV29" s="536"/>
    </row>
    <row r="30" spans="1:154" s="76" customFormat="1" ht="15">
      <c r="A30" s="68">
        <v>44800</v>
      </c>
      <c r="B30" s="304"/>
      <c r="C30" s="70">
        <f t="shared" si="55"/>
        <v>0</v>
      </c>
      <c r="D30" s="305"/>
      <c r="E30" s="70">
        <f t="shared" si="56"/>
        <v>0</v>
      </c>
      <c r="F30" s="721" t="e">
        <f t="shared" si="57"/>
        <v>#DIV/0!</v>
      </c>
      <c r="G30" s="305"/>
      <c r="H30" s="305"/>
      <c r="I30" s="305"/>
      <c r="J30" s="78">
        <f t="shared" ref="J30" si="264">IF((I30-I29)&lt;0,"0",(I30-I29))</f>
        <v>0</v>
      </c>
      <c r="K30" s="307"/>
      <c r="L30" s="78">
        <f t="shared" ref="L30" si="265">IF((K30-K29)&lt;0,"0",(K30-K29))</f>
        <v>0</v>
      </c>
      <c r="M30" s="303"/>
      <c r="N30" s="78">
        <f t="shared" ref="N30" si="266">IF((M30-M29)&lt;0,"0",(M30-M29))</f>
        <v>0</v>
      </c>
      <c r="O30" s="303"/>
      <c r="P30" s="78">
        <f t="shared" ref="P30" si="267">IF((O30-O29)&lt;0,"0",(O30-O29))</f>
        <v>0</v>
      </c>
      <c r="Q30" s="303"/>
      <c r="R30" s="78">
        <f t="shared" si="232"/>
        <v>0</v>
      </c>
      <c r="S30" s="303"/>
      <c r="T30" s="78">
        <f t="shared" si="62"/>
        <v>0</v>
      </c>
      <c r="U30" s="303"/>
      <c r="V30" s="78">
        <f>IF((U30-U29)&lt;0,"0",(U30-U29))</f>
        <v>0</v>
      </c>
      <c r="W30" s="303"/>
      <c r="X30" s="78">
        <f t="shared" si="64"/>
        <v>0</v>
      </c>
      <c r="Y30" s="303"/>
      <c r="Z30" s="78">
        <f t="shared" si="65"/>
        <v>0</v>
      </c>
      <c r="AA30" s="538"/>
      <c r="AB30" s="718"/>
      <c r="AC30" s="308">
        <f t="shared" si="66"/>
        <v>0</v>
      </c>
      <c r="AD30" s="307"/>
      <c r="AE30" s="303"/>
      <c r="AF30" s="78">
        <f t="shared" si="5"/>
        <v>0</v>
      </c>
      <c r="AG30" s="495"/>
      <c r="AH30" s="71">
        <f t="shared" si="67"/>
        <v>0</v>
      </c>
      <c r="AI30" s="742"/>
      <c r="AJ30" s="563">
        <f t="shared" si="68"/>
        <v>0</v>
      </c>
      <c r="AK30" s="303"/>
      <c r="AL30" s="563">
        <f t="shared" si="69"/>
        <v>0</v>
      </c>
      <c r="AM30" s="69"/>
      <c r="AN30" s="563">
        <f t="shared" si="70"/>
        <v>0</v>
      </c>
      <c r="AO30" s="69"/>
      <c r="AP30" s="563">
        <f t="shared" si="71"/>
        <v>0</v>
      </c>
      <c r="AQ30" s="303"/>
      <c r="AR30" s="78">
        <f t="shared" si="72"/>
        <v>0</v>
      </c>
      <c r="AS30" s="352"/>
      <c r="AT30" s="78">
        <f t="shared" si="73"/>
        <v>0</v>
      </c>
      <c r="AU30" s="534"/>
      <c r="AV30" s="78">
        <f t="shared" si="74"/>
        <v>0</v>
      </c>
      <c r="AW30" s="307"/>
      <c r="AX30" s="78">
        <f t="shared" si="75"/>
        <v>0</v>
      </c>
      <c r="AY30" s="303"/>
      <c r="AZ30" s="78">
        <f t="shared" si="76"/>
        <v>0</v>
      </c>
      <c r="BA30" s="303"/>
      <c r="BB30" s="78">
        <f t="shared" si="77"/>
        <v>0</v>
      </c>
      <c r="BC30" s="303"/>
      <c r="BD30" s="78">
        <f t="shared" si="78"/>
        <v>0</v>
      </c>
      <c r="BE30" s="495"/>
      <c r="BF30" s="71">
        <f t="shared" si="79"/>
        <v>0</v>
      </c>
      <c r="BG30" s="303"/>
      <c r="BH30" s="71">
        <f t="shared" si="80"/>
        <v>0</v>
      </c>
      <c r="BI30" s="303"/>
      <c r="BJ30" s="71">
        <f t="shared" si="81"/>
        <v>0</v>
      </c>
      <c r="BK30" s="303"/>
      <c r="BL30" s="71">
        <f t="shared" si="82"/>
        <v>0</v>
      </c>
      <c r="BM30" s="303"/>
      <c r="BN30" s="71">
        <f t="shared" si="83"/>
        <v>0</v>
      </c>
      <c r="BO30" s="303"/>
      <c r="BP30" s="71">
        <f t="shared" si="84"/>
        <v>0</v>
      </c>
      <c r="BQ30" s="303"/>
      <c r="BR30" s="71">
        <f t="shared" si="85"/>
        <v>0</v>
      </c>
      <c r="BS30" s="71">
        <f t="shared" si="86"/>
        <v>0</v>
      </c>
      <c r="BT30" s="71">
        <f t="shared" si="87"/>
        <v>0</v>
      </c>
      <c r="BU30" s="303"/>
      <c r="BV30" s="71">
        <f t="shared" si="88"/>
        <v>0</v>
      </c>
      <c r="BW30" s="303"/>
      <c r="BX30" s="71">
        <f t="shared" si="89"/>
        <v>0</v>
      </c>
      <c r="BY30" s="303"/>
      <c r="BZ30" s="71">
        <f t="shared" si="90"/>
        <v>0</v>
      </c>
      <c r="CA30" s="495"/>
      <c r="CB30" s="71">
        <f t="shared" si="91"/>
        <v>0</v>
      </c>
      <c r="CC30" s="75">
        <f t="shared" si="92"/>
        <v>0</v>
      </c>
      <c r="CD30" s="71">
        <f t="shared" si="93"/>
        <v>0</v>
      </c>
      <c r="CE30" s="72">
        <f t="shared" si="94"/>
        <v>0</v>
      </c>
      <c r="CF30" s="495"/>
      <c r="CG30" s="496">
        <f t="shared" si="95"/>
        <v>0</v>
      </c>
      <c r="CH30" s="309"/>
      <c r="CI30" s="726">
        <f t="shared" si="96"/>
        <v>0</v>
      </c>
      <c r="CJ30" s="306"/>
      <c r="CK30" s="71">
        <f t="shared" si="97"/>
        <v>0</v>
      </c>
      <c r="CL30" s="75">
        <f t="shared" si="98"/>
        <v>0</v>
      </c>
      <c r="CM30" s="535"/>
      <c r="CN30" s="564">
        <f t="shared" si="99"/>
        <v>0</v>
      </c>
      <c r="CO30" s="306"/>
      <c r="CP30" s="73">
        <f t="shared" si="100"/>
        <v>0</v>
      </c>
      <c r="CQ30" s="535"/>
      <c r="CR30" s="566">
        <f t="shared" si="101"/>
        <v>0</v>
      </c>
      <c r="CS30" s="565">
        <f t="shared" si="102"/>
        <v>0</v>
      </c>
      <c r="CT30" s="567" t="str">
        <f t="shared" si="103"/>
        <v>0</v>
      </c>
      <c r="CU30" s="303"/>
      <c r="CV30" s="306"/>
      <c r="CW30" s="71">
        <f t="shared" si="104"/>
        <v>0</v>
      </c>
      <c r="CX30" s="75">
        <f t="shared" si="105"/>
        <v>0</v>
      </c>
      <c r="CY30" s="693"/>
      <c r="CZ30" s="71">
        <f t="shared" si="106"/>
        <v>0</v>
      </c>
      <c r="DA30" s="75">
        <f t="shared" si="107"/>
        <v>0</v>
      </c>
      <c r="DB30" s="306"/>
      <c r="DC30" s="71">
        <f t="shared" si="108"/>
        <v>0</v>
      </c>
      <c r="DD30" s="75">
        <f t="shared" si="109"/>
        <v>0</v>
      </c>
      <c r="DE30" s="306"/>
      <c r="DF30" s="71">
        <f t="shared" si="110"/>
        <v>0</v>
      </c>
      <c r="DG30" s="75">
        <f t="shared" si="111"/>
        <v>0</v>
      </c>
      <c r="DH30" s="303"/>
      <c r="DI30" s="71">
        <f t="shared" si="112"/>
        <v>0</v>
      </c>
      <c r="DJ30" s="75">
        <f t="shared" si="113"/>
        <v>0</v>
      </c>
      <c r="DK30" s="306"/>
      <c r="DL30" s="71">
        <f t="shared" si="114"/>
        <v>0</v>
      </c>
      <c r="DM30" s="75">
        <f t="shared" si="115"/>
        <v>0</v>
      </c>
      <c r="DN30" s="306"/>
      <c r="DO30" s="71">
        <f t="shared" si="116"/>
        <v>0</v>
      </c>
      <c r="DP30" s="75">
        <f t="shared" si="117"/>
        <v>0</v>
      </c>
      <c r="DQ30" s="306"/>
      <c r="DR30" s="71">
        <f t="shared" si="118"/>
        <v>0</v>
      </c>
      <c r="DS30" s="75">
        <f t="shared" si="119"/>
        <v>0</v>
      </c>
      <c r="DT30" s="306"/>
      <c r="DU30" s="71">
        <f t="shared" si="120"/>
        <v>0</v>
      </c>
      <c r="DV30" s="75">
        <f t="shared" si="121"/>
        <v>0</v>
      </c>
      <c r="DW30" s="306"/>
      <c r="DX30" s="71">
        <f t="shared" si="122"/>
        <v>0</v>
      </c>
      <c r="DY30" s="75">
        <f t="shared" si="123"/>
        <v>0</v>
      </c>
      <c r="DZ30" s="306"/>
      <c r="EA30" s="71">
        <f t="shared" si="124"/>
        <v>0</v>
      </c>
      <c r="EB30" s="75">
        <f t="shared" si="125"/>
        <v>0</v>
      </c>
      <c r="EC30" s="306"/>
      <c r="ED30" s="71">
        <f t="shared" si="126"/>
        <v>0</v>
      </c>
      <c r="EE30" s="75">
        <f t="shared" si="127"/>
        <v>0</v>
      </c>
      <c r="EF30" s="309"/>
      <c r="EG30" s="75">
        <f t="shared" si="128"/>
        <v>0</v>
      </c>
      <c r="EH30" s="309"/>
      <c r="EI30" s="75">
        <f t="shared" si="129"/>
        <v>0</v>
      </c>
      <c r="EJ30" s="310"/>
      <c r="EK30" s="75">
        <f t="shared" si="130"/>
        <v>0</v>
      </c>
      <c r="EL30" s="495"/>
      <c r="EM30" s="75">
        <f t="shared" si="131"/>
        <v>0</v>
      </c>
      <c r="EN30" s="310"/>
      <c r="EO30" s="346"/>
      <c r="EP30" s="491"/>
      <c r="EQ30" s="347"/>
      <c r="ER30" s="334"/>
      <c r="ES30" s="537"/>
      <c r="ET30" s="536"/>
      <c r="EU30" s="536"/>
      <c r="EV30" s="536"/>
    </row>
    <row r="31" spans="1:154" s="76" customFormat="1" ht="15">
      <c r="A31" s="68">
        <v>44801</v>
      </c>
      <c r="B31" s="304"/>
      <c r="C31" s="70">
        <f t="shared" si="55"/>
        <v>0</v>
      </c>
      <c r="D31" s="305"/>
      <c r="E31" s="70">
        <f t="shared" si="56"/>
        <v>0</v>
      </c>
      <c r="F31" s="721" t="e">
        <f t="shared" si="57"/>
        <v>#DIV/0!</v>
      </c>
      <c r="G31" s="305"/>
      <c r="H31" s="305"/>
      <c r="I31" s="305"/>
      <c r="J31" s="78">
        <f t="shared" ref="J31" si="268">IF((I31-I30)&lt;0,"0",(I31-I30))</f>
        <v>0</v>
      </c>
      <c r="K31" s="307"/>
      <c r="L31" s="78">
        <f t="shared" ref="L31" si="269">IF((K31-K30)&lt;0,"0",(K31-K30))</f>
        <v>0</v>
      </c>
      <c r="M31" s="303"/>
      <c r="N31" s="78">
        <f t="shared" ref="N31" si="270">IF((M31-M30)&lt;0,"0",(M31-M30))</f>
        <v>0</v>
      </c>
      <c r="O31" s="303"/>
      <c r="P31" s="78">
        <f t="shared" ref="P31" si="271">IF((O31-O30)&lt;0,"0",(O31-O30))</f>
        <v>0</v>
      </c>
      <c r="Q31" s="303"/>
      <c r="R31" s="78">
        <f t="shared" si="232"/>
        <v>0</v>
      </c>
      <c r="S31" s="303"/>
      <c r="T31" s="78">
        <f t="shared" si="62"/>
        <v>0</v>
      </c>
      <c r="U31" s="303"/>
      <c r="V31" s="78">
        <f t="shared" si="63"/>
        <v>0</v>
      </c>
      <c r="W31" s="303"/>
      <c r="X31" s="78">
        <f t="shared" si="64"/>
        <v>0</v>
      </c>
      <c r="Y31" s="303"/>
      <c r="Z31" s="78">
        <f t="shared" si="65"/>
        <v>0</v>
      </c>
      <c r="AA31" s="538"/>
      <c r="AB31" s="718"/>
      <c r="AC31" s="308">
        <f t="shared" si="66"/>
        <v>0</v>
      </c>
      <c r="AD31" s="307"/>
      <c r="AE31" s="303"/>
      <c r="AF31" s="78">
        <f t="shared" si="5"/>
        <v>0</v>
      </c>
      <c r="AG31" s="495"/>
      <c r="AH31" s="71">
        <f t="shared" si="67"/>
        <v>0</v>
      </c>
      <c r="AI31" s="303"/>
      <c r="AJ31" s="563">
        <f t="shared" si="68"/>
        <v>0</v>
      </c>
      <c r="AK31" s="303"/>
      <c r="AL31" s="563">
        <f t="shared" si="69"/>
        <v>0</v>
      </c>
      <c r="AM31" s="69"/>
      <c r="AN31" s="563">
        <f t="shared" si="70"/>
        <v>0</v>
      </c>
      <c r="AO31" s="69"/>
      <c r="AP31" s="563">
        <f t="shared" si="71"/>
        <v>0</v>
      </c>
      <c r="AQ31" s="303"/>
      <c r="AR31" s="78">
        <f t="shared" si="72"/>
        <v>0</v>
      </c>
      <c r="AS31" s="352"/>
      <c r="AT31" s="78">
        <f t="shared" si="73"/>
        <v>0</v>
      </c>
      <c r="AU31" s="534"/>
      <c r="AV31" s="78">
        <f t="shared" si="74"/>
        <v>0</v>
      </c>
      <c r="AW31" s="307"/>
      <c r="AX31" s="78">
        <f t="shared" si="75"/>
        <v>0</v>
      </c>
      <c r="AY31" s="303"/>
      <c r="AZ31" s="78">
        <f t="shared" si="76"/>
        <v>0</v>
      </c>
      <c r="BA31" s="303"/>
      <c r="BB31" s="78">
        <f t="shared" si="77"/>
        <v>0</v>
      </c>
      <c r="BC31" s="303"/>
      <c r="BD31" s="78">
        <f t="shared" si="78"/>
        <v>0</v>
      </c>
      <c r="BE31" s="495"/>
      <c r="BF31" s="71">
        <f t="shared" si="79"/>
        <v>0</v>
      </c>
      <c r="BG31" s="303"/>
      <c r="BH31" s="71">
        <f t="shared" si="80"/>
        <v>0</v>
      </c>
      <c r="BI31" s="303"/>
      <c r="BJ31" s="71">
        <f t="shared" si="81"/>
        <v>0</v>
      </c>
      <c r="BK31" s="303"/>
      <c r="BL31" s="71">
        <f t="shared" si="82"/>
        <v>0</v>
      </c>
      <c r="BM31" s="303"/>
      <c r="BN31" s="71">
        <f t="shared" si="83"/>
        <v>0</v>
      </c>
      <c r="BO31" s="303"/>
      <c r="BP31" s="71">
        <f t="shared" si="84"/>
        <v>0</v>
      </c>
      <c r="BQ31" s="303"/>
      <c r="BR31" s="71">
        <f t="shared" si="85"/>
        <v>0</v>
      </c>
      <c r="BS31" s="71">
        <f t="shared" si="86"/>
        <v>0</v>
      </c>
      <c r="BT31" s="71">
        <f t="shared" si="87"/>
        <v>0</v>
      </c>
      <c r="BU31" s="303"/>
      <c r="BV31" s="71">
        <f t="shared" si="88"/>
        <v>0</v>
      </c>
      <c r="BW31" s="303"/>
      <c r="BX31" s="71">
        <f t="shared" si="89"/>
        <v>0</v>
      </c>
      <c r="BY31" s="303"/>
      <c r="BZ31" s="71">
        <f t="shared" si="90"/>
        <v>0</v>
      </c>
      <c r="CA31" s="495"/>
      <c r="CB31" s="71">
        <f t="shared" si="91"/>
        <v>0</v>
      </c>
      <c r="CC31" s="75">
        <f>BZ31-AR31</f>
        <v>0</v>
      </c>
      <c r="CD31" s="71">
        <f t="shared" si="93"/>
        <v>0</v>
      </c>
      <c r="CE31" s="72">
        <f t="shared" si="94"/>
        <v>0</v>
      </c>
      <c r="CF31" s="495"/>
      <c r="CG31" s="496">
        <f t="shared" si="95"/>
        <v>0</v>
      </c>
      <c r="CH31" s="309"/>
      <c r="CI31" s="726">
        <f t="shared" si="96"/>
        <v>0</v>
      </c>
      <c r="CJ31" s="306"/>
      <c r="CK31" s="71">
        <f t="shared" si="97"/>
        <v>0</v>
      </c>
      <c r="CL31" s="75">
        <f t="shared" si="98"/>
        <v>0</v>
      </c>
      <c r="CM31" s="535"/>
      <c r="CN31" s="564">
        <f t="shared" si="99"/>
        <v>0</v>
      </c>
      <c r="CO31" s="306"/>
      <c r="CP31" s="73">
        <f t="shared" si="100"/>
        <v>0</v>
      </c>
      <c r="CQ31" s="535"/>
      <c r="CR31" s="566">
        <f t="shared" si="101"/>
        <v>0</v>
      </c>
      <c r="CS31" s="565">
        <f t="shared" si="102"/>
        <v>0</v>
      </c>
      <c r="CT31" s="567" t="str">
        <f t="shared" si="103"/>
        <v>0</v>
      </c>
      <c r="CU31" s="303"/>
      <c r="CV31" s="306"/>
      <c r="CW31" s="71">
        <f t="shared" si="104"/>
        <v>0</v>
      </c>
      <c r="CX31" s="75">
        <f t="shared" si="105"/>
        <v>0</v>
      </c>
      <c r="CY31" s="693"/>
      <c r="CZ31" s="71">
        <f t="shared" si="106"/>
        <v>0</v>
      </c>
      <c r="DA31" s="75">
        <f t="shared" si="107"/>
        <v>0</v>
      </c>
      <c r="DB31" s="306"/>
      <c r="DC31" s="71">
        <f t="shared" si="108"/>
        <v>0</v>
      </c>
      <c r="DD31" s="75">
        <f t="shared" si="109"/>
        <v>0</v>
      </c>
      <c r="DE31" s="306"/>
      <c r="DF31" s="71">
        <f t="shared" si="110"/>
        <v>0</v>
      </c>
      <c r="DG31" s="75">
        <f t="shared" si="111"/>
        <v>0</v>
      </c>
      <c r="DH31" s="303"/>
      <c r="DI31" s="71">
        <f t="shared" si="112"/>
        <v>0</v>
      </c>
      <c r="DJ31" s="75">
        <f t="shared" si="113"/>
        <v>0</v>
      </c>
      <c r="DK31" s="306"/>
      <c r="DL31" s="71">
        <f t="shared" si="114"/>
        <v>0</v>
      </c>
      <c r="DM31" s="75">
        <f t="shared" si="115"/>
        <v>0</v>
      </c>
      <c r="DN31" s="306"/>
      <c r="DO31" s="71">
        <f t="shared" si="116"/>
        <v>0</v>
      </c>
      <c r="DP31" s="75">
        <f t="shared" si="117"/>
        <v>0</v>
      </c>
      <c r="DQ31" s="306"/>
      <c r="DR31" s="71">
        <f t="shared" si="118"/>
        <v>0</v>
      </c>
      <c r="DS31" s="75">
        <f t="shared" si="119"/>
        <v>0</v>
      </c>
      <c r="DT31" s="306"/>
      <c r="DU31" s="71">
        <f t="shared" si="120"/>
        <v>0</v>
      </c>
      <c r="DV31" s="75">
        <f t="shared" si="121"/>
        <v>0</v>
      </c>
      <c r="DW31" s="306"/>
      <c r="DX31" s="71">
        <f t="shared" si="122"/>
        <v>0</v>
      </c>
      <c r="DY31" s="75">
        <f t="shared" si="123"/>
        <v>0</v>
      </c>
      <c r="DZ31" s="306"/>
      <c r="EA31" s="71">
        <f t="shared" si="124"/>
        <v>0</v>
      </c>
      <c r="EB31" s="75">
        <f t="shared" si="125"/>
        <v>0</v>
      </c>
      <c r="EC31" s="306"/>
      <c r="ED31" s="71">
        <f t="shared" si="126"/>
        <v>0</v>
      </c>
      <c r="EE31" s="75">
        <f t="shared" si="127"/>
        <v>0</v>
      </c>
      <c r="EF31" s="309"/>
      <c r="EG31" s="75">
        <f t="shared" si="128"/>
        <v>0</v>
      </c>
      <c r="EH31" s="309"/>
      <c r="EI31" s="75">
        <f t="shared" si="129"/>
        <v>0</v>
      </c>
      <c r="EJ31" s="310"/>
      <c r="EK31" s="75">
        <f t="shared" si="130"/>
        <v>0</v>
      </c>
      <c r="EL31" s="495"/>
      <c r="EM31" s="75">
        <f t="shared" si="131"/>
        <v>0</v>
      </c>
      <c r="EN31" s="310"/>
      <c r="EO31" s="346"/>
      <c r="EP31" s="491"/>
      <c r="EQ31" s="347"/>
      <c r="ER31" s="334"/>
      <c r="ES31" s="537"/>
      <c r="ET31" s="536"/>
      <c r="EU31" s="536"/>
      <c r="EV31" s="536"/>
    </row>
    <row r="32" spans="1:154" s="76" customFormat="1" ht="15">
      <c r="A32" s="68">
        <v>44802</v>
      </c>
      <c r="B32" s="304"/>
      <c r="C32" s="70">
        <f t="shared" si="55"/>
        <v>0</v>
      </c>
      <c r="D32" s="305"/>
      <c r="E32" s="70">
        <f t="shared" si="56"/>
        <v>0</v>
      </c>
      <c r="F32" s="721" t="e">
        <f t="shared" si="57"/>
        <v>#DIV/0!</v>
      </c>
      <c r="G32" s="305"/>
      <c r="H32" s="305"/>
      <c r="I32" s="305"/>
      <c r="J32" s="78">
        <f t="shared" ref="J32" si="272">IF((I32-I31)&lt;0,"0",(I32-I31))</f>
        <v>0</v>
      </c>
      <c r="K32" s="307"/>
      <c r="L32" s="78">
        <f t="shared" ref="L32" si="273">IF((K32-K31)&lt;0,"0",(K32-K31))</f>
        <v>0</v>
      </c>
      <c r="M32" s="303"/>
      <c r="N32" s="78">
        <f t="shared" ref="N32" si="274">IF((M32-M31)&lt;0,"0",(M32-M31))</f>
        <v>0</v>
      </c>
      <c r="O32" s="303"/>
      <c r="P32" s="78">
        <f t="shared" ref="P32" si="275">IF((O32-O31)&lt;0,"0",(O32-O31))</f>
        <v>0</v>
      </c>
      <c r="Q32" s="303"/>
      <c r="R32" s="78">
        <f t="shared" si="232"/>
        <v>0</v>
      </c>
      <c r="S32" s="303"/>
      <c r="T32" s="78">
        <f t="shared" si="62"/>
        <v>0</v>
      </c>
      <c r="U32" s="303"/>
      <c r="V32" s="78">
        <f t="shared" si="63"/>
        <v>0</v>
      </c>
      <c r="W32" s="303"/>
      <c r="X32" s="78">
        <f t="shared" si="64"/>
        <v>0</v>
      </c>
      <c r="Y32" s="303"/>
      <c r="Z32" s="78">
        <f t="shared" si="65"/>
        <v>0</v>
      </c>
      <c r="AA32" s="538"/>
      <c r="AB32" s="718"/>
      <c r="AC32" s="308">
        <f t="shared" si="66"/>
        <v>0</v>
      </c>
      <c r="AD32" s="307"/>
      <c r="AE32" s="303"/>
      <c r="AF32" s="78">
        <f t="shared" si="5"/>
        <v>0</v>
      </c>
      <c r="AG32" s="495"/>
      <c r="AH32" s="71">
        <f t="shared" si="67"/>
        <v>0</v>
      </c>
      <c r="AI32" s="303"/>
      <c r="AJ32" s="563">
        <f t="shared" si="68"/>
        <v>0</v>
      </c>
      <c r="AK32" s="303"/>
      <c r="AL32" s="563">
        <f t="shared" si="69"/>
        <v>0</v>
      </c>
      <c r="AM32" s="69"/>
      <c r="AN32" s="563">
        <f t="shared" si="70"/>
        <v>0</v>
      </c>
      <c r="AO32" s="69"/>
      <c r="AP32" s="563">
        <f t="shared" si="71"/>
        <v>0</v>
      </c>
      <c r="AQ32" s="303"/>
      <c r="AR32" s="78">
        <f t="shared" si="72"/>
        <v>0</v>
      </c>
      <c r="AS32" s="352"/>
      <c r="AT32" s="78">
        <f t="shared" si="73"/>
        <v>0</v>
      </c>
      <c r="AU32" s="534"/>
      <c r="AV32" s="78">
        <f t="shared" si="74"/>
        <v>0</v>
      </c>
      <c r="AW32" s="307"/>
      <c r="AX32" s="78">
        <f t="shared" si="75"/>
        <v>0</v>
      </c>
      <c r="AY32" s="303"/>
      <c r="AZ32" s="78">
        <f t="shared" si="76"/>
        <v>0</v>
      </c>
      <c r="BA32" s="303"/>
      <c r="BB32" s="78">
        <f t="shared" si="77"/>
        <v>0</v>
      </c>
      <c r="BC32" s="303"/>
      <c r="BD32" s="78">
        <f t="shared" si="78"/>
        <v>0</v>
      </c>
      <c r="BE32" s="495"/>
      <c r="BF32" s="71">
        <f t="shared" si="79"/>
        <v>0</v>
      </c>
      <c r="BG32" s="303"/>
      <c r="BH32" s="71">
        <f t="shared" si="80"/>
        <v>0</v>
      </c>
      <c r="BI32" s="303"/>
      <c r="BJ32" s="71">
        <f t="shared" si="81"/>
        <v>0</v>
      </c>
      <c r="BK32" s="303"/>
      <c r="BL32" s="71">
        <f t="shared" si="82"/>
        <v>0</v>
      </c>
      <c r="BM32" s="303"/>
      <c r="BN32" s="71">
        <f t="shared" si="83"/>
        <v>0</v>
      </c>
      <c r="BO32" s="303"/>
      <c r="BP32" s="71">
        <f t="shared" si="84"/>
        <v>0</v>
      </c>
      <c r="BQ32" s="303"/>
      <c r="BR32" s="71">
        <f t="shared" si="85"/>
        <v>0</v>
      </c>
      <c r="BS32" s="71">
        <f t="shared" si="86"/>
        <v>0</v>
      </c>
      <c r="BT32" s="71">
        <f t="shared" si="87"/>
        <v>0</v>
      </c>
      <c r="BU32" s="303"/>
      <c r="BV32" s="71">
        <f t="shared" si="88"/>
        <v>0</v>
      </c>
      <c r="BW32" s="303"/>
      <c r="BX32" s="71">
        <f t="shared" si="89"/>
        <v>0</v>
      </c>
      <c r="BY32" s="303"/>
      <c r="BZ32" s="71">
        <f t="shared" si="90"/>
        <v>0</v>
      </c>
      <c r="CA32" s="495"/>
      <c r="CB32" s="71">
        <f t="shared" si="91"/>
        <v>0</v>
      </c>
      <c r="CC32" s="75">
        <f>BZ32-AR32</f>
        <v>0</v>
      </c>
      <c r="CD32" s="71">
        <f t="shared" si="93"/>
        <v>0</v>
      </c>
      <c r="CE32" s="72">
        <f t="shared" si="94"/>
        <v>0</v>
      </c>
      <c r="CF32" s="495"/>
      <c r="CG32" s="496">
        <f t="shared" si="95"/>
        <v>0</v>
      </c>
      <c r="CH32" s="309"/>
      <c r="CI32" s="726">
        <f t="shared" si="96"/>
        <v>0</v>
      </c>
      <c r="CJ32" s="306"/>
      <c r="CK32" s="71">
        <f t="shared" si="97"/>
        <v>0</v>
      </c>
      <c r="CL32" s="75">
        <f t="shared" si="98"/>
        <v>0</v>
      </c>
      <c r="CM32" s="535"/>
      <c r="CN32" s="564">
        <f t="shared" si="99"/>
        <v>0</v>
      </c>
      <c r="CO32" s="306"/>
      <c r="CP32" s="73">
        <f t="shared" si="100"/>
        <v>0</v>
      </c>
      <c r="CQ32" s="535"/>
      <c r="CR32" s="566">
        <f t="shared" si="101"/>
        <v>0</v>
      </c>
      <c r="CS32" s="565">
        <f t="shared" si="102"/>
        <v>0</v>
      </c>
      <c r="CT32" s="567" t="str">
        <f t="shared" si="103"/>
        <v>0</v>
      </c>
      <c r="CU32" s="303"/>
      <c r="CV32" s="306"/>
      <c r="CW32" s="71">
        <f t="shared" si="104"/>
        <v>0</v>
      </c>
      <c r="CX32" s="75">
        <f t="shared" si="105"/>
        <v>0</v>
      </c>
      <c r="CY32" s="693"/>
      <c r="CZ32" s="71">
        <f t="shared" si="106"/>
        <v>0</v>
      </c>
      <c r="DA32" s="75">
        <f t="shared" si="107"/>
        <v>0</v>
      </c>
      <c r="DB32" s="306"/>
      <c r="DC32" s="71">
        <f t="shared" si="108"/>
        <v>0</v>
      </c>
      <c r="DD32" s="75">
        <f t="shared" si="109"/>
        <v>0</v>
      </c>
      <c r="DE32" s="306"/>
      <c r="DF32" s="71">
        <f t="shared" si="110"/>
        <v>0</v>
      </c>
      <c r="DG32" s="75">
        <f t="shared" si="111"/>
        <v>0</v>
      </c>
      <c r="DH32" s="303"/>
      <c r="DI32" s="71">
        <f t="shared" si="112"/>
        <v>0</v>
      </c>
      <c r="DJ32" s="75">
        <f t="shared" si="113"/>
        <v>0</v>
      </c>
      <c r="DK32" s="306"/>
      <c r="DL32" s="71">
        <f t="shared" si="114"/>
        <v>0</v>
      </c>
      <c r="DM32" s="75">
        <f t="shared" si="115"/>
        <v>0</v>
      </c>
      <c r="DN32" s="306"/>
      <c r="DO32" s="71">
        <f t="shared" si="116"/>
        <v>0</v>
      </c>
      <c r="DP32" s="75">
        <f t="shared" si="117"/>
        <v>0</v>
      </c>
      <c r="DQ32" s="306"/>
      <c r="DR32" s="71">
        <f t="shared" si="118"/>
        <v>0</v>
      </c>
      <c r="DS32" s="75">
        <f t="shared" si="119"/>
        <v>0</v>
      </c>
      <c r="DT32" s="306"/>
      <c r="DU32" s="71">
        <f t="shared" si="120"/>
        <v>0</v>
      </c>
      <c r="DV32" s="75">
        <f t="shared" si="121"/>
        <v>0</v>
      </c>
      <c r="DW32" s="306"/>
      <c r="DX32" s="71">
        <f t="shared" si="122"/>
        <v>0</v>
      </c>
      <c r="DY32" s="75">
        <f t="shared" si="123"/>
        <v>0</v>
      </c>
      <c r="DZ32" s="306"/>
      <c r="EA32" s="71">
        <f t="shared" si="124"/>
        <v>0</v>
      </c>
      <c r="EB32" s="75">
        <f t="shared" si="125"/>
        <v>0</v>
      </c>
      <c r="EC32" s="306"/>
      <c r="ED32" s="71">
        <f t="shared" si="126"/>
        <v>0</v>
      </c>
      <c r="EE32" s="75">
        <f t="shared" si="127"/>
        <v>0</v>
      </c>
      <c r="EF32" s="309"/>
      <c r="EG32" s="75">
        <f t="shared" si="128"/>
        <v>0</v>
      </c>
      <c r="EH32" s="309"/>
      <c r="EI32" s="75">
        <f t="shared" si="129"/>
        <v>0</v>
      </c>
      <c r="EJ32" s="310"/>
      <c r="EK32" s="75">
        <f t="shared" si="130"/>
        <v>0</v>
      </c>
      <c r="EL32" s="495"/>
      <c r="EM32" s="75">
        <f t="shared" si="131"/>
        <v>0</v>
      </c>
      <c r="EN32" s="310"/>
      <c r="EO32" s="346"/>
      <c r="EP32" s="491"/>
      <c r="EQ32" s="347"/>
      <c r="ER32" s="334"/>
      <c r="ES32" s="537"/>
      <c r="ET32" s="536"/>
      <c r="EU32" s="536"/>
      <c r="EV32" s="536"/>
    </row>
    <row r="33" spans="1:152" s="76" customFormat="1" ht="15">
      <c r="A33" s="68">
        <v>44803</v>
      </c>
      <c r="B33" s="304"/>
      <c r="C33" s="70">
        <f t="shared" si="55"/>
        <v>0</v>
      </c>
      <c r="D33" s="305"/>
      <c r="E33" s="70">
        <f t="shared" si="56"/>
        <v>0</v>
      </c>
      <c r="F33" s="721" t="e">
        <f t="shared" si="57"/>
        <v>#DIV/0!</v>
      </c>
      <c r="G33" s="305"/>
      <c r="H33" s="305"/>
      <c r="I33" s="305"/>
      <c r="J33" s="78">
        <f t="shared" ref="J33" si="276">IF((I33-I32)&lt;0,"0",(I33-I32))</f>
        <v>0</v>
      </c>
      <c r="K33" s="307"/>
      <c r="L33" s="78">
        <f t="shared" ref="L33" si="277">IF((K33-K32)&lt;0,"0",(K33-K32))</f>
        <v>0</v>
      </c>
      <c r="M33" s="303"/>
      <c r="N33" s="78">
        <f t="shared" ref="N33" si="278">IF((M33-M32)&lt;0,"0",(M33-M32))</f>
        <v>0</v>
      </c>
      <c r="O33" s="303"/>
      <c r="P33" s="78">
        <f t="shared" ref="P33" si="279">IF((O33-O32)&lt;0,"0",(O33-O32))</f>
        <v>0</v>
      </c>
      <c r="Q33" s="303"/>
      <c r="R33" s="78">
        <f t="shared" si="232"/>
        <v>0</v>
      </c>
      <c r="S33" s="303"/>
      <c r="T33" s="78">
        <f t="shared" si="62"/>
        <v>0</v>
      </c>
      <c r="U33" s="303"/>
      <c r="V33" s="78">
        <f t="shared" si="63"/>
        <v>0</v>
      </c>
      <c r="W33" s="303"/>
      <c r="X33" s="78">
        <f t="shared" si="64"/>
        <v>0</v>
      </c>
      <c r="Y33" s="303"/>
      <c r="Z33" s="78">
        <f t="shared" si="65"/>
        <v>0</v>
      </c>
      <c r="AA33" s="538"/>
      <c r="AB33" s="718"/>
      <c r="AC33" s="308">
        <f t="shared" si="66"/>
        <v>0</v>
      </c>
      <c r="AD33" s="307"/>
      <c r="AE33" s="303"/>
      <c r="AF33" s="78">
        <f t="shared" si="5"/>
        <v>0</v>
      </c>
      <c r="AG33" s="495"/>
      <c r="AH33" s="71">
        <f t="shared" si="67"/>
        <v>0</v>
      </c>
      <c r="AI33" s="303"/>
      <c r="AJ33" s="563">
        <f t="shared" si="68"/>
        <v>0</v>
      </c>
      <c r="AK33" s="303">
        <v>6026</v>
      </c>
      <c r="AL33" s="563">
        <f t="shared" si="69"/>
        <v>6026</v>
      </c>
      <c r="AM33" s="69"/>
      <c r="AN33" s="563">
        <f t="shared" si="70"/>
        <v>0</v>
      </c>
      <c r="AO33" s="69"/>
      <c r="AP33" s="563">
        <f t="shared" si="71"/>
        <v>0</v>
      </c>
      <c r="AQ33" s="303"/>
      <c r="AR33" s="78">
        <f t="shared" si="72"/>
        <v>0</v>
      </c>
      <c r="AS33" s="352"/>
      <c r="AT33" s="78">
        <f t="shared" si="73"/>
        <v>0</v>
      </c>
      <c r="AU33" s="534">
        <v>57989</v>
      </c>
      <c r="AV33" s="78">
        <f t="shared" si="74"/>
        <v>57989</v>
      </c>
      <c r="AW33" s="307"/>
      <c r="AX33" s="78">
        <f t="shared" si="75"/>
        <v>0</v>
      </c>
      <c r="AY33" s="303"/>
      <c r="AZ33" s="78">
        <f t="shared" si="76"/>
        <v>0</v>
      </c>
      <c r="BA33" s="303"/>
      <c r="BB33" s="78">
        <f t="shared" si="77"/>
        <v>0</v>
      </c>
      <c r="BC33" s="303"/>
      <c r="BD33" s="78">
        <f t="shared" si="78"/>
        <v>0</v>
      </c>
      <c r="BE33" s="495"/>
      <c r="BF33" s="71">
        <f t="shared" si="79"/>
        <v>0</v>
      </c>
      <c r="BG33" s="303"/>
      <c r="BH33" s="71">
        <f t="shared" si="80"/>
        <v>0</v>
      </c>
      <c r="BI33" s="303"/>
      <c r="BJ33" s="71">
        <f t="shared" si="81"/>
        <v>0</v>
      </c>
      <c r="BK33" s="303"/>
      <c r="BL33" s="71">
        <f t="shared" si="82"/>
        <v>0</v>
      </c>
      <c r="BM33" s="303"/>
      <c r="BN33" s="71">
        <f t="shared" si="83"/>
        <v>0</v>
      </c>
      <c r="BO33" s="303"/>
      <c r="BP33" s="71">
        <f t="shared" si="84"/>
        <v>0</v>
      </c>
      <c r="BQ33" s="303"/>
      <c r="BR33" s="71">
        <f t="shared" si="85"/>
        <v>0</v>
      </c>
      <c r="BS33" s="71">
        <f t="shared" si="86"/>
        <v>0</v>
      </c>
      <c r="BT33" s="71">
        <f t="shared" si="87"/>
        <v>0</v>
      </c>
      <c r="BU33" s="303"/>
      <c r="BV33" s="71">
        <f t="shared" si="88"/>
        <v>0</v>
      </c>
      <c r="BW33" s="303"/>
      <c r="BX33" s="71">
        <f t="shared" si="89"/>
        <v>0</v>
      </c>
      <c r="BY33" s="303"/>
      <c r="BZ33" s="71">
        <f t="shared" si="90"/>
        <v>0</v>
      </c>
      <c r="CA33" s="495"/>
      <c r="CB33" s="71">
        <f t="shared" si="91"/>
        <v>0</v>
      </c>
      <c r="CC33" s="75">
        <f t="shared" ref="CC33" si="280">BZ33-AR33</f>
        <v>0</v>
      </c>
      <c r="CD33" s="71">
        <f t="shared" si="93"/>
        <v>0</v>
      </c>
      <c r="CE33" s="72">
        <f t="shared" si="94"/>
        <v>57989</v>
      </c>
      <c r="CF33" s="495"/>
      <c r="CG33" s="496">
        <f t="shared" si="95"/>
        <v>0</v>
      </c>
      <c r="CH33" s="309"/>
      <c r="CI33" s="726">
        <f t="shared" si="96"/>
        <v>0</v>
      </c>
      <c r="CJ33" s="306"/>
      <c r="CK33" s="71">
        <f t="shared" si="97"/>
        <v>0</v>
      </c>
      <c r="CL33" s="75">
        <f t="shared" si="98"/>
        <v>0</v>
      </c>
      <c r="CM33" s="535"/>
      <c r="CN33" s="564">
        <f t="shared" si="99"/>
        <v>0</v>
      </c>
      <c r="CO33" s="306"/>
      <c r="CP33" s="73">
        <f t="shared" si="100"/>
        <v>0</v>
      </c>
      <c r="CQ33" s="535"/>
      <c r="CR33" s="566">
        <f t="shared" si="101"/>
        <v>0</v>
      </c>
      <c r="CS33" s="565">
        <f t="shared" si="102"/>
        <v>0</v>
      </c>
      <c r="CT33" s="567" t="str">
        <f t="shared" si="103"/>
        <v>0</v>
      </c>
      <c r="CU33" s="303"/>
      <c r="CV33" s="306"/>
      <c r="CW33" s="71">
        <f t="shared" si="104"/>
        <v>0</v>
      </c>
      <c r="CX33" s="75">
        <f t="shared" si="105"/>
        <v>0</v>
      </c>
      <c r="CY33" s="693"/>
      <c r="CZ33" s="71">
        <f t="shared" si="106"/>
        <v>0</v>
      </c>
      <c r="DA33" s="75">
        <f t="shared" si="107"/>
        <v>0</v>
      </c>
      <c r="DB33" s="306"/>
      <c r="DC33" s="71">
        <f t="shared" si="108"/>
        <v>0</v>
      </c>
      <c r="DD33" s="75">
        <f t="shared" si="109"/>
        <v>0</v>
      </c>
      <c r="DE33" s="306"/>
      <c r="DF33" s="71">
        <f t="shared" si="110"/>
        <v>0</v>
      </c>
      <c r="DG33" s="75">
        <f t="shared" si="111"/>
        <v>0</v>
      </c>
      <c r="DH33" s="303"/>
      <c r="DI33" s="71">
        <f t="shared" si="112"/>
        <v>0</v>
      </c>
      <c r="DJ33" s="75">
        <f t="shared" si="113"/>
        <v>0</v>
      </c>
      <c r="DK33" s="306"/>
      <c r="DL33" s="71">
        <f t="shared" si="114"/>
        <v>0</v>
      </c>
      <c r="DM33" s="75">
        <f t="shared" si="115"/>
        <v>0</v>
      </c>
      <c r="DN33" s="306"/>
      <c r="DO33" s="71">
        <f t="shared" si="116"/>
        <v>0</v>
      </c>
      <c r="DP33" s="75">
        <f t="shared" si="117"/>
        <v>0</v>
      </c>
      <c r="DQ33" s="306"/>
      <c r="DR33" s="71">
        <f t="shared" si="118"/>
        <v>0</v>
      </c>
      <c r="DS33" s="75">
        <f t="shared" si="119"/>
        <v>0</v>
      </c>
      <c r="DT33" s="306"/>
      <c r="DU33" s="71">
        <f t="shared" si="120"/>
        <v>0</v>
      </c>
      <c r="DV33" s="75">
        <f t="shared" si="121"/>
        <v>0</v>
      </c>
      <c r="DW33" s="306"/>
      <c r="DX33" s="71">
        <f t="shared" si="122"/>
        <v>0</v>
      </c>
      <c r="DY33" s="75">
        <f t="shared" si="123"/>
        <v>0</v>
      </c>
      <c r="DZ33" s="306"/>
      <c r="EA33" s="71">
        <f t="shared" si="124"/>
        <v>0</v>
      </c>
      <c r="EB33" s="75">
        <f t="shared" si="125"/>
        <v>0</v>
      </c>
      <c r="EC33" s="306"/>
      <c r="ED33" s="71">
        <f t="shared" si="126"/>
        <v>0</v>
      </c>
      <c r="EE33" s="75">
        <f t="shared" si="127"/>
        <v>0</v>
      </c>
      <c r="EF33" s="309"/>
      <c r="EG33" s="75">
        <f t="shared" si="128"/>
        <v>0</v>
      </c>
      <c r="EH33" s="309"/>
      <c r="EI33" s="75">
        <f t="shared" si="129"/>
        <v>0</v>
      </c>
      <c r="EJ33" s="310"/>
      <c r="EK33" s="75">
        <f t="shared" si="130"/>
        <v>0</v>
      </c>
      <c r="EL33" s="495"/>
      <c r="EM33" s="75">
        <f t="shared" si="131"/>
        <v>0</v>
      </c>
      <c r="EN33" s="310"/>
      <c r="EO33" s="346"/>
      <c r="EP33" s="491"/>
      <c r="EQ33" s="347"/>
      <c r="ER33" s="334"/>
      <c r="ES33" s="537"/>
      <c r="ET33" s="536"/>
      <c r="EU33" s="536"/>
      <c r="EV33" s="536"/>
    </row>
    <row r="34" spans="1:152" s="76" customFormat="1" ht="15">
      <c r="A34" s="68">
        <v>44804</v>
      </c>
      <c r="B34" s="304"/>
      <c r="C34" s="70">
        <f t="shared" si="55"/>
        <v>0</v>
      </c>
      <c r="D34" s="305"/>
      <c r="E34" s="70">
        <f t="shared" ref="E34" si="281">IF((D34-D33)&lt;0,"0",(D34-D33))</f>
        <v>0</v>
      </c>
      <c r="F34" s="721" t="e">
        <f t="shared" ref="F34" si="282">E34/C34</f>
        <v>#DIV/0!</v>
      </c>
      <c r="G34" s="305"/>
      <c r="H34" s="305"/>
      <c r="I34" s="305"/>
      <c r="J34" s="78">
        <f t="shared" ref="J34" si="283">IF((I34-I33)&lt;0,"0",(I34-I33))</f>
        <v>0</v>
      </c>
      <c r="K34" s="307"/>
      <c r="L34" s="78">
        <f t="shared" ref="L34" si="284">IF((K34-K33)&lt;0,"0",(K34-K33))</f>
        <v>0</v>
      </c>
      <c r="M34" s="303"/>
      <c r="N34" s="78">
        <f t="shared" ref="N34" si="285">IF((M34-M33)&lt;0,"0",(M34-M33))</f>
        <v>0</v>
      </c>
      <c r="O34" s="303"/>
      <c r="P34" s="78">
        <f t="shared" ref="P34" si="286">IF((O34-O33)&lt;0,"0",(O34-O33))</f>
        <v>0</v>
      </c>
      <c r="Q34" s="303"/>
      <c r="R34" s="78">
        <f t="shared" si="232"/>
        <v>0</v>
      </c>
      <c r="S34" s="303"/>
      <c r="T34" s="78">
        <f t="shared" ref="T34" si="287">IF((S34-S33)&lt;0,"0",(S34-S33))</f>
        <v>0</v>
      </c>
      <c r="U34" s="303">
        <v>2994789</v>
      </c>
      <c r="V34" s="78">
        <f t="shared" ref="V34" si="288">IF((U34-U33)&lt;0,"0",(U34-U33))</f>
        <v>2994789</v>
      </c>
      <c r="W34" s="303"/>
      <c r="X34" s="78">
        <f t="shared" ref="X34" si="289">IF((W34-W33)&lt;0,"0",(W34-W33))</f>
        <v>0</v>
      </c>
      <c r="Y34" s="303"/>
      <c r="Z34" s="78">
        <f t="shared" si="65"/>
        <v>0</v>
      </c>
      <c r="AA34" s="538"/>
      <c r="AB34" s="718"/>
      <c r="AC34" s="308">
        <f t="shared" ref="AC34" si="290">AB34*400</f>
        <v>0</v>
      </c>
      <c r="AD34" s="307"/>
      <c r="AE34" s="303"/>
      <c r="AF34" s="78">
        <f t="shared" ref="AF34" si="291">IF((AE34-AE33)&lt;0,"0",(AE34-AE33))</f>
        <v>0</v>
      </c>
      <c r="AG34" s="495"/>
      <c r="AH34" s="71">
        <f t="shared" ref="AH34" si="292">IF((AG34-AG33)&lt;0,"0",(AG34-AG33))</f>
        <v>0</v>
      </c>
      <c r="AI34" s="303"/>
      <c r="AJ34" s="563">
        <f t="shared" ref="AJ34" si="293">IF((AI34-AI33)&lt;0,"0",(AI34-AI33))</f>
        <v>0</v>
      </c>
      <c r="AK34" s="303">
        <v>6029</v>
      </c>
      <c r="AL34" s="563">
        <f t="shared" ref="AL34" si="294">IF((AK34-AK33)&lt;0,"0",(AK34-AK33))</f>
        <v>3</v>
      </c>
      <c r="AM34" s="69"/>
      <c r="AN34" s="563">
        <f t="shared" ref="AN34" si="295">IF((AM34-AM33)&lt;0,"0",(AM34-AM33))</f>
        <v>0</v>
      </c>
      <c r="AO34" s="69"/>
      <c r="AP34" s="563">
        <f t="shared" ref="AP34" si="296">IF((AO34-AO33)&lt;0,"0",(AO34-AO33))</f>
        <v>0</v>
      </c>
      <c r="AQ34" s="303">
        <v>640810</v>
      </c>
      <c r="AR34" s="78">
        <f t="shared" ref="AR34" si="297">IF((AQ34-AQ33)&lt;0,"0",(AQ34-AQ33))</f>
        <v>640810</v>
      </c>
      <c r="AS34" s="352"/>
      <c r="AT34" s="78">
        <f t="shared" ref="AT34" si="298">IF((AS34-AS33)&lt;0,"0",(AS34-AS33))</f>
        <v>0</v>
      </c>
      <c r="AU34" s="534">
        <v>58009</v>
      </c>
      <c r="AV34" s="78">
        <f t="shared" ref="AV34" si="299">IF((AU34-AU33)&lt;0,"0",(AU34-AU33))</f>
        <v>20</v>
      </c>
      <c r="AW34" s="307">
        <v>9445</v>
      </c>
      <c r="AX34" s="78">
        <f t="shared" ref="AX34" si="300">IF((AW34-AW33)&lt;0,"0",(AW34-AW33))</f>
        <v>9445</v>
      </c>
      <c r="AY34" s="303">
        <v>11189</v>
      </c>
      <c r="AZ34" s="78">
        <f t="shared" ref="AZ34" si="301">IF((AY34-AY33)&lt;0,"0",(AY34-AY33))</f>
        <v>11189</v>
      </c>
      <c r="BA34" s="303"/>
      <c r="BB34" s="78">
        <f t="shared" ref="BB34" si="302">IF((BA34-BA33)&lt;0,"0",(BA34-BA33))</f>
        <v>0</v>
      </c>
      <c r="BC34" s="303">
        <v>21369</v>
      </c>
      <c r="BD34" s="78">
        <f t="shared" ref="BD34" si="303">IF((BC34-BC33)&lt;0,"0",(BC34-BC33))</f>
        <v>21369</v>
      </c>
      <c r="BE34" s="495"/>
      <c r="BF34" s="71">
        <f t="shared" ref="BF34" si="304">IF((BE34-BE33)&lt;0,"0",(BE34-BE33))</f>
        <v>0</v>
      </c>
      <c r="BG34" s="303"/>
      <c r="BH34" s="71">
        <f t="shared" ref="BH34" si="305">IF((BG34-BG33)&lt;0,"0",(BG34-BG33))</f>
        <v>0</v>
      </c>
      <c r="BI34" s="303"/>
      <c r="BJ34" s="71">
        <f t="shared" ref="BJ34" si="306">IF((BI34-BI33)&lt;0,"0",(BI34-BI33))</f>
        <v>0</v>
      </c>
      <c r="BK34" s="303"/>
      <c r="BL34" s="71">
        <f t="shared" ref="BL34" si="307">IF((BK34-BK33)&lt;0,"0",(BK34-BK33))</f>
        <v>0</v>
      </c>
      <c r="BM34" s="303">
        <v>5951</v>
      </c>
      <c r="BN34" s="71">
        <f t="shared" ref="BN34" si="308">IF((BM34-BM33)&lt;0,"0",(BM34-BM33))</f>
        <v>5951</v>
      </c>
      <c r="BO34" s="303"/>
      <c r="BP34" s="71">
        <f t="shared" ref="BP34" si="309">IF((BO34-BO33)&lt;0,"0",(BO34-BO33))</f>
        <v>0</v>
      </c>
      <c r="BQ34" s="303">
        <v>3641</v>
      </c>
      <c r="BR34" s="71">
        <f t="shared" ref="BR34" si="310">IF((BQ34-BQ33)&lt;0,"0",(BQ34-BQ33))</f>
        <v>3641</v>
      </c>
      <c r="BS34" s="71">
        <f t="shared" ref="BS34" si="311">BH34+BF34+BB34</f>
        <v>0</v>
      </c>
      <c r="BT34" s="71">
        <f t="shared" ref="BT34" si="312">AR34-BS34</f>
        <v>640810</v>
      </c>
      <c r="BU34" s="303"/>
      <c r="BV34" s="71">
        <f t="shared" ref="BV34" si="313">IF((BU34-BU33)&lt;0,"0",(BU34-BU33))</f>
        <v>0</v>
      </c>
      <c r="BW34" s="303"/>
      <c r="BX34" s="71">
        <f t="shared" ref="BX34" si="314">IF((BW34-BW33)&lt;0,"0",(BW34-BW33))</f>
        <v>0</v>
      </c>
      <c r="BY34" s="303"/>
      <c r="BZ34" s="71">
        <f t="shared" ref="BZ34" si="315">IF((BY34-BY33)&lt;0,"0",(BY34-BY33))</f>
        <v>0</v>
      </c>
      <c r="CA34" s="495"/>
      <c r="CB34" s="71">
        <f t="shared" ref="CB34" si="316">IF((CA34-CA33)&lt;0,"0",(CA34-CA33))</f>
        <v>0</v>
      </c>
      <c r="CC34" s="75">
        <f t="shared" ref="CC34" si="317">BZ34-AR34</f>
        <v>-640810</v>
      </c>
      <c r="CD34" s="71">
        <f t="shared" ref="CD34" si="318">SUM(BV34, BZ34)</f>
        <v>0</v>
      </c>
      <c r="CE34" s="72">
        <f t="shared" ref="CE34" si="319" xml:space="preserve"> SUM(AV34,AX34,AZ34,BB34,BD34,BF34,BH34,BJ34,BN34)</f>
        <v>47974</v>
      </c>
      <c r="CF34" s="495"/>
      <c r="CG34" s="496">
        <f t="shared" ref="CG34" si="320">(IF(CF34&lt;=116.4,((116.4*116.4*ACOS((116.4-CF34)/116.4))-((116.4-CF34)*SQRT(2*116.4*CF34-CF34*CF34)))*669.8,((3.1416*116.4*116.4)-((116.4*116.4*ACOS((116.4-(2*116.4-CF34))/116.4))-((116.4-(2*116.4-CF34))*SQRT(2*116.4*(2*116.4-CF34)-((2*116.4-CF34)*(2*116.4-CF34))))))*669.8))/1000</f>
        <v>0</v>
      </c>
      <c r="CH34" s="309"/>
      <c r="CI34" s="726"/>
      <c r="CJ34" s="306"/>
      <c r="CK34" s="71">
        <f t="shared" ref="CK34" si="321">IF((CJ34-CJ33)&lt;0,"0",(CJ34-CJ33))</f>
        <v>0</v>
      </c>
      <c r="CL34" s="75">
        <f t="shared" ref="CL34" si="322">CK34*5.71</f>
        <v>0</v>
      </c>
      <c r="CM34" s="535"/>
      <c r="CN34" s="564">
        <f t="shared" ref="CN34" si="323">(CM34*10775)/100</f>
        <v>0</v>
      </c>
      <c r="CO34" s="306"/>
      <c r="CP34" s="73">
        <f t="shared" ref="CP34" si="324">(CO34*10775)/100</f>
        <v>0</v>
      </c>
      <c r="CQ34" s="535"/>
      <c r="CR34" s="566">
        <f t="shared" ref="CR34" si="325">(CQ34*10775)/100</f>
        <v>0</v>
      </c>
      <c r="CS34" s="565">
        <f t="shared" ref="CS34" si="326">CN34+CP34+CR34</f>
        <v>0</v>
      </c>
      <c r="CT34" s="567" t="str">
        <f t="shared" ref="CT34" si="327">IF((CS33-CS34+CU33)=CS33,"0",(CS33-CS34+CU33))</f>
        <v>0</v>
      </c>
      <c r="CU34" s="303"/>
      <c r="CV34" s="306"/>
      <c r="CW34" s="71">
        <f t="shared" ref="CW34" si="328">IF((CV34-CV33)&lt;0,"0",(CV34-CV33))</f>
        <v>0</v>
      </c>
      <c r="CX34" s="75">
        <f t="shared" ref="CX34" si="329">CW34*5.71</f>
        <v>0</v>
      </c>
      <c r="CY34" s="693"/>
      <c r="CZ34" s="71">
        <f t="shared" ref="CZ34" si="330">IF((CY34-CY33)&lt;0,"0",(CY34-CY33))</f>
        <v>0</v>
      </c>
      <c r="DA34" s="75">
        <f t="shared" ref="DA34" si="331">CZ34*5.71</f>
        <v>0</v>
      </c>
      <c r="DB34" s="306"/>
      <c r="DC34" s="71">
        <f t="shared" ref="DC34" si="332">IF((DB34-DB33)&lt;0,"0",(DB34-DB33))</f>
        <v>0</v>
      </c>
      <c r="DD34" s="75">
        <f t="shared" ref="DD34" si="333">DC34*5.71</f>
        <v>0</v>
      </c>
      <c r="DE34" s="306"/>
      <c r="DF34" s="71">
        <f t="shared" ref="DF34" si="334">IF((DE34-DE33)&lt;0,"0",(DE34-DE33))</f>
        <v>0</v>
      </c>
      <c r="DG34" s="75">
        <f t="shared" ref="DG34" si="335">DF34*5.71</f>
        <v>0</v>
      </c>
      <c r="DH34" s="303"/>
      <c r="DI34" s="71">
        <f t="shared" ref="DI34" si="336">IF((DH34-DH33)&lt;0,"0",(DH34-DH33))</f>
        <v>0</v>
      </c>
      <c r="DJ34" s="75">
        <f t="shared" ref="DJ34" si="337">DI34*5.71</f>
        <v>0</v>
      </c>
      <c r="DK34" s="306"/>
      <c r="DL34" s="71">
        <f t="shared" ref="DL34" si="338">IF((DK34-DK33)&lt;0,"0",(DK34-DK33))</f>
        <v>0</v>
      </c>
      <c r="DM34" s="75">
        <f t="shared" ref="DM34" si="339">DL34*5.71</f>
        <v>0</v>
      </c>
      <c r="DN34" s="306"/>
      <c r="DO34" s="71">
        <f t="shared" ref="DO34" si="340">IF((DN34-DN33)&lt;0,"0",(DN34-DN33))</f>
        <v>0</v>
      </c>
      <c r="DP34" s="75">
        <f t="shared" ref="DP34" si="341">DO34*5.71</f>
        <v>0</v>
      </c>
      <c r="DQ34" s="306">
        <v>2309</v>
      </c>
      <c r="DR34" s="71">
        <f t="shared" ref="DR34" si="342">IF((DQ34-DQ33)&lt;0,"0",(DQ34-DQ33))</f>
        <v>2309</v>
      </c>
      <c r="DS34" s="75">
        <f t="shared" ref="DS34" si="343">DR34*5.71</f>
        <v>13184.39</v>
      </c>
      <c r="DT34" s="306"/>
      <c r="DU34" s="71">
        <f t="shared" ref="DU34" si="344">IF((DT34-DT33)&lt;0,"0",(DT34-DT33))</f>
        <v>0</v>
      </c>
      <c r="DV34" s="75">
        <f t="shared" ref="DV34" si="345">DU34*5.71</f>
        <v>0</v>
      </c>
      <c r="DW34" s="306"/>
      <c r="DX34" s="71">
        <f t="shared" ref="DX34" si="346">IF((DW34-DW33)&lt;0,"0",(DW34-DW33))</f>
        <v>0</v>
      </c>
      <c r="DY34" s="75">
        <f t="shared" ref="DY34" si="347">DX34*5.71</f>
        <v>0</v>
      </c>
      <c r="DZ34" s="306"/>
      <c r="EA34" s="71">
        <f t="shared" ref="EA34" si="348">IF((DZ34-DZ33)&lt;0,"0",(DZ34-DZ33))</f>
        <v>0</v>
      </c>
      <c r="EB34" s="75">
        <f t="shared" ref="EB34" si="349">EA34*5.71</f>
        <v>0</v>
      </c>
      <c r="EC34" s="306"/>
      <c r="ED34" s="71">
        <f t="shared" ref="ED34" si="350">IF((EC34-EC33)&lt;0,"0",(EC34-EC33))</f>
        <v>0</v>
      </c>
      <c r="EE34" s="75">
        <f t="shared" ref="EE34" si="351">ED34*5.71</f>
        <v>0</v>
      </c>
      <c r="EF34" s="309"/>
      <c r="EG34" s="75">
        <f t="shared" ref="EG34" si="352">(EF34-EF33)</f>
        <v>0</v>
      </c>
      <c r="EH34" s="309"/>
      <c r="EI34" s="75">
        <f t="shared" ref="EI34" si="353">(EH34-EH33)</f>
        <v>0</v>
      </c>
      <c r="EJ34" s="310"/>
      <c r="EK34" s="75">
        <f t="shared" ref="EK34" si="354">(EJ34-EJ33)</f>
        <v>0</v>
      </c>
      <c r="EL34" s="495"/>
      <c r="EM34" s="75">
        <f t="shared" ref="EM34" si="355">(EL34-EL33)</f>
        <v>0</v>
      </c>
      <c r="EN34" s="310"/>
      <c r="EO34" s="346"/>
      <c r="EP34" s="491"/>
      <c r="EQ34" s="347"/>
      <c r="ER34" s="334"/>
      <c r="ES34" s="537"/>
      <c r="ET34" s="536"/>
      <c r="EU34" s="536"/>
      <c r="EV34" s="536"/>
    </row>
    <row r="35" spans="1:152">
      <c r="C35" s="170">
        <f>SUM(C4:C34)</f>
        <v>68972</v>
      </c>
      <c r="E35" s="170">
        <f>SUM(E4:E34)</f>
        <v>67119</v>
      </c>
      <c r="H35" s="170"/>
      <c r="J35" s="170">
        <f>SUM(J4:J34)</f>
        <v>0</v>
      </c>
      <c r="L35" s="170">
        <f>SUM(L4:L34)</f>
        <v>1</v>
      </c>
      <c r="N35" s="170">
        <f>SUM(N4:N34)</f>
        <v>31</v>
      </c>
      <c r="P35" s="170">
        <f>SUM(P4:P34)</f>
        <v>1</v>
      </c>
      <c r="R35" s="170">
        <f>SUM(R4:R34)</f>
        <v>24900</v>
      </c>
      <c r="T35" s="170">
        <f>SUM(T4:T34)</f>
        <v>53800</v>
      </c>
      <c r="V35" s="170">
        <f>SUM(V4:V34)</f>
        <v>2998031</v>
      </c>
      <c r="X35" s="170">
        <f>SUM(X4:X34)</f>
        <v>1562</v>
      </c>
      <c r="Z35" s="170">
        <f>SUM(Z4:Z34)</f>
        <v>-319524</v>
      </c>
      <c r="AA35" s="350"/>
      <c r="AD35" s="170">
        <f>SUM(AD4:AD34)</f>
        <v>0</v>
      </c>
      <c r="AF35" s="170">
        <f>SUM(AF4:AF34)</f>
        <v>0</v>
      </c>
      <c r="AH35" s="170">
        <f>SUM(AH4:AH34)</f>
        <v>1410</v>
      </c>
      <c r="AJ35" s="170">
        <f>SUM(AJ4:AJ34)</f>
        <v>0</v>
      </c>
      <c r="AL35" s="170">
        <f>SUM(AL4:AL34)</f>
        <v>6033</v>
      </c>
      <c r="AR35" s="170">
        <f>SUM(AR4:AR34)</f>
        <v>641450</v>
      </c>
      <c r="AS35" s="351"/>
      <c r="AT35" s="170">
        <f>SUM(AT4:AT34)</f>
        <v>100</v>
      </c>
      <c r="AV35" s="170">
        <f>SUM(AV4:AV34)</f>
        <v>58075</v>
      </c>
      <c r="AX35" s="170">
        <f>SUM(AX4:AX34)</f>
        <v>9451</v>
      </c>
      <c r="AZ35" s="170">
        <f>SUM(AZ4:AZ34)</f>
        <v>11197</v>
      </c>
      <c r="BB35" s="170">
        <f>SUM(BB4:BB34)</f>
        <v>37</v>
      </c>
      <c r="BD35" s="170">
        <f>SUM(BD4:BD34)</f>
        <v>21393</v>
      </c>
      <c r="BF35" s="170">
        <f>SUM(BF4:BF34)</f>
        <v>14</v>
      </c>
      <c r="BH35" s="170">
        <f>SUM(BH4:BH34)</f>
        <v>18</v>
      </c>
      <c r="BJ35" s="170">
        <f>SUM(BJ4:BJ34)</f>
        <v>8</v>
      </c>
      <c r="BL35" s="170">
        <f>SUM(BL4:BL34)</f>
        <v>17</v>
      </c>
      <c r="BN35" s="170">
        <f>SUM(BN4:BN34)</f>
        <v>5979</v>
      </c>
      <c r="BP35" s="170">
        <f>SUM(BP4:BP34)</f>
        <v>208</v>
      </c>
      <c r="BR35" s="170">
        <f t="shared" ref="BR35:BT35" si="356">SUM(BR4:BR34)</f>
        <v>3641</v>
      </c>
      <c r="BS35" s="170">
        <f t="shared" si="356"/>
        <v>69</v>
      </c>
      <c r="BT35" s="170">
        <f t="shared" si="356"/>
        <v>641381</v>
      </c>
      <c r="BV35" s="170">
        <f>SUM(BV4:BV34)</f>
        <v>570</v>
      </c>
      <c r="BW35" s="45"/>
      <c r="BX35" s="170">
        <f>SUM(BX4:BX34)</f>
        <v>0</v>
      </c>
      <c r="BZ35" s="170">
        <f>SUM(BZ4:BZ34)</f>
        <v>0</v>
      </c>
      <c r="CA35" s="353"/>
      <c r="CB35" s="170">
        <f>SUM(CB4:CB34)</f>
        <v>90</v>
      </c>
      <c r="CC35" s="170">
        <f t="shared" ref="CC35:CE35" si="357">SUM(CC4:CC34)</f>
        <v>-641450</v>
      </c>
      <c r="CD35" s="170">
        <f t="shared" si="357"/>
        <v>570</v>
      </c>
      <c r="CE35" s="170">
        <f t="shared" si="357"/>
        <v>106172</v>
      </c>
      <c r="CG35" s="170">
        <f>SUM(CG4:CG34)</f>
        <v>59155.441699005518</v>
      </c>
      <c r="CI35" s="170">
        <f>SUM(CI4:CI34)</f>
        <v>19718.480566335173</v>
      </c>
      <c r="CK35" s="170">
        <f t="shared" ref="CK35:CL35" si="358">SUM(CK4:CK34)</f>
        <v>10077</v>
      </c>
      <c r="CL35" s="170">
        <f t="shared" si="358"/>
        <v>57539.67</v>
      </c>
      <c r="CN35" s="170">
        <f>SUM(CN4:CN34)</f>
        <v>11098.25</v>
      </c>
      <c r="CP35" s="170">
        <f>SUM(CP4:CP34)</f>
        <v>17778.75</v>
      </c>
      <c r="CR35" s="170">
        <f t="shared" ref="CR35:CT35" si="359">SUM(CR4:CR34)</f>
        <v>17563.25</v>
      </c>
      <c r="CS35" s="170">
        <f t="shared" si="359"/>
        <v>46440.25</v>
      </c>
      <c r="CT35" s="170">
        <f t="shared" si="359"/>
        <v>5172</v>
      </c>
      <c r="CU35" s="170">
        <f>SUM(CU3:CU34)</f>
        <v>0</v>
      </c>
      <c r="CW35" s="170">
        <f>SUM(CW4:CW34)</f>
        <v>128</v>
      </c>
      <c r="CX35" s="170">
        <f>SUM(CX4:CX34)</f>
        <v>730.88</v>
      </c>
      <c r="CZ35" s="170">
        <f t="shared" ref="CZ35:DA35" si="360">SUM(CZ4:CZ34)</f>
        <v>25</v>
      </c>
      <c r="DA35" s="170">
        <f t="shared" si="360"/>
        <v>142.75</v>
      </c>
      <c r="DB35" s="349"/>
      <c r="DC35" s="170">
        <f t="shared" ref="DC35:DD35" si="361">SUM(DC4:DC34)</f>
        <v>51</v>
      </c>
      <c r="DD35" s="170">
        <f t="shared" si="361"/>
        <v>291.20999999999998</v>
      </c>
      <c r="DF35" s="170">
        <f t="shared" ref="DF35:DG35" si="362">SUM(DF4:DF34)</f>
        <v>449</v>
      </c>
      <c r="DG35" s="170">
        <f t="shared" si="362"/>
        <v>2563.79</v>
      </c>
      <c r="DI35" s="170">
        <f t="shared" ref="DI35:DJ35" si="363">SUM(DI4:DI34)</f>
        <v>52</v>
      </c>
      <c r="DJ35" s="170">
        <f t="shared" si="363"/>
        <v>296.91999999999996</v>
      </c>
      <c r="DL35" s="170">
        <f t="shared" ref="DL35:DM35" si="364">SUM(DL4:DL34)</f>
        <v>40</v>
      </c>
      <c r="DM35" s="170">
        <f t="shared" si="364"/>
        <v>228.4</v>
      </c>
      <c r="DO35" s="170">
        <f t="shared" ref="DO35:DP35" si="365">SUM(DO4:DO34)</f>
        <v>32</v>
      </c>
      <c r="DP35" s="170">
        <f t="shared" si="365"/>
        <v>182.72000000000003</v>
      </c>
      <c r="DR35" s="170">
        <f t="shared" ref="DR35:DS35" si="366">SUM(DR4:DR34)</f>
        <v>2314</v>
      </c>
      <c r="DS35" s="170">
        <f t="shared" si="366"/>
        <v>13212.939999999999</v>
      </c>
      <c r="DU35" s="170">
        <f t="shared" ref="DU35:DV35" si="367">SUM(DU4:DU34)</f>
        <v>50</v>
      </c>
      <c r="DV35" s="170">
        <f t="shared" si="367"/>
        <v>285.5</v>
      </c>
      <c r="DX35" s="170">
        <f t="shared" ref="DX35:DY35" si="368">SUM(DX4:DX34)</f>
        <v>34</v>
      </c>
      <c r="DY35" s="170">
        <f t="shared" si="368"/>
        <v>194.14</v>
      </c>
      <c r="EA35" s="170">
        <f t="shared" ref="EA35:EB35" si="369">SUM(EA4:EA34)</f>
        <v>33</v>
      </c>
      <c r="EB35" s="170">
        <f t="shared" si="369"/>
        <v>188.43</v>
      </c>
      <c r="ED35" s="170">
        <f t="shared" ref="ED35:EE35" si="370">SUM(ED4:ED34)</f>
        <v>41</v>
      </c>
      <c r="EE35" s="170">
        <f t="shared" si="370"/>
        <v>234.10999999999999</v>
      </c>
      <c r="EG35" s="170">
        <f>SUM(EG4:EG34)</f>
        <v>0</v>
      </c>
      <c r="EI35" s="170">
        <f>SUM(EI4:EI34)</f>
        <v>0</v>
      </c>
      <c r="EK35" s="170">
        <f>SUM(EK4:EK34)</f>
        <v>0</v>
      </c>
      <c r="EM35" s="170">
        <f>SUM(EM4:EM34)</f>
        <v>0</v>
      </c>
      <c r="EN35" s="170">
        <f>SUM(EN4:EN34)</f>
        <v>205</v>
      </c>
      <c r="EO35" s="170">
        <f>SUM(EO4:EO34)</f>
        <v>603</v>
      </c>
      <c r="EP35" s="733"/>
    </row>
    <row r="36" spans="1:152">
      <c r="S36" s="80"/>
      <c r="W36" s="80"/>
      <c r="X36" s="80"/>
      <c r="CF36" s="80"/>
      <c r="CG36" s="80"/>
      <c r="CH36" s="80"/>
      <c r="CI36" s="80"/>
      <c r="EF36" s="80"/>
      <c r="EG36" s="80"/>
      <c r="EH36" s="80"/>
      <c r="EI36" s="80"/>
    </row>
    <row r="37" spans="1:152">
      <c r="A37">
        <v>1</v>
      </c>
      <c r="B37">
        <v>2</v>
      </c>
      <c r="C37">
        <v>3</v>
      </c>
      <c r="D37">
        <v>4</v>
      </c>
      <c r="E37">
        <v>5</v>
      </c>
      <c r="F37">
        <v>6</v>
      </c>
      <c r="G37">
        <v>7</v>
      </c>
      <c r="H37">
        <v>8</v>
      </c>
      <c r="I37">
        <v>9</v>
      </c>
      <c r="J37">
        <v>10</v>
      </c>
      <c r="K37">
        <v>11</v>
      </c>
      <c r="L37">
        <v>12</v>
      </c>
      <c r="M37">
        <v>13</v>
      </c>
      <c r="N37">
        <v>14</v>
      </c>
      <c r="O37">
        <v>15</v>
      </c>
      <c r="P37">
        <v>16</v>
      </c>
      <c r="Q37">
        <v>17</v>
      </c>
      <c r="R37">
        <v>18</v>
      </c>
      <c r="S37">
        <v>19</v>
      </c>
      <c r="T37">
        <v>20</v>
      </c>
      <c r="U37">
        <v>21</v>
      </c>
      <c r="V37">
        <v>22</v>
      </c>
      <c r="W37">
        <v>23</v>
      </c>
      <c r="X37">
        <v>24</v>
      </c>
      <c r="Y37">
        <v>25</v>
      </c>
      <c r="Z37">
        <v>26</v>
      </c>
      <c r="AA37">
        <v>27</v>
      </c>
      <c r="AB37">
        <v>28</v>
      </c>
      <c r="AC37">
        <v>29</v>
      </c>
      <c r="AD37">
        <v>30</v>
      </c>
      <c r="AE37">
        <v>31</v>
      </c>
      <c r="AF37">
        <v>32</v>
      </c>
      <c r="AG37">
        <v>33</v>
      </c>
      <c r="AH37">
        <v>34</v>
      </c>
      <c r="AI37">
        <v>35</v>
      </c>
      <c r="AJ37">
        <v>36</v>
      </c>
      <c r="AK37">
        <v>37</v>
      </c>
      <c r="AL37">
        <v>38</v>
      </c>
      <c r="AM37">
        <v>39</v>
      </c>
      <c r="AN37">
        <v>40</v>
      </c>
      <c r="AO37">
        <v>41</v>
      </c>
      <c r="AP37">
        <v>42</v>
      </c>
      <c r="AQ37">
        <v>43</v>
      </c>
      <c r="AR37">
        <v>44</v>
      </c>
      <c r="AS37">
        <v>45</v>
      </c>
      <c r="AT37">
        <v>46</v>
      </c>
      <c r="AU37">
        <v>47</v>
      </c>
      <c r="AV37">
        <v>48</v>
      </c>
      <c r="AW37">
        <v>49</v>
      </c>
      <c r="AX37">
        <v>50</v>
      </c>
      <c r="AY37">
        <v>51</v>
      </c>
      <c r="AZ37">
        <v>52</v>
      </c>
      <c r="BA37">
        <v>53</v>
      </c>
      <c r="BB37">
        <v>54</v>
      </c>
      <c r="BC37">
        <v>55</v>
      </c>
      <c r="BD37">
        <v>56</v>
      </c>
      <c r="BE37">
        <v>57</v>
      </c>
      <c r="BF37">
        <v>58</v>
      </c>
      <c r="BG37">
        <v>59</v>
      </c>
      <c r="BH37">
        <v>60</v>
      </c>
      <c r="BI37">
        <v>61</v>
      </c>
      <c r="BJ37">
        <v>62</v>
      </c>
      <c r="BK37">
        <v>63</v>
      </c>
      <c r="BL37">
        <v>64</v>
      </c>
      <c r="BM37">
        <v>65</v>
      </c>
      <c r="BN37">
        <v>66</v>
      </c>
      <c r="BO37">
        <v>67</v>
      </c>
      <c r="BP37">
        <v>68</v>
      </c>
      <c r="BQ37">
        <v>69</v>
      </c>
      <c r="BR37">
        <v>70</v>
      </c>
      <c r="BS37">
        <v>71</v>
      </c>
      <c r="BT37">
        <v>72</v>
      </c>
      <c r="BU37">
        <v>73</v>
      </c>
      <c r="BV37">
        <v>74</v>
      </c>
      <c r="BW37">
        <v>75</v>
      </c>
      <c r="BX37">
        <v>76</v>
      </c>
      <c r="BY37">
        <v>77</v>
      </c>
      <c r="BZ37">
        <v>78</v>
      </c>
      <c r="CA37">
        <v>79</v>
      </c>
      <c r="CB37">
        <v>80</v>
      </c>
      <c r="CC37">
        <v>81</v>
      </c>
      <c r="CD37">
        <v>82</v>
      </c>
      <c r="CE37">
        <v>83</v>
      </c>
      <c r="CF37">
        <v>84</v>
      </c>
      <c r="CG37">
        <v>85</v>
      </c>
      <c r="CH37">
        <v>86</v>
      </c>
      <c r="CI37">
        <v>87</v>
      </c>
      <c r="CJ37">
        <v>88</v>
      </c>
      <c r="CK37">
        <v>89</v>
      </c>
      <c r="CL37">
        <v>90</v>
      </c>
      <c r="CM37">
        <v>91</v>
      </c>
      <c r="CN37">
        <v>92</v>
      </c>
      <c r="CO37">
        <v>93</v>
      </c>
      <c r="CP37">
        <v>94</v>
      </c>
      <c r="CQ37">
        <v>95</v>
      </c>
      <c r="CR37">
        <v>96</v>
      </c>
      <c r="CS37">
        <v>97</v>
      </c>
      <c r="CT37">
        <v>98</v>
      </c>
      <c r="CU37">
        <v>99</v>
      </c>
      <c r="CV37">
        <v>100</v>
      </c>
      <c r="CW37">
        <v>101</v>
      </c>
      <c r="CX37">
        <v>102</v>
      </c>
      <c r="CY37">
        <v>103</v>
      </c>
      <c r="CZ37">
        <v>104</v>
      </c>
      <c r="DA37">
        <v>105</v>
      </c>
      <c r="DB37">
        <v>106</v>
      </c>
      <c r="DC37">
        <v>107</v>
      </c>
      <c r="DD37">
        <v>108</v>
      </c>
      <c r="DE37">
        <v>109</v>
      </c>
      <c r="DF37">
        <v>110</v>
      </c>
      <c r="DG37">
        <v>111</v>
      </c>
      <c r="DH37">
        <v>112</v>
      </c>
      <c r="DI37">
        <v>113</v>
      </c>
      <c r="DJ37">
        <v>114</v>
      </c>
      <c r="DK37">
        <v>115</v>
      </c>
      <c r="DL37">
        <v>116</v>
      </c>
      <c r="DM37">
        <v>117</v>
      </c>
      <c r="DN37">
        <v>118</v>
      </c>
      <c r="DO37">
        <v>119</v>
      </c>
      <c r="DP37">
        <v>120</v>
      </c>
      <c r="DQ37">
        <v>121</v>
      </c>
      <c r="DR37">
        <v>122</v>
      </c>
      <c r="DS37">
        <v>123</v>
      </c>
      <c r="DT37">
        <v>124</v>
      </c>
      <c r="DU37">
        <v>125</v>
      </c>
      <c r="DV37">
        <v>126</v>
      </c>
      <c r="DW37">
        <v>127</v>
      </c>
      <c r="DX37">
        <v>128</v>
      </c>
      <c r="DY37">
        <v>129</v>
      </c>
      <c r="DZ37">
        <v>130</v>
      </c>
      <c r="EA37">
        <v>131</v>
      </c>
      <c r="EB37">
        <v>132</v>
      </c>
      <c r="EC37">
        <v>133</v>
      </c>
      <c r="ED37">
        <v>134</v>
      </c>
      <c r="EE37">
        <v>135</v>
      </c>
      <c r="EF37">
        <v>136</v>
      </c>
      <c r="EG37">
        <v>137</v>
      </c>
      <c r="EH37">
        <v>138</v>
      </c>
      <c r="EI37">
        <v>139</v>
      </c>
      <c r="EJ37">
        <v>140</v>
      </c>
      <c r="EK37">
        <v>141</v>
      </c>
      <c r="EL37">
        <v>142</v>
      </c>
      <c r="EM37">
        <v>143</v>
      </c>
      <c r="EN37">
        <v>144</v>
      </c>
      <c r="EO37">
        <v>145</v>
      </c>
      <c r="EP37">
        <v>146</v>
      </c>
      <c r="EQ37">
        <v>147</v>
      </c>
      <c r="ER37">
        <v>148</v>
      </c>
      <c r="ES37">
        <v>149</v>
      </c>
    </row>
    <row r="38" spans="1:152">
      <c r="S38" s="80"/>
      <c r="W38" s="80"/>
      <c r="X38" s="80"/>
      <c r="CF38" s="80"/>
      <c r="CG38" s="80"/>
      <c r="CH38" s="80"/>
      <c r="CI38" s="80"/>
      <c r="EF38" s="80">
        <f>EF23-EF20</f>
        <v>0</v>
      </c>
      <c r="EG38" s="80"/>
      <c r="EH38" s="80"/>
      <c r="EI38" s="80"/>
    </row>
    <row r="39" spans="1:152">
      <c r="S39" s="80"/>
      <c r="W39" s="80"/>
      <c r="X39" s="80"/>
      <c r="CF39" s="80"/>
      <c r="CG39" s="80"/>
      <c r="CH39" s="80"/>
      <c r="CI39" s="80"/>
      <c r="EF39" s="80"/>
      <c r="EG39" s="80"/>
      <c r="EH39" s="80"/>
      <c r="EI39" s="80"/>
    </row>
    <row r="40" spans="1:152">
      <c r="C40" s="607"/>
      <c r="S40" s="80"/>
      <c r="W40" s="80"/>
      <c r="X40" s="80"/>
      <c r="CF40" s="80"/>
      <c r="CG40" s="80"/>
      <c r="CH40" s="80"/>
      <c r="CI40" s="80"/>
      <c r="EF40" s="80"/>
      <c r="EG40" s="80"/>
      <c r="EH40" s="80"/>
      <c r="EI40" s="80"/>
    </row>
    <row r="41" spans="1:152">
      <c r="S41" s="80"/>
      <c r="W41" s="80"/>
      <c r="X41" s="80"/>
      <c r="CF41" s="80"/>
      <c r="CG41" s="80"/>
      <c r="CH41" s="80"/>
      <c r="CI41" s="80"/>
      <c r="EF41" s="80"/>
      <c r="EG41" s="80"/>
      <c r="EH41" s="80"/>
      <c r="EI41" s="80"/>
    </row>
    <row r="42" spans="1:152">
      <c r="S42" s="80"/>
      <c r="W42" s="80"/>
      <c r="X42" s="80"/>
      <c r="CF42" s="80"/>
      <c r="CG42" s="80"/>
      <c r="CH42" s="80"/>
      <c r="CI42" s="80"/>
      <c r="EF42" s="80"/>
      <c r="EG42" s="80"/>
      <c r="EH42" s="80"/>
      <c r="EI42" s="80"/>
    </row>
    <row r="45" spans="1:152">
      <c r="CK45" t="s">
        <v>425</v>
      </c>
      <c r="CL45" t="s">
        <v>426</v>
      </c>
    </row>
    <row r="46" spans="1:152">
      <c r="CJ46" t="s">
        <v>427</v>
      </c>
      <c r="CK46" s="487">
        <f>2.383*(288/298)*(((CL46/1000)+1.013)/1.013)</f>
        <v>5.713251065013881</v>
      </c>
      <c r="CL46">
        <v>1500</v>
      </c>
    </row>
    <row r="47" spans="1:152">
      <c r="CJ47" t="s">
        <v>397</v>
      </c>
      <c r="CK47" s="487">
        <f>2.383*(288/298)*(((CL47/1000)+1.013)/1.013)</f>
        <v>2.4167074739792103</v>
      </c>
      <c r="CL47">
        <v>50</v>
      </c>
    </row>
    <row r="48" spans="1:152">
      <c r="CJ48" t="s">
        <v>428</v>
      </c>
      <c r="CK48" s="487">
        <f t="shared" ref="CK48:CK55" si="371">2.383*(288/298)*(((CL48/1000)+1.013)/1.013)</f>
        <v>2.4167074739792103</v>
      </c>
      <c r="CL48">
        <v>50</v>
      </c>
    </row>
    <row r="49" spans="88:90">
      <c r="CJ49" t="s">
        <v>429</v>
      </c>
      <c r="CK49" s="487">
        <f t="shared" si="371"/>
        <v>2.3030335570469802</v>
      </c>
    </row>
    <row r="50" spans="88:90">
      <c r="CJ50" t="s">
        <v>430</v>
      </c>
      <c r="CK50" s="487">
        <f t="shared" si="371"/>
        <v>2.3030335570469802</v>
      </c>
    </row>
    <row r="51" spans="88:90">
      <c r="CJ51" t="s">
        <v>431</v>
      </c>
      <c r="CK51" s="487">
        <f t="shared" si="371"/>
        <v>2.3416826888039384</v>
      </c>
      <c r="CL51">
        <v>17</v>
      </c>
    </row>
    <row r="52" spans="88:90">
      <c r="CJ52" t="s">
        <v>432</v>
      </c>
      <c r="CK52" s="487">
        <f t="shared" si="371"/>
        <v>2.3030335570469802</v>
      </c>
    </row>
    <row r="53" spans="88:90">
      <c r="CJ53" t="s">
        <v>433</v>
      </c>
      <c r="CK53" s="487">
        <f t="shared" si="371"/>
        <v>2.3030335570469802</v>
      </c>
    </row>
    <row r="54" spans="88:90">
      <c r="CJ54" t="s">
        <v>434</v>
      </c>
      <c r="CK54" s="487">
        <f t="shared" si="371"/>
        <v>2.3030335570469802</v>
      </c>
    </row>
    <row r="55" spans="88:90">
      <c r="CJ55" t="s">
        <v>139</v>
      </c>
      <c r="CK55" s="487">
        <f t="shared" si="371"/>
        <v>2.3712379072063183</v>
      </c>
      <c r="CL55">
        <v>30</v>
      </c>
    </row>
    <row r="56" spans="88:90" ht="15"/>
  </sheetData>
  <mergeCells count="30">
    <mergeCell ref="DE1:DG1"/>
    <mergeCell ref="EQ1:ES1"/>
    <mergeCell ref="EC1:EE1"/>
    <mergeCell ref="DK1:DM1"/>
    <mergeCell ref="DN1:DP1"/>
    <mergeCell ref="DQ1:DS1"/>
    <mergeCell ref="DT1:DV1"/>
    <mergeCell ref="DW1:DY1"/>
    <mergeCell ref="DZ1:EB1"/>
    <mergeCell ref="B1:H1"/>
    <mergeCell ref="I1:L1"/>
    <mergeCell ref="M1:P1"/>
    <mergeCell ref="Y1:Z1"/>
    <mergeCell ref="AI1:AJ1"/>
    <mergeCell ref="ET1:EV1"/>
    <mergeCell ref="AS1:AT1"/>
    <mergeCell ref="CA1:CB1"/>
    <mergeCell ref="BW1:BX1"/>
    <mergeCell ref="AQ1:AR1"/>
    <mergeCell ref="DH1:DJ1"/>
    <mergeCell ref="AU1:AV1"/>
    <mergeCell ref="AW1:AX1"/>
    <mergeCell ref="AY1:AZ1"/>
    <mergeCell ref="BA1:BB1"/>
    <mergeCell ref="BC1:BD1"/>
    <mergeCell ref="BE1:BF1"/>
    <mergeCell ref="BG1:BH1"/>
    <mergeCell ref="BI1:BJ1"/>
    <mergeCell ref="BU1:BV1"/>
    <mergeCell ref="BY1:BZ1"/>
  </mergeCells>
  <conditionalFormatting sqref="BQ42:BX1048576 A1:H2 L1:L2 P1 AU1:BW1 BY1:BZ1 BQ38:BX40 AI38:AN1048576 BY38:XFD44 BY45:CI45 BY57:XFD1048576 CL56:XFD56 BY46:CH56 CJ45:XFD55 A38:P39 ET4:XFD4 EW1:XFD2 CC1:ES1 AI1:AN2 Z36:AN36 EW20 EY20:XFD20 A41:P1048576 A40:B40 D40:P40 I2:P2 BI2:ES2 AA35:AC35 A35:P36 AE35:AN35 EW5:XFD19 AQ35:XFD36 AQ2:BG2 AQ1:AS1 AQ38:BP1048576 U35:Y36 U38:AF1048576 U1:AF2 A37:XFD37 EW21:XFD34 H5 G6:H23 ET5:EV34 EG4:EG34 DZ22:DZ34 BF4:BF34 BS4:BT34 AR4:AR34 Y4:Y8 U4:U7 W8 EN10:EO25 EN4:EO8 EN27:EO34 DZ4:DZ20 Y10:Y19 F24:H34 AB4:AB34 Y21:Y34 U9:U34 F4:F23 AH4:AH34">
    <cfRule type="cellIs" dxfId="4003" priority="10973" operator="lessThan">
      <formula>0</formula>
    </cfRule>
  </conditionalFormatting>
  <conditionalFormatting sqref="CA1">
    <cfRule type="cellIs" dxfId="4002" priority="3389" operator="lessThan">
      <formula>0</formula>
    </cfRule>
  </conditionalFormatting>
  <conditionalFormatting sqref="AG1:AH2 AG38:AH1048576">
    <cfRule type="cellIs" dxfId="4001" priority="3218" operator="lessThan">
      <formula>0</formula>
    </cfRule>
  </conditionalFormatting>
  <conditionalFormatting sqref="W4:W34">
    <cfRule type="cellIs" dxfId="4000" priority="2814" operator="lessThan">
      <formula>0</formula>
    </cfRule>
  </conditionalFormatting>
  <conditionalFormatting sqref="AD4:AD34">
    <cfRule type="cellIs" dxfId="3999" priority="2267" operator="lessThan">
      <formula>0</formula>
    </cfRule>
  </conditionalFormatting>
  <conditionalFormatting sqref="AY4:AY34 BA4:BA34 EF4:EF34 EH4:EH34 EJ4:EJ34 AU4:AU34 CJ4:CJ34 AW4:AW34">
    <cfRule type="cellIs" dxfId="3998" priority="2264" operator="lessThan">
      <formula>0</formula>
    </cfRule>
  </conditionalFormatting>
  <conditionalFormatting sqref="AA4:AA34">
    <cfRule type="cellIs" dxfId="3997" priority="2237" operator="lessThan">
      <formula>0</formula>
    </cfRule>
  </conditionalFormatting>
  <conditionalFormatting sqref="CH4:CH34 EQ4:ES34 CQ4:CQ34 CO4:CO34 CM4:CM34 CU4:CU34 AM4:AM34 AS4:AS34 B4:B34">
    <cfRule type="cellIs" dxfId="3996" priority="2270" operator="lessThan">
      <formula>0</formula>
    </cfRule>
  </conditionalFormatting>
  <conditionalFormatting sqref="ET2:EV2 ET1">
    <cfRule type="cellIs" dxfId="3995" priority="2176" operator="lessThan">
      <formula>0</formula>
    </cfRule>
  </conditionalFormatting>
  <conditionalFormatting sqref="CR4:CS4 CD4:CE34 CG4:CG34 CK4:CK34 CN4:CN34 CR5:CT34 C4:C34 E4:E34">
    <cfRule type="cellIs" dxfId="3994" priority="2162" operator="lessThan">
      <formula>0</formula>
    </cfRule>
  </conditionalFormatting>
  <conditionalFormatting sqref="CL4:CL34">
    <cfRule type="cellIs" dxfId="3993" priority="2145" operator="lessThan">
      <formula>0</formula>
    </cfRule>
  </conditionalFormatting>
  <conditionalFormatting sqref="CI4:CI34">
    <cfRule type="cellIs" dxfId="3992" priority="2118" operator="lessThan">
      <formula>0</formula>
    </cfRule>
  </conditionalFormatting>
  <conditionalFormatting sqref="EI4:EI34">
    <cfRule type="cellIs" dxfId="3991" priority="2109" operator="lessThan">
      <formula>0</formula>
    </cfRule>
  </conditionalFormatting>
  <conditionalFormatting sqref="EK4:EK34">
    <cfRule type="cellIs" dxfId="3990" priority="2108" operator="lessThan">
      <formula>0</formula>
    </cfRule>
  </conditionalFormatting>
  <conditionalFormatting sqref="EM4:EM34">
    <cfRule type="cellIs" dxfId="3989" priority="2107" operator="lessThan">
      <formula>0</formula>
    </cfRule>
  </conditionalFormatting>
  <conditionalFormatting sqref="CC4:CC34">
    <cfRule type="cellIs" dxfId="3988" priority="2103" operator="lessThan">
      <formula>0</formula>
    </cfRule>
  </conditionalFormatting>
  <conditionalFormatting sqref="CP4:CP34">
    <cfRule type="cellIs" dxfId="3987" priority="2097" operator="lessThan">
      <formula>0</formula>
    </cfRule>
  </conditionalFormatting>
  <conditionalFormatting sqref="EL4:EL34">
    <cfRule type="cellIs" dxfId="3986" priority="2050" operator="lessThan">
      <formula>0</formula>
    </cfRule>
  </conditionalFormatting>
  <conditionalFormatting sqref="EL4:EL34">
    <cfRule type="cellIs" dxfId="3985" priority="2051" operator="lessThan">
      <formula>0</formula>
    </cfRule>
  </conditionalFormatting>
  <conditionalFormatting sqref="AC4:AC34">
    <cfRule type="cellIs" dxfId="3984" priority="2034" operator="lessThan">
      <formula>0</formula>
    </cfRule>
  </conditionalFormatting>
  <conditionalFormatting sqref="BC4:BC34">
    <cfRule type="cellIs" dxfId="3983" priority="1937" operator="lessThan">
      <formula>0</formula>
    </cfRule>
  </conditionalFormatting>
  <conditionalFormatting sqref="BE4:BE34 CF4:CF34">
    <cfRule type="cellIs" dxfId="3982" priority="1815" operator="lessThan">
      <formula>0</formula>
    </cfRule>
  </conditionalFormatting>
  <conditionalFormatting sqref="BG4:BG34">
    <cfRule type="cellIs" dxfId="3981" priority="1799" operator="lessThan">
      <formula>0</formula>
    </cfRule>
  </conditionalFormatting>
  <conditionalFormatting sqref="EX20">
    <cfRule type="cellIs" dxfId="3980" priority="1759" operator="lessThan">
      <formula>0</formula>
    </cfRule>
  </conditionalFormatting>
  <conditionalFormatting sqref="C40">
    <cfRule type="cellIs" dxfId="3979" priority="1758" operator="lessThan">
      <formula>0</formula>
    </cfRule>
  </conditionalFormatting>
  <conditionalFormatting sqref="D4:D34">
    <cfRule type="cellIs" dxfId="3978" priority="1756" operator="lessThan">
      <formula>0</formula>
    </cfRule>
  </conditionalFormatting>
  <conditionalFormatting sqref="EP4:EP25 EP27:EP34">
    <cfRule type="cellIs" dxfId="3977" priority="1755" operator="lessThan">
      <formula>0</formula>
    </cfRule>
  </conditionalFormatting>
  <conditionalFormatting sqref="V4:V34">
    <cfRule type="cellIs" dxfId="3976" priority="1747" operator="lessThan">
      <formula>0</formula>
    </cfRule>
  </conditionalFormatting>
  <conditionalFormatting sqref="AJ4:AJ34">
    <cfRule type="cellIs" dxfId="3975" priority="1686" operator="lessThan">
      <formula>0</formula>
    </cfRule>
  </conditionalFormatting>
  <conditionalFormatting sqref="AK4:AK34">
    <cfRule type="cellIs" dxfId="3974" priority="1628" operator="lessThan">
      <formula>0</formula>
    </cfRule>
  </conditionalFormatting>
  <conditionalFormatting sqref="AQ4:AQ34">
    <cfRule type="cellIs" dxfId="3973" priority="1618" operator="lessThan">
      <formula>0</formula>
    </cfRule>
  </conditionalFormatting>
  <conditionalFormatting sqref="DF4:DF34">
    <cfRule type="cellIs" dxfId="3972" priority="1524" operator="lessThan">
      <formula>0</formula>
    </cfRule>
  </conditionalFormatting>
  <conditionalFormatting sqref="X4:X34">
    <cfRule type="cellIs" dxfId="3971" priority="1504" operator="lessThan">
      <formula>0</formula>
    </cfRule>
  </conditionalFormatting>
  <conditionalFormatting sqref="Z4:Z34">
    <cfRule type="cellIs" dxfId="3970" priority="1503" operator="lessThan">
      <formula>0</formula>
    </cfRule>
  </conditionalFormatting>
  <conditionalFormatting sqref="AF4:AF34">
    <cfRule type="cellIs" dxfId="3969" priority="1501" operator="lessThan">
      <formula>0</formula>
    </cfRule>
  </conditionalFormatting>
  <conditionalFormatting sqref="AL4:AL34">
    <cfRule type="cellIs" dxfId="3968" priority="1500" operator="lessThan">
      <formula>0</formula>
    </cfRule>
  </conditionalFormatting>
  <conditionalFormatting sqref="AT4:AT34">
    <cfRule type="cellIs" dxfId="3967" priority="1499" operator="lessThan">
      <formula>0</formula>
    </cfRule>
  </conditionalFormatting>
  <conditionalFormatting sqref="AV4:AV34">
    <cfRule type="cellIs" dxfId="3966" priority="1498" operator="lessThan">
      <formula>0</formula>
    </cfRule>
  </conditionalFormatting>
  <conditionalFormatting sqref="AX4:AX34">
    <cfRule type="cellIs" dxfId="3965" priority="1497" operator="lessThan">
      <formula>0</formula>
    </cfRule>
  </conditionalFormatting>
  <conditionalFormatting sqref="AZ4:AZ34">
    <cfRule type="cellIs" dxfId="3964" priority="1496" operator="lessThan">
      <formula>0</formula>
    </cfRule>
  </conditionalFormatting>
  <conditionalFormatting sqref="BB4:BB34">
    <cfRule type="cellIs" dxfId="3963" priority="1495" operator="lessThan">
      <formula>0</formula>
    </cfRule>
  </conditionalFormatting>
  <conditionalFormatting sqref="BD4:BD34">
    <cfRule type="cellIs" dxfId="3962" priority="1494" operator="lessThan">
      <formula>0</formula>
    </cfRule>
  </conditionalFormatting>
  <conditionalFormatting sqref="BH4:BH34">
    <cfRule type="cellIs" dxfId="3961" priority="1493" operator="lessThan">
      <formula>0</formula>
    </cfRule>
  </conditionalFormatting>
  <conditionalFormatting sqref="BH2">
    <cfRule type="cellIs" dxfId="3960" priority="1492" operator="lessThan">
      <formula>0</formula>
    </cfRule>
  </conditionalFormatting>
  <conditionalFormatting sqref="BI4:BI34">
    <cfRule type="cellIs" dxfId="3959" priority="1491" operator="lessThan">
      <formula>0</formula>
    </cfRule>
  </conditionalFormatting>
  <conditionalFormatting sqref="BJ4:BJ34">
    <cfRule type="cellIs" dxfId="3958" priority="1489" operator="lessThan">
      <formula>0</formula>
    </cfRule>
  </conditionalFormatting>
  <conditionalFormatting sqref="BK4:BK34">
    <cfRule type="cellIs" dxfId="3957" priority="1488" operator="lessThan">
      <formula>0</formula>
    </cfRule>
  </conditionalFormatting>
  <conditionalFormatting sqref="BL4:BL34">
    <cfRule type="cellIs" dxfId="3956" priority="1486" operator="lessThan">
      <formula>0</formula>
    </cfRule>
  </conditionalFormatting>
  <conditionalFormatting sqref="BM4:BM34">
    <cfRule type="cellIs" dxfId="3955" priority="1485" operator="lessThan">
      <formula>0</formula>
    </cfRule>
  </conditionalFormatting>
  <conditionalFormatting sqref="BN4:BN34">
    <cfRule type="cellIs" dxfId="3954" priority="1483" operator="lessThan">
      <formula>0</formula>
    </cfRule>
  </conditionalFormatting>
  <conditionalFormatting sqref="BO4:BO34">
    <cfRule type="cellIs" dxfId="3953" priority="1482" operator="lessThan">
      <formula>0</formula>
    </cfRule>
  </conditionalFormatting>
  <conditionalFormatting sqref="BP4:BP34">
    <cfRule type="cellIs" dxfId="3952" priority="1480" operator="lessThan">
      <formula>0</formula>
    </cfRule>
  </conditionalFormatting>
  <conditionalFormatting sqref="BQ4:BQ34">
    <cfRule type="cellIs" dxfId="3951" priority="1479" operator="lessThan">
      <formula>0</formula>
    </cfRule>
  </conditionalFormatting>
  <conditionalFormatting sqref="BR4:BR34">
    <cfRule type="cellIs" dxfId="3950" priority="1477" operator="lessThan">
      <formula>0</formula>
    </cfRule>
  </conditionalFormatting>
  <conditionalFormatting sqref="BU4:BU34">
    <cfRule type="cellIs" dxfId="3949" priority="1476" operator="lessThan">
      <formula>0</formula>
    </cfRule>
  </conditionalFormatting>
  <conditionalFormatting sqref="BV4:BV34">
    <cfRule type="cellIs" dxfId="3948" priority="1474" operator="lessThan">
      <formula>0</formula>
    </cfRule>
  </conditionalFormatting>
  <conditionalFormatting sqref="BW4:BW34">
    <cfRule type="cellIs" dxfId="3947" priority="1473" operator="lessThan">
      <formula>0</formula>
    </cfRule>
  </conditionalFormatting>
  <conditionalFormatting sqref="BX4:BX34">
    <cfRule type="cellIs" dxfId="3946" priority="1471" operator="lessThan">
      <formula>0</formula>
    </cfRule>
  </conditionalFormatting>
  <conditionalFormatting sqref="BY4:BY34">
    <cfRule type="cellIs" dxfId="3945" priority="1470" operator="lessThan">
      <formula>0</formula>
    </cfRule>
  </conditionalFormatting>
  <conditionalFormatting sqref="BZ4:BZ34">
    <cfRule type="cellIs" dxfId="3944" priority="1468" operator="lessThan">
      <formula>0</formula>
    </cfRule>
  </conditionalFormatting>
  <conditionalFormatting sqref="CB4:CB34">
    <cfRule type="cellIs" dxfId="3943" priority="1465" operator="lessThan">
      <formula>0</formula>
    </cfRule>
  </conditionalFormatting>
  <conditionalFormatting sqref="CV4:CV34">
    <cfRule type="cellIs" dxfId="3942" priority="1462" operator="lessThan">
      <formula>0</formula>
    </cfRule>
  </conditionalFormatting>
  <conditionalFormatting sqref="CW4:CW34">
    <cfRule type="cellIs" dxfId="3941" priority="1461" operator="lessThan">
      <formula>0</formula>
    </cfRule>
  </conditionalFormatting>
  <conditionalFormatting sqref="CX4:CX34">
    <cfRule type="cellIs" dxfId="3940" priority="1460" operator="lessThan">
      <formula>0</formula>
    </cfRule>
  </conditionalFormatting>
  <conditionalFormatting sqref="CZ4:CZ34">
    <cfRule type="cellIs" dxfId="3939" priority="1448" operator="lessThan">
      <formula>0</formula>
    </cfRule>
  </conditionalFormatting>
  <conditionalFormatting sqref="DA4:DA34">
    <cfRule type="cellIs" dxfId="3938" priority="1447" operator="lessThan">
      <formula>0</formula>
    </cfRule>
  </conditionalFormatting>
  <conditionalFormatting sqref="DB4:DB34">
    <cfRule type="cellIs" dxfId="3937" priority="1436" operator="lessThan">
      <formula>0</formula>
    </cfRule>
  </conditionalFormatting>
  <conditionalFormatting sqref="DC4:DC34">
    <cfRule type="cellIs" dxfId="3936" priority="1435" operator="lessThan">
      <formula>0</formula>
    </cfRule>
  </conditionalFormatting>
  <conditionalFormatting sqref="DD4:DD34">
    <cfRule type="cellIs" dxfId="3935" priority="1434" operator="lessThan">
      <formula>0</formula>
    </cfRule>
  </conditionalFormatting>
  <conditionalFormatting sqref="DE4:DE34">
    <cfRule type="cellIs" dxfId="3934" priority="1423" operator="lessThan">
      <formula>0</formula>
    </cfRule>
  </conditionalFormatting>
  <conditionalFormatting sqref="DG4:DG34">
    <cfRule type="cellIs" dxfId="3933" priority="1421" operator="lessThan">
      <formula>0</formula>
    </cfRule>
  </conditionalFormatting>
  <conditionalFormatting sqref="DH4:DH34">
    <cfRule type="cellIs" dxfId="3932" priority="1412" operator="lessThan">
      <formula>0</formula>
    </cfRule>
  </conditionalFormatting>
  <conditionalFormatting sqref="DI4:DI34">
    <cfRule type="cellIs" dxfId="3931" priority="1409" operator="lessThan">
      <formula>0</formula>
    </cfRule>
  </conditionalFormatting>
  <conditionalFormatting sqref="DJ4:DJ34">
    <cfRule type="cellIs" dxfId="3930" priority="1408" operator="lessThan">
      <formula>0</formula>
    </cfRule>
  </conditionalFormatting>
  <conditionalFormatting sqref="DN4:DN34">
    <cfRule type="cellIs" dxfId="3929" priority="1384" operator="lessThan">
      <formula>0</formula>
    </cfRule>
  </conditionalFormatting>
  <conditionalFormatting sqref="DO4:DO34">
    <cfRule type="cellIs" dxfId="3928" priority="1383" operator="lessThan">
      <formula>0</formula>
    </cfRule>
  </conditionalFormatting>
  <conditionalFormatting sqref="DP4:DP34">
    <cfRule type="cellIs" dxfId="3927" priority="1382" operator="lessThan">
      <formula>0</formula>
    </cfRule>
  </conditionalFormatting>
  <conditionalFormatting sqref="DK4:DK34">
    <cfRule type="cellIs" dxfId="3926" priority="1371" operator="lessThan">
      <formula>0</formula>
    </cfRule>
  </conditionalFormatting>
  <conditionalFormatting sqref="DL4:DL34">
    <cfRule type="cellIs" dxfId="3925" priority="1370" operator="lessThan">
      <formula>0</formula>
    </cfRule>
  </conditionalFormatting>
  <conditionalFormatting sqref="DM4:DM34">
    <cfRule type="cellIs" dxfId="3924" priority="1369" operator="lessThan">
      <formula>0</formula>
    </cfRule>
  </conditionalFormatting>
  <conditionalFormatting sqref="DQ4:DQ34">
    <cfRule type="cellIs" dxfId="3923" priority="1358" operator="lessThan">
      <formula>0</formula>
    </cfRule>
  </conditionalFormatting>
  <conditionalFormatting sqref="DR4:DR34">
    <cfRule type="cellIs" dxfId="3922" priority="1357" operator="lessThan">
      <formula>0</formula>
    </cfRule>
  </conditionalFormatting>
  <conditionalFormatting sqref="DS4:DS34">
    <cfRule type="cellIs" dxfId="3921" priority="1356" operator="lessThan">
      <formula>0</formula>
    </cfRule>
  </conditionalFormatting>
  <conditionalFormatting sqref="DT4:DT34">
    <cfRule type="cellIs" dxfId="3920" priority="1345" operator="lessThan">
      <formula>0</formula>
    </cfRule>
  </conditionalFormatting>
  <conditionalFormatting sqref="DU4:DU34">
    <cfRule type="cellIs" dxfId="3919" priority="1344" operator="lessThan">
      <formula>0</formula>
    </cfRule>
  </conditionalFormatting>
  <conditionalFormatting sqref="DV4:DV34">
    <cfRule type="cellIs" dxfId="3918" priority="1343" operator="lessThan">
      <formula>0</formula>
    </cfRule>
  </conditionalFormatting>
  <conditionalFormatting sqref="DW4:DW34">
    <cfRule type="cellIs" dxfId="3917" priority="1332" operator="lessThan">
      <formula>0</formula>
    </cfRule>
  </conditionalFormatting>
  <conditionalFormatting sqref="DX4:DX34">
    <cfRule type="cellIs" dxfId="3916" priority="1331" operator="lessThan">
      <formula>0</formula>
    </cfRule>
  </conditionalFormatting>
  <conditionalFormatting sqref="DY4:DY34">
    <cfRule type="cellIs" dxfId="3915" priority="1330" operator="lessThan">
      <formula>0</formula>
    </cfRule>
  </conditionalFormatting>
  <conditionalFormatting sqref="EA4:EA34">
    <cfRule type="cellIs" dxfId="3914" priority="1318" operator="lessThan">
      <formula>0</formula>
    </cfRule>
  </conditionalFormatting>
  <conditionalFormatting sqref="EB4:EB34">
    <cfRule type="cellIs" dxfId="3913" priority="1317" operator="lessThan">
      <formula>0</formula>
    </cfRule>
  </conditionalFormatting>
  <conditionalFormatting sqref="EC4:EC34">
    <cfRule type="cellIs" dxfId="3912" priority="1306" operator="lessThan">
      <formula>0</formula>
    </cfRule>
  </conditionalFormatting>
  <conditionalFormatting sqref="ED4:ED34">
    <cfRule type="cellIs" dxfId="3911" priority="1305" operator="lessThan">
      <formula>0</formula>
    </cfRule>
  </conditionalFormatting>
  <conditionalFormatting sqref="EE4:EE34">
    <cfRule type="cellIs" dxfId="3910" priority="1304" operator="lessThan">
      <formula>0</formula>
    </cfRule>
  </conditionalFormatting>
  <conditionalFormatting sqref="Z35">
    <cfRule type="cellIs" dxfId="3909" priority="1295" operator="lessThan">
      <formula>0</formula>
    </cfRule>
  </conditionalFormatting>
  <conditionalFormatting sqref="AD35">
    <cfRule type="cellIs" dxfId="3908" priority="1294" operator="lessThan">
      <formula>0</formula>
    </cfRule>
  </conditionalFormatting>
  <conditionalFormatting sqref="AE4:AE34">
    <cfRule type="cellIs" dxfId="3907" priority="1223" operator="lessThan">
      <formula>0</formula>
    </cfRule>
  </conditionalFormatting>
  <conditionalFormatting sqref="AG4:AG34 AI4:AI34">
    <cfRule type="cellIs" dxfId="3906" priority="1204" operator="lessThan">
      <formula>0</formula>
    </cfRule>
  </conditionalFormatting>
  <conditionalFormatting sqref="CA4:CA34">
    <cfRule type="cellIs" dxfId="3905" priority="1151" operator="lessThan">
      <formula>0</formula>
    </cfRule>
  </conditionalFormatting>
  <conditionalFormatting sqref="CY4:CY34">
    <cfRule type="cellIs" dxfId="3904" priority="1146" operator="lessThan">
      <formula>0</formula>
    </cfRule>
  </conditionalFormatting>
  <conditionalFormatting sqref="AO1:AP2 AO35:AP36 AO38:AP1048576">
    <cfRule type="cellIs" dxfId="3903" priority="1103" operator="lessThan">
      <formula>0</formula>
    </cfRule>
  </conditionalFormatting>
  <conditionalFormatting sqref="AO4:AO34">
    <cfRule type="cellIs" dxfId="3902" priority="1102" operator="lessThan">
      <formula>0</formula>
    </cfRule>
  </conditionalFormatting>
  <conditionalFormatting sqref="AN4:AN34">
    <cfRule type="cellIs" dxfId="3901" priority="1099" operator="lessThan">
      <formula>0</formula>
    </cfRule>
  </conditionalFormatting>
  <conditionalFormatting sqref="AP4:AP34">
    <cfRule type="cellIs" dxfId="3900" priority="1098" operator="lessThan">
      <formula>0</formula>
    </cfRule>
  </conditionalFormatting>
  <conditionalFormatting sqref="Q35:S36 Q1:S2 Q38:S1048576">
    <cfRule type="cellIs" dxfId="3899" priority="1097" operator="lessThan">
      <formula>0</formula>
    </cfRule>
  </conditionalFormatting>
  <conditionalFormatting sqref="S4 S6 S8:S34">
    <cfRule type="cellIs" dxfId="3898" priority="1088" operator="lessThan">
      <formula>0</formula>
    </cfRule>
  </conditionalFormatting>
  <conditionalFormatting sqref="Q4 Q6 Q8:Q34">
    <cfRule type="cellIs" dxfId="3897" priority="1082" operator="lessThan">
      <formula>0</formula>
    </cfRule>
  </conditionalFormatting>
  <conditionalFormatting sqref="R4:R34">
    <cfRule type="cellIs" dxfId="3896" priority="1076" operator="lessThan">
      <formula>0</formula>
    </cfRule>
  </conditionalFormatting>
  <conditionalFormatting sqref="T35:T36 T1:T2 T38:T1048576">
    <cfRule type="cellIs" dxfId="3895" priority="1071" operator="lessThan">
      <formula>0</formula>
    </cfRule>
  </conditionalFormatting>
  <conditionalFormatting sqref="T4:T34">
    <cfRule type="cellIs" dxfId="3894" priority="1070" operator="lessThan">
      <formula>0</formula>
    </cfRule>
  </conditionalFormatting>
  <conditionalFormatting sqref="G5">
    <cfRule type="cellIs" dxfId="3893" priority="824" operator="lessThan">
      <formula>0</formula>
    </cfRule>
  </conditionalFormatting>
  <conditionalFormatting sqref="H4">
    <cfRule type="cellIs" dxfId="3892" priority="822" operator="lessThan">
      <formula>0</formula>
    </cfRule>
  </conditionalFormatting>
  <conditionalFormatting sqref="J18:J21">
    <cfRule type="cellIs" dxfId="3891" priority="745" operator="lessThan">
      <formula>0</formula>
    </cfRule>
  </conditionalFormatting>
  <conditionalFormatting sqref="N18:N21">
    <cfRule type="cellIs" dxfId="3890" priority="744" operator="lessThan">
      <formula>0</formula>
    </cfRule>
  </conditionalFormatting>
  <conditionalFormatting sqref="P18:P21">
    <cfRule type="cellIs" dxfId="3889" priority="743" operator="lessThan">
      <formula>0</formula>
    </cfRule>
  </conditionalFormatting>
  <conditionalFormatting sqref="L18:L21">
    <cfRule type="cellIs" dxfId="3888" priority="742" operator="lessThan">
      <formula>0</formula>
    </cfRule>
  </conditionalFormatting>
  <conditionalFormatting sqref="S5 S7">
    <cfRule type="cellIs" dxfId="3887" priority="522" operator="lessThan">
      <formula>0</formula>
    </cfRule>
  </conditionalFormatting>
  <conditionalFormatting sqref="Q5 Q7">
    <cfRule type="cellIs" dxfId="3886" priority="521" operator="lessThan">
      <formula>0</formula>
    </cfRule>
  </conditionalFormatting>
  <conditionalFormatting sqref="J14 J16:J17">
    <cfRule type="cellIs" dxfId="3885" priority="450" operator="lessThan">
      <formula>0</formula>
    </cfRule>
  </conditionalFormatting>
  <conditionalFormatting sqref="N14 N16:N17">
    <cfRule type="cellIs" dxfId="3884" priority="449" operator="lessThan">
      <formula>0</formula>
    </cfRule>
  </conditionalFormatting>
  <conditionalFormatting sqref="P14 P16:P17">
    <cfRule type="cellIs" dxfId="3883" priority="448" operator="lessThan">
      <formula>0</formula>
    </cfRule>
  </conditionalFormatting>
  <conditionalFormatting sqref="L14 L16:L17">
    <cfRule type="cellIs" dxfId="3882" priority="447" operator="lessThan">
      <formula>0</formula>
    </cfRule>
  </conditionalFormatting>
  <conditionalFormatting sqref="K14 K16:K17">
    <cfRule type="cellIs" dxfId="3881" priority="446" operator="lessThan">
      <formula>0</formula>
    </cfRule>
  </conditionalFormatting>
  <conditionalFormatting sqref="O14 O16:O17">
    <cfRule type="cellIs" dxfId="3880" priority="445" operator="lessThan">
      <formula>0</formula>
    </cfRule>
  </conditionalFormatting>
  <conditionalFormatting sqref="M14 M16:M17">
    <cfRule type="cellIs" dxfId="3879" priority="444" operator="lessThan">
      <formula>0</formula>
    </cfRule>
  </conditionalFormatting>
  <conditionalFormatting sqref="M14 M16:M17">
    <cfRule type="cellIs" dxfId="3878" priority="443" operator="lessThan">
      <formula>0</formula>
    </cfRule>
  </conditionalFormatting>
  <conditionalFormatting sqref="I14 I16:I17">
    <cfRule type="cellIs" dxfId="3877" priority="442" operator="lessThan">
      <formula>0</formula>
    </cfRule>
  </conditionalFormatting>
  <conditionalFormatting sqref="K18:K21">
    <cfRule type="cellIs" dxfId="3876" priority="419" operator="lessThan">
      <formula>0</formula>
    </cfRule>
  </conditionalFormatting>
  <conditionalFormatting sqref="O18:O21">
    <cfRule type="cellIs" dxfId="3875" priority="418" operator="lessThan">
      <formula>0</formula>
    </cfRule>
  </conditionalFormatting>
  <conditionalFormatting sqref="M18:M21">
    <cfRule type="cellIs" dxfId="3874" priority="417" operator="lessThan">
      <formula>0</formula>
    </cfRule>
  </conditionalFormatting>
  <conditionalFormatting sqref="M18:M21">
    <cfRule type="cellIs" dxfId="3873" priority="416" operator="lessThan">
      <formula>0</formula>
    </cfRule>
  </conditionalFormatting>
  <conditionalFormatting sqref="I18:I21">
    <cfRule type="cellIs" dxfId="3872" priority="415" operator="lessThan">
      <formula>0</formula>
    </cfRule>
  </conditionalFormatting>
  <conditionalFormatting sqref="J22:J23">
    <cfRule type="cellIs" dxfId="3871" priority="396" operator="lessThan">
      <formula>0</formula>
    </cfRule>
  </conditionalFormatting>
  <conditionalFormatting sqref="N22:N23">
    <cfRule type="cellIs" dxfId="3870" priority="395" operator="lessThan">
      <formula>0</formula>
    </cfRule>
  </conditionalFormatting>
  <conditionalFormatting sqref="P22:P23">
    <cfRule type="cellIs" dxfId="3869" priority="394" operator="lessThan">
      <formula>0</formula>
    </cfRule>
  </conditionalFormatting>
  <conditionalFormatting sqref="L22:L23">
    <cfRule type="cellIs" dxfId="3868" priority="393" operator="lessThan">
      <formula>0</formula>
    </cfRule>
  </conditionalFormatting>
  <conditionalFormatting sqref="K22:K23">
    <cfRule type="cellIs" dxfId="3867" priority="392" operator="lessThan">
      <formula>0</formula>
    </cfRule>
  </conditionalFormatting>
  <conditionalFormatting sqref="I22:I23">
    <cfRule type="cellIs" dxfId="3866" priority="391" operator="lessThan">
      <formula>0</formula>
    </cfRule>
  </conditionalFormatting>
  <conditionalFormatting sqref="O22:O23">
    <cfRule type="cellIs" dxfId="3865" priority="390" operator="lessThan">
      <formula>0</formula>
    </cfRule>
  </conditionalFormatting>
  <conditionalFormatting sqref="M22:M23">
    <cfRule type="cellIs" dxfId="3864" priority="389" operator="lessThan">
      <formula>0</formula>
    </cfRule>
  </conditionalFormatting>
  <conditionalFormatting sqref="M22:M23">
    <cfRule type="cellIs" dxfId="3863" priority="388" operator="lessThan">
      <formula>0</formula>
    </cfRule>
  </conditionalFormatting>
  <conditionalFormatting sqref="J27:J28">
    <cfRule type="cellIs" dxfId="3862" priority="369" operator="lessThan">
      <formula>0</formula>
    </cfRule>
  </conditionalFormatting>
  <conditionalFormatting sqref="N27:N28">
    <cfRule type="cellIs" dxfId="3861" priority="368" operator="lessThan">
      <formula>0</formula>
    </cfRule>
  </conditionalFormatting>
  <conditionalFormatting sqref="P27:P28">
    <cfRule type="cellIs" dxfId="3860" priority="367" operator="lessThan">
      <formula>0</formula>
    </cfRule>
  </conditionalFormatting>
  <conditionalFormatting sqref="L27:L28">
    <cfRule type="cellIs" dxfId="3859" priority="366" operator="lessThan">
      <formula>0</formula>
    </cfRule>
  </conditionalFormatting>
  <conditionalFormatting sqref="K27:K28">
    <cfRule type="cellIs" dxfId="3858" priority="365" operator="lessThan">
      <formula>0</formula>
    </cfRule>
  </conditionalFormatting>
  <conditionalFormatting sqref="O27:O28">
    <cfRule type="cellIs" dxfId="3857" priority="364" operator="lessThan">
      <formula>0</formula>
    </cfRule>
  </conditionalFormatting>
  <conditionalFormatting sqref="M27:M28">
    <cfRule type="cellIs" dxfId="3856" priority="363" operator="lessThan">
      <formula>0</formula>
    </cfRule>
  </conditionalFormatting>
  <conditionalFormatting sqref="M27:M28">
    <cfRule type="cellIs" dxfId="3855" priority="362" operator="lessThan">
      <formula>0</formula>
    </cfRule>
  </conditionalFormatting>
  <conditionalFormatting sqref="I27:I28">
    <cfRule type="cellIs" dxfId="3854" priority="361" operator="lessThan">
      <formula>0</formula>
    </cfRule>
  </conditionalFormatting>
  <conditionalFormatting sqref="J29">
    <cfRule type="cellIs" dxfId="3853" priority="351" operator="lessThan">
      <formula>0</formula>
    </cfRule>
  </conditionalFormatting>
  <conditionalFormatting sqref="N29">
    <cfRule type="cellIs" dxfId="3852" priority="350" operator="lessThan">
      <formula>0</formula>
    </cfRule>
  </conditionalFormatting>
  <conditionalFormatting sqref="P29">
    <cfRule type="cellIs" dxfId="3851" priority="349" operator="lessThan">
      <formula>0</formula>
    </cfRule>
  </conditionalFormatting>
  <conditionalFormatting sqref="L29">
    <cfRule type="cellIs" dxfId="3850" priority="348" operator="lessThan">
      <formula>0</formula>
    </cfRule>
  </conditionalFormatting>
  <conditionalFormatting sqref="K29">
    <cfRule type="cellIs" dxfId="3849" priority="347" operator="lessThan">
      <formula>0</formula>
    </cfRule>
  </conditionalFormatting>
  <conditionalFormatting sqref="O29">
    <cfRule type="cellIs" dxfId="3848" priority="346" operator="lessThan">
      <formula>0</formula>
    </cfRule>
  </conditionalFormatting>
  <conditionalFormatting sqref="M29">
    <cfRule type="cellIs" dxfId="3847" priority="345" operator="lessThan">
      <formula>0</formula>
    </cfRule>
  </conditionalFormatting>
  <conditionalFormatting sqref="M29">
    <cfRule type="cellIs" dxfId="3846" priority="344" operator="lessThan">
      <formula>0</formula>
    </cfRule>
  </conditionalFormatting>
  <conditionalFormatting sqref="I29">
    <cfRule type="cellIs" dxfId="3845" priority="343" operator="lessThan">
      <formula>0</formula>
    </cfRule>
  </conditionalFormatting>
  <conditionalFormatting sqref="J32:J34">
    <cfRule type="cellIs" dxfId="3844" priority="333" operator="lessThan">
      <formula>0</formula>
    </cfRule>
  </conditionalFormatting>
  <conditionalFormatting sqref="N32:N34">
    <cfRule type="cellIs" dxfId="3843" priority="332" operator="lessThan">
      <formula>0</formula>
    </cfRule>
  </conditionalFormatting>
  <conditionalFormatting sqref="P32:P34">
    <cfRule type="cellIs" dxfId="3842" priority="331" operator="lessThan">
      <formula>0</formula>
    </cfRule>
  </conditionalFormatting>
  <conditionalFormatting sqref="L32:L34">
    <cfRule type="cellIs" dxfId="3841" priority="330" operator="lessThan">
      <formula>0</formula>
    </cfRule>
  </conditionalFormatting>
  <conditionalFormatting sqref="K32:K34">
    <cfRule type="cellIs" dxfId="3840" priority="329" operator="lessThan">
      <formula>0</formula>
    </cfRule>
  </conditionalFormatting>
  <conditionalFormatting sqref="O32:O34">
    <cfRule type="cellIs" dxfId="3839" priority="328" operator="lessThan">
      <formula>0</formula>
    </cfRule>
  </conditionalFormatting>
  <conditionalFormatting sqref="M32:M34">
    <cfRule type="cellIs" dxfId="3838" priority="327" operator="lessThan">
      <formula>0</formula>
    </cfRule>
  </conditionalFormatting>
  <conditionalFormatting sqref="M32:M34">
    <cfRule type="cellIs" dxfId="3837" priority="326" operator="lessThan">
      <formula>0</formula>
    </cfRule>
  </conditionalFormatting>
  <conditionalFormatting sqref="I32:I34">
    <cfRule type="cellIs" dxfId="3836" priority="325" operator="lessThan">
      <formula>0</formula>
    </cfRule>
  </conditionalFormatting>
  <conditionalFormatting sqref="CT4">
    <cfRule type="cellIs" dxfId="3835" priority="306" operator="lessThan">
      <formula>0</formula>
    </cfRule>
  </conditionalFormatting>
  <conditionalFormatting sqref="J5">
    <cfRule type="cellIs" dxfId="3834" priority="304" operator="lessThan">
      <formula>0</formula>
    </cfRule>
  </conditionalFormatting>
  <conditionalFormatting sqref="N5">
    <cfRule type="cellIs" dxfId="3833" priority="303" operator="lessThan">
      <formula>0</formula>
    </cfRule>
  </conditionalFormatting>
  <conditionalFormatting sqref="P5">
    <cfRule type="cellIs" dxfId="3832" priority="302" operator="lessThan">
      <formula>0</formula>
    </cfRule>
  </conditionalFormatting>
  <conditionalFormatting sqref="L5">
    <cfRule type="cellIs" dxfId="3831" priority="301" operator="lessThan">
      <formula>0</formula>
    </cfRule>
  </conditionalFormatting>
  <conditionalFormatting sqref="K5">
    <cfRule type="cellIs" dxfId="3830" priority="300" operator="lessThan">
      <formula>0</formula>
    </cfRule>
  </conditionalFormatting>
  <conditionalFormatting sqref="O5">
    <cfRule type="cellIs" dxfId="3829" priority="299" operator="lessThan">
      <formula>0</formula>
    </cfRule>
  </conditionalFormatting>
  <conditionalFormatting sqref="M5">
    <cfRule type="cellIs" dxfId="3828" priority="298" operator="lessThan">
      <formula>0</formula>
    </cfRule>
  </conditionalFormatting>
  <conditionalFormatting sqref="M5">
    <cfRule type="cellIs" dxfId="3827" priority="297" operator="lessThan">
      <formula>0</formula>
    </cfRule>
  </conditionalFormatting>
  <conditionalFormatting sqref="I5">
    <cfRule type="cellIs" dxfId="3826" priority="296" operator="lessThan">
      <formula>0</formula>
    </cfRule>
  </conditionalFormatting>
  <conditionalFormatting sqref="J6">
    <cfRule type="cellIs" dxfId="3825" priority="295" operator="lessThan">
      <formula>0</formula>
    </cfRule>
  </conditionalFormatting>
  <conditionalFormatting sqref="N6">
    <cfRule type="cellIs" dxfId="3824" priority="294" operator="lessThan">
      <formula>0</formula>
    </cfRule>
  </conditionalFormatting>
  <conditionalFormatting sqref="P6">
    <cfRule type="cellIs" dxfId="3823" priority="293" operator="lessThan">
      <formula>0</formula>
    </cfRule>
  </conditionalFormatting>
  <conditionalFormatting sqref="L6">
    <cfRule type="cellIs" dxfId="3822" priority="292" operator="lessThan">
      <formula>0</formula>
    </cfRule>
  </conditionalFormatting>
  <conditionalFormatting sqref="K6">
    <cfRule type="cellIs" dxfId="3821" priority="291" operator="lessThan">
      <formula>0</formula>
    </cfRule>
  </conditionalFormatting>
  <conditionalFormatting sqref="O6">
    <cfRule type="cellIs" dxfId="3820" priority="290" operator="lessThan">
      <formula>0</formula>
    </cfRule>
  </conditionalFormatting>
  <conditionalFormatting sqref="M6">
    <cfRule type="cellIs" dxfId="3819" priority="289" operator="lessThan">
      <formula>0</formula>
    </cfRule>
  </conditionalFormatting>
  <conditionalFormatting sqref="M6">
    <cfRule type="cellIs" dxfId="3818" priority="288" operator="lessThan">
      <formula>0</formula>
    </cfRule>
  </conditionalFormatting>
  <conditionalFormatting sqref="I6">
    <cfRule type="cellIs" dxfId="3817" priority="287" operator="lessThan">
      <formula>0</formula>
    </cfRule>
  </conditionalFormatting>
  <conditionalFormatting sqref="J7">
    <cfRule type="cellIs" dxfId="3816" priority="286" operator="lessThan">
      <formula>0</formula>
    </cfRule>
  </conditionalFormatting>
  <conditionalFormatting sqref="N7">
    <cfRule type="cellIs" dxfId="3815" priority="285" operator="lessThan">
      <formula>0</formula>
    </cfRule>
  </conditionalFormatting>
  <conditionalFormatting sqref="P7">
    <cfRule type="cellIs" dxfId="3814" priority="284" operator="lessThan">
      <formula>0</formula>
    </cfRule>
  </conditionalFormatting>
  <conditionalFormatting sqref="L7">
    <cfRule type="cellIs" dxfId="3813" priority="283" operator="lessThan">
      <formula>0</formula>
    </cfRule>
  </conditionalFormatting>
  <conditionalFormatting sqref="K7">
    <cfRule type="cellIs" dxfId="3812" priority="282" operator="lessThan">
      <formula>0</formula>
    </cfRule>
  </conditionalFormatting>
  <conditionalFormatting sqref="O7">
    <cfRule type="cellIs" dxfId="3811" priority="281" operator="lessThan">
      <formula>0</formula>
    </cfRule>
  </conditionalFormatting>
  <conditionalFormatting sqref="M7">
    <cfRule type="cellIs" dxfId="3810" priority="280" operator="lessThan">
      <formula>0</formula>
    </cfRule>
  </conditionalFormatting>
  <conditionalFormatting sqref="M7">
    <cfRule type="cellIs" dxfId="3809" priority="279" operator="lessThan">
      <formula>0</formula>
    </cfRule>
  </conditionalFormatting>
  <conditionalFormatting sqref="I7">
    <cfRule type="cellIs" dxfId="3808" priority="278" operator="lessThan">
      <formula>0</formula>
    </cfRule>
  </conditionalFormatting>
  <conditionalFormatting sqref="J4">
    <cfRule type="cellIs" dxfId="3807" priority="245" operator="lessThan">
      <formula>0</formula>
    </cfRule>
  </conditionalFormatting>
  <conditionalFormatting sqref="N4">
    <cfRule type="cellIs" dxfId="3806" priority="244" operator="lessThan">
      <formula>0</formula>
    </cfRule>
  </conditionalFormatting>
  <conditionalFormatting sqref="P4">
    <cfRule type="cellIs" dxfId="3805" priority="243" operator="lessThan">
      <formula>0</formula>
    </cfRule>
  </conditionalFormatting>
  <conditionalFormatting sqref="L4">
    <cfRule type="cellIs" dxfId="3804" priority="242" operator="lessThan">
      <formula>0</formula>
    </cfRule>
  </conditionalFormatting>
  <conditionalFormatting sqref="K4">
    <cfRule type="cellIs" dxfId="3803" priority="241" operator="lessThan">
      <formula>0</formula>
    </cfRule>
  </conditionalFormatting>
  <conditionalFormatting sqref="O4">
    <cfRule type="cellIs" dxfId="3802" priority="240" operator="lessThan">
      <formula>0</formula>
    </cfRule>
  </conditionalFormatting>
  <conditionalFormatting sqref="M4">
    <cfRule type="cellIs" dxfId="3801" priority="239" operator="lessThan">
      <formula>0</formula>
    </cfRule>
  </conditionalFormatting>
  <conditionalFormatting sqref="M4">
    <cfRule type="cellIs" dxfId="3800" priority="238" operator="lessThan">
      <formula>0</formula>
    </cfRule>
  </conditionalFormatting>
  <conditionalFormatting sqref="I4">
    <cfRule type="cellIs" dxfId="3799" priority="237" operator="lessThan">
      <formula>0</formula>
    </cfRule>
  </conditionalFormatting>
  <conditionalFormatting sqref="J8">
    <cfRule type="cellIs" dxfId="3798" priority="236" operator="lessThan">
      <formula>0</formula>
    </cfRule>
  </conditionalFormatting>
  <conditionalFormatting sqref="N8">
    <cfRule type="cellIs" dxfId="3797" priority="235" operator="lessThan">
      <formula>0</formula>
    </cfRule>
  </conditionalFormatting>
  <conditionalFormatting sqref="P8">
    <cfRule type="cellIs" dxfId="3796" priority="234" operator="lessThan">
      <formula>0</formula>
    </cfRule>
  </conditionalFormatting>
  <conditionalFormatting sqref="L8">
    <cfRule type="cellIs" dxfId="3795" priority="233" operator="lessThan">
      <formula>0</formula>
    </cfRule>
  </conditionalFormatting>
  <conditionalFormatting sqref="K8">
    <cfRule type="cellIs" dxfId="3794" priority="232" operator="lessThan">
      <formula>0</formula>
    </cfRule>
  </conditionalFormatting>
  <conditionalFormatting sqref="O8">
    <cfRule type="cellIs" dxfId="3793" priority="231" operator="lessThan">
      <formula>0</formula>
    </cfRule>
  </conditionalFormatting>
  <conditionalFormatting sqref="M8">
    <cfRule type="cellIs" dxfId="3792" priority="230" operator="lessThan">
      <formula>0</formula>
    </cfRule>
  </conditionalFormatting>
  <conditionalFormatting sqref="M8">
    <cfRule type="cellIs" dxfId="3791" priority="229" operator="lessThan">
      <formula>0</formula>
    </cfRule>
  </conditionalFormatting>
  <conditionalFormatting sqref="I8">
    <cfRule type="cellIs" dxfId="3790" priority="228" operator="lessThan">
      <formula>0</formula>
    </cfRule>
  </conditionalFormatting>
  <conditionalFormatting sqref="J9:J10">
    <cfRule type="cellIs" dxfId="3789" priority="227" operator="lessThan">
      <formula>0</formula>
    </cfRule>
  </conditionalFormatting>
  <conditionalFormatting sqref="N9:N10">
    <cfRule type="cellIs" dxfId="3788" priority="226" operator="lessThan">
      <formula>0</formula>
    </cfRule>
  </conditionalFormatting>
  <conditionalFormatting sqref="P9">
    <cfRule type="cellIs" dxfId="3787" priority="225" operator="lessThan">
      <formula>0</formula>
    </cfRule>
  </conditionalFormatting>
  <conditionalFormatting sqref="L9">
    <cfRule type="cellIs" dxfId="3786" priority="224" operator="lessThan">
      <formula>0</formula>
    </cfRule>
  </conditionalFormatting>
  <conditionalFormatting sqref="K9">
    <cfRule type="cellIs" dxfId="3785" priority="223" operator="lessThan">
      <formula>0</formula>
    </cfRule>
  </conditionalFormatting>
  <conditionalFormatting sqref="O9">
    <cfRule type="cellIs" dxfId="3784" priority="222" operator="lessThan">
      <formula>0</formula>
    </cfRule>
  </conditionalFormatting>
  <conditionalFormatting sqref="M9">
    <cfRule type="cellIs" dxfId="3783" priority="221" operator="lessThan">
      <formula>0</formula>
    </cfRule>
  </conditionalFormatting>
  <conditionalFormatting sqref="M9">
    <cfRule type="cellIs" dxfId="3782" priority="220" operator="lessThan">
      <formula>0</formula>
    </cfRule>
  </conditionalFormatting>
  <conditionalFormatting sqref="I9">
    <cfRule type="cellIs" dxfId="3781" priority="219" operator="lessThan">
      <formula>0</formula>
    </cfRule>
  </conditionalFormatting>
  <conditionalFormatting sqref="P10">
    <cfRule type="cellIs" dxfId="3780" priority="216" operator="lessThan">
      <formula>0</formula>
    </cfRule>
  </conditionalFormatting>
  <conditionalFormatting sqref="L10">
    <cfRule type="cellIs" dxfId="3779" priority="215" operator="lessThan">
      <formula>0</formula>
    </cfRule>
  </conditionalFormatting>
  <conditionalFormatting sqref="K10">
    <cfRule type="cellIs" dxfId="3778" priority="214" operator="lessThan">
      <formula>0</formula>
    </cfRule>
  </conditionalFormatting>
  <conditionalFormatting sqref="O10">
    <cfRule type="cellIs" dxfId="3777" priority="213" operator="lessThan">
      <formula>0</formula>
    </cfRule>
  </conditionalFormatting>
  <conditionalFormatting sqref="M10">
    <cfRule type="cellIs" dxfId="3776" priority="210" operator="lessThan">
      <formula>0</formula>
    </cfRule>
  </conditionalFormatting>
  <conditionalFormatting sqref="J12">
    <cfRule type="cellIs" dxfId="3775" priority="200" operator="lessThan">
      <formula>0</formula>
    </cfRule>
  </conditionalFormatting>
  <conditionalFormatting sqref="N12">
    <cfRule type="cellIs" dxfId="3774" priority="199" operator="lessThan">
      <formula>0</formula>
    </cfRule>
  </conditionalFormatting>
  <conditionalFormatting sqref="P12">
    <cfRule type="cellIs" dxfId="3773" priority="198" operator="lessThan">
      <formula>0</formula>
    </cfRule>
  </conditionalFormatting>
  <conditionalFormatting sqref="L12">
    <cfRule type="cellIs" dxfId="3772" priority="197" operator="lessThan">
      <formula>0</formula>
    </cfRule>
  </conditionalFormatting>
  <conditionalFormatting sqref="K12">
    <cfRule type="cellIs" dxfId="3771" priority="196" operator="lessThan">
      <formula>0</formula>
    </cfRule>
  </conditionalFormatting>
  <conditionalFormatting sqref="O12">
    <cfRule type="cellIs" dxfId="3770" priority="195" operator="lessThan">
      <formula>0</formula>
    </cfRule>
  </conditionalFormatting>
  <conditionalFormatting sqref="M12">
    <cfRule type="cellIs" dxfId="3769" priority="194" operator="lessThan">
      <formula>0</formula>
    </cfRule>
  </conditionalFormatting>
  <conditionalFormatting sqref="M12">
    <cfRule type="cellIs" dxfId="3768" priority="193" operator="lessThan">
      <formula>0</formula>
    </cfRule>
  </conditionalFormatting>
  <conditionalFormatting sqref="I12">
    <cfRule type="cellIs" dxfId="3767" priority="192" operator="lessThan">
      <formula>0</formula>
    </cfRule>
  </conditionalFormatting>
  <conditionalFormatting sqref="J24">
    <cfRule type="cellIs" dxfId="3766" priority="191" operator="lessThan">
      <formula>0</formula>
    </cfRule>
  </conditionalFormatting>
  <conditionalFormatting sqref="N24">
    <cfRule type="cellIs" dxfId="3765" priority="190" operator="lessThan">
      <formula>0</formula>
    </cfRule>
  </conditionalFormatting>
  <conditionalFormatting sqref="P24">
    <cfRule type="cellIs" dxfId="3764" priority="189" operator="lessThan">
      <formula>0</formula>
    </cfRule>
  </conditionalFormatting>
  <conditionalFormatting sqref="L24">
    <cfRule type="cellIs" dxfId="3763" priority="188" operator="lessThan">
      <formula>0</formula>
    </cfRule>
  </conditionalFormatting>
  <conditionalFormatting sqref="K24">
    <cfRule type="cellIs" dxfId="3762" priority="187" operator="lessThan">
      <formula>0</formula>
    </cfRule>
  </conditionalFormatting>
  <conditionalFormatting sqref="I24">
    <cfRule type="cellIs" dxfId="3761" priority="186" operator="lessThan">
      <formula>0</formula>
    </cfRule>
  </conditionalFormatting>
  <conditionalFormatting sqref="O24">
    <cfRule type="cellIs" dxfId="3760" priority="185" operator="lessThan">
      <formula>0</formula>
    </cfRule>
  </conditionalFormatting>
  <conditionalFormatting sqref="M24">
    <cfRule type="cellIs" dxfId="3759" priority="184" operator="lessThan">
      <formula>0</formula>
    </cfRule>
  </conditionalFormatting>
  <conditionalFormatting sqref="M24">
    <cfRule type="cellIs" dxfId="3758" priority="183" operator="lessThan">
      <formula>0</formula>
    </cfRule>
  </conditionalFormatting>
  <conditionalFormatting sqref="J25">
    <cfRule type="cellIs" dxfId="3757" priority="173" operator="lessThan">
      <formula>0</formula>
    </cfRule>
  </conditionalFormatting>
  <conditionalFormatting sqref="N25">
    <cfRule type="cellIs" dxfId="3756" priority="172" operator="lessThan">
      <formula>0</formula>
    </cfRule>
  </conditionalFormatting>
  <conditionalFormatting sqref="P25">
    <cfRule type="cellIs" dxfId="3755" priority="171" operator="lessThan">
      <formula>0</formula>
    </cfRule>
  </conditionalFormatting>
  <conditionalFormatting sqref="L25">
    <cfRule type="cellIs" dxfId="3754" priority="170" operator="lessThan">
      <formula>0</formula>
    </cfRule>
  </conditionalFormatting>
  <conditionalFormatting sqref="K25">
    <cfRule type="cellIs" dxfId="3753" priority="169" operator="lessThan">
      <formula>0</formula>
    </cfRule>
  </conditionalFormatting>
  <conditionalFormatting sqref="I25">
    <cfRule type="cellIs" dxfId="3752" priority="168" operator="lessThan">
      <formula>0</formula>
    </cfRule>
  </conditionalFormatting>
  <conditionalFormatting sqref="O25">
    <cfRule type="cellIs" dxfId="3751" priority="167" operator="lessThan">
      <formula>0</formula>
    </cfRule>
  </conditionalFormatting>
  <conditionalFormatting sqref="M25">
    <cfRule type="cellIs" dxfId="3750" priority="166" operator="lessThan">
      <formula>0</formula>
    </cfRule>
  </conditionalFormatting>
  <conditionalFormatting sqref="M25">
    <cfRule type="cellIs" dxfId="3749" priority="165" operator="lessThan">
      <formula>0</formula>
    </cfRule>
  </conditionalFormatting>
  <conditionalFormatting sqref="J26">
    <cfRule type="cellIs" dxfId="3748" priority="164" operator="lessThan">
      <formula>0</formula>
    </cfRule>
  </conditionalFormatting>
  <conditionalFormatting sqref="N26">
    <cfRule type="cellIs" dxfId="3747" priority="163" operator="lessThan">
      <formula>0</formula>
    </cfRule>
  </conditionalFormatting>
  <conditionalFormatting sqref="P26">
    <cfRule type="cellIs" dxfId="3746" priority="162" operator="lessThan">
      <formula>0</formula>
    </cfRule>
  </conditionalFormatting>
  <conditionalFormatting sqref="L26">
    <cfRule type="cellIs" dxfId="3745" priority="161" operator="lessThan">
      <formula>0</formula>
    </cfRule>
  </conditionalFormatting>
  <conditionalFormatting sqref="K26">
    <cfRule type="cellIs" dxfId="3744" priority="160" operator="lessThan">
      <formula>0</formula>
    </cfRule>
  </conditionalFormatting>
  <conditionalFormatting sqref="I26">
    <cfRule type="cellIs" dxfId="3743" priority="159" operator="lessThan">
      <formula>0</formula>
    </cfRule>
  </conditionalFormatting>
  <conditionalFormatting sqref="O26">
    <cfRule type="cellIs" dxfId="3742" priority="158" operator="lessThan">
      <formula>0</formula>
    </cfRule>
  </conditionalFormatting>
  <conditionalFormatting sqref="M26">
    <cfRule type="cellIs" dxfId="3741" priority="157" operator="lessThan">
      <formula>0</formula>
    </cfRule>
  </conditionalFormatting>
  <conditionalFormatting sqref="M26">
    <cfRule type="cellIs" dxfId="3740" priority="156" operator="lessThan">
      <formula>0</formula>
    </cfRule>
  </conditionalFormatting>
  <conditionalFormatting sqref="EN26:EO26">
    <cfRule type="cellIs" dxfId="3739" priority="155" operator="lessThan">
      <formula>0</formula>
    </cfRule>
  </conditionalFormatting>
  <conditionalFormatting sqref="EP26">
    <cfRule type="cellIs" dxfId="3738" priority="154" operator="lessThan">
      <formula>0</formula>
    </cfRule>
  </conditionalFormatting>
  <conditionalFormatting sqref="J30">
    <cfRule type="cellIs" dxfId="3737" priority="153" operator="lessThan">
      <formula>0</formula>
    </cfRule>
  </conditionalFormatting>
  <conditionalFormatting sqref="N30">
    <cfRule type="cellIs" dxfId="3736" priority="152" operator="lessThan">
      <formula>0</formula>
    </cfRule>
  </conditionalFormatting>
  <conditionalFormatting sqref="P30">
    <cfRule type="cellIs" dxfId="3735" priority="151" operator="lessThan">
      <formula>0</formula>
    </cfRule>
  </conditionalFormatting>
  <conditionalFormatting sqref="L30">
    <cfRule type="cellIs" dxfId="3734" priority="150" operator="lessThan">
      <formula>0</formula>
    </cfRule>
  </conditionalFormatting>
  <conditionalFormatting sqref="K30">
    <cfRule type="cellIs" dxfId="3733" priority="149" operator="lessThan">
      <formula>0</formula>
    </cfRule>
  </conditionalFormatting>
  <conditionalFormatting sqref="O30">
    <cfRule type="cellIs" dxfId="3732" priority="148" operator="lessThan">
      <formula>0</formula>
    </cfRule>
  </conditionalFormatting>
  <conditionalFormatting sqref="M30">
    <cfRule type="cellIs" dxfId="3731" priority="147" operator="lessThan">
      <formula>0</formula>
    </cfRule>
  </conditionalFormatting>
  <conditionalFormatting sqref="M30">
    <cfRule type="cellIs" dxfId="3730" priority="146" operator="lessThan">
      <formula>0</formula>
    </cfRule>
  </conditionalFormatting>
  <conditionalFormatting sqref="I30">
    <cfRule type="cellIs" dxfId="3729" priority="145" operator="lessThan">
      <formula>0</formula>
    </cfRule>
  </conditionalFormatting>
  <conditionalFormatting sqref="J31">
    <cfRule type="cellIs" dxfId="3728" priority="144" operator="lessThan">
      <formula>0</formula>
    </cfRule>
  </conditionalFormatting>
  <conditionalFormatting sqref="N31">
    <cfRule type="cellIs" dxfId="3727" priority="143" operator="lessThan">
      <formula>0</formula>
    </cfRule>
  </conditionalFormatting>
  <conditionalFormatting sqref="P31">
    <cfRule type="cellIs" dxfId="3726" priority="142" operator="lessThan">
      <formula>0</formula>
    </cfRule>
  </conditionalFormatting>
  <conditionalFormatting sqref="L31">
    <cfRule type="cellIs" dxfId="3725" priority="141" operator="lessThan">
      <formula>0</formula>
    </cfRule>
  </conditionalFormatting>
  <conditionalFormatting sqref="K31">
    <cfRule type="cellIs" dxfId="3724" priority="140" operator="lessThan">
      <formula>0</formula>
    </cfRule>
  </conditionalFormatting>
  <conditionalFormatting sqref="O31">
    <cfRule type="cellIs" dxfId="3723" priority="139" operator="lessThan">
      <formula>0</formula>
    </cfRule>
  </conditionalFormatting>
  <conditionalFormatting sqref="M31">
    <cfRule type="cellIs" dxfId="3722" priority="138" operator="lessThan">
      <formula>0</formula>
    </cfRule>
  </conditionalFormatting>
  <conditionalFormatting sqref="M31">
    <cfRule type="cellIs" dxfId="3721" priority="137" operator="lessThan">
      <formula>0</formula>
    </cfRule>
  </conditionalFormatting>
  <conditionalFormatting sqref="I31">
    <cfRule type="cellIs" dxfId="3720" priority="136" operator="lessThan">
      <formula>0</formula>
    </cfRule>
  </conditionalFormatting>
  <conditionalFormatting sqref="F3:H3 ET3:XFD3 EG3 DZ3 AB3 AH3 BF3 BS3:BT3 AR3 Y3 U3 EN3:EO3">
    <cfRule type="cellIs" dxfId="3719" priority="135" operator="lessThan">
      <formula>0</formula>
    </cfRule>
  </conditionalFormatting>
  <conditionalFormatting sqref="W3">
    <cfRule type="cellIs" dxfId="3718" priority="134" operator="lessThan">
      <formula>0</formula>
    </cfRule>
  </conditionalFormatting>
  <conditionalFormatting sqref="AD3">
    <cfRule type="cellIs" dxfId="3717" priority="132" operator="lessThan">
      <formula>0</formula>
    </cfRule>
  </conditionalFormatting>
  <conditionalFormatting sqref="AY3 BA3 EF3 EH3 EJ3 AU3 CJ3 AW3">
    <cfRule type="cellIs" dxfId="3716" priority="131" operator="lessThan">
      <formula>0</formula>
    </cfRule>
  </conditionalFormatting>
  <conditionalFormatting sqref="AA3">
    <cfRule type="cellIs" dxfId="3715" priority="130" operator="lessThan">
      <formula>0</formula>
    </cfRule>
  </conditionalFormatting>
  <conditionalFormatting sqref="B3 CH3 EQ3:ES3 CQ3 CO3 CM3 CU3 AM3 AS3">
    <cfRule type="cellIs" dxfId="3714" priority="133" operator="lessThan">
      <formula>0</formula>
    </cfRule>
  </conditionalFormatting>
  <conditionalFormatting sqref="C3 E3 CD3:CE3 CG3 CK3 CN3 CR3:CT3">
    <cfRule type="cellIs" dxfId="3713" priority="129" operator="lessThan">
      <formula>0</formula>
    </cfRule>
  </conditionalFormatting>
  <conditionalFormatting sqref="CL3">
    <cfRule type="cellIs" dxfId="3712" priority="128" operator="lessThan">
      <formula>0</formula>
    </cfRule>
  </conditionalFormatting>
  <conditionalFormatting sqref="CI3">
    <cfRule type="cellIs" dxfId="3711" priority="127" operator="lessThan">
      <formula>0</formula>
    </cfRule>
  </conditionalFormatting>
  <conditionalFormatting sqref="EI3">
    <cfRule type="cellIs" dxfId="3710" priority="126" operator="lessThan">
      <formula>0</formula>
    </cfRule>
  </conditionalFormatting>
  <conditionalFormatting sqref="EK3">
    <cfRule type="cellIs" dxfId="3709" priority="125" operator="lessThan">
      <formula>0</formula>
    </cfRule>
  </conditionalFormatting>
  <conditionalFormatting sqref="EM3">
    <cfRule type="cellIs" dxfId="3708" priority="124" operator="lessThan">
      <formula>0</formula>
    </cfRule>
  </conditionalFormatting>
  <conditionalFormatting sqref="CC3">
    <cfRule type="cellIs" dxfId="3707" priority="123" operator="lessThan">
      <formula>0</formula>
    </cfRule>
  </conditionalFormatting>
  <conditionalFormatting sqref="CP3">
    <cfRule type="cellIs" dxfId="3706" priority="122" operator="lessThan">
      <formula>0</formula>
    </cfRule>
  </conditionalFormatting>
  <conditionalFormatting sqref="EL3">
    <cfRule type="cellIs" dxfId="3705" priority="120" operator="lessThan">
      <formula>0</formula>
    </cfRule>
  </conditionalFormatting>
  <conditionalFormatting sqref="EL3">
    <cfRule type="cellIs" dxfId="3704" priority="121" operator="lessThan">
      <formula>0</formula>
    </cfRule>
  </conditionalFormatting>
  <conditionalFormatting sqref="AC3">
    <cfRule type="cellIs" dxfId="3703" priority="119" operator="lessThan">
      <formula>0</formula>
    </cfRule>
  </conditionalFormatting>
  <conditionalFormatting sqref="BC3">
    <cfRule type="cellIs" dxfId="3702" priority="118" operator="lessThan">
      <formula>0</formula>
    </cfRule>
  </conditionalFormatting>
  <conditionalFormatting sqref="BE3 CF3">
    <cfRule type="cellIs" dxfId="3701" priority="117" operator="lessThan">
      <formula>0</formula>
    </cfRule>
  </conditionalFormatting>
  <conditionalFormatting sqref="BG3">
    <cfRule type="cellIs" dxfId="3700" priority="116" operator="lessThan">
      <formula>0</formula>
    </cfRule>
  </conditionalFormatting>
  <conditionalFormatting sqref="D3">
    <cfRule type="cellIs" dxfId="3699" priority="115" operator="lessThan">
      <formula>0</formula>
    </cfRule>
  </conditionalFormatting>
  <conditionalFormatting sqref="EP3">
    <cfRule type="cellIs" dxfId="3698" priority="114" operator="lessThan">
      <formula>0</formula>
    </cfRule>
  </conditionalFormatting>
  <conditionalFormatting sqref="V3">
    <cfRule type="cellIs" dxfId="3697" priority="113" operator="lessThan">
      <formula>0</formula>
    </cfRule>
  </conditionalFormatting>
  <conditionalFormatting sqref="AJ3">
    <cfRule type="cellIs" dxfId="3696" priority="112" operator="lessThan">
      <formula>0</formula>
    </cfRule>
  </conditionalFormatting>
  <conditionalFormatting sqref="AK3">
    <cfRule type="cellIs" dxfId="3695" priority="111" operator="lessThan">
      <formula>0</formula>
    </cfRule>
  </conditionalFormatting>
  <conditionalFormatting sqref="AQ3">
    <cfRule type="cellIs" dxfId="3694" priority="110" operator="lessThan">
      <formula>0</formula>
    </cfRule>
  </conditionalFormatting>
  <conditionalFormatting sqref="DF3">
    <cfRule type="cellIs" dxfId="3693" priority="109" operator="lessThan">
      <formula>0</formula>
    </cfRule>
  </conditionalFormatting>
  <conditionalFormatting sqref="X3">
    <cfRule type="cellIs" dxfId="3692" priority="108" operator="lessThan">
      <formula>0</formula>
    </cfRule>
  </conditionalFormatting>
  <conditionalFormatting sqref="Z3">
    <cfRule type="cellIs" dxfId="3691" priority="107" operator="lessThan">
      <formula>0</formula>
    </cfRule>
  </conditionalFormatting>
  <conditionalFormatting sqref="AF3">
    <cfRule type="cellIs" dxfId="3690" priority="106" operator="lessThan">
      <formula>0</formula>
    </cfRule>
  </conditionalFormatting>
  <conditionalFormatting sqref="AL3">
    <cfRule type="cellIs" dxfId="3689" priority="105" operator="lessThan">
      <formula>0</formula>
    </cfRule>
  </conditionalFormatting>
  <conditionalFormatting sqref="AT3">
    <cfRule type="cellIs" dxfId="3688" priority="104" operator="lessThan">
      <formula>0</formula>
    </cfRule>
  </conditionalFormatting>
  <conditionalFormatting sqref="AV3">
    <cfRule type="cellIs" dxfId="3687" priority="103" operator="lessThan">
      <formula>0</formula>
    </cfRule>
  </conditionalFormatting>
  <conditionalFormatting sqref="AX3">
    <cfRule type="cellIs" dxfId="3686" priority="102" operator="lessThan">
      <formula>0</formula>
    </cfRule>
  </conditionalFormatting>
  <conditionalFormatting sqref="AZ3">
    <cfRule type="cellIs" dxfId="3685" priority="101" operator="lessThan">
      <formula>0</formula>
    </cfRule>
  </conditionalFormatting>
  <conditionalFormatting sqref="BB3">
    <cfRule type="cellIs" dxfId="3684" priority="100" operator="lessThan">
      <formula>0</formula>
    </cfRule>
  </conditionalFormatting>
  <conditionalFormatting sqref="BD3">
    <cfRule type="cellIs" dxfId="3683" priority="99" operator="lessThan">
      <formula>0</formula>
    </cfRule>
  </conditionalFormatting>
  <conditionalFormatting sqref="BH3">
    <cfRule type="cellIs" dxfId="3682" priority="98" operator="lessThan">
      <formula>0</formula>
    </cfRule>
  </conditionalFormatting>
  <conditionalFormatting sqref="BI3">
    <cfRule type="cellIs" dxfId="3681" priority="97" operator="lessThan">
      <formula>0</formula>
    </cfRule>
  </conditionalFormatting>
  <conditionalFormatting sqref="BJ3">
    <cfRule type="cellIs" dxfId="3680" priority="96" operator="lessThan">
      <formula>0</formula>
    </cfRule>
  </conditionalFormatting>
  <conditionalFormatting sqref="BK3">
    <cfRule type="cellIs" dxfId="3679" priority="95" operator="lessThan">
      <formula>0</formula>
    </cfRule>
  </conditionalFormatting>
  <conditionalFormatting sqref="BL3">
    <cfRule type="cellIs" dxfId="3678" priority="94" operator="lessThan">
      <formula>0</formula>
    </cfRule>
  </conditionalFormatting>
  <conditionalFormatting sqref="BM3">
    <cfRule type="cellIs" dxfId="3677" priority="93" operator="lessThan">
      <formula>0</formula>
    </cfRule>
  </conditionalFormatting>
  <conditionalFormatting sqref="BN3">
    <cfRule type="cellIs" dxfId="3676" priority="92" operator="lessThan">
      <formula>0</formula>
    </cfRule>
  </conditionalFormatting>
  <conditionalFormatting sqref="BO3">
    <cfRule type="cellIs" dxfId="3675" priority="91" operator="lessThan">
      <formula>0</formula>
    </cfRule>
  </conditionalFormatting>
  <conditionalFormatting sqref="BP3">
    <cfRule type="cellIs" dxfId="3674" priority="90" operator="lessThan">
      <formula>0</formula>
    </cfRule>
  </conditionalFormatting>
  <conditionalFormatting sqref="BQ3">
    <cfRule type="cellIs" dxfId="3673" priority="89" operator="lessThan">
      <formula>0</formula>
    </cfRule>
  </conditionalFormatting>
  <conditionalFormatting sqref="BR3">
    <cfRule type="cellIs" dxfId="3672" priority="88" operator="lessThan">
      <formula>0</formula>
    </cfRule>
  </conditionalFormatting>
  <conditionalFormatting sqref="BU3">
    <cfRule type="cellIs" dxfId="3671" priority="87" operator="lessThan">
      <formula>0</formula>
    </cfRule>
  </conditionalFormatting>
  <conditionalFormatting sqref="BV3">
    <cfRule type="cellIs" dxfId="3670" priority="86" operator="lessThan">
      <formula>0</formula>
    </cfRule>
  </conditionalFormatting>
  <conditionalFormatting sqref="BW3">
    <cfRule type="cellIs" dxfId="3669" priority="85" operator="lessThan">
      <formula>0</formula>
    </cfRule>
  </conditionalFormatting>
  <conditionalFormatting sqref="BX3">
    <cfRule type="cellIs" dxfId="3668" priority="84" operator="lessThan">
      <formula>0</formula>
    </cfRule>
  </conditionalFormatting>
  <conditionalFormatting sqref="BY3">
    <cfRule type="cellIs" dxfId="3667" priority="83" operator="lessThan">
      <formula>0</formula>
    </cfRule>
  </conditionalFormatting>
  <conditionalFormatting sqref="BZ3">
    <cfRule type="cellIs" dxfId="3666" priority="82" operator="lessThan">
      <formula>0</formula>
    </cfRule>
  </conditionalFormatting>
  <conditionalFormatting sqref="CB3">
    <cfRule type="cellIs" dxfId="3665" priority="81" operator="lessThan">
      <formula>0</formula>
    </cfRule>
  </conditionalFormatting>
  <conditionalFormatting sqref="CV3">
    <cfRule type="cellIs" dxfId="3664" priority="80" operator="lessThan">
      <formula>0</formula>
    </cfRule>
  </conditionalFormatting>
  <conditionalFormatting sqref="CW3">
    <cfRule type="cellIs" dxfId="3663" priority="79" operator="lessThan">
      <formula>0</formula>
    </cfRule>
  </conditionalFormatting>
  <conditionalFormatting sqref="CX3">
    <cfRule type="cellIs" dxfId="3662" priority="78" operator="lessThan">
      <formula>0</formula>
    </cfRule>
  </conditionalFormatting>
  <conditionalFormatting sqref="CZ3">
    <cfRule type="cellIs" dxfId="3661" priority="77" operator="lessThan">
      <formula>0</formula>
    </cfRule>
  </conditionalFormatting>
  <conditionalFormatting sqref="DA3">
    <cfRule type="cellIs" dxfId="3660" priority="76" operator="lessThan">
      <formula>0</formula>
    </cfRule>
  </conditionalFormatting>
  <conditionalFormatting sqref="DB3">
    <cfRule type="cellIs" dxfId="3659" priority="75" operator="lessThan">
      <formula>0</formula>
    </cfRule>
  </conditionalFormatting>
  <conditionalFormatting sqref="DC3">
    <cfRule type="cellIs" dxfId="3658" priority="74" operator="lessThan">
      <formula>0</formula>
    </cfRule>
  </conditionalFormatting>
  <conditionalFormatting sqref="DD3">
    <cfRule type="cellIs" dxfId="3657" priority="73" operator="lessThan">
      <formula>0</formula>
    </cfRule>
  </conditionalFormatting>
  <conditionalFormatting sqref="DE3">
    <cfRule type="cellIs" dxfId="3656" priority="72" operator="lessThan">
      <formula>0</formula>
    </cfRule>
  </conditionalFormatting>
  <conditionalFormatting sqref="DG3">
    <cfRule type="cellIs" dxfId="3655" priority="71" operator="lessThan">
      <formula>0</formula>
    </cfRule>
  </conditionalFormatting>
  <conditionalFormatting sqref="DH3">
    <cfRule type="cellIs" dxfId="3654" priority="70" operator="lessThan">
      <formula>0</formula>
    </cfRule>
  </conditionalFormatting>
  <conditionalFormatting sqref="DI3">
    <cfRule type="cellIs" dxfId="3653" priority="69" operator="lessThan">
      <formula>0</formula>
    </cfRule>
  </conditionalFormatting>
  <conditionalFormatting sqref="DJ3">
    <cfRule type="cellIs" dxfId="3652" priority="68" operator="lessThan">
      <formula>0</formula>
    </cfRule>
  </conditionalFormatting>
  <conditionalFormatting sqref="DN3">
    <cfRule type="cellIs" dxfId="3651" priority="67" operator="lessThan">
      <formula>0</formula>
    </cfRule>
  </conditionalFormatting>
  <conditionalFormatting sqref="DO3">
    <cfRule type="cellIs" dxfId="3650" priority="66" operator="lessThan">
      <formula>0</formula>
    </cfRule>
  </conditionalFormatting>
  <conditionalFormatting sqref="DP3">
    <cfRule type="cellIs" dxfId="3649" priority="65" operator="lessThan">
      <formula>0</formula>
    </cfRule>
  </conditionalFormatting>
  <conditionalFormatting sqref="DK3">
    <cfRule type="cellIs" dxfId="3648" priority="64" operator="lessThan">
      <formula>0</formula>
    </cfRule>
  </conditionalFormatting>
  <conditionalFormatting sqref="DL3">
    <cfRule type="cellIs" dxfId="3647" priority="63" operator="lessThan">
      <formula>0</formula>
    </cfRule>
  </conditionalFormatting>
  <conditionalFormatting sqref="DM3">
    <cfRule type="cellIs" dxfId="3646" priority="62" operator="lessThan">
      <formula>0</formula>
    </cfRule>
  </conditionalFormatting>
  <conditionalFormatting sqref="DQ3">
    <cfRule type="cellIs" dxfId="3645" priority="61" operator="lessThan">
      <formula>0</formula>
    </cfRule>
  </conditionalFormatting>
  <conditionalFormatting sqref="DR3">
    <cfRule type="cellIs" dxfId="3644" priority="60" operator="lessThan">
      <formula>0</formula>
    </cfRule>
  </conditionalFormatting>
  <conditionalFormatting sqref="DS3">
    <cfRule type="cellIs" dxfId="3643" priority="59" operator="lessThan">
      <formula>0</formula>
    </cfRule>
  </conditionalFormatting>
  <conditionalFormatting sqref="DT3">
    <cfRule type="cellIs" dxfId="3642" priority="58" operator="lessThan">
      <formula>0</formula>
    </cfRule>
  </conditionalFormatting>
  <conditionalFormatting sqref="DU3">
    <cfRule type="cellIs" dxfId="3641" priority="57" operator="lessThan">
      <formula>0</formula>
    </cfRule>
  </conditionalFormatting>
  <conditionalFormatting sqref="DV3">
    <cfRule type="cellIs" dxfId="3640" priority="56" operator="lessThan">
      <formula>0</formula>
    </cfRule>
  </conditionalFormatting>
  <conditionalFormatting sqref="DW3">
    <cfRule type="cellIs" dxfId="3639" priority="55" operator="lessThan">
      <formula>0</formula>
    </cfRule>
  </conditionalFormatting>
  <conditionalFormatting sqref="DX3">
    <cfRule type="cellIs" dxfId="3638" priority="54" operator="lessThan">
      <formula>0</formula>
    </cfRule>
  </conditionalFormatting>
  <conditionalFormatting sqref="DY3">
    <cfRule type="cellIs" dxfId="3637" priority="53" operator="lessThan">
      <formula>0</formula>
    </cfRule>
  </conditionalFormatting>
  <conditionalFormatting sqref="EA3">
    <cfRule type="cellIs" dxfId="3636" priority="52" operator="lessThan">
      <formula>0</formula>
    </cfRule>
  </conditionalFormatting>
  <conditionalFormatting sqref="EB3">
    <cfRule type="cellIs" dxfId="3635" priority="51" operator="lessThan">
      <formula>0</formula>
    </cfRule>
  </conditionalFormatting>
  <conditionalFormatting sqref="EC3">
    <cfRule type="cellIs" dxfId="3634" priority="50" operator="lessThan">
      <formula>0</formula>
    </cfRule>
  </conditionalFormatting>
  <conditionalFormatting sqref="ED3">
    <cfRule type="cellIs" dxfId="3633" priority="49" operator="lessThan">
      <formula>0</formula>
    </cfRule>
  </conditionalFormatting>
  <conditionalFormatting sqref="EE3">
    <cfRule type="cellIs" dxfId="3632" priority="48" operator="lessThan">
      <formula>0</formula>
    </cfRule>
  </conditionalFormatting>
  <conditionalFormatting sqref="AE3">
    <cfRule type="cellIs" dxfId="3631" priority="47" operator="lessThan">
      <formula>0</formula>
    </cfRule>
  </conditionalFormatting>
  <conditionalFormatting sqref="AG3 AI3">
    <cfRule type="cellIs" dxfId="3630" priority="46" operator="lessThan">
      <formula>0</formula>
    </cfRule>
  </conditionalFormatting>
  <conditionalFormatting sqref="CA3">
    <cfRule type="cellIs" dxfId="3629" priority="45" operator="lessThan">
      <formula>0</formula>
    </cfRule>
  </conditionalFormatting>
  <conditionalFormatting sqref="CY3">
    <cfRule type="cellIs" dxfId="3628" priority="44" operator="lessThan">
      <formula>0</formula>
    </cfRule>
  </conditionalFormatting>
  <conditionalFormatting sqref="AO3">
    <cfRule type="cellIs" dxfId="3627" priority="43" operator="lessThan">
      <formula>0</formula>
    </cfRule>
  </conditionalFormatting>
  <conditionalFormatting sqref="AN3">
    <cfRule type="cellIs" dxfId="3626" priority="42" operator="lessThan">
      <formula>0</formula>
    </cfRule>
  </conditionalFormatting>
  <conditionalFormatting sqref="AP3">
    <cfRule type="cellIs" dxfId="3625" priority="41" operator="lessThan">
      <formula>0</formula>
    </cfRule>
  </conditionalFormatting>
  <conditionalFormatting sqref="S3">
    <cfRule type="cellIs" dxfId="3624" priority="40" operator="lessThan">
      <formula>0</formula>
    </cfRule>
  </conditionalFormatting>
  <conditionalFormatting sqref="Q3">
    <cfRule type="cellIs" dxfId="3623" priority="39" operator="lessThan">
      <formula>0</formula>
    </cfRule>
  </conditionalFormatting>
  <conditionalFormatting sqref="R3">
    <cfRule type="cellIs" dxfId="3622" priority="38" operator="lessThan">
      <formula>0</formula>
    </cfRule>
  </conditionalFormatting>
  <conditionalFormatting sqref="T3">
    <cfRule type="cellIs" dxfId="3621" priority="37" operator="lessThan">
      <formula>0</formula>
    </cfRule>
  </conditionalFormatting>
  <conditionalFormatting sqref="A3:A34">
    <cfRule type="cellIs" dxfId="3620" priority="36" operator="lessThan">
      <formula>0</formula>
    </cfRule>
  </conditionalFormatting>
  <conditionalFormatting sqref="J3">
    <cfRule type="cellIs" dxfId="3619" priority="35" operator="lessThan">
      <formula>0</formula>
    </cfRule>
  </conditionalFormatting>
  <conditionalFormatting sqref="N3">
    <cfRule type="cellIs" dxfId="3618" priority="34" operator="lessThan">
      <formula>0</formula>
    </cfRule>
  </conditionalFormatting>
  <conditionalFormatting sqref="P3">
    <cfRule type="cellIs" dxfId="3617" priority="33" operator="lessThan">
      <formula>0</formula>
    </cfRule>
  </conditionalFormatting>
  <conditionalFormatting sqref="L3">
    <cfRule type="cellIs" dxfId="3616" priority="32" operator="lessThan">
      <formula>0</formula>
    </cfRule>
  </conditionalFormatting>
  <conditionalFormatting sqref="K3">
    <cfRule type="cellIs" dxfId="3615" priority="31" operator="lessThan">
      <formula>0</formula>
    </cfRule>
  </conditionalFormatting>
  <conditionalFormatting sqref="O3">
    <cfRule type="cellIs" dxfId="3614" priority="30" operator="lessThan">
      <formula>0</formula>
    </cfRule>
  </conditionalFormatting>
  <conditionalFormatting sqref="M3">
    <cfRule type="cellIs" dxfId="3613" priority="29" operator="lessThan">
      <formula>0</formula>
    </cfRule>
  </conditionalFormatting>
  <conditionalFormatting sqref="M3">
    <cfRule type="cellIs" dxfId="3612" priority="28" operator="lessThan">
      <formula>0</formula>
    </cfRule>
  </conditionalFormatting>
  <conditionalFormatting sqref="I3">
    <cfRule type="cellIs" dxfId="3611" priority="27" operator="lessThan">
      <formula>0</formula>
    </cfRule>
  </conditionalFormatting>
  <conditionalFormatting sqref="Y9">
    <cfRule type="cellIs" dxfId="3610" priority="26" operator="lessThan">
      <formula>0</formula>
    </cfRule>
  </conditionalFormatting>
  <conditionalFormatting sqref="J11">
    <cfRule type="cellIs" dxfId="3609" priority="25" operator="lessThan">
      <formula>0</formula>
    </cfRule>
  </conditionalFormatting>
  <conditionalFormatting sqref="N11">
    <cfRule type="cellIs" dxfId="3608" priority="24" operator="lessThan">
      <formula>0</formula>
    </cfRule>
  </conditionalFormatting>
  <conditionalFormatting sqref="P11">
    <cfRule type="cellIs" dxfId="3607" priority="23" operator="lessThan">
      <formula>0</formula>
    </cfRule>
  </conditionalFormatting>
  <conditionalFormatting sqref="L11">
    <cfRule type="cellIs" dxfId="3606" priority="22" operator="lessThan">
      <formula>0</formula>
    </cfRule>
  </conditionalFormatting>
  <conditionalFormatting sqref="K11">
    <cfRule type="cellIs" dxfId="3605" priority="21" operator="lessThan">
      <formula>0</formula>
    </cfRule>
  </conditionalFormatting>
  <conditionalFormatting sqref="O11">
    <cfRule type="cellIs" dxfId="3604" priority="20" operator="lessThan">
      <formula>0</formula>
    </cfRule>
  </conditionalFormatting>
  <conditionalFormatting sqref="M11">
    <cfRule type="cellIs" dxfId="3603" priority="19" operator="lessThan">
      <formula>0</formula>
    </cfRule>
  </conditionalFormatting>
  <conditionalFormatting sqref="J13">
    <cfRule type="cellIs" dxfId="3602" priority="18" operator="lessThan">
      <formula>0</formula>
    </cfRule>
  </conditionalFormatting>
  <conditionalFormatting sqref="N13">
    <cfRule type="cellIs" dxfId="3601" priority="17" operator="lessThan">
      <formula>0</formula>
    </cfRule>
  </conditionalFormatting>
  <conditionalFormatting sqref="P13">
    <cfRule type="cellIs" dxfId="3600" priority="16" operator="lessThan">
      <formula>0</formula>
    </cfRule>
  </conditionalFormatting>
  <conditionalFormatting sqref="L13">
    <cfRule type="cellIs" dxfId="3599" priority="15" operator="lessThan">
      <formula>0</formula>
    </cfRule>
  </conditionalFormatting>
  <conditionalFormatting sqref="K13">
    <cfRule type="cellIs" dxfId="3598" priority="14" operator="lessThan">
      <formula>0</formula>
    </cfRule>
  </conditionalFormatting>
  <conditionalFormatting sqref="O13">
    <cfRule type="cellIs" dxfId="3597" priority="13" operator="lessThan">
      <formula>0</formula>
    </cfRule>
  </conditionalFormatting>
  <conditionalFormatting sqref="M13">
    <cfRule type="cellIs" dxfId="3596" priority="12" operator="lessThan">
      <formula>0</formula>
    </cfRule>
  </conditionalFormatting>
  <conditionalFormatting sqref="M13">
    <cfRule type="cellIs" dxfId="3595" priority="11" operator="lessThan">
      <formula>0</formula>
    </cfRule>
  </conditionalFormatting>
  <conditionalFormatting sqref="I13">
    <cfRule type="cellIs" dxfId="3594" priority="10" operator="lessThan">
      <formula>0</formula>
    </cfRule>
  </conditionalFormatting>
  <conditionalFormatting sqref="J15">
    <cfRule type="cellIs" dxfId="3593" priority="9" operator="lessThan">
      <formula>0</formula>
    </cfRule>
  </conditionalFormatting>
  <conditionalFormatting sqref="N15">
    <cfRule type="cellIs" dxfId="3592" priority="8" operator="lessThan">
      <formula>0</formula>
    </cfRule>
  </conditionalFormatting>
  <conditionalFormatting sqref="P15">
    <cfRule type="cellIs" dxfId="3591" priority="7" operator="lessThan">
      <formula>0</formula>
    </cfRule>
  </conditionalFormatting>
  <conditionalFormatting sqref="L15">
    <cfRule type="cellIs" dxfId="3590" priority="6" operator="lessThan">
      <formula>0</formula>
    </cfRule>
  </conditionalFormatting>
  <conditionalFormatting sqref="K15">
    <cfRule type="cellIs" dxfId="3589" priority="5" operator="lessThan">
      <formula>0</formula>
    </cfRule>
  </conditionalFormatting>
  <conditionalFormatting sqref="O15">
    <cfRule type="cellIs" dxfId="3588" priority="4" operator="lessThan">
      <formula>0</formula>
    </cfRule>
  </conditionalFormatting>
  <conditionalFormatting sqref="M15">
    <cfRule type="cellIs" dxfId="3587" priority="3" operator="lessThan">
      <formula>0</formula>
    </cfRule>
  </conditionalFormatting>
  <conditionalFormatting sqref="M15">
    <cfRule type="cellIs" dxfId="3586" priority="2" operator="lessThan">
      <formula>0</formula>
    </cfRule>
  </conditionalFormatting>
  <conditionalFormatting sqref="I15">
    <cfRule type="cellIs" dxfId="3585"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38"/>
  <sheetViews>
    <sheetView topLeftCell="A4" zoomScale="82" zoomScaleNormal="82" workbookViewId="0">
      <selection activeCell="C19" sqref="C19"/>
    </sheetView>
  </sheetViews>
  <sheetFormatPr defaultColWidth="9.140625" defaultRowHeight="18" customHeight="1"/>
  <cols>
    <col min="1" max="1" width="12.85546875" style="217" customWidth="1"/>
    <col min="2" max="2" width="8" style="217" hidden="1" customWidth="1"/>
    <col min="3" max="3" width="11.5703125" style="217" bestFit="1" customWidth="1"/>
    <col min="4" max="4" width="8" style="217" customWidth="1"/>
    <col min="5" max="6" width="9.140625" style="217"/>
    <col min="7" max="7" width="0" style="217" hidden="1" customWidth="1"/>
    <col min="8" max="8" width="11.5703125" style="217" bestFit="1" customWidth="1"/>
    <col min="9" max="9" width="9.140625" style="217"/>
    <col min="10" max="10" width="8" style="217" bestFit="1" customWidth="1"/>
    <col min="11" max="11" width="8.5703125" style="217" bestFit="1" customWidth="1"/>
    <col min="12" max="12" width="10.42578125" style="217" bestFit="1" customWidth="1"/>
    <col min="13" max="13" width="15" style="217" bestFit="1" customWidth="1"/>
    <col min="14" max="14" width="12.7109375" style="217" customWidth="1"/>
    <col min="15" max="15" width="12.85546875" style="217" bestFit="1" customWidth="1"/>
    <col min="16" max="16384" width="9.140625" style="217"/>
  </cols>
  <sheetData>
    <row r="1" spans="1:17" ht="18" customHeight="1" thickBot="1">
      <c r="A1" s="216" t="s">
        <v>435</v>
      </c>
      <c r="B1" s="216"/>
      <c r="C1" s="216"/>
      <c r="D1" s="216"/>
      <c r="E1" s="216"/>
      <c r="F1" s="216"/>
      <c r="G1" s="216"/>
      <c r="H1" s="216"/>
      <c r="I1" s="216"/>
      <c r="J1" s="216"/>
      <c r="K1" s="216"/>
      <c r="O1" s="218"/>
    </row>
    <row r="2" spans="1:17" ht="18" customHeight="1" thickBot="1">
      <c r="A2" s="219"/>
      <c r="B2" s="834" t="s">
        <v>436</v>
      </c>
      <c r="C2" s="835"/>
      <c r="D2" s="835"/>
      <c r="E2" s="835"/>
      <c r="F2" s="836"/>
      <c r="G2" s="837" t="s">
        <v>437</v>
      </c>
      <c r="H2" s="835"/>
      <c r="I2" s="835"/>
      <c r="J2" s="835"/>
      <c r="K2" s="835"/>
      <c r="L2" s="837" t="s">
        <v>438</v>
      </c>
      <c r="M2" s="838"/>
      <c r="N2" s="838"/>
      <c r="O2" s="839"/>
    </row>
    <row r="3" spans="1:17" ht="18" customHeight="1" thickBot="1">
      <c r="A3" s="220" t="s">
        <v>14</v>
      </c>
      <c r="B3" s="221" t="s">
        <v>439</v>
      </c>
      <c r="C3" s="222" t="s">
        <v>440</v>
      </c>
      <c r="D3" s="222" t="s">
        <v>441</v>
      </c>
      <c r="E3" s="222" t="s">
        <v>442</v>
      </c>
      <c r="F3" s="222" t="s">
        <v>443</v>
      </c>
      <c r="G3" s="222" t="s">
        <v>444</v>
      </c>
      <c r="H3" s="222" t="s">
        <v>440</v>
      </c>
      <c r="I3" s="222" t="s">
        <v>441</v>
      </c>
      <c r="J3" s="222" t="s">
        <v>442</v>
      </c>
      <c r="K3" s="222" t="s">
        <v>443</v>
      </c>
      <c r="L3" s="223" t="s">
        <v>445</v>
      </c>
      <c r="M3" s="224" t="s">
        <v>446</v>
      </c>
      <c r="N3" s="225" t="s">
        <v>447</v>
      </c>
      <c r="O3" s="226" t="s">
        <v>448</v>
      </c>
    </row>
    <row r="4" spans="1:17" ht="18" customHeight="1" thickBot="1">
      <c r="A4" s="227">
        <f>'Current month'!A3</f>
        <v>44773</v>
      </c>
      <c r="B4" s="228"/>
      <c r="C4" s="229">
        <f>'Current month'!I3</f>
        <v>292000</v>
      </c>
      <c r="D4" s="230"/>
      <c r="E4" s="229">
        <f>'Current month'!K3</f>
        <v>803</v>
      </c>
      <c r="F4" s="230"/>
      <c r="G4" s="230"/>
      <c r="H4" s="229">
        <f>'Current month'!M3</f>
        <v>644837</v>
      </c>
      <c r="I4" s="230"/>
      <c r="J4" s="229">
        <f>'Current month'!O3</f>
        <v>1033</v>
      </c>
      <c r="K4" s="230"/>
      <c r="L4" s="231">
        <f>'Current month'!CF3</f>
        <v>152</v>
      </c>
      <c r="M4" s="232">
        <f t="shared" ref="M4:M34" si="0">(IF(L4&lt;=116.4,((116.4*116.4*ACOS((116.4-L4)/116.4))-((116.4-L4)*SQRT(2*116.4*L4-L4*L4)))*669.8,((3.1416*116.4*116.4)-((116.4*116.4*ACOS((116.4-(2*116.4-L4))/116.4))-((116.4-(2*116.4-L4))*SQRT(2*116.4*(2*116.4-L4)-((2*116.4-L4)*(2*116.4-L4))))))*669.8))/1000+N4</f>
        <v>19718.480566335173</v>
      </c>
      <c r="N4" s="233"/>
      <c r="O4" s="234"/>
    </row>
    <row r="5" spans="1:17" ht="18" customHeight="1" thickBot="1">
      <c r="A5" s="227">
        <f>'Current month'!A4</f>
        <v>44774</v>
      </c>
      <c r="B5" s="235">
        <v>43221</v>
      </c>
      <c r="C5" s="229">
        <f>'Current month'!I4</f>
        <v>292000</v>
      </c>
      <c r="D5" s="230">
        <f>C5-C4</f>
        <v>0</v>
      </c>
      <c r="E5" s="229">
        <f>'Current month'!K4</f>
        <v>803</v>
      </c>
      <c r="F5" s="230">
        <f>E5-E4</f>
        <v>0</v>
      </c>
      <c r="G5" s="230"/>
      <c r="H5" s="229">
        <f>'Current month'!M4</f>
        <v>644807</v>
      </c>
      <c r="I5" s="230">
        <f>H5-H4</f>
        <v>-30</v>
      </c>
      <c r="J5" s="229">
        <f>'Current month'!O4</f>
        <v>1033</v>
      </c>
      <c r="K5" s="230">
        <f>J5-J4</f>
        <v>0</v>
      </c>
      <c r="L5" s="231">
        <f>'Current month'!CF4</f>
        <v>152</v>
      </c>
      <c r="M5" s="232">
        <f t="shared" si="0"/>
        <v>19718.480566335173</v>
      </c>
      <c r="N5" s="233"/>
      <c r="O5" s="234">
        <f>M4-M5+N5</f>
        <v>0</v>
      </c>
    </row>
    <row r="6" spans="1:17" ht="18" customHeight="1" thickBot="1">
      <c r="A6" s="227">
        <f>'Current month'!A5</f>
        <v>44775</v>
      </c>
      <c r="B6" s="235">
        <v>43222</v>
      </c>
      <c r="C6" s="229">
        <f>'Current month'!I5</f>
        <v>292000</v>
      </c>
      <c r="D6" s="230">
        <f t="shared" ref="D6:D35" si="1">C6-C5</f>
        <v>0</v>
      </c>
      <c r="E6" s="229">
        <f>'Current month'!K5</f>
        <v>803</v>
      </c>
      <c r="F6" s="230">
        <f t="shared" ref="F6:F35" si="2">E6-E5</f>
        <v>0</v>
      </c>
      <c r="G6" s="230"/>
      <c r="H6" s="229">
        <f>'Current month'!M5</f>
        <v>644837</v>
      </c>
      <c r="I6" s="230">
        <f t="shared" ref="I6:I35" si="3">H6-H5</f>
        <v>30</v>
      </c>
      <c r="J6" s="229">
        <f>'Current month'!O5</f>
        <v>1033</v>
      </c>
      <c r="K6" s="230">
        <f t="shared" ref="K6:K35" si="4">J6-J5</f>
        <v>0</v>
      </c>
      <c r="L6" s="231">
        <f>'Current month'!CF5</f>
        <v>152</v>
      </c>
      <c r="M6" s="232">
        <f t="shared" si="0"/>
        <v>19718.480566335173</v>
      </c>
      <c r="N6" s="233"/>
      <c r="O6" s="234">
        <f t="shared" ref="O6:O35" si="5">M5-M6+N6</f>
        <v>0</v>
      </c>
    </row>
    <row r="7" spans="1:17" ht="18" customHeight="1" thickBot="1">
      <c r="A7" s="227">
        <f>'Current month'!A6</f>
        <v>44776</v>
      </c>
      <c r="B7" s="235">
        <v>43223</v>
      </c>
      <c r="C7" s="229">
        <f>'Current month'!I6</f>
        <v>292000</v>
      </c>
      <c r="D7" s="230">
        <f t="shared" si="1"/>
        <v>0</v>
      </c>
      <c r="E7" s="229">
        <f>'Current month'!K6</f>
        <v>803</v>
      </c>
      <c r="F7" s="230">
        <f t="shared" si="2"/>
        <v>0</v>
      </c>
      <c r="G7" s="230"/>
      <c r="H7" s="229">
        <f>'Current month'!M6</f>
        <v>644837</v>
      </c>
      <c r="I7" s="230">
        <f t="shared" si="3"/>
        <v>0</v>
      </c>
      <c r="J7" s="229">
        <f>'Current month'!O6</f>
        <v>1033</v>
      </c>
      <c r="K7" s="230">
        <f t="shared" si="4"/>
        <v>0</v>
      </c>
      <c r="L7" s="231">
        <f>'Current month'!CF6</f>
        <v>152</v>
      </c>
      <c r="M7" s="232">
        <f t="shared" si="0"/>
        <v>19718.480566335173</v>
      </c>
      <c r="N7" s="233"/>
      <c r="O7" s="234">
        <f t="shared" si="5"/>
        <v>0</v>
      </c>
    </row>
    <row r="8" spans="1:17" ht="18" customHeight="1" thickBot="1">
      <c r="A8" s="227">
        <f>'Current month'!A7</f>
        <v>44777</v>
      </c>
      <c r="B8" s="235">
        <v>43224</v>
      </c>
      <c r="C8" s="229">
        <f>'Current month'!I7</f>
        <v>0</v>
      </c>
      <c r="D8" s="230">
        <f t="shared" si="1"/>
        <v>-292000</v>
      </c>
      <c r="E8" s="229">
        <f>'Current month'!K7</f>
        <v>0</v>
      </c>
      <c r="F8" s="230">
        <f t="shared" si="2"/>
        <v>-803</v>
      </c>
      <c r="G8" s="230"/>
      <c r="H8" s="229">
        <f>'Current month'!M7</f>
        <v>0</v>
      </c>
      <c r="I8" s="230">
        <f t="shared" si="3"/>
        <v>-644837</v>
      </c>
      <c r="J8" s="229">
        <f>'Current month'!O7</f>
        <v>0</v>
      </c>
      <c r="K8" s="230">
        <f t="shared" si="4"/>
        <v>-1033</v>
      </c>
      <c r="L8" s="231">
        <f>'Current month'!CF7</f>
        <v>0</v>
      </c>
      <c r="M8" s="232">
        <f t="shared" si="0"/>
        <v>0</v>
      </c>
      <c r="N8" s="233"/>
      <c r="O8" s="234">
        <f t="shared" si="5"/>
        <v>19718.480566335173</v>
      </c>
    </row>
    <row r="9" spans="1:17" ht="18" customHeight="1" thickBot="1">
      <c r="A9" s="227">
        <f>'Current month'!A8</f>
        <v>44778</v>
      </c>
      <c r="B9" s="235">
        <v>43225</v>
      </c>
      <c r="C9" s="229">
        <f>'Current month'!I8</f>
        <v>0</v>
      </c>
      <c r="D9" s="230">
        <f t="shared" si="1"/>
        <v>0</v>
      </c>
      <c r="E9" s="229">
        <f>'Current month'!K8</f>
        <v>0</v>
      </c>
      <c r="F9" s="230">
        <f t="shared" si="2"/>
        <v>0</v>
      </c>
      <c r="G9" s="230"/>
      <c r="H9" s="229">
        <f>'Current month'!M8</f>
        <v>0</v>
      </c>
      <c r="I9" s="230">
        <f t="shared" si="3"/>
        <v>0</v>
      </c>
      <c r="J9" s="229">
        <f>'Current month'!O8</f>
        <v>0</v>
      </c>
      <c r="K9" s="230">
        <f t="shared" si="4"/>
        <v>0</v>
      </c>
      <c r="L9" s="231">
        <f>'Current month'!CF8</f>
        <v>0</v>
      </c>
      <c r="M9" s="232">
        <f t="shared" si="0"/>
        <v>0</v>
      </c>
      <c r="N9" s="233"/>
      <c r="O9" s="234">
        <f t="shared" si="5"/>
        <v>0</v>
      </c>
    </row>
    <row r="10" spans="1:17" ht="18" customHeight="1" thickBot="1">
      <c r="A10" s="227">
        <f>'Current month'!A9</f>
        <v>44779</v>
      </c>
      <c r="B10" s="235">
        <v>43226</v>
      </c>
      <c r="C10" s="229">
        <f>'Current month'!I9</f>
        <v>0</v>
      </c>
      <c r="D10" s="230">
        <f t="shared" si="1"/>
        <v>0</v>
      </c>
      <c r="E10" s="229">
        <f>'Current month'!K9</f>
        <v>0</v>
      </c>
      <c r="F10" s="230">
        <f t="shared" si="2"/>
        <v>0</v>
      </c>
      <c r="G10" s="230"/>
      <c r="H10" s="229">
        <f>'Current month'!M9</f>
        <v>0</v>
      </c>
      <c r="I10" s="230">
        <f t="shared" si="3"/>
        <v>0</v>
      </c>
      <c r="J10" s="229">
        <f>'Current month'!O9</f>
        <v>0</v>
      </c>
      <c r="K10" s="230">
        <f t="shared" si="4"/>
        <v>0</v>
      </c>
      <c r="L10" s="231">
        <f>'Current month'!CF9</f>
        <v>0</v>
      </c>
      <c r="M10" s="232">
        <f t="shared" si="0"/>
        <v>0</v>
      </c>
      <c r="N10" s="233"/>
      <c r="O10" s="234">
        <f t="shared" si="5"/>
        <v>0</v>
      </c>
    </row>
    <row r="11" spans="1:17" ht="18" customHeight="1" thickBot="1">
      <c r="A11" s="227">
        <f>'Current month'!A10</f>
        <v>44780</v>
      </c>
      <c r="B11" s="235">
        <v>43227</v>
      </c>
      <c r="C11" s="229">
        <f>'Current month'!M10</f>
        <v>0</v>
      </c>
      <c r="D11" s="230">
        <f t="shared" si="1"/>
        <v>0</v>
      </c>
      <c r="E11" s="229">
        <f>'Current month'!K10</f>
        <v>0</v>
      </c>
      <c r="F11" s="230">
        <f t="shared" si="2"/>
        <v>0</v>
      </c>
      <c r="G11" s="230"/>
      <c r="H11" s="229" t="e">
        <f>'Current month'!#REF!</f>
        <v>#REF!</v>
      </c>
      <c r="I11" s="230" t="e">
        <f t="shared" si="3"/>
        <v>#REF!</v>
      </c>
      <c r="J11" s="229">
        <f>'Current month'!O10</f>
        <v>0</v>
      </c>
      <c r="K11" s="230">
        <f t="shared" si="4"/>
        <v>0</v>
      </c>
      <c r="L11" s="231">
        <f>'Current month'!CF10</f>
        <v>0</v>
      </c>
      <c r="M11" s="232">
        <f t="shared" si="0"/>
        <v>0</v>
      </c>
      <c r="N11" s="233"/>
      <c r="O11" s="234">
        <f t="shared" si="5"/>
        <v>0</v>
      </c>
      <c r="Q11" s="217" t="s">
        <v>27</v>
      </c>
    </row>
    <row r="12" spans="1:17" ht="18" customHeight="1" thickBot="1">
      <c r="A12" s="227">
        <f>'Current month'!A11</f>
        <v>44781</v>
      </c>
      <c r="B12" s="235">
        <v>43228</v>
      </c>
      <c r="C12" s="229">
        <f>'Current month'!I11</f>
        <v>0</v>
      </c>
      <c r="D12" s="230">
        <f t="shared" si="1"/>
        <v>0</v>
      </c>
      <c r="E12" s="229">
        <f>'Current month'!K11</f>
        <v>0</v>
      </c>
      <c r="F12" s="230">
        <f t="shared" si="2"/>
        <v>0</v>
      </c>
      <c r="G12" s="230"/>
      <c r="H12" s="229">
        <f>'Current month'!M11</f>
        <v>0</v>
      </c>
      <c r="I12" s="230" t="e">
        <f t="shared" si="3"/>
        <v>#REF!</v>
      </c>
      <c r="J12" s="229">
        <f>'Current month'!O11</f>
        <v>0</v>
      </c>
      <c r="K12" s="230">
        <f t="shared" si="4"/>
        <v>0</v>
      </c>
      <c r="L12" s="231">
        <f>'Current month'!CF11</f>
        <v>0</v>
      </c>
      <c r="M12" s="232">
        <f t="shared" si="0"/>
        <v>0</v>
      </c>
      <c r="N12" s="233"/>
      <c r="O12" s="234">
        <f t="shared" si="5"/>
        <v>0</v>
      </c>
    </row>
    <row r="13" spans="1:17" ht="18" customHeight="1" thickBot="1">
      <c r="A13" s="227">
        <f>'Current month'!A12</f>
        <v>44782</v>
      </c>
      <c r="B13" s="235">
        <v>43229</v>
      </c>
      <c r="C13" s="229">
        <f>'Current month'!I12</f>
        <v>0</v>
      </c>
      <c r="D13" s="230">
        <f t="shared" si="1"/>
        <v>0</v>
      </c>
      <c r="E13" s="229">
        <f>'Current month'!K12</f>
        <v>0</v>
      </c>
      <c r="F13" s="230">
        <f t="shared" si="2"/>
        <v>0</v>
      </c>
      <c r="G13" s="230"/>
      <c r="H13" s="229">
        <f>'Current month'!M12</f>
        <v>0</v>
      </c>
      <c r="I13" s="230">
        <f t="shared" si="3"/>
        <v>0</v>
      </c>
      <c r="J13" s="229">
        <f>'Current month'!O13</f>
        <v>0</v>
      </c>
      <c r="K13" s="230">
        <f t="shared" si="4"/>
        <v>0</v>
      </c>
      <c r="L13" s="231">
        <f>'Current month'!CF12</f>
        <v>0</v>
      </c>
      <c r="M13" s="232">
        <f t="shared" si="0"/>
        <v>0</v>
      </c>
      <c r="N13" s="233"/>
      <c r="O13" s="234">
        <f t="shared" si="5"/>
        <v>0</v>
      </c>
    </row>
    <row r="14" spans="1:17" ht="18" customHeight="1" thickBot="1">
      <c r="A14" s="227">
        <f>'Current month'!A13</f>
        <v>44783</v>
      </c>
      <c r="B14" s="235">
        <v>43230</v>
      </c>
      <c r="C14" s="229">
        <f>'Current month'!I13</f>
        <v>0</v>
      </c>
      <c r="D14" s="230">
        <f t="shared" si="1"/>
        <v>0</v>
      </c>
      <c r="E14" s="229">
        <f>'Current month'!K13</f>
        <v>0</v>
      </c>
      <c r="F14" s="230">
        <f t="shared" si="2"/>
        <v>0</v>
      </c>
      <c r="G14" s="230"/>
      <c r="H14" s="229">
        <f>'Current month'!M13</f>
        <v>0</v>
      </c>
      <c r="I14" s="230">
        <f t="shared" si="3"/>
        <v>0</v>
      </c>
      <c r="J14" s="229" t="e">
        <f>'Current month'!#REF!</f>
        <v>#REF!</v>
      </c>
      <c r="K14" s="230" t="e">
        <f t="shared" si="4"/>
        <v>#REF!</v>
      </c>
      <c r="L14" s="231">
        <f>'Current month'!CF13</f>
        <v>0</v>
      </c>
      <c r="M14" s="232">
        <f t="shared" si="0"/>
        <v>0</v>
      </c>
      <c r="N14" s="233"/>
      <c r="O14" s="234">
        <f t="shared" si="5"/>
        <v>0</v>
      </c>
      <c r="Q14" s="217" t="s">
        <v>449</v>
      </c>
    </row>
    <row r="15" spans="1:17" ht="18" customHeight="1" thickBot="1">
      <c r="A15" s="227">
        <f>'Current month'!A14</f>
        <v>44784</v>
      </c>
      <c r="B15" s="235">
        <v>43231</v>
      </c>
      <c r="C15" s="229">
        <f>'Current month'!I14</f>
        <v>0</v>
      </c>
      <c r="D15" s="230">
        <f t="shared" si="1"/>
        <v>0</v>
      </c>
      <c r="E15" s="229">
        <f>'Current month'!K14</f>
        <v>0</v>
      </c>
      <c r="F15" s="230">
        <f t="shared" si="2"/>
        <v>0</v>
      </c>
      <c r="G15" s="230"/>
      <c r="H15" s="229">
        <f>'Current month'!M14</f>
        <v>0</v>
      </c>
      <c r="I15" s="230">
        <f t="shared" si="3"/>
        <v>0</v>
      </c>
      <c r="J15" s="229">
        <f>'Current month'!O14</f>
        <v>0</v>
      </c>
      <c r="K15" s="230" t="e">
        <f t="shared" si="4"/>
        <v>#REF!</v>
      </c>
      <c r="L15" s="231">
        <f>'Current month'!CF14</f>
        <v>0</v>
      </c>
      <c r="M15" s="232">
        <f t="shared" si="0"/>
        <v>0</v>
      </c>
      <c r="N15" s="233"/>
      <c r="O15" s="234">
        <f t="shared" si="5"/>
        <v>0</v>
      </c>
    </row>
    <row r="16" spans="1:17" ht="18" customHeight="1" thickBot="1">
      <c r="A16" s="227">
        <f>'Current month'!A15</f>
        <v>44785</v>
      </c>
      <c r="B16" s="235">
        <v>43232</v>
      </c>
      <c r="C16" s="229">
        <f>'Current month'!I15</f>
        <v>0</v>
      </c>
      <c r="D16" s="230">
        <f t="shared" si="1"/>
        <v>0</v>
      </c>
      <c r="E16" s="229">
        <f>'Current month'!K15</f>
        <v>0</v>
      </c>
      <c r="F16" s="230">
        <f t="shared" si="2"/>
        <v>0</v>
      </c>
      <c r="G16" s="230"/>
      <c r="H16" s="229">
        <f>'Current month'!M15</f>
        <v>0</v>
      </c>
      <c r="I16" s="230">
        <f t="shared" si="3"/>
        <v>0</v>
      </c>
      <c r="J16" s="229">
        <f>'Current month'!O15</f>
        <v>0</v>
      </c>
      <c r="K16" s="230">
        <f t="shared" si="4"/>
        <v>0</v>
      </c>
      <c r="L16" s="231">
        <f>'Current month'!CF15</f>
        <v>0</v>
      </c>
      <c r="M16" s="232">
        <f t="shared" si="0"/>
        <v>0</v>
      </c>
      <c r="N16" s="233"/>
      <c r="O16" s="234">
        <f t="shared" si="5"/>
        <v>0</v>
      </c>
    </row>
    <row r="17" spans="1:15" ht="18" customHeight="1" thickBot="1">
      <c r="A17" s="227">
        <f>'Current month'!A16</f>
        <v>44786</v>
      </c>
      <c r="B17" s="235">
        <v>43233</v>
      </c>
      <c r="C17" s="229">
        <f>'Current month'!I16</f>
        <v>0</v>
      </c>
      <c r="D17" s="230">
        <f t="shared" si="1"/>
        <v>0</v>
      </c>
      <c r="E17" s="229">
        <f>'Current month'!K16</f>
        <v>0</v>
      </c>
      <c r="F17" s="230">
        <f t="shared" si="2"/>
        <v>0</v>
      </c>
      <c r="G17" s="230"/>
      <c r="H17" s="229">
        <f>'Current month'!M16</f>
        <v>0</v>
      </c>
      <c r="I17" s="230">
        <f t="shared" si="3"/>
        <v>0</v>
      </c>
      <c r="J17" s="229">
        <f>'Current month'!O16</f>
        <v>0</v>
      </c>
      <c r="K17" s="230">
        <f t="shared" si="4"/>
        <v>0</v>
      </c>
      <c r="L17" s="231">
        <f>'Current month'!CF16</f>
        <v>0</v>
      </c>
      <c r="M17" s="232">
        <f t="shared" si="0"/>
        <v>0</v>
      </c>
      <c r="N17" s="233"/>
      <c r="O17" s="234">
        <f t="shared" si="5"/>
        <v>0</v>
      </c>
    </row>
    <row r="18" spans="1:15" ht="18" customHeight="1" thickBot="1">
      <c r="A18" s="227">
        <f>'Current month'!A17</f>
        <v>44787</v>
      </c>
      <c r="B18" s="235">
        <v>43234</v>
      </c>
      <c r="C18" s="229">
        <f>'Current month'!I17</f>
        <v>0</v>
      </c>
      <c r="D18" s="230">
        <f t="shared" si="1"/>
        <v>0</v>
      </c>
      <c r="E18" s="229">
        <f>'Current month'!K17</f>
        <v>0</v>
      </c>
      <c r="F18" s="230">
        <f t="shared" si="2"/>
        <v>0</v>
      </c>
      <c r="G18" s="230"/>
      <c r="H18" s="229">
        <f>'Current month'!M17</f>
        <v>0</v>
      </c>
      <c r="I18" s="230">
        <f t="shared" si="3"/>
        <v>0</v>
      </c>
      <c r="J18" s="229">
        <f>'Current month'!O17</f>
        <v>0</v>
      </c>
      <c r="K18" s="230">
        <f t="shared" si="4"/>
        <v>0</v>
      </c>
      <c r="L18" s="231">
        <f>'Current month'!CF17</f>
        <v>0</v>
      </c>
      <c r="M18" s="232">
        <f t="shared" si="0"/>
        <v>0</v>
      </c>
      <c r="N18" s="233"/>
      <c r="O18" s="234">
        <f t="shared" si="5"/>
        <v>0</v>
      </c>
    </row>
    <row r="19" spans="1:15" ht="18" customHeight="1" thickBot="1">
      <c r="A19" s="227">
        <f>'Current month'!A18</f>
        <v>44788</v>
      </c>
      <c r="B19" s="235">
        <v>43235</v>
      </c>
      <c r="C19" s="229">
        <f>'Current month'!I18</f>
        <v>0</v>
      </c>
      <c r="D19" s="230">
        <f t="shared" si="1"/>
        <v>0</v>
      </c>
      <c r="E19" s="229">
        <f>'Current month'!K18</f>
        <v>0</v>
      </c>
      <c r="F19" s="230">
        <f t="shared" si="2"/>
        <v>0</v>
      </c>
      <c r="G19" s="230"/>
      <c r="H19" s="229">
        <f>'Current month'!M18</f>
        <v>0</v>
      </c>
      <c r="I19" s="230">
        <f t="shared" si="3"/>
        <v>0</v>
      </c>
      <c r="J19" s="229">
        <f>'Current month'!O18</f>
        <v>0</v>
      </c>
      <c r="K19" s="230">
        <f t="shared" si="4"/>
        <v>0</v>
      </c>
      <c r="L19" s="231">
        <f>'Current month'!CF18</f>
        <v>0</v>
      </c>
      <c r="M19" s="232">
        <f t="shared" si="0"/>
        <v>0</v>
      </c>
      <c r="N19" s="233"/>
      <c r="O19" s="234">
        <f t="shared" si="5"/>
        <v>0</v>
      </c>
    </row>
    <row r="20" spans="1:15" ht="18" customHeight="1" thickBot="1">
      <c r="A20" s="227">
        <f>'Current month'!A19</f>
        <v>44789</v>
      </c>
      <c r="B20" s="235">
        <v>43236</v>
      </c>
      <c r="C20" s="229">
        <f>'Current month'!I19</f>
        <v>0</v>
      </c>
      <c r="D20" s="230">
        <f t="shared" si="1"/>
        <v>0</v>
      </c>
      <c r="E20" s="229">
        <f>'Current month'!K19</f>
        <v>0</v>
      </c>
      <c r="F20" s="230">
        <f t="shared" si="2"/>
        <v>0</v>
      </c>
      <c r="G20" s="230"/>
      <c r="H20" s="229">
        <f>'Current month'!M19</f>
        <v>0</v>
      </c>
      <c r="I20" s="230">
        <f t="shared" si="3"/>
        <v>0</v>
      </c>
      <c r="J20" s="229">
        <f>'Current month'!O20</f>
        <v>0</v>
      </c>
      <c r="K20" s="230">
        <f t="shared" si="4"/>
        <v>0</v>
      </c>
      <c r="L20" s="231">
        <f>'Current month'!CF19</f>
        <v>0</v>
      </c>
      <c r="M20" s="232">
        <f t="shared" si="0"/>
        <v>0</v>
      </c>
      <c r="N20" s="233"/>
      <c r="O20" s="234">
        <f t="shared" si="5"/>
        <v>0</v>
      </c>
    </row>
    <row r="21" spans="1:15" ht="18" customHeight="1" thickBot="1">
      <c r="A21" s="227">
        <f>'Current month'!A20</f>
        <v>44790</v>
      </c>
      <c r="B21" s="235">
        <v>43237</v>
      </c>
      <c r="C21" s="229">
        <f>'Current month'!I20</f>
        <v>0</v>
      </c>
      <c r="D21" s="230">
        <f t="shared" si="1"/>
        <v>0</v>
      </c>
      <c r="E21" s="229">
        <f>'Current month'!K20</f>
        <v>0</v>
      </c>
      <c r="F21" s="230">
        <f t="shared" si="2"/>
        <v>0</v>
      </c>
      <c r="G21" s="230"/>
      <c r="H21" s="229">
        <f>'Current month'!M20</f>
        <v>0</v>
      </c>
      <c r="I21" s="230">
        <f t="shared" si="3"/>
        <v>0</v>
      </c>
      <c r="J21" s="229" t="e">
        <f>'Current month'!#REF!</f>
        <v>#REF!</v>
      </c>
      <c r="K21" s="230" t="e">
        <f t="shared" si="4"/>
        <v>#REF!</v>
      </c>
      <c r="L21" s="231">
        <f>'Current month'!CF20</f>
        <v>0</v>
      </c>
      <c r="M21" s="232">
        <f t="shared" si="0"/>
        <v>0</v>
      </c>
      <c r="N21" s="233"/>
      <c r="O21" s="234">
        <f t="shared" si="5"/>
        <v>0</v>
      </c>
    </row>
    <row r="22" spans="1:15" ht="18" customHeight="1" thickBot="1">
      <c r="A22" s="227">
        <f>'Current month'!A21</f>
        <v>44791</v>
      </c>
      <c r="B22" s="235">
        <v>43238</v>
      </c>
      <c r="C22" s="229">
        <f>'Current month'!I21</f>
        <v>0</v>
      </c>
      <c r="D22" s="230">
        <f t="shared" si="1"/>
        <v>0</v>
      </c>
      <c r="E22" s="229">
        <f>'Current month'!K21</f>
        <v>0</v>
      </c>
      <c r="F22" s="230">
        <f t="shared" si="2"/>
        <v>0</v>
      </c>
      <c r="G22" s="230"/>
      <c r="H22" s="229">
        <f>'Current month'!M21</f>
        <v>0</v>
      </c>
      <c r="I22" s="230">
        <f t="shared" si="3"/>
        <v>0</v>
      </c>
      <c r="J22" s="229">
        <f>'Current month'!O21</f>
        <v>0</v>
      </c>
      <c r="K22" s="230" t="e">
        <f t="shared" si="4"/>
        <v>#REF!</v>
      </c>
      <c r="L22" s="231">
        <f>'Current month'!CF21</f>
        <v>0</v>
      </c>
      <c r="M22" s="232">
        <f t="shared" si="0"/>
        <v>0</v>
      </c>
      <c r="N22" s="233"/>
      <c r="O22" s="234">
        <f t="shared" si="5"/>
        <v>0</v>
      </c>
    </row>
    <row r="23" spans="1:15" ht="18" customHeight="1" thickBot="1">
      <c r="A23" s="227">
        <f>'Current month'!A22</f>
        <v>44792</v>
      </c>
      <c r="B23" s="235">
        <v>43239</v>
      </c>
      <c r="C23" s="229">
        <f>'Current month'!I22</f>
        <v>0</v>
      </c>
      <c r="D23" s="230">
        <f t="shared" si="1"/>
        <v>0</v>
      </c>
      <c r="E23" s="229">
        <f>'Current month'!K22</f>
        <v>0</v>
      </c>
      <c r="F23" s="230">
        <f t="shared" si="2"/>
        <v>0</v>
      </c>
      <c r="G23" s="230"/>
      <c r="H23" s="229">
        <f>'Current month'!M22</f>
        <v>0</v>
      </c>
      <c r="I23" s="230">
        <f t="shared" si="3"/>
        <v>0</v>
      </c>
      <c r="J23" s="229">
        <f>'Current month'!O22</f>
        <v>0</v>
      </c>
      <c r="K23" s="230">
        <f t="shared" si="4"/>
        <v>0</v>
      </c>
      <c r="L23" s="231">
        <f>'Current month'!CF22</f>
        <v>0</v>
      </c>
      <c r="M23" s="232">
        <f>(IF(L23&lt;=116.4,((116.4*116.4*ACOS((116.4-L23)/116.4))-((116.4-L23)*SQRT(2*116.4*L23-L23*L23)))*669.8,((3.1416*116.4*116.4)-((116.4*116.4*ACOS((116.4-(2*116.4-L23))/116.4))-((116.4-(2*116.4-L23))*SQRT(2*116.4*(2*116.4-L23)-((2*116.4-L23)*(2*116.4-L23))))))*669.8))/1000+N23</f>
        <v>0</v>
      </c>
      <c r="N23" s="233"/>
      <c r="O23" s="234">
        <f t="shared" si="5"/>
        <v>0</v>
      </c>
    </row>
    <row r="24" spans="1:15" ht="18" customHeight="1" thickBot="1">
      <c r="A24" s="227">
        <f>'Current month'!A23</f>
        <v>44793</v>
      </c>
      <c r="B24" s="235">
        <v>43240</v>
      </c>
      <c r="C24" s="229">
        <f>'Current month'!I23</f>
        <v>0</v>
      </c>
      <c r="D24" s="230">
        <f t="shared" si="1"/>
        <v>0</v>
      </c>
      <c r="E24" s="229">
        <f>'Current month'!K23</f>
        <v>0</v>
      </c>
      <c r="F24" s="230">
        <f t="shared" si="2"/>
        <v>0</v>
      </c>
      <c r="G24" s="230"/>
      <c r="H24" s="229">
        <f>'Current month'!M23</f>
        <v>0</v>
      </c>
      <c r="I24" s="230">
        <f t="shared" si="3"/>
        <v>0</v>
      </c>
      <c r="J24" s="229">
        <f>'Current month'!O23</f>
        <v>0</v>
      </c>
      <c r="K24" s="230">
        <f t="shared" si="4"/>
        <v>0</v>
      </c>
      <c r="L24" s="231">
        <f>'Current month'!CF23</f>
        <v>0</v>
      </c>
      <c r="M24" s="232">
        <f>(IF(L24&lt;=116.4,((116.4*116.4*ACOS((116.4-L24)/116.4))-((116.4-L24)*SQRT(2*116.4*L24-L24*L24)))*669.8,((3.1416*116.4*116.4)-((116.4*116.4*ACOS((116.4-(2*116.4-L24))/116.4))-((116.4-(2*116.4-L24))*SQRT(2*116.4*(2*116.4-L24)-((2*116.4-L24)*(2*116.4-L24))))))*669.8))/1000+N24</f>
        <v>0</v>
      </c>
      <c r="N24" s="233"/>
      <c r="O24" s="234">
        <f t="shared" si="5"/>
        <v>0</v>
      </c>
    </row>
    <row r="25" spans="1:15" ht="18" customHeight="1" thickBot="1">
      <c r="A25" s="227">
        <f>'Current month'!A24</f>
        <v>44794</v>
      </c>
      <c r="B25" s="235">
        <v>43241</v>
      </c>
      <c r="C25" s="229">
        <f>'Current month'!I24</f>
        <v>0</v>
      </c>
      <c r="D25" s="230">
        <f t="shared" si="1"/>
        <v>0</v>
      </c>
      <c r="E25" s="229">
        <f>'Current month'!K25</f>
        <v>0</v>
      </c>
      <c r="F25" s="230">
        <f t="shared" si="2"/>
        <v>0</v>
      </c>
      <c r="G25" s="230"/>
      <c r="H25" s="229">
        <f>'Current month'!M24</f>
        <v>0</v>
      </c>
      <c r="I25" s="230">
        <f t="shared" si="3"/>
        <v>0</v>
      </c>
      <c r="J25" s="229">
        <f>'Current month'!O24</f>
        <v>0</v>
      </c>
      <c r="K25" s="230">
        <f t="shared" si="4"/>
        <v>0</v>
      </c>
      <c r="L25" s="231">
        <f>'Current month'!CF24</f>
        <v>0</v>
      </c>
      <c r="M25" s="232">
        <f t="shared" si="0"/>
        <v>0</v>
      </c>
      <c r="N25" s="233"/>
      <c r="O25" s="234">
        <f t="shared" si="5"/>
        <v>0</v>
      </c>
    </row>
    <row r="26" spans="1:15" ht="18" customHeight="1" thickBot="1">
      <c r="A26" s="227">
        <f>'Current month'!A25</f>
        <v>44795</v>
      </c>
      <c r="B26" s="235">
        <v>43242</v>
      </c>
      <c r="C26" s="229">
        <f>'Current month'!I25</f>
        <v>0</v>
      </c>
      <c r="D26" s="230">
        <f t="shared" si="1"/>
        <v>0</v>
      </c>
      <c r="E26" s="229" t="e">
        <f>'Current month'!#REF!</f>
        <v>#REF!</v>
      </c>
      <c r="F26" s="230" t="e">
        <f t="shared" si="2"/>
        <v>#REF!</v>
      </c>
      <c r="G26" s="230"/>
      <c r="H26" s="229">
        <f>'Current month'!M25</f>
        <v>0</v>
      </c>
      <c r="I26" s="230">
        <f t="shared" si="3"/>
        <v>0</v>
      </c>
      <c r="J26" s="229">
        <f>'Current month'!O25</f>
        <v>0</v>
      </c>
      <c r="K26" s="230">
        <f t="shared" si="4"/>
        <v>0</v>
      </c>
      <c r="L26" s="231">
        <f>'Current month'!CF25</f>
        <v>0</v>
      </c>
      <c r="M26" s="232">
        <f t="shared" si="0"/>
        <v>0</v>
      </c>
      <c r="N26" s="233"/>
      <c r="O26" s="234">
        <f t="shared" si="5"/>
        <v>0</v>
      </c>
    </row>
    <row r="27" spans="1:15" ht="18" customHeight="1" thickBot="1">
      <c r="A27" s="227">
        <f>'Current month'!A26</f>
        <v>44796</v>
      </c>
      <c r="B27" s="235">
        <v>43243</v>
      </c>
      <c r="C27" s="229">
        <f>'Current month'!I26</f>
        <v>0</v>
      </c>
      <c r="D27" s="230">
        <f t="shared" si="1"/>
        <v>0</v>
      </c>
      <c r="E27" s="229">
        <f>'Current month'!K26</f>
        <v>0</v>
      </c>
      <c r="F27" s="230" t="e">
        <f t="shared" si="2"/>
        <v>#REF!</v>
      </c>
      <c r="G27" s="230"/>
      <c r="H27" s="229">
        <f>'Current month'!M26</f>
        <v>0</v>
      </c>
      <c r="I27" s="230">
        <f t="shared" si="3"/>
        <v>0</v>
      </c>
      <c r="J27" s="229">
        <f>'Current month'!O26</f>
        <v>0</v>
      </c>
      <c r="K27" s="230">
        <f t="shared" si="4"/>
        <v>0</v>
      </c>
      <c r="L27" s="231">
        <f>'Current month'!CF26</f>
        <v>0</v>
      </c>
      <c r="M27" s="232">
        <f t="shared" si="0"/>
        <v>0</v>
      </c>
      <c r="N27" s="233"/>
      <c r="O27" s="234">
        <f t="shared" si="5"/>
        <v>0</v>
      </c>
    </row>
    <row r="28" spans="1:15" ht="18" customHeight="1" thickBot="1">
      <c r="A28" s="227">
        <f>'Current month'!A27</f>
        <v>44797</v>
      </c>
      <c r="B28" s="235">
        <v>43244</v>
      </c>
      <c r="C28" s="229">
        <f>'Current month'!I27</f>
        <v>0</v>
      </c>
      <c r="D28" s="230">
        <f t="shared" si="1"/>
        <v>0</v>
      </c>
      <c r="E28" s="229">
        <f>'Current month'!K28</f>
        <v>0</v>
      </c>
      <c r="F28" s="230">
        <f t="shared" si="2"/>
        <v>0</v>
      </c>
      <c r="G28" s="230"/>
      <c r="H28" s="229">
        <f>'Current month'!M27</f>
        <v>0</v>
      </c>
      <c r="I28" s="230">
        <f t="shared" si="3"/>
        <v>0</v>
      </c>
      <c r="J28" s="229">
        <f>'Current month'!O27</f>
        <v>0</v>
      </c>
      <c r="K28" s="230">
        <f t="shared" si="4"/>
        <v>0</v>
      </c>
      <c r="L28" s="231">
        <f>'Current month'!CF27</f>
        <v>0</v>
      </c>
      <c r="M28" s="232">
        <f t="shared" si="0"/>
        <v>0</v>
      </c>
      <c r="N28" s="233"/>
      <c r="O28" s="234">
        <f t="shared" si="5"/>
        <v>0</v>
      </c>
    </row>
    <row r="29" spans="1:15" ht="18" customHeight="1" thickBot="1">
      <c r="A29" s="227">
        <f>'Current month'!A28</f>
        <v>44798</v>
      </c>
      <c r="B29" s="235">
        <v>43245</v>
      </c>
      <c r="C29" s="229">
        <f>'Current month'!I28</f>
        <v>0</v>
      </c>
      <c r="D29" s="230">
        <f t="shared" si="1"/>
        <v>0</v>
      </c>
      <c r="E29" s="229" t="e">
        <f>'Current month'!#REF!</f>
        <v>#REF!</v>
      </c>
      <c r="F29" s="230" t="e">
        <f t="shared" si="2"/>
        <v>#REF!</v>
      </c>
      <c r="G29" s="230"/>
      <c r="H29" s="229">
        <f>'Current month'!M28</f>
        <v>0</v>
      </c>
      <c r="I29" s="230">
        <f t="shared" si="3"/>
        <v>0</v>
      </c>
      <c r="J29" s="229">
        <f>'Current month'!O28</f>
        <v>0</v>
      </c>
      <c r="K29" s="230">
        <f t="shared" si="4"/>
        <v>0</v>
      </c>
      <c r="L29" s="231">
        <f>'Current month'!CF28</f>
        <v>0</v>
      </c>
      <c r="M29" s="232">
        <f t="shared" si="0"/>
        <v>0</v>
      </c>
      <c r="N29" s="233"/>
      <c r="O29" s="234">
        <f t="shared" si="5"/>
        <v>0</v>
      </c>
    </row>
    <row r="30" spans="1:15" ht="18" customHeight="1" thickBot="1">
      <c r="A30" s="227">
        <f>'Current month'!A29</f>
        <v>44799</v>
      </c>
      <c r="B30" s="235">
        <v>43246</v>
      </c>
      <c r="C30" s="229">
        <f>'Current month'!I29</f>
        <v>0</v>
      </c>
      <c r="D30" s="230">
        <f t="shared" si="1"/>
        <v>0</v>
      </c>
      <c r="E30" s="229">
        <f>'Current month'!K30</f>
        <v>0</v>
      </c>
      <c r="F30" s="230" t="e">
        <f t="shared" si="2"/>
        <v>#REF!</v>
      </c>
      <c r="G30" s="230"/>
      <c r="H30" s="229">
        <f>'Current month'!M29</f>
        <v>0</v>
      </c>
      <c r="I30" s="230">
        <f t="shared" si="3"/>
        <v>0</v>
      </c>
      <c r="J30" s="229">
        <f>'Current month'!O29</f>
        <v>0</v>
      </c>
      <c r="K30" s="230">
        <f t="shared" si="4"/>
        <v>0</v>
      </c>
      <c r="L30" s="231">
        <f>'Current month'!CF29</f>
        <v>0</v>
      </c>
      <c r="M30" s="232">
        <f t="shared" si="0"/>
        <v>0</v>
      </c>
      <c r="N30" s="233"/>
      <c r="O30" s="234">
        <f t="shared" si="5"/>
        <v>0</v>
      </c>
    </row>
    <row r="31" spans="1:15" ht="18" customHeight="1" thickBot="1">
      <c r="A31" s="227">
        <f>'Current month'!A30</f>
        <v>44800</v>
      </c>
      <c r="B31" s="235">
        <v>43247</v>
      </c>
      <c r="C31" s="229">
        <f>'Current month'!I30</f>
        <v>0</v>
      </c>
      <c r="D31" s="230">
        <f t="shared" si="1"/>
        <v>0</v>
      </c>
      <c r="E31" s="229" t="e">
        <f>'Current month'!#REF!</f>
        <v>#REF!</v>
      </c>
      <c r="F31" s="230" t="e">
        <f t="shared" si="2"/>
        <v>#REF!</v>
      </c>
      <c r="G31" s="230"/>
      <c r="H31" s="229">
        <f>'Current month'!M30</f>
        <v>0</v>
      </c>
      <c r="I31" s="230">
        <f t="shared" si="3"/>
        <v>0</v>
      </c>
      <c r="J31" s="229">
        <f>'Current month'!O30</f>
        <v>0</v>
      </c>
      <c r="K31" s="230">
        <f t="shared" si="4"/>
        <v>0</v>
      </c>
      <c r="L31" s="231">
        <f>'Current month'!CF30</f>
        <v>0</v>
      </c>
      <c r="M31" s="232">
        <f t="shared" si="0"/>
        <v>0</v>
      </c>
      <c r="N31" s="233"/>
      <c r="O31" s="234">
        <f t="shared" si="5"/>
        <v>0</v>
      </c>
    </row>
    <row r="32" spans="1:15" ht="18" customHeight="1" thickBot="1">
      <c r="A32" s="227">
        <f>'Current month'!A31</f>
        <v>44801</v>
      </c>
      <c r="B32" s="235">
        <v>43248</v>
      </c>
      <c r="C32" s="229">
        <f>'Current month'!I31</f>
        <v>0</v>
      </c>
      <c r="D32" s="230">
        <f t="shared" si="1"/>
        <v>0</v>
      </c>
      <c r="E32" s="229">
        <f>'Current month'!K31</f>
        <v>0</v>
      </c>
      <c r="F32" s="230" t="e">
        <f t="shared" si="2"/>
        <v>#REF!</v>
      </c>
      <c r="G32" s="230"/>
      <c r="H32" s="229">
        <f>'Current month'!M31</f>
        <v>0</v>
      </c>
      <c r="I32" s="230">
        <f t="shared" si="3"/>
        <v>0</v>
      </c>
      <c r="J32" s="229">
        <f>'Current month'!O31</f>
        <v>0</v>
      </c>
      <c r="K32" s="230">
        <f t="shared" si="4"/>
        <v>0</v>
      </c>
      <c r="L32" s="231">
        <f>'Current month'!CF31</f>
        <v>0</v>
      </c>
      <c r="M32" s="232">
        <f t="shared" si="0"/>
        <v>0</v>
      </c>
      <c r="N32" s="233"/>
      <c r="O32" s="234">
        <f t="shared" si="5"/>
        <v>0</v>
      </c>
    </row>
    <row r="33" spans="1:15" ht="18" customHeight="1" thickBot="1">
      <c r="A33" s="227">
        <f>'Current month'!A32</f>
        <v>44802</v>
      </c>
      <c r="B33" s="235">
        <v>43249</v>
      </c>
      <c r="C33" s="229">
        <f>'Current month'!I32</f>
        <v>0</v>
      </c>
      <c r="D33" s="230">
        <f t="shared" si="1"/>
        <v>0</v>
      </c>
      <c r="E33" s="229">
        <f>'Current month'!K32</f>
        <v>0</v>
      </c>
      <c r="F33" s="230">
        <f t="shared" si="2"/>
        <v>0</v>
      </c>
      <c r="G33" s="230"/>
      <c r="H33" s="229">
        <f>'Current month'!M32</f>
        <v>0</v>
      </c>
      <c r="I33" s="230">
        <f t="shared" si="3"/>
        <v>0</v>
      </c>
      <c r="J33" s="229">
        <f>'Current month'!O32</f>
        <v>0</v>
      </c>
      <c r="K33" s="230">
        <f t="shared" si="4"/>
        <v>0</v>
      </c>
      <c r="L33" s="231">
        <f>'Current month'!CF32</f>
        <v>0</v>
      </c>
      <c r="M33" s="232">
        <f t="shared" si="0"/>
        <v>0</v>
      </c>
      <c r="N33" s="233"/>
      <c r="O33" s="234">
        <f t="shared" si="5"/>
        <v>0</v>
      </c>
    </row>
    <row r="34" spans="1:15" ht="18" customHeight="1" thickBot="1">
      <c r="A34" s="227">
        <f>'Current month'!A33</f>
        <v>44803</v>
      </c>
      <c r="B34" s="235">
        <v>43250</v>
      </c>
      <c r="C34" s="229">
        <f>'Current month'!I33</f>
        <v>0</v>
      </c>
      <c r="D34" s="230">
        <f t="shared" si="1"/>
        <v>0</v>
      </c>
      <c r="E34" s="229">
        <f>'Current month'!K33</f>
        <v>0</v>
      </c>
      <c r="F34" s="230">
        <f t="shared" si="2"/>
        <v>0</v>
      </c>
      <c r="G34" s="230"/>
      <c r="H34" s="229">
        <f>'Current month'!M33</f>
        <v>0</v>
      </c>
      <c r="I34" s="230">
        <f t="shared" si="3"/>
        <v>0</v>
      </c>
      <c r="J34" s="229">
        <f>'Current month'!O33</f>
        <v>0</v>
      </c>
      <c r="K34" s="230">
        <f t="shared" si="4"/>
        <v>0</v>
      </c>
      <c r="L34" s="231">
        <f>'Current month'!CF33</f>
        <v>0</v>
      </c>
      <c r="M34" s="232">
        <f t="shared" si="0"/>
        <v>0</v>
      </c>
      <c r="N34" s="233"/>
      <c r="O34" s="234">
        <f t="shared" si="5"/>
        <v>0</v>
      </c>
    </row>
    <row r="35" spans="1:15" ht="18" customHeight="1" thickBot="1">
      <c r="A35" s="227" t="e">
        <f>'Current month'!#REF!</f>
        <v>#REF!</v>
      </c>
      <c r="B35" s="228"/>
      <c r="C35" s="229" t="e">
        <f>'Current month'!#REF!</f>
        <v>#REF!</v>
      </c>
      <c r="D35" s="230" t="e">
        <f t="shared" si="1"/>
        <v>#REF!</v>
      </c>
      <c r="E35" s="229" t="e">
        <f>'Current month'!#REF!</f>
        <v>#REF!</v>
      </c>
      <c r="F35" s="230" t="e">
        <f t="shared" si="2"/>
        <v>#REF!</v>
      </c>
      <c r="G35" s="230"/>
      <c r="H35" s="229" t="e">
        <f>'Current month'!#REF!</f>
        <v>#REF!</v>
      </c>
      <c r="I35" s="230" t="e">
        <f t="shared" si="3"/>
        <v>#REF!</v>
      </c>
      <c r="J35" s="229" t="e">
        <f>'Current month'!#REF!</f>
        <v>#REF!</v>
      </c>
      <c r="K35" s="230" t="e">
        <f t="shared" si="4"/>
        <v>#REF!</v>
      </c>
      <c r="L35" s="231" t="e">
        <f>'Current month'!#REF!</f>
        <v>#REF!</v>
      </c>
      <c r="M35" s="232" t="e">
        <f>(IF(L35&lt;=116.4,((116.4*116.4*ACOS((116.4-L35)/116.4))-((116.4-L35)*SQRT(2*116.4*L35-L35*L35)))*669.8,((3.1416*116.4*116.4)-((116.4*116.4*ACOS((116.4-(2*116.4-L35))/116.4))-((116.4-(2*116.4-L35))*SQRT(2*116.4*(2*116.4-L35)-((2*116.4-L35)*(2*116.4-L35))))))*669.8))/1000+N35</f>
        <v>#REF!</v>
      </c>
      <c r="N35" s="233"/>
      <c r="O35" s="234" t="e">
        <f t="shared" si="5"/>
        <v>#REF!</v>
      </c>
    </row>
    <row r="36" spans="1:15" ht="18" customHeight="1" thickBot="1">
      <c r="A36" s="236" t="s">
        <v>450</v>
      </c>
      <c r="B36" s="237"/>
      <c r="C36" s="238"/>
      <c r="D36" s="239" t="e">
        <f>SUM(D5:D35)</f>
        <v>#REF!</v>
      </c>
      <c r="E36" s="238"/>
      <c r="F36" s="239" t="e">
        <f>SUM(F5:F35)</f>
        <v>#REF!</v>
      </c>
      <c r="G36" s="240"/>
      <c r="H36" s="229">
        <f>'Current month'!M35</f>
        <v>0</v>
      </c>
      <c r="I36" s="239" t="e">
        <f>SUM(I5:I35)</f>
        <v>#REF!</v>
      </c>
      <c r="J36" s="238"/>
      <c r="K36" s="239" t="e">
        <f>SUM(K5:K35)</f>
        <v>#REF!</v>
      </c>
      <c r="L36" s="229"/>
      <c r="M36" s="241"/>
      <c r="N36" s="242"/>
      <c r="O36" s="234">
        <f>M36-M37+N37</f>
        <v>0</v>
      </c>
    </row>
    <row r="37" spans="1:15" ht="18" customHeight="1">
      <c r="O37" s="234"/>
    </row>
    <row r="38" spans="1:15" ht="18" customHeight="1">
      <c r="O38" s="234" t="e">
        <f>SUM(O5:O36)</f>
        <v>#REF!</v>
      </c>
    </row>
  </sheetData>
  <sheetProtection sheet="1" objects="1" scenarios="1"/>
  <mergeCells count="3">
    <mergeCell ref="B2:F2"/>
    <mergeCell ref="G2:K2"/>
    <mergeCell ref="L2:O2"/>
  </mergeCells>
  <conditionalFormatting sqref="E4:E35">
    <cfRule type="cellIs" dxfId="3584" priority="3023" operator="lessThan">
      <formula>0</formula>
    </cfRule>
  </conditionalFormatting>
  <conditionalFormatting sqref="E19:E35">
    <cfRule type="cellIs" dxfId="3583" priority="3022" operator="lessThan">
      <formula>0</formula>
    </cfRule>
  </conditionalFormatting>
  <conditionalFormatting sqref="E22:E35">
    <cfRule type="cellIs" dxfId="3582" priority="3021" operator="lessThan">
      <formula>0</formula>
    </cfRule>
  </conditionalFormatting>
  <conditionalFormatting sqref="E22:E35">
    <cfRule type="cellIs" dxfId="3581" priority="3020" operator="lessThan">
      <formula>0</formula>
    </cfRule>
  </conditionalFormatting>
  <conditionalFormatting sqref="E22:E35">
    <cfRule type="cellIs" dxfId="3580" priority="3019" operator="lessThan">
      <formula>0</formula>
    </cfRule>
  </conditionalFormatting>
  <conditionalFormatting sqref="E22:E35">
    <cfRule type="cellIs" dxfId="3579" priority="3018" operator="lessThan">
      <formula>0</formula>
    </cfRule>
  </conditionalFormatting>
  <conditionalFormatting sqref="E22:E35">
    <cfRule type="cellIs" dxfId="3578" priority="3017" operator="lessThan">
      <formula>0</formula>
    </cfRule>
  </conditionalFormatting>
  <conditionalFormatting sqref="E22:E35">
    <cfRule type="cellIs" dxfId="3577" priority="3016" operator="lessThan">
      <formula>0</formula>
    </cfRule>
  </conditionalFormatting>
  <conditionalFormatting sqref="E22:E35">
    <cfRule type="cellIs" dxfId="3576" priority="3015" operator="lessThan">
      <formula>0</formula>
    </cfRule>
  </conditionalFormatting>
  <conditionalFormatting sqref="E22:E35">
    <cfRule type="cellIs" dxfId="3575" priority="3014" operator="lessThan">
      <formula>0</formula>
    </cfRule>
  </conditionalFormatting>
  <conditionalFormatting sqref="E22:E35">
    <cfRule type="cellIs" dxfId="3574" priority="3013" operator="lessThan">
      <formula>0</formula>
    </cfRule>
  </conditionalFormatting>
  <conditionalFormatting sqref="E22:E35">
    <cfRule type="cellIs" dxfId="3573" priority="3012" operator="lessThan">
      <formula>0</formula>
    </cfRule>
  </conditionalFormatting>
  <conditionalFormatting sqref="E22:E35">
    <cfRule type="cellIs" dxfId="3572" priority="3011" operator="lessThan">
      <formula>0</formula>
    </cfRule>
  </conditionalFormatting>
  <conditionalFormatting sqref="E22:E35">
    <cfRule type="cellIs" dxfId="3571" priority="3010" operator="lessThan">
      <formula>0</formula>
    </cfRule>
  </conditionalFormatting>
  <conditionalFormatting sqref="E22:E35">
    <cfRule type="cellIs" dxfId="3570" priority="3009" operator="lessThan">
      <formula>0</formula>
    </cfRule>
  </conditionalFormatting>
  <conditionalFormatting sqref="E22:E35">
    <cfRule type="cellIs" dxfId="3569" priority="3008" operator="lessThan">
      <formula>0</formula>
    </cfRule>
  </conditionalFormatting>
  <conditionalFormatting sqref="E22:E35">
    <cfRule type="cellIs" dxfId="3568" priority="3007" operator="lessThan">
      <formula>0</formula>
    </cfRule>
  </conditionalFormatting>
  <conditionalFormatting sqref="E22:E35">
    <cfRule type="cellIs" dxfId="3567" priority="3006" operator="lessThan">
      <formula>0</formula>
    </cfRule>
  </conditionalFormatting>
  <conditionalFormatting sqref="E22:E35">
    <cfRule type="cellIs" dxfId="3566" priority="3005" operator="lessThan">
      <formula>0</formula>
    </cfRule>
  </conditionalFormatting>
  <conditionalFormatting sqref="E22:E35">
    <cfRule type="cellIs" dxfId="3565" priority="3004" operator="lessThan">
      <formula>0</formula>
    </cfRule>
  </conditionalFormatting>
  <conditionalFormatting sqref="E22:E35">
    <cfRule type="cellIs" dxfId="3564" priority="3003" operator="lessThan">
      <formula>0</formula>
    </cfRule>
  </conditionalFormatting>
  <conditionalFormatting sqref="E22:E35">
    <cfRule type="cellIs" dxfId="3563" priority="3002" operator="lessThan">
      <formula>0</formula>
    </cfRule>
  </conditionalFormatting>
  <conditionalFormatting sqref="E22:E35">
    <cfRule type="cellIs" dxfId="3562" priority="3001" operator="lessThan">
      <formula>0</formula>
    </cfRule>
  </conditionalFormatting>
  <conditionalFormatting sqref="E22:E35">
    <cfRule type="cellIs" dxfId="3561" priority="3000" operator="lessThan">
      <formula>0</formula>
    </cfRule>
  </conditionalFormatting>
  <conditionalFormatting sqref="E22:E35">
    <cfRule type="cellIs" dxfId="3560" priority="2999" operator="lessThan">
      <formula>0</formula>
    </cfRule>
  </conditionalFormatting>
  <conditionalFormatting sqref="E22:E35">
    <cfRule type="cellIs" dxfId="3559" priority="2998" operator="lessThan">
      <formula>0</formula>
    </cfRule>
  </conditionalFormatting>
  <conditionalFormatting sqref="E22:E35">
    <cfRule type="cellIs" dxfId="3558" priority="2997" operator="lessThan">
      <formula>0</formula>
    </cfRule>
  </conditionalFormatting>
  <conditionalFormatting sqref="E22:E35">
    <cfRule type="cellIs" dxfId="3557" priority="2996" operator="lessThan">
      <formula>0</formula>
    </cfRule>
  </conditionalFormatting>
  <conditionalFormatting sqref="E22:E35">
    <cfRule type="cellIs" dxfId="3556" priority="2995" operator="lessThan">
      <formula>0</formula>
    </cfRule>
  </conditionalFormatting>
  <conditionalFormatting sqref="E22:E35">
    <cfRule type="cellIs" dxfId="3555" priority="2994" operator="lessThan">
      <formula>0</formula>
    </cfRule>
  </conditionalFormatting>
  <conditionalFormatting sqref="E22:E35">
    <cfRule type="cellIs" dxfId="3554" priority="2993" operator="lessThan">
      <formula>0</formula>
    </cfRule>
  </conditionalFormatting>
  <conditionalFormatting sqref="E22:E35">
    <cfRule type="cellIs" dxfId="3553" priority="2992" operator="lessThan">
      <formula>0</formula>
    </cfRule>
  </conditionalFormatting>
  <conditionalFormatting sqref="E22:E35">
    <cfRule type="cellIs" dxfId="3552" priority="2991" operator="lessThan">
      <formula>0</formula>
    </cfRule>
  </conditionalFormatting>
  <conditionalFormatting sqref="E22:E35">
    <cfRule type="cellIs" dxfId="3551" priority="2990" operator="lessThan">
      <formula>0</formula>
    </cfRule>
  </conditionalFormatting>
  <conditionalFormatting sqref="E22:E35">
    <cfRule type="cellIs" dxfId="3550" priority="2989" operator="lessThan">
      <formula>0</formula>
    </cfRule>
  </conditionalFormatting>
  <conditionalFormatting sqref="E22:E35">
    <cfRule type="cellIs" dxfId="3549" priority="2988" operator="lessThan">
      <formula>0</formula>
    </cfRule>
  </conditionalFormatting>
  <conditionalFormatting sqref="E22:E35">
    <cfRule type="cellIs" dxfId="3548" priority="2987" operator="lessThan">
      <formula>0</formula>
    </cfRule>
  </conditionalFormatting>
  <conditionalFormatting sqref="E22:E35">
    <cfRule type="cellIs" dxfId="3547" priority="2986" operator="lessThan">
      <formula>0</formula>
    </cfRule>
  </conditionalFormatting>
  <conditionalFormatting sqref="E22:E35">
    <cfRule type="cellIs" dxfId="3546" priority="2985" operator="lessThan">
      <formula>0</formula>
    </cfRule>
  </conditionalFormatting>
  <conditionalFormatting sqref="E22:E35">
    <cfRule type="cellIs" dxfId="3545" priority="2984" operator="lessThan">
      <formula>0</formula>
    </cfRule>
  </conditionalFormatting>
  <conditionalFormatting sqref="E22:E35">
    <cfRule type="cellIs" dxfId="3544" priority="2983" operator="lessThan">
      <formula>0</formula>
    </cfRule>
  </conditionalFormatting>
  <conditionalFormatting sqref="E22:E35">
    <cfRule type="cellIs" dxfId="3543" priority="2982" operator="lessThan">
      <formula>0</formula>
    </cfRule>
  </conditionalFormatting>
  <conditionalFormatting sqref="E22:E35">
    <cfRule type="cellIs" dxfId="3542" priority="2981" operator="lessThan">
      <formula>0</formula>
    </cfRule>
  </conditionalFormatting>
  <conditionalFormatting sqref="E22:E35">
    <cfRule type="cellIs" dxfId="3541" priority="2980" operator="lessThan">
      <formula>0</formula>
    </cfRule>
  </conditionalFormatting>
  <conditionalFormatting sqref="E22:E35">
    <cfRule type="cellIs" dxfId="3540" priority="2979" operator="lessThan">
      <formula>0</formula>
    </cfRule>
  </conditionalFormatting>
  <conditionalFormatting sqref="E22:E35">
    <cfRule type="cellIs" dxfId="3539" priority="2978" operator="lessThan">
      <formula>0</formula>
    </cfRule>
  </conditionalFormatting>
  <conditionalFormatting sqref="J4:J35">
    <cfRule type="cellIs" dxfId="3538" priority="2977" operator="lessThan">
      <formula>0</formula>
    </cfRule>
  </conditionalFormatting>
  <conditionalFormatting sqref="J19:J35">
    <cfRule type="cellIs" dxfId="3537" priority="2976" operator="lessThan">
      <formula>0</formula>
    </cfRule>
  </conditionalFormatting>
  <conditionalFormatting sqref="J22:J35">
    <cfRule type="cellIs" dxfId="3536" priority="2975" operator="lessThan">
      <formula>0</formula>
    </cfRule>
  </conditionalFormatting>
  <conditionalFormatting sqref="J22:J35">
    <cfRule type="cellIs" dxfId="3535" priority="2974" operator="lessThan">
      <formula>0</formula>
    </cfRule>
  </conditionalFormatting>
  <conditionalFormatting sqref="J22:J35">
    <cfRule type="cellIs" dxfId="3534" priority="2973" operator="lessThan">
      <formula>0</formula>
    </cfRule>
  </conditionalFormatting>
  <conditionalFormatting sqref="J22:J35">
    <cfRule type="cellIs" dxfId="3533" priority="2972" operator="lessThan">
      <formula>0</formula>
    </cfRule>
  </conditionalFormatting>
  <conditionalFormatting sqref="J22:J35">
    <cfRule type="cellIs" dxfId="3532" priority="2971" operator="lessThan">
      <formula>0</formula>
    </cfRule>
  </conditionalFormatting>
  <conditionalFormatting sqref="J22:J35">
    <cfRule type="cellIs" dxfId="3531" priority="2970" operator="lessThan">
      <formula>0</formula>
    </cfRule>
  </conditionalFormatting>
  <conditionalFormatting sqref="J22:J35">
    <cfRule type="cellIs" dxfId="3530" priority="2969" operator="lessThan">
      <formula>0</formula>
    </cfRule>
  </conditionalFormatting>
  <conditionalFormatting sqref="J22:J35">
    <cfRule type="cellIs" dxfId="3529" priority="2968" operator="lessThan">
      <formula>0</formula>
    </cfRule>
  </conditionalFormatting>
  <conditionalFormatting sqref="J22:J35">
    <cfRule type="cellIs" dxfId="3528" priority="2967" operator="lessThan">
      <formula>0</formula>
    </cfRule>
  </conditionalFormatting>
  <conditionalFormatting sqref="J22:J35">
    <cfRule type="cellIs" dxfId="3527" priority="2966" operator="lessThan">
      <formula>0</formula>
    </cfRule>
  </conditionalFormatting>
  <conditionalFormatting sqref="J22:J35">
    <cfRule type="cellIs" dxfId="3526" priority="2965" operator="lessThan">
      <formula>0</formula>
    </cfRule>
  </conditionalFormatting>
  <conditionalFormatting sqref="J22:J35">
    <cfRule type="cellIs" dxfId="3525" priority="2964" operator="lessThan">
      <formula>0</formula>
    </cfRule>
  </conditionalFormatting>
  <conditionalFormatting sqref="J22:J35">
    <cfRule type="cellIs" dxfId="3524" priority="2963" operator="lessThan">
      <formula>0</formula>
    </cfRule>
  </conditionalFormatting>
  <conditionalFormatting sqref="J22:J35">
    <cfRule type="cellIs" dxfId="3523" priority="2962" operator="lessThan">
      <formula>0</formula>
    </cfRule>
  </conditionalFormatting>
  <conditionalFormatting sqref="J22:J35">
    <cfRule type="cellIs" dxfId="3522" priority="2961" operator="lessThan">
      <formula>0</formula>
    </cfRule>
  </conditionalFormatting>
  <conditionalFormatting sqref="J22:J35">
    <cfRule type="cellIs" dxfId="3521" priority="2960" operator="lessThan">
      <formula>0</formula>
    </cfRule>
  </conditionalFormatting>
  <conditionalFormatting sqref="J22:J35">
    <cfRule type="cellIs" dxfId="3520" priority="2959" operator="lessThan">
      <formula>0</formula>
    </cfRule>
  </conditionalFormatting>
  <conditionalFormatting sqref="J22:J35">
    <cfRule type="cellIs" dxfId="3519" priority="2958" operator="lessThan">
      <formula>0</formula>
    </cfRule>
  </conditionalFormatting>
  <conditionalFormatting sqref="J22:J35">
    <cfRule type="cellIs" dxfId="3518" priority="2957" operator="lessThan">
      <formula>0</formula>
    </cfRule>
  </conditionalFormatting>
  <conditionalFormatting sqref="J22:J35">
    <cfRule type="cellIs" dxfId="3517" priority="2956" operator="lessThan">
      <formula>0</formula>
    </cfRule>
  </conditionalFormatting>
  <conditionalFormatting sqref="J22:J35">
    <cfRule type="cellIs" dxfId="3516" priority="2955" operator="lessThan">
      <formula>0</formula>
    </cfRule>
  </conditionalFormatting>
  <conditionalFormatting sqref="J22:J35">
    <cfRule type="cellIs" dxfId="3515" priority="2954" operator="lessThan">
      <formula>0</formula>
    </cfRule>
  </conditionalFormatting>
  <conditionalFormatting sqref="J22:J35">
    <cfRule type="cellIs" dxfId="3514" priority="2953" operator="lessThan">
      <formula>0</formula>
    </cfRule>
  </conditionalFormatting>
  <conditionalFormatting sqref="J22:J35">
    <cfRule type="cellIs" dxfId="3513" priority="2952" operator="lessThan">
      <formula>0</formula>
    </cfRule>
  </conditionalFormatting>
  <conditionalFormatting sqref="J22:J35">
    <cfRule type="cellIs" dxfId="3512" priority="2951" operator="lessThan">
      <formula>0</formula>
    </cfRule>
  </conditionalFormatting>
  <conditionalFormatting sqref="J22:J35">
    <cfRule type="cellIs" dxfId="3511" priority="2950" operator="lessThan">
      <formula>0</formula>
    </cfRule>
  </conditionalFormatting>
  <conditionalFormatting sqref="J22:J35">
    <cfRule type="cellIs" dxfId="3510" priority="2949" operator="lessThan">
      <formula>0</formula>
    </cfRule>
  </conditionalFormatting>
  <conditionalFormatting sqref="J22:J35">
    <cfRule type="cellIs" dxfId="3509" priority="2948" operator="lessThan">
      <formula>0</formula>
    </cfRule>
  </conditionalFormatting>
  <conditionalFormatting sqref="J22:J35">
    <cfRule type="cellIs" dxfId="3508" priority="2947" operator="lessThan">
      <formula>0</formula>
    </cfRule>
  </conditionalFormatting>
  <conditionalFormatting sqref="J22:J35">
    <cfRule type="cellIs" dxfId="3507" priority="2946" operator="lessThan">
      <formula>0</formula>
    </cfRule>
  </conditionalFormatting>
  <conditionalFormatting sqref="J22:J35">
    <cfRule type="cellIs" dxfId="3506" priority="2945" operator="lessThan">
      <formula>0</formula>
    </cfRule>
  </conditionalFormatting>
  <conditionalFormatting sqref="J22:J35">
    <cfRule type="cellIs" dxfId="3505" priority="2944" operator="lessThan">
      <formula>0</formula>
    </cfRule>
  </conditionalFormatting>
  <conditionalFormatting sqref="J22:J35">
    <cfRule type="cellIs" dxfId="3504" priority="2943" operator="lessThan">
      <formula>0</formula>
    </cfRule>
  </conditionalFormatting>
  <conditionalFormatting sqref="J22:J35">
    <cfRule type="cellIs" dxfId="3503" priority="2942" operator="lessThan">
      <formula>0</formula>
    </cfRule>
  </conditionalFormatting>
  <conditionalFormatting sqref="J22:J35">
    <cfRule type="cellIs" dxfId="3502" priority="2941" operator="lessThan">
      <formula>0</formula>
    </cfRule>
  </conditionalFormatting>
  <conditionalFormatting sqref="J22:J35">
    <cfRule type="cellIs" dxfId="3501" priority="2940" operator="lessThan">
      <formula>0</formula>
    </cfRule>
  </conditionalFormatting>
  <conditionalFormatting sqref="J22:J35">
    <cfRule type="cellIs" dxfId="3500" priority="2939" operator="lessThan">
      <formula>0</formula>
    </cfRule>
  </conditionalFormatting>
  <conditionalFormatting sqref="J22:J35">
    <cfRule type="cellIs" dxfId="3499" priority="2938" operator="lessThan">
      <formula>0</formula>
    </cfRule>
  </conditionalFormatting>
  <conditionalFormatting sqref="J22:J35">
    <cfRule type="cellIs" dxfId="3498" priority="2937" operator="lessThan">
      <formula>0</formula>
    </cfRule>
  </conditionalFormatting>
  <conditionalFormatting sqref="J22:J35">
    <cfRule type="cellIs" dxfId="3497" priority="2936" operator="lessThan">
      <formula>0</formula>
    </cfRule>
  </conditionalFormatting>
  <conditionalFormatting sqref="J22:J35">
    <cfRule type="cellIs" dxfId="3496" priority="2935" operator="lessThan">
      <formula>0</formula>
    </cfRule>
  </conditionalFormatting>
  <conditionalFormatting sqref="J26:J35">
    <cfRule type="cellIs" dxfId="3495" priority="2934" operator="lessThan">
      <formula>0</formula>
    </cfRule>
  </conditionalFormatting>
  <conditionalFormatting sqref="J22:J35">
    <cfRule type="cellIs" dxfId="3494" priority="2933" operator="lessThan">
      <formula>0</formula>
    </cfRule>
  </conditionalFormatting>
  <conditionalFormatting sqref="J22:J35">
    <cfRule type="cellIs" dxfId="3493" priority="2932" operator="lessThan">
      <formula>0</formula>
    </cfRule>
  </conditionalFormatting>
  <conditionalFormatting sqref="L4:L36">
    <cfRule type="cellIs" dxfId="3492" priority="2931" operator="lessThan">
      <formula>0</formula>
    </cfRule>
  </conditionalFormatting>
  <conditionalFormatting sqref="L11:L35">
    <cfRule type="cellIs" dxfId="3491" priority="2930" operator="lessThan">
      <formula>0</formula>
    </cfRule>
  </conditionalFormatting>
  <conditionalFormatting sqref="L11:L35">
    <cfRule type="cellIs" dxfId="3490" priority="2929" operator="lessThan">
      <formula>0</formula>
    </cfRule>
  </conditionalFormatting>
  <conditionalFormatting sqref="L11:L35">
    <cfRule type="cellIs" dxfId="3489" priority="2928" operator="lessThan">
      <formula>0</formula>
    </cfRule>
  </conditionalFormatting>
  <conditionalFormatting sqref="L11:L35">
    <cfRule type="cellIs" dxfId="3488" priority="2927" operator="lessThan">
      <formula>0</formula>
    </cfRule>
  </conditionalFormatting>
  <conditionalFormatting sqref="L11:L35">
    <cfRule type="cellIs" dxfId="3487" priority="2926" operator="lessThan">
      <formula>0</formula>
    </cfRule>
  </conditionalFormatting>
  <conditionalFormatting sqref="L11:L35">
    <cfRule type="cellIs" dxfId="3486" priority="2925" operator="lessThan">
      <formula>0</formula>
    </cfRule>
  </conditionalFormatting>
  <conditionalFormatting sqref="L11:L35">
    <cfRule type="cellIs" dxfId="3485" priority="2924" operator="lessThan">
      <formula>0</formula>
    </cfRule>
  </conditionalFormatting>
  <conditionalFormatting sqref="L11:L35">
    <cfRule type="cellIs" dxfId="3484" priority="2923" operator="lessThan">
      <formula>0</formula>
    </cfRule>
  </conditionalFormatting>
  <conditionalFormatting sqref="L11:L35">
    <cfRule type="cellIs" dxfId="3483" priority="2922" operator="lessThan">
      <formula>0</formula>
    </cfRule>
  </conditionalFormatting>
  <conditionalFormatting sqref="L11:L35">
    <cfRule type="cellIs" dxfId="3482" priority="2921" operator="lessThan">
      <formula>0</formula>
    </cfRule>
  </conditionalFormatting>
  <conditionalFormatting sqref="L11:L35">
    <cfRule type="cellIs" dxfId="3481" priority="2920" operator="lessThan">
      <formula>0</formula>
    </cfRule>
  </conditionalFormatting>
  <conditionalFormatting sqref="L11:L35">
    <cfRule type="cellIs" dxfId="3480" priority="2919" operator="lessThan">
      <formula>0</formula>
    </cfRule>
  </conditionalFormatting>
  <conditionalFormatting sqref="L11:L35">
    <cfRule type="cellIs" dxfId="3479" priority="2918" operator="lessThan">
      <formula>0</formula>
    </cfRule>
  </conditionalFormatting>
  <conditionalFormatting sqref="L11:L35">
    <cfRule type="cellIs" dxfId="3478" priority="2917" operator="lessThan">
      <formula>0</formula>
    </cfRule>
  </conditionalFormatting>
  <conditionalFormatting sqref="L11:L35">
    <cfRule type="cellIs" dxfId="3477" priority="2916" operator="lessThan">
      <formula>0</formula>
    </cfRule>
  </conditionalFormatting>
  <conditionalFormatting sqref="L11:L35">
    <cfRule type="cellIs" dxfId="3476" priority="2915" operator="lessThan">
      <formula>0</formula>
    </cfRule>
  </conditionalFormatting>
  <conditionalFormatting sqref="L11:L35">
    <cfRule type="cellIs" dxfId="3475" priority="2914" operator="lessThan">
      <formula>0</formula>
    </cfRule>
  </conditionalFormatting>
  <conditionalFormatting sqref="L11:L35">
    <cfRule type="cellIs" dxfId="3474" priority="2913" operator="lessThan">
      <formula>0</formula>
    </cfRule>
  </conditionalFormatting>
  <conditionalFormatting sqref="L11:L35">
    <cfRule type="cellIs" dxfId="3473" priority="2912" operator="lessThan">
      <formula>0</formula>
    </cfRule>
  </conditionalFormatting>
  <conditionalFormatting sqref="L11:L35">
    <cfRule type="cellIs" dxfId="3472" priority="2911" operator="lessThan">
      <formula>0</formula>
    </cfRule>
  </conditionalFormatting>
  <conditionalFormatting sqref="L11:L35">
    <cfRule type="cellIs" dxfId="3471" priority="2910" operator="lessThan">
      <formula>0</formula>
    </cfRule>
  </conditionalFormatting>
  <conditionalFormatting sqref="L11:L35">
    <cfRule type="cellIs" dxfId="3470" priority="2909" operator="lessThan">
      <formula>0</formula>
    </cfRule>
  </conditionalFormatting>
  <conditionalFormatting sqref="L11:L35">
    <cfRule type="cellIs" dxfId="3469" priority="2908" operator="lessThan">
      <formula>0</formula>
    </cfRule>
  </conditionalFormatting>
  <conditionalFormatting sqref="L11:L35">
    <cfRule type="cellIs" dxfId="3468" priority="2907" operator="lessThan">
      <formula>0</formula>
    </cfRule>
  </conditionalFormatting>
  <conditionalFormatting sqref="L11:L35">
    <cfRule type="cellIs" dxfId="3467" priority="2906" operator="lessThan">
      <formula>0</formula>
    </cfRule>
  </conditionalFormatting>
  <conditionalFormatting sqref="L11:L35">
    <cfRule type="cellIs" dxfId="3466" priority="2905" operator="lessThan">
      <formula>0</formula>
    </cfRule>
  </conditionalFormatting>
  <conditionalFormatting sqref="L11:L35">
    <cfRule type="cellIs" dxfId="3465" priority="2904" operator="lessThan">
      <formula>0</formula>
    </cfRule>
  </conditionalFormatting>
  <conditionalFormatting sqref="L11:L35">
    <cfRule type="cellIs" dxfId="3464" priority="2903" operator="lessThan">
      <formula>0</formula>
    </cfRule>
  </conditionalFormatting>
  <conditionalFormatting sqref="L11:L35">
    <cfRule type="cellIs" dxfId="3463" priority="2902" operator="lessThan">
      <formula>0</formula>
    </cfRule>
  </conditionalFormatting>
  <conditionalFormatting sqref="L11:L35">
    <cfRule type="cellIs" dxfId="3462" priority="2901" operator="lessThan">
      <formula>0</formula>
    </cfRule>
  </conditionalFormatting>
  <conditionalFormatting sqref="L11:L35">
    <cfRule type="cellIs" dxfId="3461" priority="2900" operator="lessThan">
      <formula>0</formula>
    </cfRule>
  </conditionalFormatting>
  <conditionalFormatting sqref="L11:L35">
    <cfRule type="cellIs" dxfId="3460" priority="2899" operator="lessThan">
      <formula>0</formula>
    </cfRule>
  </conditionalFormatting>
  <conditionalFormatting sqref="L11:L35">
    <cfRule type="cellIs" dxfId="3459" priority="2898" operator="lessThan">
      <formula>0</formula>
    </cfRule>
  </conditionalFormatting>
  <conditionalFormatting sqref="L11:L35">
    <cfRule type="cellIs" dxfId="3458" priority="2897" operator="lessThan">
      <formula>0</formula>
    </cfRule>
  </conditionalFormatting>
  <conditionalFormatting sqref="L11:L35">
    <cfRule type="cellIs" dxfId="3457" priority="2896" operator="lessThan">
      <formula>0</formula>
    </cfRule>
  </conditionalFormatting>
  <conditionalFormatting sqref="L11:L35">
    <cfRule type="cellIs" dxfId="3456" priority="2895" operator="lessThan">
      <formula>0</formula>
    </cfRule>
  </conditionalFormatting>
  <conditionalFormatting sqref="L11:L35">
    <cfRule type="cellIs" dxfId="3455" priority="2894" operator="lessThan">
      <formula>0</formula>
    </cfRule>
  </conditionalFormatting>
  <conditionalFormatting sqref="L11:L35">
    <cfRule type="cellIs" dxfId="3454" priority="2893" operator="lessThan">
      <formula>0</formula>
    </cfRule>
  </conditionalFormatting>
  <conditionalFormatting sqref="L11:L35">
    <cfRule type="cellIs" dxfId="3453" priority="2892" operator="lessThan">
      <formula>0</formula>
    </cfRule>
  </conditionalFormatting>
  <conditionalFormatting sqref="L11:L35">
    <cfRule type="cellIs" dxfId="3452" priority="2891" operator="lessThan">
      <formula>0</formula>
    </cfRule>
  </conditionalFormatting>
  <conditionalFormatting sqref="L11:L35">
    <cfRule type="cellIs" dxfId="3451" priority="2890" operator="lessThan">
      <formula>0</formula>
    </cfRule>
  </conditionalFormatting>
  <conditionalFormatting sqref="L11:L35">
    <cfRule type="cellIs" dxfId="3450" priority="2889" operator="lessThan">
      <formula>0</formula>
    </cfRule>
  </conditionalFormatting>
  <conditionalFormatting sqref="L11:L35">
    <cfRule type="cellIs" dxfId="3449" priority="2888" operator="lessThan">
      <formula>0</formula>
    </cfRule>
  </conditionalFormatting>
  <conditionalFormatting sqref="L11:L35">
    <cfRule type="cellIs" dxfId="3448" priority="2887" operator="lessThan">
      <formula>0</formula>
    </cfRule>
  </conditionalFormatting>
  <conditionalFormatting sqref="L11:L35">
    <cfRule type="cellIs" dxfId="3447" priority="2886" operator="lessThan">
      <formula>0</formula>
    </cfRule>
  </conditionalFormatting>
  <conditionalFormatting sqref="L4:L36">
    <cfRule type="cellIs" dxfId="3446" priority="2885" operator="lessThan">
      <formula>0</formula>
    </cfRule>
  </conditionalFormatting>
  <conditionalFormatting sqref="L4:L36">
    <cfRule type="cellIs" dxfId="3445" priority="2884" operator="lessThan">
      <formula>0</formula>
    </cfRule>
  </conditionalFormatting>
  <conditionalFormatting sqref="L4:L36">
    <cfRule type="cellIs" dxfId="3444" priority="2883" operator="lessThan">
      <formula>0</formula>
    </cfRule>
  </conditionalFormatting>
  <conditionalFormatting sqref="L4:L36">
    <cfRule type="cellIs" dxfId="3443" priority="2882" operator="lessThan">
      <formula>0</formula>
    </cfRule>
  </conditionalFormatting>
  <conditionalFormatting sqref="E4:E35">
    <cfRule type="cellIs" dxfId="3442" priority="2880" operator="lessThan">
      <formula>0</formula>
    </cfRule>
  </conditionalFormatting>
  <conditionalFormatting sqref="J4:J35">
    <cfRule type="cellIs" dxfId="3441" priority="2879" operator="lessThan">
      <formula>0</formula>
    </cfRule>
  </conditionalFormatting>
  <conditionalFormatting sqref="L4:L35">
    <cfRule type="cellIs" dxfId="3440" priority="2878" operator="lessThan">
      <formula>0</formula>
    </cfRule>
  </conditionalFormatting>
  <conditionalFormatting sqref="C4:C35">
    <cfRule type="cellIs" dxfId="3439" priority="2877" operator="lessThan">
      <formula>0</formula>
    </cfRule>
  </conditionalFormatting>
  <conditionalFormatting sqref="C18:C35">
    <cfRule type="cellIs" dxfId="3438" priority="2876" operator="lessThan">
      <formula>0</formula>
    </cfRule>
  </conditionalFormatting>
  <conditionalFormatting sqref="C18:C35">
    <cfRule type="cellIs" dxfId="3437" priority="2875" operator="lessThan">
      <formula>0</formula>
    </cfRule>
  </conditionalFormatting>
  <conditionalFormatting sqref="C18:C35">
    <cfRule type="cellIs" dxfId="3436" priority="2874" operator="lessThan">
      <formula>0</formula>
    </cfRule>
  </conditionalFormatting>
  <conditionalFormatting sqref="C18:C35">
    <cfRule type="cellIs" dxfId="3435" priority="2873" operator="lessThan">
      <formula>0</formula>
    </cfRule>
  </conditionalFormatting>
  <conditionalFormatting sqref="C18:C35">
    <cfRule type="cellIs" dxfId="3434" priority="2872" operator="lessThan">
      <formula>0</formula>
    </cfRule>
  </conditionalFormatting>
  <conditionalFormatting sqref="C18:C25">
    <cfRule type="cellIs" dxfId="3433" priority="2871" operator="lessThan">
      <formula>0</formula>
    </cfRule>
  </conditionalFormatting>
  <conditionalFormatting sqref="C18:C35">
    <cfRule type="cellIs" dxfId="3432" priority="2870" operator="lessThan">
      <formula>0</formula>
    </cfRule>
  </conditionalFormatting>
  <conditionalFormatting sqref="C18:C25">
    <cfRule type="cellIs" dxfId="3431" priority="2869" operator="lessThan">
      <formula>0</formula>
    </cfRule>
  </conditionalFormatting>
  <conditionalFormatting sqref="C18:C35">
    <cfRule type="cellIs" dxfId="3430" priority="2868" operator="lessThan">
      <formula>0</formula>
    </cfRule>
  </conditionalFormatting>
  <conditionalFormatting sqref="C18:C35">
    <cfRule type="cellIs" dxfId="3429" priority="2867" operator="lessThan">
      <formula>0</formula>
    </cfRule>
  </conditionalFormatting>
  <conditionalFormatting sqref="C18:C35">
    <cfRule type="cellIs" dxfId="3428" priority="2866" operator="lessThan">
      <formula>0</formula>
    </cfRule>
  </conditionalFormatting>
  <conditionalFormatting sqref="C18:C35">
    <cfRule type="cellIs" dxfId="3427" priority="2865" operator="lessThan">
      <formula>0</formula>
    </cfRule>
  </conditionalFormatting>
  <conditionalFormatting sqref="C18:C25">
    <cfRule type="cellIs" dxfId="3426" priority="2864" operator="lessThan">
      <formula>0</formula>
    </cfRule>
  </conditionalFormatting>
  <conditionalFormatting sqref="C18:C25">
    <cfRule type="cellIs" dxfId="3425" priority="2863" operator="lessThan">
      <formula>0</formula>
    </cfRule>
  </conditionalFormatting>
  <conditionalFormatting sqref="C18:C35">
    <cfRule type="cellIs" dxfId="3424" priority="2862" operator="lessThan">
      <formula>0</formula>
    </cfRule>
  </conditionalFormatting>
  <conditionalFormatting sqref="C18:C35">
    <cfRule type="cellIs" dxfId="3423" priority="2861" operator="lessThan">
      <formula>0</formula>
    </cfRule>
  </conditionalFormatting>
  <conditionalFormatting sqref="C18:C35">
    <cfRule type="cellIs" dxfId="3422" priority="2860" operator="lessThan">
      <formula>0</formula>
    </cfRule>
  </conditionalFormatting>
  <conditionalFormatting sqref="C18:C25">
    <cfRule type="cellIs" dxfId="3421" priority="2859" operator="lessThan">
      <formula>0</formula>
    </cfRule>
  </conditionalFormatting>
  <conditionalFormatting sqref="C18:C35">
    <cfRule type="cellIs" dxfId="3420" priority="2858" operator="lessThan">
      <formula>0</formula>
    </cfRule>
  </conditionalFormatting>
  <conditionalFormatting sqref="C18:C35">
    <cfRule type="cellIs" dxfId="3419" priority="2857" operator="lessThan">
      <formula>0</formula>
    </cfRule>
  </conditionalFormatting>
  <conditionalFormatting sqref="C18:C35">
    <cfRule type="cellIs" dxfId="3418" priority="2856" operator="lessThan">
      <formula>0</formula>
    </cfRule>
  </conditionalFormatting>
  <conditionalFormatting sqref="C18:C25">
    <cfRule type="cellIs" dxfId="3417" priority="2855" operator="lessThan">
      <formula>0</formula>
    </cfRule>
  </conditionalFormatting>
  <conditionalFormatting sqref="C18:C25">
    <cfRule type="cellIs" dxfId="3416" priority="2854" operator="lessThan">
      <formula>0</formula>
    </cfRule>
  </conditionalFormatting>
  <conditionalFormatting sqref="C18:C25">
    <cfRule type="cellIs" dxfId="3415" priority="2853" operator="lessThan">
      <formula>0</formula>
    </cfRule>
  </conditionalFormatting>
  <conditionalFormatting sqref="C18:C25">
    <cfRule type="cellIs" dxfId="3414" priority="2852" operator="lessThan">
      <formula>0</formula>
    </cfRule>
  </conditionalFormatting>
  <conditionalFormatting sqref="C18:C25">
    <cfRule type="cellIs" dxfId="3413" priority="2851" operator="lessThan">
      <formula>0</formula>
    </cfRule>
  </conditionalFormatting>
  <conditionalFormatting sqref="C18:C25">
    <cfRule type="cellIs" dxfId="3412" priority="2850" operator="lessThan">
      <formula>0</formula>
    </cfRule>
  </conditionalFormatting>
  <conditionalFormatting sqref="C18:C25">
    <cfRule type="cellIs" dxfId="3411" priority="2849" operator="lessThan">
      <formula>0</formula>
    </cfRule>
  </conditionalFormatting>
  <conditionalFormatting sqref="C18:C25">
    <cfRule type="cellIs" dxfId="3410" priority="2848" operator="lessThan">
      <formula>0</formula>
    </cfRule>
  </conditionalFormatting>
  <conditionalFormatting sqref="C18:C25">
    <cfRule type="cellIs" dxfId="3409" priority="2847" operator="lessThan">
      <formula>0</formula>
    </cfRule>
  </conditionalFormatting>
  <conditionalFormatting sqref="C18:C25">
    <cfRule type="cellIs" dxfId="3408" priority="2846" operator="lessThan">
      <formula>0</formula>
    </cfRule>
  </conditionalFormatting>
  <conditionalFormatting sqref="C18:C25">
    <cfRule type="cellIs" dxfId="3407" priority="2845" operator="lessThan">
      <formula>0</formula>
    </cfRule>
  </conditionalFormatting>
  <conditionalFormatting sqref="C18:C35">
    <cfRule type="cellIs" dxfId="3406" priority="2844" operator="lessThan">
      <formula>0</formula>
    </cfRule>
  </conditionalFormatting>
  <conditionalFormatting sqref="C18:C25">
    <cfRule type="cellIs" dxfId="3405" priority="2843" operator="lessThan">
      <formula>0</formula>
    </cfRule>
  </conditionalFormatting>
  <conditionalFormatting sqref="C18:C25">
    <cfRule type="cellIs" dxfId="3404" priority="2842" operator="lessThan">
      <formula>0</formula>
    </cfRule>
  </conditionalFormatting>
  <conditionalFormatting sqref="C18:C25">
    <cfRule type="cellIs" dxfId="3403" priority="2841" operator="lessThan">
      <formula>0</formula>
    </cfRule>
  </conditionalFormatting>
  <conditionalFormatting sqref="C18:C25">
    <cfRule type="cellIs" dxfId="3402" priority="2840" operator="lessThan">
      <formula>0</formula>
    </cfRule>
  </conditionalFormatting>
  <conditionalFormatting sqref="C18:C25">
    <cfRule type="cellIs" dxfId="3401" priority="2839" operator="lessThan">
      <formula>0</formula>
    </cfRule>
  </conditionalFormatting>
  <conditionalFormatting sqref="C18:C25">
    <cfRule type="cellIs" dxfId="3400" priority="2838" operator="lessThan">
      <formula>0</formula>
    </cfRule>
  </conditionalFormatting>
  <conditionalFormatting sqref="C18:C25">
    <cfRule type="cellIs" dxfId="3399" priority="2837" operator="lessThan">
      <formula>0</formula>
    </cfRule>
  </conditionalFormatting>
  <conditionalFormatting sqref="C18:C25">
    <cfRule type="cellIs" dxfId="3398" priority="2836" operator="lessThan">
      <formula>0</formula>
    </cfRule>
  </conditionalFormatting>
  <conditionalFormatting sqref="C18:C25">
    <cfRule type="cellIs" dxfId="3397" priority="2835" operator="lessThan">
      <formula>0</formula>
    </cfRule>
  </conditionalFormatting>
  <conditionalFormatting sqref="C18:C35">
    <cfRule type="cellIs" dxfId="3396" priority="2834" operator="lessThan">
      <formula>0</formula>
    </cfRule>
  </conditionalFormatting>
  <conditionalFormatting sqref="C18:C35">
    <cfRule type="cellIs" dxfId="3395" priority="2833" operator="lessThan">
      <formula>0</formula>
    </cfRule>
  </conditionalFormatting>
  <conditionalFormatting sqref="C18:C35">
    <cfRule type="cellIs" dxfId="3394" priority="2832" operator="lessThan">
      <formula>0</formula>
    </cfRule>
  </conditionalFormatting>
  <conditionalFormatting sqref="C4:C35">
    <cfRule type="cellIs" dxfId="3393" priority="2831" operator="lessThan">
      <formula>0</formula>
    </cfRule>
  </conditionalFormatting>
  <conditionalFormatting sqref="J4:J35">
    <cfRule type="cellIs" dxfId="3392" priority="2830" operator="lessThan">
      <formula>0</formula>
    </cfRule>
  </conditionalFormatting>
  <conditionalFormatting sqref="J19:J35">
    <cfRule type="cellIs" dxfId="3391" priority="2829" operator="lessThan">
      <formula>0</formula>
    </cfRule>
  </conditionalFormatting>
  <conditionalFormatting sqref="J22:J35">
    <cfRule type="cellIs" dxfId="3390" priority="2828" operator="lessThan">
      <formula>0</formula>
    </cfRule>
  </conditionalFormatting>
  <conditionalFormatting sqref="J22:J35">
    <cfRule type="cellIs" dxfId="3389" priority="2827" operator="lessThan">
      <formula>0</formula>
    </cfRule>
  </conditionalFormatting>
  <conditionalFormatting sqref="J22:J35">
    <cfRule type="cellIs" dxfId="3388" priority="2826" operator="lessThan">
      <formula>0</formula>
    </cfRule>
  </conditionalFormatting>
  <conditionalFormatting sqref="J22:J35">
    <cfRule type="cellIs" dxfId="3387" priority="2825" operator="lessThan">
      <formula>0</formula>
    </cfRule>
  </conditionalFormatting>
  <conditionalFormatting sqref="J22:J35">
    <cfRule type="cellIs" dxfId="3386" priority="2824" operator="lessThan">
      <formula>0</formula>
    </cfRule>
  </conditionalFormatting>
  <conditionalFormatting sqref="J22:J35">
    <cfRule type="cellIs" dxfId="3385" priority="2823" operator="lessThan">
      <formula>0</formula>
    </cfRule>
  </conditionalFormatting>
  <conditionalFormatting sqref="J22:J35">
    <cfRule type="cellIs" dxfId="3384" priority="2822" operator="lessThan">
      <formula>0</formula>
    </cfRule>
  </conditionalFormatting>
  <conditionalFormatting sqref="J22:J35">
    <cfRule type="cellIs" dxfId="3383" priority="2821" operator="lessThan">
      <formula>0</formula>
    </cfRule>
  </conditionalFormatting>
  <conditionalFormatting sqref="J22:J35">
    <cfRule type="cellIs" dxfId="3382" priority="2820" operator="lessThan">
      <formula>0</formula>
    </cfRule>
  </conditionalFormatting>
  <conditionalFormatting sqref="J22:J35">
    <cfRule type="cellIs" dxfId="3381" priority="2819" operator="lessThan">
      <formula>0</formula>
    </cfRule>
  </conditionalFormatting>
  <conditionalFormatting sqref="J22:J35">
    <cfRule type="cellIs" dxfId="3380" priority="2818" operator="lessThan">
      <formula>0</formula>
    </cfRule>
  </conditionalFormatting>
  <conditionalFormatting sqref="J22:J35">
    <cfRule type="cellIs" dxfId="3379" priority="2817" operator="lessThan">
      <formula>0</formula>
    </cfRule>
  </conditionalFormatting>
  <conditionalFormatting sqref="J22:J35">
    <cfRule type="cellIs" dxfId="3378" priority="2816" operator="lessThan">
      <formula>0</formula>
    </cfRule>
  </conditionalFormatting>
  <conditionalFormatting sqref="J22:J35">
    <cfRule type="cellIs" dxfId="3377" priority="2815" operator="lessThan">
      <formula>0</formula>
    </cfRule>
  </conditionalFormatting>
  <conditionalFormatting sqref="J22:J35">
    <cfRule type="cellIs" dxfId="3376" priority="2814" operator="lessThan">
      <formula>0</formula>
    </cfRule>
  </conditionalFormatting>
  <conditionalFormatting sqref="J22:J35">
    <cfRule type="cellIs" dxfId="3375" priority="2813" operator="lessThan">
      <formula>0</formula>
    </cfRule>
  </conditionalFormatting>
  <conditionalFormatting sqref="J22:J35">
    <cfRule type="cellIs" dxfId="3374" priority="2812" operator="lessThan">
      <formula>0</formula>
    </cfRule>
  </conditionalFormatting>
  <conditionalFormatting sqref="J22:J35">
    <cfRule type="cellIs" dxfId="3373" priority="2811" operator="lessThan">
      <formula>0</formula>
    </cfRule>
  </conditionalFormatting>
  <conditionalFormatting sqref="J22:J35">
    <cfRule type="cellIs" dxfId="3372" priority="2810" operator="lessThan">
      <formula>0</formula>
    </cfRule>
  </conditionalFormatting>
  <conditionalFormatting sqref="J22:J35">
    <cfRule type="cellIs" dxfId="3371" priority="2809" operator="lessThan">
      <formula>0</formula>
    </cfRule>
  </conditionalFormatting>
  <conditionalFormatting sqref="J22:J35">
    <cfRule type="cellIs" dxfId="3370" priority="2808" operator="lessThan">
      <formula>0</formula>
    </cfRule>
  </conditionalFormatting>
  <conditionalFormatting sqref="J22:J35">
    <cfRule type="cellIs" dxfId="3369" priority="2807" operator="lessThan">
      <formula>0</formula>
    </cfRule>
  </conditionalFormatting>
  <conditionalFormatting sqref="J22:J35">
    <cfRule type="cellIs" dxfId="3368" priority="2806" operator="lessThan">
      <formula>0</formula>
    </cfRule>
  </conditionalFormatting>
  <conditionalFormatting sqref="J22:J35">
    <cfRule type="cellIs" dxfId="3367" priority="2805" operator="lessThan">
      <formula>0</formula>
    </cfRule>
  </conditionalFormatting>
  <conditionalFormatting sqref="J22:J35">
    <cfRule type="cellIs" dxfId="3366" priority="2804" operator="lessThan">
      <formula>0</formula>
    </cfRule>
  </conditionalFormatting>
  <conditionalFormatting sqref="J22:J35">
    <cfRule type="cellIs" dxfId="3365" priority="2803" operator="lessThan">
      <formula>0</formula>
    </cfRule>
  </conditionalFormatting>
  <conditionalFormatting sqref="J22:J35">
    <cfRule type="cellIs" dxfId="3364" priority="2802" operator="lessThan">
      <formula>0</formula>
    </cfRule>
  </conditionalFormatting>
  <conditionalFormatting sqref="J22:J35">
    <cfRule type="cellIs" dxfId="3363" priority="2801" operator="lessThan">
      <formula>0</formula>
    </cfRule>
  </conditionalFormatting>
  <conditionalFormatting sqref="J22:J35">
    <cfRule type="cellIs" dxfId="3362" priority="2800" operator="lessThan">
      <formula>0</formula>
    </cfRule>
  </conditionalFormatting>
  <conditionalFormatting sqref="J22:J35">
    <cfRule type="cellIs" dxfId="3361" priority="2799" operator="lessThan">
      <formula>0</formula>
    </cfRule>
  </conditionalFormatting>
  <conditionalFormatting sqref="J22:J35">
    <cfRule type="cellIs" dxfId="3360" priority="2798" operator="lessThan">
      <formula>0</formula>
    </cfRule>
  </conditionalFormatting>
  <conditionalFormatting sqref="J22:J35">
    <cfRule type="cellIs" dxfId="3359" priority="2797" operator="lessThan">
      <formula>0</formula>
    </cfRule>
  </conditionalFormatting>
  <conditionalFormatting sqref="J22:J35">
    <cfRule type="cellIs" dxfId="3358" priority="2796" operator="lessThan">
      <formula>0</formula>
    </cfRule>
  </conditionalFormatting>
  <conditionalFormatting sqref="J22:J35">
    <cfRule type="cellIs" dxfId="3357" priority="2795" operator="lessThan">
      <formula>0</formula>
    </cfRule>
  </conditionalFormatting>
  <conditionalFormatting sqref="J22:J35">
    <cfRule type="cellIs" dxfId="3356" priority="2794" operator="lessThan">
      <formula>0</formula>
    </cfRule>
  </conditionalFormatting>
  <conditionalFormatting sqref="J22:J35">
    <cfRule type="cellIs" dxfId="3355" priority="2793" operator="lessThan">
      <formula>0</formula>
    </cfRule>
  </conditionalFormatting>
  <conditionalFormatting sqref="J22:J35">
    <cfRule type="cellIs" dxfId="3354" priority="2792" operator="lessThan">
      <formula>0</formula>
    </cfRule>
  </conditionalFormatting>
  <conditionalFormatting sqref="J22:J35">
    <cfRule type="cellIs" dxfId="3353" priority="2791" operator="lessThan">
      <formula>0</formula>
    </cfRule>
  </conditionalFormatting>
  <conditionalFormatting sqref="J22:J35">
    <cfRule type="cellIs" dxfId="3352" priority="2790" operator="lessThan">
      <formula>0</formula>
    </cfRule>
  </conditionalFormatting>
  <conditionalFormatting sqref="J22:J35">
    <cfRule type="cellIs" dxfId="3351" priority="2789" operator="lessThan">
      <formula>0</formula>
    </cfRule>
  </conditionalFormatting>
  <conditionalFormatting sqref="J22:J35">
    <cfRule type="cellIs" dxfId="3350" priority="2788" operator="lessThan">
      <formula>0</formula>
    </cfRule>
  </conditionalFormatting>
  <conditionalFormatting sqref="J22:J35">
    <cfRule type="cellIs" dxfId="3349" priority="2787" operator="lessThan">
      <formula>0</formula>
    </cfRule>
  </conditionalFormatting>
  <conditionalFormatting sqref="J22:J35">
    <cfRule type="cellIs" dxfId="3348" priority="2786" operator="lessThan">
      <formula>0</formula>
    </cfRule>
  </conditionalFormatting>
  <conditionalFormatting sqref="J22:J35">
    <cfRule type="cellIs" dxfId="3347" priority="2785" operator="lessThan">
      <formula>0</formula>
    </cfRule>
  </conditionalFormatting>
  <conditionalFormatting sqref="J4:J35">
    <cfRule type="cellIs" dxfId="3346" priority="2784" operator="lessThan">
      <formula>0</formula>
    </cfRule>
  </conditionalFormatting>
  <conditionalFormatting sqref="H4:H36">
    <cfRule type="cellIs" dxfId="3345" priority="2783" operator="lessThan">
      <formula>0</formula>
    </cfRule>
  </conditionalFormatting>
  <conditionalFormatting sqref="H18:H35">
    <cfRule type="cellIs" dxfId="3344" priority="2782" operator="lessThan">
      <formula>0</formula>
    </cfRule>
  </conditionalFormatting>
  <conditionalFormatting sqref="H18:H35">
    <cfRule type="cellIs" dxfId="3343" priority="2781" operator="lessThan">
      <formula>0</formula>
    </cfRule>
  </conditionalFormatting>
  <conditionalFormatting sqref="H18:H35">
    <cfRule type="cellIs" dxfId="3342" priority="2780" operator="lessThan">
      <formula>0</formula>
    </cfRule>
  </conditionalFormatting>
  <conditionalFormatting sqref="H18:H35">
    <cfRule type="cellIs" dxfId="3341" priority="2779" operator="lessThan">
      <formula>0</formula>
    </cfRule>
  </conditionalFormatting>
  <conditionalFormatting sqref="H18:H35">
    <cfRule type="cellIs" dxfId="3340" priority="2778" operator="lessThan">
      <formula>0</formula>
    </cfRule>
  </conditionalFormatting>
  <conditionalFormatting sqref="H18:H25">
    <cfRule type="cellIs" dxfId="3339" priority="2777" operator="lessThan">
      <formula>0</formula>
    </cfRule>
  </conditionalFormatting>
  <conditionalFormatting sqref="H18:H35">
    <cfRule type="cellIs" dxfId="3338" priority="2776" operator="lessThan">
      <formula>0</formula>
    </cfRule>
  </conditionalFormatting>
  <conditionalFormatting sqref="H18:H25">
    <cfRule type="cellIs" dxfId="3337" priority="2775" operator="lessThan">
      <formula>0</formula>
    </cfRule>
  </conditionalFormatting>
  <conditionalFormatting sqref="H18:H35">
    <cfRule type="cellIs" dxfId="3336" priority="2774" operator="lessThan">
      <formula>0</formula>
    </cfRule>
  </conditionalFormatting>
  <conditionalFormatting sqref="H18:H35">
    <cfRule type="cellIs" dxfId="3335" priority="2773" operator="lessThan">
      <formula>0</formula>
    </cfRule>
  </conditionalFormatting>
  <conditionalFormatting sqref="H18:H35">
    <cfRule type="cellIs" dxfId="3334" priority="2772" operator="lessThan">
      <formula>0</formula>
    </cfRule>
  </conditionalFormatting>
  <conditionalFormatting sqref="H18:H35">
    <cfRule type="cellIs" dxfId="3333" priority="2771" operator="lessThan">
      <formula>0</formula>
    </cfRule>
  </conditionalFormatting>
  <conditionalFormatting sqref="H18:H25">
    <cfRule type="cellIs" dxfId="3332" priority="2770" operator="lessThan">
      <formula>0</formula>
    </cfRule>
  </conditionalFormatting>
  <conditionalFormatting sqref="H18:H25">
    <cfRule type="cellIs" dxfId="3331" priority="2769" operator="lessThan">
      <formula>0</formula>
    </cfRule>
  </conditionalFormatting>
  <conditionalFormatting sqref="H18:H35">
    <cfRule type="cellIs" dxfId="3330" priority="2768" operator="lessThan">
      <formula>0</formula>
    </cfRule>
  </conditionalFormatting>
  <conditionalFormatting sqref="H18:H35">
    <cfRule type="cellIs" dxfId="3329" priority="2767" operator="lessThan">
      <formula>0</formula>
    </cfRule>
  </conditionalFormatting>
  <conditionalFormatting sqref="H18:H35">
    <cfRule type="cellIs" dxfId="3328" priority="2766" operator="lessThan">
      <formula>0</formula>
    </cfRule>
  </conditionalFormatting>
  <conditionalFormatting sqref="H18:H25">
    <cfRule type="cellIs" dxfId="3327" priority="2765" operator="lessThan">
      <formula>0</formula>
    </cfRule>
  </conditionalFormatting>
  <conditionalFormatting sqref="H18:H35">
    <cfRule type="cellIs" dxfId="3326" priority="2764" operator="lessThan">
      <formula>0</formula>
    </cfRule>
  </conditionalFormatting>
  <conditionalFormatting sqref="H18:H35">
    <cfRule type="cellIs" dxfId="3325" priority="2763" operator="lessThan">
      <formula>0</formula>
    </cfRule>
  </conditionalFormatting>
  <conditionalFormatting sqref="H18:H35">
    <cfRule type="cellIs" dxfId="3324" priority="2762" operator="lessThan">
      <formula>0</formula>
    </cfRule>
  </conditionalFormatting>
  <conditionalFormatting sqref="H18:H25">
    <cfRule type="cellIs" dxfId="3323" priority="2761" operator="lessThan">
      <formula>0</formula>
    </cfRule>
  </conditionalFormatting>
  <conditionalFormatting sqref="H18:H25">
    <cfRule type="cellIs" dxfId="3322" priority="2760" operator="lessThan">
      <formula>0</formula>
    </cfRule>
  </conditionalFormatting>
  <conditionalFormatting sqref="H18:H25">
    <cfRule type="cellIs" dxfId="3321" priority="2759" operator="lessThan">
      <formula>0</formula>
    </cfRule>
  </conditionalFormatting>
  <conditionalFormatting sqref="H18:H25">
    <cfRule type="cellIs" dxfId="3320" priority="2758" operator="lessThan">
      <formula>0</formula>
    </cfRule>
  </conditionalFormatting>
  <conditionalFormatting sqref="H18:H25">
    <cfRule type="cellIs" dxfId="3319" priority="2757" operator="lessThan">
      <formula>0</formula>
    </cfRule>
  </conditionalFormatting>
  <conditionalFormatting sqref="H18:H25">
    <cfRule type="cellIs" dxfId="3318" priority="2756" operator="lessThan">
      <formula>0</formula>
    </cfRule>
  </conditionalFormatting>
  <conditionalFormatting sqref="H18:H25">
    <cfRule type="cellIs" dxfId="3317" priority="2755" operator="lessThan">
      <formula>0</formula>
    </cfRule>
  </conditionalFormatting>
  <conditionalFormatting sqref="H18:H25">
    <cfRule type="cellIs" dxfId="3316" priority="2754" operator="lessThan">
      <formula>0</formula>
    </cfRule>
  </conditionalFormatting>
  <conditionalFormatting sqref="H18:H25">
    <cfRule type="cellIs" dxfId="3315" priority="2753" operator="lessThan">
      <formula>0</formula>
    </cfRule>
  </conditionalFormatting>
  <conditionalFormatting sqref="H18:H25">
    <cfRule type="cellIs" dxfId="3314" priority="2752" operator="lessThan">
      <formula>0</formula>
    </cfRule>
  </conditionalFormatting>
  <conditionalFormatting sqref="H18:H25">
    <cfRule type="cellIs" dxfId="3313" priority="2751" operator="lessThan">
      <formula>0</formula>
    </cfRule>
  </conditionalFormatting>
  <conditionalFormatting sqref="H18:H35">
    <cfRule type="cellIs" dxfId="3312" priority="2750" operator="lessThan">
      <formula>0</formula>
    </cfRule>
  </conditionalFormatting>
  <conditionalFormatting sqref="H18:H25">
    <cfRule type="cellIs" dxfId="3311" priority="2749" operator="lessThan">
      <formula>0</formula>
    </cfRule>
  </conditionalFormatting>
  <conditionalFormatting sqref="H18:H25">
    <cfRule type="cellIs" dxfId="3310" priority="2748" operator="lessThan">
      <formula>0</formula>
    </cfRule>
  </conditionalFormatting>
  <conditionalFormatting sqref="H18:H25">
    <cfRule type="cellIs" dxfId="3309" priority="2747" operator="lessThan">
      <formula>0</formula>
    </cfRule>
  </conditionalFormatting>
  <conditionalFormatting sqref="H18:H25">
    <cfRule type="cellIs" dxfId="3308" priority="2746" operator="lessThan">
      <formula>0</formula>
    </cfRule>
  </conditionalFormatting>
  <conditionalFormatting sqref="H18:H25">
    <cfRule type="cellIs" dxfId="3307" priority="2745" operator="lessThan">
      <formula>0</formula>
    </cfRule>
  </conditionalFormatting>
  <conditionalFormatting sqref="H18:H25">
    <cfRule type="cellIs" dxfId="3306" priority="2744" operator="lessThan">
      <formula>0</formula>
    </cfRule>
  </conditionalFormatting>
  <conditionalFormatting sqref="H18:H25">
    <cfRule type="cellIs" dxfId="3305" priority="2743" operator="lessThan">
      <formula>0</formula>
    </cfRule>
  </conditionalFormatting>
  <conditionalFormatting sqref="H18:H25">
    <cfRule type="cellIs" dxfId="3304" priority="2742" operator="lessThan">
      <formula>0</formula>
    </cfRule>
  </conditionalFormatting>
  <conditionalFormatting sqref="H18:H25">
    <cfRule type="cellIs" dxfId="3303" priority="2741" operator="lessThan">
      <formula>0</formula>
    </cfRule>
  </conditionalFormatting>
  <conditionalFormatting sqref="H18:H35">
    <cfRule type="cellIs" dxfId="3302" priority="2740" operator="lessThan">
      <formula>0</formula>
    </cfRule>
  </conditionalFormatting>
  <conditionalFormatting sqref="H18:H35">
    <cfRule type="cellIs" dxfId="3301" priority="2739" operator="lessThan">
      <formula>0</formula>
    </cfRule>
  </conditionalFormatting>
  <conditionalFormatting sqref="H18:H35">
    <cfRule type="cellIs" dxfId="3300" priority="2738" operator="lessThan">
      <formula>0</formula>
    </cfRule>
  </conditionalFormatting>
  <conditionalFormatting sqref="H4:H36">
    <cfRule type="cellIs" dxfId="3299" priority="2737" operator="lessThan">
      <formula>0</formula>
    </cfRule>
  </conditionalFormatting>
  <conditionalFormatting sqref="E4:E35">
    <cfRule type="cellIs" dxfId="3298" priority="2736" operator="lessThan">
      <formula>0</formula>
    </cfRule>
  </conditionalFormatting>
  <conditionalFormatting sqref="E4:E35">
    <cfRule type="cellIs" dxfId="3297" priority="2735" operator="lessThan">
      <formula>0</formula>
    </cfRule>
  </conditionalFormatting>
  <conditionalFormatting sqref="E4:E35">
    <cfRule type="cellIs" dxfId="3296" priority="2734" operator="lessThan">
      <formula>0</formula>
    </cfRule>
  </conditionalFormatting>
  <conditionalFormatting sqref="E4:E35">
    <cfRule type="cellIs" dxfId="3295" priority="2733" operator="lessThan">
      <formula>0</formula>
    </cfRule>
  </conditionalFormatting>
  <conditionalFormatting sqref="E4:E35">
    <cfRule type="cellIs" dxfId="3294" priority="2732" operator="lessThan">
      <formula>0</formula>
    </cfRule>
  </conditionalFormatting>
  <conditionalFormatting sqref="E4:E35">
    <cfRule type="cellIs" dxfId="3293" priority="2731" operator="lessThan">
      <formula>0</formula>
    </cfRule>
  </conditionalFormatting>
  <conditionalFormatting sqref="E4:E35">
    <cfRule type="cellIs" dxfId="3292" priority="2730" operator="lessThan">
      <formula>0</formula>
    </cfRule>
  </conditionalFormatting>
  <conditionalFormatting sqref="E4:E35">
    <cfRule type="cellIs" dxfId="3291" priority="2729" operator="lessThan">
      <formula>0</formula>
    </cfRule>
  </conditionalFormatting>
  <conditionalFormatting sqref="E4:E35">
    <cfRule type="cellIs" dxfId="3290" priority="2728" operator="lessThan">
      <formula>0</formula>
    </cfRule>
  </conditionalFormatting>
  <conditionalFormatting sqref="E4:E35">
    <cfRule type="cellIs" dxfId="3289" priority="2727" operator="lessThan">
      <formula>0</formula>
    </cfRule>
  </conditionalFormatting>
  <conditionalFormatting sqref="E4:E35">
    <cfRule type="cellIs" dxfId="3288" priority="2726" operator="lessThan">
      <formula>0</formula>
    </cfRule>
  </conditionalFormatting>
  <conditionalFormatting sqref="E4:E35">
    <cfRule type="cellIs" dxfId="3287" priority="2725" operator="lessThan">
      <formula>0</formula>
    </cfRule>
  </conditionalFormatting>
  <conditionalFormatting sqref="E4:E35">
    <cfRule type="cellIs" dxfId="3286" priority="2724" operator="lessThan">
      <formula>0</formula>
    </cfRule>
  </conditionalFormatting>
  <conditionalFormatting sqref="E4:E35">
    <cfRule type="cellIs" dxfId="3285" priority="2723" operator="lessThan">
      <formula>0</formula>
    </cfRule>
  </conditionalFormatting>
  <conditionalFormatting sqref="E4:E35">
    <cfRule type="cellIs" dxfId="3284" priority="2722" operator="lessThan">
      <formula>0</formula>
    </cfRule>
  </conditionalFormatting>
  <conditionalFormatting sqref="E4:E35">
    <cfRule type="cellIs" dxfId="3283" priority="2721" operator="lessThan">
      <formula>0</formula>
    </cfRule>
  </conditionalFormatting>
  <conditionalFormatting sqref="E4:E35">
    <cfRule type="cellIs" dxfId="3282" priority="2720" operator="lessThan">
      <formula>0</formula>
    </cfRule>
  </conditionalFormatting>
  <conditionalFormatting sqref="E4:E35">
    <cfRule type="cellIs" dxfId="3281" priority="2719" operator="lessThan">
      <formula>0</formula>
    </cfRule>
  </conditionalFormatting>
  <conditionalFormatting sqref="E4:E35">
    <cfRule type="cellIs" dxfId="3280" priority="2718" operator="lessThan">
      <formula>0</formula>
    </cfRule>
  </conditionalFormatting>
  <conditionalFormatting sqref="E4:E35">
    <cfRule type="cellIs" dxfId="3279" priority="2717" operator="lessThan">
      <formula>0</formula>
    </cfRule>
  </conditionalFormatting>
  <conditionalFormatting sqref="E4:E35">
    <cfRule type="cellIs" dxfId="3278" priority="2716" operator="lessThan">
      <formula>0</formula>
    </cfRule>
  </conditionalFormatting>
  <conditionalFormatting sqref="E4:E35">
    <cfRule type="cellIs" dxfId="3277" priority="2715" operator="lessThan">
      <formula>0</formula>
    </cfRule>
  </conditionalFormatting>
  <conditionalFormatting sqref="E4:E35">
    <cfRule type="cellIs" dxfId="3276" priority="2714" operator="lessThan">
      <formula>0</formula>
    </cfRule>
  </conditionalFormatting>
  <conditionalFormatting sqref="E4:E35">
    <cfRule type="cellIs" dxfId="3275" priority="2713" operator="lessThan">
      <formula>0</formula>
    </cfRule>
  </conditionalFormatting>
  <conditionalFormatting sqref="E4:E35">
    <cfRule type="cellIs" dxfId="3274" priority="2712" operator="lessThan">
      <formula>0</formula>
    </cfRule>
  </conditionalFormatting>
  <conditionalFormatting sqref="E4:E35">
    <cfRule type="cellIs" dxfId="3273" priority="2711" operator="lessThan">
      <formula>0</formula>
    </cfRule>
  </conditionalFormatting>
  <conditionalFormatting sqref="E4:E35">
    <cfRule type="cellIs" dxfId="3272" priority="2710" operator="lessThan">
      <formula>0</formula>
    </cfRule>
  </conditionalFormatting>
  <conditionalFormatting sqref="E4:E35">
    <cfRule type="cellIs" dxfId="3271" priority="2709" operator="lessThan">
      <formula>0</formula>
    </cfRule>
  </conditionalFormatting>
  <conditionalFormatting sqref="E4:E35">
    <cfRule type="cellIs" dxfId="3270" priority="2708" operator="lessThan">
      <formula>0</formula>
    </cfRule>
  </conditionalFormatting>
  <conditionalFormatting sqref="E4:E35">
    <cfRule type="cellIs" dxfId="3269" priority="2707" operator="lessThan">
      <formula>0</formula>
    </cfRule>
  </conditionalFormatting>
  <conditionalFormatting sqref="E4:E35">
    <cfRule type="cellIs" dxfId="3268" priority="2706" operator="lessThan">
      <formula>0</formula>
    </cfRule>
  </conditionalFormatting>
  <conditionalFormatting sqref="E4:E35">
    <cfRule type="cellIs" dxfId="3267" priority="2705" operator="lessThan">
      <formula>0</formula>
    </cfRule>
  </conditionalFormatting>
  <conditionalFormatting sqref="E4:E35">
    <cfRule type="cellIs" dxfId="3266" priority="2704" operator="lessThan">
      <formula>0</formula>
    </cfRule>
  </conditionalFormatting>
  <conditionalFormatting sqref="E4:E35">
    <cfRule type="cellIs" dxfId="3265" priority="2703" operator="lessThan">
      <formula>0</formula>
    </cfRule>
  </conditionalFormatting>
  <conditionalFormatting sqref="E4:E35">
    <cfRule type="cellIs" dxfId="3264" priority="2702" operator="lessThan">
      <formula>0</formula>
    </cfRule>
  </conditionalFormatting>
  <conditionalFormatting sqref="E4:E35">
    <cfRule type="cellIs" dxfId="3263" priority="2701" operator="lessThan">
      <formula>0</formula>
    </cfRule>
  </conditionalFormatting>
  <conditionalFormatting sqref="E4:E35">
    <cfRule type="cellIs" dxfId="3262" priority="2700" operator="lessThan">
      <formula>0</formula>
    </cfRule>
  </conditionalFormatting>
  <conditionalFormatting sqref="E4:E35">
    <cfRule type="cellIs" dxfId="3261" priority="2699" operator="lessThan">
      <formula>0</formula>
    </cfRule>
  </conditionalFormatting>
  <conditionalFormatting sqref="E4:E35">
    <cfRule type="cellIs" dxfId="3260" priority="2698" operator="lessThan">
      <formula>0</formula>
    </cfRule>
  </conditionalFormatting>
  <conditionalFormatting sqref="E4:E35">
    <cfRule type="cellIs" dxfId="3259" priority="2697" operator="lessThan">
      <formula>0</formula>
    </cfRule>
  </conditionalFormatting>
  <conditionalFormatting sqref="E4:E35">
    <cfRule type="cellIs" dxfId="3258" priority="2696" operator="lessThan">
      <formula>0</formula>
    </cfRule>
  </conditionalFormatting>
  <conditionalFormatting sqref="E4:E35">
    <cfRule type="cellIs" dxfId="3257" priority="2695" operator="lessThan">
      <formula>0</formula>
    </cfRule>
  </conditionalFormatting>
  <conditionalFormatting sqref="E4:E35">
    <cfRule type="cellIs" dxfId="3256" priority="2694" operator="lessThan">
      <formula>0</formula>
    </cfRule>
  </conditionalFormatting>
  <conditionalFormatting sqref="J4:J35">
    <cfRule type="cellIs" dxfId="3255" priority="2693" operator="lessThan">
      <formula>0</formula>
    </cfRule>
  </conditionalFormatting>
  <conditionalFormatting sqref="J4:J35">
    <cfRule type="cellIs" dxfId="3254" priority="2692" operator="lessThan">
      <formula>0</formula>
    </cfRule>
  </conditionalFormatting>
  <conditionalFormatting sqref="J4:J35">
    <cfRule type="cellIs" dxfId="3253" priority="2691" operator="lessThan">
      <formula>0</formula>
    </cfRule>
  </conditionalFormatting>
  <conditionalFormatting sqref="J4:J35">
    <cfRule type="cellIs" dxfId="3252" priority="2690" operator="lessThan">
      <formula>0</formula>
    </cfRule>
  </conditionalFormatting>
  <conditionalFormatting sqref="J4:J35">
    <cfRule type="cellIs" dxfId="3251" priority="2689" operator="lessThan">
      <formula>0</formula>
    </cfRule>
  </conditionalFormatting>
  <conditionalFormatting sqref="J4:J35">
    <cfRule type="cellIs" dxfId="3250" priority="2688" operator="lessThan">
      <formula>0</formula>
    </cfRule>
  </conditionalFormatting>
  <conditionalFormatting sqref="J4:J35">
    <cfRule type="cellIs" dxfId="3249" priority="2687" operator="lessThan">
      <formula>0</formula>
    </cfRule>
  </conditionalFormatting>
  <conditionalFormatting sqref="J4:J35">
    <cfRule type="cellIs" dxfId="3248" priority="2686" operator="lessThan">
      <formula>0</formula>
    </cfRule>
  </conditionalFormatting>
  <conditionalFormatting sqref="J4:J35">
    <cfRule type="cellIs" dxfId="3247" priority="2685" operator="lessThan">
      <formula>0</formula>
    </cfRule>
  </conditionalFormatting>
  <conditionalFormatting sqref="J4:J35">
    <cfRule type="cellIs" dxfId="3246" priority="2684" operator="lessThan">
      <formula>0</formula>
    </cfRule>
  </conditionalFormatting>
  <conditionalFormatting sqref="J4:J35">
    <cfRule type="cellIs" dxfId="3245" priority="2683" operator="lessThan">
      <formula>0</formula>
    </cfRule>
  </conditionalFormatting>
  <conditionalFormatting sqref="J4:J35">
    <cfRule type="cellIs" dxfId="3244" priority="2682" operator="lessThan">
      <formula>0</formula>
    </cfRule>
  </conditionalFormatting>
  <conditionalFormatting sqref="J4:J35">
    <cfRule type="cellIs" dxfId="3243" priority="2681" operator="lessThan">
      <formula>0</formula>
    </cfRule>
  </conditionalFormatting>
  <conditionalFormatting sqref="J4:J35">
    <cfRule type="cellIs" dxfId="3242" priority="2680" operator="lessThan">
      <formula>0</formula>
    </cfRule>
  </conditionalFormatting>
  <conditionalFormatting sqref="J4:J35">
    <cfRule type="cellIs" dxfId="3241" priority="2679" operator="lessThan">
      <formula>0</formula>
    </cfRule>
  </conditionalFormatting>
  <conditionalFormatting sqref="J4:J35">
    <cfRule type="cellIs" dxfId="3240" priority="2678" operator="lessThan">
      <formula>0</formula>
    </cfRule>
  </conditionalFormatting>
  <conditionalFormatting sqref="J4:J35">
    <cfRule type="cellIs" dxfId="3239" priority="2677" operator="lessThan">
      <formula>0</formula>
    </cfRule>
  </conditionalFormatting>
  <conditionalFormatting sqref="J4:J35">
    <cfRule type="cellIs" dxfId="3238" priority="2676" operator="lessThan">
      <formula>0</formula>
    </cfRule>
  </conditionalFormatting>
  <conditionalFormatting sqref="J4:J35">
    <cfRule type="cellIs" dxfId="3237" priority="2675" operator="lessThan">
      <formula>0</formula>
    </cfRule>
  </conditionalFormatting>
  <conditionalFormatting sqref="J4:J35">
    <cfRule type="cellIs" dxfId="3236" priority="2674" operator="lessThan">
      <formula>0</formula>
    </cfRule>
  </conditionalFormatting>
  <conditionalFormatting sqref="J4:J35">
    <cfRule type="cellIs" dxfId="3235" priority="2673" operator="lessThan">
      <formula>0</formula>
    </cfRule>
  </conditionalFormatting>
  <conditionalFormatting sqref="J4:J35">
    <cfRule type="cellIs" dxfId="3234" priority="2672" operator="lessThan">
      <formula>0</formula>
    </cfRule>
  </conditionalFormatting>
  <conditionalFormatting sqref="J4:J35">
    <cfRule type="cellIs" dxfId="3233" priority="2671" operator="lessThan">
      <formula>0</formula>
    </cfRule>
  </conditionalFormatting>
  <conditionalFormatting sqref="J4:J35">
    <cfRule type="cellIs" dxfId="3232" priority="2670" operator="lessThan">
      <formula>0</formula>
    </cfRule>
  </conditionalFormatting>
  <conditionalFormatting sqref="J4:J35">
    <cfRule type="cellIs" dxfId="3231" priority="2669" operator="lessThan">
      <formula>0</formula>
    </cfRule>
  </conditionalFormatting>
  <conditionalFormatting sqref="J4:J35">
    <cfRule type="cellIs" dxfId="3230" priority="2668" operator="lessThan">
      <formula>0</formula>
    </cfRule>
  </conditionalFormatting>
  <conditionalFormatting sqref="J4:J35">
    <cfRule type="cellIs" dxfId="3229" priority="2667" operator="lessThan">
      <formula>0</formula>
    </cfRule>
  </conditionalFormatting>
  <conditionalFormatting sqref="J4:J35">
    <cfRule type="cellIs" dxfId="3228" priority="2666" operator="lessThan">
      <formula>0</formula>
    </cfRule>
  </conditionalFormatting>
  <conditionalFormatting sqref="J4:J35">
    <cfRule type="cellIs" dxfId="3227" priority="2665" operator="lessThan">
      <formula>0</formula>
    </cfRule>
  </conditionalFormatting>
  <conditionalFormatting sqref="J4:J35">
    <cfRule type="cellIs" dxfId="3226" priority="2664" operator="lessThan">
      <formula>0</formula>
    </cfRule>
  </conditionalFormatting>
  <conditionalFormatting sqref="J4:J35">
    <cfRule type="cellIs" dxfId="3225" priority="2663" operator="lessThan">
      <formula>0</formula>
    </cfRule>
  </conditionalFormatting>
  <conditionalFormatting sqref="J4:J35">
    <cfRule type="cellIs" dxfId="3224" priority="2662" operator="lessThan">
      <formula>0</formula>
    </cfRule>
  </conditionalFormatting>
  <conditionalFormatting sqref="J4:J35">
    <cfRule type="cellIs" dxfId="3223" priority="2661" operator="lessThan">
      <formula>0</formula>
    </cfRule>
  </conditionalFormatting>
  <conditionalFormatting sqref="J4:J35">
    <cfRule type="cellIs" dxfId="3222" priority="2660" operator="lessThan">
      <formula>0</formula>
    </cfRule>
  </conditionalFormatting>
  <conditionalFormatting sqref="J4:J35">
    <cfRule type="cellIs" dxfId="3221" priority="2659" operator="lessThan">
      <formula>0</formula>
    </cfRule>
  </conditionalFormatting>
  <conditionalFormatting sqref="J4:J35">
    <cfRule type="cellIs" dxfId="3220" priority="2658" operator="lessThan">
      <formula>0</formula>
    </cfRule>
  </conditionalFormatting>
  <conditionalFormatting sqref="J4:J35">
    <cfRule type="cellIs" dxfId="3219" priority="2657" operator="lessThan">
      <formula>0</formula>
    </cfRule>
  </conditionalFormatting>
  <conditionalFormatting sqref="J4:J35">
    <cfRule type="cellIs" dxfId="3218" priority="2656" operator="lessThan">
      <formula>0</formula>
    </cfRule>
  </conditionalFormatting>
  <conditionalFormatting sqref="J4:J35">
    <cfRule type="cellIs" dxfId="3217" priority="2655" operator="lessThan">
      <formula>0</formula>
    </cfRule>
  </conditionalFormatting>
  <conditionalFormatting sqref="J4:J35">
    <cfRule type="cellIs" dxfId="3216" priority="2654" operator="lessThan">
      <formula>0</formula>
    </cfRule>
  </conditionalFormatting>
  <conditionalFormatting sqref="J4:J35">
    <cfRule type="cellIs" dxfId="3215" priority="2653" operator="lessThan">
      <formula>0</formula>
    </cfRule>
  </conditionalFormatting>
  <conditionalFormatting sqref="L4:L35">
    <cfRule type="cellIs" dxfId="3214" priority="2652" operator="lessThan">
      <formula>0</formula>
    </cfRule>
  </conditionalFormatting>
  <conditionalFormatting sqref="L4:L35">
    <cfRule type="cellIs" dxfId="3213" priority="2651" operator="lessThan">
      <formula>0</formula>
    </cfRule>
  </conditionalFormatting>
  <conditionalFormatting sqref="L4:L35">
    <cfRule type="cellIs" dxfId="3212" priority="2650" operator="lessThan">
      <formula>0</formula>
    </cfRule>
  </conditionalFormatting>
  <conditionalFormatting sqref="L4:L35">
    <cfRule type="cellIs" dxfId="3211" priority="2649" operator="lessThan">
      <formula>0</formula>
    </cfRule>
  </conditionalFormatting>
  <conditionalFormatting sqref="L4:L35">
    <cfRule type="cellIs" dxfId="3210" priority="2648" operator="lessThan">
      <formula>0</formula>
    </cfRule>
  </conditionalFormatting>
  <conditionalFormatting sqref="L4:L35">
    <cfRule type="cellIs" dxfId="3209" priority="2647" operator="lessThan">
      <formula>0</formula>
    </cfRule>
  </conditionalFormatting>
  <conditionalFormatting sqref="L4:L35">
    <cfRule type="cellIs" dxfId="3208" priority="2646" operator="lessThan">
      <formula>0</formula>
    </cfRule>
  </conditionalFormatting>
  <conditionalFormatting sqref="L4:L35">
    <cfRule type="cellIs" dxfId="3207" priority="2645" operator="lessThan">
      <formula>0</formula>
    </cfRule>
  </conditionalFormatting>
  <conditionalFormatting sqref="L4:L35">
    <cfRule type="cellIs" dxfId="3206" priority="2644" operator="lessThan">
      <formula>0</formula>
    </cfRule>
  </conditionalFormatting>
  <conditionalFormatting sqref="L4:L35">
    <cfRule type="cellIs" dxfId="3205" priority="2643" operator="lessThan">
      <formula>0</formula>
    </cfRule>
  </conditionalFormatting>
  <conditionalFormatting sqref="L4:L35">
    <cfRule type="cellIs" dxfId="3204" priority="2642" operator="lessThan">
      <formula>0</formula>
    </cfRule>
  </conditionalFormatting>
  <conditionalFormatting sqref="L4:L35">
    <cfRule type="cellIs" dxfId="3203" priority="2641" operator="lessThan">
      <formula>0</formula>
    </cfRule>
  </conditionalFormatting>
  <conditionalFormatting sqref="C4:C35">
    <cfRule type="cellIs" dxfId="3202" priority="2640" operator="lessThan">
      <formula>0</formula>
    </cfRule>
  </conditionalFormatting>
  <conditionalFormatting sqref="C4:C35">
    <cfRule type="cellIs" dxfId="3201" priority="2639" operator="lessThan">
      <formula>0</formula>
    </cfRule>
  </conditionalFormatting>
  <conditionalFormatting sqref="C4:C35">
    <cfRule type="cellIs" dxfId="3200" priority="2638" operator="lessThan">
      <formula>0</formula>
    </cfRule>
  </conditionalFormatting>
  <conditionalFormatting sqref="C4:C35">
    <cfRule type="cellIs" dxfId="3199" priority="2637" operator="lessThan">
      <formula>0</formula>
    </cfRule>
  </conditionalFormatting>
  <conditionalFormatting sqref="C4:C35">
    <cfRule type="cellIs" dxfId="3198" priority="2636" operator="lessThan">
      <formula>0</formula>
    </cfRule>
  </conditionalFormatting>
  <conditionalFormatting sqref="C4:C35">
    <cfRule type="cellIs" dxfId="3197" priority="2635" operator="lessThan">
      <formula>0</formula>
    </cfRule>
  </conditionalFormatting>
  <conditionalFormatting sqref="C4:C35">
    <cfRule type="cellIs" dxfId="3196" priority="2634" operator="lessThan">
      <formula>0</formula>
    </cfRule>
  </conditionalFormatting>
  <conditionalFormatting sqref="C4:C35">
    <cfRule type="cellIs" dxfId="3195" priority="2633" operator="lessThan">
      <formula>0</formula>
    </cfRule>
  </conditionalFormatting>
  <conditionalFormatting sqref="C4:C35">
    <cfRule type="cellIs" dxfId="3194" priority="2632" operator="lessThan">
      <formula>0</formula>
    </cfRule>
  </conditionalFormatting>
  <conditionalFormatting sqref="C4:C35">
    <cfRule type="cellIs" dxfId="3193" priority="2631" operator="lessThan">
      <formula>0</formula>
    </cfRule>
  </conditionalFormatting>
  <conditionalFormatting sqref="J4:J35">
    <cfRule type="cellIs" dxfId="3192" priority="2630" operator="lessThan">
      <formula>0</formula>
    </cfRule>
  </conditionalFormatting>
  <conditionalFormatting sqref="J4:J35">
    <cfRule type="cellIs" dxfId="3191" priority="2629" operator="lessThan">
      <formula>0</formula>
    </cfRule>
  </conditionalFormatting>
  <conditionalFormatting sqref="J4:J35">
    <cfRule type="cellIs" dxfId="3190" priority="2628" operator="lessThan">
      <formula>0</formula>
    </cfRule>
  </conditionalFormatting>
  <conditionalFormatting sqref="J4:J35">
    <cfRule type="cellIs" dxfId="3189" priority="2627" operator="lessThan">
      <formula>0</formula>
    </cfRule>
  </conditionalFormatting>
  <conditionalFormatting sqref="J4:J35">
    <cfRule type="cellIs" dxfId="3188" priority="2626" operator="lessThan">
      <formula>0</formula>
    </cfRule>
  </conditionalFormatting>
  <conditionalFormatting sqref="J4:J35">
    <cfRule type="cellIs" dxfId="3187" priority="2625" operator="lessThan">
      <formula>0</formula>
    </cfRule>
  </conditionalFormatting>
  <conditionalFormatting sqref="J4:J35">
    <cfRule type="cellIs" dxfId="3186" priority="2624" operator="lessThan">
      <formula>0</formula>
    </cfRule>
  </conditionalFormatting>
  <conditionalFormatting sqref="J4:J35">
    <cfRule type="cellIs" dxfId="3185" priority="2623" operator="lessThan">
      <formula>0</formula>
    </cfRule>
  </conditionalFormatting>
  <conditionalFormatting sqref="J4:J35">
    <cfRule type="cellIs" dxfId="3184" priority="2622" operator="lessThan">
      <formula>0</formula>
    </cfRule>
  </conditionalFormatting>
  <conditionalFormatting sqref="J4:J35">
    <cfRule type="cellIs" dxfId="3183" priority="2621" operator="lessThan">
      <formula>0</formula>
    </cfRule>
  </conditionalFormatting>
  <conditionalFormatting sqref="J4:J35">
    <cfRule type="cellIs" dxfId="3182" priority="2620" operator="lessThan">
      <formula>0</formula>
    </cfRule>
  </conditionalFormatting>
  <conditionalFormatting sqref="J4:J35">
    <cfRule type="cellIs" dxfId="3181" priority="2619" operator="lessThan">
      <formula>0</formula>
    </cfRule>
  </conditionalFormatting>
  <conditionalFormatting sqref="J4:J35">
    <cfRule type="cellIs" dxfId="3180" priority="2618" operator="lessThan">
      <formula>0</formula>
    </cfRule>
  </conditionalFormatting>
  <conditionalFormatting sqref="J4:J35">
    <cfRule type="cellIs" dxfId="3179" priority="2617" operator="lessThan">
      <formula>0</formula>
    </cfRule>
  </conditionalFormatting>
  <conditionalFormatting sqref="J4:J35">
    <cfRule type="cellIs" dxfId="3178" priority="2616" operator="lessThan">
      <formula>0</formula>
    </cfRule>
  </conditionalFormatting>
  <conditionalFormatting sqref="J4:J35">
    <cfRule type="cellIs" dxfId="3177" priority="2615" operator="lessThan">
      <formula>0</formula>
    </cfRule>
  </conditionalFormatting>
  <conditionalFormatting sqref="J4:J35">
    <cfRule type="cellIs" dxfId="3176" priority="2614" operator="lessThan">
      <formula>0</formula>
    </cfRule>
  </conditionalFormatting>
  <conditionalFormatting sqref="J4:J35">
    <cfRule type="cellIs" dxfId="3175" priority="2613" operator="lessThan">
      <formula>0</formula>
    </cfRule>
  </conditionalFormatting>
  <conditionalFormatting sqref="J4:J35">
    <cfRule type="cellIs" dxfId="3174" priority="2612" operator="lessThan">
      <formula>0</formula>
    </cfRule>
  </conditionalFormatting>
  <conditionalFormatting sqref="J4:J35">
    <cfRule type="cellIs" dxfId="3173" priority="2611" operator="lessThan">
      <formula>0</formula>
    </cfRule>
  </conditionalFormatting>
  <conditionalFormatting sqref="J4:J35">
    <cfRule type="cellIs" dxfId="3172" priority="2610" operator="lessThan">
      <formula>0</formula>
    </cfRule>
  </conditionalFormatting>
  <conditionalFormatting sqref="J4:J35">
    <cfRule type="cellIs" dxfId="3171" priority="2609" operator="lessThan">
      <formula>0</formula>
    </cfRule>
  </conditionalFormatting>
  <conditionalFormatting sqref="J4:J35">
    <cfRule type="cellIs" dxfId="3170" priority="2608" operator="lessThan">
      <formula>0</formula>
    </cfRule>
  </conditionalFormatting>
  <conditionalFormatting sqref="J4:J35">
    <cfRule type="cellIs" dxfId="3169" priority="2607" operator="lessThan">
      <formula>0</formula>
    </cfRule>
  </conditionalFormatting>
  <conditionalFormatting sqref="J4:J35">
    <cfRule type="cellIs" dxfId="3168" priority="2606" operator="lessThan">
      <formula>0</formula>
    </cfRule>
  </conditionalFormatting>
  <conditionalFormatting sqref="J4:J35">
    <cfRule type="cellIs" dxfId="3167" priority="2605" operator="lessThan">
      <formula>0</formula>
    </cfRule>
  </conditionalFormatting>
  <conditionalFormatting sqref="J4:J35">
    <cfRule type="cellIs" dxfId="3166" priority="2604" operator="lessThan">
      <formula>0</formula>
    </cfRule>
  </conditionalFormatting>
  <conditionalFormatting sqref="J4:J35">
    <cfRule type="cellIs" dxfId="3165" priority="2603" operator="lessThan">
      <formula>0</formula>
    </cfRule>
  </conditionalFormatting>
  <conditionalFormatting sqref="J4:J35">
    <cfRule type="cellIs" dxfId="3164" priority="2602" operator="lessThan">
      <formula>0</formula>
    </cfRule>
  </conditionalFormatting>
  <conditionalFormatting sqref="J4:J35">
    <cfRule type="cellIs" dxfId="3163" priority="2601" operator="lessThan">
      <formula>0</formula>
    </cfRule>
  </conditionalFormatting>
  <conditionalFormatting sqref="J4:J35">
    <cfRule type="cellIs" dxfId="3162" priority="2600" operator="lessThan">
      <formula>0</formula>
    </cfRule>
  </conditionalFormatting>
  <conditionalFormatting sqref="J4:J35">
    <cfRule type="cellIs" dxfId="3161" priority="2599" operator="lessThan">
      <formula>0</formula>
    </cfRule>
  </conditionalFormatting>
  <conditionalFormatting sqref="J4:J35">
    <cfRule type="cellIs" dxfId="3160" priority="2598" operator="lessThan">
      <formula>0</formula>
    </cfRule>
  </conditionalFormatting>
  <conditionalFormatting sqref="J4:J35">
    <cfRule type="cellIs" dxfId="3159" priority="2597" operator="lessThan">
      <formula>0</formula>
    </cfRule>
  </conditionalFormatting>
  <conditionalFormatting sqref="J4:J35">
    <cfRule type="cellIs" dxfId="3158" priority="2596" operator="lessThan">
      <formula>0</formula>
    </cfRule>
  </conditionalFormatting>
  <conditionalFormatting sqref="J4:J35">
    <cfRule type="cellIs" dxfId="3157" priority="2595" operator="lessThan">
      <formula>0</formula>
    </cfRule>
  </conditionalFormatting>
  <conditionalFormatting sqref="J4:J35">
    <cfRule type="cellIs" dxfId="3156" priority="2594" operator="lessThan">
      <formula>0</formula>
    </cfRule>
  </conditionalFormatting>
  <conditionalFormatting sqref="J4:J35">
    <cfRule type="cellIs" dxfId="3155" priority="2593" operator="lessThan">
      <formula>0</formula>
    </cfRule>
  </conditionalFormatting>
  <conditionalFormatting sqref="J4:J35">
    <cfRule type="cellIs" dxfId="3154" priority="2592" operator="lessThan">
      <formula>0</formula>
    </cfRule>
  </conditionalFormatting>
  <conditionalFormatting sqref="J4:J35">
    <cfRule type="cellIs" dxfId="3153" priority="2591" operator="lessThan">
      <formula>0</formula>
    </cfRule>
  </conditionalFormatting>
  <conditionalFormatting sqref="J4:J35">
    <cfRule type="cellIs" dxfId="3152" priority="2590" operator="lessThan">
      <formula>0</formula>
    </cfRule>
  </conditionalFormatting>
  <conditionalFormatting sqref="J4:J35">
    <cfRule type="cellIs" dxfId="3151" priority="2589" operator="lessThan">
      <formula>0</formula>
    </cfRule>
  </conditionalFormatting>
  <conditionalFormatting sqref="J4:J35">
    <cfRule type="cellIs" dxfId="3150" priority="2588" operator="lessThan">
      <formula>0</formula>
    </cfRule>
  </conditionalFormatting>
  <conditionalFormatting sqref="H4:H36">
    <cfRule type="cellIs" dxfId="3149" priority="2587" operator="lessThan">
      <formula>0</formula>
    </cfRule>
  </conditionalFormatting>
  <conditionalFormatting sqref="H4:H36">
    <cfRule type="cellIs" dxfId="3148" priority="2586" operator="lessThan">
      <formula>0</formula>
    </cfRule>
  </conditionalFormatting>
  <conditionalFormatting sqref="H4:H36">
    <cfRule type="cellIs" dxfId="3147" priority="2585" operator="lessThan">
      <formula>0</formula>
    </cfRule>
  </conditionalFormatting>
  <conditionalFormatting sqref="H4:H36">
    <cfRule type="cellIs" dxfId="3146" priority="2584" operator="lessThan">
      <formula>0</formula>
    </cfRule>
  </conditionalFormatting>
  <conditionalFormatting sqref="H4:H36">
    <cfRule type="cellIs" dxfId="3145" priority="2583" operator="lessThan">
      <formula>0</formula>
    </cfRule>
  </conditionalFormatting>
  <conditionalFormatting sqref="H4:H36">
    <cfRule type="cellIs" dxfId="3144" priority="2582" operator="lessThan">
      <formula>0</formula>
    </cfRule>
  </conditionalFormatting>
  <conditionalFormatting sqref="H4:H36">
    <cfRule type="cellIs" dxfId="3143" priority="2581" operator="lessThan">
      <formula>0</formula>
    </cfRule>
  </conditionalFormatting>
  <conditionalFormatting sqref="H4:H36">
    <cfRule type="cellIs" dxfId="3142" priority="2580" operator="lessThan">
      <formula>0</formula>
    </cfRule>
  </conditionalFormatting>
  <conditionalFormatting sqref="H4:H36">
    <cfRule type="cellIs" dxfId="3141" priority="2579" operator="lessThan">
      <formula>0</formula>
    </cfRule>
  </conditionalFormatting>
  <conditionalFormatting sqref="H4:H36">
    <cfRule type="cellIs" dxfId="3140" priority="2578" operator="lessThan">
      <formula>0</formula>
    </cfRule>
  </conditionalFormatting>
  <conditionalFormatting sqref="C4:C35">
    <cfRule type="cellIs" dxfId="3139" priority="2577" operator="lessThan">
      <formula>0</formula>
    </cfRule>
  </conditionalFormatting>
  <conditionalFormatting sqref="C4:C35">
    <cfRule type="cellIs" dxfId="3138" priority="2576" operator="lessThan">
      <formula>0</formula>
    </cfRule>
  </conditionalFormatting>
  <conditionalFormatting sqref="C4:C35">
    <cfRule type="cellIs" dxfId="3137" priority="2575" operator="lessThan">
      <formula>0</formula>
    </cfRule>
  </conditionalFormatting>
  <conditionalFormatting sqref="C4:C35">
    <cfRule type="cellIs" dxfId="3136" priority="2574" operator="lessThan">
      <formula>0</formula>
    </cfRule>
  </conditionalFormatting>
  <conditionalFormatting sqref="C4:C35">
    <cfRule type="cellIs" dxfId="3135" priority="2573" operator="lessThan">
      <formula>0</formula>
    </cfRule>
  </conditionalFormatting>
  <conditionalFormatting sqref="C4:C35">
    <cfRule type="cellIs" dxfId="3134" priority="2572" operator="lessThan">
      <formula>0</formula>
    </cfRule>
  </conditionalFormatting>
  <conditionalFormatting sqref="C4:C35">
    <cfRule type="cellIs" dxfId="3133" priority="2571" operator="lessThan">
      <formula>0</formula>
    </cfRule>
  </conditionalFormatting>
  <conditionalFormatting sqref="C4:C35">
    <cfRule type="cellIs" dxfId="3132" priority="2570" operator="lessThan">
      <formula>0</formula>
    </cfRule>
  </conditionalFormatting>
  <conditionalFormatting sqref="C4:C35">
    <cfRule type="cellIs" dxfId="3131" priority="2569" operator="lessThan">
      <formula>0</formula>
    </cfRule>
  </conditionalFormatting>
  <conditionalFormatting sqref="C4:C35">
    <cfRule type="cellIs" dxfId="3130" priority="2568" operator="lessThan">
      <formula>0</formula>
    </cfRule>
  </conditionalFormatting>
  <conditionalFormatting sqref="C4:C35">
    <cfRule type="cellIs" dxfId="3129" priority="2567" operator="lessThan">
      <formula>0</formula>
    </cfRule>
  </conditionalFormatting>
  <conditionalFormatting sqref="C4:C35">
    <cfRule type="cellIs" dxfId="3128" priority="2566" operator="lessThan">
      <formula>0</formula>
    </cfRule>
  </conditionalFormatting>
  <conditionalFormatting sqref="H4:H36">
    <cfRule type="cellIs" dxfId="3127" priority="2565" operator="lessThan">
      <formula>0</formula>
    </cfRule>
  </conditionalFormatting>
  <conditionalFormatting sqref="H4:H36">
    <cfRule type="cellIs" dxfId="3126" priority="2564" operator="lessThan">
      <formula>0</formula>
    </cfRule>
  </conditionalFormatting>
  <conditionalFormatting sqref="H4:H36">
    <cfRule type="cellIs" dxfId="3125" priority="2563" operator="lessThan">
      <formula>0</formula>
    </cfRule>
  </conditionalFormatting>
  <conditionalFormatting sqref="H4:H36">
    <cfRule type="cellIs" dxfId="3124" priority="2562" operator="lessThan">
      <formula>0</formula>
    </cfRule>
  </conditionalFormatting>
  <conditionalFormatting sqref="H4:H36">
    <cfRule type="cellIs" dxfId="3123" priority="2561" operator="lessThan">
      <formula>0</formula>
    </cfRule>
  </conditionalFormatting>
  <conditionalFormatting sqref="H4:H36">
    <cfRule type="cellIs" dxfId="3122" priority="2560" operator="lessThan">
      <formula>0</formula>
    </cfRule>
  </conditionalFormatting>
  <conditionalFormatting sqref="H4:H36">
    <cfRule type="cellIs" dxfId="3121" priority="2559" operator="lessThan">
      <formula>0</formula>
    </cfRule>
  </conditionalFormatting>
  <conditionalFormatting sqref="H4:H36">
    <cfRule type="cellIs" dxfId="3120" priority="2558" operator="lessThan">
      <formula>0</formula>
    </cfRule>
  </conditionalFormatting>
  <conditionalFormatting sqref="H4:H36">
    <cfRule type="cellIs" dxfId="3119" priority="2557" operator="lessThan">
      <formula>0</formula>
    </cfRule>
  </conditionalFormatting>
  <conditionalFormatting sqref="H4:H36">
    <cfRule type="cellIs" dxfId="3118" priority="2556" operator="lessThan">
      <formula>0</formula>
    </cfRule>
  </conditionalFormatting>
  <conditionalFormatting sqref="H4:H36">
    <cfRule type="cellIs" dxfId="3117" priority="2555" operator="lessThan">
      <formula>0</formula>
    </cfRule>
  </conditionalFormatting>
  <conditionalFormatting sqref="H4:H36">
    <cfRule type="cellIs" dxfId="3116" priority="2554" operator="lessThan">
      <formula>0</formula>
    </cfRule>
  </conditionalFormatting>
  <conditionalFormatting sqref="L4:L35">
    <cfRule type="cellIs" dxfId="3115" priority="2553" operator="lessThan">
      <formula>0</formula>
    </cfRule>
  </conditionalFormatting>
  <conditionalFormatting sqref="E4:E35">
    <cfRule type="cellIs" dxfId="3114" priority="2552" operator="lessThan">
      <formula>0</formula>
    </cfRule>
  </conditionalFormatting>
  <conditionalFormatting sqref="E4:E35">
    <cfRule type="cellIs" dxfId="3113" priority="2551" operator="lessThan">
      <formula>0</formula>
    </cfRule>
  </conditionalFormatting>
  <conditionalFormatting sqref="E4:E35">
    <cfRule type="cellIs" dxfId="3112" priority="2550" operator="lessThan">
      <formula>0</formula>
    </cfRule>
  </conditionalFormatting>
  <conditionalFormatting sqref="E4:E35">
    <cfRule type="cellIs" dxfId="3111" priority="2549" operator="lessThan">
      <formula>0</formula>
    </cfRule>
  </conditionalFormatting>
  <conditionalFormatting sqref="E4:E35">
    <cfRule type="cellIs" dxfId="3110" priority="2548" operator="lessThan">
      <formula>0</formula>
    </cfRule>
  </conditionalFormatting>
  <conditionalFormatting sqref="E4:E35">
    <cfRule type="cellIs" dxfId="3109" priority="2547" operator="lessThan">
      <formula>0</formula>
    </cfRule>
  </conditionalFormatting>
  <conditionalFormatting sqref="E4:E35">
    <cfRule type="cellIs" dxfId="3108" priority="2546" operator="lessThan">
      <formula>0</formula>
    </cfRule>
  </conditionalFormatting>
  <conditionalFormatting sqref="E4:E35">
    <cfRule type="cellIs" dxfId="3107" priority="2545" operator="lessThan">
      <formula>0</formula>
    </cfRule>
  </conditionalFormatting>
  <conditionalFormatting sqref="E4:E35">
    <cfRule type="cellIs" dxfId="3106" priority="2544" operator="lessThan">
      <formula>0</formula>
    </cfRule>
  </conditionalFormatting>
  <conditionalFormatting sqref="E4:E35">
    <cfRule type="cellIs" dxfId="3105" priority="2543" operator="lessThan">
      <formula>0</formula>
    </cfRule>
  </conditionalFormatting>
  <conditionalFormatting sqref="E4:E35">
    <cfRule type="cellIs" dxfId="3104" priority="2542" operator="lessThan">
      <formula>0</formula>
    </cfRule>
  </conditionalFormatting>
  <conditionalFormatting sqref="E4:E35">
    <cfRule type="cellIs" dxfId="3103" priority="2541" operator="lessThan">
      <formula>0</formula>
    </cfRule>
  </conditionalFormatting>
  <conditionalFormatting sqref="E4:E35">
    <cfRule type="cellIs" dxfId="3102" priority="2540" operator="lessThan">
      <formula>0</formula>
    </cfRule>
  </conditionalFormatting>
  <conditionalFormatting sqref="E4:E35">
    <cfRule type="cellIs" dxfId="3101" priority="2539" operator="lessThan">
      <formula>0</formula>
    </cfRule>
  </conditionalFormatting>
  <conditionalFormatting sqref="E4:E35">
    <cfRule type="cellIs" dxfId="3100" priority="2538" operator="lessThan">
      <formula>0</formula>
    </cfRule>
  </conditionalFormatting>
  <conditionalFormatting sqref="E4:E35">
    <cfRule type="cellIs" dxfId="3099" priority="2537" operator="lessThan">
      <formula>0</formula>
    </cfRule>
  </conditionalFormatting>
  <conditionalFormatting sqref="E4:E35">
    <cfRule type="cellIs" dxfId="3098" priority="2536" operator="lessThan">
      <formula>0</formula>
    </cfRule>
  </conditionalFormatting>
  <conditionalFormatting sqref="E4:E35">
    <cfRule type="cellIs" dxfId="3097" priority="2535" operator="lessThan">
      <formula>0</formula>
    </cfRule>
  </conditionalFormatting>
  <conditionalFormatting sqref="E4:E35">
    <cfRule type="cellIs" dxfId="3096" priority="2534" operator="lessThan">
      <formula>0</formula>
    </cfRule>
  </conditionalFormatting>
  <conditionalFormatting sqref="E4:E35">
    <cfRule type="cellIs" dxfId="3095" priority="2533" operator="lessThan">
      <formula>0</formula>
    </cfRule>
  </conditionalFormatting>
  <conditionalFormatting sqref="E4:E35">
    <cfRule type="cellIs" dxfId="3094" priority="2532" operator="lessThan">
      <formula>0</formula>
    </cfRule>
  </conditionalFormatting>
  <conditionalFormatting sqref="E4:E35">
    <cfRule type="cellIs" dxfId="3093" priority="2531" operator="lessThan">
      <formula>0</formula>
    </cfRule>
  </conditionalFormatting>
  <conditionalFormatting sqref="E4:E35">
    <cfRule type="cellIs" dxfId="3092" priority="2530" operator="lessThan">
      <formula>0</formula>
    </cfRule>
  </conditionalFormatting>
  <conditionalFormatting sqref="E4:E35">
    <cfRule type="cellIs" dxfId="3091" priority="2529" operator="lessThan">
      <formula>0</formula>
    </cfRule>
  </conditionalFormatting>
  <conditionalFormatting sqref="E4:E35">
    <cfRule type="cellIs" dxfId="3090" priority="2528" operator="lessThan">
      <formula>0</formula>
    </cfRule>
  </conditionalFormatting>
  <conditionalFormatting sqref="E4:E35">
    <cfRule type="cellIs" dxfId="3089" priority="2527" operator="lessThan">
      <formula>0</formula>
    </cfRule>
  </conditionalFormatting>
  <conditionalFormatting sqref="E4:E35">
    <cfRule type="cellIs" dxfId="3088" priority="2526" operator="lessThan">
      <formula>0</formula>
    </cfRule>
  </conditionalFormatting>
  <conditionalFormatting sqref="E4:E35">
    <cfRule type="cellIs" dxfId="3087" priority="2525" operator="lessThan">
      <formula>0</formula>
    </cfRule>
  </conditionalFormatting>
  <conditionalFormatting sqref="E4:E35">
    <cfRule type="cellIs" dxfId="3086" priority="2524" operator="lessThan">
      <formula>0</formula>
    </cfRule>
  </conditionalFormatting>
  <conditionalFormatting sqref="E4:E35">
    <cfRule type="cellIs" dxfId="3085" priority="2523" operator="lessThan">
      <formula>0</formula>
    </cfRule>
  </conditionalFormatting>
  <conditionalFormatting sqref="E4:E35">
    <cfRule type="cellIs" dxfId="3084" priority="2522" operator="lessThan">
      <formula>0</formula>
    </cfRule>
  </conditionalFormatting>
  <conditionalFormatting sqref="E4:E35">
    <cfRule type="cellIs" dxfId="3083" priority="2521" operator="lessThan">
      <formula>0</formula>
    </cfRule>
  </conditionalFormatting>
  <conditionalFormatting sqref="E4:E35">
    <cfRule type="cellIs" dxfId="3082" priority="2520" operator="lessThan">
      <formula>0</formula>
    </cfRule>
  </conditionalFormatting>
  <conditionalFormatting sqref="E4:E35">
    <cfRule type="cellIs" dxfId="3081" priority="2519" operator="lessThan">
      <formula>0</formula>
    </cfRule>
  </conditionalFormatting>
  <conditionalFormatting sqref="E4:E35">
    <cfRule type="cellIs" dxfId="3080" priority="2518" operator="lessThan">
      <formula>0</formula>
    </cfRule>
  </conditionalFormatting>
  <conditionalFormatting sqref="E4:E35">
    <cfRule type="cellIs" dxfId="3079" priority="2517" operator="lessThan">
      <formula>0</formula>
    </cfRule>
  </conditionalFormatting>
  <conditionalFormatting sqref="E4:E35">
    <cfRule type="cellIs" dxfId="3078" priority="2516" operator="lessThan">
      <formula>0</formula>
    </cfRule>
  </conditionalFormatting>
  <conditionalFormatting sqref="E4:E35">
    <cfRule type="cellIs" dxfId="3077" priority="2515" operator="lessThan">
      <formula>0</formula>
    </cfRule>
  </conditionalFormatting>
  <conditionalFormatting sqref="E4:E35">
    <cfRule type="cellIs" dxfId="3076" priority="2514" operator="lessThan">
      <formula>0</formula>
    </cfRule>
  </conditionalFormatting>
  <conditionalFormatting sqref="E4:E35">
    <cfRule type="cellIs" dxfId="3075" priority="2513" operator="lessThan">
      <formula>0</formula>
    </cfRule>
  </conditionalFormatting>
  <conditionalFormatting sqref="E4:E35">
    <cfRule type="cellIs" dxfId="3074" priority="2512" operator="lessThan">
      <formula>0</formula>
    </cfRule>
  </conditionalFormatting>
  <conditionalFormatting sqref="E4:E35">
    <cfRule type="cellIs" dxfId="3073" priority="2511" operator="lessThan">
      <formula>0</formula>
    </cfRule>
  </conditionalFormatting>
  <conditionalFormatting sqref="E4:E35">
    <cfRule type="cellIs" dxfId="3072" priority="2510" operator="lessThan">
      <formula>0</formula>
    </cfRule>
  </conditionalFormatting>
  <conditionalFormatting sqref="E4:E35">
    <cfRule type="cellIs" dxfId="3071" priority="2509" operator="lessThan">
      <formula>0</formula>
    </cfRule>
  </conditionalFormatting>
  <conditionalFormatting sqref="J4:J35">
    <cfRule type="cellIs" dxfId="3070" priority="2508" operator="lessThan">
      <formula>0</formula>
    </cfRule>
  </conditionalFormatting>
  <conditionalFormatting sqref="J4:J35">
    <cfRule type="cellIs" dxfId="3069" priority="2507" operator="lessThan">
      <formula>0</formula>
    </cfRule>
  </conditionalFormatting>
  <conditionalFormatting sqref="J4:J35">
    <cfRule type="cellIs" dxfId="3068" priority="2506" operator="lessThan">
      <formula>0</formula>
    </cfRule>
  </conditionalFormatting>
  <conditionalFormatting sqref="J4:J35">
    <cfRule type="cellIs" dxfId="3067" priority="2505" operator="lessThan">
      <formula>0</formula>
    </cfRule>
  </conditionalFormatting>
  <conditionalFormatting sqref="J4:J35">
    <cfRule type="cellIs" dxfId="3066" priority="2504" operator="lessThan">
      <formula>0</formula>
    </cfRule>
  </conditionalFormatting>
  <conditionalFormatting sqref="J4:J35">
    <cfRule type="cellIs" dxfId="3065" priority="2503" operator="lessThan">
      <formula>0</formula>
    </cfRule>
  </conditionalFormatting>
  <conditionalFormatting sqref="J4:J35">
    <cfRule type="cellIs" dxfId="3064" priority="2502" operator="lessThan">
      <formula>0</formula>
    </cfRule>
  </conditionalFormatting>
  <conditionalFormatting sqref="J4:J35">
    <cfRule type="cellIs" dxfId="3063" priority="2501" operator="lessThan">
      <formula>0</formula>
    </cfRule>
  </conditionalFormatting>
  <conditionalFormatting sqref="J4:J35">
    <cfRule type="cellIs" dxfId="3062" priority="2500" operator="lessThan">
      <formula>0</formula>
    </cfRule>
  </conditionalFormatting>
  <conditionalFormatting sqref="J4:J35">
    <cfRule type="cellIs" dxfId="3061" priority="2499" operator="lessThan">
      <formula>0</formula>
    </cfRule>
  </conditionalFormatting>
  <conditionalFormatting sqref="J4:J35">
    <cfRule type="cellIs" dxfId="3060" priority="2498" operator="lessThan">
      <formula>0</formula>
    </cfRule>
  </conditionalFormatting>
  <conditionalFormatting sqref="J4:J35">
    <cfRule type="cellIs" dxfId="3059" priority="2497" operator="lessThan">
      <formula>0</formula>
    </cfRule>
  </conditionalFormatting>
  <conditionalFormatting sqref="J4:J35">
    <cfRule type="cellIs" dxfId="3058" priority="2496" operator="lessThan">
      <formula>0</formula>
    </cfRule>
  </conditionalFormatting>
  <conditionalFormatting sqref="J4:J35">
    <cfRule type="cellIs" dxfId="3057" priority="2495" operator="lessThan">
      <formula>0</formula>
    </cfRule>
  </conditionalFormatting>
  <conditionalFormatting sqref="J4:J35">
    <cfRule type="cellIs" dxfId="3056" priority="2494" operator="lessThan">
      <formula>0</formula>
    </cfRule>
  </conditionalFormatting>
  <conditionalFormatting sqref="J4:J35">
    <cfRule type="cellIs" dxfId="3055" priority="2493" operator="lessThan">
      <formula>0</formula>
    </cfRule>
  </conditionalFormatting>
  <conditionalFormatting sqref="J4:J35">
    <cfRule type="cellIs" dxfId="3054" priority="2492" operator="lessThan">
      <formula>0</formula>
    </cfRule>
  </conditionalFormatting>
  <conditionalFormatting sqref="J4:J35">
    <cfRule type="cellIs" dxfId="3053" priority="2491" operator="lessThan">
      <formula>0</formula>
    </cfRule>
  </conditionalFormatting>
  <conditionalFormatting sqref="J4:J35">
    <cfRule type="cellIs" dxfId="3052" priority="2490" operator="lessThan">
      <formula>0</formula>
    </cfRule>
  </conditionalFormatting>
  <conditionalFormatting sqref="J4:J35">
    <cfRule type="cellIs" dxfId="3051" priority="2489" operator="lessThan">
      <formula>0</formula>
    </cfRule>
  </conditionalFormatting>
  <conditionalFormatting sqref="J4:J35">
    <cfRule type="cellIs" dxfId="3050" priority="2488" operator="lessThan">
      <formula>0</formula>
    </cfRule>
  </conditionalFormatting>
  <conditionalFormatting sqref="J4:J35">
    <cfRule type="cellIs" dxfId="3049" priority="2487" operator="lessThan">
      <formula>0</formula>
    </cfRule>
  </conditionalFormatting>
  <conditionalFormatting sqref="J4:J35">
    <cfRule type="cellIs" dxfId="3048" priority="2486" operator="lessThan">
      <formula>0</formula>
    </cfRule>
  </conditionalFormatting>
  <conditionalFormatting sqref="J4:J35">
    <cfRule type="cellIs" dxfId="3047" priority="2485" operator="lessThan">
      <formula>0</formula>
    </cfRule>
  </conditionalFormatting>
  <conditionalFormatting sqref="J4:J35">
    <cfRule type="cellIs" dxfId="3046" priority="2484" operator="lessThan">
      <formula>0</formula>
    </cfRule>
  </conditionalFormatting>
  <conditionalFormatting sqref="J4:J35">
    <cfRule type="cellIs" dxfId="3045" priority="2483" operator="lessThan">
      <formula>0</formula>
    </cfRule>
  </conditionalFormatting>
  <conditionalFormatting sqref="J4:J35">
    <cfRule type="cellIs" dxfId="3044" priority="2482" operator="lessThan">
      <formula>0</formula>
    </cfRule>
  </conditionalFormatting>
  <conditionalFormatting sqref="J4:J35">
    <cfRule type="cellIs" dxfId="3043" priority="2481" operator="lessThan">
      <formula>0</formula>
    </cfRule>
  </conditionalFormatting>
  <conditionalFormatting sqref="J4:J35">
    <cfRule type="cellIs" dxfId="3042" priority="2480" operator="lessThan">
      <formula>0</formula>
    </cfRule>
  </conditionalFormatting>
  <conditionalFormatting sqref="J4:J35">
    <cfRule type="cellIs" dxfId="3041" priority="2479" operator="lessThan">
      <formula>0</formula>
    </cfRule>
  </conditionalFormatting>
  <conditionalFormatting sqref="J4:J35">
    <cfRule type="cellIs" dxfId="3040" priority="2478" operator="lessThan">
      <formula>0</formula>
    </cfRule>
  </conditionalFormatting>
  <conditionalFormatting sqref="J4:J35">
    <cfRule type="cellIs" dxfId="3039" priority="2477" operator="lessThan">
      <formula>0</formula>
    </cfRule>
  </conditionalFormatting>
  <conditionalFormatting sqref="J4:J35">
    <cfRule type="cellIs" dxfId="3038" priority="2476" operator="lessThan">
      <formula>0</formula>
    </cfRule>
  </conditionalFormatting>
  <conditionalFormatting sqref="J4:J35">
    <cfRule type="cellIs" dxfId="3037" priority="2475" operator="lessThan">
      <formula>0</formula>
    </cfRule>
  </conditionalFormatting>
  <conditionalFormatting sqref="J4:J35">
    <cfRule type="cellIs" dxfId="3036" priority="2474" operator="lessThan">
      <formula>0</formula>
    </cfRule>
  </conditionalFormatting>
  <conditionalFormatting sqref="J4:J35">
    <cfRule type="cellIs" dxfId="3035" priority="2473" operator="lessThan">
      <formula>0</formula>
    </cfRule>
  </conditionalFormatting>
  <conditionalFormatting sqref="J4:J35">
    <cfRule type="cellIs" dxfId="3034" priority="2472" operator="lessThan">
      <formula>0</formula>
    </cfRule>
  </conditionalFormatting>
  <conditionalFormatting sqref="J4:J35">
    <cfRule type="cellIs" dxfId="3033" priority="2471" operator="lessThan">
      <formula>0</formula>
    </cfRule>
  </conditionalFormatting>
  <conditionalFormatting sqref="J4:J35">
    <cfRule type="cellIs" dxfId="3032" priority="2470" operator="lessThan">
      <formula>0</formula>
    </cfRule>
  </conditionalFormatting>
  <conditionalFormatting sqref="J4:J35">
    <cfRule type="cellIs" dxfId="3031" priority="2469" operator="lessThan">
      <formula>0</formula>
    </cfRule>
  </conditionalFormatting>
  <conditionalFormatting sqref="J4:J35">
    <cfRule type="cellIs" dxfId="3030" priority="2468" operator="lessThan">
      <formula>0</formula>
    </cfRule>
  </conditionalFormatting>
  <conditionalFormatting sqref="J4:J35">
    <cfRule type="cellIs" dxfId="3029" priority="2467" operator="lessThan">
      <formula>0</formula>
    </cfRule>
  </conditionalFormatting>
  <conditionalFormatting sqref="J4:J35">
    <cfRule type="cellIs" dxfId="3028" priority="2466" operator="lessThan">
      <formula>0</formula>
    </cfRule>
  </conditionalFormatting>
  <conditionalFormatting sqref="J4:J35">
    <cfRule type="cellIs" dxfId="3027" priority="2465" operator="lessThan">
      <formula>0</formula>
    </cfRule>
  </conditionalFormatting>
  <conditionalFormatting sqref="L4:L35">
    <cfRule type="cellIs" dxfId="3026" priority="2464" operator="lessThan">
      <formula>0</formula>
    </cfRule>
  </conditionalFormatting>
  <conditionalFormatting sqref="L4:L35">
    <cfRule type="cellIs" dxfId="3025" priority="2463" operator="lessThan">
      <formula>0</formula>
    </cfRule>
  </conditionalFormatting>
  <conditionalFormatting sqref="L4:L35">
    <cfRule type="cellIs" dxfId="3024" priority="2462" operator="lessThan">
      <formula>0</formula>
    </cfRule>
  </conditionalFormatting>
  <conditionalFormatting sqref="L4:L35">
    <cfRule type="cellIs" dxfId="3023" priority="2461" operator="lessThan">
      <formula>0</formula>
    </cfRule>
  </conditionalFormatting>
  <conditionalFormatting sqref="L4:L35">
    <cfRule type="cellIs" dxfId="3022" priority="2460" operator="lessThan">
      <formula>0</formula>
    </cfRule>
  </conditionalFormatting>
  <conditionalFormatting sqref="L4:L35">
    <cfRule type="cellIs" dxfId="3021" priority="2459" operator="lessThan">
      <formula>0</formula>
    </cfRule>
  </conditionalFormatting>
  <conditionalFormatting sqref="L4:L35">
    <cfRule type="cellIs" dxfId="3020" priority="2458" operator="lessThan">
      <formula>0</formula>
    </cfRule>
  </conditionalFormatting>
  <conditionalFormatting sqref="L4:L35">
    <cfRule type="cellIs" dxfId="3019" priority="2457" operator="lessThan">
      <formula>0</formula>
    </cfRule>
  </conditionalFormatting>
  <conditionalFormatting sqref="L4:L35">
    <cfRule type="cellIs" dxfId="3018" priority="2456" operator="lessThan">
      <formula>0</formula>
    </cfRule>
  </conditionalFormatting>
  <conditionalFormatting sqref="L4:L35">
    <cfRule type="cellIs" dxfId="3017" priority="2455" operator="lessThan">
      <formula>0</formula>
    </cfRule>
  </conditionalFormatting>
  <conditionalFormatting sqref="L4:L35">
    <cfRule type="cellIs" dxfId="3016" priority="2454" operator="lessThan">
      <formula>0</formula>
    </cfRule>
  </conditionalFormatting>
  <conditionalFormatting sqref="L4:L35">
    <cfRule type="cellIs" dxfId="3015" priority="2453" operator="lessThan">
      <formula>0</formula>
    </cfRule>
  </conditionalFormatting>
  <conditionalFormatting sqref="C4:C35">
    <cfRule type="cellIs" dxfId="3014" priority="2452" operator="lessThan">
      <formula>0</formula>
    </cfRule>
  </conditionalFormatting>
  <conditionalFormatting sqref="C4:C35">
    <cfRule type="cellIs" dxfId="3013" priority="2451" operator="lessThan">
      <formula>0</formula>
    </cfRule>
  </conditionalFormatting>
  <conditionalFormatting sqref="C4:C35">
    <cfRule type="cellIs" dxfId="3012" priority="2450" operator="lessThan">
      <formula>0</formula>
    </cfRule>
  </conditionalFormatting>
  <conditionalFormatting sqref="C4:C35">
    <cfRule type="cellIs" dxfId="3011" priority="2449" operator="lessThan">
      <formula>0</formula>
    </cfRule>
  </conditionalFormatting>
  <conditionalFormatting sqref="C4:C35">
    <cfRule type="cellIs" dxfId="3010" priority="2448" operator="lessThan">
      <formula>0</formula>
    </cfRule>
  </conditionalFormatting>
  <conditionalFormatting sqref="C4:C35">
    <cfRule type="cellIs" dxfId="3009" priority="2447" operator="lessThan">
      <formula>0</formula>
    </cfRule>
  </conditionalFormatting>
  <conditionalFormatting sqref="C4:C35">
    <cfRule type="cellIs" dxfId="3008" priority="2446" operator="lessThan">
      <formula>0</formula>
    </cfRule>
  </conditionalFormatting>
  <conditionalFormatting sqref="C4:C35">
    <cfRule type="cellIs" dxfId="3007" priority="2445" operator="lessThan">
      <formula>0</formula>
    </cfRule>
  </conditionalFormatting>
  <conditionalFormatting sqref="C4:C35">
    <cfRule type="cellIs" dxfId="3006" priority="2444" operator="lessThan">
      <formula>0</formula>
    </cfRule>
  </conditionalFormatting>
  <conditionalFormatting sqref="C4:C35">
    <cfRule type="cellIs" dxfId="3005" priority="2443" operator="lessThan">
      <formula>0</formula>
    </cfRule>
  </conditionalFormatting>
  <conditionalFormatting sqref="C4:C35">
    <cfRule type="cellIs" dxfId="3004" priority="2442" operator="lessThan">
      <formula>0</formula>
    </cfRule>
  </conditionalFormatting>
  <conditionalFormatting sqref="C4:C35">
    <cfRule type="cellIs" dxfId="3003" priority="2441" operator="lessThan">
      <formula>0</formula>
    </cfRule>
  </conditionalFormatting>
  <conditionalFormatting sqref="C4:C35">
    <cfRule type="cellIs" dxfId="3002" priority="2440" operator="lessThan">
      <formula>0</formula>
    </cfRule>
  </conditionalFormatting>
  <conditionalFormatting sqref="J4:J35">
    <cfRule type="cellIs" dxfId="3001" priority="2439" operator="lessThan">
      <formula>0</formula>
    </cfRule>
  </conditionalFormatting>
  <conditionalFormatting sqref="J4:J35">
    <cfRule type="cellIs" dxfId="3000" priority="2438" operator="lessThan">
      <formula>0</formula>
    </cfRule>
  </conditionalFormatting>
  <conditionalFormatting sqref="J4:J35">
    <cfRule type="cellIs" dxfId="2999" priority="2437" operator="lessThan">
      <formula>0</formula>
    </cfRule>
  </conditionalFormatting>
  <conditionalFormatting sqref="J4:J35">
    <cfRule type="cellIs" dxfId="2998" priority="2436" operator="lessThan">
      <formula>0</formula>
    </cfRule>
  </conditionalFormatting>
  <conditionalFormatting sqref="J4:J35">
    <cfRule type="cellIs" dxfId="2997" priority="2435" operator="lessThan">
      <formula>0</formula>
    </cfRule>
  </conditionalFormatting>
  <conditionalFormatting sqref="J4:J35">
    <cfRule type="cellIs" dxfId="2996" priority="2434" operator="lessThan">
      <formula>0</formula>
    </cfRule>
  </conditionalFormatting>
  <conditionalFormatting sqref="J4:J35">
    <cfRule type="cellIs" dxfId="2995" priority="2433" operator="lessThan">
      <formula>0</formula>
    </cfRule>
  </conditionalFormatting>
  <conditionalFormatting sqref="J4:J35">
    <cfRule type="cellIs" dxfId="2994" priority="2432" operator="lessThan">
      <formula>0</formula>
    </cfRule>
  </conditionalFormatting>
  <conditionalFormatting sqref="J4:J35">
    <cfRule type="cellIs" dxfId="2993" priority="2431" operator="lessThan">
      <formula>0</formula>
    </cfRule>
  </conditionalFormatting>
  <conditionalFormatting sqref="J4:J35">
    <cfRule type="cellIs" dxfId="2992" priority="2430" operator="lessThan">
      <formula>0</formula>
    </cfRule>
  </conditionalFormatting>
  <conditionalFormatting sqref="J4:J35">
    <cfRule type="cellIs" dxfId="2991" priority="2429" operator="lessThan">
      <formula>0</formula>
    </cfRule>
  </conditionalFormatting>
  <conditionalFormatting sqref="J4:J35">
    <cfRule type="cellIs" dxfId="2990" priority="2428" operator="lessThan">
      <formula>0</formula>
    </cfRule>
  </conditionalFormatting>
  <conditionalFormatting sqref="J4:J35">
    <cfRule type="cellIs" dxfId="2989" priority="2427" operator="lessThan">
      <formula>0</formula>
    </cfRule>
  </conditionalFormatting>
  <conditionalFormatting sqref="J4:J35">
    <cfRule type="cellIs" dxfId="2988" priority="2426" operator="lessThan">
      <formula>0</formula>
    </cfRule>
  </conditionalFormatting>
  <conditionalFormatting sqref="J4:J35">
    <cfRule type="cellIs" dxfId="2987" priority="2425" operator="lessThan">
      <formula>0</formula>
    </cfRule>
  </conditionalFormatting>
  <conditionalFormatting sqref="J4:J35">
    <cfRule type="cellIs" dxfId="2986" priority="2424" operator="lessThan">
      <formula>0</formula>
    </cfRule>
  </conditionalFormatting>
  <conditionalFormatting sqref="J4:J35">
    <cfRule type="cellIs" dxfId="2985" priority="2423" operator="lessThan">
      <formula>0</formula>
    </cfRule>
  </conditionalFormatting>
  <conditionalFormatting sqref="J4:J35">
    <cfRule type="cellIs" dxfId="2984" priority="2422" operator="lessThan">
      <formula>0</formula>
    </cfRule>
  </conditionalFormatting>
  <conditionalFormatting sqref="J4:J35">
    <cfRule type="cellIs" dxfId="2983" priority="2421" operator="lessThan">
      <formula>0</formula>
    </cfRule>
  </conditionalFormatting>
  <conditionalFormatting sqref="J4:J35">
    <cfRule type="cellIs" dxfId="2982" priority="2420" operator="lessThan">
      <formula>0</formula>
    </cfRule>
  </conditionalFormatting>
  <conditionalFormatting sqref="J4:J35">
    <cfRule type="cellIs" dxfId="2981" priority="2419" operator="lessThan">
      <formula>0</formula>
    </cfRule>
  </conditionalFormatting>
  <conditionalFormatting sqref="J4:J35">
    <cfRule type="cellIs" dxfId="2980" priority="2418" operator="lessThan">
      <formula>0</formula>
    </cfRule>
  </conditionalFormatting>
  <conditionalFormatting sqref="J4:J35">
    <cfRule type="cellIs" dxfId="2979" priority="2417" operator="lessThan">
      <formula>0</formula>
    </cfRule>
  </conditionalFormatting>
  <conditionalFormatting sqref="J4:J35">
    <cfRule type="cellIs" dxfId="2978" priority="2416" operator="lessThan">
      <formula>0</formula>
    </cfRule>
  </conditionalFormatting>
  <conditionalFormatting sqref="J4:J35">
    <cfRule type="cellIs" dxfId="2977" priority="2415" operator="lessThan">
      <formula>0</formula>
    </cfRule>
  </conditionalFormatting>
  <conditionalFormatting sqref="J4:J35">
    <cfRule type="cellIs" dxfId="2976" priority="2414" operator="lessThan">
      <formula>0</formula>
    </cfRule>
  </conditionalFormatting>
  <conditionalFormatting sqref="J4:J35">
    <cfRule type="cellIs" dxfId="2975" priority="2413" operator="lessThan">
      <formula>0</formula>
    </cfRule>
  </conditionalFormatting>
  <conditionalFormatting sqref="J4:J35">
    <cfRule type="cellIs" dxfId="2974" priority="2412" operator="lessThan">
      <formula>0</formula>
    </cfRule>
  </conditionalFormatting>
  <conditionalFormatting sqref="J4:J35">
    <cfRule type="cellIs" dxfId="2973" priority="2411" operator="lessThan">
      <formula>0</formula>
    </cfRule>
  </conditionalFormatting>
  <conditionalFormatting sqref="J4:J35">
    <cfRule type="cellIs" dxfId="2972" priority="2410" operator="lessThan">
      <formula>0</formula>
    </cfRule>
  </conditionalFormatting>
  <conditionalFormatting sqref="J4:J35">
    <cfRule type="cellIs" dxfId="2971" priority="2409" operator="lessThan">
      <formula>0</formula>
    </cfRule>
  </conditionalFormatting>
  <conditionalFormatting sqref="J4:J35">
    <cfRule type="cellIs" dxfId="2970" priority="2408" operator="lessThan">
      <formula>0</formula>
    </cfRule>
  </conditionalFormatting>
  <conditionalFormatting sqref="J4:J35">
    <cfRule type="cellIs" dxfId="2969" priority="2407" operator="lessThan">
      <formula>0</formula>
    </cfRule>
  </conditionalFormatting>
  <conditionalFormatting sqref="J4:J35">
    <cfRule type="cellIs" dxfId="2968" priority="2406" operator="lessThan">
      <formula>0</formula>
    </cfRule>
  </conditionalFormatting>
  <conditionalFormatting sqref="J4:J35">
    <cfRule type="cellIs" dxfId="2967" priority="2405" operator="lessThan">
      <formula>0</formula>
    </cfRule>
  </conditionalFormatting>
  <conditionalFormatting sqref="J4:J35">
    <cfRule type="cellIs" dxfId="2966" priority="2404" operator="lessThan">
      <formula>0</formula>
    </cfRule>
  </conditionalFormatting>
  <conditionalFormatting sqref="J4:J35">
    <cfRule type="cellIs" dxfId="2965" priority="2403" operator="lessThan">
      <formula>0</formula>
    </cfRule>
  </conditionalFormatting>
  <conditionalFormatting sqref="J4:J35">
    <cfRule type="cellIs" dxfId="2964" priority="2402" operator="lessThan">
      <formula>0</formula>
    </cfRule>
  </conditionalFormatting>
  <conditionalFormatting sqref="J4:J35">
    <cfRule type="cellIs" dxfId="2963" priority="2401" operator="lessThan">
      <formula>0</formula>
    </cfRule>
  </conditionalFormatting>
  <conditionalFormatting sqref="J4:J35">
    <cfRule type="cellIs" dxfId="2962" priority="2400" operator="lessThan">
      <formula>0</formula>
    </cfRule>
  </conditionalFormatting>
  <conditionalFormatting sqref="J4:J35">
    <cfRule type="cellIs" dxfId="2961" priority="2399" operator="lessThan">
      <formula>0</formula>
    </cfRule>
  </conditionalFormatting>
  <conditionalFormatting sqref="J4:J35">
    <cfRule type="cellIs" dxfId="2960" priority="2398" operator="lessThan">
      <formula>0</formula>
    </cfRule>
  </conditionalFormatting>
  <conditionalFormatting sqref="J4:J35">
    <cfRule type="cellIs" dxfId="2959" priority="2397" operator="lessThan">
      <formula>0</formula>
    </cfRule>
  </conditionalFormatting>
  <conditionalFormatting sqref="J4:J35">
    <cfRule type="cellIs" dxfId="2958" priority="2396" operator="lessThan">
      <formula>0</formula>
    </cfRule>
  </conditionalFormatting>
  <conditionalFormatting sqref="J4:J35">
    <cfRule type="cellIs" dxfId="2957" priority="2395" operator="lessThan">
      <formula>0</formula>
    </cfRule>
  </conditionalFormatting>
  <conditionalFormatting sqref="H4:H36">
    <cfRule type="cellIs" dxfId="2956" priority="2394" operator="lessThan">
      <formula>0</formula>
    </cfRule>
  </conditionalFormatting>
  <conditionalFormatting sqref="H4:H36">
    <cfRule type="cellIs" dxfId="2955" priority="2393" operator="lessThan">
      <formula>0</formula>
    </cfRule>
  </conditionalFormatting>
  <conditionalFormatting sqref="H4:H36">
    <cfRule type="cellIs" dxfId="2954" priority="2392" operator="lessThan">
      <formula>0</formula>
    </cfRule>
  </conditionalFormatting>
  <conditionalFormatting sqref="H4:H36">
    <cfRule type="cellIs" dxfId="2953" priority="2391" operator="lessThan">
      <formula>0</formula>
    </cfRule>
  </conditionalFormatting>
  <conditionalFormatting sqref="H4:H36">
    <cfRule type="cellIs" dxfId="2952" priority="2390" operator="lessThan">
      <formula>0</formula>
    </cfRule>
  </conditionalFormatting>
  <conditionalFormatting sqref="H4:H36">
    <cfRule type="cellIs" dxfId="2951" priority="2389" operator="lessThan">
      <formula>0</formula>
    </cfRule>
  </conditionalFormatting>
  <conditionalFormatting sqref="H4:H36">
    <cfRule type="cellIs" dxfId="2950" priority="2388" operator="lessThan">
      <formula>0</formula>
    </cfRule>
  </conditionalFormatting>
  <conditionalFormatting sqref="H4:H36">
    <cfRule type="cellIs" dxfId="2949" priority="2387" operator="lessThan">
      <formula>0</formula>
    </cfRule>
  </conditionalFormatting>
  <conditionalFormatting sqref="H4:H36">
    <cfRule type="cellIs" dxfId="2948" priority="2386" operator="lessThan">
      <formula>0</formula>
    </cfRule>
  </conditionalFormatting>
  <conditionalFormatting sqref="H4:H36">
    <cfRule type="cellIs" dxfId="2947" priority="2385" operator="lessThan">
      <formula>0</formula>
    </cfRule>
  </conditionalFormatting>
  <conditionalFormatting sqref="H4:H36">
    <cfRule type="cellIs" dxfId="2946" priority="2384" operator="lessThan">
      <formula>0</formula>
    </cfRule>
  </conditionalFormatting>
  <conditionalFormatting sqref="H4:H36">
    <cfRule type="cellIs" dxfId="2945" priority="2383" operator="lessThan">
      <formula>0</formula>
    </cfRule>
  </conditionalFormatting>
  <conditionalFormatting sqref="H4:H36">
    <cfRule type="cellIs" dxfId="2944" priority="2382" operator="lessThan">
      <formula>0</formula>
    </cfRule>
  </conditionalFormatting>
  <conditionalFormatting sqref="L4:L35">
    <cfRule type="cellIs" dxfId="2943" priority="2381" operator="lessThan">
      <formula>0</formula>
    </cfRule>
  </conditionalFormatting>
  <conditionalFormatting sqref="L34:L35">
    <cfRule type="cellIs" dxfId="2942" priority="2380" operator="lessThan">
      <formula>0</formula>
    </cfRule>
  </conditionalFormatting>
  <conditionalFormatting sqref="H22">
    <cfRule type="cellIs" dxfId="2941" priority="2379" operator="lessThan">
      <formula>0</formula>
    </cfRule>
  </conditionalFormatting>
  <conditionalFormatting sqref="H22">
    <cfRule type="cellIs" dxfId="2940" priority="2378" operator="lessThan">
      <formula>0</formula>
    </cfRule>
  </conditionalFormatting>
  <conditionalFormatting sqref="H22">
    <cfRule type="cellIs" dxfId="2939" priority="2377" operator="lessThan">
      <formula>0</formula>
    </cfRule>
  </conditionalFormatting>
  <conditionalFormatting sqref="H22">
    <cfRule type="cellIs" dxfId="2938" priority="2376" operator="lessThan">
      <formula>0</formula>
    </cfRule>
  </conditionalFormatting>
  <conditionalFormatting sqref="H22">
    <cfRule type="cellIs" dxfId="2937" priority="2375" operator="lessThan">
      <formula>0</formula>
    </cfRule>
  </conditionalFormatting>
  <conditionalFormatting sqref="H22">
    <cfRule type="cellIs" dxfId="2936" priority="2374" operator="lessThan">
      <formula>0</formula>
    </cfRule>
  </conditionalFormatting>
  <conditionalFormatting sqref="H22">
    <cfRule type="cellIs" dxfId="2935" priority="2373" operator="lessThan">
      <formula>0</formula>
    </cfRule>
  </conditionalFormatting>
  <conditionalFormatting sqref="H22">
    <cfRule type="cellIs" dxfId="2934" priority="2372" operator="lessThan">
      <formula>0</formula>
    </cfRule>
  </conditionalFormatting>
  <conditionalFormatting sqref="H22">
    <cfRule type="cellIs" dxfId="2933" priority="2371" operator="lessThan">
      <formula>0</formula>
    </cfRule>
  </conditionalFormatting>
  <conditionalFormatting sqref="H22">
    <cfRule type="cellIs" dxfId="2932" priority="2370" operator="lessThan">
      <formula>0</formula>
    </cfRule>
  </conditionalFormatting>
  <conditionalFormatting sqref="H22">
    <cfRule type="cellIs" dxfId="2931" priority="2369" operator="lessThan">
      <formula>0</formula>
    </cfRule>
  </conditionalFormatting>
  <conditionalFormatting sqref="H22">
    <cfRule type="cellIs" dxfId="2930" priority="2368" operator="lessThan">
      <formula>0</formula>
    </cfRule>
  </conditionalFormatting>
  <conditionalFormatting sqref="C19:C22">
    <cfRule type="cellIs" dxfId="2929" priority="2367" operator="lessThan">
      <formula>0</formula>
    </cfRule>
  </conditionalFormatting>
  <conditionalFormatting sqref="C19:C22">
    <cfRule type="cellIs" dxfId="2928" priority="2366" operator="lessThan">
      <formula>0</formula>
    </cfRule>
  </conditionalFormatting>
  <conditionalFormatting sqref="C19:C22">
    <cfRule type="cellIs" dxfId="2927" priority="2365" operator="lessThan">
      <formula>0</formula>
    </cfRule>
  </conditionalFormatting>
  <conditionalFormatting sqref="C19:C22">
    <cfRule type="cellIs" dxfId="2926" priority="2364" operator="lessThan">
      <formula>0</formula>
    </cfRule>
  </conditionalFormatting>
  <conditionalFormatting sqref="C19:C22">
    <cfRule type="cellIs" dxfId="2925" priority="2363" operator="lessThan">
      <formula>0</formula>
    </cfRule>
  </conditionalFormatting>
  <conditionalFormatting sqref="C19:C22">
    <cfRule type="cellIs" dxfId="2924" priority="2362" operator="lessThan">
      <formula>0</formula>
    </cfRule>
  </conditionalFormatting>
  <conditionalFormatting sqref="C19:C22">
    <cfRule type="cellIs" dxfId="2923" priority="2361" operator="lessThan">
      <formula>0</formula>
    </cfRule>
  </conditionalFormatting>
  <conditionalFormatting sqref="C19:C22">
    <cfRule type="cellIs" dxfId="2922" priority="2360" operator="lessThan">
      <formula>0</formula>
    </cfRule>
  </conditionalFormatting>
  <conditionalFormatting sqref="C19:C22">
    <cfRule type="cellIs" dxfId="2921" priority="2359" operator="lessThan">
      <formula>0</formula>
    </cfRule>
  </conditionalFormatting>
  <conditionalFormatting sqref="C19:C22">
    <cfRule type="cellIs" dxfId="2920" priority="2358" operator="lessThan">
      <formula>0</formula>
    </cfRule>
  </conditionalFormatting>
  <conditionalFormatting sqref="C19:C22">
    <cfRule type="cellIs" dxfId="2919" priority="2357" operator="lessThan">
      <formula>0</formula>
    </cfRule>
  </conditionalFormatting>
  <conditionalFormatting sqref="C19:C22">
    <cfRule type="cellIs" dxfId="2918" priority="2356" operator="lessThan">
      <formula>0</formula>
    </cfRule>
  </conditionalFormatting>
  <conditionalFormatting sqref="H19:H22">
    <cfRule type="cellIs" dxfId="2917" priority="2355" operator="lessThan">
      <formula>0</formula>
    </cfRule>
  </conditionalFormatting>
  <conditionalFormatting sqref="H19:H22">
    <cfRule type="cellIs" dxfId="2916" priority="2354" operator="lessThan">
      <formula>0</formula>
    </cfRule>
  </conditionalFormatting>
  <conditionalFormatting sqref="H19:H22">
    <cfRule type="cellIs" dxfId="2915" priority="2353" operator="lessThan">
      <formula>0</formula>
    </cfRule>
  </conditionalFormatting>
  <conditionalFormatting sqref="H19:H22">
    <cfRule type="cellIs" dxfId="2914" priority="2352" operator="lessThan">
      <formula>0</formula>
    </cfRule>
  </conditionalFormatting>
  <conditionalFormatting sqref="H19:H22">
    <cfRule type="cellIs" dxfId="2913" priority="2351" operator="lessThan">
      <formula>0</formula>
    </cfRule>
  </conditionalFormatting>
  <conditionalFormatting sqref="H19:H22">
    <cfRule type="cellIs" dxfId="2912" priority="2350" operator="lessThan">
      <formula>0</formula>
    </cfRule>
  </conditionalFormatting>
  <conditionalFormatting sqref="H19:H22">
    <cfRule type="cellIs" dxfId="2911" priority="2349" operator="lessThan">
      <formula>0</formula>
    </cfRule>
  </conditionalFormatting>
  <conditionalFormatting sqref="H19:H22">
    <cfRule type="cellIs" dxfId="2910" priority="2348" operator="lessThan">
      <formula>0</formula>
    </cfRule>
  </conditionalFormatting>
  <conditionalFormatting sqref="H19:H22">
    <cfRule type="cellIs" dxfId="2909" priority="2347" operator="lessThan">
      <formula>0</formula>
    </cfRule>
  </conditionalFormatting>
  <conditionalFormatting sqref="H19:H22">
    <cfRule type="cellIs" dxfId="2908" priority="2346" operator="lessThan">
      <formula>0</formula>
    </cfRule>
  </conditionalFormatting>
  <conditionalFormatting sqref="H19:H22">
    <cfRule type="cellIs" dxfId="2907" priority="2345" operator="lessThan">
      <formula>0</formula>
    </cfRule>
  </conditionalFormatting>
  <conditionalFormatting sqref="H19:H22">
    <cfRule type="cellIs" dxfId="2906" priority="2344" operator="lessThan">
      <formula>0</formula>
    </cfRule>
  </conditionalFormatting>
  <conditionalFormatting sqref="E19:E22">
    <cfRule type="cellIs" dxfId="2905" priority="2343" operator="lessThan">
      <formula>0</formula>
    </cfRule>
  </conditionalFormatting>
  <conditionalFormatting sqref="E19:E22">
    <cfRule type="cellIs" dxfId="2904" priority="2342" operator="lessThan">
      <formula>0</formula>
    </cfRule>
  </conditionalFormatting>
  <conditionalFormatting sqref="E19:E22">
    <cfRule type="cellIs" dxfId="2903" priority="2341" operator="lessThan">
      <formula>0</formula>
    </cfRule>
  </conditionalFormatting>
  <conditionalFormatting sqref="E19:E22">
    <cfRule type="cellIs" dxfId="2902" priority="2340" operator="lessThan">
      <formula>0</formula>
    </cfRule>
  </conditionalFormatting>
  <conditionalFormatting sqref="E19:E22">
    <cfRule type="cellIs" dxfId="2901" priority="2339" operator="lessThan">
      <formula>0</formula>
    </cfRule>
  </conditionalFormatting>
  <conditionalFormatting sqref="E19:E22">
    <cfRule type="cellIs" dxfId="2900" priority="2338" operator="lessThan">
      <formula>0</formula>
    </cfRule>
  </conditionalFormatting>
  <conditionalFormatting sqref="E19:E22">
    <cfRule type="cellIs" dxfId="2899" priority="2337" operator="lessThan">
      <formula>0</formula>
    </cfRule>
  </conditionalFormatting>
  <conditionalFormatting sqref="E19:E22">
    <cfRule type="cellIs" dxfId="2898" priority="2336" operator="lessThan">
      <formula>0</formula>
    </cfRule>
  </conditionalFormatting>
  <conditionalFormatting sqref="E19:E22">
    <cfRule type="cellIs" dxfId="2897" priority="2335" operator="lessThan">
      <formula>0</formula>
    </cfRule>
  </conditionalFormatting>
  <conditionalFormatting sqref="E19:E22">
    <cfRule type="cellIs" dxfId="2896" priority="2334" operator="lessThan">
      <formula>0</formula>
    </cfRule>
  </conditionalFormatting>
  <conditionalFormatting sqref="E19:E22">
    <cfRule type="cellIs" dxfId="2895" priority="2333" operator="lessThan">
      <formula>0</formula>
    </cfRule>
  </conditionalFormatting>
  <conditionalFormatting sqref="E19:E22">
    <cfRule type="cellIs" dxfId="2894" priority="2332" operator="lessThan">
      <formula>0</formula>
    </cfRule>
  </conditionalFormatting>
  <conditionalFormatting sqref="E19:E22">
    <cfRule type="cellIs" dxfId="2893" priority="2331" operator="lessThan">
      <formula>0</formula>
    </cfRule>
  </conditionalFormatting>
  <conditionalFormatting sqref="E19:E22">
    <cfRule type="cellIs" dxfId="2892" priority="2330" operator="lessThan">
      <formula>0</formula>
    </cfRule>
  </conditionalFormatting>
  <conditionalFormatting sqref="E19:E22">
    <cfRule type="cellIs" dxfId="2891" priority="2329" operator="lessThan">
      <formula>0</formula>
    </cfRule>
  </conditionalFormatting>
  <conditionalFormatting sqref="E19:E22">
    <cfRule type="cellIs" dxfId="2890" priority="2328" operator="lessThan">
      <formula>0</formula>
    </cfRule>
  </conditionalFormatting>
  <conditionalFormatting sqref="E19:E22">
    <cfRule type="cellIs" dxfId="2889" priority="2327" operator="lessThan">
      <formula>0</formula>
    </cfRule>
  </conditionalFormatting>
  <conditionalFormatting sqref="E19:E22">
    <cfRule type="cellIs" dxfId="2888" priority="2326" operator="lessThan">
      <formula>0</formula>
    </cfRule>
  </conditionalFormatting>
  <conditionalFormatting sqref="E19:E22">
    <cfRule type="cellIs" dxfId="2887" priority="2325" operator="lessThan">
      <formula>0</formula>
    </cfRule>
  </conditionalFormatting>
  <conditionalFormatting sqref="E19:E22">
    <cfRule type="cellIs" dxfId="2886" priority="2324" operator="lessThan">
      <formula>0</formula>
    </cfRule>
  </conditionalFormatting>
  <conditionalFormatting sqref="E19:E22">
    <cfRule type="cellIs" dxfId="2885" priority="2323" operator="lessThan">
      <formula>0</formula>
    </cfRule>
  </conditionalFormatting>
  <conditionalFormatting sqref="E19:E22">
    <cfRule type="cellIs" dxfId="2884" priority="2322" operator="lessThan">
      <formula>0</formula>
    </cfRule>
  </conditionalFormatting>
  <conditionalFormatting sqref="E19:E22">
    <cfRule type="cellIs" dxfId="2883" priority="2321" operator="lessThan">
      <formula>0</formula>
    </cfRule>
  </conditionalFormatting>
  <conditionalFormatting sqref="E19:E22">
    <cfRule type="cellIs" dxfId="2882" priority="2320" operator="lessThan">
      <formula>0</formula>
    </cfRule>
  </conditionalFormatting>
  <conditionalFormatting sqref="E19:E22">
    <cfRule type="cellIs" dxfId="2881" priority="2319" operator="lessThan">
      <formula>0</formula>
    </cfRule>
  </conditionalFormatting>
  <conditionalFormatting sqref="E19:E22">
    <cfRule type="cellIs" dxfId="2880" priority="2318" operator="lessThan">
      <formula>0</formula>
    </cfRule>
  </conditionalFormatting>
  <conditionalFormatting sqref="E19:E22">
    <cfRule type="cellIs" dxfId="2879" priority="2317" operator="lessThan">
      <formula>0</formula>
    </cfRule>
  </conditionalFormatting>
  <conditionalFormatting sqref="E19:E22">
    <cfRule type="cellIs" dxfId="2878" priority="2316" operator="lessThan">
      <formula>0</formula>
    </cfRule>
  </conditionalFormatting>
  <conditionalFormatting sqref="E19:E22">
    <cfRule type="cellIs" dxfId="2877" priority="2315" operator="lessThan">
      <formula>0</formula>
    </cfRule>
  </conditionalFormatting>
  <conditionalFormatting sqref="E19:E22">
    <cfRule type="cellIs" dxfId="2876" priority="2314" operator="lessThan">
      <formula>0</formula>
    </cfRule>
  </conditionalFormatting>
  <conditionalFormatting sqref="E19:E22">
    <cfRule type="cellIs" dxfId="2875" priority="2313" operator="lessThan">
      <formula>0</formula>
    </cfRule>
  </conditionalFormatting>
  <conditionalFormatting sqref="E19:E22">
    <cfRule type="cellIs" dxfId="2874" priority="2312" operator="lessThan">
      <formula>0</formula>
    </cfRule>
  </conditionalFormatting>
  <conditionalFormatting sqref="E19:E22">
    <cfRule type="cellIs" dxfId="2873" priority="2311" operator="lessThan">
      <formula>0</formula>
    </cfRule>
  </conditionalFormatting>
  <conditionalFormatting sqref="E19:E22">
    <cfRule type="cellIs" dxfId="2872" priority="2310" operator="lessThan">
      <formula>0</formula>
    </cfRule>
  </conditionalFormatting>
  <conditionalFormatting sqref="E19:E22">
    <cfRule type="cellIs" dxfId="2871" priority="2309" operator="lessThan">
      <formula>0</formula>
    </cfRule>
  </conditionalFormatting>
  <conditionalFormatting sqref="E19:E22">
    <cfRule type="cellIs" dxfId="2870" priority="2308" operator="lessThan">
      <formula>0</formula>
    </cfRule>
  </conditionalFormatting>
  <conditionalFormatting sqref="E19:E22">
    <cfRule type="cellIs" dxfId="2869" priority="2307" operator="lessThan">
      <formula>0</formula>
    </cfRule>
  </conditionalFormatting>
  <conditionalFormatting sqref="E19:E22">
    <cfRule type="cellIs" dxfId="2868" priority="2306" operator="lessThan">
      <formula>0</formula>
    </cfRule>
  </conditionalFormatting>
  <conditionalFormatting sqref="E19:E22">
    <cfRule type="cellIs" dxfId="2867" priority="2305" operator="lessThan">
      <formula>0</formula>
    </cfRule>
  </conditionalFormatting>
  <conditionalFormatting sqref="E19:E22">
    <cfRule type="cellIs" dxfId="2866" priority="2304" operator="lessThan">
      <formula>0</formula>
    </cfRule>
  </conditionalFormatting>
  <conditionalFormatting sqref="E19:E22">
    <cfRule type="cellIs" dxfId="2865" priority="2303" operator="lessThan">
      <formula>0</formula>
    </cfRule>
  </conditionalFormatting>
  <conditionalFormatting sqref="E19:E22">
    <cfRule type="cellIs" dxfId="2864" priority="2302" operator="lessThan">
      <formula>0</formula>
    </cfRule>
  </conditionalFormatting>
  <conditionalFormatting sqref="E19:E22">
    <cfRule type="cellIs" dxfId="2863" priority="2301" operator="lessThan">
      <formula>0</formula>
    </cfRule>
  </conditionalFormatting>
  <conditionalFormatting sqref="E19:E22">
    <cfRule type="cellIs" dxfId="2862" priority="2300" operator="lessThan">
      <formula>0</formula>
    </cfRule>
  </conditionalFormatting>
  <conditionalFormatting sqref="J19:J22">
    <cfRule type="cellIs" dxfId="2861" priority="2299" operator="lessThan">
      <formula>0</formula>
    </cfRule>
  </conditionalFormatting>
  <conditionalFormatting sqref="J19:J22">
    <cfRule type="cellIs" dxfId="2860" priority="2298" operator="lessThan">
      <formula>0</formula>
    </cfRule>
  </conditionalFormatting>
  <conditionalFormatting sqref="J19:J22">
    <cfRule type="cellIs" dxfId="2859" priority="2297" operator="lessThan">
      <formula>0</formula>
    </cfRule>
  </conditionalFormatting>
  <conditionalFormatting sqref="J19:J22">
    <cfRule type="cellIs" dxfId="2858" priority="2296" operator="lessThan">
      <formula>0</formula>
    </cfRule>
  </conditionalFormatting>
  <conditionalFormatting sqref="J19:J22">
    <cfRule type="cellIs" dxfId="2857" priority="2295" operator="lessThan">
      <formula>0</formula>
    </cfRule>
  </conditionalFormatting>
  <conditionalFormatting sqref="J19:J22">
    <cfRule type="cellIs" dxfId="2856" priority="2294" operator="lessThan">
      <formula>0</formula>
    </cfRule>
  </conditionalFormatting>
  <conditionalFormatting sqref="J19:J22">
    <cfRule type="cellIs" dxfId="2855" priority="2293" operator="lessThan">
      <formula>0</formula>
    </cfRule>
  </conditionalFormatting>
  <conditionalFormatting sqref="J19:J22">
    <cfRule type="cellIs" dxfId="2854" priority="2292" operator="lessThan">
      <formula>0</formula>
    </cfRule>
  </conditionalFormatting>
  <conditionalFormatting sqref="J19:J22">
    <cfRule type="cellIs" dxfId="2853" priority="2291" operator="lessThan">
      <formula>0</formula>
    </cfRule>
  </conditionalFormatting>
  <conditionalFormatting sqref="J19:J22">
    <cfRule type="cellIs" dxfId="2852" priority="2290" operator="lessThan">
      <formula>0</formula>
    </cfRule>
  </conditionalFormatting>
  <conditionalFormatting sqref="J19:J22">
    <cfRule type="cellIs" dxfId="2851" priority="2289" operator="lessThan">
      <formula>0</formula>
    </cfRule>
  </conditionalFormatting>
  <conditionalFormatting sqref="J19:J22">
    <cfRule type="cellIs" dxfId="2850" priority="2288" operator="lessThan">
      <formula>0</formula>
    </cfRule>
  </conditionalFormatting>
  <conditionalFormatting sqref="J19:J22">
    <cfRule type="cellIs" dxfId="2849" priority="2287" operator="lessThan">
      <formula>0</formula>
    </cfRule>
  </conditionalFormatting>
  <conditionalFormatting sqref="J19:J22">
    <cfRule type="cellIs" dxfId="2848" priority="2286" operator="lessThan">
      <formula>0</formula>
    </cfRule>
  </conditionalFormatting>
  <conditionalFormatting sqref="J19:J22">
    <cfRule type="cellIs" dxfId="2847" priority="2285" operator="lessThan">
      <formula>0</formula>
    </cfRule>
  </conditionalFormatting>
  <conditionalFormatting sqref="J19:J22">
    <cfRule type="cellIs" dxfId="2846" priority="2284" operator="lessThan">
      <formula>0</formula>
    </cfRule>
  </conditionalFormatting>
  <conditionalFormatting sqref="J19:J22">
    <cfRule type="cellIs" dxfId="2845" priority="2283" operator="lessThan">
      <formula>0</formula>
    </cfRule>
  </conditionalFormatting>
  <conditionalFormatting sqref="J19:J22">
    <cfRule type="cellIs" dxfId="2844" priority="2282" operator="lessThan">
      <formula>0</formula>
    </cfRule>
  </conditionalFormatting>
  <conditionalFormatting sqref="J19:J22">
    <cfRule type="cellIs" dxfId="2843" priority="2281" operator="lessThan">
      <formula>0</formula>
    </cfRule>
  </conditionalFormatting>
  <conditionalFormatting sqref="J19:J22">
    <cfRule type="cellIs" dxfId="2842" priority="2280" operator="lessThan">
      <formula>0</formula>
    </cfRule>
  </conditionalFormatting>
  <conditionalFormatting sqref="J19:J22">
    <cfRule type="cellIs" dxfId="2841" priority="2279" operator="lessThan">
      <formula>0</formula>
    </cfRule>
  </conditionalFormatting>
  <conditionalFormatting sqref="J19:J22">
    <cfRule type="cellIs" dxfId="2840" priority="2278" operator="lessThan">
      <formula>0</formula>
    </cfRule>
  </conditionalFormatting>
  <conditionalFormatting sqref="J19:J22">
    <cfRule type="cellIs" dxfId="2839" priority="2277" operator="lessThan">
      <formula>0</formula>
    </cfRule>
  </conditionalFormatting>
  <conditionalFormatting sqref="J19:J22">
    <cfRule type="cellIs" dxfId="2838" priority="2276" operator="lessThan">
      <formula>0</formula>
    </cfRule>
  </conditionalFormatting>
  <conditionalFormatting sqref="J19:J22">
    <cfRule type="cellIs" dxfId="2837" priority="2275" operator="lessThan">
      <formula>0</formula>
    </cfRule>
  </conditionalFormatting>
  <conditionalFormatting sqref="J19:J22">
    <cfRule type="cellIs" dxfId="2836" priority="2274" operator="lessThan">
      <formula>0</formula>
    </cfRule>
  </conditionalFormatting>
  <conditionalFormatting sqref="J19:J22">
    <cfRule type="cellIs" dxfId="2835" priority="2273" operator="lessThan">
      <formula>0</formula>
    </cfRule>
  </conditionalFormatting>
  <conditionalFormatting sqref="J19:J22">
    <cfRule type="cellIs" dxfId="2834" priority="2272" operator="lessThan">
      <formula>0</formula>
    </cfRule>
  </conditionalFormatting>
  <conditionalFormatting sqref="J19:J22">
    <cfRule type="cellIs" dxfId="2833" priority="2271" operator="lessThan">
      <formula>0</formula>
    </cfRule>
  </conditionalFormatting>
  <conditionalFormatting sqref="J19:J22">
    <cfRule type="cellIs" dxfId="2832" priority="2270" operator="lessThan">
      <formula>0</formula>
    </cfRule>
  </conditionalFormatting>
  <conditionalFormatting sqref="J19:J22">
    <cfRule type="cellIs" dxfId="2831" priority="2269" operator="lessThan">
      <formula>0</formula>
    </cfRule>
  </conditionalFormatting>
  <conditionalFormatting sqref="J19:J22">
    <cfRule type="cellIs" dxfId="2830" priority="2268" operator="lessThan">
      <formula>0</formula>
    </cfRule>
  </conditionalFormatting>
  <conditionalFormatting sqref="J19:J22">
    <cfRule type="cellIs" dxfId="2829" priority="2267" operator="lessThan">
      <formula>0</formula>
    </cfRule>
  </conditionalFormatting>
  <conditionalFormatting sqref="J19:J22">
    <cfRule type="cellIs" dxfId="2828" priority="2266" operator="lessThan">
      <formula>0</formula>
    </cfRule>
  </conditionalFormatting>
  <conditionalFormatting sqref="J19:J22">
    <cfRule type="cellIs" dxfId="2827" priority="2265" operator="lessThan">
      <formula>0</formula>
    </cfRule>
  </conditionalFormatting>
  <conditionalFormatting sqref="J19:J22">
    <cfRule type="cellIs" dxfId="2826" priority="2264" operator="lessThan">
      <formula>0</formula>
    </cfRule>
  </conditionalFormatting>
  <conditionalFormatting sqref="J19:J22">
    <cfRule type="cellIs" dxfId="2825" priority="2263" operator="lessThan">
      <formula>0</formula>
    </cfRule>
  </conditionalFormatting>
  <conditionalFormatting sqref="J19:J22">
    <cfRule type="cellIs" dxfId="2824" priority="2262" operator="lessThan">
      <formula>0</formula>
    </cfRule>
  </conditionalFormatting>
  <conditionalFormatting sqref="J19:J22">
    <cfRule type="cellIs" dxfId="2823" priority="2261" operator="lessThan">
      <formula>0</formula>
    </cfRule>
  </conditionalFormatting>
  <conditionalFormatting sqref="J19:J22">
    <cfRule type="cellIs" dxfId="2822" priority="2260" operator="lessThan">
      <formula>0</formula>
    </cfRule>
  </conditionalFormatting>
  <conditionalFormatting sqref="J19:J22">
    <cfRule type="cellIs" dxfId="2821" priority="2259" operator="lessThan">
      <formula>0</formula>
    </cfRule>
  </conditionalFormatting>
  <conditionalFormatting sqref="J19:J22">
    <cfRule type="cellIs" dxfId="2820" priority="2258" operator="lessThan">
      <formula>0</formula>
    </cfRule>
  </conditionalFormatting>
  <conditionalFormatting sqref="J19:J22">
    <cfRule type="cellIs" dxfId="2819" priority="2257" operator="lessThan">
      <formula>0</formula>
    </cfRule>
  </conditionalFormatting>
  <conditionalFormatting sqref="J19:J22">
    <cfRule type="cellIs" dxfId="2818" priority="2256" operator="lessThan">
      <formula>0</formula>
    </cfRule>
  </conditionalFormatting>
  <conditionalFormatting sqref="J19:J22">
    <cfRule type="cellIs" dxfId="2817" priority="2255" operator="lessThan">
      <formula>0</formula>
    </cfRule>
  </conditionalFormatting>
  <conditionalFormatting sqref="J19:J22">
    <cfRule type="cellIs" dxfId="2816" priority="2254" operator="lessThan">
      <formula>0</formula>
    </cfRule>
  </conditionalFormatting>
  <conditionalFormatting sqref="J19:J22">
    <cfRule type="cellIs" dxfId="2815" priority="2253" operator="lessThan">
      <formula>0</formula>
    </cfRule>
  </conditionalFormatting>
  <conditionalFormatting sqref="J19:J22">
    <cfRule type="cellIs" dxfId="2814" priority="2252" operator="lessThan">
      <formula>0</formula>
    </cfRule>
  </conditionalFormatting>
  <conditionalFormatting sqref="J19:J22">
    <cfRule type="cellIs" dxfId="2813" priority="2251" operator="lessThan">
      <formula>0</formula>
    </cfRule>
  </conditionalFormatting>
  <conditionalFormatting sqref="J19:J22">
    <cfRule type="cellIs" dxfId="2812" priority="2250" operator="lessThan">
      <formula>0</formula>
    </cfRule>
  </conditionalFormatting>
  <conditionalFormatting sqref="J19:J22">
    <cfRule type="cellIs" dxfId="2811" priority="2249" operator="lessThan">
      <formula>0</formula>
    </cfRule>
  </conditionalFormatting>
  <conditionalFormatting sqref="J19:J22">
    <cfRule type="cellIs" dxfId="2810" priority="2248" operator="lessThan">
      <formula>0</formula>
    </cfRule>
  </conditionalFormatting>
  <conditionalFormatting sqref="J19:J22">
    <cfRule type="cellIs" dxfId="2809" priority="2247" operator="lessThan">
      <formula>0</formula>
    </cfRule>
  </conditionalFormatting>
  <conditionalFormatting sqref="J19:J22">
    <cfRule type="cellIs" dxfId="2808" priority="2246" operator="lessThan">
      <formula>0</formula>
    </cfRule>
  </conditionalFormatting>
  <conditionalFormatting sqref="J19:J22">
    <cfRule type="cellIs" dxfId="2807" priority="2245" operator="lessThan">
      <formula>0</formula>
    </cfRule>
  </conditionalFormatting>
  <conditionalFormatting sqref="J19:J22">
    <cfRule type="cellIs" dxfId="2806" priority="2244" operator="lessThan">
      <formula>0</formula>
    </cfRule>
  </conditionalFormatting>
  <conditionalFormatting sqref="J19:J22">
    <cfRule type="cellIs" dxfId="2805" priority="2243" operator="lessThan">
      <formula>0</formula>
    </cfRule>
  </conditionalFormatting>
  <conditionalFormatting sqref="J19:J22">
    <cfRule type="cellIs" dxfId="2804" priority="2242" operator="lessThan">
      <formula>0</formula>
    </cfRule>
  </conditionalFormatting>
  <conditionalFormatting sqref="J19:J22">
    <cfRule type="cellIs" dxfId="2803" priority="2241" operator="lessThan">
      <formula>0</formula>
    </cfRule>
  </conditionalFormatting>
  <conditionalFormatting sqref="J19:J22">
    <cfRule type="cellIs" dxfId="2802" priority="2240" operator="lessThan">
      <formula>0</formula>
    </cfRule>
  </conditionalFormatting>
  <conditionalFormatting sqref="J19:J22">
    <cfRule type="cellIs" dxfId="2801" priority="2239" operator="lessThan">
      <formula>0</formula>
    </cfRule>
  </conditionalFormatting>
  <conditionalFormatting sqref="J19:J22">
    <cfRule type="cellIs" dxfId="2800" priority="2238" operator="lessThan">
      <formula>0</formula>
    </cfRule>
  </conditionalFormatting>
  <conditionalFormatting sqref="J19:J22">
    <cfRule type="cellIs" dxfId="2799" priority="2237" operator="lessThan">
      <formula>0</formula>
    </cfRule>
  </conditionalFormatting>
  <conditionalFormatting sqref="J19:J22">
    <cfRule type="cellIs" dxfId="2798" priority="2236" operator="lessThan">
      <formula>0</formula>
    </cfRule>
  </conditionalFormatting>
  <conditionalFormatting sqref="J19:J22">
    <cfRule type="cellIs" dxfId="2797" priority="2235" operator="lessThan">
      <formula>0</formula>
    </cfRule>
  </conditionalFormatting>
  <conditionalFormatting sqref="J19:J22">
    <cfRule type="cellIs" dxfId="2796" priority="2234" operator="lessThan">
      <formula>0</formula>
    </cfRule>
  </conditionalFormatting>
  <conditionalFormatting sqref="J19:J22">
    <cfRule type="cellIs" dxfId="2795" priority="2233" operator="lessThan">
      <formula>0</formula>
    </cfRule>
  </conditionalFormatting>
  <conditionalFormatting sqref="J19:J22">
    <cfRule type="cellIs" dxfId="2794" priority="2232" operator="lessThan">
      <formula>0</formula>
    </cfRule>
  </conditionalFormatting>
  <conditionalFormatting sqref="J19:J22">
    <cfRule type="cellIs" dxfId="2793" priority="2231" operator="lessThan">
      <formula>0</formula>
    </cfRule>
  </conditionalFormatting>
  <conditionalFormatting sqref="J19:J22">
    <cfRule type="cellIs" dxfId="2792" priority="2230" operator="lessThan">
      <formula>0</formula>
    </cfRule>
  </conditionalFormatting>
  <conditionalFormatting sqref="J19:J22">
    <cfRule type="cellIs" dxfId="2791" priority="2229" operator="lessThan">
      <formula>0</formula>
    </cfRule>
  </conditionalFormatting>
  <conditionalFormatting sqref="J19:J22">
    <cfRule type="cellIs" dxfId="2790" priority="2228" operator="lessThan">
      <formula>0</formula>
    </cfRule>
  </conditionalFormatting>
  <conditionalFormatting sqref="J19:J22">
    <cfRule type="cellIs" dxfId="2789" priority="2227" operator="lessThan">
      <formula>0</formula>
    </cfRule>
  </conditionalFormatting>
  <conditionalFormatting sqref="J19:J22">
    <cfRule type="cellIs" dxfId="2788" priority="2226" operator="lessThan">
      <formula>0</formula>
    </cfRule>
  </conditionalFormatting>
  <conditionalFormatting sqref="J19:J22">
    <cfRule type="cellIs" dxfId="2787" priority="2225" operator="lessThan">
      <formula>0</formula>
    </cfRule>
  </conditionalFormatting>
  <conditionalFormatting sqref="J19:J22">
    <cfRule type="cellIs" dxfId="2786" priority="2224" operator="lessThan">
      <formula>0</formula>
    </cfRule>
  </conditionalFormatting>
  <conditionalFormatting sqref="J19:J22">
    <cfRule type="cellIs" dxfId="2785" priority="2223" operator="lessThan">
      <formula>0</formula>
    </cfRule>
  </conditionalFormatting>
  <conditionalFormatting sqref="J19:J22">
    <cfRule type="cellIs" dxfId="2784" priority="2222" operator="lessThan">
      <formula>0</formula>
    </cfRule>
  </conditionalFormatting>
  <conditionalFormatting sqref="J19:J22">
    <cfRule type="cellIs" dxfId="2783" priority="2221" operator="lessThan">
      <formula>0</formula>
    </cfRule>
  </conditionalFormatting>
  <conditionalFormatting sqref="J19:J22">
    <cfRule type="cellIs" dxfId="2782" priority="2220" operator="lessThan">
      <formula>0</formula>
    </cfRule>
  </conditionalFormatting>
  <conditionalFormatting sqref="J19:J22">
    <cfRule type="cellIs" dxfId="2781" priority="2219" operator="lessThan">
      <formula>0</formula>
    </cfRule>
  </conditionalFormatting>
  <conditionalFormatting sqref="J19:J22">
    <cfRule type="cellIs" dxfId="2780" priority="2218" operator="lessThan">
      <formula>0</formula>
    </cfRule>
  </conditionalFormatting>
  <conditionalFormatting sqref="J19:J22">
    <cfRule type="cellIs" dxfId="2779" priority="2217" operator="lessThan">
      <formula>0</formula>
    </cfRule>
  </conditionalFormatting>
  <conditionalFormatting sqref="J19:J22">
    <cfRule type="cellIs" dxfId="2778" priority="2216" operator="lessThan">
      <formula>0</formula>
    </cfRule>
  </conditionalFormatting>
  <conditionalFormatting sqref="J19:J22">
    <cfRule type="cellIs" dxfId="2777" priority="2215" operator="lessThan">
      <formula>0</formula>
    </cfRule>
  </conditionalFormatting>
  <conditionalFormatting sqref="J19:J22">
    <cfRule type="cellIs" dxfId="2776" priority="2214" operator="lessThan">
      <formula>0</formula>
    </cfRule>
  </conditionalFormatting>
  <conditionalFormatting sqref="J19:J22">
    <cfRule type="cellIs" dxfId="2775" priority="2213" operator="lessThan">
      <formula>0</formula>
    </cfRule>
  </conditionalFormatting>
  <conditionalFormatting sqref="E4:E35">
    <cfRule type="cellIs" dxfId="2774" priority="2212" operator="lessThan">
      <formula>0</formula>
    </cfRule>
  </conditionalFormatting>
  <conditionalFormatting sqref="E4:E35">
    <cfRule type="cellIs" dxfId="2773" priority="2211" operator="lessThan">
      <formula>0</formula>
    </cfRule>
  </conditionalFormatting>
  <conditionalFormatting sqref="E4:E35">
    <cfRule type="cellIs" dxfId="2772" priority="2210" operator="lessThan">
      <formula>0</formula>
    </cfRule>
  </conditionalFormatting>
  <conditionalFormatting sqref="E4:E35">
    <cfRule type="cellIs" dxfId="2771" priority="2209" operator="lessThan">
      <formula>0</formula>
    </cfRule>
  </conditionalFormatting>
  <conditionalFormatting sqref="E4:E35">
    <cfRule type="cellIs" dxfId="2770" priority="2208" operator="lessThan">
      <formula>0</formula>
    </cfRule>
  </conditionalFormatting>
  <conditionalFormatting sqref="E4:E35">
    <cfRule type="cellIs" dxfId="2769" priority="2207" operator="lessThan">
      <formula>0</formula>
    </cfRule>
  </conditionalFormatting>
  <conditionalFormatting sqref="E4:E35">
    <cfRule type="cellIs" dxfId="2768" priority="2206" operator="lessThan">
      <formula>0</formula>
    </cfRule>
  </conditionalFormatting>
  <conditionalFormatting sqref="E4:E35">
    <cfRule type="cellIs" dxfId="2767" priority="2205" operator="lessThan">
      <formula>0</formula>
    </cfRule>
  </conditionalFormatting>
  <conditionalFormatting sqref="E4:E35">
    <cfRule type="cellIs" dxfId="2766" priority="2204" operator="lessThan">
      <formula>0</formula>
    </cfRule>
  </conditionalFormatting>
  <conditionalFormatting sqref="E4:E35">
    <cfRule type="cellIs" dxfId="2765" priority="2203" operator="lessThan">
      <formula>0</formula>
    </cfRule>
  </conditionalFormatting>
  <conditionalFormatting sqref="E4:E35">
    <cfRule type="cellIs" dxfId="2764" priority="2202" operator="lessThan">
      <formula>0</formula>
    </cfRule>
  </conditionalFormatting>
  <conditionalFormatting sqref="E4:E35">
    <cfRule type="cellIs" dxfId="2763" priority="2201" operator="lessThan">
      <formula>0</formula>
    </cfRule>
  </conditionalFormatting>
  <conditionalFormatting sqref="E4:E35">
    <cfRule type="cellIs" dxfId="2762" priority="2200" operator="lessThan">
      <formula>0</formula>
    </cfRule>
  </conditionalFormatting>
  <conditionalFormatting sqref="E4:E35">
    <cfRule type="cellIs" dxfId="2761" priority="2199" operator="lessThan">
      <formula>0</formula>
    </cfRule>
  </conditionalFormatting>
  <conditionalFormatting sqref="E4:E35">
    <cfRule type="cellIs" dxfId="2760" priority="2198" operator="lessThan">
      <formula>0</formula>
    </cfRule>
  </conditionalFormatting>
  <conditionalFormatting sqref="E4:E35">
    <cfRule type="cellIs" dxfId="2759" priority="2197" operator="lessThan">
      <formula>0</formula>
    </cfRule>
  </conditionalFormatting>
  <conditionalFormatting sqref="E4:E35">
    <cfRule type="cellIs" dxfId="2758" priority="2196" operator="lessThan">
      <formula>0</formula>
    </cfRule>
  </conditionalFormatting>
  <conditionalFormatting sqref="E4:E35">
    <cfRule type="cellIs" dxfId="2757" priority="2195" operator="lessThan">
      <formula>0</formula>
    </cfRule>
  </conditionalFormatting>
  <conditionalFormatting sqref="E4:E35">
    <cfRule type="cellIs" dxfId="2756" priority="2194" operator="lessThan">
      <formula>0</formula>
    </cfRule>
  </conditionalFormatting>
  <conditionalFormatting sqref="E4:E35">
    <cfRule type="cellIs" dxfId="2755" priority="2193" operator="lessThan">
      <formula>0</formula>
    </cfRule>
  </conditionalFormatting>
  <conditionalFormatting sqref="E4:E35">
    <cfRule type="cellIs" dxfId="2754" priority="2192" operator="lessThan">
      <formula>0</formula>
    </cfRule>
  </conditionalFormatting>
  <conditionalFormatting sqref="E4:E35">
    <cfRule type="cellIs" dxfId="2753" priority="2191" operator="lessThan">
      <formula>0</formula>
    </cfRule>
  </conditionalFormatting>
  <conditionalFormatting sqref="E4:E35">
    <cfRule type="cellIs" dxfId="2752" priority="2190" operator="lessThan">
      <formula>0</formula>
    </cfRule>
  </conditionalFormatting>
  <conditionalFormatting sqref="E4:E35">
    <cfRule type="cellIs" dxfId="2751" priority="2189" operator="lessThan">
      <formula>0</formula>
    </cfRule>
  </conditionalFormatting>
  <conditionalFormatting sqref="E4:E35">
    <cfRule type="cellIs" dxfId="2750" priority="2188" operator="lessThan">
      <formula>0</formula>
    </cfRule>
  </conditionalFormatting>
  <conditionalFormatting sqref="E4:E35">
    <cfRule type="cellIs" dxfId="2749" priority="2187" operator="lessThan">
      <formula>0</formula>
    </cfRule>
  </conditionalFormatting>
  <conditionalFormatting sqref="E4:E35">
    <cfRule type="cellIs" dxfId="2748" priority="2186" operator="lessThan">
      <formula>0</formula>
    </cfRule>
  </conditionalFormatting>
  <conditionalFormatting sqref="E4:E35">
    <cfRule type="cellIs" dxfId="2747" priority="2185" operator="lessThan">
      <formula>0</formula>
    </cfRule>
  </conditionalFormatting>
  <conditionalFormatting sqref="E4:E35">
    <cfRule type="cellIs" dxfId="2746" priority="2184" operator="lessThan">
      <formula>0</formula>
    </cfRule>
  </conditionalFormatting>
  <conditionalFormatting sqref="E4:E35">
    <cfRule type="cellIs" dxfId="2745" priority="2183" operator="lessThan">
      <formula>0</formula>
    </cfRule>
  </conditionalFormatting>
  <conditionalFormatting sqref="E4:E35">
    <cfRule type="cellIs" dxfId="2744" priority="2182" operator="lessThan">
      <formula>0</formula>
    </cfRule>
  </conditionalFormatting>
  <conditionalFormatting sqref="E4:E35">
    <cfRule type="cellIs" dxfId="2743" priority="2181" operator="lessThan">
      <formula>0</formula>
    </cfRule>
  </conditionalFormatting>
  <conditionalFormatting sqref="E4:E35">
    <cfRule type="cellIs" dxfId="2742" priority="2180" operator="lessThan">
      <formula>0</formula>
    </cfRule>
  </conditionalFormatting>
  <conditionalFormatting sqref="E4:E35">
    <cfRule type="cellIs" dxfId="2741" priority="2179" operator="lessThan">
      <formula>0</formula>
    </cfRule>
  </conditionalFormatting>
  <conditionalFormatting sqref="E4:E35">
    <cfRule type="cellIs" dxfId="2740" priority="2178" operator="lessThan">
      <formula>0</formula>
    </cfRule>
  </conditionalFormatting>
  <conditionalFormatting sqref="E4:E35">
    <cfRule type="cellIs" dxfId="2739" priority="2177" operator="lessThan">
      <formula>0</formula>
    </cfRule>
  </conditionalFormatting>
  <conditionalFormatting sqref="E4:E35">
    <cfRule type="cellIs" dxfId="2738" priority="2176" operator="lessThan">
      <formula>0</formula>
    </cfRule>
  </conditionalFormatting>
  <conditionalFormatting sqref="E4:E35">
    <cfRule type="cellIs" dxfId="2737" priority="2175" operator="lessThan">
      <formula>0</formula>
    </cfRule>
  </conditionalFormatting>
  <conditionalFormatting sqref="E4:E35">
    <cfRule type="cellIs" dxfId="2736" priority="2174" operator="lessThan">
      <formula>0</formula>
    </cfRule>
  </conditionalFormatting>
  <conditionalFormatting sqref="E4:E35">
    <cfRule type="cellIs" dxfId="2735" priority="2173" operator="lessThan">
      <formula>0</formula>
    </cfRule>
  </conditionalFormatting>
  <conditionalFormatting sqref="E4:E35">
    <cfRule type="cellIs" dxfId="2734" priority="2172" operator="lessThan">
      <formula>0</formula>
    </cfRule>
  </conditionalFormatting>
  <conditionalFormatting sqref="E4:E35">
    <cfRule type="cellIs" dxfId="2733" priority="2171" operator="lessThan">
      <formula>0</formula>
    </cfRule>
  </conditionalFormatting>
  <conditionalFormatting sqref="E4:E35">
    <cfRule type="cellIs" dxfId="2732" priority="2170" operator="lessThan">
      <formula>0</formula>
    </cfRule>
  </conditionalFormatting>
  <conditionalFormatting sqref="E4:E35">
    <cfRule type="cellIs" dxfId="2731" priority="2169" operator="lessThan">
      <formula>0</formula>
    </cfRule>
  </conditionalFormatting>
  <conditionalFormatting sqref="J4:J35">
    <cfRule type="cellIs" dxfId="2730" priority="2168" operator="lessThan">
      <formula>0</formula>
    </cfRule>
  </conditionalFormatting>
  <conditionalFormatting sqref="J4:J35">
    <cfRule type="cellIs" dxfId="2729" priority="2167" operator="lessThan">
      <formula>0</formula>
    </cfRule>
  </conditionalFormatting>
  <conditionalFormatting sqref="J4:J35">
    <cfRule type="cellIs" dxfId="2728" priority="2166" operator="lessThan">
      <formula>0</formula>
    </cfRule>
  </conditionalFormatting>
  <conditionalFormatting sqref="J4:J35">
    <cfRule type="cellIs" dxfId="2727" priority="2165" operator="lessThan">
      <formula>0</formula>
    </cfRule>
  </conditionalFormatting>
  <conditionalFormatting sqref="J4:J35">
    <cfRule type="cellIs" dxfId="2726" priority="2164" operator="lessThan">
      <formula>0</formula>
    </cfRule>
  </conditionalFormatting>
  <conditionalFormatting sqref="J4:J35">
    <cfRule type="cellIs" dxfId="2725" priority="2163" operator="lessThan">
      <formula>0</formula>
    </cfRule>
  </conditionalFormatting>
  <conditionalFormatting sqref="J4:J35">
    <cfRule type="cellIs" dxfId="2724" priority="2162" operator="lessThan">
      <formula>0</formula>
    </cfRule>
  </conditionalFormatting>
  <conditionalFormatting sqref="J4:J35">
    <cfRule type="cellIs" dxfId="2723" priority="2161" operator="lessThan">
      <formula>0</formula>
    </cfRule>
  </conditionalFormatting>
  <conditionalFormatting sqref="J4:J35">
    <cfRule type="cellIs" dxfId="2722" priority="2160" operator="lessThan">
      <formula>0</formula>
    </cfRule>
  </conditionalFormatting>
  <conditionalFormatting sqref="J4:J35">
    <cfRule type="cellIs" dxfId="2721" priority="2159" operator="lessThan">
      <formula>0</formula>
    </cfRule>
  </conditionalFormatting>
  <conditionalFormatting sqref="J4:J35">
    <cfRule type="cellIs" dxfId="2720" priority="2158" operator="lessThan">
      <formula>0</formula>
    </cfRule>
  </conditionalFormatting>
  <conditionalFormatting sqref="J4:J35">
    <cfRule type="cellIs" dxfId="2719" priority="2157" operator="lessThan">
      <formula>0</formula>
    </cfRule>
  </conditionalFormatting>
  <conditionalFormatting sqref="J4:J35">
    <cfRule type="cellIs" dxfId="2718" priority="2156" operator="lessThan">
      <formula>0</formula>
    </cfRule>
  </conditionalFormatting>
  <conditionalFormatting sqref="J4:J35">
    <cfRule type="cellIs" dxfId="2717" priority="2155" operator="lessThan">
      <formula>0</formula>
    </cfRule>
  </conditionalFormatting>
  <conditionalFormatting sqref="J4:J35">
    <cfRule type="cellIs" dxfId="2716" priority="2154" operator="lessThan">
      <formula>0</formula>
    </cfRule>
  </conditionalFormatting>
  <conditionalFormatting sqref="J4:J35">
    <cfRule type="cellIs" dxfId="2715" priority="2153" operator="lessThan">
      <formula>0</formula>
    </cfRule>
  </conditionalFormatting>
  <conditionalFormatting sqref="J4:J35">
    <cfRule type="cellIs" dxfId="2714" priority="2152" operator="lessThan">
      <formula>0</formula>
    </cfRule>
  </conditionalFormatting>
  <conditionalFormatting sqref="J4:J35">
    <cfRule type="cellIs" dxfId="2713" priority="2151" operator="lessThan">
      <formula>0</formula>
    </cfRule>
  </conditionalFormatting>
  <conditionalFormatting sqref="J4:J35">
    <cfRule type="cellIs" dxfId="2712" priority="2150" operator="lessThan">
      <formula>0</formula>
    </cfRule>
  </conditionalFormatting>
  <conditionalFormatting sqref="J4:J35">
    <cfRule type="cellIs" dxfId="2711" priority="2149" operator="lessThan">
      <formula>0</formula>
    </cfRule>
  </conditionalFormatting>
  <conditionalFormatting sqref="J4:J35">
    <cfRule type="cellIs" dxfId="2710" priority="2148" operator="lessThan">
      <formula>0</formula>
    </cfRule>
  </conditionalFormatting>
  <conditionalFormatting sqref="J4:J35">
    <cfRule type="cellIs" dxfId="2709" priority="2147" operator="lessThan">
      <formula>0</formula>
    </cfRule>
  </conditionalFormatting>
  <conditionalFormatting sqref="J4:J35">
    <cfRule type="cellIs" dxfId="2708" priority="2146" operator="lessThan">
      <formula>0</formula>
    </cfRule>
  </conditionalFormatting>
  <conditionalFormatting sqref="J4:J35">
    <cfRule type="cellIs" dxfId="2707" priority="2145" operator="lessThan">
      <formula>0</formula>
    </cfRule>
  </conditionalFormatting>
  <conditionalFormatting sqref="J4:J35">
    <cfRule type="cellIs" dxfId="2706" priority="2144" operator="lessThan">
      <formula>0</formula>
    </cfRule>
  </conditionalFormatting>
  <conditionalFormatting sqref="J4:J35">
    <cfRule type="cellIs" dxfId="2705" priority="2143" operator="lessThan">
      <formula>0</formula>
    </cfRule>
  </conditionalFormatting>
  <conditionalFormatting sqref="J4:J35">
    <cfRule type="cellIs" dxfId="2704" priority="2142" operator="lessThan">
      <formula>0</formula>
    </cfRule>
  </conditionalFormatting>
  <conditionalFormatting sqref="J4:J35">
    <cfRule type="cellIs" dxfId="2703" priority="2141" operator="lessThan">
      <formula>0</formula>
    </cfRule>
  </conditionalFormatting>
  <conditionalFormatting sqref="J4:J35">
    <cfRule type="cellIs" dxfId="2702" priority="2140" operator="lessThan">
      <formula>0</formula>
    </cfRule>
  </conditionalFormatting>
  <conditionalFormatting sqref="J4:J35">
    <cfRule type="cellIs" dxfId="2701" priority="2139" operator="lessThan">
      <formula>0</formula>
    </cfRule>
  </conditionalFormatting>
  <conditionalFormatting sqref="J4:J35">
    <cfRule type="cellIs" dxfId="2700" priority="2138" operator="lessThan">
      <formula>0</formula>
    </cfRule>
  </conditionalFormatting>
  <conditionalFormatting sqref="J4:J35">
    <cfRule type="cellIs" dxfId="2699" priority="2137" operator="lessThan">
      <formula>0</formula>
    </cfRule>
  </conditionalFormatting>
  <conditionalFormatting sqref="J4:J35">
    <cfRule type="cellIs" dxfId="2698" priority="2136" operator="lessThan">
      <formula>0</formula>
    </cfRule>
  </conditionalFormatting>
  <conditionalFormatting sqref="J4:J35">
    <cfRule type="cellIs" dxfId="2697" priority="2135" operator="lessThan">
      <formula>0</formula>
    </cfRule>
  </conditionalFormatting>
  <conditionalFormatting sqref="J4:J35">
    <cfRule type="cellIs" dxfId="2696" priority="2134" operator="lessThan">
      <formula>0</formula>
    </cfRule>
  </conditionalFormatting>
  <conditionalFormatting sqref="J4:J35">
    <cfRule type="cellIs" dxfId="2695" priority="2133" operator="lessThan">
      <formula>0</formula>
    </cfRule>
  </conditionalFormatting>
  <conditionalFormatting sqref="J4:J35">
    <cfRule type="cellIs" dxfId="2694" priority="2132" operator="lessThan">
      <formula>0</formula>
    </cfRule>
  </conditionalFormatting>
  <conditionalFormatting sqref="J4:J35">
    <cfRule type="cellIs" dxfId="2693" priority="2131" operator="lessThan">
      <formula>0</formula>
    </cfRule>
  </conditionalFormatting>
  <conditionalFormatting sqref="J4:J35">
    <cfRule type="cellIs" dxfId="2692" priority="2130" operator="lessThan">
      <formula>0</formula>
    </cfRule>
  </conditionalFormatting>
  <conditionalFormatting sqref="J4:J35">
    <cfRule type="cellIs" dxfId="2691" priority="2129" operator="lessThan">
      <formula>0</formula>
    </cfRule>
  </conditionalFormatting>
  <conditionalFormatting sqref="J4:J35">
    <cfRule type="cellIs" dxfId="2690" priority="2128" operator="lessThan">
      <formula>0</formula>
    </cfRule>
  </conditionalFormatting>
  <conditionalFormatting sqref="J4:J35">
    <cfRule type="cellIs" dxfId="2689" priority="2127" operator="lessThan">
      <formula>0</formula>
    </cfRule>
  </conditionalFormatting>
  <conditionalFormatting sqref="J4:J35">
    <cfRule type="cellIs" dxfId="2688" priority="2126" operator="lessThan">
      <formula>0</formula>
    </cfRule>
  </conditionalFormatting>
  <conditionalFormatting sqref="J4:J35">
    <cfRule type="cellIs" dxfId="2687" priority="2125" operator="lessThan">
      <formula>0</formula>
    </cfRule>
  </conditionalFormatting>
  <conditionalFormatting sqref="L4:L35">
    <cfRule type="cellIs" dxfId="2686" priority="2124" operator="lessThan">
      <formula>0</formula>
    </cfRule>
  </conditionalFormatting>
  <conditionalFormatting sqref="L4:L35">
    <cfRule type="cellIs" dxfId="2685" priority="2123" operator="lessThan">
      <formula>0</formula>
    </cfRule>
  </conditionalFormatting>
  <conditionalFormatting sqref="L4:L35">
    <cfRule type="cellIs" dxfId="2684" priority="2122" operator="lessThan">
      <formula>0</formula>
    </cfRule>
  </conditionalFormatting>
  <conditionalFormatting sqref="L4:L35">
    <cfRule type="cellIs" dxfId="2683" priority="2121" operator="lessThan">
      <formula>0</formula>
    </cfRule>
  </conditionalFormatting>
  <conditionalFormatting sqref="L4:L35">
    <cfRule type="cellIs" dxfId="2682" priority="2120" operator="lessThan">
      <formula>0</formula>
    </cfRule>
  </conditionalFormatting>
  <conditionalFormatting sqref="L4:L35">
    <cfRule type="cellIs" dxfId="2681" priority="2119" operator="lessThan">
      <formula>0</formula>
    </cfRule>
  </conditionalFormatting>
  <conditionalFormatting sqref="L4:L35">
    <cfRule type="cellIs" dxfId="2680" priority="2118" operator="lessThan">
      <formula>0</formula>
    </cfRule>
  </conditionalFormatting>
  <conditionalFormatting sqref="L4:L35">
    <cfRule type="cellIs" dxfId="2679" priority="2117" operator="lessThan">
      <formula>0</formula>
    </cfRule>
  </conditionalFormatting>
  <conditionalFormatting sqref="L4:L35">
    <cfRule type="cellIs" dxfId="2678" priority="2116" operator="lessThan">
      <formula>0</formula>
    </cfRule>
  </conditionalFormatting>
  <conditionalFormatting sqref="L4:L35">
    <cfRule type="cellIs" dxfId="2677" priority="2115" operator="lessThan">
      <formula>0</formula>
    </cfRule>
  </conditionalFormatting>
  <conditionalFormatting sqref="L4:L35">
    <cfRule type="cellIs" dxfId="2676" priority="2114" operator="lessThan">
      <formula>0</formula>
    </cfRule>
  </conditionalFormatting>
  <conditionalFormatting sqref="C4:C35">
    <cfRule type="cellIs" dxfId="2675" priority="2113" operator="lessThan">
      <formula>0</formula>
    </cfRule>
  </conditionalFormatting>
  <conditionalFormatting sqref="C4:C35">
    <cfRule type="cellIs" dxfId="2674" priority="2112" operator="lessThan">
      <formula>0</formula>
    </cfRule>
  </conditionalFormatting>
  <conditionalFormatting sqref="C4:C35">
    <cfRule type="cellIs" dxfId="2673" priority="2111" operator="lessThan">
      <formula>0</formula>
    </cfRule>
  </conditionalFormatting>
  <conditionalFormatting sqref="C4:C35">
    <cfRule type="cellIs" dxfId="2672" priority="2110" operator="lessThan">
      <formula>0</formula>
    </cfRule>
  </conditionalFormatting>
  <conditionalFormatting sqref="C4:C35">
    <cfRule type="cellIs" dxfId="2671" priority="2109" operator="lessThan">
      <formula>0</formula>
    </cfRule>
  </conditionalFormatting>
  <conditionalFormatting sqref="C4:C35">
    <cfRule type="cellIs" dxfId="2670" priority="2108" operator="lessThan">
      <formula>0</formula>
    </cfRule>
  </conditionalFormatting>
  <conditionalFormatting sqref="C4:C35">
    <cfRule type="cellIs" dxfId="2669" priority="2107" operator="lessThan">
      <formula>0</formula>
    </cfRule>
  </conditionalFormatting>
  <conditionalFormatting sqref="C4:C35">
    <cfRule type="cellIs" dxfId="2668" priority="2106" operator="lessThan">
      <formula>0</formula>
    </cfRule>
  </conditionalFormatting>
  <conditionalFormatting sqref="C4:C35">
    <cfRule type="cellIs" dxfId="2667" priority="2105" operator="lessThan">
      <formula>0</formula>
    </cfRule>
  </conditionalFormatting>
  <conditionalFormatting sqref="C4:C35">
    <cfRule type="cellIs" dxfId="2666" priority="2104" operator="lessThan">
      <formula>0</formula>
    </cfRule>
  </conditionalFormatting>
  <conditionalFormatting sqref="C4:C35">
    <cfRule type="cellIs" dxfId="2665" priority="2103" operator="lessThan">
      <formula>0</formula>
    </cfRule>
  </conditionalFormatting>
  <conditionalFormatting sqref="C4:C35">
    <cfRule type="cellIs" dxfId="2664" priority="2102" operator="lessThan">
      <formula>0</formula>
    </cfRule>
  </conditionalFormatting>
  <conditionalFormatting sqref="C4:C35">
    <cfRule type="cellIs" dxfId="2663" priority="2101" operator="lessThan">
      <formula>0</formula>
    </cfRule>
  </conditionalFormatting>
  <conditionalFormatting sqref="J4:J35">
    <cfRule type="cellIs" dxfId="2662" priority="2100" operator="lessThan">
      <formula>0</formula>
    </cfRule>
  </conditionalFormatting>
  <conditionalFormatting sqref="J4:J35">
    <cfRule type="cellIs" dxfId="2661" priority="2099" operator="lessThan">
      <formula>0</formula>
    </cfRule>
  </conditionalFormatting>
  <conditionalFormatting sqref="J4:J35">
    <cfRule type="cellIs" dxfId="2660" priority="2098" operator="lessThan">
      <formula>0</formula>
    </cfRule>
  </conditionalFormatting>
  <conditionalFormatting sqref="J4:J35">
    <cfRule type="cellIs" dxfId="2659" priority="2097" operator="lessThan">
      <formula>0</formula>
    </cfRule>
  </conditionalFormatting>
  <conditionalFormatting sqref="J4:J35">
    <cfRule type="cellIs" dxfId="2658" priority="2096" operator="lessThan">
      <formula>0</formula>
    </cfRule>
  </conditionalFormatting>
  <conditionalFormatting sqref="J4:J35">
    <cfRule type="cellIs" dxfId="2657" priority="2095" operator="lessThan">
      <formula>0</formula>
    </cfRule>
  </conditionalFormatting>
  <conditionalFormatting sqref="J4:J35">
    <cfRule type="cellIs" dxfId="2656" priority="2094" operator="lessThan">
      <formula>0</formula>
    </cfRule>
  </conditionalFormatting>
  <conditionalFormatting sqref="J4:J35">
    <cfRule type="cellIs" dxfId="2655" priority="2093" operator="lessThan">
      <formula>0</formula>
    </cfRule>
  </conditionalFormatting>
  <conditionalFormatting sqref="J4:J35">
    <cfRule type="cellIs" dxfId="2654" priority="2092" operator="lessThan">
      <formula>0</formula>
    </cfRule>
  </conditionalFormatting>
  <conditionalFormatting sqref="J4:J35">
    <cfRule type="cellIs" dxfId="2653" priority="2091" operator="lessThan">
      <formula>0</formula>
    </cfRule>
  </conditionalFormatting>
  <conditionalFormatting sqref="J4:J35">
    <cfRule type="cellIs" dxfId="2652" priority="2090" operator="lessThan">
      <formula>0</formula>
    </cfRule>
  </conditionalFormatting>
  <conditionalFormatting sqref="J4:J35">
    <cfRule type="cellIs" dxfId="2651" priority="2089" operator="lessThan">
      <formula>0</formula>
    </cfRule>
  </conditionalFormatting>
  <conditionalFormatting sqref="J4:J35">
    <cfRule type="cellIs" dxfId="2650" priority="2088" operator="lessThan">
      <formula>0</formula>
    </cfRule>
  </conditionalFormatting>
  <conditionalFormatting sqref="J4:J35">
    <cfRule type="cellIs" dxfId="2649" priority="2087" operator="lessThan">
      <formula>0</formula>
    </cfRule>
  </conditionalFormatting>
  <conditionalFormatting sqref="J4:J35">
    <cfRule type="cellIs" dxfId="2648" priority="2086" operator="lessThan">
      <formula>0</formula>
    </cfRule>
  </conditionalFormatting>
  <conditionalFormatting sqref="J4:J35">
    <cfRule type="cellIs" dxfId="2647" priority="2085" operator="lessThan">
      <formula>0</formula>
    </cfRule>
  </conditionalFormatting>
  <conditionalFormatting sqref="J4:J35">
    <cfRule type="cellIs" dxfId="2646" priority="2084" operator="lessThan">
      <formula>0</formula>
    </cfRule>
  </conditionalFormatting>
  <conditionalFormatting sqref="J4:J35">
    <cfRule type="cellIs" dxfId="2645" priority="2083" operator="lessThan">
      <formula>0</formula>
    </cfRule>
  </conditionalFormatting>
  <conditionalFormatting sqref="J4:J35">
    <cfRule type="cellIs" dxfId="2644" priority="2082" operator="lessThan">
      <formula>0</formula>
    </cfRule>
  </conditionalFormatting>
  <conditionalFormatting sqref="J4:J35">
    <cfRule type="cellIs" dxfId="2643" priority="2081" operator="lessThan">
      <formula>0</formula>
    </cfRule>
  </conditionalFormatting>
  <conditionalFormatting sqref="J4:J35">
    <cfRule type="cellIs" dxfId="2642" priority="2080" operator="lessThan">
      <formula>0</formula>
    </cfRule>
  </conditionalFormatting>
  <conditionalFormatting sqref="J4:J35">
    <cfRule type="cellIs" dxfId="2641" priority="2079" operator="lessThan">
      <formula>0</formula>
    </cfRule>
  </conditionalFormatting>
  <conditionalFormatting sqref="J4:J35">
    <cfRule type="cellIs" dxfId="2640" priority="2078" operator="lessThan">
      <formula>0</formula>
    </cfRule>
  </conditionalFormatting>
  <conditionalFormatting sqref="J4:J35">
    <cfRule type="cellIs" dxfId="2639" priority="2077" operator="lessThan">
      <formula>0</formula>
    </cfRule>
  </conditionalFormatting>
  <conditionalFormatting sqref="J4:J35">
    <cfRule type="cellIs" dxfId="2638" priority="2076" operator="lessThan">
      <formula>0</formula>
    </cfRule>
  </conditionalFormatting>
  <conditionalFormatting sqref="J4:J35">
    <cfRule type="cellIs" dxfId="2637" priority="2075" operator="lessThan">
      <formula>0</formula>
    </cfRule>
  </conditionalFormatting>
  <conditionalFormatting sqref="J4:J35">
    <cfRule type="cellIs" dxfId="2636" priority="2074" operator="lessThan">
      <formula>0</formula>
    </cfRule>
  </conditionalFormatting>
  <conditionalFormatting sqref="J4:J35">
    <cfRule type="cellIs" dxfId="2635" priority="2073" operator="lessThan">
      <formula>0</formula>
    </cfRule>
  </conditionalFormatting>
  <conditionalFormatting sqref="J4:J35">
    <cfRule type="cellIs" dxfId="2634" priority="2072" operator="lessThan">
      <formula>0</formula>
    </cfRule>
  </conditionalFormatting>
  <conditionalFormatting sqref="J4:J35">
    <cfRule type="cellIs" dxfId="2633" priority="2071" operator="lessThan">
      <formula>0</formula>
    </cfRule>
  </conditionalFormatting>
  <conditionalFormatting sqref="J4:J35">
    <cfRule type="cellIs" dxfId="2632" priority="2070" operator="lessThan">
      <formula>0</formula>
    </cfRule>
  </conditionalFormatting>
  <conditionalFormatting sqref="J4:J35">
    <cfRule type="cellIs" dxfId="2631" priority="2069" operator="lessThan">
      <formula>0</formula>
    </cfRule>
  </conditionalFormatting>
  <conditionalFormatting sqref="J4:J35">
    <cfRule type="cellIs" dxfId="2630" priority="2068" operator="lessThan">
      <formula>0</formula>
    </cfRule>
  </conditionalFormatting>
  <conditionalFormatting sqref="J4:J35">
    <cfRule type="cellIs" dxfId="2629" priority="2067" operator="lessThan">
      <formula>0</formula>
    </cfRule>
  </conditionalFormatting>
  <conditionalFormatting sqref="J4:J35">
    <cfRule type="cellIs" dxfId="2628" priority="2066" operator="lessThan">
      <formula>0</formula>
    </cfRule>
  </conditionalFormatting>
  <conditionalFormatting sqref="J4:J35">
    <cfRule type="cellIs" dxfId="2627" priority="2065" operator="lessThan">
      <formula>0</formula>
    </cfRule>
  </conditionalFormatting>
  <conditionalFormatting sqref="J4:J35">
    <cfRule type="cellIs" dxfId="2626" priority="2064" operator="lessThan">
      <formula>0</formula>
    </cfRule>
  </conditionalFormatting>
  <conditionalFormatting sqref="J4:J35">
    <cfRule type="cellIs" dxfId="2625" priority="2063" operator="lessThan">
      <formula>0</formula>
    </cfRule>
  </conditionalFormatting>
  <conditionalFormatting sqref="J4:J35">
    <cfRule type="cellIs" dxfId="2624" priority="2062" operator="lessThan">
      <formula>0</formula>
    </cfRule>
  </conditionalFormatting>
  <conditionalFormatting sqref="J4:J35">
    <cfRule type="cellIs" dxfId="2623" priority="2061" operator="lessThan">
      <formula>0</formula>
    </cfRule>
  </conditionalFormatting>
  <conditionalFormatting sqref="J4:J35">
    <cfRule type="cellIs" dxfId="2622" priority="2060" operator="lessThan">
      <formula>0</formula>
    </cfRule>
  </conditionalFormatting>
  <conditionalFormatting sqref="J4:J35">
    <cfRule type="cellIs" dxfId="2621" priority="2059" operator="lessThan">
      <formula>0</formula>
    </cfRule>
  </conditionalFormatting>
  <conditionalFormatting sqref="J4:J35">
    <cfRule type="cellIs" dxfId="2620" priority="2058" operator="lessThan">
      <formula>0</formula>
    </cfRule>
  </conditionalFormatting>
  <conditionalFormatting sqref="J4:J35">
    <cfRule type="cellIs" dxfId="2619" priority="2057" operator="lessThan">
      <formula>0</formula>
    </cfRule>
  </conditionalFormatting>
  <conditionalFormatting sqref="J4:J35">
    <cfRule type="cellIs" dxfId="2618" priority="2056" operator="lessThan">
      <formula>0</formula>
    </cfRule>
  </conditionalFormatting>
  <conditionalFormatting sqref="H4:H36">
    <cfRule type="cellIs" dxfId="2617" priority="2055" operator="lessThan">
      <formula>0</formula>
    </cfRule>
  </conditionalFormatting>
  <conditionalFormatting sqref="H4:H36">
    <cfRule type="cellIs" dxfId="2616" priority="2054" operator="lessThan">
      <formula>0</formula>
    </cfRule>
  </conditionalFormatting>
  <conditionalFormatting sqref="H4:H36">
    <cfRule type="cellIs" dxfId="2615" priority="2053" operator="lessThan">
      <formula>0</formula>
    </cfRule>
  </conditionalFormatting>
  <conditionalFormatting sqref="H4:H36">
    <cfRule type="cellIs" dxfId="2614" priority="2052" operator="lessThan">
      <formula>0</formula>
    </cfRule>
  </conditionalFormatting>
  <conditionalFormatting sqref="H4:H36">
    <cfRule type="cellIs" dxfId="2613" priority="2051" operator="lessThan">
      <formula>0</formula>
    </cfRule>
  </conditionalFormatting>
  <conditionalFormatting sqref="H4:H36">
    <cfRule type="cellIs" dxfId="2612" priority="2050" operator="lessThan">
      <formula>0</formula>
    </cfRule>
  </conditionalFormatting>
  <conditionalFormatting sqref="H4:H36">
    <cfRule type="cellIs" dxfId="2611" priority="2049" operator="lessThan">
      <formula>0</formula>
    </cfRule>
  </conditionalFormatting>
  <conditionalFormatting sqref="H4:H36">
    <cfRule type="cellIs" dxfId="2610" priority="2048" operator="lessThan">
      <formula>0</formula>
    </cfRule>
  </conditionalFormatting>
  <conditionalFormatting sqref="H4:H36">
    <cfRule type="cellIs" dxfId="2609" priority="2047" operator="lessThan">
      <formula>0</formula>
    </cfRule>
  </conditionalFormatting>
  <conditionalFormatting sqref="H4:H36">
    <cfRule type="cellIs" dxfId="2608" priority="2046" operator="lessThan">
      <formula>0</formula>
    </cfRule>
  </conditionalFormatting>
  <conditionalFormatting sqref="H4:H36">
    <cfRule type="cellIs" dxfId="2607" priority="2045" operator="lessThan">
      <formula>0</formula>
    </cfRule>
  </conditionalFormatting>
  <conditionalFormatting sqref="H4:H36">
    <cfRule type="cellIs" dxfId="2606" priority="2044" operator="lessThan">
      <formula>0</formula>
    </cfRule>
  </conditionalFormatting>
  <conditionalFormatting sqref="H4:H36">
    <cfRule type="cellIs" dxfId="2605" priority="2043" operator="lessThan">
      <formula>0</formula>
    </cfRule>
  </conditionalFormatting>
  <conditionalFormatting sqref="L4:L35">
    <cfRule type="cellIs" dxfId="2604" priority="2042" operator="lessThan">
      <formula>0</formula>
    </cfRule>
  </conditionalFormatting>
  <conditionalFormatting sqref="L4:L35">
    <cfRule type="cellIs" dxfId="2603" priority="2041" operator="lessThan">
      <formula>0</formula>
    </cfRule>
  </conditionalFormatting>
  <conditionalFormatting sqref="E4:E35">
    <cfRule type="cellIs" dxfId="2602" priority="2035" operator="lessThan">
      <formula>0</formula>
    </cfRule>
  </conditionalFormatting>
  <conditionalFormatting sqref="E4:E35">
    <cfRule type="cellIs" dxfId="2601" priority="2034" operator="lessThan">
      <formula>0</formula>
    </cfRule>
  </conditionalFormatting>
  <conditionalFormatting sqref="E4:E35">
    <cfRule type="cellIs" dxfId="2600" priority="2033" operator="lessThan">
      <formula>0</formula>
    </cfRule>
  </conditionalFormatting>
  <conditionalFormatting sqref="E4:E35">
    <cfRule type="cellIs" dxfId="2599" priority="2032" operator="lessThan">
      <formula>0</formula>
    </cfRule>
  </conditionalFormatting>
  <conditionalFormatting sqref="E4:E35">
    <cfRule type="cellIs" dxfId="2598" priority="2031" operator="lessThan">
      <formula>0</formula>
    </cfRule>
  </conditionalFormatting>
  <conditionalFormatting sqref="E4:E35">
    <cfRule type="cellIs" dxfId="2597" priority="2030" operator="lessThan">
      <formula>0</formula>
    </cfRule>
  </conditionalFormatting>
  <conditionalFormatting sqref="E4:E35">
    <cfRule type="cellIs" dxfId="2596" priority="2029" operator="lessThan">
      <formula>0</formula>
    </cfRule>
  </conditionalFormatting>
  <conditionalFormatting sqref="E4:E35">
    <cfRule type="cellIs" dxfId="2595" priority="2028" operator="lessThan">
      <formula>0</formula>
    </cfRule>
  </conditionalFormatting>
  <conditionalFormatting sqref="E4:E35">
    <cfRule type="cellIs" dxfId="2594" priority="2027" operator="lessThan">
      <formula>0</formula>
    </cfRule>
  </conditionalFormatting>
  <conditionalFormatting sqref="E4:E35">
    <cfRule type="cellIs" dxfId="2593" priority="2026" operator="lessThan">
      <formula>0</formula>
    </cfRule>
  </conditionalFormatting>
  <conditionalFormatting sqref="E4:E35">
    <cfRule type="cellIs" dxfId="2592" priority="2025" operator="lessThan">
      <formula>0</formula>
    </cfRule>
  </conditionalFormatting>
  <conditionalFormatting sqref="E4:E35">
    <cfRule type="cellIs" dxfId="2591" priority="2024" operator="lessThan">
      <formula>0</formula>
    </cfRule>
  </conditionalFormatting>
  <conditionalFormatting sqref="E4:E35">
    <cfRule type="cellIs" dxfId="2590" priority="2023" operator="lessThan">
      <formula>0</formula>
    </cfRule>
  </conditionalFormatting>
  <conditionalFormatting sqref="E4:E35">
    <cfRule type="cellIs" dxfId="2589" priority="2022" operator="lessThan">
      <formula>0</formula>
    </cfRule>
  </conditionalFormatting>
  <conditionalFormatting sqref="E4:E35">
    <cfRule type="cellIs" dxfId="2588" priority="2021" operator="lessThan">
      <formula>0</formula>
    </cfRule>
  </conditionalFormatting>
  <conditionalFormatting sqref="E4:E35">
    <cfRule type="cellIs" dxfId="2587" priority="2020" operator="lessThan">
      <formula>0</formula>
    </cfRule>
  </conditionalFormatting>
  <conditionalFormatting sqref="E4:E35">
    <cfRule type="cellIs" dxfId="2586" priority="2019" operator="lessThan">
      <formula>0</formula>
    </cfRule>
  </conditionalFormatting>
  <conditionalFormatting sqref="E4:E35">
    <cfRule type="cellIs" dxfId="2585" priority="2018" operator="lessThan">
      <formula>0</formula>
    </cfRule>
  </conditionalFormatting>
  <conditionalFormatting sqref="E4:E35">
    <cfRule type="cellIs" dxfId="2584" priority="2017" operator="lessThan">
      <formula>0</formula>
    </cfRule>
  </conditionalFormatting>
  <conditionalFormatting sqref="E4:E35">
    <cfRule type="cellIs" dxfId="2583" priority="2016" operator="lessThan">
      <formula>0</formula>
    </cfRule>
  </conditionalFormatting>
  <conditionalFormatting sqref="E4:E35">
    <cfRule type="cellIs" dxfId="2582" priority="2015" operator="lessThan">
      <formula>0</formula>
    </cfRule>
  </conditionalFormatting>
  <conditionalFormatting sqref="E4:E35">
    <cfRule type="cellIs" dxfId="2581" priority="2014" operator="lessThan">
      <formula>0</formula>
    </cfRule>
  </conditionalFormatting>
  <conditionalFormatting sqref="E4:E35">
    <cfRule type="cellIs" dxfId="2580" priority="2013" operator="lessThan">
      <formula>0</formula>
    </cfRule>
  </conditionalFormatting>
  <conditionalFormatting sqref="E4:E35">
    <cfRule type="cellIs" dxfId="2579" priority="2012" operator="lessThan">
      <formula>0</formula>
    </cfRule>
  </conditionalFormatting>
  <conditionalFormatting sqref="E4:E35">
    <cfRule type="cellIs" dxfId="2578" priority="2011" operator="lessThan">
      <formula>0</formula>
    </cfRule>
  </conditionalFormatting>
  <conditionalFormatting sqref="E4:E35">
    <cfRule type="cellIs" dxfId="2577" priority="2010" operator="lessThan">
      <formula>0</formula>
    </cfRule>
  </conditionalFormatting>
  <conditionalFormatting sqref="E4:E35">
    <cfRule type="cellIs" dxfId="2576" priority="2009" operator="lessThan">
      <formula>0</formula>
    </cfRule>
  </conditionalFormatting>
  <conditionalFormatting sqref="E4:E35">
    <cfRule type="cellIs" dxfId="2575" priority="2008" operator="lessThan">
      <formula>0</formula>
    </cfRule>
  </conditionalFormatting>
  <conditionalFormatting sqref="E4:E35">
    <cfRule type="cellIs" dxfId="2574" priority="2007" operator="lessThan">
      <formula>0</formula>
    </cfRule>
  </conditionalFormatting>
  <conditionalFormatting sqref="E4:E35">
    <cfRule type="cellIs" dxfId="2573" priority="2006" operator="lessThan">
      <formula>0</formula>
    </cfRule>
  </conditionalFormatting>
  <conditionalFormatting sqref="E4:E35">
    <cfRule type="cellIs" dxfId="2572" priority="2005" operator="lessThan">
      <formula>0</formula>
    </cfRule>
  </conditionalFormatting>
  <conditionalFormatting sqref="E4:E35">
    <cfRule type="cellIs" dxfId="2571" priority="2004" operator="lessThan">
      <formula>0</formula>
    </cfRule>
  </conditionalFormatting>
  <conditionalFormatting sqref="E4:E35">
    <cfRule type="cellIs" dxfId="2570" priority="2003" operator="lessThan">
      <formula>0</formula>
    </cfRule>
  </conditionalFormatting>
  <conditionalFormatting sqref="E4:E35">
    <cfRule type="cellIs" dxfId="2569" priority="2002" operator="lessThan">
      <formula>0</formula>
    </cfRule>
  </conditionalFormatting>
  <conditionalFormatting sqref="E4:E35">
    <cfRule type="cellIs" dxfId="2568" priority="2001" operator="lessThan">
      <formula>0</formula>
    </cfRule>
  </conditionalFormatting>
  <conditionalFormatting sqref="E4:E35">
    <cfRule type="cellIs" dxfId="2567" priority="2000" operator="lessThan">
      <formula>0</formula>
    </cfRule>
  </conditionalFormatting>
  <conditionalFormatting sqref="E4:E35">
    <cfRule type="cellIs" dxfId="2566" priority="1999" operator="lessThan">
      <formula>0</formula>
    </cfRule>
  </conditionalFormatting>
  <conditionalFormatting sqref="E4:E35">
    <cfRule type="cellIs" dxfId="2565" priority="1998" operator="lessThan">
      <formula>0</formula>
    </cfRule>
  </conditionalFormatting>
  <conditionalFormatting sqref="E4:E35">
    <cfRule type="cellIs" dxfId="2564" priority="1997" operator="lessThan">
      <formula>0</formula>
    </cfRule>
  </conditionalFormatting>
  <conditionalFormatting sqref="E4:E35">
    <cfRule type="cellIs" dxfId="2563" priority="1996" operator="lessThan">
      <formula>0</formula>
    </cfRule>
  </conditionalFormatting>
  <conditionalFormatting sqref="E4:E35">
    <cfRule type="cellIs" dxfId="2562" priority="1995" operator="lessThan">
      <formula>0</formula>
    </cfRule>
  </conditionalFormatting>
  <conditionalFormatting sqref="E4:E35">
    <cfRule type="cellIs" dxfId="2561" priority="1994" operator="lessThan">
      <formula>0</formula>
    </cfRule>
  </conditionalFormatting>
  <conditionalFormatting sqref="E4:E35">
    <cfRule type="cellIs" dxfId="2560" priority="1993" operator="lessThan">
      <formula>0</formula>
    </cfRule>
  </conditionalFormatting>
  <conditionalFormatting sqref="E4:E35">
    <cfRule type="cellIs" dxfId="2559" priority="1992" operator="lessThan">
      <formula>0</formula>
    </cfRule>
  </conditionalFormatting>
  <conditionalFormatting sqref="J4:J35">
    <cfRule type="cellIs" dxfId="2558" priority="1991" operator="lessThan">
      <formula>0</formula>
    </cfRule>
  </conditionalFormatting>
  <conditionalFormatting sqref="J4:J35">
    <cfRule type="cellIs" dxfId="2557" priority="1990" operator="lessThan">
      <formula>0</formula>
    </cfRule>
  </conditionalFormatting>
  <conditionalFormatting sqref="J4:J35">
    <cfRule type="cellIs" dxfId="2556" priority="1989" operator="lessThan">
      <formula>0</formula>
    </cfRule>
  </conditionalFormatting>
  <conditionalFormatting sqref="J4:J35">
    <cfRule type="cellIs" dxfId="2555" priority="1988" operator="lessThan">
      <formula>0</formula>
    </cfRule>
  </conditionalFormatting>
  <conditionalFormatting sqref="J4:J35">
    <cfRule type="cellIs" dxfId="2554" priority="1987" operator="lessThan">
      <formula>0</formula>
    </cfRule>
  </conditionalFormatting>
  <conditionalFormatting sqref="J4:J35">
    <cfRule type="cellIs" dxfId="2553" priority="1986" operator="lessThan">
      <formula>0</formula>
    </cfRule>
  </conditionalFormatting>
  <conditionalFormatting sqref="J4:J35">
    <cfRule type="cellIs" dxfId="2552" priority="1985" operator="lessThan">
      <formula>0</formula>
    </cfRule>
  </conditionalFormatting>
  <conditionalFormatting sqref="J4:J35">
    <cfRule type="cellIs" dxfId="2551" priority="1984" operator="lessThan">
      <formula>0</formula>
    </cfRule>
  </conditionalFormatting>
  <conditionalFormatting sqref="J4:J35">
    <cfRule type="cellIs" dxfId="2550" priority="1983" operator="lessThan">
      <formula>0</formula>
    </cfRule>
  </conditionalFormatting>
  <conditionalFormatting sqref="J4:J35">
    <cfRule type="cellIs" dxfId="2549" priority="1982" operator="lessThan">
      <formula>0</formula>
    </cfRule>
  </conditionalFormatting>
  <conditionalFormatting sqref="J4:J35">
    <cfRule type="cellIs" dxfId="2548" priority="1981" operator="lessThan">
      <formula>0</formula>
    </cfRule>
  </conditionalFormatting>
  <conditionalFormatting sqref="J4:J35">
    <cfRule type="cellIs" dxfId="2547" priority="1980" operator="lessThan">
      <formula>0</formula>
    </cfRule>
  </conditionalFormatting>
  <conditionalFormatting sqref="J4:J35">
    <cfRule type="cellIs" dxfId="2546" priority="1979" operator="lessThan">
      <formula>0</formula>
    </cfRule>
  </conditionalFormatting>
  <conditionalFormatting sqref="J4:J35">
    <cfRule type="cellIs" dxfId="2545" priority="1978" operator="lessThan">
      <formula>0</formula>
    </cfRule>
  </conditionalFormatting>
  <conditionalFormatting sqref="J4:J35">
    <cfRule type="cellIs" dxfId="2544" priority="1977" operator="lessThan">
      <formula>0</formula>
    </cfRule>
  </conditionalFormatting>
  <conditionalFormatting sqref="J4:J35">
    <cfRule type="cellIs" dxfId="2543" priority="1976" operator="lessThan">
      <formula>0</formula>
    </cfRule>
  </conditionalFormatting>
  <conditionalFormatting sqref="J4:J35">
    <cfRule type="cellIs" dxfId="2542" priority="1975" operator="lessThan">
      <formula>0</formula>
    </cfRule>
  </conditionalFormatting>
  <conditionalFormatting sqref="J4:J35">
    <cfRule type="cellIs" dxfId="2541" priority="1974" operator="lessThan">
      <formula>0</formula>
    </cfRule>
  </conditionalFormatting>
  <conditionalFormatting sqref="J4:J35">
    <cfRule type="cellIs" dxfId="2540" priority="1973" operator="lessThan">
      <formula>0</formula>
    </cfRule>
  </conditionalFormatting>
  <conditionalFormatting sqref="J4:J35">
    <cfRule type="cellIs" dxfId="2539" priority="1972" operator="lessThan">
      <formula>0</formula>
    </cfRule>
  </conditionalFormatting>
  <conditionalFormatting sqref="J4:J35">
    <cfRule type="cellIs" dxfId="2538" priority="1971" operator="lessThan">
      <formula>0</formula>
    </cfRule>
  </conditionalFormatting>
  <conditionalFormatting sqref="J4:J35">
    <cfRule type="cellIs" dxfId="2537" priority="1970" operator="lessThan">
      <formula>0</formula>
    </cfRule>
  </conditionalFormatting>
  <conditionalFormatting sqref="J4:J35">
    <cfRule type="cellIs" dxfId="2536" priority="1969" operator="lessThan">
      <formula>0</formula>
    </cfRule>
  </conditionalFormatting>
  <conditionalFormatting sqref="J4:J35">
    <cfRule type="cellIs" dxfId="2535" priority="1968" operator="lessThan">
      <formula>0</formula>
    </cfRule>
  </conditionalFormatting>
  <conditionalFormatting sqref="J4:J35">
    <cfRule type="cellIs" dxfId="2534" priority="1967" operator="lessThan">
      <formula>0</formula>
    </cfRule>
  </conditionalFormatting>
  <conditionalFormatting sqref="J4:J35">
    <cfRule type="cellIs" dxfId="2533" priority="1966" operator="lessThan">
      <formula>0</formula>
    </cfRule>
  </conditionalFormatting>
  <conditionalFormatting sqref="J4:J35">
    <cfRule type="cellIs" dxfId="2532" priority="1965" operator="lessThan">
      <formula>0</formula>
    </cfRule>
  </conditionalFormatting>
  <conditionalFormatting sqref="J4:J35">
    <cfRule type="cellIs" dxfId="2531" priority="1964" operator="lessThan">
      <formula>0</formula>
    </cfRule>
  </conditionalFormatting>
  <conditionalFormatting sqref="J4:J35">
    <cfRule type="cellIs" dxfId="2530" priority="1963" operator="lessThan">
      <formula>0</formula>
    </cfRule>
  </conditionalFormatting>
  <conditionalFormatting sqref="J4:J35">
    <cfRule type="cellIs" dxfId="2529" priority="1962" operator="lessThan">
      <formula>0</formula>
    </cfRule>
  </conditionalFormatting>
  <conditionalFormatting sqref="J4:J35">
    <cfRule type="cellIs" dxfId="2528" priority="1961" operator="lessThan">
      <formula>0</formula>
    </cfRule>
  </conditionalFormatting>
  <conditionalFormatting sqref="J4:J35">
    <cfRule type="cellIs" dxfId="2527" priority="1960" operator="lessThan">
      <formula>0</formula>
    </cfRule>
  </conditionalFormatting>
  <conditionalFormatting sqref="J4:J35">
    <cfRule type="cellIs" dxfId="2526" priority="1959" operator="lessThan">
      <formula>0</formula>
    </cfRule>
  </conditionalFormatting>
  <conditionalFormatting sqref="J4:J35">
    <cfRule type="cellIs" dxfId="2525" priority="1958" operator="lessThan">
      <formula>0</formula>
    </cfRule>
  </conditionalFormatting>
  <conditionalFormatting sqref="J4:J35">
    <cfRule type="cellIs" dxfId="2524" priority="1957" operator="lessThan">
      <formula>0</formula>
    </cfRule>
  </conditionalFormatting>
  <conditionalFormatting sqref="J4:J35">
    <cfRule type="cellIs" dxfId="2523" priority="1956" operator="lessThan">
      <formula>0</formula>
    </cfRule>
  </conditionalFormatting>
  <conditionalFormatting sqref="J4:J35">
    <cfRule type="cellIs" dxfId="2522" priority="1955" operator="lessThan">
      <formula>0</formula>
    </cfRule>
  </conditionalFormatting>
  <conditionalFormatting sqref="J4:J35">
    <cfRule type="cellIs" dxfId="2521" priority="1954" operator="lessThan">
      <formula>0</formula>
    </cfRule>
  </conditionalFormatting>
  <conditionalFormatting sqref="J4:J35">
    <cfRule type="cellIs" dxfId="2520" priority="1953" operator="lessThan">
      <formula>0</formula>
    </cfRule>
  </conditionalFormatting>
  <conditionalFormatting sqref="J4:J35">
    <cfRule type="cellIs" dxfId="2519" priority="1952" operator="lessThan">
      <formula>0</formula>
    </cfRule>
  </conditionalFormatting>
  <conditionalFormatting sqref="J4:J35">
    <cfRule type="cellIs" dxfId="2518" priority="1951" operator="lessThan">
      <formula>0</formula>
    </cfRule>
  </conditionalFormatting>
  <conditionalFormatting sqref="J4:J35">
    <cfRule type="cellIs" dxfId="2517" priority="1950" operator="lessThan">
      <formula>0</formula>
    </cfRule>
  </conditionalFormatting>
  <conditionalFormatting sqref="J4:J35">
    <cfRule type="cellIs" dxfId="2516" priority="1949" operator="lessThan">
      <formula>0</formula>
    </cfRule>
  </conditionalFormatting>
  <conditionalFormatting sqref="J4:J35">
    <cfRule type="cellIs" dxfId="2515" priority="1948" operator="lessThan">
      <formula>0</formula>
    </cfRule>
  </conditionalFormatting>
  <conditionalFormatting sqref="L4:L35">
    <cfRule type="cellIs" dxfId="2514" priority="1947" operator="lessThan">
      <formula>0</formula>
    </cfRule>
  </conditionalFormatting>
  <conditionalFormatting sqref="L4:L35">
    <cfRule type="cellIs" dxfId="2513" priority="1946" operator="lessThan">
      <formula>0</formula>
    </cfRule>
  </conditionalFormatting>
  <conditionalFormatting sqref="L4:L35">
    <cfRule type="cellIs" dxfId="2512" priority="1945" operator="lessThan">
      <formula>0</formula>
    </cfRule>
  </conditionalFormatting>
  <conditionalFormatting sqref="L4:L35">
    <cfRule type="cellIs" dxfId="2511" priority="1944" operator="lessThan">
      <formula>0</formula>
    </cfRule>
  </conditionalFormatting>
  <conditionalFormatting sqref="L4:L35">
    <cfRule type="cellIs" dxfId="2510" priority="1943" operator="lessThan">
      <formula>0</formula>
    </cfRule>
  </conditionalFormatting>
  <conditionalFormatting sqref="L4:L35">
    <cfRule type="cellIs" dxfId="2509" priority="1942" operator="lessThan">
      <formula>0</formula>
    </cfRule>
  </conditionalFormatting>
  <conditionalFormatting sqref="L4:L35">
    <cfRule type="cellIs" dxfId="2508" priority="1941" operator="lessThan">
      <formula>0</formula>
    </cfRule>
  </conditionalFormatting>
  <conditionalFormatting sqref="L4:L35">
    <cfRule type="cellIs" dxfId="2507" priority="1940" operator="lessThan">
      <formula>0</formula>
    </cfRule>
  </conditionalFormatting>
  <conditionalFormatting sqref="L4:L35">
    <cfRule type="cellIs" dxfId="2506" priority="1939" operator="lessThan">
      <formula>0</formula>
    </cfRule>
  </conditionalFormatting>
  <conditionalFormatting sqref="L4:L35">
    <cfRule type="cellIs" dxfId="2505" priority="1938" operator="lessThan">
      <formula>0</formula>
    </cfRule>
  </conditionalFormatting>
  <conditionalFormatting sqref="L4:L35">
    <cfRule type="cellIs" dxfId="2504" priority="1937" operator="lessThan">
      <formula>0</formula>
    </cfRule>
  </conditionalFormatting>
  <conditionalFormatting sqref="L4:L35">
    <cfRule type="cellIs" dxfId="2503" priority="1936" operator="lessThan">
      <formula>0</formula>
    </cfRule>
  </conditionalFormatting>
  <conditionalFormatting sqref="C4:C35">
    <cfRule type="cellIs" dxfId="2502" priority="1935" operator="lessThan">
      <formula>0</formula>
    </cfRule>
  </conditionalFormatting>
  <conditionalFormatting sqref="C4:C35">
    <cfRule type="cellIs" dxfId="2501" priority="1934" operator="lessThan">
      <formula>0</formula>
    </cfRule>
  </conditionalFormatting>
  <conditionalFormatting sqref="C4:C35">
    <cfRule type="cellIs" dxfId="2500" priority="1933" operator="lessThan">
      <formula>0</formula>
    </cfRule>
  </conditionalFormatting>
  <conditionalFormatting sqref="C4:C35">
    <cfRule type="cellIs" dxfId="2499" priority="1932" operator="lessThan">
      <formula>0</formula>
    </cfRule>
  </conditionalFormatting>
  <conditionalFormatting sqref="C4:C35">
    <cfRule type="cellIs" dxfId="2498" priority="1931" operator="lessThan">
      <formula>0</formula>
    </cfRule>
  </conditionalFormatting>
  <conditionalFormatting sqref="C4:C35">
    <cfRule type="cellIs" dxfId="2497" priority="1930" operator="lessThan">
      <formula>0</formula>
    </cfRule>
  </conditionalFormatting>
  <conditionalFormatting sqref="C4:C35">
    <cfRule type="cellIs" dxfId="2496" priority="1929" operator="lessThan">
      <formula>0</formula>
    </cfRule>
  </conditionalFormatting>
  <conditionalFormatting sqref="C4:C35">
    <cfRule type="cellIs" dxfId="2495" priority="1928" operator="lessThan">
      <formula>0</formula>
    </cfRule>
  </conditionalFormatting>
  <conditionalFormatting sqref="C4:C35">
    <cfRule type="cellIs" dxfId="2494" priority="1927" operator="lessThan">
      <formula>0</formula>
    </cfRule>
  </conditionalFormatting>
  <conditionalFormatting sqref="C4:C35">
    <cfRule type="cellIs" dxfId="2493" priority="1926" operator="lessThan">
      <formula>0</formula>
    </cfRule>
  </conditionalFormatting>
  <conditionalFormatting sqref="C4:C35">
    <cfRule type="cellIs" dxfId="2492" priority="1925" operator="lessThan">
      <formula>0</formula>
    </cfRule>
  </conditionalFormatting>
  <conditionalFormatting sqref="C4:C35">
    <cfRule type="cellIs" dxfId="2491" priority="1924" operator="lessThan">
      <formula>0</formula>
    </cfRule>
  </conditionalFormatting>
  <conditionalFormatting sqref="C4:C35">
    <cfRule type="cellIs" dxfId="2490" priority="1923" operator="lessThan">
      <formula>0</formula>
    </cfRule>
  </conditionalFormatting>
  <conditionalFormatting sqref="J4:J35">
    <cfRule type="cellIs" dxfId="2489" priority="1922" operator="lessThan">
      <formula>0</formula>
    </cfRule>
  </conditionalFormatting>
  <conditionalFormatting sqref="J4:J35">
    <cfRule type="cellIs" dxfId="2488" priority="1921" operator="lessThan">
      <formula>0</formula>
    </cfRule>
  </conditionalFormatting>
  <conditionalFormatting sqref="J4:J35">
    <cfRule type="cellIs" dxfId="2487" priority="1920" operator="lessThan">
      <formula>0</formula>
    </cfRule>
  </conditionalFormatting>
  <conditionalFormatting sqref="J4:J35">
    <cfRule type="cellIs" dxfId="2486" priority="1919" operator="lessThan">
      <formula>0</formula>
    </cfRule>
  </conditionalFormatting>
  <conditionalFormatting sqref="J4:J35">
    <cfRule type="cellIs" dxfId="2485" priority="1918" operator="lessThan">
      <formula>0</formula>
    </cfRule>
  </conditionalFormatting>
  <conditionalFormatting sqref="J4:J35">
    <cfRule type="cellIs" dxfId="2484" priority="1917" operator="lessThan">
      <formula>0</formula>
    </cfRule>
  </conditionalFormatting>
  <conditionalFormatting sqref="J4:J35">
    <cfRule type="cellIs" dxfId="2483" priority="1916" operator="lessThan">
      <formula>0</formula>
    </cfRule>
  </conditionalFormatting>
  <conditionalFormatting sqref="J4:J35">
    <cfRule type="cellIs" dxfId="2482" priority="1915" operator="lessThan">
      <formula>0</formula>
    </cfRule>
  </conditionalFormatting>
  <conditionalFormatting sqref="J4:J35">
    <cfRule type="cellIs" dxfId="2481" priority="1914" operator="lessThan">
      <formula>0</formula>
    </cfRule>
  </conditionalFormatting>
  <conditionalFormatting sqref="J4:J35">
    <cfRule type="cellIs" dxfId="2480" priority="1913" operator="lessThan">
      <formula>0</formula>
    </cfRule>
  </conditionalFormatting>
  <conditionalFormatting sqref="J4:J35">
    <cfRule type="cellIs" dxfId="2479" priority="1912" operator="lessThan">
      <formula>0</formula>
    </cfRule>
  </conditionalFormatting>
  <conditionalFormatting sqref="J4:J35">
    <cfRule type="cellIs" dxfId="2478" priority="1911" operator="lessThan">
      <formula>0</formula>
    </cfRule>
  </conditionalFormatting>
  <conditionalFormatting sqref="J4:J35">
    <cfRule type="cellIs" dxfId="2477" priority="1910" operator="lessThan">
      <formula>0</formula>
    </cfRule>
  </conditionalFormatting>
  <conditionalFormatting sqref="J4:J35">
    <cfRule type="cellIs" dxfId="2476" priority="1909" operator="lessThan">
      <formula>0</formula>
    </cfRule>
  </conditionalFormatting>
  <conditionalFormatting sqref="J4:J35">
    <cfRule type="cellIs" dxfId="2475" priority="1908" operator="lessThan">
      <formula>0</formula>
    </cfRule>
  </conditionalFormatting>
  <conditionalFormatting sqref="J4:J35">
    <cfRule type="cellIs" dxfId="2474" priority="1907" operator="lessThan">
      <formula>0</formula>
    </cfRule>
  </conditionalFormatting>
  <conditionalFormatting sqref="J4:J35">
    <cfRule type="cellIs" dxfId="2473" priority="1906" operator="lessThan">
      <formula>0</formula>
    </cfRule>
  </conditionalFormatting>
  <conditionalFormatting sqref="J4:J35">
    <cfRule type="cellIs" dxfId="2472" priority="1905" operator="lessThan">
      <formula>0</formula>
    </cfRule>
  </conditionalFormatting>
  <conditionalFormatting sqref="J4:J35">
    <cfRule type="cellIs" dxfId="2471" priority="1904" operator="lessThan">
      <formula>0</formula>
    </cfRule>
  </conditionalFormatting>
  <conditionalFormatting sqref="J4:J35">
    <cfRule type="cellIs" dxfId="2470" priority="1903" operator="lessThan">
      <formula>0</formula>
    </cfRule>
  </conditionalFormatting>
  <conditionalFormatting sqref="J4:J35">
    <cfRule type="cellIs" dxfId="2469" priority="1902" operator="lessThan">
      <formula>0</formula>
    </cfRule>
  </conditionalFormatting>
  <conditionalFormatting sqref="J4:J35">
    <cfRule type="cellIs" dxfId="2468" priority="1901" operator="lessThan">
      <formula>0</formula>
    </cfRule>
  </conditionalFormatting>
  <conditionalFormatting sqref="J4:J35">
    <cfRule type="cellIs" dxfId="2467" priority="1900" operator="lessThan">
      <formula>0</formula>
    </cfRule>
  </conditionalFormatting>
  <conditionalFormatting sqref="J4:J35">
    <cfRule type="cellIs" dxfId="2466" priority="1899" operator="lessThan">
      <formula>0</formula>
    </cfRule>
  </conditionalFormatting>
  <conditionalFormatting sqref="J4:J35">
    <cfRule type="cellIs" dxfId="2465" priority="1898" operator="lessThan">
      <formula>0</formula>
    </cfRule>
  </conditionalFormatting>
  <conditionalFormatting sqref="J4:J35">
    <cfRule type="cellIs" dxfId="2464" priority="1897" operator="lessThan">
      <formula>0</formula>
    </cfRule>
  </conditionalFormatting>
  <conditionalFormatting sqref="J4:J35">
    <cfRule type="cellIs" dxfId="2463" priority="1896" operator="lessThan">
      <formula>0</formula>
    </cfRule>
  </conditionalFormatting>
  <conditionalFormatting sqref="J4:J35">
    <cfRule type="cellIs" dxfId="2462" priority="1895" operator="lessThan">
      <formula>0</formula>
    </cfRule>
  </conditionalFormatting>
  <conditionalFormatting sqref="J4:J35">
    <cfRule type="cellIs" dxfId="2461" priority="1894" operator="lessThan">
      <formula>0</formula>
    </cfRule>
  </conditionalFormatting>
  <conditionalFormatting sqref="J4:J35">
    <cfRule type="cellIs" dxfId="2460" priority="1893" operator="lessThan">
      <formula>0</formula>
    </cfRule>
  </conditionalFormatting>
  <conditionalFormatting sqref="J4:J35">
    <cfRule type="cellIs" dxfId="2459" priority="1892" operator="lessThan">
      <formula>0</formula>
    </cfRule>
  </conditionalFormatting>
  <conditionalFormatting sqref="J4:J35">
    <cfRule type="cellIs" dxfId="2458" priority="1891" operator="lessThan">
      <formula>0</formula>
    </cfRule>
  </conditionalFormatting>
  <conditionalFormatting sqref="J4:J35">
    <cfRule type="cellIs" dxfId="2457" priority="1890" operator="lessThan">
      <formula>0</formula>
    </cfRule>
  </conditionalFormatting>
  <conditionalFormatting sqref="J4:J35">
    <cfRule type="cellIs" dxfId="2456" priority="1889" operator="lessThan">
      <formula>0</formula>
    </cfRule>
  </conditionalFormatting>
  <conditionalFormatting sqref="J4:J35">
    <cfRule type="cellIs" dxfId="2455" priority="1888" operator="lessThan">
      <formula>0</formula>
    </cfRule>
  </conditionalFormatting>
  <conditionalFormatting sqref="J4:J35">
    <cfRule type="cellIs" dxfId="2454" priority="1887" operator="lessThan">
      <formula>0</formula>
    </cfRule>
  </conditionalFormatting>
  <conditionalFormatting sqref="J4:J35">
    <cfRule type="cellIs" dxfId="2453" priority="1886" operator="lessThan">
      <formula>0</formula>
    </cfRule>
  </conditionalFormatting>
  <conditionalFormatting sqref="J4:J35">
    <cfRule type="cellIs" dxfId="2452" priority="1885" operator="lessThan">
      <formula>0</formula>
    </cfRule>
  </conditionalFormatting>
  <conditionalFormatting sqref="J4:J35">
    <cfRule type="cellIs" dxfId="2451" priority="1884" operator="lessThan">
      <formula>0</formula>
    </cfRule>
  </conditionalFormatting>
  <conditionalFormatting sqref="J4:J35">
    <cfRule type="cellIs" dxfId="2450" priority="1883" operator="lessThan">
      <formula>0</formula>
    </cfRule>
  </conditionalFormatting>
  <conditionalFormatting sqref="J4:J35">
    <cfRule type="cellIs" dxfId="2449" priority="1882" operator="lessThan">
      <formula>0</formula>
    </cfRule>
  </conditionalFormatting>
  <conditionalFormatting sqref="J4:J35">
    <cfRule type="cellIs" dxfId="2448" priority="1881" operator="lessThan">
      <formula>0</formula>
    </cfRule>
  </conditionalFormatting>
  <conditionalFormatting sqref="J4:J35">
    <cfRule type="cellIs" dxfId="2447" priority="1880" operator="lessThan">
      <formula>0</formula>
    </cfRule>
  </conditionalFormatting>
  <conditionalFormatting sqref="J4:J35">
    <cfRule type="cellIs" dxfId="2446" priority="1879" operator="lessThan">
      <formula>0</formula>
    </cfRule>
  </conditionalFormatting>
  <conditionalFormatting sqref="J4:J35">
    <cfRule type="cellIs" dxfId="2445" priority="1878" operator="lessThan">
      <formula>0</formula>
    </cfRule>
  </conditionalFormatting>
  <conditionalFormatting sqref="H4:H36">
    <cfRule type="cellIs" dxfId="2444" priority="1877" operator="lessThan">
      <formula>0</formula>
    </cfRule>
  </conditionalFormatting>
  <conditionalFormatting sqref="H4:H36">
    <cfRule type="cellIs" dxfId="2443" priority="1876" operator="lessThan">
      <formula>0</formula>
    </cfRule>
  </conditionalFormatting>
  <conditionalFormatting sqref="H4:H36">
    <cfRule type="cellIs" dxfId="2442" priority="1875" operator="lessThan">
      <formula>0</formula>
    </cfRule>
  </conditionalFormatting>
  <conditionalFormatting sqref="H4:H36">
    <cfRule type="cellIs" dxfId="2441" priority="1874" operator="lessThan">
      <formula>0</formula>
    </cfRule>
  </conditionalFormatting>
  <conditionalFormatting sqref="H4:H36">
    <cfRule type="cellIs" dxfId="2440" priority="1873" operator="lessThan">
      <formula>0</formula>
    </cfRule>
  </conditionalFormatting>
  <conditionalFormatting sqref="H4:H36">
    <cfRule type="cellIs" dxfId="2439" priority="1872" operator="lessThan">
      <formula>0</formula>
    </cfRule>
  </conditionalFormatting>
  <conditionalFormatting sqref="H4:H36">
    <cfRule type="cellIs" dxfId="2438" priority="1871" operator="lessThan">
      <formula>0</formula>
    </cfRule>
  </conditionalFormatting>
  <conditionalFormatting sqref="H4:H36">
    <cfRule type="cellIs" dxfId="2437" priority="1870" operator="lessThan">
      <formula>0</formula>
    </cfRule>
  </conditionalFormatting>
  <conditionalFormatting sqref="H4:H36">
    <cfRule type="cellIs" dxfId="2436" priority="1869" operator="lessThan">
      <formula>0</formula>
    </cfRule>
  </conditionalFormatting>
  <conditionalFormatting sqref="H4:H36">
    <cfRule type="cellIs" dxfId="2435" priority="1868" operator="lessThan">
      <formula>0</formula>
    </cfRule>
  </conditionalFormatting>
  <conditionalFormatting sqref="H4:H36">
    <cfRule type="cellIs" dxfId="2434" priority="1867" operator="lessThan">
      <formula>0</formula>
    </cfRule>
  </conditionalFormatting>
  <conditionalFormatting sqref="H4:H36">
    <cfRule type="cellIs" dxfId="2433" priority="1866" operator="lessThan">
      <formula>0</formula>
    </cfRule>
  </conditionalFormatting>
  <conditionalFormatting sqref="H4:H36">
    <cfRule type="cellIs" dxfId="2432" priority="1865" operator="lessThan">
      <formula>0</formula>
    </cfRule>
  </conditionalFormatting>
  <conditionalFormatting sqref="L4:L35">
    <cfRule type="cellIs" dxfId="2431" priority="1864" operator="lessThan">
      <formula>0</formula>
    </cfRule>
  </conditionalFormatting>
  <conditionalFormatting sqref="L4:L35">
    <cfRule type="cellIs" dxfId="2430" priority="1863" operator="lessThan">
      <formula>0</formula>
    </cfRule>
  </conditionalFormatting>
  <conditionalFormatting sqref="L4:L35">
    <cfRule type="cellIs" dxfId="2429" priority="1862" operator="lessThan">
      <formula>0</formula>
    </cfRule>
  </conditionalFormatting>
  <conditionalFormatting sqref="L4:L35">
    <cfRule type="cellIs" dxfId="2428" priority="1861" operator="lessThan">
      <formula>0</formula>
    </cfRule>
  </conditionalFormatting>
  <conditionalFormatting sqref="L4:L35">
    <cfRule type="cellIs" dxfId="2427" priority="1860" operator="lessThan">
      <formula>0</formula>
    </cfRule>
  </conditionalFormatting>
  <conditionalFormatting sqref="L4:L35">
    <cfRule type="cellIs" dxfId="2426" priority="1859" operator="lessThan">
      <formula>0</formula>
    </cfRule>
  </conditionalFormatting>
  <conditionalFormatting sqref="E4:E35">
    <cfRule type="cellIs" dxfId="2425" priority="1858" operator="lessThan">
      <formula>0</formula>
    </cfRule>
  </conditionalFormatting>
  <conditionalFormatting sqref="E4:E35">
    <cfRule type="cellIs" dxfId="2424" priority="1857" operator="lessThan">
      <formula>0</formula>
    </cfRule>
  </conditionalFormatting>
  <conditionalFormatting sqref="E4:E35">
    <cfRule type="cellIs" dxfId="2423" priority="1856" operator="lessThan">
      <formula>0</formula>
    </cfRule>
  </conditionalFormatting>
  <conditionalFormatting sqref="E4:E35">
    <cfRule type="cellIs" dxfId="2422" priority="1855" operator="lessThan">
      <formula>0</formula>
    </cfRule>
  </conditionalFormatting>
  <conditionalFormatting sqref="E4:E35">
    <cfRule type="cellIs" dxfId="2421" priority="1854" operator="lessThan">
      <formula>0</formula>
    </cfRule>
  </conditionalFormatting>
  <conditionalFormatting sqref="E4:E35">
    <cfRule type="cellIs" dxfId="2420" priority="1853" operator="lessThan">
      <formula>0</formula>
    </cfRule>
  </conditionalFormatting>
  <conditionalFormatting sqref="E4:E35">
    <cfRule type="cellIs" dxfId="2419" priority="1852" operator="lessThan">
      <formula>0</formula>
    </cfRule>
  </conditionalFormatting>
  <conditionalFormatting sqref="E4:E35">
    <cfRule type="cellIs" dxfId="2418" priority="1851" operator="lessThan">
      <formula>0</formula>
    </cfRule>
  </conditionalFormatting>
  <conditionalFormatting sqref="E4:E35">
    <cfRule type="cellIs" dxfId="2417" priority="1850" operator="lessThan">
      <formula>0</formula>
    </cfRule>
  </conditionalFormatting>
  <conditionalFormatting sqref="E4:E35">
    <cfRule type="cellIs" dxfId="2416" priority="1849" operator="lessThan">
      <formula>0</formula>
    </cfRule>
  </conditionalFormatting>
  <conditionalFormatting sqref="E4:E35">
    <cfRule type="cellIs" dxfId="2415" priority="1848" operator="lessThan">
      <formula>0</formula>
    </cfRule>
  </conditionalFormatting>
  <conditionalFormatting sqref="E4:E35">
    <cfRule type="cellIs" dxfId="2414" priority="1847" operator="lessThan">
      <formula>0</formula>
    </cfRule>
  </conditionalFormatting>
  <conditionalFormatting sqref="E4:E35">
    <cfRule type="cellIs" dxfId="2413" priority="1846" operator="lessThan">
      <formula>0</formula>
    </cfRule>
  </conditionalFormatting>
  <conditionalFormatting sqref="E4:E35">
    <cfRule type="cellIs" dxfId="2412" priority="1845" operator="lessThan">
      <formula>0</formula>
    </cfRule>
  </conditionalFormatting>
  <conditionalFormatting sqref="E4:E35">
    <cfRule type="cellIs" dxfId="2411" priority="1844" operator="lessThan">
      <formula>0</formula>
    </cfRule>
  </conditionalFormatting>
  <conditionalFormatting sqref="E4:E35">
    <cfRule type="cellIs" dxfId="2410" priority="1843" operator="lessThan">
      <formula>0</formula>
    </cfRule>
  </conditionalFormatting>
  <conditionalFormatting sqref="E4:E35">
    <cfRule type="cellIs" dxfId="2409" priority="1842" operator="lessThan">
      <formula>0</formula>
    </cfRule>
  </conditionalFormatting>
  <conditionalFormatting sqref="E4:E35">
    <cfRule type="cellIs" dxfId="2408" priority="1841" operator="lessThan">
      <formula>0</formula>
    </cfRule>
  </conditionalFormatting>
  <conditionalFormatting sqref="E4:E35">
    <cfRule type="cellIs" dxfId="2407" priority="1840" operator="lessThan">
      <formula>0</formula>
    </cfRule>
  </conditionalFormatting>
  <conditionalFormatting sqref="E4:E35">
    <cfRule type="cellIs" dxfId="2406" priority="1839" operator="lessThan">
      <formula>0</formula>
    </cfRule>
  </conditionalFormatting>
  <conditionalFormatting sqref="E4:E35">
    <cfRule type="cellIs" dxfId="2405" priority="1838" operator="lessThan">
      <formula>0</formula>
    </cfRule>
  </conditionalFormatting>
  <conditionalFormatting sqref="E4:E35">
    <cfRule type="cellIs" dxfId="2404" priority="1837" operator="lessThan">
      <formula>0</formula>
    </cfRule>
  </conditionalFormatting>
  <conditionalFormatting sqref="E4:E35">
    <cfRule type="cellIs" dxfId="2403" priority="1836" operator="lessThan">
      <formula>0</formula>
    </cfRule>
  </conditionalFormatting>
  <conditionalFormatting sqref="E4:E35">
    <cfRule type="cellIs" dxfId="2402" priority="1835" operator="lessThan">
      <formula>0</formula>
    </cfRule>
  </conditionalFormatting>
  <conditionalFormatting sqref="E4:E35">
    <cfRule type="cellIs" dxfId="2401" priority="1834" operator="lessThan">
      <formula>0</formula>
    </cfRule>
  </conditionalFormatting>
  <conditionalFormatting sqref="E4:E35">
    <cfRule type="cellIs" dxfId="2400" priority="1833" operator="lessThan">
      <formula>0</formula>
    </cfRule>
  </conditionalFormatting>
  <conditionalFormatting sqref="E4:E35">
    <cfRule type="cellIs" dxfId="2399" priority="1832" operator="lessThan">
      <formula>0</formula>
    </cfRule>
  </conditionalFormatting>
  <conditionalFormatting sqref="E4:E35">
    <cfRule type="cellIs" dxfId="2398" priority="1831" operator="lessThan">
      <formula>0</formula>
    </cfRule>
  </conditionalFormatting>
  <conditionalFormatting sqref="E4:E35">
    <cfRule type="cellIs" dxfId="2397" priority="1830" operator="lessThan">
      <formula>0</formula>
    </cfRule>
  </conditionalFormatting>
  <conditionalFormatting sqref="E4:E35">
    <cfRule type="cellIs" dxfId="2396" priority="1829" operator="lessThan">
      <formula>0</formula>
    </cfRule>
  </conditionalFormatting>
  <conditionalFormatting sqref="E4:E35">
    <cfRule type="cellIs" dxfId="2395" priority="1828" operator="lessThan">
      <formula>0</formula>
    </cfRule>
  </conditionalFormatting>
  <conditionalFormatting sqref="E4:E35">
    <cfRule type="cellIs" dxfId="2394" priority="1827" operator="lessThan">
      <formula>0</formula>
    </cfRule>
  </conditionalFormatting>
  <conditionalFormatting sqref="E4:E35">
    <cfRule type="cellIs" dxfId="2393" priority="1826" operator="lessThan">
      <formula>0</formula>
    </cfRule>
  </conditionalFormatting>
  <conditionalFormatting sqref="E4:E35">
    <cfRule type="cellIs" dxfId="2392" priority="1825" operator="lessThan">
      <formula>0</formula>
    </cfRule>
  </conditionalFormatting>
  <conditionalFormatting sqref="E4:E35">
    <cfRule type="cellIs" dxfId="2391" priority="1824" operator="lessThan">
      <formula>0</formula>
    </cfRule>
  </conditionalFormatting>
  <conditionalFormatting sqref="E4:E35">
    <cfRule type="cellIs" dxfId="2390" priority="1823" operator="lessThan">
      <formula>0</formula>
    </cfRule>
  </conditionalFormatting>
  <conditionalFormatting sqref="E4:E35">
    <cfRule type="cellIs" dxfId="2389" priority="1822" operator="lessThan">
      <formula>0</formula>
    </cfRule>
  </conditionalFormatting>
  <conditionalFormatting sqref="E4:E35">
    <cfRule type="cellIs" dxfId="2388" priority="1821" operator="lessThan">
      <formula>0</formula>
    </cfRule>
  </conditionalFormatting>
  <conditionalFormatting sqref="E4:E35">
    <cfRule type="cellIs" dxfId="2387" priority="1820" operator="lessThan">
      <formula>0</formula>
    </cfRule>
  </conditionalFormatting>
  <conditionalFormatting sqref="E4:E35">
    <cfRule type="cellIs" dxfId="2386" priority="1819" operator="lessThan">
      <formula>0</formula>
    </cfRule>
  </conditionalFormatting>
  <conditionalFormatting sqref="E4:E35">
    <cfRule type="cellIs" dxfId="2385" priority="1818" operator="lessThan">
      <formula>0</formula>
    </cfRule>
  </conditionalFormatting>
  <conditionalFormatting sqref="E4:E35">
    <cfRule type="cellIs" dxfId="2384" priority="1817" operator="lessThan">
      <formula>0</formula>
    </cfRule>
  </conditionalFormatting>
  <conditionalFormatting sqref="E4:E35">
    <cfRule type="cellIs" dxfId="2383" priority="1816" operator="lessThan">
      <formula>0</formula>
    </cfRule>
  </conditionalFormatting>
  <conditionalFormatting sqref="E4:E35">
    <cfRule type="cellIs" dxfId="2382" priority="1815" operator="lessThan">
      <formula>0</formula>
    </cfRule>
  </conditionalFormatting>
  <conditionalFormatting sqref="E4:E35">
    <cfRule type="cellIs" dxfId="2381" priority="1814" operator="lessThan">
      <formula>0</formula>
    </cfRule>
  </conditionalFormatting>
  <conditionalFormatting sqref="J4:J35">
    <cfRule type="cellIs" dxfId="2380" priority="1813" operator="lessThan">
      <formula>0</formula>
    </cfRule>
  </conditionalFormatting>
  <conditionalFormatting sqref="J4:J35">
    <cfRule type="cellIs" dxfId="2379" priority="1812" operator="lessThan">
      <formula>0</formula>
    </cfRule>
  </conditionalFormatting>
  <conditionalFormatting sqref="J4:J35">
    <cfRule type="cellIs" dxfId="2378" priority="1811" operator="lessThan">
      <formula>0</formula>
    </cfRule>
  </conditionalFormatting>
  <conditionalFormatting sqref="J4:J35">
    <cfRule type="cellIs" dxfId="2377" priority="1810" operator="lessThan">
      <formula>0</formula>
    </cfRule>
  </conditionalFormatting>
  <conditionalFormatting sqref="J4:J35">
    <cfRule type="cellIs" dxfId="2376" priority="1809" operator="lessThan">
      <formula>0</formula>
    </cfRule>
  </conditionalFormatting>
  <conditionalFormatting sqref="J4:J35">
    <cfRule type="cellIs" dxfId="2375" priority="1808" operator="lessThan">
      <formula>0</formula>
    </cfRule>
  </conditionalFormatting>
  <conditionalFormatting sqref="J4:J35">
    <cfRule type="cellIs" dxfId="2374" priority="1807" operator="lessThan">
      <formula>0</formula>
    </cfRule>
  </conditionalFormatting>
  <conditionalFormatting sqref="J4:J35">
    <cfRule type="cellIs" dxfId="2373" priority="1806" operator="lessThan">
      <formula>0</formula>
    </cfRule>
  </conditionalFormatting>
  <conditionalFormatting sqref="J4:J35">
    <cfRule type="cellIs" dxfId="2372" priority="1805" operator="lessThan">
      <formula>0</formula>
    </cfRule>
  </conditionalFormatting>
  <conditionalFormatting sqref="J4:J35">
    <cfRule type="cellIs" dxfId="2371" priority="1804" operator="lessThan">
      <formula>0</formula>
    </cfRule>
  </conditionalFormatting>
  <conditionalFormatting sqref="J4:J35">
    <cfRule type="cellIs" dxfId="2370" priority="1803" operator="lessThan">
      <formula>0</formula>
    </cfRule>
  </conditionalFormatting>
  <conditionalFormatting sqref="J4:J35">
    <cfRule type="cellIs" dxfId="2369" priority="1802" operator="lessThan">
      <formula>0</formula>
    </cfRule>
  </conditionalFormatting>
  <conditionalFormatting sqref="J4:J35">
    <cfRule type="cellIs" dxfId="2368" priority="1801" operator="lessThan">
      <formula>0</formula>
    </cfRule>
  </conditionalFormatting>
  <conditionalFormatting sqref="J4:J35">
    <cfRule type="cellIs" dxfId="2367" priority="1800" operator="lessThan">
      <formula>0</formula>
    </cfRule>
  </conditionalFormatting>
  <conditionalFormatting sqref="J4:J35">
    <cfRule type="cellIs" dxfId="2366" priority="1799" operator="lessThan">
      <formula>0</formula>
    </cfRule>
  </conditionalFormatting>
  <conditionalFormatting sqref="J4:J35">
    <cfRule type="cellIs" dxfId="2365" priority="1798" operator="lessThan">
      <formula>0</formula>
    </cfRule>
  </conditionalFormatting>
  <conditionalFormatting sqref="J4:J35">
    <cfRule type="cellIs" dxfId="2364" priority="1797" operator="lessThan">
      <formula>0</formula>
    </cfRule>
  </conditionalFormatting>
  <conditionalFormatting sqref="J4:J35">
    <cfRule type="cellIs" dxfId="2363" priority="1796" operator="lessThan">
      <formula>0</formula>
    </cfRule>
  </conditionalFormatting>
  <conditionalFormatting sqref="J4:J35">
    <cfRule type="cellIs" dxfId="2362" priority="1795" operator="lessThan">
      <formula>0</formula>
    </cfRule>
  </conditionalFormatting>
  <conditionalFormatting sqref="J4:J35">
    <cfRule type="cellIs" dxfId="2361" priority="1794" operator="lessThan">
      <formula>0</formula>
    </cfRule>
  </conditionalFormatting>
  <conditionalFormatting sqref="J4:J35">
    <cfRule type="cellIs" dxfId="2360" priority="1793" operator="lessThan">
      <formula>0</formula>
    </cfRule>
  </conditionalFormatting>
  <conditionalFormatting sqref="J4:J35">
    <cfRule type="cellIs" dxfId="2359" priority="1792" operator="lessThan">
      <formula>0</formula>
    </cfRule>
  </conditionalFormatting>
  <conditionalFormatting sqref="J4:J35">
    <cfRule type="cellIs" dxfId="2358" priority="1791" operator="lessThan">
      <formula>0</formula>
    </cfRule>
  </conditionalFormatting>
  <conditionalFormatting sqref="J4:J35">
    <cfRule type="cellIs" dxfId="2357" priority="1790" operator="lessThan">
      <formula>0</formula>
    </cfRule>
  </conditionalFormatting>
  <conditionalFormatting sqref="J4:J35">
    <cfRule type="cellIs" dxfId="2356" priority="1789" operator="lessThan">
      <formula>0</formula>
    </cfRule>
  </conditionalFormatting>
  <conditionalFormatting sqref="J4:J35">
    <cfRule type="cellIs" dxfId="2355" priority="1788" operator="lessThan">
      <formula>0</formula>
    </cfRule>
  </conditionalFormatting>
  <conditionalFormatting sqref="J4:J35">
    <cfRule type="cellIs" dxfId="2354" priority="1787" operator="lessThan">
      <formula>0</formula>
    </cfRule>
  </conditionalFormatting>
  <conditionalFormatting sqref="J4:J35">
    <cfRule type="cellIs" dxfId="2353" priority="1786" operator="lessThan">
      <formula>0</formula>
    </cfRule>
  </conditionalFormatting>
  <conditionalFormatting sqref="J4:J35">
    <cfRule type="cellIs" dxfId="2352" priority="1785" operator="lessThan">
      <formula>0</formula>
    </cfRule>
  </conditionalFormatting>
  <conditionalFormatting sqref="J4:J35">
    <cfRule type="cellIs" dxfId="2351" priority="1784" operator="lessThan">
      <formula>0</formula>
    </cfRule>
  </conditionalFormatting>
  <conditionalFormatting sqref="J4:J35">
    <cfRule type="cellIs" dxfId="2350" priority="1783" operator="lessThan">
      <formula>0</formula>
    </cfRule>
  </conditionalFormatting>
  <conditionalFormatting sqref="J4:J35">
    <cfRule type="cellIs" dxfId="2349" priority="1782" operator="lessThan">
      <formula>0</formula>
    </cfRule>
  </conditionalFormatting>
  <conditionalFormatting sqref="J4:J35">
    <cfRule type="cellIs" dxfId="2348" priority="1781" operator="lessThan">
      <formula>0</formula>
    </cfRule>
  </conditionalFormatting>
  <conditionalFormatting sqref="J4:J35">
    <cfRule type="cellIs" dxfId="2347" priority="1780" operator="lessThan">
      <formula>0</formula>
    </cfRule>
  </conditionalFormatting>
  <conditionalFormatting sqref="J4:J35">
    <cfRule type="cellIs" dxfId="2346" priority="1779" operator="lessThan">
      <formula>0</formula>
    </cfRule>
  </conditionalFormatting>
  <conditionalFormatting sqref="J4:J35">
    <cfRule type="cellIs" dxfId="2345" priority="1778" operator="lessThan">
      <formula>0</formula>
    </cfRule>
  </conditionalFormatting>
  <conditionalFormatting sqref="J4:J35">
    <cfRule type="cellIs" dxfId="2344" priority="1777" operator="lessThan">
      <formula>0</formula>
    </cfRule>
  </conditionalFormatting>
  <conditionalFormatting sqref="J4:J35">
    <cfRule type="cellIs" dxfId="2343" priority="1776" operator="lessThan">
      <formula>0</formula>
    </cfRule>
  </conditionalFormatting>
  <conditionalFormatting sqref="J4:J35">
    <cfRule type="cellIs" dxfId="2342" priority="1775" operator="lessThan">
      <formula>0</formula>
    </cfRule>
  </conditionalFormatting>
  <conditionalFormatting sqref="J4:J35">
    <cfRule type="cellIs" dxfId="2341" priority="1774" operator="lessThan">
      <formula>0</formula>
    </cfRule>
  </conditionalFormatting>
  <conditionalFormatting sqref="J4:J35">
    <cfRule type="cellIs" dxfId="2340" priority="1773" operator="lessThan">
      <formula>0</formula>
    </cfRule>
  </conditionalFormatting>
  <conditionalFormatting sqref="J4:J35">
    <cfRule type="cellIs" dxfId="2339" priority="1772" operator="lessThan">
      <formula>0</formula>
    </cfRule>
  </conditionalFormatting>
  <conditionalFormatting sqref="J4:J35">
    <cfRule type="cellIs" dxfId="2338" priority="1771" operator="lessThan">
      <formula>0</formula>
    </cfRule>
  </conditionalFormatting>
  <conditionalFormatting sqref="J4:J35">
    <cfRule type="cellIs" dxfId="2337" priority="1770" operator="lessThan">
      <formula>0</formula>
    </cfRule>
  </conditionalFormatting>
  <conditionalFormatting sqref="J4:J35">
    <cfRule type="cellIs" dxfId="2336" priority="1769" operator="lessThan">
      <formula>0</formula>
    </cfRule>
  </conditionalFormatting>
  <conditionalFormatting sqref="L4:L35">
    <cfRule type="cellIs" dxfId="2335" priority="1768" operator="lessThan">
      <formula>0</formula>
    </cfRule>
  </conditionalFormatting>
  <conditionalFormatting sqref="L4:L35">
    <cfRule type="cellIs" dxfId="2334" priority="1767" operator="lessThan">
      <formula>0</formula>
    </cfRule>
  </conditionalFormatting>
  <conditionalFormatting sqref="L4:L35">
    <cfRule type="cellIs" dxfId="2333" priority="1766" operator="lessThan">
      <formula>0</formula>
    </cfRule>
  </conditionalFormatting>
  <conditionalFormatting sqref="L4:L35">
    <cfRule type="cellIs" dxfId="2332" priority="1765" operator="lessThan">
      <formula>0</formula>
    </cfRule>
  </conditionalFormatting>
  <conditionalFormatting sqref="L4:L35">
    <cfRule type="cellIs" dxfId="2331" priority="1764" operator="lessThan">
      <formula>0</formula>
    </cfRule>
  </conditionalFormatting>
  <conditionalFormatting sqref="L4:L35">
    <cfRule type="cellIs" dxfId="2330" priority="1763" operator="lessThan">
      <formula>0</formula>
    </cfRule>
  </conditionalFormatting>
  <conditionalFormatting sqref="L4:L35">
    <cfRule type="cellIs" dxfId="2329" priority="1762" operator="lessThan">
      <formula>0</formula>
    </cfRule>
  </conditionalFormatting>
  <conditionalFormatting sqref="L4:L35">
    <cfRule type="cellIs" dxfId="2328" priority="1761" operator="lessThan">
      <formula>0</formula>
    </cfRule>
  </conditionalFormatting>
  <conditionalFormatting sqref="L4:L35">
    <cfRule type="cellIs" dxfId="2327" priority="1760" operator="lessThan">
      <formula>0</formula>
    </cfRule>
  </conditionalFormatting>
  <conditionalFormatting sqref="L4:L35">
    <cfRule type="cellIs" dxfId="2326" priority="1759" operator="lessThan">
      <formula>0</formula>
    </cfRule>
  </conditionalFormatting>
  <conditionalFormatting sqref="L4:L35">
    <cfRule type="cellIs" dxfId="2325" priority="1758" operator="lessThan">
      <formula>0</formula>
    </cfRule>
  </conditionalFormatting>
  <conditionalFormatting sqref="L4:L35">
    <cfRule type="cellIs" dxfId="2324" priority="1757" operator="lessThan">
      <formula>0</formula>
    </cfRule>
  </conditionalFormatting>
  <conditionalFormatting sqref="L4:L35">
    <cfRule type="cellIs" dxfId="2323" priority="1756" operator="lessThan">
      <formula>0</formula>
    </cfRule>
  </conditionalFormatting>
  <conditionalFormatting sqref="L4:L35">
    <cfRule type="cellIs" dxfId="2322" priority="1755" operator="lessThan">
      <formula>0</formula>
    </cfRule>
  </conditionalFormatting>
  <conditionalFormatting sqref="L4:L35">
    <cfRule type="cellIs" dxfId="2321" priority="1754" operator="lessThan">
      <formula>0</formula>
    </cfRule>
  </conditionalFormatting>
  <conditionalFormatting sqref="L4:L35">
    <cfRule type="cellIs" dxfId="2320" priority="1753" operator="lessThan">
      <formula>0</formula>
    </cfRule>
  </conditionalFormatting>
  <conditionalFormatting sqref="L4:L35">
    <cfRule type="cellIs" dxfId="2319" priority="1752" operator="lessThan">
      <formula>0</formula>
    </cfRule>
  </conditionalFormatting>
  <conditionalFormatting sqref="L4:L35">
    <cfRule type="cellIs" dxfId="2318" priority="1751" operator="lessThan">
      <formula>0</formula>
    </cfRule>
  </conditionalFormatting>
  <conditionalFormatting sqref="L4:L35">
    <cfRule type="cellIs" dxfId="2317" priority="1750" operator="lessThan">
      <formula>0</formula>
    </cfRule>
  </conditionalFormatting>
  <conditionalFormatting sqref="E4:E35">
    <cfRule type="cellIs" dxfId="2316" priority="1749" operator="lessThan">
      <formula>0</formula>
    </cfRule>
  </conditionalFormatting>
  <conditionalFormatting sqref="J4:J35">
    <cfRule type="cellIs" dxfId="2315" priority="1748" operator="lessThan">
      <formula>0</formula>
    </cfRule>
  </conditionalFormatting>
  <conditionalFormatting sqref="L4:L35">
    <cfRule type="cellIs" dxfId="2314" priority="1747" operator="lessThan">
      <formula>0</formula>
    </cfRule>
  </conditionalFormatting>
  <conditionalFormatting sqref="C4:C35">
    <cfRule type="cellIs" dxfId="2313" priority="1746" operator="lessThan">
      <formula>0</formula>
    </cfRule>
  </conditionalFormatting>
  <conditionalFormatting sqref="C4:C35">
    <cfRule type="cellIs" dxfId="2312" priority="1745" operator="lessThan">
      <formula>0</formula>
    </cfRule>
  </conditionalFormatting>
  <conditionalFormatting sqref="C4:C35">
    <cfRule type="cellIs" dxfId="2311" priority="1744" operator="lessThan">
      <formula>0</formula>
    </cfRule>
  </conditionalFormatting>
  <conditionalFormatting sqref="C4:C35">
    <cfRule type="cellIs" dxfId="2310" priority="1743" operator="lessThan">
      <formula>0</formula>
    </cfRule>
  </conditionalFormatting>
  <conditionalFormatting sqref="C4:C35">
    <cfRule type="cellIs" dxfId="2309" priority="1742" operator="lessThan">
      <formula>0</formula>
    </cfRule>
  </conditionalFormatting>
  <conditionalFormatting sqref="C4:C35">
    <cfRule type="cellIs" dxfId="2308" priority="1741" operator="lessThan">
      <formula>0</formula>
    </cfRule>
  </conditionalFormatting>
  <conditionalFormatting sqref="C4:C35">
    <cfRule type="cellIs" dxfId="2307" priority="1740" operator="lessThan">
      <formula>0</formula>
    </cfRule>
  </conditionalFormatting>
  <conditionalFormatting sqref="C4:C35">
    <cfRule type="cellIs" dxfId="2306" priority="1739" operator="lessThan">
      <formula>0</formula>
    </cfRule>
  </conditionalFormatting>
  <conditionalFormatting sqref="C4:C35">
    <cfRule type="cellIs" dxfId="2305" priority="1738" operator="lessThan">
      <formula>0</formula>
    </cfRule>
  </conditionalFormatting>
  <conditionalFormatting sqref="C4:C35">
    <cfRule type="cellIs" dxfId="2304" priority="1737" operator="lessThan">
      <formula>0</formula>
    </cfRule>
  </conditionalFormatting>
  <conditionalFormatting sqref="C4:C35">
    <cfRule type="cellIs" dxfId="2303" priority="1736" operator="lessThan">
      <formula>0</formula>
    </cfRule>
  </conditionalFormatting>
  <conditionalFormatting sqref="C4:C35">
    <cfRule type="cellIs" dxfId="2302" priority="1735" operator="lessThan">
      <formula>0</formula>
    </cfRule>
  </conditionalFormatting>
  <conditionalFormatting sqref="C4:C35">
    <cfRule type="cellIs" dxfId="2301" priority="1734" operator="lessThan">
      <formula>0</formula>
    </cfRule>
  </conditionalFormatting>
  <conditionalFormatting sqref="C4:C35">
    <cfRule type="cellIs" dxfId="2300" priority="1733" operator="lessThan">
      <formula>0</formula>
    </cfRule>
  </conditionalFormatting>
  <conditionalFormatting sqref="C4:C35">
    <cfRule type="cellIs" dxfId="2299" priority="1732" operator="lessThan">
      <formula>0</formula>
    </cfRule>
  </conditionalFormatting>
  <conditionalFormatting sqref="J4:J35">
    <cfRule type="cellIs" dxfId="2298" priority="1731" operator="lessThan">
      <formula>0</formula>
    </cfRule>
  </conditionalFormatting>
  <conditionalFormatting sqref="J4:J35">
    <cfRule type="cellIs" dxfId="2297" priority="1730" operator="lessThan">
      <formula>0</formula>
    </cfRule>
  </conditionalFormatting>
  <conditionalFormatting sqref="J4:J35">
    <cfRule type="cellIs" dxfId="2296" priority="1729" operator="lessThan">
      <formula>0</formula>
    </cfRule>
  </conditionalFormatting>
  <conditionalFormatting sqref="J4:J35">
    <cfRule type="cellIs" dxfId="2295" priority="1728" operator="lessThan">
      <formula>0</formula>
    </cfRule>
  </conditionalFormatting>
  <conditionalFormatting sqref="J4:J35">
    <cfRule type="cellIs" dxfId="2294" priority="1727" operator="lessThan">
      <formula>0</formula>
    </cfRule>
  </conditionalFormatting>
  <conditionalFormatting sqref="J4:J35">
    <cfRule type="cellIs" dxfId="2293" priority="1726" operator="lessThan">
      <formula>0</formula>
    </cfRule>
  </conditionalFormatting>
  <conditionalFormatting sqref="J4:J35">
    <cfRule type="cellIs" dxfId="2292" priority="1725" operator="lessThan">
      <formula>0</formula>
    </cfRule>
  </conditionalFormatting>
  <conditionalFormatting sqref="J4:J35">
    <cfRule type="cellIs" dxfId="2291" priority="1724" operator="lessThan">
      <formula>0</formula>
    </cfRule>
  </conditionalFormatting>
  <conditionalFormatting sqref="J4:J35">
    <cfRule type="cellIs" dxfId="2290" priority="1723" operator="lessThan">
      <formula>0</formula>
    </cfRule>
  </conditionalFormatting>
  <conditionalFormatting sqref="J4:J35">
    <cfRule type="cellIs" dxfId="2289" priority="1722" operator="lessThan">
      <formula>0</formula>
    </cfRule>
  </conditionalFormatting>
  <conditionalFormatting sqref="J4:J35">
    <cfRule type="cellIs" dxfId="2288" priority="1721" operator="lessThan">
      <formula>0</formula>
    </cfRule>
  </conditionalFormatting>
  <conditionalFormatting sqref="J4:J35">
    <cfRule type="cellIs" dxfId="2287" priority="1720" operator="lessThan">
      <formula>0</formula>
    </cfRule>
  </conditionalFormatting>
  <conditionalFormatting sqref="J4:J35">
    <cfRule type="cellIs" dxfId="2286" priority="1719" operator="lessThan">
      <formula>0</formula>
    </cfRule>
  </conditionalFormatting>
  <conditionalFormatting sqref="J4:J35">
    <cfRule type="cellIs" dxfId="2285" priority="1718" operator="lessThan">
      <formula>0</formula>
    </cfRule>
  </conditionalFormatting>
  <conditionalFormatting sqref="J4:J35">
    <cfRule type="cellIs" dxfId="2284" priority="1717" operator="lessThan">
      <formula>0</formula>
    </cfRule>
  </conditionalFormatting>
  <conditionalFormatting sqref="J4:J35">
    <cfRule type="cellIs" dxfId="2283" priority="1716" operator="lessThan">
      <formula>0</formula>
    </cfRule>
  </conditionalFormatting>
  <conditionalFormatting sqref="J4:J35">
    <cfRule type="cellIs" dxfId="2282" priority="1715" operator="lessThan">
      <formula>0</formula>
    </cfRule>
  </conditionalFormatting>
  <conditionalFormatting sqref="J4:J35">
    <cfRule type="cellIs" dxfId="2281" priority="1714" operator="lessThan">
      <formula>0</formula>
    </cfRule>
  </conditionalFormatting>
  <conditionalFormatting sqref="J4:J35">
    <cfRule type="cellIs" dxfId="2280" priority="1713" operator="lessThan">
      <formula>0</formula>
    </cfRule>
  </conditionalFormatting>
  <conditionalFormatting sqref="J4:J35">
    <cfRule type="cellIs" dxfId="2279" priority="1712" operator="lessThan">
      <formula>0</formula>
    </cfRule>
  </conditionalFormatting>
  <conditionalFormatting sqref="J4:J35">
    <cfRule type="cellIs" dxfId="2278" priority="1711" operator="lessThan">
      <formula>0</formula>
    </cfRule>
  </conditionalFormatting>
  <conditionalFormatting sqref="J4:J35">
    <cfRule type="cellIs" dxfId="2277" priority="1710" operator="lessThan">
      <formula>0</formula>
    </cfRule>
  </conditionalFormatting>
  <conditionalFormatting sqref="J4:J35">
    <cfRule type="cellIs" dxfId="2276" priority="1709" operator="lessThan">
      <formula>0</formula>
    </cfRule>
  </conditionalFormatting>
  <conditionalFormatting sqref="J4:J35">
    <cfRule type="cellIs" dxfId="2275" priority="1708" operator="lessThan">
      <formula>0</formula>
    </cfRule>
  </conditionalFormatting>
  <conditionalFormatting sqref="J4:J35">
    <cfRule type="cellIs" dxfId="2274" priority="1707" operator="lessThan">
      <formula>0</formula>
    </cfRule>
  </conditionalFormatting>
  <conditionalFormatting sqref="J4:J35">
    <cfRule type="cellIs" dxfId="2273" priority="1706" operator="lessThan">
      <formula>0</formula>
    </cfRule>
  </conditionalFormatting>
  <conditionalFormatting sqref="J4:J35">
    <cfRule type="cellIs" dxfId="2272" priority="1705" operator="lessThan">
      <formula>0</formula>
    </cfRule>
  </conditionalFormatting>
  <conditionalFormatting sqref="J4:J35">
    <cfRule type="cellIs" dxfId="2271" priority="1704" operator="lessThan">
      <formula>0</formula>
    </cfRule>
  </conditionalFormatting>
  <conditionalFormatting sqref="J4:J35">
    <cfRule type="cellIs" dxfId="2270" priority="1703" operator="lessThan">
      <formula>0</formula>
    </cfRule>
  </conditionalFormatting>
  <conditionalFormatting sqref="J4:J35">
    <cfRule type="cellIs" dxfId="2269" priority="1702" operator="lessThan">
      <formula>0</formula>
    </cfRule>
  </conditionalFormatting>
  <conditionalFormatting sqref="J4:J35">
    <cfRule type="cellIs" dxfId="2268" priority="1701" operator="lessThan">
      <formula>0</formula>
    </cfRule>
  </conditionalFormatting>
  <conditionalFormatting sqref="J4:J35">
    <cfRule type="cellIs" dxfId="2267" priority="1700" operator="lessThan">
      <formula>0</formula>
    </cfRule>
  </conditionalFormatting>
  <conditionalFormatting sqref="J4:J35">
    <cfRule type="cellIs" dxfId="2266" priority="1699" operator="lessThan">
      <formula>0</formula>
    </cfRule>
  </conditionalFormatting>
  <conditionalFormatting sqref="J4:J35">
    <cfRule type="cellIs" dxfId="2265" priority="1698" operator="lessThan">
      <formula>0</formula>
    </cfRule>
  </conditionalFormatting>
  <conditionalFormatting sqref="J4:J35">
    <cfRule type="cellIs" dxfId="2264" priority="1697" operator="lessThan">
      <formula>0</formula>
    </cfRule>
  </conditionalFormatting>
  <conditionalFormatting sqref="J4:J35">
    <cfRule type="cellIs" dxfId="2263" priority="1696" operator="lessThan">
      <formula>0</formula>
    </cfRule>
  </conditionalFormatting>
  <conditionalFormatting sqref="J4:J35">
    <cfRule type="cellIs" dxfId="2262" priority="1695" operator="lessThan">
      <formula>0</formula>
    </cfRule>
  </conditionalFormatting>
  <conditionalFormatting sqref="J4:J35">
    <cfRule type="cellIs" dxfId="2261" priority="1694" operator="lessThan">
      <formula>0</formula>
    </cfRule>
  </conditionalFormatting>
  <conditionalFormatting sqref="J4:J35">
    <cfRule type="cellIs" dxfId="2260" priority="1693" operator="lessThan">
      <formula>0</formula>
    </cfRule>
  </conditionalFormatting>
  <conditionalFormatting sqref="J4:J35">
    <cfRule type="cellIs" dxfId="2259" priority="1692" operator="lessThan">
      <formula>0</formula>
    </cfRule>
  </conditionalFormatting>
  <conditionalFormatting sqref="J4:J35">
    <cfRule type="cellIs" dxfId="2258" priority="1691" operator="lessThan">
      <formula>0</formula>
    </cfRule>
  </conditionalFormatting>
  <conditionalFormatting sqref="J4:J35">
    <cfRule type="cellIs" dxfId="2257" priority="1690" operator="lessThan">
      <formula>0</formula>
    </cfRule>
  </conditionalFormatting>
  <conditionalFormatting sqref="J4:J35">
    <cfRule type="cellIs" dxfId="2256" priority="1689" operator="lessThan">
      <formula>0</formula>
    </cfRule>
  </conditionalFormatting>
  <conditionalFormatting sqref="J4:J35">
    <cfRule type="cellIs" dxfId="2255" priority="1688" operator="lessThan">
      <formula>0</formula>
    </cfRule>
  </conditionalFormatting>
  <conditionalFormatting sqref="J4:J35">
    <cfRule type="cellIs" dxfId="2254" priority="1687" operator="lessThan">
      <formula>0</formula>
    </cfRule>
  </conditionalFormatting>
  <conditionalFormatting sqref="J4:J35">
    <cfRule type="cellIs" dxfId="2253" priority="1686" operator="lessThan">
      <formula>0</formula>
    </cfRule>
  </conditionalFormatting>
  <conditionalFormatting sqref="J4:J35">
    <cfRule type="cellIs" dxfId="2252" priority="1685" operator="lessThan">
      <formula>0</formula>
    </cfRule>
  </conditionalFormatting>
  <conditionalFormatting sqref="H4:H36">
    <cfRule type="cellIs" dxfId="2251" priority="1684" operator="lessThan">
      <formula>0</formula>
    </cfRule>
  </conditionalFormatting>
  <conditionalFormatting sqref="H4:H36">
    <cfRule type="cellIs" dxfId="2250" priority="1683" operator="lessThan">
      <formula>0</formula>
    </cfRule>
  </conditionalFormatting>
  <conditionalFormatting sqref="H4:H36">
    <cfRule type="cellIs" dxfId="2249" priority="1682" operator="lessThan">
      <formula>0</formula>
    </cfRule>
  </conditionalFormatting>
  <conditionalFormatting sqref="H4:H36">
    <cfRule type="cellIs" dxfId="2248" priority="1681" operator="lessThan">
      <formula>0</formula>
    </cfRule>
  </conditionalFormatting>
  <conditionalFormatting sqref="H4:H36">
    <cfRule type="cellIs" dxfId="2247" priority="1680" operator="lessThan">
      <formula>0</formula>
    </cfRule>
  </conditionalFormatting>
  <conditionalFormatting sqref="H4:H36">
    <cfRule type="cellIs" dxfId="2246" priority="1679" operator="lessThan">
      <formula>0</formula>
    </cfRule>
  </conditionalFormatting>
  <conditionalFormatting sqref="H4:H36">
    <cfRule type="cellIs" dxfId="2245" priority="1678" operator="lessThan">
      <formula>0</formula>
    </cfRule>
  </conditionalFormatting>
  <conditionalFormatting sqref="H4:H36">
    <cfRule type="cellIs" dxfId="2244" priority="1677" operator="lessThan">
      <formula>0</formula>
    </cfRule>
  </conditionalFormatting>
  <conditionalFormatting sqref="H4:H36">
    <cfRule type="cellIs" dxfId="2243" priority="1676" operator="lessThan">
      <formula>0</formula>
    </cfRule>
  </conditionalFormatting>
  <conditionalFormatting sqref="H4:H36">
    <cfRule type="cellIs" dxfId="2242" priority="1675" operator="lessThan">
      <formula>0</formula>
    </cfRule>
  </conditionalFormatting>
  <conditionalFormatting sqref="H4:H36">
    <cfRule type="cellIs" dxfId="2241" priority="1674" operator="lessThan">
      <formula>0</formula>
    </cfRule>
  </conditionalFormatting>
  <conditionalFormatting sqref="H4:H36">
    <cfRule type="cellIs" dxfId="2240" priority="1673" operator="lessThan">
      <formula>0</formula>
    </cfRule>
  </conditionalFormatting>
  <conditionalFormatting sqref="H4:H36">
    <cfRule type="cellIs" dxfId="2239" priority="1672" operator="lessThan">
      <formula>0</formula>
    </cfRule>
  </conditionalFormatting>
  <conditionalFormatting sqref="H4:H36">
    <cfRule type="cellIs" dxfId="2238" priority="1671" operator="lessThan">
      <formula>0</formula>
    </cfRule>
  </conditionalFormatting>
  <conditionalFormatting sqref="H4:H36">
    <cfRule type="cellIs" dxfId="2237" priority="1670" operator="lessThan">
      <formula>0</formula>
    </cfRule>
  </conditionalFormatting>
  <conditionalFormatting sqref="E4:E35">
    <cfRule type="cellIs" dxfId="2236" priority="1669" operator="lessThan">
      <formula>0</formula>
    </cfRule>
  </conditionalFormatting>
  <conditionalFormatting sqref="E4:E35">
    <cfRule type="cellIs" dxfId="2235" priority="1668" operator="lessThan">
      <formula>0</formula>
    </cfRule>
  </conditionalFormatting>
  <conditionalFormatting sqref="E4:E35">
    <cfRule type="cellIs" dxfId="2234" priority="1667" operator="lessThan">
      <formula>0</formula>
    </cfRule>
  </conditionalFormatting>
  <conditionalFormatting sqref="E4:E35">
    <cfRule type="cellIs" dxfId="2233" priority="1666" operator="lessThan">
      <formula>0</formula>
    </cfRule>
  </conditionalFormatting>
  <conditionalFormatting sqref="E4:E35">
    <cfRule type="cellIs" dxfId="2232" priority="1665" operator="lessThan">
      <formula>0</formula>
    </cfRule>
  </conditionalFormatting>
  <conditionalFormatting sqref="E4:E35">
    <cfRule type="cellIs" dxfId="2231" priority="1664" operator="lessThan">
      <formula>0</formula>
    </cfRule>
  </conditionalFormatting>
  <conditionalFormatting sqref="E4:E35">
    <cfRule type="cellIs" dxfId="2230" priority="1663" operator="lessThan">
      <formula>0</formula>
    </cfRule>
  </conditionalFormatting>
  <conditionalFormatting sqref="E4:E35">
    <cfRule type="cellIs" dxfId="2229" priority="1662" operator="lessThan">
      <formula>0</formula>
    </cfRule>
  </conditionalFormatting>
  <conditionalFormatting sqref="E4:E35">
    <cfRule type="cellIs" dxfId="2228" priority="1661" operator="lessThan">
      <formula>0</formula>
    </cfRule>
  </conditionalFormatting>
  <conditionalFormatting sqref="E4:E35">
    <cfRule type="cellIs" dxfId="2227" priority="1660" operator="lessThan">
      <formula>0</formula>
    </cfRule>
  </conditionalFormatting>
  <conditionalFormatting sqref="E4:E35">
    <cfRule type="cellIs" dxfId="2226" priority="1659" operator="lessThan">
      <formula>0</formula>
    </cfRule>
  </conditionalFormatting>
  <conditionalFormatting sqref="E4:E35">
    <cfRule type="cellIs" dxfId="2225" priority="1658" operator="lessThan">
      <formula>0</formula>
    </cfRule>
  </conditionalFormatting>
  <conditionalFormatting sqref="E4:E35">
    <cfRule type="cellIs" dxfId="2224" priority="1657" operator="lessThan">
      <formula>0</formula>
    </cfRule>
  </conditionalFormatting>
  <conditionalFormatting sqref="E4:E35">
    <cfRule type="cellIs" dxfId="2223" priority="1656" operator="lessThan">
      <formula>0</formula>
    </cfRule>
  </conditionalFormatting>
  <conditionalFormatting sqref="E4:E35">
    <cfRule type="cellIs" dxfId="2222" priority="1655" operator="lessThan">
      <formula>0</formula>
    </cfRule>
  </conditionalFormatting>
  <conditionalFormatting sqref="E4:E35">
    <cfRule type="cellIs" dxfId="2221" priority="1654" operator="lessThan">
      <formula>0</formula>
    </cfRule>
  </conditionalFormatting>
  <conditionalFormatting sqref="E4:E35">
    <cfRule type="cellIs" dxfId="2220" priority="1653" operator="lessThan">
      <formula>0</formula>
    </cfRule>
  </conditionalFormatting>
  <conditionalFormatting sqref="E4:E35">
    <cfRule type="cellIs" dxfId="2219" priority="1652" operator="lessThan">
      <formula>0</formula>
    </cfRule>
  </conditionalFormatting>
  <conditionalFormatting sqref="E4:E35">
    <cfRule type="cellIs" dxfId="2218" priority="1651" operator="lessThan">
      <formula>0</formula>
    </cfRule>
  </conditionalFormatting>
  <conditionalFormatting sqref="E4:E35">
    <cfRule type="cellIs" dxfId="2217" priority="1650" operator="lessThan">
      <formula>0</formula>
    </cfRule>
  </conditionalFormatting>
  <conditionalFormatting sqref="E4:E35">
    <cfRule type="cellIs" dxfId="2216" priority="1649" operator="lessThan">
      <formula>0</formula>
    </cfRule>
  </conditionalFormatting>
  <conditionalFormatting sqref="E4:E35">
    <cfRule type="cellIs" dxfId="2215" priority="1648" operator="lessThan">
      <formula>0</formula>
    </cfRule>
  </conditionalFormatting>
  <conditionalFormatting sqref="E4:E35">
    <cfRule type="cellIs" dxfId="2214" priority="1647" operator="lessThan">
      <formula>0</formula>
    </cfRule>
  </conditionalFormatting>
  <conditionalFormatting sqref="E4:E35">
    <cfRule type="cellIs" dxfId="2213" priority="1646" operator="lessThan">
      <formula>0</formula>
    </cfRule>
  </conditionalFormatting>
  <conditionalFormatting sqref="E4:E35">
    <cfRule type="cellIs" dxfId="2212" priority="1645" operator="lessThan">
      <formula>0</formula>
    </cfRule>
  </conditionalFormatting>
  <conditionalFormatting sqref="E4:E35">
    <cfRule type="cellIs" dxfId="2211" priority="1644" operator="lessThan">
      <formula>0</formula>
    </cfRule>
  </conditionalFormatting>
  <conditionalFormatting sqref="E4:E35">
    <cfRule type="cellIs" dxfId="2210" priority="1643" operator="lessThan">
      <formula>0</formula>
    </cfRule>
  </conditionalFormatting>
  <conditionalFormatting sqref="E4:E35">
    <cfRule type="cellIs" dxfId="2209" priority="1642" operator="lessThan">
      <formula>0</formula>
    </cfRule>
  </conditionalFormatting>
  <conditionalFormatting sqref="E4:E35">
    <cfRule type="cellIs" dxfId="2208" priority="1641" operator="lessThan">
      <formula>0</formula>
    </cfRule>
  </conditionalFormatting>
  <conditionalFormatting sqref="E4:E35">
    <cfRule type="cellIs" dxfId="2207" priority="1640" operator="lessThan">
      <formula>0</formula>
    </cfRule>
  </conditionalFormatting>
  <conditionalFormatting sqref="E4:E35">
    <cfRule type="cellIs" dxfId="2206" priority="1639" operator="lessThan">
      <formula>0</formula>
    </cfRule>
  </conditionalFormatting>
  <conditionalFormatting sqref="E4:E35">
    <cfRule type="cellIs" dxfId="2205" priority="1638" operator="lessThan">
      <formula>0</formula>
    </cfRule>
  </conditionalFormatting>
  <conditionalFormatting sqref="E4:E35">
    <cfRule type="cellIs" dxfId="2204" priority="1637" operator="lessThan">
      <formula>0</formula>
    </cfRule>
  </conditionalFormatting>
  <conditionalFormatting sqref="E4:E35">
    <cfRule type="cellIs" dxfId="2203" priority="1636" operator="lessThan">
      <formula>0</formula>
    </cfRule>
  </conditionalFormatting>
  <conditionalFormatting sqref="E4:E35">
    <cfRule type="cellIs" dxfId="2202" priority="1635" operator="lessThan">
      <formula>0</formula>
    </cfRule>
  </conditionalFormatting>
  <conditionalFormatting sqref="E4:E35">
    <cfRule type="cellIs" dxfId="2201" priority="1634" operator="lessThan">
      <formula>0</formula>
    </cfRule>
  </conditionalFormatting>
  <conditionalFormatting sqref="E4:E35">
    <cfRule type="cellIs" dxfId="2200" priority="1633" operator="lessThan">
      <formula>0</formula>
    </cfRule>
  </conditionalFormatting>
  <conditionalFormatting sqref="E4:E35">
    <cfRule type="cellIs" dxfId="2199" priority="1632" operator="lessThan">
      <formula>0</formula>
    </cfRule>
  </conditionalFormatting>
  <conditionalFormatting sqref="E4:E35">
    <cfRule type="cellIs" dxfId="2198" priority="1631" operator="lessThan">
      <formula>0</formula>
    </cfRule>
  </conditionalFormatting>
  <conditionalFormatting sqref="E4:E35">
    <cfRule type="cellIs" dxfId="2197" priority="1630" operator="lessThan">
      <formula>0</formula>
    </cfRule>
  </conditionalFormatting>
  <conditionalFormatting sqref="E4:E35">
    <cfRule type="cellIs" dxfId="2196" priority="1629" operator="lessThan">
      <formula>0</formula>
    </cfRule>
  </conditionalFormatting>
  <conditionalFormatting sqref="E4:E35">
    <cfRule type="cellIs" dxfId="2195" priority="1628" operator="lessThan">
      <formula>0</formula>
    </cfRule>
  </conditionalFormatting>
  <conditionalFormatting sqref="E4:E35">
    <cfRule type="cellIs" dxfId="2194" priority="1627" operator="lessThan">
      <formula>0</formula>
    </cfRule>
  </conditionalFormatting>
  <conditionalFormatting sqref="J4:J35">
    <cfRule type="cellIs" dxfId="2193" priority="1626" operator="lessThan">
      <formula>0</formula>
    </cfRule>
  </conditionalFormatting>
  <conditionalFormatting sqref="J4:J35">
    <cfRule type="cellIs" dxfId="2192" priority="1625" operator="lessThan">
      <formula>0</formula>
    </cfRule>
  </conditionalFormatting>
  <conditionalFormatting sqref="J4:J35">
    <cfRule type="cellIs" dxfId="2191" priority="1624" operator="lessThan">
      <formula>0</formula>
    </cfRule>
  </conditionalFormatting>
  <conditionalFormatting sqref="J4:J35">
    <cfRule type="cellIs" dxfId="2190" priority="1623" operator="lessThan">
      <formula>0</formula>
    </cfRule>
  </conditionalFormatting>
  <conditionalFormatting sqref="J4:J35">
    <cfRule type="cellIs" dxfId="2189" priority="1622" operator="lessThan">
      <formula>0</formula>
    </cfRule>
  </conditionalFormatting>
  <conditionalFormatting sqref="J4:J35">
    <cfRule type="cellIs" dxfId="2188" priority="1621" operator="lessThan">
      <formula>0</formula>
    </cfRule>
  </conditionalFormatting>
  <conditionalFormatting sqref="J4:J35">
    <cfRule type="cellIs" dxfId="2187" priority="1620" operator="lessThan">
      <formula>0</formula>
    </cfRule>
  </conditionalFormatting>
  <conditionalFormatting sqref="J4:J35">
    <cfRule type="cellIs" dxfId="2186" priority="1619" operator="lessThan">
      <formula>0</formula>
    </cfRule>
  </conditionalFormatting>
  <conditionalFormatting sqref="J4:J35">
    <cfRule type="cellIs" dxfId="2185" priority="1618" operator="lessThan">
      <formula>0</formula>
    </cfRule>
  </conditionalFormatting>
  <conditionalFormatting sqref="J4:J35">
    <cfRule type="cellIs" dxfId="2184" priority="1617" operator="lessThan">
      <formula>0</formula>
    </cfRule>
  </conditionalFormatting>
  <conditionalFormatting sqref="J4:J35">
    <cfRule type="cellIs" dxfId="2183" priority="1616" operator="lessThan">
      <formula>0</formula>
    </cfRule>
  </conditionalFormatting>
  <conditionalFormatting sqref="J4:J35">
    <cfRule type="cellIs" dxfId="2182" priority="1615" operator="lessThan">
      <formula>0</formula>
    </cfRule>
  </conditionalFormatting>
  <conditionalFormatting sqref="J4:J35">
    <cfRule type="cellIs" dxfId="2181" priority="1614" operator="lessThan">
      <formula>0</formula>
    </cfRule>
  </conditionalFormatting>
  <conditionalFormatting sqref="J4:J35">
    <cfRule type="cellIs" dxfId="2180" priority="1613" operator="lessThan">
      <formula>0</formula>
    </cfRule>
  </conditionalFormatting>
  <conditionalFormatting sqref="J4:J35">
    <cfRule type="cellIs" dxfId="2179" priority="1612" operator="lessThan">
      <formula>0</formula>
    </cfRule>
  </conditionalFormatting>
  <conditionalFormatting sqref="J4:J35">
    <cfRule type="cellIs" dxfId="2178" priority="1611" operator="lessThan">
      <formula>0</formula>
    </cfRule>
  </conditionalFormatting>
  <conditionalFormatting sqref="J4:J35">
    <cfRule type="cellIs" dxfId="2177" priority="1610" operator="lessThan">
      <formula>0</formula>
    </cfRule>
  </conditionalFormatting>
  <conditionalFormatting sqref="J4:J35">
    <cfRule type="cellIs" dxfId="2176" priority="1609" operator="lessThan">
      <formula>0</formula>
    </cfRule>
  </conditionalFormatting>
  <conditionalFormatting sqref="J4:J35">
    <cfRule type="cellIs" dxfId="2175" priority="1608" operator="lessThan">
      <formula>0</formula>
    </cfRule>
  </conditionalFormatting>
  <conditionalFormatting sqref="J4:J35">
    <cfRule type="cellIs" dxfId="2174" priority="1607" operator="lessThan">
      <formula>0</formula>
    </cfRule>
  </conditionalFormatting>
  <conditionalFormatting sqref="J4:J35">
    <cfRule type="cellIs" dxfId="2173" priority="1606" operator="lessThan">
      <formula>0</formula>
    </cfRule>
  </conditionalFormatting>
  <conditionalFormatting sqref="J4:J35">
    <cfRule type="cellIs" dxfId="2172" priority="1605" operator="lessThan">
      <formula>0</formula>
    </cfRule>
  </conditionalFormatting>
  <conditionalFormatting sqref="J4:J35">
    <cfRule type="cellIs" dxfId="2171" priority="1604" operator="lessThan">
      <formula>0</formula>
    </cfRule>
  </conditionalFormatting>
  <conditionalFormatting sqref="J4:J35">
    <cfRule type="cellIs" dxfId="2170" priority="1603" operator="lessThan">
      <formula>0</formula>
    </cfRule>
  </conditionalFormatting>
  <conditionalFormatting sqref="J4:J35">
    <cfRule type="cellIs" dxfId="2169" priority="1602" operator="lessThan">
      <formula>0</formula>
    </cfRule>
  </conditionalFormatting>
  <conditionalFormatting sqref="J4:J35">
    <cfRule type="cellIs" dxfId="2168" priority="1601" operator="lessThan">
      <formula>0</formula>
    </cfRule>
  </conditionalFormatting>
  <conditionalFormatting sqref="J4:J35">
    <cfRule type="cellIs" dxfId="2167" priority="1600" operator="lessThan">
      <formula>0</formula>
    </cfRule>
  </conditionalFormatting>
  <conditionalFormatting sqref="J4:J35">
    <cfRule type="cellIs" dxfId="2166" priority="1599" operator="lessThan">
      <formula>0</formula>
    </cfRule>
  </conditionalFormatting>
  <conditionalFormatting sqref="J4:J35">
    <cfRule type="cellIs" dxfId="2165" priority="1598" operator="lessThan">
      <formula>0</formula>
    </cfRule>
  </conditionalFormatting>
  <conditionalFormatting sqref="J4:J35">
    <cfRule type="cellIs" dxfId="2164" priority="1597" operator="lessThan">
      <formula>0</formula>
    </cfRule>
  </conditionalFormatting>
  <conditionalFormatting sqref="J4:J35">
    <cfRule type="cellIs" dxfId="2163" priority="1596" operator="lessThan">
      <formula>0</formula>
    </cfRule>
  </conditionalFormatting>
  <conditionalFormatting sqref="J4:J35">
    <cfRule type="cellIs" dxfId="2162" priority="1595" operator="lessThan">
      <formula>0</formula>
    </cfRule>
  </conditionalFormatting>
  <conditionalFormatting sqref="J4:J35">
    <cfRule type="cellIs" dxfId="2161" priority="1594" operator="lessThan">
      <formula>0</formula>
    </cfRule>
  </conditionalFormatting>
  <conditionalFormatting sqref="J4:J35">
    <cfRule type="cellIs" dxfId="2160" priority="1593" operator="lessThan">
      <formula>0</formula>
    </cfRule>
  </conditionalFormatting>
  <conditionalFormatting sqref="J4:J35">
    <cfRule type="cellIs" dxfId="2159" priority="1592" operator="lessThan">
      <formula>0</formula>
    </cfRule>
  </conditionalFormatting>
  <conditionalFormatting sqref="J4:J35">
    <cfRule type="cellIs" dxfId="2158" priority="1591" operator="lessThan">
      <formula>0</formula>
    </cfRule>
  </conditionalFormatting>
  <conditionalFormatting sqref="J4:J35">
    <cfRule type="cellIs" dxfId="2157" priority="1590" operator="lessThan">
      <formula>0</formula>
    </cfRule>
  </conditionalFormatting>
  <conditionalFormatting sqref="J4:J35">
    <cfRule type="cellIs" dxfId="2156" priority="1589" operator="lessThan">
      <formula>0</formula>
    </cfRule>
  </conditionalFormatting>
  <conditionalFormatting sqref="J4:J35">
    <cfRule type="cellIs" dxfId="2155" priority="1588" operator="lessThan">
      <formula>0</formula>
    </cfRule>
  </conditionalFormatting>
  <conditionalFormatting sqref="J4:J35">
    <cfRule type="cellIs" dxfId="2154" priority="1587" operator="lessThan">
      <formula>0</formula>
    </cfRule>
  </conditionalFormatting>
  <conditionalFormatting sqref="J4:J35">
    <cfRule type="cellIs" dxfId="2153" priority="1586" operator="lessThan">
      <formula>0</formula>
    </cfRule>
  </conditionalFormatting>
  <conditionalFormatting sqref="J4:J35">
    <cfRule type="cellIs" dxfId="2152" priority="1585" operator="lessThan">
      <formula>0</formula>
    </cfRule>
  </conditionalFormatting>
  <conditionalFormatting sqref="J4:J35">
    <cfRule type="cellIs" dxfId="2151" priority="1584" operator="lessThan">
      <formula>0</formula>
    </cfRule>
  </conditionalFormatting>
  <conditionalFormatting sqref="J4:J35">
    <cfRule type="cellIs" dxfId="2150" priority="1583" operator="lessThan">
      <formula>0</formula>
    </cfRule>
  </conditionalFormatting>
  <conditionalFormatting sqref="J4:J35">
    <cfRule type="cellIs" dxfId="2149" priority="1582" operator="lessThan">
      <formula>0</formula>
    </cfRule>
  </conditionalFormatting>
  <conditionalFormatting sqref="J4:J35">
    <cfRule type="cellIs" dxfId="2148" priority="1581" operator="lessThan">
      <formula>0</formula>
    </cfRule>
  </conditionalFormatting>
  <conditionalFormatting sqref="J4:J35">
    <cfRule type="cellIs" dxfId="2147" priority="1580" operator="lessThan">
      <formula>0</formula>
    </cfRule>
  </conditionalFormatting>
  <conditionalFormatting sqref="J4:J35">
    <cfRule type="cellIs" dxfId="2146" priority="1579" operator="lessThan">
      <formula>0</formula>
    </cfRule>
  </conditionalFormatting>
  <conditionalFormatting sqref="J4:J35">
    <cfRule type="cellIs" dxfId="2145" priority="1578" operator="lessThan">
      <formula>0</formula>
    </cfRule>
  </conditionalFormatting>
  <conditionalFormatting sqref="J4:J35">
    <cfRule type="cellIs" dxfId="2144" priority="1577" operator="lessThan">
      <formula>0</formula>
    </cfRule>
  </conditionalFormatting>
  <conditionalFormatting sqref="J4:J35">
    <cfRule type="cellIs" dxfId="2143" priority="1576" operator="lessThan">
      <formula>0</formula>
    </cfRule>
  </conditionalFormatting>
  <conditionalFormatting sqref="J4:J35">
    <cfRule type="cellIs" dxfId="2142" priority="1575" operator="lessThan">
      <formula>0</formula>
    </cfRule>
  </conditionalFormatting>
  <conditionalFormatting sqref="J4:J35">
    <cfRule type="cellIs" dxfId="2141" priority="1574" operator="lessThan">
      <formula>0</formula>
    </cfRule>
  </conditionalFormatting>
  <conditionalFormatting sqref="J4:J35">
    <cfRule type="cellIs" dxfId="2140" priority="1573" operator="lessThan">
      <formula>0</formula>
    </cfRule>
  </conditionalFormatting>
  <conditionalFormatting sqref="J4:J35">
    <cfRule type="cellIs" dxfId="2139" priority="1572" operator="lessThan">
      <formula>0</formula>
    </cfRule>
  </conditionalFormatting>
  <conditionalFormatting sqref="J4:J35">
    <cfRule type="cellIs" dxfId="2138" priority="1571" operator="lessThan">
      <formula>0</formula>
    </cfRule>
  </conditionalFormatting>
  <conditionalFormatting sqref="J4:J35">
    <cfRule type="cellIs" dxfId="2137" priority="1570" operator="lessThan">
      <formula>0</formula>
    </cfRule>
  </conditionalFormatting>
  <conditionalFormatting sqref="J4:J35">
    <cfRule type="cellIs" dxfId="2136" priority="1569" operator="lessThan">
      <formula>0</formula>
    </cfRule>
  </conditionalFormatting>
  <conditionalFormatting sqref="J4:J35">
    <cfRule type="cellIs" dxfId="2135" priority="1568" operator="lessThan">
      <formula>0</formula>
    </cfRule>
  </conditionalFormatting>
  <conditionalFormatting sqref="J4:J35">
    <cfRule type="cellIs" dxfId="2134" priority="1567" operator="lessThan">
      <formula>0</formula>
    </cfRule>
  </conditionalFormatting>
  <conditionalFormatting sqref="J4:J35">
    <cfRule type="cellIs" dxfId="2133" priority="1566" operator="lessThan">
      <formula>0</formula>
    </cfRule>
  </conditionalFormatting>
  <conditionalFormatting sqref="J4:J35">
    <cfRule type="cellIs" dxfId="2132" priority="1565" operator="lessThan">
      <formula>0</formula>
    </cfRule>
  </conditionalFormatting>
  <conditionalFormatting sqref="J4:J35">
    <cfRule type="cellIs" dxfId="2131" priority="1564" operator="lessThan">
      <formula>0</formula>
    </cfRule>
  </conditionalFormatting>
  <conditionalFormatting sqref="J4:J35">
    <cfRule type="cellIs" dxfId="2130" priority="1563" operator="lessThan">
      <formula>0</formula>
    </cfRule>
  </conditionalFormatting>
  <conditionalFormatting sqref="J4:J35">
    <cfRule type="cellIs" dxfId="2129" priority="1562" operator="lessThan">
      <formula>0</formula>
    </cfRule>
  </conditionalFormatting>
  <conditionalFormatting sqref="J4:J35">
    <cfRule type="cellIs" dxfId="2128" priority="1561" operator="lessThan">
      <formula>0</formula>
    </cfRule>
  </conditionalFormatting>
  <conditionalFormatting sqref="J4:J35">
    <cfRule type="cellIs" dxfId="2127" priority="1560" operator="lessThan">
      <formula>0</formula>
    </cfRule>
  </conditionalFormatting>
  <conditionalFormatting sqref="J4:J35">
    <cfRule type="cellIs" dxfId="2126" priority="1559" operator="lessThan">
      <formula>0</formula>
    </cfRule>
  </conditionalFormatting>
  <conditionalFormatting sqref="J4:J35">
    <cfRule type="cellIs" dxfId="2125" priority="1558" operator="lessThan">
      <formula>0</formula>
    </cfRule>
  </conditionalFormatting>
  <conditionalFormatting sqref="J4:J35">
    <cfRule type="cellIs" dxfId="2124" priority="1557" operator="lessThan">
      <formula>0</formula>
    </cfRule>
  </conditionalFormatting>
  <conditionalFormatting sqref="J4:J35">
    <cfRule type="cellIs" dxfId="2123" priority="1556" operator="lessThan">
      <formula>0</formula>
    </cfRule>
  </conditionalFormatting>
  <conditionalFormatting sqref="J4:J35">
    <cfRule type="cellIs" dxfId="2122" priority="1555" operator="lessThan">
      <formula>0</formula>
    </cfRule>
  </conditionalFormatting>
  <conditionalFormatting sqref="J4:J35">
    <cfRule type="cellIs" dxfId="2121" priority="1554" operator="lessThan">
      <formula>0</formula>
    </cfRule>
  </conditionalFormatting>
  <conditionalFormatting sqref="J4:J35">
    <cfRule type="cellIs" dxfId="2120" priority="1553" operator="lessThan">
      <formula>0</formula>
    </cfRule>
  </conditionalFormatting>
  <conditionalFormatting sqref="J4:J35">
    <cfRule type="cellIs" dxfId="2119" priority="1552" operator="lessThan">
      <formula>0</formula>
    </cfRule>
  </conditionalFormatting>
  <conditionalFormatting sqref="J4:J35">
    <cfRule type="cellIs" dxfId="2118" priority="1551" operator="lessThan">
      <formula>0</formula>
    </cfRule>
  </conditionalFormatting>
  <conditionalFormatting sqref="J4:J35">
    <cfRule type="cellIs" dxfId="2117" priority="1550" operator="lessThan">
      <formula>0</formula>
    </cfRule>
  </conditionalFormatting>
  <conditionalFormatting sqref="J4:J35">
    <cfRule type="cellIs" dxfId="2116" priority="1549" operator="lessThan">
      <formula>0</formula>
    </cfRule>
  </conditionalFormatting>
  <conditionalFormatting sqref="J4:J35">
    <cfRule type="cellIs" dxfId="2115" priority="1548" operator="lessThan">
      <formula>0</formula>
    </cfRule>
  </conditionalFormatting>
  <conditionalFormatting sqref="J4:J35">
    <cfRule type="cellIs" dxfId="2114" priority="1547" operator="lessThan">
      <formula>0</formula>
    </cfRule>
  </conditionalFormatting>
  <conditionalFormatting sqref="J4:J35">
    <cfRule type="cellIs" dxfId="2113" priority="1546" operator="lessThan">
      <formula>0</formula>
    </cfRule>
  </conditionalFormatting>
  <conditionalFormatting sqref="J4:J35">
    <cfRule type="cellIs" dxfId="2112" priority="1545" operator="lessThan">
      <formula>0</formula>
    </cfRule>
  </conditionalFormatting>
  <conditionalFormatting sqref="J4:J35">
    <cfRule type="cellIs" dxfId="2111" priority="1544" operator="lessThan">
      <formula>0</formula>
    </cfRule>
  </conditionalFormatting>
  <conditionalFormatting sqref="J4:J35">
    <cfRule type="cellIs" dxfId="2110" priority="1543" operator="lessThan">
      <formula>0</formula>
    </cfRule>
  </conditionalFormatting>
  <conditionalFormatting sqref="H4:H36">
    <cfRule type="cellIs" dxfId="2109" priority="1542" operator="lessThan">
      <formula>0</formula>
    </cfRule>
  </conditionalFormatting>
  <conditionalFormatting sqref="H4:H36">
    <cfRule type="cellIs" dxfId="2108" priority="1541" operator="lessThan">
      <formula>0</formula>
    </cfRule>
  </conditionalFormatting>
  <conditionalFormatting sqref="H4:H36">
    <cfRule type="cellIs" dxfId="2107" priority="1540" operator="lessThan">
      <formula>0</formula>
    </cfRule>
  </conditionalFormatting>
  <conditionalFormatting sqref="H4:H36">
    <cfRule type="cellIs" dxfId="2106" priority="1539" operator="lessThan">
      <formula>0</formula>
    </cfRule>
  </conditionalFormatting>
  <conditionalFormatting sqref="H4:H36">
    <cfRule type="cellIs" dxfId="2105" priority="1538" operator="lessThan">
      <formula>0</formula>
    </cfRule>
  </conditionalFormatting>
  <conditionalFormatting sqref="H4:H36">
    <cfRule type="cellIs" dxfId="2104" priority="1537" operator="lessThan">
      <formula>0</formula>
    </cfRule>
  </conditionalFormatting>
  <conditionalFormatting sqref="H4:H36">
    <cfRule type="cellIs" dxfId="2103" priority="1536" operator="lessThan">
      <formula>0</formula>
    </cfRule>
  </conditionalFormatting>
  <conditionalFormatting sqref="H4:H36">
    <cfRule type="cellIs" dxfId="2102" priority="1535" operator="lessThan">
      <formula>0</formula>
    </cfRule>
  </conditionalFormatting>
  <conditionalFormatting sqref="H4:H36">
    <cfRule type="cellIs" dxfId="2101" priority="1534" operator="lessThan">
      <formula>0</formula>
    </cfRule>
  </conditionalFormatting>
  <conditionalFormatting sqref="H4:H36">
    <cfRule type="cellIs" dxfId="2100" priority="1533" operator="lessThan">
      <formula>0</formula>
    </cfRule>
  </conditionalFormatting>
  <conditionalFormatting sqref="L4:L35">
    <cfRule type="cellIs" dxfId="2099" priority="1532" operator="lessThan">
      <formula>0</formula>
    </cfRule>
  </conditionalFormatting>
  <conditionalFormatting sqref="E4:E35">
    <cfRule type="cellIs" dxfId="2098" priority="1531" operator="lessThan">
      <formula>0</formula>
    </cfRule>
  </conditionalFormatting>
  <conditionalFormatting sqref="E4:E35">
    <cfRule type="cellIs" dxfId="2097" priority="1530" operator="lessThan">
      <formula>0</formula>
    </cfRule>
  </conditionalFormatting>
  <conditionalFormatting sqref="E4:E35">
    <cfRule type="cellIs" dxfId="2096" priority="1529" operator="lessThan">
      <formula>0</formula>
    </cfRule>
  </conditionalFormatting>
  <conditionalFormatting sqref="E4:E35">
    <cfRule type="cellIs" dxfId="2095" priority="1528" operator="lessThan">
      <formula>0</formula>
    </cfRule>
  </conditionalFormatting>
  <conditionalFormatting sqref="E4:E35">
    <cfRule type="cellIs" dxfId="2094" priority="1527" operator="lessThan">
      <formula>0</formula>
    </cfRule>
  </conditionalFormatting>
  <conditionalFormatting sqref="E4:E35">
    <cfRule type="cellIs" dxfId="2093" priority="1526" operator="lessThan">
      <formula>0</formula>
    </cfRule>
  </conditionalFormatting>
  <conditionalFormatting sqref="E4:E35">
    <cfRule type="cellIs" dxfId="2092" priority="1525" operator="lessThan">
      <formula>0</formula>
    </cfRule>
  </conditionalFormatting>
  <conditionalFormatting sqref="E4:E35">
    <cfRule type="cellIs" dxfId="2091" priority="1524" operator="lessThan">
      <formula>0</formula>
    </cfRule>
  </conditionalFormatting>
  <conditionalFormatting sqref="E4:E35">
    <cfRule type="cellIs" dxfId="2090" priority="1523" operator="lessThan">
      <formula>0</formula>
    </cfRule>
  </conditionalFormatting>
  <conditionalFormatting sqref="E4:E35">
    <cfRule type="cellIs" dxfId="2089" priority="1522" operator="lessThan">
      <formula>0</formula>
    </cfRule>
  </conditionalFormatting>
  <conditionalFormatting sqref="E4:E35">
    <cfRule type="cellIs" dxfId="2088" priority="1521" operator="lessThan">
      <formula>0</formula>
    </cfRule>
  </conditionalFormatting>
  <conditionalFormatting sqref="E4:E35">
    <cfRule type="cellIs" dxfId="2087" priority="1520" operator="lessThan">
      <formula>0</formula>
    </cfRule>
  </conditionalFormatting>
  <conditionalFormatting sqref="E4:E35">
    <cfRule type="cellIs" dxfId="2086" priority="1519" operator="lessThan">
      <formula>0</formula>
    </cfRule>
  </conditionalFormatting>
  <conditionalFormatting sqref="E4:E35">
    <cfRule type="cellIs" dxfId="2085" priority="1518" operator="lessThan">
      <formula>0</formula>
    </cfRule>
  </conditionalFormatting>
  <conditionalFormatting sqref="E4:E35">
    <cfRule type="cellIs" dxfId="2084" priority="1517" operator="lessThan">
      <formula>0</formula>
    </cfRule>
  </conditionalFormatting>
  <conditionalFormatting sqref="E4:E35">
    <cfRule type="cellIs" dxfId="2083" priority="1516" operator="lessThan">
      <formula>0</formula>
    </cfRule>
  </conditionalFormatting>
  <conditionalFormatting sqref="E4:E35">
    <cfRule type="cellIs" dxfId="2082" priority="1515" operator="lessThan">
      <formula>0</formula>
    </cfRule>
  </conditionalFormatting>
  <conditionalFormatting sqref="E4:E35">
    <cfRule type="cellIs" dxfId="2081" priority="1514" operator="lessThan">
      <formula>0</formula>
    </cfRule>
  </conditionalFormatting>
  <conditionalFormatting sqref="E4:E35">
    <cfRule type="cellIs" dxfId="2080" priority="1513" operator="lessThan">
      <formula>0</formula>
    </cfRule>
  </conditionalFormatting>
  <conditionalFormatting sqref="E4:E35">
    <cfRule type="cellIs" dxfId="2079" priority="1512" operator="lessThan">
      <formula>0</formula>
    </cfRule>
  </conditionalFormatting>
  <conditionalFormatting sqref="E4:E35">
    <cfRule type="cellIs" dxfId="2078" priority="1511" operator="lessThan">
      <formula>0</formula>
    </cfRule>
  </conditionalFormatting>
  <conditionalFormatting sqref="E4:E35">
    <cfRule type="cellIs" dxfId="2077" priority="1510" operator="lessThan">
      <formula>0</formula>
    </cfRule>
  </conditionalFormatting>
  <conditionalFormatting sqref="E4:E35">
    <cfRule type="cellIs" dxfId="2076" priority="1509" operator="lessThan">
      <formula>0</formula>
    </cfRule>
  </conditionalFormatting>
  <conditionalFormatting sqref="E4:E35">
    <cfRule type="cellIs" dxfId="2075" priority="1508" operator="lessThan">
      <formula>0</formula>
    </cfRule>
  </conditionalFormatting>
  <conditionalFormatting sqref="E4:E35">
    <cfRule type="cellIs" dxfId="2074" priority="1507" operator="lessThan">
      <formula>0</formula>
    </cfRule>
  </conditionalFormatting>
  <conditionalFormatting sqref="E4:E35">
    <cfRule type="cellIs" dxfId="2073" priority="1506" operator="lessThan">
      <formula>0</formula>
    </cfRule>
  </conditionalFormatting>
  <conditionalFormatting sqref="E4:E35">
    <cfRule type="cellIs" dxfId="2072" priority="1505" operator="lessThan">
      <formula>0</formula>
    </cfRule>
  </conditionalFormatting>
  <conditionalFormatting sqref="E4:E35">
    <cfRule type="cellIs" dxfId="2071" priority="1504" operator="lessThan">
      <formula>0</formula>
    </cfRule>
  </conditionalFormatting>
  <conditionalFormatting sqref="E4:E35">
    <cfRule type="cellIs" dxfId="2070" priority="1503" operator="lessThan">
      <formula>0</formula>
    </cfRule>
  </conditionalFormatting>
  <conditionalFormatting sqref="E4:E35">
    <cfRule type="cellIs" dxfId="2069" priority="1502" operator="lessThan">
      <formula>0</formula>
    </cfRule>
  </conditionalFormatting>
  <conditionalFormatting sqref="E4:E35">
    <cfRule type="cellIs" dxfId="2068" priority="1501" operator="lessThan">
      <formula>0</formula>
    </cfRule>
  </conditionalFormatting>
  <conditionalFormatting sqref="E4:E35">
    <cfRule type="cellIs" dxfId="2067" priority="1500" operator="lessThan">
      <formula>0</formula>
    </cfRule>
  </conditionalFormatting>
  <conditionalFormatting sqref="E4:E35">
    <cfRule type="cellIs" dxfId="2066" priority="1499" operator="lessThan">
      <formula>0</formula>
    </cfRule>
  </conditionalFormatting>
  <conditionalFormatting sqref="E4:E35">
    <cfRule type="cellIs" dxfId="2065" priority="1498" operator="lessThan">
      <formula>0</formula>
    </cfRule>
  </conditionalFormatting>
  <conditionalFormatting sqref="E4:E35">
    <cfRule type="cellIs" dxfId="2064" priority="1497" operator="lessThan">
      <formula>0</formula>
    </cfRule>
  </conditionalFormatting>
  <conditionalFormatting sqref="E4:E35">
    <cfRule type="cellIs" dxfId="2063" priority="1496" operator="lessThan">
      <formula>0</formula>
    </cfRule>
  </conditionalFormatting>
  <conditionalFormatting sqref="E4:E35">
    <cfRule type="cellIs" dxfId="2062" priority="1495" operator="lessThan">
      <formula>0</formula>
    </cfRule>
  </conditionalFormatting>
  <conditionalFormatting sqref="E4:E35">
    <cfRule type="cellIs" dxfId="2061" priority="1494" operator="lessThan">
      <formula>0</formula>
    </cfRule>
  </conditionalFormatting>
  <conditionalFormatting sqref="E4:E35">
    <cfRule type="cellIs" dxfId="2060" priority="1493" operator="lessThan">
      <formula>0</formula>
    </cfRule>
  </conditionalFormatting>
  <conditionalFormatting sqref="E4:E35">
    <cfRule type="cellIs" dxfId="2059" priority="1492" operator="lessThan">
      <formula>0</formula>
    </cfRule>
  </conditionalFormatting>
  <conditionalFormatting sqref="E4:E35">
    <cfRule type="cellIs" dxfId="2058" priority="1491" operator="lessThan">
      <formula>0</formula>
    </cfRule>
  </conditionalFormatting>
  <conditionalFormatting sqref="E4:E35">
    <cfRule type="cellIs" dxfId="2057" priority="1490" operator="lessThan">
      <formula>0</formula>
    </cfRule>
  </conditionalFormatting>
  <conditionalFormatting sqref="E4:E35">
    <cfRule type="cellIs" dxfId="2056" priority="1489" operator="lessThan">
      <formula>0</formula>
    </cfRule>
  </conditionalFormatting>
  <conditionalFormatting sqref="E4:E35">
    <cfRule type="cellIs" dxfId="2055" priority="1488" operator="lessThan">
      <formula>0</formula>
    </cfRule>
  </conditionalFormatting>
  <conditionalFormatting sqref="J4:J35">
    <cfRule type="cellIs" dxfId="2054" priority="1487" operator="lessThan">
      <formula>0</formula>
    </cfRule>
  </conditionalFormatting>
  <conditionalFormatting sqref="J4:J35">
    <cfRule type="cellIs" dxfId="2053" priority="1486" operator="lessThan">
      <formula>0</formula>
    </cfRule>
  </conditionalFormatting>
  <conditionalFormatting sqref="J4:J35">
    <cfRule type="cellIs" dxfId="2052" priority="1485" operator="lessThan">
      <formula>0</formula>
    </cfRule>
  </conditionalFormatting>
  <conditionalFormatting sqref="J4:J35">
    <cfRule type="cellIs" dxfId="2051" priority="1484" operator="lessThan">
      <formula>0</formula>
    </cfRule>
  </conditionalFormatting>
  <conditionalFormatting sqref="J4:J35">
    <cfRule type="cellIs" dxfId="2050" priority="1483" operator="lessThan">
      <formula>0</formula>
    </cfRule>
  </conditionalFormatting>
  <conditionalFormatting sqref="J4:J35">
    <cfRule type="cellIs" dxfId="2049" priority="1482" operator="lessThan">
      <formula>0</formula>
    </cfRule>
  </conditionalFormatting>
  <conditionalFormatting sqref="J4:J35">
    <cfRule type="cellIs" dxfId="2048" priority="1481" operator="lessThan">
      <formula>0</formula>
    </cfRule>
  </conditionalFormatting>
  <conditionalFormatting sqref="J4:J35">
    <cfRule type="cellIs" dxfId="2047" priority="1480" operator="lessThan">
      <formula>0</formula>
    </cfRule>
  </conditionalFormatting>
  <conditionalFormatting sqref="J4:J35">
    <cfRule type="cellIs" dxfId="2046" priority="1479" operator="lessThan">
      <formula>0</formula>
    </cfRule>
  </conditionalFormatting>
  <conditionalFormatting sqref="J4:J35">
    <cfRule type="cellIs" dxfId="2045" priority="1478" operator="lessThan">
      <formula>0</formula>
    </cfRule>
  </conditionalFormatting>
  <conditionalFormatting sqref="J4:J35">
    <cfRule type="cellIs" dxfId="2044" priority="1477" operator="lessThan">
      <formula>0</formula>
    </cfRule>
  </conditionalFormatting>
  <conditionalFormatting sqref="J4:J35">
    <cfRule type="cellIs" dxfId="2043" priority="1476" operator="lessThan">
      <formula>0</formula>
    </cfRule>
  </conditionalFormatting>
  <conditionalFormatting sqref="J4:J35">
    <cfRule type="cellIs" dxfId="2042" priority="1475" operator="lessThan">
      <formula>0</formula>
    </cfRule>
  </conditionalFormatting>
  <conditionalFormatting sqref="J4:J35">
    <cfRule type="cellIs" dxfId="2041" priority="1474" operator="lessThan">
      <formula>0</formula>
    </cfRule>
  </conditionalFormatting>
  <conditionalFormatting sqref="J4:J35">
    <cfRule type="cellIs" dxfId="2040" priority="1473" operator="lessThan">
      <formula>0</formula>
    </cfRule>
  </conditionalFormatting>
  <conditionalFormatting sqref="J4:J35">
    <cfRule type="cellIs" dxfId="2039" priority="1472" operator="lessThan">
      <formula>0</formula>
    </cfRule>
  </conditionalFormatting>
  <conditionalFormatting sqref="J4:J35">
    <cfRule type="cellIs" dxfId="2038" priority="1471" operator="lessThan">
      <formula>0</formula>
    </cfRule>
  </conditionalFormatting>
  <conditionalFormatting sqref="J4:J35">
    <cfRule type="cellIs" dxfId="2037" priority="1470" operator="lessThan">
      <formula>0</formula>
    </cfRule>
  </conditionalFormatting>
  <conditionalFormatting sqref="J4:J35">
    <cfRule type="cellIs" dxfId="2036" priority="1469" operator="lessThan">
      <formula>0</formula>
    </cfRule>
  </conditionalFormatting>
  <conditionalFormatting sqref="J4:J35">
    <cfRule type="cellIs" dxfId="2035" priority="1468" operator="lessThan">
      <formula>0</formula>
    </cfRule>
  </conditionalFormatting>
  <conditionalFormatting sqref="J4:J35">
    <cfRule type="cellIs" dxfId="2034" priority="1467" operator="lessThan">
      <formula>0</formula>
    </cfRule>
  </conditionalFormatting>
  <conditionalFormatting sqref="J4:J35">
    <cfRule type="cellIs" dxfId="2033" priority="1466" operator="lessThan">
      <formula>0</formula>
    </cfRule>
  </conditionalFormatting>
  <conditionalFormatting sqref="J4:J35">
    <cfRule type="cellIs" dxfId="2032" priority="1465" operator="lessThan">
      <formula>0</formula>
    </cfRule>
  </conditionalFormatting>
  <conditionalFormatting sqref="J4:J35">
    <cfRule type="cellIs" dxfId="2031" priority="1464" operator="lessThan">
      <formula>0</formula>
    </cfRule>
  </conditionalFormatting>
  <conditionalFormatting sqref="J4:J35">
    <cfRule type="cellIs" dxfId="2030" priority="1463" operator="lessThan">
      <formula>0</formula>
    </cfRule>
  </conditionalFormatting>
  <conditionalFormatting sqref="J4:J35">
    <cfRule type="cellIs" dxfId="2029" priority="1462" operator="lessThan">
      <formula>0</formula>
    </cfRule>
  </conditionalFormatting>
  <conditionalFormatting sqref="J4:J35">
    <cfRule type="cellIs" dxfId="2028" priority="1461" operator="lessThan">
      <formula>0</formula>
    </cfRule>
  </conditionalFormatting>
  <conditionalFormatting sqref="J4:J35">
    <cfRule type="cellIs" dxfId="2027" priority="1460" operator="lessThan">
      <formula>0</formula>
    </cfRule>
  </conditionalFormatting>
  <conditionalFormatting sqref="J4:J35">
    <cfRule type="cellIs" dxfId="2026" priority="1459" operator="lessThan">
      <formula>0</formula>
    </cfRule>
  </conditionalFormatting>
  <conditionalFormatting sqref="J4:J35">
    <cfRule type="cellIs" dxfId="2025" priority="1458" operator="lessThan">
      <formula>0</formula>
    </cfRule>
  </conditionalFormatting>
  <conditionalFormatting sqref="J4:J35">
    <cfRule type="cellIs" dxfId="2024" priority="1457" operator="lessThan">
      <formula>0</formula>
    </cfRule>
  </conditionalFormatting>
  <conditionalFormatting sqref="J4:J35">
    <cfRule type="cellIs" dxfId="2023" priority="1456" operator="lessThan">
      <formula>0</formula>
    </cfRule>
  </conditionalFormatting>
  <conditionalFormatting sqref="J4:J35">
    <cfRule type="cellIs" dxfId="2022" priority="1455" operator="lessThan">
      <formula>0</formula>
    </cfRule>
  </conditionalFormatting>
  <conditionalFormatting sqref="J4:J35">
    <cfRule type="cellIs" dxfId="2021" priority="1454" operator="lessThan">
      <formula>0</formula>
    </cfRule>
  </conditionalFormatting>
  <conditionalFormatting sqref="J4:J35">
    <cfRule type="cellIs" dxfId="2020" priority="1453" operator="lessThan">
      <formula>0</formula>
    </cfRule>
  </conditionalFormatting>
  <conditionalFormatting sqref="J4:J35">
    <cfRule type="cellIs" dxfId="2019" priority="1452" operator="lessThan">
      <formula>0</formula>
    </cfRule>
  </conditionalFormatting>
  <conditionalFormatting sqref="J4:J35">
    <cfRule type="cellIs" dxfId="2018" priority="1451" operator="lessThan">
      <formula>0</formula>
    </cfRule>
  </conditionalFormatting>
  <conditionalFormatting sqref="J4:J35">
    <cfRule type="cellIs" dxfId="2017" priority="1450" operator="lessThan">
      <formula>0</formula>
    </cfRule>
  </conditionalFormatting>
  <conditionalFormatting sqref="J4:J35">
    <cfRule type="cellIs" dxfId="2016" priority="1449" operator="lessThan">
      <formula>0</formula>
    </cfRule>
  </conditionalFormatting>
  <conditionalFormatting sqref="J4:J35">
    <cfRule type="cellIs" dxfId="2015" priority="1448" operator="lessThan">
      <formula>0</formula>
    </cfRule>
  </conditionalFormatting>
  <conditionalFormatting sqref="J4:J35">
    <cfRule type="cellIs" dxfId="2014" priority="1447" operator="lessThan">
      <formula>0</formula>
    </cfRule>
  </conditionalFormatting>
  <conditionalFormatting sqref="J4:J35">
    <cfRule type="cellIs" dxfId="2013" priority="1446" operator="lessThan">
      <formula>0</formula>
    </cfRule>
  </conditionalFormatting>
  <conditionalFormatting sqref="J4:J35">
    <cfRule type="cellIs" dxfId="2012" priority="1445" operator="lessThan">
      <formula>0</formula>
    </cfRule>
  </conditionalFormatting>
  <conditionalFormatting sqref="J4:J35">
    <cfRule type="cellIs" dxfId="2011" priority="1444" operator="lessThan">
      <formula>0</formula>
    </cfRule>
  </conditionalFormatting>
  <conditionalFormatting sqref="J4:J35">
    <cfRule type="cellIs" dxfId="2010" priority="1443" operator="lessThan">
      <formula>0</formula>
    </cfRule>
  </conditionalFormatting>
  <conditionalFormatting sqref="J4:J35">
    <cfRule type="cellIs" dxfId="2009" priority="1442" operator="lessThan">
      <formula>0</formula>
    </cfRule>
  </conditionalFormatting>
  <conditionalFormatting sqref="J4:J35">
    <cfRule type="cellIs" dxfId="2008" priority="1441" operator="lessThan">
      <formula>0</formula>
    </cfRule>
  </conditionalFormatting>
  <conditionalFormatting sqref="J4:J35">
    <cfRule type="cellIs" dxfId="2007" priority="1440" operator="lessThan">
      <formula>0</formula>
    </cfRule>
  </conditionalFormatting>
  <conditionalFormatting sqref="J4:J35">
    <cfRule type="cellIs" dxfId="2006" priority="1439" operator="lessThan">
      <formula>0</formula>
    </cfRule>
  </conditionalFormatting>
  <conditionalFormatting sqref="J4:J35">
    <cfRule type="cellIs" dxfId="2005" priority="1438" operator="lessThan">
      <formula>0</formula>
    </cfRule>
  </conditionalFormatting>
  <conditionalFormatting sqref="J4:J35">
    <cfRule type="cellIs" dxfId="2004" priority="1437" operator="lessThan">
      <formula>0</formula>
    </cfRule>
  </conditionalFormatting>
  <conditionalFormatting sqref="J4:J35">
    <cfRule type="cellIs" dxfId="2003" priority="1436" operator="lessThan">
      <formula>0</formula>
    </cfRule>
  </conditionalFormatting>
  <conditionalFormatting sqref="J4:J35">
    <cfRule type="cellIs" dxfId="2002" priority="1435" operator="lessThan">
      <formula>0</formula>
    </cfRule>
  </conditionalFormatting>
  <conditionalFormatting sqref="J4:J35">
    <cfRule type="cellIs" dxfId="2001" priority="1434" operator="lessThan">
      <formula>0</formula>
    </cfRule>
  </conditionalFormatting>
  <conditionalFormatting sqref="J4:J35">
    <cfRule type="cellIs" dxfId="2000" priority="1433" operator="lessThan">
      <formula>0</formula>
    </cfRule>
  </conditionalFormatting>
  <conditionalFormatting sqref="J4:J35">
    <cfRule type="cellIs" dxfId="1999" priority="1432" operator="lessThan">
      <formula>0</formula>
    </cfRule>
  </conditionalFormatting>
  <conditionalFormatting sqref="J4:J35">
    <cfRule type="cellIs" dxfId="1998" priority="1431" operator="lessThan">
      <formula>0</formula>
    </cfRule>
  </conditionalFormatting>
  <conditionalFormatting sqref="J4:J35">
    <cfRule type="cellIs" dxfId="1997" priority="1430" operator="lessThan">
      <formula>0</formula>
    </cfRule>
  </conditionalFormatting>
  <conditionalFormatting sqref="J4:J35">
    <cfRule type="cellIs" dxfId="1996" priority="1429" operator="lessThan">
      <formula>0</formula>
    </cfRule>
  </conditionalFormatting>
  <conditionalFormatting sqref="J4:J35">
    <cfRule type="cellIs" dxfId="1995" priority="1428" operator="lessThan">
      <formula>0</formula>
    </cfRule>
  </conditionalFormatting>
  <conditionalFormatting sqref="J4:J35">
    <cfRule type="cellIs" dxfId="1994" priority="1427" operator="lessThan">
      <formula>0</formula>
    </cfRule>
  </conditionalFormatting>
  <conditionalFormatting sqref="J4:J35">
    <cfRule type="cellIs" dxfId="1993" priority="1426" operator="lessThan">
      <formula>0</formula>
    </cfRule>
  </conditionalFormatting>
  <conditionalFormatting sqref="J4:J35">
    <cfRule type="cellIs" dxfId="1992" priority="1425" operator="lessThan">
      <formula>0</formula>
    </cfRule>
  </conditionalFormatting>
  <conditionalFormatting sqref="J4:J35">
    <cfRule type="cellIs" dxfId="1991" priority="1424" operator="lessThan">
      <formula>0</formula>
    </cfRule>
  </conditionalFormatting>
  <conditionalFormatting sqref="J4:J35">
    <cfRule type="cellIs" dxfId="1990" priority="1423" operator="lessThan">
      <formula>0</formula>
    </cfRule>
  </conditionalFormatting>
  <conditionalFormatting sqref="J4:J35">
    <cfRule type="cellIs" dxfId="1989" priority="1422" operator="lessThan">
      <formula>0</formula>
    </cfRule>
  </conditionalFormatting>
  <conditionalFormatting sqref="J4:J35">
    <cfRule type="cellIs" dxfId="1988" priority="1421" operator="lessThan">
      <formula>0</formula>
    </cfRule>
  </conditionalFormatting>
  <conditionalFormatting sqref="J4:J35">
    <cfRule type="cellIs" dxfId="1987" priority="1420" operator="lessThan">
      <formula>0</formula>
    </cfRule>
  </conditionalFormatting>
  <conditionalFormatting sqref="J4:J35">
    <cfRule type="cellIs" dxfId="1986" priority="1419" operator="lessThan">
      <formula>0</formula>
    </cfRule>
  </conditionalFormatting>
  <conditionalFormatting sqref="J4:J35">
    <cfRule type="cellIs" dxfId="1985" priority="1418" operator="lessThan">
      <formula>0</formula>
    </cfRule>
  </conditionalFormatting>
  <conditionalFormatting sqref="J4:J35">
    <cfRule type="cellIs" dxfId="1984" priority="1417" operator="lessThan">
      <formula>0</formula>
    </cfRule>
  </conditionalFormatting>
  <conditionalFormatting sqref="J4:J35">
    <cfRule type="cellIs" dxfId="1983" priority="1416" operator="lessThan">
      <formula>0</formula>
    </cfRule>
  </conditionalFormatting>
  <conditionalFormatting sqref="J4:J35">
    <cfRule type="cellIs" dxfId="1982" priority="1415" operator="lessThan">
      <formula>0</formula>
    </cfRule>
  </conditionalFormatting>
  <conditionalFormatting sqref="J4:J35">
    <cfRule type="cellIs" dxfId="1981" priority="1414" operator="lessThan">
      <formula>0</formula>
    </cfRule>
  </conditionalFormatting>
  <conditionalFormatting sqref="J4:J35">
    <cfRule type="cellIs" dxfId="1980" priority="1413" operator="lessThan">
      <formula>0</formula>
    </cfRule>
  </conditionalFormatting>
  <conditionalFormatting sqref="J4:J35">
    <cfRule type="cellIs" dxfId="1979" priority="1412" operator="lessThan">
      <formula>0</formula>
    </cfRule>
  </conditionalFormatting>
  <conditionalFormatting sqref="J4:J35">
    <cfRule type="cellIs" dxfId="1978" priority="1411" operator="lessThan">
      <formula>0</formula>
    </cfRule>
  </conditionalFormatting>
  <conditionalFormatting sqref="J4:J35">
    <cfRule type="cellIs" dxfId="1977" priority="1410" operator="lessThan">
      <formula>0</formula>
    </cfRule>
  </conditionalFormatting>
  <conditionalFormatting sqref="J4:J35">
    <cfRule type="cellIs" dxfId="1976" priority="1409" operator="lessThan">
      <formula>0</formula>
    </cfRule>
  </conditionalFormatting>
  <conditionalFormatting sqref="J4:J35">
    <cfRule type="cellIs" dxfId="1975" priority="1408" operator="lessThan">
      <formula>0</formula>
    </cfRule>
  </conditionalFormatting>
  <conditionalFormatting sqref="J4:J35">
    <cfRule type="cellIs" dxfId="1974" priority="1407" operator="lessThan">
      <formula>0</formula>
    </cfRule>
  </conditionalFormatting>
  <conditionalFormatting sqref="J4:J35">
    <cfRule type="cellIs" dxfId="1973" priority="1406" operator="lessThan">
      <formula>0</formula>
    </cfRule>
  </conditionalFormatting>
  <conditionalFormatting sqref="J4:J35">
    <cfRule type="cellIs" dxfId="1972" priority="1405" operator="lessThan">
      <formula>0</formula>
    </cfRule>
  </conditionalFormatting>
  <conditionalFormatting sqref="J4:J35">
    <cfRule type="cellIs" dxfId="1971" priority="1404" operator="lessThan">
      <formula>0</formula>
    </cfRule>
  </conditionalFormatting>
  <conditionalFormatting sqref="J4:J35">
    <cfRule type="cellIs" dxfId="1970" priority="1403" operator="lessThan">
      <formula>0</formula>
    </cfRule>
  </conditionalFormatting>
  <conditionalFormatting sqref="J4:J35">
    <cfRule type="cellIs" dxfId="1969" priority="1402" operator="lessThan">
      <formula>0</formula>
    </cfRule>
  </conditionalFormatting>
  <conditionalFormatting sqref="J4:J35">
    <cfRule type="cellIs" dxfId="1968" priority="1401" operator="lessThan">
      <formula>0</formula>
    </cfRule>
  </conditionalFormatting>
  <conditionalFormatting sqref="J4:J35">
    <cfRule type="cellIs" dxfId="1967" priority="1400" operator="lessThan">
      <formula>0</formula>
    </cfRule>
  </conditionalFormatting>
  <conditionalFormatting sqref="J4:J35">
    <cfRule type="cellIs" dxfId="1966" priority="1399" operator="lessThan">
      <formula>0</formula>
    </cfRule>
  </conditionalFormatting>
  <conditionalFormatting sqref="L4:L35">
    <cfRule type="cellIs" dxfId="1965" priority="1398" operator="lessThan">
      <formula>0</formula>
    </cfRule>
  </conditionalFormatting>
  <conditionalFormatting sqref="L4:L35">
    <cfRule type="cellIs" dxfId="1964" priority="1397" operator="lessThan">
      <formula>0</formula>
    </cfRule>
  </conditionalFormatting>
  <conditionalFormatting sqref="E4:E35">
    <cfRule type="cellIs" dxfId="1963" priority="1396" operator="lessThan">
      <formula>0</formula>
    </cfRule>
  </conditionalFormatting>
  <conditionalFormatting sqref="E4:E35">
    <cfRule type="cellIs" dxfId="1962" priority="1395" operator="lessThan">
      <formula>0</formula>
    </cfRule>
  </conditionalFormatting>
  <conditionalFormatting sqref="E4:E35">
    <cfRule type="cellIs" dxfId="1961" priority="1394" operator="lessThan">
      <formula>0</formula>
    </cfRule>
  </conditionalFormatting>
  <conditionalFormatting sqref="E4:E35">
    <cfRule type="cellIs" dxfId="1960" priority="1393" operator="lessThan">
      <formula>0</formula>
    </cfRule>
  </conditionalFormatting>
  <conditionalFormatting sqref="E4:E35">
    <cfRule type="cellIs" dxfId="1959" priority="1392" operator="lessThan">
      <formula>0</formula>
    </cfRule>
  </conditionalFormatting>
  <conditionalFormatting sqref="E4:E35">
    <cfRule type="cellIs" dxfId="1958" priority="1391" operator="lessThan">
      <formula>0</formula>
    </cfRule>
  </conditionalFormatting>
  <conditionalFormatting sqref="E4:E35">
    <cfRule type="cellIs" dxfId="1957" priority="1390" operator="lessThan">
      <formula>0</formula>
    </cfRule>
  </conditionalFormatting>
  <conditionalFormatting sqref="E4:E35">
    <cfRule type="cellIs" dxfId="1956" priority="1389" operator="lessThan">
      <formula>0</formula>
    </cfRule>
  </conditionalFormatting>
  <conditionalFormatting sqref="E4:E35">
    <cfRule type="cellIs" dxfId="1955" priority="1388" operator="lessThan">
      <formula>0</formula>
    </cfRule>
  </conditionalFormatting>
  <conditionalFormatting sqref="E4:E35">
    <cfRule type="cellIs" dxfId="1954" priority="1387" operator="lessThan">
      <formula>0</formula>
    </cfRule>
  </conditionalFormatting>
  <conditionalFormatting sqref="E4:E35">
    <cfRule type="cellIs" dxfId="1953" priority="1386" operator="lessThan">
      <formula>0</formula>
    </cfRule>
  </conditionalFormatting>
  <conditionalFormatting sqref="E4:E35">
    <cfRule type="cellIs" dxfId="1952" priority="1385" operator="lessThan">
      <formula>0</formula>
    </cfRule>
  </conditionalFormatting>
  <conditionalFormatting sqref="E4:E35">
    <cfRule type="cellIs" dxfId="1951" priority="1384" operator="lessThan">
      <formula>0</formula>
    </cfRule>
  </conditionalFormatting>
  <conditionalFormatting sqref="E4:E35">
    <cfRule type="cellIs" dxfId="1950" priority="1383" operator="lessThan">
      <formula>0</formula>
    </cfRule>
  </conditionalFormatting>
  <conditionalFormatting sqref="E4:E35">
    <cfRule type="cellIs" dxfId="1949" priority="1382" operator="lessThan">
      <formula>0</formula>
    </cfRule>
  </conditionalFormatting>
  <conditionalFormatting sqref="E4:E35">
    <cfRule type="cellIs" dxfId="1948" priority="1381" operator="lessThan">
      <formula>0</formula>
    </cfRule>
  </conditionalFormatting>
  <conditionalFormatting sqref="E4:E35">
    <cfRule type="cellIs" dxfId="1947" priority="1380" operator="lessThan">
      <formula>0</formula>
    </cfRule>
  </conditionalFormatting>
  <conditionalFormatting sqref="E4:E35">
    <cfRule type="cellIs" dxfId="1946" priority="1379" operator="lessThan">
      <formula>0</formula>
    </cfRule>
  </conditionalFormatting>
  <conditionalFormatting sqref="E4:E35">
    <cfRule type="cellIs" dxfId="1945" priority="1378" operator="lessThan">
      <formula>0</formula>
    </cfRule>
  </conditionalFormatting>
  <conditionalFormatting sqref="E4:E35">
    <cfRule type="cellIs" dxfId="1944" priority="1377" operator="lessThan">
      <formula>0</formula>
    </cfRule>
  </conditionalFormatting>
  <conditionalFormatting sqref="E4:E35">
    <cfRule type="cellIs" dxfId="1943" priority="1376" operator="lessThan">
      <formula>0</formula>
    </cfRule>
  </conditionalFormatting>
  <conditionalFormatting sqref="E4:E35">
    <cfRule type="cellIs" dxfId="1942" priority="1375" operator="lessThan">
      <formula>0</formula>
    </cfRule>
  </conditionalFormatting>
  <conditionalFormatting sqref="E4:E35">
    <cfRule type="cellIs" dxfId="1941" priority="1374" operator="lessThan">
      <formula>0</formula>
    </cfRule>
  </conditionalFormatting>
  <conditionalFormatting sqref="E4:E35">
    <cfRule type="cellIs" dxfId="1940" priority="1373" operator="lessThan">
      <formula>0</formula>
    </cfRule>
  </conditionalFormatting>
  <conditionalFormatting sqref="E4:E35">
    <cfRule type="cellIs" dxfId="1939" priority="1372" operator="lessThan">
      <formula>0</formula>
    </cfRule>
  </conditionalFormatting>
  <conditionalFormatting sqref="E4:E35">
    <cfRule type="cellIs" dxfId="1938" priority="1371" operator="lessThan">
      <formula>0</formula>
    </cfRule>
  </conditionalFormatting>
  <conditionalFormatting sqref="E4:E35">
    <cfRule type="cellIs" dxfId="1937" priority="1370" operator="lessThan">
      <formula>0</formula>
    </cfRule>
  </conditionalFormatting>
  <conditionalFormatting sqref="E4:E35">
    <cfRule type="cellIs" dxfId="1936" priority="1369" operator="lessThan">
      <formula>0</formula>
    </cfRule>
  </conditionalFormatting>
  <conditionalFormatting sqref="E4:E35">
    <cfRule type="cellIs" dxfId="1935" priority="1368" operator="lessThan">
      <formula>0</formula>
    </cfRule>
  </conditionalFormatting>
  <conditionalFormatting sqref="E4:E35">
    <cfRule type="cellIs" dxfId="1934" priority="1367" operator="lessThan">
      <formula>0</formula>
    </cfRule>
  </conditionalFormatting>
  <conditionalFormatting sqref="E4:E35">
    <cfRule type="cellIs" dxfId="1933" priority="1366" operator="lessThan">
      <formula>0</formula>
    </cfRule>
  </conditionalFormatting>
  <conditionalFormatting sqref="E4:E35">
    <cfRule type="cellIs" dxfId="1932" priority="1365" operator="lessThan">
      <formula>0</formula>
    </cfRule>
  </conditionalFormatting>
  <conditionalFormatting sqref="E4:E35">
    <cfRule type="cellIs" dxfId="1931" priority="1364" operator="lessThan">
      <formula>0</formula>
    </cfRule>
  </conditionalFormatting>
  <conditionalFormatting sqref="E4:E35">
    <cfRule type="cellIs" dxfId="1930" priority="1363" operator="lessThan">
      <formula>0</formula>
    </cfRule>
  </conditionalFormatting>
  <conditionalFormatting sqref="E4:E35">
    <cfRule type="cellIs" dxfId="1929" priority="1362" operator="lessThan">
      <formula>0</formula>
    </cfRule>
  </conditionalFormatting>
  <conditionalFormatting sqref="E4:E35">
    <cfRule type="cellIs" dxfId="1928" priority="1361" operator="lessThan">
      <formula>0</formula>
    </cfRule>
  </conditionalFormatting>
  <conditionalFormatting sqref="E4:E35">
    <cfRule type="cellIs" dxfId="1927" priority="1360" operator="lessThan">
      <formula>0</formula>
    </cfRule>
  </conditionalFormatting>
  <conditionalFormatting sqref="E4:E35">
    <cfRule type="cellIs" dxfId="1926" priority="1359" operator="lessThan">
      <formula>0</formula>
    </cfRule>
  </conditionalFormatting>
  <conditionalFormatting sqref="E4:E35">
    <cfRule type="cellIs" dxfId="1925" priority="1358" operator="lessThan">
      <formula>0</formula>
    </cfRule>
  </conditionalFormatting>
  <conditionalFormatting sqref="E4:E35">
    <cfRule type="cellIs" dxfId="1924" priority="1357" operator="lessThan">
      <formula>0</formula>
    </cfRule>
  </conditionalFormatting>
  <conditionalFormatting sqref="E4:E35">
    <cfRule type="cellIs" dxfId="1923" priority="1356" operator="lessThan">
      <formula>0</formula>
    </cfRule>
  </conditionalFormatting>
  <conditionalFormatting sqref="E4:E35">
    <cfRule type="cellIs" dxfId="1922" priority="1355" operator="lessThan">
      <formula>0</formula>
    </cfRule>
  </conditionalFormatting>
  <conditionalFormatting sqref="E4:E35">
    <cfRule type="cellIs" dxfId="1921" priority="1354" operator="lessThan">
      <formula>0</formula>
    </cfRule>
  </conditionalFormatting>
  <conditionalFormatting sqref="E4:E35">
    <cfRule type="cellIs" dxfId="1920" priority="1353" operator="lessThan">
      <formula>0</formula>
    </cfRule>
  </conditionalFormatting>
  <conditionalFormatting sqref="J4:J35">
    <cfRule type="cellIs" dxfId="1919" priority="1352" operator="lessThan">
      <formula>0</formula>
    </cfRule>
  </conditionalFormatting>
  <conditionalFormatting sqref="J4:J35">
    <cfRule type="cellIs" dxfId="1918" priority="1351" operator="lessThan">
      <formula>0</formula>
    </cfRule>
  </conditionalFormatting>
  <conditionalFormatting sqref="J4:J35">
    <cfRule type="cellIs" dxfId="1917" priority="1350" operator="lessThan">
      <formula>0</formula>
    </cfRule>
  </conditionalFormatting>
  <conditionalFormatting sqref="J4:J35">
    <cfRule type="cellIs" dxfId="1916" priority="1349" operator="lessThan">
      <formula>0</formula>
    </cfRule>
  </conditionalFormatting>
  <conditionalFormatting sqref="J4:J35">
    <cfRule type="cellIs" dxfId="1915" priority="1348" operator="lessThan">
      <formula>0</formula>
    </cfRule>
  </conditionalFormatting>
  <conditionalFormatting sqref="J4:J35">
    <cfRule type="cellIs" dxfId="1914" priority="1347" operator="lessThan">
      <formula>0</formula>
    </cfRule>
  </conditionalFormatting>
  <conditionalFormatting sqref="J4:J35">
    <cfRule type="cellIs" dxfId="1913" priority="1346" operator="lessThan">
      <formula>0</formula>
    </cfRule>
  </conditionalFormatting>
  <conditionalFormatting sqref="J4:J35">
    <cfRule type="cellIs" dxfId="1912" priority="1345" operator="lessThan">
      <formula>0</formula>
    </cfRule>
  </conditionalFormatting>
  <conditionalFormatting sqref="J4:J35">
    <cfRule type="cellIs" dxfId="1911" priority="1344" operator="lessThan">
      <formula>0</formula>
    </cfRule>
  </conditionalFormatting>
  <conditionalFormatting sqref="J4:J35">
    <cfRule type="cellIs" dxfId="1910" priority="1343" operator="lessThan">
      <formula>0</formula>
    </cfRule>
  </conditionalFormatting>
  <conditionalFormatting sqref="J4:J35">
    <cfRule type="cellIs" dxfId="1909" priority="1342" operator="lessThan">
      <formula>0</formula>
    </cfRule>
  </conditionalFormatting>
  <conditionalFormatting sqref="J4:J35">
    <cfRule type="cellIs" dxfId="1908" priority="1341" operator="lessThan">
      <formula>0</formula>
    </cfRule>
  </conditionalFormatting>
  <conditionalFormatting sqref="J4:J35">
    <cfRule type="cellIs" dxfId="1907" priority="1340" operator="lessThan">
      <formula>0</formula>
    </cfRule>
  </conditionalFormatting>
  <conditionalFormatting sqref="J4:J35">
    <cfRule type="cellIs" dxfId="1906" priority="1339" operator="lessThan">
      <formula>0</formula>
    </cfRule>
  </conditionalFormatting>
  <conditionalFormatting sqref="J4:J35">
    <cfRule type="cellIs" dxfId="1905" priority="1338" operator="lessThan">
      <formula>0</formula>
    </cfRule>
  </conditionalFormatting>
  <conditionalFormatting sqref="J4:J35">
    <cfRule type="cellIs" dxfId="1904" priority="1337" operator="lessThan">
      <formula>0</formula>
    </cfRule>
  </conditionalFormatting>
  <conditionalFormatting sqref="J4:J35">
    <cfRule type="cellIs" dxfId="1903" priority="1336" operator="lessThan">
      <formula>0</formula>
    </cfRule>
  </conditionalFormatting>
  <conditionalFormatting sqref="J4:J35">
    <cfRule type="cellIs" dxfId="1902" priority="1335" operator="lessThan">
      <formula>0</formula>
    </cfRule>
  </conditionalFormatting>
  <conditionalFormatting sqref="J4:J35">
    <cfRule type="cellIs" dxfId="1901" priority="1334" operator="lessThan">
      <formula>0</formula>
    </cfRule>
  </conditionalFormatting>
  <conditionalFormatting sqref="J4:J35">
    <cfRule type="cellIs" dxfId="1900" priority="1333" operator="lessThan">
      <formula>0</formula>
    </cfRule>
  </conditionalFormatting>
  <conditionalFormatting sqref="J4:J35">
    <cfRule type="cellIs" dxfId="1899" priority="1332" operator="lessThan">
      <formula>0</formula>
    </cfRule>
  </conditionalFormatting>
  <conditionalFormatting sqref="J4:J35">
    <cfRule type="cellIs" dxfId="1898" priority="1331" operator="lessThan">
      <formula>0</formula>
    </cfRule>
  </conditionalFormatting>
  <conditionalFormatting sqref="J4:J35">
    <cfRule type="cellIs" dxfId="1897" priority="1330" operator="lessThan">
      <formula>0</formula>
    </cfRule>
  </conditionalFormatting>
  <conditionalFormatting sqref="J4:J35">
    <cfRule type="cellIs" dxfId="1896" priority="1329" operator="lessThan">
      <formula>0</formula>
    </cfRule>
  </conditionalFormatting>
  <conditionalFormatting sqref="J4:J35">
    <cfRule type="cellIs" dxfId="1895" priority="1328" operator="lessThan">
      <formula>0</formula>
    </cfRule>
  </conditionalFormatting>
  <conditionalFormatting sqref="J4:J35">
    <cfRule type="cellIs" dxfId="1894" priority="1327" operator="lessThan">
      <formula>0</formula>
    </cfRule>
  </conditionalFormatting>
  <conditionalFormatting sqref="J4:J35">
    <cfRule type="cellIs" dxfId="1893" priority="1326" operator="lessThan">
      <formula>0</formula>
    </cfRule>
  </conditionalFormatting>
  <conditionalFormatting sqref="J4:J35">
    <cfRule type="cellIs" dxfId="1892" priority="1325" operator="lessThan">
      <formula>0</formula>
    </cfRule>
  </conditionalFormatting>
  <conditionalFormatting sqref="J4:J35">
    <cfRule type="cellIs" dxfId="1891" priority="1324" operator="lessThan">
      <formula>0</formula>
    </cfRule>
  </conditionalFormatting>
  <conditionalFormatting sqref="J4:J35">
    <cfRule type="cellIs" dxfId="1890" priority="1323" operator="lessThan">
      <formula>0</formula>
    </cfRule>
  </conditionalFormatting>
  <conditionalFormatting sqref="J4:J35">
    <cfRule type="cellIs" dxfId="1889" priority="1322" operator="lessThan">
      <formula>0</formula>
    </cfRule>
  </conditionalFormatting>
  <conditionalFormatting sqref="J4:J35">
    <cfRule type="cellIs" dxfId="1888" priority="1321" operator="lessThan">
      <formula>0</formula>
    </cfRule>
  </conditionalFormatting>
  <conditionalFormatting sqref="J4:J35">
    <cfRule type="cellIs" dxfId="1887" priority="1320" operator="lessThan">
      <formula>0</formula>
    </cfRule>
  </conditionalFormatting>
  <conditionalFormatting sqref="J4:J35">
    <cfRule type="cellIs" dxfId="1886" priority="1319" operator="lessThan">
      <formula>0</formula>
    </cfRule>
  </conditionalFormatting>
  <conditionalFormatting sqref="J4:J35">
    <cfRule type="cellIs" dxfId="1885" priority="1318" operator="lessThan">
      <formula>0</formula>
    </cfRule>
  </conditionalFormatting>
  <conditionalFormatting sqref="J4:J35">
    <cfRule type="cellIs" dxfId="1884" priority="1317" operator="lessThan">
      <formula>0</formula>
    </cfRule>
  </conditionalFormatting>
  <conditionalFormatting sqref="J4:J35">
    <cfRule type="cellIs" dxfId="1883" priority="1316" operator="lessThan">
      <formula>0</formula>
    </cfRule>
  </conditionalFormatting>
  <conditionalFormatting sqref="J4:J35">
    <cfRule type="cellIs" dxfId="1882" priority="1315" operator="lessThan">
      <formula>0</formula>
    </cfRule>
  </conditionalFormatting>
  <conditionalFormatting sqref="J4:J35">
    <cfRule type="cellIs" dxfId="1881" priority="1314" operator="lessThan">
      <formula>0</formula>
    </cfRule>
  </conditionalFormatting>
  <conditionalFormatting sqref="J4:J35">
    <cfRule type="cellIs" dxfId="1880" priority="1313" operator="lessThan">
      <formula>0</formula>
    </cfRule>
  </conditionalFormatting>
  <conditionalFormatting sqref="J4:J35">
    <cfRule type="cellIs" dxfId="1879" priority="1312" operator="lessThan">
      <formula>0</formula>
    </cfRule>
  </conditionalFormatting>
  <conditionalFormatting sqref="J4:J35">
    <cfRule type="cellIs" dxfId="1878" priority="1311" operator="lessThan">
      <formula>0</formula>
    </cfRule>
  </conditionalFormatting>
  <conditionalFormatting sqref="J4:J35">
    <cfRule type="cellIs" dxfId="1877" priority="1310" operator="lessThan">
      <formula>0</formula>
    </cfRule>
  </conditionalFormatting>
  <conditionalFormatting sqref="J4:J35">
    <cfRule type="cellIs" dxfId="1876" priority="1309" operator="lessThan">
      <formula>0</formula>
    </cfRule>
  </conditionalFormatting>
  <conditionalFormatting sqref="J4:J35">
    <cfRule type="cellIs" dxfId="1875" priority="1308" operator="lessThan">
      <formula>0</formula>
    </cfRule>
  </conditionalFormatting>
  <conditionalFormatting sqref="J4:J35">
    <cfRule type="cellIs" dxfId="1874" priority="1307" operator="lessThan">
      <formula>0</formula>
    </cfRule>
  </conditionalFormatting>
  <conditionalFormatting sqref="J4:J35">
    <cfRule type="cellIs" dxfId="1873" priority="1306" operator="lessThan">
      <formula>0</formula>
    </cfRule>
  </conditionalFormatting>
  <conditionalFormatting sqref="J4:J35">
    <cfRule type="cellIs" dxfId="1872" priority="1305" operator="lessThan">
      <formula>0</formula>
    </cfRule>
  </conditionalFormatting>
  <conditionalFormatting sqref="J4:J35">
    <cfRule type="cellIs" dxfId="1871" priority="1304" operator="lessThan">
      <formula>0</formula>
    </cfRule>
  </conditionalFormatting>
  <conditionalFormatting sqref="J4:J35">
    <cfRule type="cellIs" dxfId="1870" priority="1303" operator="lessThan">
      <formula>0</formula>
    </cfRule>
  </conditionalFormatting>
  <conditionalFormatting sqref="J4:J35">
    <cfRule type="cellIs" dxfId="1869" priority="1302" operator="lessThan">
      <formula>0</formula>
    </cfRule>
  </conditionalFormatting>
  <conditionalFormatting sqref="J4:J35">
    <cfRule type="cellIs" dxfId="1868" priority="1301" operator="lessThan">
      <formula>0</formula>
    </cfRule>
  </conditionalFormatting>
  <conditionalFormatting sqref="J4:J35">
    <cfRule type="cellIs" dxfId="1867" priority="1300" operator="lessThan">
      <formula>0</formula>
    </cfRule>
  </conditionalFormatting>
  <conditionalFormatting sqref="J4:J35">
    <cfRule type="cellIs" dxfId="1866" priority="1299" operator="lessThan">
      <formula>0</formula>
    </cfRule>
  </conditionalFormatting>
  <conditionalFormatting sqref="J4:J35">
    <cfRule type="cellIs" dxfId="1865" priority="1298" operator="lessThan">
      <formula>0</formula>
    </cfRule>
  </conditionalFormatting>
  <conditionalFormatting sqref="J4:J35">
    <cfRule type="cellIs" dxfId="1864" priority="1297" operator="lessThan">
      <formula>0</formula>
    </cfRule>
  </conditionalFormatting>
  <conditionalFormatting sqref="J4:J35">
    <cfRule type="cellIs" dxfId="1863" priority="1296" operator="lessThan">
      <formula>0</formula>
    </cfRule>
  </conditionalFormatting>
  <conditionalFormatting sqref="J4:J35">
    <cfRule type="cellIs" dxfId="1862" priority="1295" operator="lessThan">
      <formula>0</formula>
    </cfRule>
  </conditionalFormatting>
  <conditionalFormatting sqref="J4:J35">
    <cfRule type="cellIs" dxfId="1861" priority="1294" operator="lessThan">
      <formula>0</formula>
    </cfRule>
  </conditionalFormatting>
  <conditionalFormatting sqref="J4:J35">
    <cfRule type="cellIs" dxfId="1860" priority="1293" operator="lessThan">
      <formula>0</formula>
    </cfRule>
  </conditionalFormatting>
  <conditionalFormatting sqref="J4:J35">
    <cfRule type="cellIs" dxfId="1859" priority="1292" operator="lessThan">
      <formula>0</formula>
    </cfRule>
  </conditionalFormatting>
  <conditionalFormatting sqref="J4:J35">
    <cfRule type="cellIs" dxfId="1858" priority="1291" operator="lessThan">
      <formula>0</formula>
    </cfRule>
  </conditionalFormatting>
  <conditionalFormatting sqref="J4:J35">
    <cfRule type="cellIs" dxfId="1857" priority="1290" operator="lessThan">
      <formula>0</formula>
    </cfRule>
  </conditionalFormatting>
  <conditionalFormatting sqref="J4:J35">
    <cfRule type="cellIs" dxfId="1856" priority="1289" operator="lessThan">
      <formula>0</formula>
    </cfRule>
  </conditionalFormatting>
  <conditionalFormatting sqref="J4:J35">
    <cfRule type="cellIs" dxfId="1855" priority="1288" operator="lessThan">
      <formula>0</formula>
    </cfRule>
  </conditionalFormatting>
  <conditionalFormatting sqref="J4:J35">
    <cfRule type="cellIs" dxfId="1854" priority="1287" operator="lessThan">
      <formula>0</formula>
    </cfRule>
  </conditionalFormatting>
  <conditionalFormatting sqref="J4:J35">
    <cfRule type="cellIs" dxfId="1853" priority="1286" operator="lessThan">
      <formula>0</formula>
    </cfRule>
  </conditionalFormatting>
  <conditionalFormatting sqref="J4:J35">
    <cfRule type="cellIs" dxfId="1852" priority="1285" operator="lessThan">
      <formula>0</formula>
    </cfRule>
  </conditionalFormatting>
  <conditionalFormatting sqref="J4:J35">
    <cfRule type="cellIs" dxfId="1851" priority="1284" operator="lessThan">
      <formula>0</formula>
    </cfRule>
  </conditionalFormatting>
  <conditionalFormatting sqref="J4:J35">
    <cfRule type="cellIs" dxfId="1850" priority="1283" operator="lessThan">
      <formula>0</formula>
    </cfRule>
  </conditionalFormatting>
  <conditionalFormatting sqref="J4:J35">
    <cfRule type="cellIs" dxfId="1849" priority="1282" operator="lessThan">
      <formula>0</formula>
    </cfRule>
  </conditionalFormatting>
  <conditionalFormatting sqref="J4:J35">
    <cfRule type="cellIs" dxfId="1848" priority="1281" operator="lessThan">
      <formula>0</formula>
    </cfRule>
  </conditionalFormatting>
  <conditionalFormatting sqref="J4:J35">
    <cfRule type="cellIs" dxfId="1847" priority="1280" operator="lessThan">
      <formula>0</formula>
    </cfRule>
  </conditionalFormatting>
  <conditionalFormatting sqref="J4:J35">
    <cfRule type="cellIs" dxfId="1846" priority="1279" operator="lessThan">
      <formula>0</formula>
    </cfRule>
  </conditionalFormatting>
  <conditionalFormatting sqref="J4:J35">
    <cfRule type="cellIs" dxfId="1845" priority="1278" operator="lessThan">
      <formula>0</formula>
    </cfRule>
  </conditionalFormatting>
  <conditionalFormatting sqref="J4:J35">
    <cfRule type="cellIs" dxfId="1844" priority="1277" operator="lessThan">
      <formula>0</formula>
    </cfRule>
  </conditionalFormatting>
  <conditionalFormatting sqref="J4:J35">
    <cfRule type="cellIs" dxfId="1843" priority="1276" operator="lessThan">
      <formula>0</formula>
    </cfRule>
  </conditionalFormatting>
  <conditionalFormatting sqref="J4:J35">
    <cfRule type="cellIs" dxfId="1842" priority="1275" operator="lessThan">
      <formula>0</formula>
    </cfRule>
  </conditionalFormatting>
  <conditionalFormatting sqref="J4:J35">
    <cfRule type="cellIs" dxfId="1841" priority="1274" operator="lessThan">
      <formula>0</formula>
    </cfRule>
  </conditionalFormatting>
  <conditionalFormatting sqref="J4:J35">
    <cfRule type="cellIs" dxfId="1840" priority="1273" operator="lessThan">
      <formula>0</formula>
    </cfRule>
  </conditionalFormatting>
  <conditionalFormatting sqref="J4:J35">
    <cfRule type="cellIs" dxfId="1839" priority="1272" operator="lessThan">
      <formula>0</formula>
    </cfRule>
  </conditionalFormatting>
  <conditionalFormatting sqref="J4:J35">
    <cfRule type="cellIs" dxfId="1838" priority="1271" operator="lessThan">
      <formula>0</formula>
    </cfRule>
  </conditionalFormatting>
  <conditionalFormatting sqref="J4:J35">
    <cfRule type="cellIs" dxfId="1837" priority="1270" operator="lessThan">
      <formula>0</formula>
    </cfRule>
  </conditionalFormatting>
  <conditionalFormatting sqref="J4:J35">
    <cfRule type="cellIs" dxfId="1836" priority="1269" operator="lessThan">
      <formula>0</formula>
    </cfRule>
  </conditionalFormatting>
  <conditionalFormatting sqref="J4:J35">
    <cfRule type="cellIs" dxfId="1835" priority="1268" operator="lessThan">
      <formula>0</formula>
    </cfRule>
  </conditionalFormatting>
  <conditionalFormatting sqref="J4:J35">
    <cfRule type="cellIs" dxfId="1834" priority="1267" operator="lessThan">
      <formula>0</formula>
    </cfRule>
  </conditionalFormatting>
  <conditionalFormatting sqref="J4:J35">
    <cfRule type="cellIs" dxfId="1833" priority="1266" operator="lessThan">
      <formula>0</formula>
    </cfRule>
  </conditionalFormatting>
  <conditionalFormatting sqref="J4:J35">
    <cfRule type="cellIs" dxfId="1832" priority="1265" operator="lessThan">
      <formula>0</formula>
    </cfRule>
  </conditionalFormatting>
  <conditionalFormatting sqref="J4:J35">
    <cfRule type="cellIs" dxfId="1831" priority="1264" operator="lessThan">
      <formula>0</formula>
    </cfRule>
  </conditionalFormatting>
  <conditionalFormatting sqref="L4:L35">
    <cfRule type="cellIs" dxfId="1830" priority="1263" operator="lessThan">
      <formula>0</formula>
    </cfRule>
  </conditionalFormatting>
  <conditionalFormatting sqref="L4:L35">
    <cfRule type="cellIs" dxfId="1829" priority="1262" operator="lessThan">
      <formula>0</formula>
    </cfRule>
  </conditionalFormatting>
  <conditionalFormatting sqref="L4:L35">
    <cfRule type="cellIs" dxfId="1828" priority="1261" operator="lessThan">
      <formula>0</formula>
    </cfRule>
  </conditionalFormatting>
  <conditionalFormatting sqref="L4:L35">
    <cfRule type="cellIs" dxfId="1827" priority="1260" operator="lessThan">
      <formula>0</formula>
    </cfRule>
  </conditionalFormatting>
  <conditionalFormatting sqref="L4:L35">
    <cfRule type="cellIs" dxfId="1826" priority="1259" operator="lessThan">
      <formula>0</formula>
    </cfRule>
  </conditionalFormatting>
  <conditionalFormatting sqref="L4:L35">
    <cfRule type="cellIs" dxfId="1825" priority="1258" operator="lessThan">
      <formula>0</formula>
    </cfRule>
  </conditionalFormatting>
  <conditionalFormatting sqref="E4:E35">
    <cfRule type="cellIs" dxfId="1824" priority="1257" operator="lessThan">
      <formula>0</formula>
    </cfRule>
  </conditionalFormatting>
  <conditionalFormatting sqref="E4:E35">
    <cfRule type="cellIs" dxfId="1823" priority="1256" operator="lessThan">
      <formula>0</formula>
    </cfRule>
  </conditionalFormatting>
  <conditionalFormatting sqref="E4:E35">
    <cfRule type="cellIs" dxfId="1822" priority="1255" operator="lessThan">
      <formula>0</formula>
    </cfRule>
  </conditionalFormatting>
  <conditionalFormatting sqref="E4:E35">
    <cfRule type="cellIs" dxfId="1821" priority="1254" operator="lessThan">
      <formula>0</formula>
    </cfRule>
  </conditionalFormatting>
  <conditionalFormatting sqref="E4:E35">
    <cfRule type="cellIs" dxfId="1820" priority="1253" operator="lessThan">
      <formula>0</formula>
    </cfRule>
  </conditionalFormatting>
  <conditionalFormatting sqref="E4:E35">
    <cfRule type="cellIs" dxfId="1819" priority="1252" operator="lessThan">
      <formula>0</formula>
    </cfRule>
  </conditionalFormatting>
  <conditionalFormatting sqref="E4:E35">
    <cfRule type="cellIs" dxfId="1818" priority="1251" operator="lessThan">
      <formula>0</formula>
    </cfRule>
  </conditionalFormatting>
  <conditionalFormatting sqref="E4:E35">
    <cfRule type="cellIs" dxfId="1817" priority="1250" operator="lessThan">
      <formula>0</formula>
    </cfRule>
  </conditionalFormatting>
  <conditionalFormatting sqref="E4:E35">
    <cfRule type="cellIs" dxfId="1816" priority="1249" operator="lessThan">
      <formula>0</formula>
    </cfRule>
  </conditionalFormatting>
  <conditionalFormatting sqref="E4:E35">
    <cfRule type="cellIs" dxfId="1815" priority="1248" operator="lessThan">
      <formula>0</formula>
    </cfRule>
  </conditionalFormatting>
  <conditionalFormatting sqref="E4:E35">
    <cfRule type="cellIs" dxfId="1814" priority="1247" operator="lessThan">
      <formula>0</formula>
    </cfRule>
  </conditionalFormatting>
  <conditionalFormatting sqref="E4:E35">
    <cfRule type="cellIs" dxfId="1813" priority="1246" operator="lessThan">
      <formula>0</formula>
    </cfRule>
  </conditionalFormatting>
  <conditionalFormatting sqref="E4:E35">
    <cfRule type="cellIs" dxfId="1812" priority="1245" operator="lessThan">
      <formula>0</formula>
    </cfRule>
  </conditionalFormatting>
  <conditionalFormatting sqref="E4:E35">
    <cfRule type="cellIs" dxfId="1811" priority="1244" operator="lessThan">
      <formula>0</formula>
    </cfRule>
  </conditionalFormatting>
  <conditionalFormatting sqref="E4:E35">
    <cfRule type="cellIs" dxfId="1810" priority="1243" operator="lessThan">
      <formula>0</formula>
    </cfRule>
  </conditionalFormatting>
  <conditionalFormatting sqref="E4:E35">
    <cfRule type="cellIs" dxfId="1809" priority="1242" operator="lessThan">
      <formula>0</formula>
    </cfRule>
  </conditionalFormatting>
  <conditionalFormatting sqref="E4:E35">
    <cfRule type="cellIs" dxfId="1808" priority="1241" operator="lessThan">
      <formula>0</formula>
    </cfRule>
  </conditionalFormatting>
  <conditionalFormatting sqref="E4:E35">
    <cfRule type="cellIs" dxfId="1807" priority="1240" operator="lessThan">
      <formula>0</formula>
    </cfRule>
  </conditionalFormatting>
  <conditionalFormatting sqref="E4:E35">
    <cfRule type="cellIs" dxfId="1806" priority="1239" operator="lessThan">
      <formula>0</formula>
    </cfRule>
  </conditionalFormatting>
  <conditionalFormatting sqref="E4:E35">
    <cfRule type="cellIs" dxfId="1805" priority="1238" operator="lessThan">
      <formula>0</formula>
    </cfRule>
  </conditionalFormatting>
  <conditionalFormatting sqref="E4:E35">
    <cfRule type="cellIs" dxfId="1804" priority="1237" operator="lessThan">
      <formula>0</formula>
    </cfRule>
  </conditionalFormatting>
  <conditionalFormatting sqref="E4:E35">
    <cfRule type="cellIs" dxfId="1803" priority="1236" operator="lessThan">
      <formula>0</formula>
    </cfRule>
  </conditionalFormatting>
  <conditionalFormatting sqref="E4:E35">
    <cfRule type="cellIs" dxfId="1802" priority="1235" operator="lessThan">
      <formula>0</formula>
    </cfRule>
  </conditionalFormatting>
  <conditionalFormatting sqref="E4:E35">
    <cfRule type="cellIs" dxfId="1801" priority="1234" operator="lessThan">
      <formula>0</formula>
    </cfRule>
  </conditionalFormatting>
  <conditionalFormatting sqref="E4:E35">
    <cfRule type="cellIs" dxfId="1800" priority="1233" operator="lessThan">
      <formula>0</formula>
    </cfRule>
  </conditionalFormatting>
  <conditionalFormatting sqref="E4:E35">
    <cfRule type="cellIs" dxfId="1799" priority="1232" operator="lessThan">
      <formula>0</formula>
    </cfRule>
  </conditionalFormatting>
  <conditionalFormatting sqref="E4:E35">
    <cfRule type="cellIs" dxfId="1798" priority="1231" operator="lessThan">
      <formula>0</formula>
    </cfRule>
  </conditionalFormatting>
  <conditionalFormatting sqref="E4:E35">
    <cfRule type="cellIs" dxfId="1797" priority="1230" operator="lessThan">
      <formula>0</formula>
    </cfRule>
  </conditionalFormatting>
  <conditionalFormatting sqref="E4:E35">
    <cfRule type="cellIs" dxfId="1796" priority="1229" operator="lessThan">
      <formula>0</formula>
    </cfRule>
  </conditionalFormatting>
  <conditionalFormatting sqref="E4:E35">
    <cfRule type="cellIs" dxfId="1795" priority="1228" operator="lessThan">
      <formula>0</formula>
    </cfRule>
  </conditionalFormatting>
  <conditionalFormatting sqref="E4:E35">
    <cfRule type="cellIs" dxfId="1794" priority="1227" operator="lessThan">
      <formula>0</formula>
    </cfRule>
  </conditionalFormatting>
  <conditionalFormatting sqref="E4:E35">
    <cfRule type="cellIs" dxfId="1793" priority="1226" operator="lessThan">
      <formula>0</formula>
    </cfRule>
  </conditionalFormatting>
  <conditionalFormatting sqref="E4:E35">
    <cfRule type="cellIs" dxfId="1792" priority="1225" operator="lessThan">
      <formula>0</formula>
    </cfRule>
  </conditionalFormatting>
  <conditionalFormatting sqref="E4:E35">
    <cfRule type="cellIs" dxfId="1791" priority="1224" operator="lessThan">
      <formula>0</formula>
    </cfRule>
  </conditionalFormatting>
  <conditionalFormatting sqref="E4:E35">
    <cfRule type="cellIs" dxfId="1790" priority="1223" operator="lessThan">
      <formula>0</formula>
    </cfRule>
  </conditionalFormatting>
  <conditionalFormatting sqref="E4:E35">
    <cfRule type="cellIs" dxfId="1789" priority="1222" operator="lessThan">
      <formula>0</formula>
    </cfRule>
  </conditionalFormatting>
  <conditionalFormatting sqref="E4:E35">
    <cfRule type="cellIs" dxfId="1788" priority="1221" operator="lessThan">
      <formula>0</formula>
    </cfRule>
  </conditionalFormatting>
  <conditionalFormatting sqref="E4:E35">
    <cfRule type="cellIs" dxfId="1787" priority="1220" operator="lessThan">
      <formula>0</formula>
    </cfRule>
  </conditionalFormatting>
  <conditionalFormatting sqref="E4:E35">
    <cfRule type="cellIs" dxfId="1786" priority="1219" operator="lessThan">
      <formula>0</formula>
    </cfRule>
  </conditionalFormatting>
  <conditionalFormatting sqref="E4:E35">
    <cfRule type="cellIs" dxfId="1785" priority="1218" operator="lessThan">
      <formula>0</formula>
    </cfRule>
  </conditionalFormatting>
  <conditionalFormatting sqref="E4:E35">
    <cfRule type="cellIs" dxfId="1784" priority="1217" operator="lessThan">
      <formula>0</formula>
    </cfRule>
  </conditionalFormatting>
  <conditionalFormatting sqref="E4:E35">
    <cfRule type="cellIs" dxfId="1783" priority="1216" operator="lessThan">
      <formula>0</formula>
    </cfRule>
  </conditionalFormatting>
  <conditionalFormatting sqref="E4:E35">
    <cfRule type="cellIs" dxfId="1782" priority="1215" operator="lessThan">
      <formula>0</formula>
    </cfRule>
  </conditionalFormatting>
  <conditionalFormatting sqref="E4:E35">
    <cfRule type="cellIs" dxfId="1781" priority="1214" operator="lessThan">
      <formula>0</formula>
    </cfRule>
  </conditionalFormatting>
  <conditionalFormatting sqref="J4:J35">
    <cfRule type="cellIs" dxfId="1780" priority="1213" operator="lessThan">
      <formula>0</formula>
    </cfRule>
  </conditionalFormatting>
  <conditionalFormatting sqref="J4:J35">
    <cfRule type="cellIs" dxfId="1779" priority="1212" operator="lessThan">
      <formula>0</formula>
    </cfRule>
  </conditionalFormatting>
  <conditionalFormatting sqref="J4:J35">
    <cfRule type="cellIs" dxfId="1778" priority="1211" operator="lessThan">
      <formula>0</formula>
    </cfRule>
  </conditionalFormatting>
  <conditionalFormatting sqref="J4:J35">
    <cfRule type="cellIs" dxfId="1777" priority="1210" operator="lessThan">
      <formula>0</formula>
    </cfRule>
  </conditionalFormatting>
  <conditionalFormatting sqref="J4:J35">
    <cfRule type="cellIs" dxfId="1776" priority="1209" operator="lessThan">
      <formula>0</formula>
    </cfRule>
  </conditionalFormatting>
  <conditionalFormatting sqref="J4:J35">
    <cfRule type="cellIs" dxfId="1775" priority="1208" operator="lessThan">
      <formula>0</formula>
    </cfRule>
  </conditionalFormatting>
  <conditionalFormatting sqref="J4:J35">
    <cfRule type="cellIs" dxfId="1774" priority="1207" operator="lessThan">
      <formula>0</formula>
    </cfRule>
  </conditionalFormatting>
  <conditionalFormatting sqref="J4:J35">
    <cfRule type="cellIs" dxfId="1773" priority="1206" operator="lessThan">
      <formula>0</formula>
    </cfRule>
  </conditionalFormatting>
  <conditionalFormatting sqref="J4:J35">
    <cfRule type="cellIs" dxfId="1772" priority="1205" operator="lessThan">
      <formula>0</formula>
    </cfRule>
  </conditionalFormatting>
  <conditionalFormatting sqref="J4:J35">
    <cfRule type="cellIs" dxfId="1771" priority="1204" operator="lessThan">
      <formula>0</formula>
    </cfRule>
  </conditionalFormatting>
  <conditionalFormatting sqref="J4:J35">
    <cfRule type="cellIs" dxfId="1770" priority="1203" operator="lessThan">
      <formula>0</formula>
    </cfRule>
  </conditionalFormatting>
  <conditionalFormatting sqref="J4:J35">
    <cfRule type="cellIs" dxfId="1769" priority="1202" operator="lessThan">
      <formula>0</formula>
    </cfRule>
  </conditionalFormatting>
  <conditionalFormatting sqref="J4:J35">
    <cfRule type="cellIs" dxfId="1768" priority="1201" operator="lessThan">
      <formula>0</formula>
    </cfRule>
  </conditionalFormatting>
  <conditionalFormatting sqref="J4:J35">
    <cfRule type="cellIs" dxfId="1767" priority="1200" operator="lessThan">
      <formula>0</formula>
    </cfRule>
  </conditionalFormatting>
  <conditionalFormatting sqref="J4:J35">
    <cfRule type="cellIs" dxfId="1766" priority="1199" operator="lessThan">
      <formula>0</formula>
    </cfRule>
  </conditionalFormatting>
  <conditionalFormatting sqref="J4:J35">
    <cfRule type="cellIs" dxfId="1765" priority="1198" operator="lessThan">
      <formula>0</formula>
    </cfRule>
  </conditionalFormatting>
  <conditionalFormatting sqref="J4:J35">
    <cfRule type="cellIs" dxfId="1764" priority="1197" operator="lessThan">
      <formula>0</formula>
    </cfRule>
  </conditionalFormatting>
  <conditionalFormatting sqref="J4:J35">
    <cfRule type="cellIs" dxfId="1763" priority="1196" operator="lessThan">
      <formula>0</formula>
    </cfRule>
  </conditionalFormatting>
  <conditionalFormatting sqref="J4:J35">
    <cfRule type="cellIs" dxfId="1762" priority="1195" operator="lessThan">
      <formula>0</formula>
    </cfRule>
  </conditionalFormatting>
  <conditionalFormatting sqref="J4:J35">
    <cfRule type="cellIs" dxfId="1761" priority="1194" operator="lessThan">
      <formula>0</formula>
    </cfRule>
  </conditionalFormatting>
  <conditionalFormatting sqref="J4:J35">
    <cfRule type="cellIs" dxfId="1760" priority="1193" operator="lessThan">
      <formula>0</formula>
    </cfRule>
  </conditionalFormatting>
  <conditionalFormatting sqref="J4:J35">
    <cfRule type="cellIs" dxfId="1759" priority="1192" operator="lessThan">
      <formula>0</formula>
    </cfRule>
  </conditionalFormatting>
  <conditionalFormatting sqref="J4:J35">
    <cfRule type="cellIs" dxfId="1758" priority="1191" operator="lessThan">
      <formula>0</formula>
    </cfRule>
  </conditionalFormatting>
  <conditionalFormatting sqref="J4:J35">
    <cfRule type="cellIs" dxfId="1757" priority="1190" operator="lessThan">
      <formula>0</formula>
    </cfRule>
  </conditionalFormatting>
  <conditionalFormatting sqref="J4:J35">
    <cfRule type="cellIs" dxfId="1756" priority="1189" operator="lessThan">
      <formula>0</formula>
    </cfRule>
  </conditionalFormatting>
  <conditionalFormatting sqref="J4:J35">
    <cfRule type="cellIs" dxfId="1755" priority="1188" operator="lessThan">
      <formula>0</formula>
    </cfRule>
  </conditionalFormatting>
  <conditionalFormatting sqref="J4:J35">
    <cfRule type="cellIs" dxfId="1754" priority="1187" operator="lessThan">
      <formula>0</formula>
    </cfRule>
  </conditionalFormatting>
  <conditionalFormatting sqref="J4:J35">
    <cfRule type="cellIs" dxfId="1753" priority="1186" operator="lessThan">
      <formula>0</formula>
    </cfRule>
  </conditionalFormatting>
  <conditionalFormatting sqref="J4:J35">
    <cfRule type="cellIs" dxfId="1752" priority="1185" operator="lessThan">
      <formula>0</formula>
    </cfRule>
  </conditionalFormatting>
  <conditionalFormatting sqref="J4:J35">
    <cfRule type="cellIs" dxfId="1751" priority="1184" operator="lessThan">
      <formula>0</formula>
    </cfRule>
  </conditionalFormatting>
  <conditionalFormatting sqref="J4:J35">
    <cfRule type="cellIs" dxfId="1750" priority="1183" operator="lessThan">
      <formula>0</formula>
    </cfRule>
  </conditionalFormatting>
  <conditionalFormatting sqref="J4:J35">
    <cfRule type="cellIs" dxfId="1749" priority="1182" operator="lessThan">
      <formula>0</formula>
    </cfRule>
  </conditionalFormatting>
  <conditionalFormatting sqref="J4:J35">
    <cfRule type="cellIs" dxfId="1748" priority="1181" operator="lessThan">
      <formula>0</formula>
    </cfRule>
  </conditionalFormatting>
  <conditionalFormatting sqref="J4:J35">
    <cfRule type="cellIs" dxfId="1747" priority="1180" operator="lessThan">
      <formula>0</formula>
    </cfRule>
  </conditionalFormatting>
  <conditionalFormatting sqref="J4:J35">
    <cfRule type="cellIs" dxfId="1746" priority="1179" operator="lessThan">
      <formula>0</formula>
    </cfRule>
  </conditionalFormatting>
  <conditionalFormatting sqref="J4:J35">
    <cfRule type="cellIs" dxfId="1745" priority="1178" operator="lessThan">
      <formula>0</formula>
    </cfRule>
  </conditionalFormatting>
  <conditionalFormatting sqref="J4:J35">
    <cfRule type="cellIs" dxfId="1744" priority="1177" operator="lessThan">
      <formula>0</formula>
    </cfRule>
  </conditionalFormatting>
  <conditionalFormatting sqref="J4:J35">
    <cfRule type="cellIs" dxfId="1743" priority="1176" operator="lessThan">
      <formula>0</formula>
    </cfRule>
  </conditionalFormatting>
  <conditionalFormatting sqref="J4:J35">
    <cfRule type="cellIs" dxfId="1742" priority="1175" operator="lessThan">
      <formula>0</formula>
    </cfRule>
  </conditionalFormatting>
  <conditionalFormatting sqref="J4:J35">
    <cfRule type="cellIs" dxfId="1741" priority="1174" operator="lessThan">
      <formula>0</formula>
    </cfRule>
  </conditionalFormatting>
  <conditionalFormatting sqref="J4:J35">
    <cfRule type="cellIs" dxfId="1740" priority="1173" operator="lessThan">
      <formula>0</formula>
    </cfRule>
  </conditionalFormatting>
  <conditionalFormatting sqref="J4:J35">
    <cfRule type="cellIs" dxfId="1739" priority="1172" operator="lessThan">
      <formula>0</formula>
    </cfRule>
  </conditionalFormatting>
  <conditionalFormatting sqref="J4:J35">
    <cfRule type="cellIs" dxfId="1738" priority="1171" operator="lessThan">
      <formula>0</formula>
    </cfRule>
  </conditionalFormatting>
  <conditionalFormatting sqref="J4:J35">
    <cfRule type="cellIs" dxfId="1737" priority="1170" operator="lessThan">
      <formula>0</formula>
    </cfRule>
  </conditionalFormatting>
  <conditionalFormatting sqref="J4:J35">
    <cfRule type="cellIs" dxfId="1736" priority="1169" operator="lessThan">
      <formula>0</formula>
    </cfRule>
  </conditionalFormatting>
  <conditionalFormatting sqref="J4:J35">
    <cfRule type="cellIs" dxfId="1735" priority="1168" operator="lessThan">
      <formula>0</formula>
    </cfRule>
  </conditionalFormatting>
  <conditionalFormatting sqref="J4:J35">
    <cfRule type="cellIs" dxfId="1734" priority="1167" operator="lessThan">
      <formula>0</formula>
    </cfRule>
  </conditionalFormatting>
  <conditionalFormatting sqref="J4:J35">
    <cfRule type="cellIs" dxfId="1733" priority="1166" operator="lessThan">
      <formula>0</formula>
    </cfRule>
  </conditionalFormatting>
  <conditionalFormatting sqref="J4:J35">
    <cfRule type="cellIs" dxfId="1732" priority="1165" operator="lessThan">
      <formula>0</formula>
    </cfRule>
  </conditionalFormatting>
  <conditionalFormatting sqref="J4:J35">
    <cfRule type="cellIs" dxfId="1731" priority="1164" operator="lessThan">
      <formula>0</formula>
    </cfRule>
  </conditionalFormatting>
  <conditionalFormatting sqref="J4:J35">
    <cfRule type="cellIs" dxfId="1730" priority="1163" operator="lessThan">
      <formula>0</formula>
    </cfRule>
  </conditionalFormatting>
  <conditionalFormatting sqref="J4:J35">
    <cfRule type="cellIs" dxfId="1729" priority="1162" operator="lessThan">
      <formula>0</formula>
    </cfRule>
  </conditionalFormatting>
  <conditionalFormatting sqref="J4:J35">
    <cfRule type="cellIs" dxfId="1728" priority="1161" operator="lessThan">
      <formula>0</formula>
    </cfRule>
  </conditionalFormatting>
  <conditionalFormatting sqref="J4:J35">
    <cfRule type="cellIs" dxfId="1727" priority="1160" operator="lessThan">
      <formula>0</formula>
    </cfRule>
  </conditionalFormatting>
  <conditionalFormatting sqref="J4:J35">
    <cfRule type="cellIs" dxfId="1726" priority="1159" operator="lessThan">
      <formula>0</formula>
    </cfRule>
  </conditionalFormatting>
  <conditionalFormatting sqref="J4:J35">
    <cfRule type="cellIs" dxfId="1725" priority="1158" operator="lessThan">
      <formula>0</formula>
    </cfRule>
  </conditionalFormatting>
  <conditionalFormatting sqref="J4:J35">
    <cfRule type="cellIs" dxfId="1724" priority="1157" operator="lessThan">
      <formula>0</formula>
    </cfRule>
  </conditionalFormatting>
  <conditionalFormatting sqref="J4:J35">
    <cfRule type="cellIs" dxfId="1723" priority="1156" operator="lessThan">
      <formula>0</formula>
    </cfRule>
  </conditionalFormatting>
  <conditionalFormatting sqref="J4:J35">
    <cfRule type="cellIs" dxfId="1722" priority="1155" operator="lessThan">
      <formula>0</formula>
    </cfRule>
  </conditionalFormatting>
  <conditionalFormatting sqref="J4:J35">
    <cfRule type="cellIs" dxfId="1721" priority="1154" operator="lessThan">
      <formula>0</formula>
    </cfRule>
  </conditionalFormatting>
  <conditionalFormatting sqref="J4:J35">
    <cfRule type="cellIs" dxfId="1720" priority="1153" operator="lessThan">
      <formula>0</formula>
    </cfRule>
  </conditionalFormatting>
  <conditionalFormatting sqref="J4:J35">
    <cfRule type="cellIs" dxfId="1719" priority="1152" operator="lessThan">
      <formula>0</formula>
    </cfRule>
  </conditionalFormatting>
  <conditionalFormatting sqref="J4:J35">
    <cfRule type="cellIs" dxfId="1718" priority="1151" operator="lessThan">
      <formula>0</formula>
    </cfRule>
  </conditionalFormatting>
  <conditionalFormatting sqref="J4:J35">
    <cfRule type="cellIs" dxfId="1717" priority="1150" operator="lessThan">
      <formula>0</formula>
    </cfRule>
  </conditionalFormatting>
  <conditionalFormatting sqref="J4:J35">
    <cfRule type="cellIs" dxfId="1716" priority="1149" operator="lessThan">
      <formula>0</formula>
    </cfRule>
  </conditionalFormatting>
  <conditionalFormatting sqref="J4:J35">
    <cfRule type="cellIs" dxfId="1715" priority="1148" operator="lessThan">
      <formula>0</formula>
    </cfRule>
  </conditionalFormatting>
  <conditionalFormatting sqref="J4:J35">
    <cfRule type="cellIs" dxfId="1714" priority="1147" operator="lessThan">
      <formula>0</formula>
    </cfRule>
  </conditionalFormatting>
  <conditionalFormatting sqref="J4:J35">
    <cfRule type="cellIs" dxfId="1713" priority="1146" operator="lessThan">
      <formula>0</formula>
    </cfRule>
  </conditionalFormatting>
  <conditionalFormatting sqref="J4:J35">
    <cfRule type="cellIs" dxfId="1712" priority="1145" operator="lessThan">
      <formula>0</formula>
    </cfRule>
  </conditionalFormatting>
  <conditionalFormatting sqref="J4:J35">
    <cfRule type="cellIs" dxfId="1711" priority="1144" operator="lessThan">
      <formula>0</formula>
    </cfRule>
  </conditionalFormatting>
  <conditionalFormatting sqref="J4:J35">
    <cfRule type="cellIs" dxfId="1710" priority="1143" operator="lessThan">
      <formula>0</formula>
    </cfRule>
  </conditionalFormatting>
  <conditionalFormatting sqref="J4:J35">
    <cfRule type="cellIs" dxfId="1709" priority="1142" operator="lessThan">
      <formula>0</formula>
    </cfRule>
  </conditionalFormatting>
  <conditionalFormatting sqref="J4:J35">
    <cfRule type="cellIs" dxfId="1708" priority="1141" operator="lessThan">
      <formula>0</formula>
    </cfRule>
  </conditionalFormatting>
  <conditionalFormatting sqref="J4:J35">
    <cfRule type="cellIs" dxfId="1707" priority="1140" operator="lessThan">
      <formula>0</formula>
    </cfRule>
  </conditionalFormatting>
  <conditionalFormatting sqref="J4:J35">
    <cfRule type="cellIs" dxfId="1706" priority="1139" operator="lessThan">
      <formula>0</formula>
    </cfRule>
  </conditionalFormatting>
  <conditionalFormatting sqref="J4:J35">
    <cfRule type="cellIs" dxfId="1705" priority="1138" operator="lessThan">
      <formula>0</formula>
    </cfRule>
  </conditionalFormatting>
  <conditionalFormatting sqref="J4:J35">
    <cfRule type="cellIs" dxfId="1704" priority="1137" operator="lessThan">
      <formula>0</formula>
    </cfRule>
  </conditionalFormatting>
  <conditionalFormatting sqref="J4:J35">
    <cfRule type="cellIs" dxfId="1703" priority="1136" operator="lessThan">
      <formula>0</formula>
    </cfRule>
  </conditionalFormatting>
  <conditionalFormatting sqref="J4:J35">
    <cfRule type="cellIs" dxfId="1702" priority="1135" operator="lessThan">
      <formula>0</formula>
    </cfRule>
  </conditionalFormatting>
  <conditionalFormatting sqref="J4:J35">
    <cfRule type="cellIs" dxfId="1701" priority="1134" operator="lessThan">
      <formula>0</formula>
    </cfRule>
  </conditionalFormatting>
  <conditionalFormatting sqref="J4:J35">
    <cfRule type="cellIs" dxfId="1700" priority="1133" operator="lessThan">
      <formula>0</formula>
    </cfRule>
  </conditionalFormatting>
  <conditionalFormatting sqref="J4:J35">
    <cfRule type="cellIs" dxfId="1699" priority="1132" operator="lessThan">
      <formula>0</formula>
    </cfRule>
  </conditionalFormatting>
  <conditionalFormatting sqref="J4:J35">
    <cfRule type="cellIs" dxfId="1698" priority="1131" operator="lessThan">
      <formula>0</formula>
    </cfRule>
  </conditionalFormatting>
  <conditionalFormatting sqref="J4:J35">
    <cfRule type="cellIs" dxfId="1697" priority="1130" operator="lessThan">
      <formula>0</formula>
    </cfRule>
  </conditionalFormatting>
  <conditionalFormatting sqref="J4:J35">
    <cfRule type="cellIs" dxfId="1696" priority="1129" operator="lessThan">
      <formula>0</formula>
    </cfRule>
  </conditionalFormatting>
  <conditionalFormatting sqref="J4:J35">
    <cfRule type="cellIs" dxfId="1695" priority="1128" operator="lessThan">
      <formula>0</formula>
    </cfRule>
  </conditionalFormatting>
  <conditionalFormatting sqref="J4:J35">
    <cfRule type="cellIs" dxfId="1694" priority="1127" operator="lessThan">
      <formula>0</formula>
    </cfRule>
  </conditionalFormatting>
  <conditionalFormatting sqref="J4:J35">
    <cfRule type="cellIs" dxfId="1693" priority="1126" operator="lessThan">
      <formula>0</formula>
    </cfRule>
  </conditionalFormatting>
  <conditionalFormatting sqref="J4:J35">
    <cfRule type="cellIs" dxfId="1692" priority="1125" operator="lessThan">
      <formula>0</formula>
    </cfRule>
  </conditionalFormatting>
  <conditionalFormatting sqref="C4:C35">
    <cfRule type="cellIs" dxfId="1691" priority="1124" operator="lessThan">
      <formula>0</formula>
    </cfRule>
  </conditionalFormatting>
  <conditionalFormatting sqref="C4:C35">
    <cfRule type="cellIs" dxfId="1690" priority="1123" operator="lessThan">
      <formula>0</formula>
    </cfRule>
  </conditionalFormatting>
  <conditionalFormatting sqref="C4:C35">
    <cfRule type="cellIs" dxfId="1689" priority="1122" operator="lessThan">
      <formula>0</formula>
    </cfRule>
  </conditionalFormatting>
  <conditionalFormatting sqref="C4:C35">
    <cfRule type="cellIs" dxfId="1688" priority="1121" operator="lessThan">
      <formula>0</formula>
    </cfRule>
  </conditionalFormatting>
  <conditionalFormatting sqref="C4:C35">
    <cfRule type="cellIs" dxfId="1687" priority="1120" operator="lessThan">
      <formula>0</formula>
    </cfRule>
  </conditionalFormatting>
  <conditionalFormatting sqref="C4:C35">
    <cfRule type="cellIs" dxfId="1686" priority="1119" operator="lessThan">
      <formula>0</formula>
    </cfRule>
  </conditionalFormatting>
  <conditionalFormatting sqref="C4:C35">
    <cfRule type="cellIs" dxfId="1685" priority="1118" operator="lessThan">
      <formula>0</formula>
    </cfRule>
  </conditionalFormatting>
  <conditionalFormatting sqref="C4:C35">
    <cfRule type="cellIs" dxfId="1684" priority="1117" operator="lessThan">
      <formula>0</formula>
    </cfRule>
  </conditionalFormatting>
  <conditionalFormatting sqref="C4:C35">
    <cfRule type="cellIs" dxfId="1683" priority="1116" operator="lessThan">
      <formula>0</formula>
    </cfRule>
  </conditionalFormatting>
  <conditionalFormatting sqref="C4:C35">
    <cfRule type="cellIs" dxfId="1682" priority="1115" operator="lessThan">
      <formula>0</formula>
    </cfRule>
  </conditionalFormatting>
  <conditionalFormatting sqref="C4:C35">
    <cfRule type="cellIs" dxfId="1681" priority="1114" operator="lessThan">
      <formula>0</formula>
    </cfRule>
  </conditionalFormatting>
  <conditionalFormatting sqref="C4:C35">
    <cfRule type="cellIs" dxfId="1680" priority="1113" operator="lessThan">
      <formula>0</formula>
    </cfRule>
  </conditionalFormatting>
  <conditionalFormatting sqref="C4:C35">
    <cfRule type="cellIs" dxfId="1679" priority="1112" operator="lessThan">
      <formula>0</formula>
    </cfRule>
  </conditionalFormatting>
  <conditionalFormatting sqref="E4:E35">
    <cfRule type="cellIs" dxfId="1678" priority="1111" operator="lessThan">
      <formula>0</formula>
    </cfRule>
  </conditionalFormatting>
  <conditionalFormatting sqref="E4:E35">
    <cfRule type="cellIs" dxfId="1677" priority="1110" operator="lessThan">
      <formula>0</formula>
    </cfRule>
  </conditionalFormatting>
  <conditionalFormatting sqref="E4:E35">
    <cfRule type="cellIs" dxfId="1676" priority="1109" operator="lessThan">
      <formula>0</formula>
    </cfRule>
  </conditionalFormatting>
  <conditionalFormatting sqref="E4:E35">
    <cfRule type="cellIs" dxfId="1675" priority="1108" operator="lessThan">
      <formula>0</formula>
    </cfRule>
  </conditionalFormatting>
  <conditionalFormatting sqref="E4:E35">
    <cfRule type="cellIs" dxfId="1674" priority="1107" operator="lessThan">
      <formula>0</formula>
    </cfRule>
  </conditionalFormatting>
  <conditionalFormatting sqref="E4:E35">
    <cfRule type="cellIs" dxfId="1673" priority="1106" operator="lessThan">
      <formula>0</formula>
    </cfRule>
  </conditionalFormatting>
  <conditionalFormatting sqref="E4:E35">
    <cfRule type="cellIs" dxfId="1672" priority="1105" operator="lessThan">
      <formula>0</formula>
    </cfRule>
  </conditionalFormatting>
  <conditionalFormatting sqref="E4:E35">
    <cfRule type="cellIs" dxfId="1671" priority="1104" operator="lessThan">
      <formula>0</formula>
    </cfRule>
  </conditionalFormatting>
  <conditionalFormatting sqref="E4:E35">
    <cfRule type="cellIs" dxfId="1670" priority="1103" operator="lessThan">
      <formula>0</formula>
    </cfRule>
  </conditionalFormatting>
  <conditionalFormatting sqref="E4:E35">
    <cfRule type="cellIs" dxfId="1669" priority="1102" operator="lessThan">
      <formula>0</formula>
    </cfRule>
  </conditionalFormatting>
  <conditionalFormatting sqref="E4:E35">
    <cfRule type="cellIs" dxfId="1668" priority="1101" operator="lessThan">
      <formula>0</formula>
    </cfRule>
  </conditionalFormatting>
  <conditionalFormatting sqref="E4:E35">
    <cfRule type="cellIs" dxfId="1667" priority="1100" operator="lessThan">
      <formula>0</formula>
    </cfRule>
  </conditionalFormatting>
  <conditionalFormatting sqref="E4:E35">
    <cfRule type="cellIs" dxfId="1666" priority="1099" operator="lessThan">
      <formula>0</formula>
    </cfRule>
  </conditionalFormatting>
  <conditionalFormatting sqref="E4:E35">
    <cfRule type="cellIs" dxfId="1665" priority="1098" operator="lessThan">
      <formula>0</formula>
    </cfRule>
  </conditionalFormatting>
  <conditionalFormatting sqref="E4:E35">
    <cfRule type="cellIs" dxfId="1664" priority="1097" operator="lessThan">
      <formula>0</formula>
    </cfRule>
  </conditionalFormatting>
  <conditionalFormatting sqref="E4:E35">
    <cfRule type="cellIs" dxfId="1663" priority="1096" operator="lessThan">
      <formula>0</formula>
    </cfRule>
  </conditionalFormatting>
  <conditionalFormatting sqref="E4:E35">
    <cfRule type="cellIs" dxfId="1662" priority="1095" operator="lessThan">
      <formula>0</formula>
    </cfRule>
  </conditionalFormatting>
  <conditionalFormatting sqref="E4:E35">
    <cfRule type="cellIs" dxfId="1661" priority="1094" operator="lessThan">
      <formula>0</formula>
    </cfRule>
  </conditionalFormatting>
  <conditionalFormatting sqref="E4:E35">
    <cfRule type="cellIs" dxfId="1660" priority="1093" operator="lessThan">
      <formula>0</formula>
    </cfRule>
  </conditionalFormatting>
  <conditionalFormatting sqref="E4:E35">
    <cfRule type="cellIs" dxfId="1659" priority="1092" operator="lessThan">
      <formula>0</formula>
    </cfRule>
  </conditionalFormatting>
  <conditionalFormatting sqref="E4:E35">
    <cfRule type="cellIs" dxfId="1658" priority="1091" operator="lessThan">
      <formula>0</formula>
    </cfRule>
  </conditionalFormatting>
  <conditionalFormatting sqref="E4:E35">
    <cfRule type="cellIs" dxfId="1657" priority="1090" operator="lessThan">
      <formula>0</formula>
    </cfRule>
  </conditionalFormatting>
  <conditionalFormatting sqref="E4:E35">
    <cfRule type="cellIs" dxfId="1656" priority="1089" operator="lessThan">
      <formula>0</formula>
    </cfRule>
  </conditionalFormatting>
  <conditionalFormatting sqref="E4:E35">
    <cfRule type="cellIs" dxfId="1655" priority="1088" operator="lessThan">
      <formula>0</formula>
    </cfRule>
  </conditionalFormatting>
  <conditionalFormatting sqref="E4:E35">
    <cfRule type="cellIs" dxfId="1654" priority="1087" operator="lessThan">
      <formula>0</formula>
    </cfRule>
  </conditionalFormatting>
  <conditionalFormatting sqref="E4:E35">
    <cfRule type="cellIs" dxfId="1653" priority="1086" operator="lessThan">
      <formula>0</formula>
    </cfRule>
  </conditionalFormatting>
  <conditionalFormatting sqref="E4:E35">
    <cfRule type="cellIs" dxfId="1652" priority="1085" operator="lessThan">
      <formula>0</formula>
    </cfRule>
  </conditionalFormatting>
  <conditionalFormatting sqref="E4:E35">
    <cfRule type="cellIs" dxfId="1651" priority="1084" operator="lessThan">
      <formula>0</formula>
    </cfRule>
  </conditionalFormatting>
  <conditionalFormatting sqref="E4:E35">
    <cfRule type="cellIs" dxfId="1650" priority="1083" operator="lessThan">
      <formula>0</formula>
    </cfRule>
  </conditionalFormatting>
  <conditionalFormatting sqref="E4:E35">
    <cfRule type="cellIs" dxfId="1649" priority="1082" operator="lessThan">
      <formula>0</formula>
    </cfRule>
  </conditionalFormatting>
  <conditionalFormatting sqref="E4:E35">
    <cfRule type="cellIs" dxfId="1648" priority="1081" operator="lessThan">
      <formula>0</formula>
    </cfRule>
  </conditionalFormatting>
  <conditionalFormatting sqref="E4:E35">
    <cfRule type="cellIs" dxfId="1647" priority="1080" operator="lessThan">
      <formula>0</formula>
    </cfRule>
  </conditionalFormatting>
  <conditionalFormatting sqref="E4:E35">
    <cfRule type="cellIs" dxfId="1646" priority="1079" operator="lessThan">
      <formula>0</formula>
    </cfRule>
  </conditionalFormatting>
  <conditionalFormatting sqref="E4:E35">
    <cfRule type="cellIs" dxfId="1645" priority="1078" operator="lessThan">
      <formula>0</formula>
    </cfRule>
  </conditionalFormatting>
  <conditionalFormatting sqref="E4:E35">
    <cfRule type="cellIs" dxfId="1644" priority="1077" operator="lessThan">
      <formula>0</formula>
    </cfRule>
  </conditionalFormatting>
  <conditionalFormatting sqref="E4:E35">
    <cfRule type="cellIs" dxfId="1643" priority="1076" operator="lessThan">
      <formula>0</formula>
    </cfRule>
  </conditionalFormatting>
  <conditionalFormatting sqref="E4:E35">
    <cfRule type="cellIs" dxfId="1642" priority="1075" operator="lessThan">
      <formula>0</formula>
    </cfRule>
  </conditionalFormatting>
  <conditionalFormatting sqref="E4:E35">
    <cfRule type="cellIs" dxfId="1641" priority="1074" operator="lessThan">
      <formula>0</formula>
    </cfRule>
  </conditionalFormatting>
  <conditionalFormatting sqref="E4:E35">
    <cfRule type="cellIs" dxfId="1640" priority="1073" operator="lessThan">
      <formula>0</formula>
    </cfRule>
  </conditionalFormatting>
  <conditionalFormatting sqref="E4:E35">
    <cfRule type="cellIs" dxfId="1639" priority="1072" operator="lessThan">
      <formula>0</formula>
    </cfRule>
  </conditionalFormatting>
  <conditionalFormatting sqref="E4:E35">
    <cfRule type="cellIs" dxfId="1638" priority="1071" operator="lessThan">
      <formula>0</formula>
    </cfRule>
  </conditionalFormatting>
  <conditionalFormatting sqref="E4:E35">
    <cfRule type="cellIs" dxfId="1637" priority="1070" operator="lessThan">
      <formula>0</formula>
    </cfRule>
  </conditionalFormatting>
  <conditionalFormatting sqref="E4:E35">
    <cfRule type="cellIs" dxfId="1636" priority="1069" operator="lessThan">
      <formula>0</formula>
    </cfRule>
  </conditionalFormatting>
  <conditionalFormatting sqref="E4:E35">
    <cfRule type="cellIs" dxfId="1635" priority="1068" operator="lessThan">
      <formula>0</formula>
    </cfRule>
  </conditionalFormatting>
  <conditionalFormatting sqref="H4:H36">
    <cfRule type="cellIs" dxfId="1634" priority="1067" operator="lessThan">
      <formula>0</formula>
    </cfRule>
  </conditionalFormatting>
  <conditionalFormatting sqref="H4:H36">
    <cfRule type="cellIs" dxfId="1633" priority="1066" operator="lessThan">
      <formula>0</formula>
    </cfRule>
  </conditionalFormatting>
  <conditionalFormatting sqref="H4:H36">
    <cfRule type="cellIs" dxfId="1632" priority="1065" operator="lessThan">
      <formula>0</formula>
    </cfRule>
  </conditionalFormatting>
  <conditionalFormatting sqref="H4:H36">
    <cfRule type="cellIs" dxfId="1631" priority="1064" operator="lessThan">
      <formula>0</formula>
    </cfRule>
  </conditionalFormatting>
  <conditionalFormatting sqref="H4:H36">
    <cfRule type="cellIs" dxfId="1630" priority="1063" operator="lessThan">
      <formula>0</formula>
    </cfRule>
  </conditionalFormatting>
  <conditionalFormatting sqref="H4:H36">
    <cfRule type="cellIs" dxfId="1629" priority="1062" operator="lessThan">
      <formula>0</formula>
    </cfRule>
  </conditionalFormatting>
  <conditionalFormatting sqref="H4:H36">
    <cfRule type="cellIs" dxfId="1628" priority="1061" operator="lessThan">
      <formula>0</formula>
    </cfRule>
  </conditionalFormatting>
  <conditionalFormatting sqref="H4:H36">
    <cfRule type="cellIs" dxfId="1627" priority="1060" operator="lessThan">
      <formula>0</formula>
    </cfRule>
  </conditionalFormatting>
  <conditionalFormatting sqref="H4:H36">
    <cfRule type="cellIs" dxfId="1626" priority="1059" operator="lessThan">
      <formula>0</formula>
    </cfRule>
  </conditionalFormatting>
  <conditionalFormatting sqref="H4:H36">
    <cfRule type="cellIs" dxfId="1625" priority="1058" operator="lessThan">
      <formula>0</formula>
    </cfRule>
  </conditionalFormatting>
  <conditionalFormatting sqref="H4:H36">
    <cfRule type="cellIs" dxfId="1624" priority="1057" operator="lessThan">
      <formula>0</formula>
    </cfRule>
  </conditionalFormatting>
  <conditionalFormatting sqref="H4:H36">
    <cfRule type="cellIs" dxfId="1623" priority="1056" operator="lessThan">
      <formula>0</formula>
    </cfRule>
  </conditionalFormatting>
  <conditionalFormatting sqref="H4:H36">
    <cfRule type="cellIs" dxfId="1622" priority="1055" operator="lessThan">
      <formula>0</formula>
    </cfRule>
  </conditionalFormatting>
  <conditionalFormatting sqref="J4:J35">
    <cfRule type="cellIs" dxfId="1621" priority="1054" operator="lessThan">
      <formula>0</formula>
    </cfRule>
  </conditionalFormatting>
  <conditionalFormatting sqref="J4:J35">
    <cfRule type="cellIs" dxfId="1620" priority="1053" operator="lessThan">
      <formula>0</formula>
    </cfRule>
  </conditionalFormatting>
  <conditionalFormatting sqref="J4:J35">
    <cfRule type="cellIs" dxfId="1619" priority="1052" operator="lessThan">
      <formula>0</formula>
    </cfRule>
  </conditionalFormatting>
  <conditionalFormatting sqref="J4:J35">
    <cfRule type="cellIs" dxfId="1618" priority="1051" operator="lessThan">
      <formula>0</formula>
    </cfRule>
  </conditionalFormatting>
  <conditionalFormatting sqref="J4:J35">
    <cfRule type="cellIs" dxfId="1617" priority="1050" operator="lessThan">
      <formula>0</formula>
    </cfRule>
  </conditionalFormatting>
  <conditionalFormatting sqref="J4:J35">
    <cfRule type="cellIs" dxfId="1616" priority="1049" operator="lessThan">
      <formula>0</formula>
    </cfRule>
  </conditionalFormatting>
  <conditionalFormatting sqref="J4:J35">
    <cfRule type="cellIs" dxfId="1615" priority="1048" operator="lessThan">
      <formula>0</formula>
    </cfRule>
  </conditionalFormatting>
  <conditionalFormatting sqref="J4:J35">
    <cfRule type="cellIs" dxfId="1614" priority="1047" operator="lessThan">
      <formula>0</formula>
    </cfRule>
  </conditionalFormatting>
  <conditionalFormatting sqref="J4:J35">
    <cfRule type="cellIs" dxfId="1613" priority="1046" operator="lessThan">
      <formula>0</formula>
    </cfRule>
  </conditionalFormatting>
  <conditionalFormatting sqref="J4:J35">
    <cfRule type="cellIs" dxfId="1612" priority="1045" operator="lessThan">
      <formula>0</formula>
    </cfRule>
  </conditionalFormatting>
  <conditionalFormatting sqref="J4:J35">
    <cfRule type="cellIs" dxfId="1611" priority="1044" operator="lessThan">
      <formula>0</formula>
    </cfRule>
  </conditionalFormatting>
  <conditionalFormatting sqref="J4:J35">
    <cfRule type="cellIs" dxfId="1610" priority="1043" operator="lessThan">
      <formula>0</formula>
    </cfRule>
  </conditionalFormatting>
  <conditionalFormatting sqref="J4:J35">
    <cfRule type="cellIs" dxfId="1609" priority="1042" operator="lessThan">
      <formula>0</formula>
    </cfRule>
  </conditionalFormatting>
  <conditionalFormatting sqref="J4:J35">
    <cfRule type="cellIs" dxfId="1608" priority="1041" operator="lessThan">
      <formula>0</formula>
    </cfRule>
  </conditionalFormatting>
  <conditionalFormatting sqref="J4:J35">
    <cfRule type="cellIs" dxfId="1607" priority="1040" operator="lessThan">
      <formula>0</formula>
    </cfRule>
  </conditionalFormatting>
  <conditionalFormatting sqref="J4:J35">
    <cfRule type="cellIs" dxfId="1606" priority="1039" operator="lessThan">
      <formula>0</formula>
    </cfRule>
  </conditionalFormatting>
  <conditionalFormatting sqref="J4:J35">
    <cfRule type="cellIs" dxfId="1605" priority="1038" operator="lessThan">
      <formula>0</formula>
    </cfRule>
  </conditionalFormatting>
  <conditionalFormatting sqref="J4:J35">
    <cfRule type="cellIs" dxfId="1604" priority="1037" operator="lessThan">
      <formula>0</formula>
    </cfRule>
  </conditionalFormatting>
  <conditionalFormatting sqref="J4:J35">
    <cfRule type="cellIs" dxfId="1603" priority="1036" operator="lessThan">
      <formula>0</formula>
    </cfRule>
  </conditionalFormatting>
  <conditionalFormatting sqref="J4:J35">
    <cfRule type="cellIs" dxfId="1602" priority="1035" operator="lessThan">
      <formula>0</formula>
    </cfRule>
  </conditionalFormatting>
  <conditionalFormatting sqref="J4:J35">
    <cfRule type="cellIs" dxfId="1601" priority="1034" operator="lessThan">
      <formula>0</formula>
    </cfRule>
  </conditionalFormatting>
  <conditionalFormatting sqref="J4:J35">
    <cfRule type="cellIs" dxfId="1600" priority="1033" operator="lessThan">
      <formula>0</formula>
    </cfRule>
  </conditionalFormatting>
  <conditionalFormatting sqref="J4:J35">
    <cfRule type="cellIs" dxfId="1599" priority="1032" operator="lessThan">
      <formula>0</formula>
    </cfRule>
  </conditionalFormatting>
  <conditionalFormatting sqref="J4:J35">
    <cfRule type="cellIs" dxfId="1598" priority="1031" operator="lessThan">
      <formula>0</formula>
    </cfRule>
  </conditionalFormatting>
  <conditionalFormatting sqref="J4:J35">
    <cfRule type="cellIs" dxfId="1597" priority="1030" operator="lessThan">
      <formula>0</formula>
    </cfRule>
  </conditionalFormatting>
  <conditionalFormatting sqref="J4:J35">
    <cfRule type="cellIs" dxfId="1596" priority="1029" operator="lessThan">
      <formula>0</formula>
    </cfRule>
  </conditionalFormatting>
  <conditionalFormatting sqref="J4:J35">
    <cfRule type="cellIs" dxfId="1595" priority="1028" operator="lessThan">
      <formula>0</formula>
    </cfRule>
  </conditionalFormatting>
  <conditionalFormatting sqref="J4:J35">
    <cfRule type="cellIs" dxfId="1594" priority="1027" operator="lessThan">
      <formula>0</formula>
    </cfRule>
  </conditionalFormatting>
  <conditionalFormatting sqref="J4:J35">
    <cfRule type="cellIs" dxfId="1593" priority="1026" operator="lessThan">
      <formula>0</formula>
    </cfRule>
  </conditionalFormatting>
  <conditionalFormatting sqref="J4:J35">
    <cfRule type="cellIs" dxfId="1592" priority="1025" operator="lessThan">
      <formula>0</formula>
    </cfRule>
  </conditionalFormatting>
  <conditionalFormatting sqref="J4:J35">
    <cfRule type="cellIs" dxfId="1591" priority="1024" operator="lessThan">
      <formula>0</formula>
    </cfRule>
  </conditionalFormatting>
  <conditionalFormatting sqref="J4:J35">
    <cfRule type="cellIs" dxfId="1590" priority="1023" operator="lessThan">
      <formula>0</formula>
    </cfRule>
  </conditionalFormatting>
  <conditionalFormatting sqref="J4:J35">
    <cfRule type="cellIs" dxfId="1589" priority="1022" operator="lessThan">
      <formula>0</formula>
    </cfRule>
  </conditionalFormatting>
  <conditionalFormatting sqref="J4:J35">
    <cfRule type="cellIs" dxfId="1588" priority="1021" operator="lessThan">
      <formula>0</formula>
    </cfRule>
  </conditionalFormatting>
  <conditionalFormatting sqref="J4:J35">
    <cfRule type="cellIs" dxfId="1587" priority="1020" operator="lessThan">
      <formula>0</formula>
    </cfRule>
  </conditionalFormatting>
  <conditionalFormatting sqref="J4:J35">
    <cfRule type="cellIs" dxfId="1586" priority="1019" operator="lessThan">
      <formula>0</formula>
    </cfRule>
  </conditionalFormatting>
  <conditionalFormatting sqref="J4:J35">
    <cfRule type="cellIs" dxfId="1585" priority="1018" operator="lessThan">
      <formula>0</formula>
    </cfRule>
  </conditionalFormatting>
  <conditionalFormatting sqref="J4:J35">
    <cfRule type="cellIs" dxfId="1584" priority="1017" operator="lessThan">
      <formula>0</formula>
    </cfRule>
  </conditionalFormatting>
  <conditionalFormatting sqref="J4:J35">
    <cfRule type="cellIs" dxfId="1583" priority="1016" operator="lessThan">
      <formula>0</formula>
    </cfRule>
  </conditionalFormatting>
  <conditionalFormatting sqref="J4:J35">
    <cfRule type="cellIs" dxfId="1582" priority="1015" operator="lessThan">
      <formula>0</formula>
    </cfRule>
  </conditionalFormatting>
  <conditionalFormatting sqref="J4:J35">
    <cfRule type="cellIs" dxfId="1581" priority="1014" operator="lessThan">
      <formula>0</formula>
    </cfRule>
  </conditionalFormatting>
  <conditionalFormatting sqref="J4:J35">
    <cfRule type="cellIs" dxfId="1580" priority="1013" operator="lessThan">
      <formula>0</formula>
    </cfRule>
  </conditionalFormatting>
  <conditionalFormatting sqref="J4:J35">
    <cfRule type="cellIs" dxfId="1579" priority="1012" operator="lessThan">
      <formula>0</formula>
    </cfRule>
  </conditionalFormatting>
  <conditionalFormatting sqref="J4:J35">
    <cfRule type="cellIs" dxfId="1578" priority="1011" operator="lessThan">
      <formula>0</formula>
    </cfRule>
  </conditionalFormatting>
  <conditionalFormatting sqref="J4:J35">
    <cfRule type="cellIs" dxfId="1577" priority="1010" operator="lessThan">
      <formula>0</formula>
    </cfRule>
  </conditionalFormatting>
  <conditionalFormatting sqref="J4:J35">
    <cfRule type="cellIs" dxfId="1576" priority="1009" operator="lessThan">
      <formula>0</formula>
    </cfRule>
  </conditionalFormatting>
  <conditionalFormatting sqref="J4:J35">
    <cfRule type="cellIs" dxfId="1575" priority="1008" operator="lessThan">
      <formula>0</formula>
    </cfRule>
  </conditionalFormatting>
  <conditionalFormatting sqref="J4:J35">
    <cfRule type="cellIs" dxfId="1574" priority="1007" operator="lessThan">
      <formula>0</formula>
    </cfRule>
  </conditionalFormatting>
  <conditionalFormatting sqref="J4:J35">
    <cfRule type="cellIs" dxfId="1573" priority="1006" operator="lessThan">
      <formula>0</formula>
    </cfRule>
  </conditionalFormatting>
  <conditionalFormatting sqref="J4:J35">
    <cfRule type="cellIs" dxfId="1572" priority="1005" operator="lessThan">
      <formula>0</formula>
    </cfRule>
  </conditionalFormatting>
  <conditionalFormatting sqref="J4:J35">
    <cfRule type="cellIs" dxfId="1571" priority="1004" operator="lessThan">
      <formula>0</formula>
    </cfRule>
  </conditionalFormatting>
  <conditionalFormatting sqref="J4:J35">
    <cfRule type="cellIs" dxfId="1570" priority="1003" operator="lessThan">
      <formula>0</formula>
    </cfRule>
  </conditionalFormatting>
  <conditionalFormatting sqref="J4:J35">
    <cfRule type="cellIs" dxfId="1569" priority="1002" operator="lessThan">
      <formula>0</formula>
    </cfRule>
  </conditionalFormatting>
  <conditionalFormatting sqref="J4:J35">
    <cfRule type="cellIs" dxfId="1568" priority="1001" operator="lessThan">
      <formula>0</formula>
    </cfRule>
  </conditionalFormatting>
  <conditionalFormatting sqref="J4:J35">
    <cfRule type="cellIs" dxfId="1567" priority="1000" operator="lessThan">
      <formula>0</formula>
    </cfRule>
  </conditionalFormatting>
  <conditionalFormatting sqref="J4:J35">
    <cfRule type="cellIs" dxfId="1566" priority="999" operator="lessThan">
      <formula>0</formula>
    </cfRule>
  </conditionalFormatting>
  <conditionalFormatting sqref="J4:J35">
    <cfRule type="cellIs" dxfId="1565" priority="998" operator="lessThan">
      <formula>0</formula>
    </cfRule>
  </conditionalFormatting>
  <conditionalFormatting sqref="J4:J35">
    <cfRule type="cellIs" dxfId="1564" priority="997" operator="lessThan">
      <formula>0</formula>
    </cfRule>
  </conditionalFormatting>
  <conditionalFormatting sqref="J4:J35">
    <cfRule type="cellIs" dxfId="1563" priority="996" operator="lessThan">
      <formula>0</formula>
    </cfRule>
  </conditionalFormatting>
  <conditionalFormatting sqref="J4:J35">
    <cfRule type="cellIs" dxfId="1562" priority="995" operator="lessThan">
      <formula>0</formula>
    </cfRule>
  </conditionalFormatting>
  <conditionalFormatting sqref="J4:J35">
    <cfRule type="cellIs" dxfId="1561" priority="994" operator="lessThan">
      <formula>0</formula>
    </cfRule>
  </conditionalFormatting>
  <conditionalFormatting sqref="J4:J35">
    <cfRule type="cellIs" dxfId="1560" priority="993" operator="lessThan">
      <formula>0</formula>
    </cfRule>
  </conditionalFormatting>
  <conditionalFormatting sqref="J4:J35">
    <cfRule type="cellIs" dxfId="1559" priority="992" operator="lessThan">
      <formula>0</formula>
    </cfRule>
  </conditionalFormatting>
  <conditionalFormatting sqref="J4:J35">
    <cfRule type="cellIs" dxfId="1558" priority="991" operator="lessThan">
      <formula>0</formula>
    </cfRule>
  </conditionalFormatting>
  <conditionalFormatting sqref="J4:J35">
    <cfRule type="cellIs" dxfId="1557" priority="990" operator="lessThan">
      <formula>0</formula>
    </cfRule>
  </conditionalFormatting>
  <conditionalFormatting sqref="J4:J35">
    <cfRule type="cellIs" dxfId="1556" priority="989" operator="lessThan">
      <formula>0</formula>
    </cfRule>
  </conditionalFormatting>
  <conditionalFormatting sqref="J4:J35">
    <cfRule type="cellIs" dxfId="1555" priority="988" operator="lessThan">
      <formula>0</formula>
    </cfRule>
  </conditionalFormatting>
  <conditionalFormatting sqref="J4:J35">
    <cfRule type="cellIs" dxfId="1554" priority="987" operator="lessThan">
      <formula>0</formula>
    </cfRule>
  </conditionalFormatting>
  <conditionalFormatting sqref="J4:J35">
    <cfRule type="cellIs" dxfId="1553" priority="986" operator="lessThan">
      <formula>0</formula>
    </cfRule>
  </conditionalFormatting>
  <conditionalFormatting sqref="J4:J35">
    <cfRule type="cellIs" dxfId="1552" priority="985" operator="lessThan">
      <formula>0</formula>
    </cfRule>
  </conditionalFormatting>
  <conditionalFormatting sqref="J4:J35">
    <cfRule type="cellIs" dxfId="1551" priority="984" operator="lessThan">
      <formula>0</formula>
    </cfRule>
  </conditionalFormatting>
  <conditionalFormatting sqref="J4:J35">
    <cfRule type="cellIs" dxfId="1550" priority="983" operator="lessThan">
      <formula>0</formula>
    </cfRule>
  </conditionalFormatting>
  <conditionalFormatting sqref="J4:J35">
    <cfRule type="cellIs" dxfId="1549" priority="982" operator="lessThan">
      <formula>0</formula>
    </cfRule>
  </conditionalFormatting>
  <conditionalFormatting sqref="J4:J35">
    <cfRule type="cellIs" dxfId="1548" priority="981" operator="lessThan">
      <formula>0</formula>
    </cfRule>
  </conditionalFormatting>
  <conditionalFormatting sqref="J4:J35">
    <cfRule type="cellIs" dxfId="1547" priority="980" operator="lessThan">
      <formula>0</formula>
    </cfRule>
  </conditionalFormatting>
  <conditionalFormatting sqref="J4:J35">
    <cfRule type="cellIs" dxfId="1546" priority="979" operator="lessThan">
      <formula>0</formula>
    </cfRule>
  </conditionalFormatting>
  <conditionalFormatting sqref="J4:J35">
    <cfRule type="cellIs" dxfId="1545" priority="978" operator="lessThan">
      <formula>0</formula>
    </cfRule>
  </conditionalFormatting>
  <conditionalFormatting sqref="J4:J35">
    <cfRule type="cellIs" dxfId="1544" priority="977" operator="lessThan">
      <formula>0</formula>
    </cfRule>
  </conditionalFormatting>
  <conditionalFormatting sqref="J4:J35">
    <cfRule type="cellIs" dxfId="1543" priority="976" operator="lessThan">
      <formula>0</formula>
    </cfRule>
  </conditionalFormatting>
  <conditionalFormatting sqref="J4:J35">
    <cfRule type="cellIs" dxfId="1542" priority="975" operator="lessThan">
      <formula>0</formula>
    </cfRule>
  </conditionalFormatting>
  <conditionalFormatting sqref="J4:J35">
    <cfRule type="cellIs" dxfId="1541" priority="974" operator="lessThan">
      <formula>0</formula>
    </cfRule>
  </conditionalFormatting>
  <conditionalFormatting sqref="J4:J35">
    <cfRule type="cellIs" dxfId="1540" priority="973" operator="lessThan">
      <formula>0</formula>
    </cfRule>
  </conditionalFormatting>
  <conditionalFormatting sqref="J4:J35">
    <cfRule type="cellIs" dxfId="1539" priority="972" operator="lessThan">
      <formula>0</formula>
    </cfRule>
  </conditionalFormatting>
  <conditionalFormatting sqref="J4:J35">
    <cfRule type="cellIs" dxfId="1538" priority="971" operator="lessThan">
      <formula>0</formula>
    </cfRule>
  </conditionalFormatting>
  <conditionalFormatting sqref="J4:J35">
    <cfRule type="cellIs" dxfId="1537" priority="970" operator="lessThan">
      <formula>0</formula>
    </cfRule>
  </conditionalFormatting>
  <conditionalFormatting sqref="J4:J35">
    <cfRule type="cellIs" dxfId="1536" priority="969" operator="lessThan">
      <formula>0</formula>
    </cfRule>
  </conditionalFormatting>
  <conditionalFormatting sqref="J4:J35">
    <cfRule type="cellIs" dxfId="1535" priority="968" operator="lessThan">
      <formula>0</formula>
    </cfRule>
  </conditionalFormatting>
  <conditionalFormatting sqref="J4:J35">
    <cfRule type="cellIs" dxfId="1534" priority="967" operator="lessThan">
      <formula>0</formula>
    </cfRule>
  </conditionalFormatting>
  <conditionalFormatting sqref="J4:J35">
    <cfRule type="cellIs" dxfId="1533" priority="966" operator="lessThan">
      <formula>0</formula>
    </cfRule>
  </conditionalFormatting>
  <conditionalFormatting sqref="E4:E35">
    <cfRule type="cellIs" dxfId="1532" priority="965" operator="lessThan">
      <formula>0</formula>
    </cfRule>
  </conditionalFormatting>
  <conditionalFormatting sqref="E4:E35">
    <cfRule type="cellIs" dxfId="1531" priority="964" operator="lessThan">
      <formula>0</formula>
    </cfRule>
  </conditionalFormatting>
  <conditionalFormatting sqref="E4:E35">
    <cfRule type="cellIs" dxfId="1530" priority="963" operator="lessThan">
      <formula>0</formula>
    </cfRule>
  </conditionalFormatting>
  <conditionalFormatting sqref="E4:E35">
    <cfRule type="cellIs" dxfId="1529" priority="962" operator="lessThan">
      <formula>0</formula>
    </cfRule>
  </conditionalFormatting>
  <conditionalFormatting sqref="E4:E35">
    <cfRule type="cellIs" dxfId="1528" priority="961" operator="lessThan">
      <formula>0</formula>
    </cfRule>
  </conditionalFormatting>
  <conditionalFormatting sqref="E4:E35">
    <cfRule type="cellIs" dxfId="1527" priority="960" operator="lessThan">
      <formula>0</formula>
    </cfRule>
  </conditionalFormatting>
  <conditionalFormatting sqref="E4:E35">
    <cfRule type="cellIs" dxfId="1526" priority="959" operator="lessThan">
      <formula>0</formula>
    </cfRule>
  </conditionalFormatting>
  <conditionalFormatting sqref="E4:E35">
    <cfRule type="cellIs" dxfId="1525" priority="958" operator="lessThan">
      <formula>0</formula>
    </cfRule>
  </conditionalFormatting>
  <conditionalFormatting sqref="E4:E35">
    <cfRule type="cellIs" dxfId="1524" priority="957" operator="lessThan">
      <formula>0</formula>
    </cfRule>
  </conditionalFormatting>
  <conditionalFormatting sqref="E4:E35">
    <cfRule type="cellIs" dxfId="1523" priority="956" operator="lessThan">
      <formula>0</formula>
    </cfRule>
  </conditionalFormatting>
  <conditionalFormatting sqref="E4:E35">
    <cfRule type="cellIs" dxfId="1522" priority="955" operator="lessThan">
      <formula>0</formula>
    </cfRule>
  </conditionalFormatting>
  <conditionalFormatting sqref="E4:E35">
    <cfRule type="cellIs" dxfId="1521" priority="954" operator="lessThan">
      <formula>0</formula>
    </cfRule>
  </conditionalFormatting>
  <conditionalFormatting sqref="E4:E35">
    <cfRule type="cellIs" dxfId="1520" priority="953" operator="lessThan">
      <formula>0</formula>
    </cfRule>
  </conditionalFormatting>
  <conditionalFormatting sqref="E4:E35">
    <cfRule type="cellIs" dxfId="1519" priority="952" operator="lessThan">
      <formula>0</formula>
    </cfRule>
  </conditionalFormatting>
  <conditionalFormatting sqref="E4:E35">
    <cfRule type="cellIs" dxfId="1518" priority="951" operator="lessThan">
      <formula>0</formula>
    </cfRule>
  </conditionalFormatting>
  <conditionalFormatting sqref="E4:E35">
    <cfRule type="cellIs" dxfId="1517" priority="950" operator="lessThan">
      <formula>0</formula>
    </cfRule>
  </conditionalFormatting>
  <conditionalFormatting sqref="E4:E35">
    <cfRule type="cellIs" dxfId="1516" priority="949" operator="lessThan">
      <formula>0</formula>
    </cfRule>
  </conditionalFormatting>
  <conditionalFormatting sqref="E4:E35">
    <cfRule type="cellIs" dxfId="1515" priority="948" operator="lessThan">
      <formula>0</formula>
    </cfRule>
  </conditionalFormatting>
  <conditionalFormatting sqref="E4:E35">
    <cfRule type="cellIs" dxfId="1514" priority="947" operator="lessThan">
      <formula>0</formula>
    </cfRule>
  </conditionalFormatting>
  <conditionalFormatting sqref="E4:E35">
    <cfRule type="cellIs" dxfId="1513" priority="946" operator="lessThan">
      <formula>0</formula>
    </cfRule>
  </conditionalFormatting>
  <conditionalFormatting sqref="E4:E35">
    <cfRule type="cellIs" dxfId="1512" priority="945" operator="lessThan">
      <formula>0</formula>
    </cfRule>
  </conditionalFormatting>
  <conditionalFormatting sqref="E4:E35">
    <cfRule type="cellIs" dxfId="1511" priority="944" operator="lessThan">
      <formula>0</formula>
    </cfRule>
  </conditionalFormatting>
  <conditionalFormatting sqref="E4:E35">
    <cfRule type="cellIs" dxfId="1510" priority="943" operator="lessThan">
      <formula>0</formula>
    </cfRule>
  </conditionalFormatting>
  <conditionalFormatting sqref="E4:E35">
    <cfRule type="cellIs" dxfId="1509" priority="942" operator="lessThan">
      <formula>0</formula>
    </cfRule>
  </conditionalFormatting>
  <conditionalFormatting sqref="E4:E35">
    <cfRule type="cellIs" dxfId="1508" priority="941" operator="lessThan">
      <formula>0</formula>
    </cfRule>
  </conditionalFormatting>
  <conditionalFormatting sqref="E4:E35">
    <cfRule type="cellIs" dxfId="1507" priority="940" operator="lessThan">
      <formula>0</formula>
    </cfRule>
  </conditionalFormatting>
  <conditionalFormatting sqref="E4:E35">
    <cfRule type="cellIs" dxfId="1506" priority="939" operator="lessThan">
      <formula>0</formula>
    </cfRule>
  </conditionalFormatting>
  <conditionalFormatting sqref="E4:E35">
    <cfRule type="cellIs" dxfId="1505" priority="938" operator="lessThan">
      <formula>0</formula>
    </cfRule>
  </conditionalFormatting>
  <conditionalFormatting sqref="E4:E35">
    <cfRule type="cellIs" dxfId="1504" priority="937" operator="lessThan">
      <formula>0</formula>
    </cfRule>
  </conditionalFormatting>
  <conditionalFormatting sqref="E4:E35">
    <cfRule type="cellIs" dxfId="1503" priority="936" operator="lessThan">
      <formula>0</formula>
    </cfRule>
  </conditionalFormatting>
  <conditionalFormatting sqref="E4:E35">
    <cfRule type="cellIs" dxfId="1502" priority="935" operator="lessThan">
      <formula>0</formula>
    </cfRule>
  </conditionalFormatting>
  <conditionalFormatting sqref="E4:E35">
    <cfRule type="cellIs" dxfId="1501" priority="934" operator="lessThan">
      <formula>0</formula>
    </cfRule>
  </conditionalFormatting>
  <conditionalFormatting sqref="E4:E35">
    <cfRule type="cellIs" dxfId="1500" priority="933" operator="lessThan">
      <formula>0</formula>
    </cfRule>
  </conditionalFormatting>
  <conditionalFormatting sqref="E4:E35">
    <cfRule type="cellIs" dxfId="1499" priority="932" operator="lessThan">
      <formula>0</formula>
    </cfRule>
  </conditionalFormatting>
  <conditionalFormatting sqref="E4:E35">
    <cfRule type="cellIs" dxfId="1498" priority="931" operator="lessThan">
      <formula>0</formula>
    </cfRule>
  </conditionalFormatting>
  <conditionalFormatting sqref="E4:E35">
    <cfRule type="cellIs" dxfId="1497" priority="930" operator="lessThan">
      <formula>0</formula>
    </cfRule>
  </conditionalFormatting>
  <conditionalFormatting sqref="E4:E35">
    <cfRule type="cellIs" dxfId="1496" priority="929" operator="lessThan">
      <formula>0</formula>
    </cfRule>
  </conditionalFormatting>
  <conditionalFormatting sqref="E4:E35">
    <cfRule type="cellIs" dxfId="1495" priority="928" operator="lessThan">
      <formula>0</formula>
    </cfRule>
  </conditionalFormatting>
  <conditionalFormatting sqref="E4:E35">
    <cfRule type="cellIs" dxfId="1494" priority="927" operator="lessThan">
      <formula>0</formula>
    </cfRule>
  </conditionalFormatting>
  <conditionalFormatting sqref="E4:E35">
    <cfRule type="cellIs" dxfId="1493" priority="926" operator="lessThan">
      <formula>0</formula>
    </cfRule>
  </conditionalFormatting>
  <conditionalFormatting sqref="E4:E35">
    <cfRule type="cellIs" dxfId="1492" priority="925" operator="lessThan">
      <formula>0</formula>
    </cfRule>
  </conditionalFormatting>
  <conditionalFormatting sqref="E4:E35">
    <cfRule type="cellIs" dxfId="1491" priority="924" operator="lessThan">
      <formula>0</formula>
    </cfRule>
  </conditionalFormatting>
  <conditionalFormatting sqref="E4:E35">
    <cfRule type="cellIs" dxfId="1490" priority="923" operator="lessThan">
      <formula>0</formula>
    </cfRule>
  </conditionalFormatting>
  <conditionalFormatting sqref="E4:E35">
    <cfRule type="cellIs" dxfId="1489" priority="922" operator="lessThan">
      <formula>0</formula>
    </cfRule>
  </conditionalFormatting>
  <conditionalFormatting sqref="E4:E35">
    <cfRule type="cellIs" dxfId="1488" priority="921" operator="lessThan">
      <formula>0</formula>
    </cfRule>
  </conditionalFormatting>
  <conditionalFormatting sqref="E4:E35">
    <cfRule type="cellIs" dxfId="1487" priority="920" operator="lessThan">
      <formula>0</formula>
    </cfRule>
  </conditionalFormatting>
  <conditionalFormatting sqref="J4:J35">
    <cfRule type="cellIs" dxfId="1486" priority="919" operator="lessThan">
      <formula>0</formula>
    </cfRule>
  </conditionalFormatting>
  <conditionalFormatting sqref="J4:J35">
    <cfRule type="cellIs" dxfId="1485" priority="918" operator="lessThan">
      <formula>0</formula>
    </cfRule>
  </conditionalFormatting>
  <conditionalFormatting sqref="J4:J35">
    <cfRule type="cellIs" dxfId="1484" priority="917" operator="lessThan">
      <formula>0</formula>
    </cfRule>
  </conditionalFormatting>
  <conditionalFormatting sqref="J4:J35">
    <cfRule type="cellIs" dxfId="1483" priority="916" operator="lessThan">
      <formula>0</formula>
    </cfRule>
  </conditionalFormatting>
  <conditionalFormatting sqref="J4:J35">
    <cfRule type="cellIs" dxfId="1482" priority="915" operator="lessThan">
      <formula>0</formula>
    </cfRule>
  </conditionalFormatting>
  <conditionalFormatting sqref="J4:J35">
    <cfRule type="cellIs" dxfId="1481" priority="914" operator="lessThan">
      <formula>0</formula>
    </cfRule>
  </conditionalFormatting>
  <conditionalFormatting sqref="J4:J35">
    <cfRule type="cellIs" dxfId="1480" priority="913" operator="lessThan">
      <formula>0</formula>
    </cfRule>
  </conditionalFormatting>
  <conditionalFormatting sqref="J4:J35">
    <cfRule type="cellIs" dxfId="1479" priority="912" operator="lessThan">
      <formula>0</formula>
    </cfRule>
  </conditionalFormatting>
  <conditionalFormatting sqref="J4:J35">
    <cfRule type="cellIs" dxfId="1478" priority="911" operator="lessThan">
      <formula>0</formula>
    </cfRule>
  </conditionalFormatting>
  <conditionalFormatting sqref="J4:J35">
    <cfRule type="cellIs" dxfId="1477" priority="910" operator="lessThan">
      <formula>0</formula>
    </cfRule>
  </conditionalFormatting>
  <conditionalFormatting sqref="J4:J35">
    <cfRule type="cellIs" dxfId="1476" priority="909" operator="lessThan">
      <formula>0</formula>
    </cfRule>
  </conditionalFormatting>
  <conditionalFormatting sqref="J4:J35">
    <cfRule type="cellIs" dxfId="1475" priority="908" operator="lessThan">
      <formula>0</formula>
    </cfRule>
  </conditionalFormatting>
  <conditionalFormatting sqref="J4:J35">
    <cfRule type="cellIs" dxfId="1474" priority="907" operator="lessThan">
      <formula>0</formula>
    </cfRule>
  </conditionalFormatting>
  <conditionalFormatting sqref="J4:J35">
    <cfRule type="cellIs" dxfId="1473" priority="906" operator="lessThan">
      <formula>0</formula>
    </cfRule>
  </conditionalFormatting>
  <conditionalFormatting sqref="J4:J35">
    <cfRule type="cellIs" dxfId="1472" priority="905" operator="lessThan">
      <formula>0</formula>
    </cfRule>
  </conditionalFormatting>
  <conditionalFormatting sqref="J4:J35">
    <cfRule type="cellIs" dxfId="1471" priority="904" operator="lessThan">
      <formula>0</formula>
    </cfRule>
  </conditionalFormatting>
  <conditionalFormatting sqref="J4:J35">
    <cfRule type="cellIs" dxfId="1470" priority="903" operator="lessThan">
      <formula>0</formula>
    </cfRule>
  </conditionalFormatting>
  <conditionalFormatting sqref="J4:J35">
    <cfRule type="cellIs" dxfId="1469" priority="902" operator="lessThan">
      <formula>0</formula>
    </cfRule>
  </conditionalFormatting>
  <conditionalFormatting sqref="J4:J35">
    <cfRule type="cellIs" dxfId="1468" priority="901" operator="lessThan">
      <formula>0</formula>
    </cfRule>
  </conditionalFormatting>
  <conditionalFormatting sqref="J4:J35">
    <cfRule type="cellIs" dxfId="1467" priority="900" operator="lessThan">
      <formula>0</formula>
    </cfRule>
  </conditionalFormatting>
  <conditionalFormatting sqref="J4:J35">
    <cfRule type="cellIs" dxfId="1466" priority="899" operator="lessThan">
      <formula>0</formula>
    </cfRule>
  </conditionalFormatting>
  <conditionalFormatting sqref="J4:J35">
    <cfRule type="cellIs" dxfId="1465" priority="898" operator="lessThan">
      <formula>0</formula>
    </cfRule>
  </conditionalFormatting>
  <conditionalFormatting sqref="J4:J35">
    <cfRule type="cellIs" dxfId="1464" priority="897" operator="lessThan">
      <formula>0</formula>
    </cfRule>
  </conditionalFormatting>
  <conditionalFormatting sqref="J4:J35">
    <cfRule type="cellIs" dxfId="1463" priority="896" operator="lessThan">
      <formula>0</formula>
    </cfRule>
  </conditionalFormatting>
  <conditionalFormatting sqref="J4:J35">
    <cfRule type="cellIs" dxfId="1462" priority="895" operator="lessThan">
      <formula>0</formula>
    </cfRule>
  </conditionalFormatting>
  <conditionalFormatting sqref="J4:J35">
    <cfRule type="cellIs" dxfId="1461" priority="894" operator="lessThan">
      <formula>0</formula>
    </cfRule>
  </conditionalFormatting>
  <conditionalFormatting sqref="J4:J35">
    <cfRule type="cellIs" dxfId="1460" priority="893" operator="lessThan">
      <formula>0</formula>
    </cfRule>
  </conditionalFormatting>
  <conditionalFormatting sqref="J4:J35">
    <cfRule type="cellIs" dxfId="1459" priority="892" operator="lessThan">
      <formula>0</formula>
    </cfRule>
  </conditionalFormatting>
  <conditionalFormatting sqref="J4:J35">
    <cfRule type="cellIs" dxfId="1458" priority="891" operator="lessThan">
      <formula>0</formula>
    </cfRule>
  </conditionalFormatting>
  <conditionalFormatting sqref="J4:J35">
    <cfRule type="cellIs" dxfId="1457" priority="890" operator="lessThan">
      <formula>0</formula>
    </cfRule>
  </conditionalFormatting>
  <conditionalFormatting sqref="J4:J35">
    <cfRule type="cellIs" dxfId="1456" priority="889" operator="lessThan">
      <formula>0</formula>
    </cfRule>
  </conditionalFormatting>
  <conditionalFormatting sqref="J4:J35">
    <cfRule type="cellIs" dxfId="1455" priority="888" operator="lessThan">
      <formula>0</formula>
    </cfRule>
  </conditionalFormatting>
  <conditionalFormatting sqref="J4:J35">
    <cfRule type="cellIs" dxfId="1454" priority="887" operator="lessThan">
      <formula>0</formula>
    </cfRule>
  </conditionalFormatting>
  <conditionalFormatting sqref="J4:J35">
    <cfRule type="cellIs" dxfId="1453" priority="886" operator="lessThan">
      <formula>0</formula>
    </cfRule>
  </conditionalFormatting>
  <conditionalFormatting sqref="J4:J35">
    <cfRule type="cellIs" dxfId="1452" priority="885" operator="lessThan">
      <formula>0</formula>
    </cfRule>
  </conditionalFormatting>
  <conditionalFormatting sqref="J4:J35">
    <cfRule type="cellIs" dxfId="1451" priority="884" operator="lessThan">
      <formula>0</formula>
    </cfRule>
  </conditionalFormatting>
  <conditionalFormatting sqref="J4:J35">
    <cfRule type="cellIs" dxfId="1450" priority="883" operator="lessThan">
      <formula>0</formula>
    </cfRule>
  </conditionalFormatting>
  <conditionalFormatting sqref="J4:J35">
    <cfRule type="cellIs" dxfId="1449" priority="882" operator="lessThan">
      <formula>0</formula>
    </cfRule>
  </conditionalFormatting>
  <conditionalFormatting sqref="J4:J35">
    <cfRule type="cellIs" dxfId="1448" priority="881" operator="lessThan">
      <formula>0</formula>
    </cfRule>
  </conditionalFormatting>
  <conditionalFormatting sqref="J4:J35">
    <cfRule type="cellIs" dxfId="1447" priority="880" operator="lessThan">
      <formula>0</formula>
    </cfRule>
  </conditionalFormatting>
  <conditionalFormatting sqref="J4:J35">
    <cfRule type="cellIs" dxfId="1446" priority="879" operator="lessThan">
      <formula>0</formula>
    </cfRule>
  </conditionalFormatting>
  <conditionalFormatting sqref="J4:J35">
    <cfRule type="cellIs" dxfId="1445" priority="878" operator="lessThan">
      <formula>0</formula>
    </cfRule>
  </conditionalFormatting>
  <conditionalFormatting sqref="J4:J35">
    <cfRule type="cellIs" dxfId="1444" priority="877" operator="lessThan">
      <formula>0</formula>
    </cfRule>
  </conditionalFormatting>
  <conditionalFormatting sqref="J4:J35">
    <cfRule type="cellIs" dxfId="1443" priority="876" operator="lessThan">
      <formula>0</formula>
    </cfRule>
  </conditionalFormatting>
  <conditionalFormatting sqref="J4:J35">
    <cfRule type="cellIs" dxfId="1442" priority="875" operator="lessThan">
      <formula>0</formula>
    </cfRule>
  </conditionalFormatting>
  <conditionalFormatting sqref="J4:J35">
    <cfRule type="cellIs" dxfId="1441" priority="874" operator="lessThan">
      <formula>0</formula>
    </cfRule>
  </conditionalFormatting>
  <conditionalFormatting sqref="L4:L35">
    <cfRule type="cellIs" dxfId="1440" priority="873" operator="lessThan">
      <formula>0</formula>
    </cfRule>
  </conditionalFormatting>
  <conditionalFormatting sqref="L4:L35">
    <cfRule type="cellIs" dxfId="1439" priority="872" operator="lessThan">
      <formula>0</formula>
    </cfRule>
  </conditionalFormatting>
  <conditionalFormatting sqref="L4:L35">
    <cfRule type="cellIs" dxfId="1438" priority="871" operator="lessThan">
      <formula>0</formula>
    </cfRule>
  </conditionalFormatting>
  <conditionalFormatting sqref="L4:L35">
    <cfRule type="cellIs" dxfId="1437" priority="870" operator="lessThan">
      <formula>0</formula>
    </cfRule>
  </conditionalFormatting>
  <conditionalFormatting sqref="L4:L35">
    <cfRule type="cellIs" dxfId="1436" priority="869" operator="lessThan">
      <formula>0</formula>
    </cfRule>
  </conditionalFormatting>
  <conditionalFormatting sqref="L4:L35">
    <cfRule type="cellIs" dxfId="1435" priority="868" operator="lessThan">
      <formula>0</formula>
    </cfRule>
  </conditionalFormatting>
  <conditionalFormatting sqref="L4:L35">
    <cfRule type="cellIs" dxfId="1434" priority="867" operator="lessThan">
      <formula>0</formula>
    </cfRule>
  </conditionalFormatting>
  <conditionalFormatting sqref="L4:L35">
    <cfRule type="cellIs" dxfId="1433" priority="866" operator="lessThan">
      <formula>0</formula>
    </cfRule>
  </conditionalFormatting>
  <conditionalFormatting sqref="L4:L35">
    <cfRule type="cellIs" dxfId="1432" priority="865" operator="lessThan">
      <formula>0</formula>
    </cfRule>
  </conditionalFormatting>
  <conditionalFormatting sqref="L4:L35">
    <cfRule type="cellIs" dxfId="1431" priority="864" operator="lessThan">
      <formula>0</formula>
    </cfRule>
  </conditionalFormatting>
  <conditionalFormatting sqref="L4:L35">
    <cfRule type="cellIs" dxfId="1430" priority="863" operator="lessThan">
      <formula>0</formula>
    </cfRule>
  </conditionalFormatting>
  <conditionalFormatting sqref="L4:L35">
    <cfRule type="cellIs" dxfId="1429" priority="862" operator="lessThan">
      <formula>0</formula>
    </cfRule>
  </conditionalFormatting>
  <conditionalFormatting sqref="L4:L35">
    <cfRule type="cellIs" dxfId="1428" priority="861" operator="lessThan">
      <formula>0</formula>
    </cfRule>
  </conditionalFormatting>
  <conditionalFormatting sqref="L4:L35">
    <cfRule type="cellIs" dxfId="1427" priority="860" operator="lessThan">
      <formula>0</formula>
    </cfRule>
  </conditionalFormatting>
  <conditionalFormatting sqref="L4:L35">
    <cfRule type="cellIs" dxfId="1426" priority="859" operator="lessThan">
      <formula>0</formula>
    </cfRule>
  </conditionalFormatting>
  <conditionalFormatting sqref="L4:L35">
    <cfRule type="cellIs" dxfId="1425" priority="858" operator="lessThan">
      <formula>0</formula>
    </cfRule>
  </conditionalFormatting>
  <conditionalFormatting sqref="L4:L35">
    <cfRule type="cellIs" dxfId="1424" priority="857" operator="lessThan">
      <formula>0</formula>
    </cfRule>
  </conditionalFormatting>
  <conditionalFormatting sqref="L4:L35">
    <cfRule type="cellIs" dxfId="1423" priority="856" operator="lessThan">
      <formula>0</formula>
    </cfRule>
  </conditionalFormatting>
  <conditionalFormatting sqref="L4:L35">
    <cfRule type="cellIs" dxfId="1422" priority="855" operator="lessThan">
      <formula>0</formula>
    </cfRule>
  </conditionalFormatting>
  <conditionalFormatting sqref="L4:L35">
    <cfRule type="cellIs" dxfId="1421" priority="854" operator="lessThan">
      <formula>0</formula>
    </cfRule>
  </conditionalFormatting>
  <conditionalFormatting sqref="L4:L35">
    <cfRule type="cellIs" dxfId="1420" priority="853" operator="lessThan">
      <formula>0</formula>
    </cfRule>
  </conditionalFormatting>
  <conditionalFormatting sqref="L4:L35">
    <cfRule type="cellIs" dxfId="1419" priority="852" operator="lessThan">
      <formula>0</formula>
    </cfRule>
  </conditionalFormatting>
  <conditionalFormatting sqref="L4:L35">
    <cfRule type="cellIs" dxfId="1418" priority="851" operator="lessThan">
      <formula>0</formula>
    </cfRule>
  </conditionalFormatting>
  <conditionalFormatting sqref="L4:L35">
    <cfRule type="cellIs" dxfId="1417" priority="850" operator="lessThan">
      <formula>0</formula>
    </cfRule>
  </conditionalFormatting>
  <conditionalFormatting sqref="L4:L35">
    <cfRule type="cellIs" dxfId="1416" priority="849" operator="lessThan">
      <formula>0</formula>
    </cfRule>
  </conditionalFormatting>
  <conditionalFormatting sqref="L4:L35">
    <cfRule type="cellIs" dxfId="1415" priority="848" operator="lessThan">
      <formula>0</formula>
    </cfRule>
  </conditionalFormatting>
  <conditionalFormatting sqref="L4:L35">
    <cfRule type="cellIs" dxfId="1414" priority="847" operator="lessThan">
      <formula>0</formula>
    </cfRule>
  </conditionalFormatting>
  <conditionalFormatting sqref="L4:L35">
    <cfRule type="cellIs" dxfId="1413" priority="846" operator="lessThan">
      <formula>0</formula>
    </cfRule>
  </conditionalFormatting>
  <conditionalFormatting sqref="L4:L35">
    <cfRule type="cellIs" dxfId="1412" priority="845" operator="lessThan">
      <formula>0</formula>
    </cfRule>
  </conditionalFormatting>
  <conditionalFormatting sqref="L4:L35">
    <cfRule type="cellIs" dxfId="1411" priority="844" operator="lessThan">
      <formula>0</formula>
    </cfRule>
  </conditionalFormatting>
  <conditionalFormatting sqref="L4:L35">
    <cfRule type="cellIs" dxfId="1410" priority="843" operator="lessThan">
      <formula>0</formula>
    </cfRule>
  </conditionalFormatting>
  <conditionalFormatting sqref="L4:L35">
    <cfRule type="cellIs" dxfId="1409" priority="842" operator="lessThan">
      <formula>0</formula>
    </cfRule>
  </conditionalFormatting>
  <conditionalFormatting sqref="L4:L35">
    <cfRule type="cellIs" dxfId="1408" priority="841" operator="lessThan">
      <formula>0</formula>
    </cfRule>
  </conditionalFormatting>
  <conditionalFormatting sqref="L4:L35">
    <cfRule type="cellIs" dxfId="1407" priority="840" operator="lessThan">
      <formula>0</formula>
    </cfRule>
  </conditionalFormatting>
  <conditionalFormatting sqref="L4:L35">
    <cfRule type="cellIs" dxfId="1406" priority="839" operator="lessThan">
      <formula>0</formula>
    </cfRule>
  </conditionalFormatting>
  <conditionalFormatting sqref="L4:L35">
    <cfRule type="cellIs" dxfId="1405" priority="838" operator="lessThan">
      <formula>0</formula>
    </cfRule>
  </conditionalFormatting>
  <conditionalFormatting sqref="L4:L35">
    <cfRule type="cellIs" dxfId="1404" priority="837" operator="lessThan">
      <formula>0</formula>
    </cfRule>
  </conditionalFormatting>
  <conditionalFormatting sqref="L4:L35">
    <cfRule type="cellIs" dxfId="1403" priority="836" operator="lessThan">
      <formula>0</formula>
    </cfRule>
  </conditionalFormatting>
  <conditionalFormatting sqref="L4:L35">
    <cfRule type="cellIs" dxfId="1402" priority="835" operator="lessThan">
      <formula>0</formula>
    </cfRule>
  </conditionalFormatting>
  <conditionalFormatting sqref="L4:L35">
    <cfRule type="cellIs" dxfId="1401" priority="834" operator="lessThan">
      <formula>0</formula>
    </cfRule>
  </conditionalFormatting>
  <conditionalFormatting sqref="L4:L35">
    <cfRule type="cellIs" dxfId="1400" priority="833" operator="lessThan">
      <formula>0</formula>
    </cfRule>
  </conditionalFormatting>
  <conditionalFormatting sqref="L4:L35">
    <cfRule type="cellIs" dxfId="1399" priority="832" operator="lessThan">
      <formula>0</formula>
    </cfRule>
  </conditionalFormatting>
  <conditionalFormatting sqref="L4:L35">
    <cfRule type="cellIs" dxfId="1398" priority="831" operator="lessThan">
      <formula>0</formula>
    </cfRule>
  </conditionalFormatting>
  <conditionalFormatting sqref="L4:L35">
    <cfRule type="cellIs" dxfId="1397" priority="830" operator="lessThan">
      <formula>0</formula>
    </cfRule>
  </conditionalFormatting>
  <conditionalFormatting sqref="L4:L35">
    <cfRule type="cellIs" dxfId="1396" priority="829" operator="lessThan">
      <formula>0</formula>
    </cfRule>
  </conditionalFormatting>
  <conditionalFormatting sqref="L4:L35">
    <cfRule type="cellIs" dxfId="1395" priority="828" operator="lessThan">
      <formula>0</formula>
    </cfRule>
  </conditionalFormatting>
  <conditionalFormatting sqref="L4:L35">
    <cfRule type="cellIs" dxfId="1394" priority="827" operator="lessThan">
      <formula>0</formula>
    </cfRule>
  </conditionalFormatting>
  <conditionalFormatting sqref="L4:L35">
    <cfRule type="cellIs" dxfId="1393" priority="826" operator="lessThan">
      <formula>0</formula>
    </cfRule>
  </conditionalFormatting>
  <conditionalFormatting sqref="L4:L35">
    <cfRule type="cellIs" dxfId="1392" priority="825" operator="lessThan">
      <formula>0</formula>
    </cfRule>
  </conditionalFormatting>
  <conditionalFormatting sqref="L4:L35">
    <cfRule type="cellIs" dxfId="1391" priority="824" operator="lessThan">
      <formula>0</formula>
    </cfRule>
  </conditionalFormatting>
  <conditionalFormatting sqref="L4:L35">
    <cfRule type="cellIs" dxfId="1390" priority="823" operator="lessThan">
      <formula>0</formula>
    </cfRule>
  </conditionalFormatting>
  <conditionalFormatting sqref="E4:E35">
    <cfRule type="cellIs" dxfId="1389" priority="822" operator="lessThan">
      <formula>0</formula>
    </cfRule>
  </conditionalFormatting>
  <conditionalFormatting sqref="J4:J35">
    <cfRule type="cellIs" dxfId="1388" priority="821" operator="lessThan">
      <formula>0</formula>
    </cfRule>
  </conditionalFormatting>
  <conditionalFormatting sqref="L4:L35">
    <cfRule type="cellIs" dxfId="1387" priority="820" operator="lessThan">
      <formula>0</formula>
    </cfRule>
  </conditionalFormatting>
  <conditionalFormatting sqref="C4:C35">
    <cfRule type="cellIs" dxfId="1386" priority="819" operator="lessThan">
      <formula>0</formula>
    </cfRule>
  </conditionalFormatting>
  <conditionalFormatting sqref="C4:C35">
    <cfRule type="cellIs" dxfId="1385" priority="818" operator="lessThan">
      <formula>0</formula>
    </cfRule>
  </conditionalFormatting>
  <conditionalFormatting sqref="C4:C35">
    <cfRule type="cellIs" dxfId="1384" priority="817" operator="lessThan">
      <formula>0</formula>
    </cfRule>
  </conditionalFormatting>
  <conditionalFormatting sqref="C4:C35">
    <cfRule type="cellIs" dxfId="1383" priority="816" operator="lessThan">
      <formula>0</formula>
    </cfRule>
  </conditionalFormatting>
  <conditionalFormatting sqref="C4:C35">
    <cfRule type="cellIs" dxfId="1382" priority="815" operator="lessThan">
      <formula>0</formula>
    </cfRule>
  </conditionalFormatting>
  <conditionalFormatting sqref="C4:C35">
    <cfRule type="cellIs" dxfId="1381" priority="814" operator="lessThan">
      <formula>0</formula>
    </cfRule>
  </conditionalFormatting>
  <conditionalFormatting sqref="C4:C35">
    <cfRule type="cellIs" dxfId="1380" priority="813" operator="lessThan">
      <formula>0</formula>
    </cfRule>
  </conditionalFormatting>
  <conditionalFormatting sqref="C4:C35">
    <cfRule type="cellIs" dxfId="1379" priority="812" operator="lessThan">
      <formula>0</formula>
    </cfRule>
  </conditionalFormatting>
  <conditionalFormatting sqref="C4:C35">
    <cfRule type="cellIs" dxfId="1378" priority="811" operator="lessThan">
      <formula>0</formula>
    </cfRule>
  </conditionalFormatting>
  <conditionalFormatting sqref="C4:C35">
    <cfRule type="cellIs" dxfId="1377" priority="810" operator="lessThan">
      <formula>0</formula>
    </cfRule>
  </conditionalFormatting>
  <conditionalFormatting sqref="C4:C35">
    <cfRule type="cellIs" dxfId="1376" priority="809" operator="lessThan">
      <formula>0</formula>
    </cfRule>
  </conditionalFormatting>
  <conditionalFormatting sqref="C4:C35">
    <cfRule type="cellIs" dxfId="1375" priority="808" operator="lessThan">
      <formula>0</formula>
    </cfRule>
  </conditionalFormatting>
  <conditionalFormatting sqref="C4:C35">
    <cfRule type="cellIs" dxfId="1374" priority="807" operator="lessThan">
      <formula>0</formula>
    </cfRule>
  </conditionalFormatting>
  <conditionalFormatting sqref="C4:C35">
    <cfRule type="cellIs" dxfId="1373" priority="806" operator="lessThan">
      <formula>0</formula>
    </cfRule>
  </conditionalFormatting>
  <conditionalFormatting sqref="C4:C35">
    <cfRule type="cellIs" dxfId="1372" priority="805" operator="lessThan">
      <formula>0</formula>
    </cfRule>
  </conditionalFormatting>
  <conditionalFormatting sqref="C4:C35">
    <cfRule type="cellIs" dxfId="1371" priority="804" operator="lessThan">
      <formula>0</formula>
    </cfRule>
  </conditionalFormatting>
  <conditionalFormatting sqref="C4:C35">
    <cfRule type="cellIs" dxfId="1370" priority="803" operator="lessThan">
      <formula>0</formula>
    </cfRule>
  </conditionalFormatting>
  <conditionalFormatting sqref="C4:C35">
    <cfRule type="cellIs" dxfId="1369" priority="802" operator="lessThan">
      <formula>0</formula>
    </cfRule>
  </conditionalFormatting>
  <conditionalFormatting sqref="C4:C35">
    <cfRule type="cellIs" dxfId="1368" priority="801" operator="lessThan">
      <formula>0</formula>
    </cfRule>
  </conditionalFormatting>
  <conditionalFormatting sqref="C4:C35">
    <cfRule type="cellIs" dxfId="1367" priority="800" operator="lessThan">
      <formula>0</formula>
    </cfRule>
  </conditionalFormatting>
  <conditionalFormatting sqref="C4:C35">
    <cfRule type="cellIs" dxfId="1366" priority="799" operator="lessThan">
      <formula>0</formula>
    </cfRule>
  </conditionalFormatting>
  <conditionalFormatting sqref="C4:C35">
    <cfRule type="cellIs" dxfId="1365" priority="798" operator="lessThan">
      <formula>0</formula>
    </cfRule>
  </conditionalFormatting>
  <conditionalFormatting sqref="J4:J35">
    <cfRule type="cellIs" dxfId="1364" priority="797" operator="lessThan">
      <formula>0</formula>
    </cfRule>
  </conditionalFormatting>
  <conditionalFormatting sqref="J4:J35">
    <cfRule type="cellIs" dxfId="1363" priority="796" operator="lessThan">
      <formula>0</formula>
    </cfRule>
  </conditionalFormatting>
  <conditionalFormatting sqref="J4:J35">
    <cfRule type="cellIs" dxfId="1362" priority="795" operator="lessThan">
      <formula>0</formula>
    </cfRule>
  </conditionalFormatting>
  <conditionalFormatting sqref="J4:J35">
    <cfRule type="cellIs" dxfId="1361" priority="794" operator="lessThan">
      <formula>0</formula>
    </cfRule>
  </conditionalFormatting>
  <conditionalFormatting sqref="J4:J35">
    <cfRule type="cellIs" dxfId="1360" priority="793" operator="lessThan">
      <formula>0</formula>
    </cfRule>
  </conditionalFormatting>
  <conditionalFormatting sqref="J4:J35">
    <cfRule type="cellIs" dxfId="1359" priority="792" operator="lessThan">
      <formula>0</formula>
    </cfRule>
  </conditionalFormatting>
  <conditionalFormatting sqref="J4:J35">
    <cfRule type="cellIs" dxfId="1358" priority="791" operator="lessThan">
      <formula>0</formula>
    </cfRule>
  </conditionalFormatting>
  <conditionalFormatting sqref="J4:J35">
    <cfRule type="cellIs" dxfId="1357" priority="790" operator="lessThan">
      <formula>0</formula>
    </cfRule>
  </conditionalFormatting>
  <conditionalFormatting sqref="J4:J35">
    <cfRule type="cellIs" dxfId="1356" priority="789" operator="lessThan">
      <formula>0</formula>
    </cfRule>
  </conditionalFormatting>
  <conditionalFormatting sqref="J4:J35">
    <cfRule type="cellIs" dxfId="1355" priority="788" operator="lessThan">
      <formula>0</formula>
    </cfRule>
  </conditionalFormatting>
  <conditionalFormatting sqref="J4:J35">
    <cfRule type="cellIs" dxfId="1354" priority="787" operator="lessThan">
      <formula>0</formula>
    </cfRule>
  </conditionalFormatting>
  <conditionalFormatting sqref="J4:J35">
    <cfRule type="cellIs" dxfId="1353" priority="786" operator="lessThan">
      <formula>0</formula>
    </cfRule>
  </conditionalFormatting>
  <conditionalFormatting sqref="J4:J35">
    <cfRule type="cellIs" dxfId="1352" priority="785" operator="lessThan">
      <formula>0</formula>
    </cfRule>
  </conditionalFormatting>
  <conditionalFormatting sqref="J4:J35">
    <cfRule type="cellIs" dxfId="1351" priority="784" operator="lessThan">
      <formula>0</formula>
    </cfRule>
  </conditionalFormatting>
  <conditionalFormatting sqref="J4:J35">
    <cfRule type="cellIs" dxfId="1350" priority="783" operator="lessThan">
      <formula>0</formula>
    </cfRule>
  </conditionalFormatting>
  <conditionalFormatting sqref="J4:J35">
    <cfRule type="cellIs" dxfId="1349" priority="782" operator="lessThan">
      <formula>0</formula>
    </cfRule>
  </conditionalFormatting>
  <conditionalFormatting sqref="J4:J35">
    <cfRule type="cellIs" dxfId="1348" priority="781" operator="lessThan">
      <formula>0</formula>
    </cfRule>
  </conditionalFormatting>
  <conditionalFormatting sqref="J4:J35">
    <cfRule type="cellIs" dxfId="1347" priority="780" operator="lessThan">
      <formula>0</formula>
    </cfRule>
  </conditionalFormatting>
  <conditionalFormatting sqref="J4:J35">
    <cfRule type="cellIs" dxfId="1346" priority="779" operator="lessThan">
      <formula>0</formula>
    </cfRule>
  </conditionalFormatting>
  <conditionalFormatting sqref="J4:J35">
    <cfRule type="cellIs" dxfId="1345" priority="778" operator="lessThan">
      <formula>0</formula>
    </cfRule>
  </conditionalFormatting>
  <conditionalFormatting sqref="J4:J35">
    <cfRule type="cellIs" dxfId="1344" priority="777" operator="lessThan">
      <formula>0</formula>
    </cfRule>
  </conditionalFormatting>
  <conditionalFormatting sqref="J4:J35">
    <cfRule type="cellIs" dxfId="1343" priority="776" operator="lessThan">
      <formula>0</formula>
    </cfRule>
  </conditionalFormatting>
  <conditionalFormatting sqref="J4:J35">
    <cfRule type="cellIs" dxfId="1342" priority="775" operator="lessThan">
      <formula>0</formula>
    </cfRule>
  </conditionalFormatting>
  <conditionalFormatting sqref="J4:J35">
    <cfRule type="cellIs" dxfId="1341" priority="774" operator="lessThan">
      <formula>0</formula>
    </cfRule>
  </conditionalFormatting>
  <conditionalFormatting sqref="J4:J35">
    <cfRule type="cellIs" dxfId="1340" priority="773" operator="lessThan">
      <formula>0</formula>
    </cfRule>
  </conditionalFormatting>
  <conditionalFormatting sqref="J4:J35">
    <cfRule type="cellIs" dxfId="1339" priority="772" operator="lessThan">
      <formula>0</formula>
    </cfRule>
  </conditionalFormatting>
  <conditionalFormatting sqref="J4:J35">
    <cfRule type="cellIs" dxfId="1338" priority="771" operator="lessThan">
      <formula>0</formula>
    </cfRule>
  </conditionalFormatting>
  <conditionalFormatting sqref="J4:J35">
    <cfRule type="cellIs" dxfId="1337" priority="770" operator="lessThan">
      <formula>0</formula>
    </cfRule>
  </conditionalFormatting>
  <conditionalFormatting sqref="J4:J35">
    <cfRule type="cellIs" dxfId="1336" priority="769" operator="lessThan">
      <formula>0</formula>
    </cfRule>
  </conditionalFormatting>
  <conditionalFormatting sqref="J4:J35">
    <cfRule type="cellIs" dxfId="1335" priority="768" operator="lessThan">
      <formula>0</formula>
    </cfRule>
  </conditionalFormatting>
  <conditionalFormatting sqref="J4:J35">
    <cfRule type="cellIs" dxfId="1334" priority="767" operator="lessThan">
      <formula>0</formula>
    </cfRule>
  </conditionalFormatting>
  <conditionalFormatting sqref="J4:J35">
    <cfRule type="cellIs" dxfId="1333" priority="766" operator="lessThan">
      <formula>0</formula>
    </cfRule>
  </conditionalFormatting>
  <conditionalFormatting sqref="J4:J35">
    <cfRule type="cellIs" dxfId="1332" priority="765" operator="lessThan">
      <formula>0</formula>
    </cfRule>
  </conditionalFormatting>
  <conditionalFormatting sqref="J4:J35">
    <cfRule type="cellIs" dxfId="1331" priority="764" operator="lessThan">
      <formula>0</formula>
    </cfRule>
  </conditionalFormatting>
  <conditionalFormatting sqref="J4:J35">
    <cfRule type="cellIs" dxfId="1330" priority="763" operator="lessThan">
      <formula>0</formula>
    </cfRule>
  </conditionalFormatting>
  <conditionalFormatting sqref="J4:J35">
    <cfRule type="cellIs" dxfId="1329" priority="762" operator="lessThan">
      <formula>0</formula>
    </cfRule>
  </conditionalFormatting>
  <conditionalFormatting sqref="J4:J35">
    <cfRule type="cellIs" dxfId="1328" priority="761" operator="lessThan">
      <formula>0</formula>
    </cfRule>
  </conditionalFormatting>
  <conditionalFormatting sqref="J4:J35">
    <cfRule type="cellIs" dxfId="1327" priority="760" operator="lessThan">
      <formula>0</formula>
    </cfRule>
  </conditionalFormatting>
  <conditionalFormatting sqref="J4:J35">
    <cfRule type="cellIs" dxfId="1326" priority="759" operator="lessThan">
      <formula>0</formula>
    </cfRule>
  </conditionalFormatting>
  <conditionalFormatting sqref="J4:J35">
    <cfRule type="cellIs" dxfId="1325" priority="758" operator="lessThan">
      <formula>0</formula>
    </cfRule>
  </conditionalFormatting>
  <conditionalFormatting sqref="J4:J35">
    <cfRule type="cellIs" dxfId="1324" priority="757" operator="lessThan">
      <formula>0</formula>
    </cfRule>
  </conditionalFormatting>
  <conditionalFormatting sqref="J4:J35">
    <cfRule type="cellIs" dxfId="1323" priority="756" operator="lessThan">
      <formula>0</formula>
    </cfRule>
  </conditionalFormatting>
  <conditionalFormatting sqref="J4:J35">
    <cfRule type="cellIs" dxfId="1322" priority="755" operator="lessThan">
      <formula>0</formula>
    </cfRule>
  </conditionalFormatting>
  <conditionalFormatting sqref="J4:J35">
    <cfRule type="cellIs" dxfId="1321" priority="754" operator="lessThan">
      <formula>0</formula>
    </cfRule>
  </conditionalFormatting>
  <conditionalFormatting sqref="J4:J35">
    <cfRule type="cellIs" dxfId="1320" priority="753" operator="lessThan">
      <formula>0</formula>
    </cfRule>
  </conditionalFormatting>
  <conditionalFormatting sqref="J4:J35">
    <cfRule type="cellIs" dxfId="1319" priority="752" operator="lessThan">
      <formula>0</formula>
    </cfRule>
  </conditionalFormatting>
  <conditionalFormatting sqref="J4:J35">
    <cfRule type="cellIs" dxfId="1318" priority="751" operator="lessThan">
      <formula>0</formula>
    </cfRule>
  </conditionalFormatting>
  <conditionalFormatting sqref="H4:H36">
    <cfRule type="cellIs" dxfId="1317" priority="750" operator="lessThan">
      <formula>0</formula>
    </cfRule>
  </conditionalFormatting>
  <conditionalFormatting sqref="H4:H36">
    <cfRule type="cellIs" dxfId="1316" priority="749" operator="lessThan">
      <formula>0</formula>
    </cfRule>
  </conditionalFormatting>
  <conditionalFormatting sqref="H4:H36">
    <cfRule type="cellIs" dxfId="1315" priority="748" operator="lessThan">
      <formula>0</formula>
    </cfRule>
  </conditionalFormatting>
  <conditionalFormatting sqref="H4:H36">
    <cfRule type="cellIs" dxfId="1314" priority="747" operator="lessThan">
      <formula>0</formula>
    </cfRule>
  </conditionalFormatting>
  <conditionalFormatting sqref="H4:H36">
    <cfRule type="cellIs" dxfId="1313" priority="746" operator="lessThan">
      <formula>0</formula>
    </cfRule>
  </conditionalFormatting>
  <conditionalFormatting sqref="H4:H36">
    <cfRule type="cellIs" dxfId="1312" priority="745" operator="lessThan">
      <formula>0</formula>
    </cfRule>
  </conditionalFormatting>
  <conditionalFormatting sqref="H4:H36">
    <cfRule type="cellIs" dxfId="1311" priority="744" operator="lessThan">
      <formula>0</formula>
    </cfRule>
  </conditionalFormatting>
  <conditionalFormatting sqref="H4:H36">
    <cfRule type="cellIs" dxfId="1310" priority="743" operator="lessThan">
      <formula>0</formula>
    </cfRule>
  </conditionalFormatting>
  <conditionalFormatting sqref="H4:H36">
    <cfRule type="cellIs" dxfId="1309" priority="742" operator="lessThan">
      <formula>0</formula>
    </cfRule>
  </conditionalFormatting>
  <conditionalFormatting sqref="H4:H36">
    <cfRule type="cellIs" dxfId="1308" priority="741" operator="lessThan">
      <formula>0</formula>
    </cfRule>
  </conditionalFormatting>
  <conditionalFormatting sqref="H4:H36">
    <cfRule type="cellIs" dxfId="1307" priority="740" operator="lessThan">
      <formula>0</formula>
    </cfRule>
  </conditionalFormatting>
  <conditionalFormatting sqref="H4:H36">
    <cfRule type="cellIs" dxfId="1306" priority="739" operator="lessThan">
      <formula>0</formula>
    </cfRule>
  </conditionalFormatting>
  <conditionalFormatting sqref="H4:H36">
    <cfRule type="cellIs" dxfId="1305" priority="738" operator="lessThan">
      <formula>0</formula>
    </cfRule>
  </conditionalFormatting>
  <conditionalFormatting sqref="H4:H36">
    <cfRule type="cellIs" dxfId="1304" priority="737" operator="lessThan">
      <formula>0</formula>
    </cfRule>
  </conditionalFormatting>
  <conditionalFormatting sqref="H4:H36">
    <cfRule type="cellIs" dxfId="1303" priority="736" operator="lessThan">
      <formula>0</formula>
    </cfRule>
  </conditionalFormatting>
  <conditionalFormatting sqref="H4:H36">
    <cfRule type="cellIs" dxfId="1302" priority="735" operator="lessThan">
      <formula>0</formula>
    </cfRule>
  </conditionalFormatting>
  <conditionalFormatting sqref="H4:H36">
    <cfRule type="cellIs" dxfId="1301" priority="734" operator="lessThan">
      <formula>0</formula>
    </cfRule>
  </conditionalFormatting>
  <conditionalFormatting sqref="H4:H36">
    <cfRule type="cellIs" dxfId="1300" priority="733" operator="lessThan">
      <formula>0</formula>
    </cfRule>
  </conditionalFormatting>
  <conditionalFormatting sqref="H4:H36">
    <cfRule type="cellIs" dxfId="1299" priority="732" operator="lessThan">
      <formula>0</formula>
    </cfRule>
  </conditionalFormatting>
  <conditionalFormatting sqref="H4:H36">
    <cfRule type="cellIs" dxfId="1298" priority="731" operator="lessThan">
      <formula>0</formula>
    </cfRule>
  </conditionalFormatting>
  <conditionalFormatting sqref="H4:H36">
    <cfRule type="cellIs" dxfId="1297" priority="730" operator="lessThan">
      <formula>0</formula>
    </cfRule>
  </conditionalFormatting>
  <conditionalFormatting sqref="H4:H36">
    <cfRule type="cellIs" dxfId="1296" priority="729" operator="lessThan">
      <formula>0</formula>
    </cfRule>
  </conditionalFormatting>
  <conditionalFormatting sqref="E4:E35">
    <cfRule type="cellIs" dxfId="1295" priority="728" operator="lessThan">
      <formula>0</formula>
    </cfRule>
  </conditionalFormatting>
  <conditionalFormatting sqref="E4:E35">
    <cfRule type="cellIs" dxfId="1294" priority="727" operator="lessThan">
      <formula>0</formula>
    </cfRule>
  </conditionalFormatting>
  <conditionalFormatting sqref="E4:E35">
    <cfRule type="cellIs" dxfId="1293" priority="726" operator="lessThan">
      <formula>0</formula>
    </cfRule>
  </conditionalFormatting>
  <conditionalFormatting sqref="E4:E35">
    <cfRule type="cellIs" dxfId="1292" priority="725" operator="lessThan">
      <formula>0</formula>
    </cfRule>
  </conditionalFormatting>
  <conditionalFormatting sqref="E4:E35">
    <cfRule type="cellIs" dxfId="1291" priority="724" operator="lessThan">
      <formula>0</formula>
    </cfRule>
  </conditionalFormatting>
  <conditionalFormatting sqref="E4:E35">
    <cfRule type="cellIs" dxfId="1290" priority="723" operator="lessThan">
      <formula>0</formula>
    </cfRule>
  </conditionalFormatting>
  <conditionalFormatting sqref="E4:E35">
    <cfRule type="cellIs" dxfId="1289" priority="722" operator="lessThan">
      <formula>0</formula>
    </cfRule>
  </conditionalFormatting>
  <conditionalFormatting sqref="E4:E35">
    <cfRule type="cellIs" dxfId="1288" priority="721" operator="lessThan">
      <formula>0</formula>
    </cfRule>
  </conditionalFormatting>
  <conditionalFormatting sqref="E4:E35">
    <cfRule type="cellIs" dxfId="1287" priority="720" operator="lessThan">
      <formula>0</formula>
    </cfRule>
  </conditionalFormatting>
  <conditionalFormatting sqref="E4:E35">
    <cfRule type="cellIs" dxfId="1286" priority="719" operator="lessThan">
      <formula>0</formula>
    </cfRule>
  </conditionalFormatting>
  <conditionalFormatting sqref="E4:E35">
    <cfRule type="cellIs" dxfId="1285" priority="718" operator="lessThan">
      <formula>0</formula>
    </cfRule>
  </conditionalFormatting>
  <conditionalFormatting sqref="E4:E35">
    <cfRule type="cellIs" dxfId="1284" priority="717" operator="lessThan">
      <formula>0</formula>
    </cfRule>
  </conditionalFormatting>
  <conditionalFormatting sqref="E4:E35">
    <cfRule type="cellIs" dxfId="1283" priority="716" operator="lessThan">
      <formula>0</formula>
    </cfRule>
  </conditionalFormatting>
  <conditionalFormatting sqref="E4:E35">
    <cfRule type="cellIs" dxfId="1282" priority="715" operator="lessThan">
      <formula>0</formula>
    </cfRule>
  </conditionalFormatting>
  <conditionalFormatting sqref="E4:E35">
    <cfRule type="cellIs" dxfId="1281" priority="714" operator="lessThan">
      <formula>0</formula>
    </cfRule>
  </conditionalFormatting>
  <conditionalFormatting sqref="E4:E35">
    <cfRule type="cellIs" dxfId="1280" priority="713" operator="lessThan">
      <formula>0</formula>
    </cfRule>
  </conditionalFormatting>
  <conditionalFormatting sqref="E4:E35">
    <cfRule type="cellIs" dxfId="1279" priority="712" operator="lessThan">
      <formula>0</formula>
    </cfRule>
  </conditionalFormatting>
  <conditionalFormatting sqref="E4:E35">
    <cfRule type="cellIs" dxfId="1278" priority="711" operator="lessThan">
      <formula>0</formula>
    </cfRule>
  </conditionalFormatting>
  <conditionalFormatting sqref="E4:E35">
    <cfRule type="cellIs" dxfId="1277" priority="710" operator="lessThan">
      <formula>0</formula>
    </cfRule>
  </conditionalFormatting>
  <conditionalFormatting sqref="E4:E35">
    <cfRule type="cellIs" dxfId="1276" priority="709" operator="lessThan">
      <formula>0</formula>
    </cfRule>
  </conditionalFormatting>
  <conditionalFormatting sqref="E4:E35">
    <cfRule type="cellIs" dxfId="1275" priority="708" operator="lessThan">
      <formula>0</formula>
    </cfRule>
  </conditionalFormatting>
  <conditionalFormatting sqref="E4:E35">
    <cfRule type="cellIs" dxfId="1274" priority="707" operator="lessThan">
      <formula>0</formula>
    </cfRule>
  </conditionalFormatting>
  <conditionalFormatting sqref="E4:E35">
    <cfRule type="cellIs" dxfId="1273" priority="706" operator="lessThan">
      <formula>0</formula>
    </cfRule>
  </conditionalFormatting>
  <conditionalFormatting sqref="E4:E35">
    <cfRule type="cellIs" dxfId="1272" priority="705" operator="lessThan">
      <formula>0</formula>
    </cfRule>
  </conditionalFormatting>
  <conditionalFormatting sqref="E4:E35">
    <cfRule type="cellIs" dxfId="1271" priority="704" operator="lessThan">
      <formula>0</formula>
    </cfRule>
  </conditionalFormatting>
  <conditionalFormatting sqref="E4:E35">
    <cfRule type="cellIs" dxfId="1270" priority="703" operator="lessThan">
      <formula>0</formula>
    </cfRule>
  </conditionalFormatting>
  <conditionalFormatting sqref="E4:E35">
    <cfRule type="cellIs" dxfId="1269" priority="702" operator="lessThan">
      <formula>0</formula>
    </cfRule>
  </conditionalFormatting>
  <conditionalFormatting sqref="E4:E35">
    <cfRule type="cellIs" dxfId="1268" priority="701" operator="lessThan">
      <formula>0</formula>
    </cfRule>
  </conditionalFormatting>
  <conditionalFormatting sqref="E4:E35">
    <cfRule type="cellIs" dxfId="1267" priority="700" operator="lessThan">
      <formula>0</formula>
    </cfRule>
  </conditionalFormatting>
  <conditionalFormatting sqref="E4:E35">
    <cfRule type="cellIs" dxfId="1266" priority="699" operator="lessThan">
      <formula>0</formula>
    </cfRule>
  </conditionalFormatting>
  <conditionalFormatting sqref="E4:E35">
    <cfRule type="cellIs" dxfId="1265" priority="698" operator="lessThan">
      <formula>0</formula>
    </cfRule>
  </conditionalFormatting>
  <conditionalFormatting sqref="E4:E35">
    <cfRule type="cellIs" dxfId="1264" priority="697" operator="lessThan">
      <formula>0</formula>
    </cfRule>
  </conditionalFormatting>
  <conditionalFormatting sqref="E4:E35">
    <cfRule type="cellIs" dxfId="1263" priority="696" operator="lessThan">
      <formula>0</formula>
    </cfRule>
  </conditionalFormatting>
  <conditionalFormatting sqref="E4:E35">
    <cfRule type="cellIs" dxfId="1262" priority="695" operator="lessThan">
      <formula>0</formula>
    </cfRule>
  </conditionalFormatting>
  <conditionalFormatting sqref="E4:E35">
    <cfRule type="cellIs" dxfId="1261" priority="694" operator="lessThan">
      <formula>0</formula>
    </cfRule>
  </conditionalFormatting>
  <conditionalFormatting sqref="E4:E35">
    <cfRule type="cellIs" dxfId="1260" priority="693" operator="lessThan">
      <formula>0</formula>
    </cfRule>
  </conditionalFormatting>
  <conditionalFormatting sqref="E4:E35">
    <cfRule type="cellIs" dxfId="1259" priority="692" operator="lessThan">
      <formula>0</formula>
    </cfRule>
  </conditionalFormatting>
  <conditionalFormatting sqref="E4:E35">
    <cfRule type="cellIs" dxfId="1258" priority="691" operator="lessThan">
      <formula>0</formula>
    </cfRule>
  </conditionalFormatting>
  <conditionalFormatting sqref="E4:E35">
    <cfRule type="cellIs" dxfId="1257" priority="690" operator="lessThan">
      <formula>0</formula>
    </cfRule>
  </conditionalFormatting>
  <conditionalFormatting sqref="E4:E35">
    <cfRule type="cellIs" dxfId="1256" priority="689" operator="lessThan">
      <formula>0</formula>
    </cfRule>
  </conditionalFormatting>
  <conditionalFormatting sqref="E4:E35">
    <cfRule type="cellIs" dxfId="1255" priority="688" operator="lessThan">
      <formula>0</formula>
    </cfRule>
  </conditionalFormatting>
  <conditionalFormatting sqref="E4:E35">
    <cfRule type="cellIs" dxfId="1254" priority="687" operator="lessThan">
      <formula>0</formula>
    </cfRule>
  </conditionalFormatting>
  <conditionalFormatting sqref="E4:E35">
    <cfRule type="cellIs" dxfId="1253" priority="686" operator="lessThan">
      <formula>0</formula>
    </cfRule>
  </conditionalFormatting>
  <conditionalFormatting sqref="J4:J35">
    <cfRule type="cellIs" dxfId="1252" priority="685" operator="lessThan">
      <formula>0</formula>
    </cfRule>
  </conditionalFormatting>
  <conditionalFormatting sqref="J4:J35">
    <cfRule type="cellIs" dxfId="1251" priority="684" operator="lessThan">
      <formula>0</formula>
    </cfRule>
  </conditionalFormatting>
  <conditionalFormatting sqref="J4:J35">
    <cfRule type="cellIs" dxfId="1250" priority="683" operator="lessThan">
      <formula>0</formula>
    </cfRule>
  </conditionalFormatting>
  <conditionalFormatting sqref="J4:J35">
    <cfRule type="cellIs" dxfId="1249" priority="682" operator="lessThan">
      <formula>0</formula>
    </cfRule>
  </conditionalFormatting>
  <conditionalFormatting sqref="J4:J35">
    <cfRule type="cellIs" dxfId="1248" priority="681" operator="lessThan">
      <formula>0</formula>
    </cfRule>
  </conditionalFormatting>
  <conditionalFormatting sqref="J4:J35">
    <cfRule type="cellIs" dxfId="1247" priority="680" operator="lessThan">
      <formula>0</formula>
    </cfRule>
  </conditionalFormatting>
  <conditionalFormatting sqref="J4:J35">
    <cfRule type="cellIs" dxfId="1246" priority="679" operator="lessThan">
      <formula>0</formula>
    </cfRule>
  </conditionalFormatting>
  <conditionalFormatting sqref="J4:J35">
    <cfRule type="cellIs" dxfId="1245" priority="678" operator="lessThan">
      <formula>0</formula>
    </cfRule>
  </conditionalFormatting>
  <conditionalFormatting sqref="J4:J35">
    <cfRule type="cellIs" dxfId="1244" priority="677" operator="lessThan">
      <formula>0</formula>
    </cfRule>
  </conditionalFormatting>
  <conditionalFormatting sqref="J4:J35">
    <cfRule type="cellIs" dxfId="1243" priority="676" operator="lessThan">
      <formula>0</formula>
    </cfRule>
  </conditionalFormatting>
  <conditionalFormatting sqref="J4:J35">
    <cfRule type="cellIs" dxfId="1242" priority="675" operator="lessThan">
      <formula>0</formula>
    </cfRule>
  </conditionalFormatting>
  <conditionalFormatting sqref="J4:J35">
    <cfRule type="cellIs" dxfId="1241" priority="674" operator="lessThan">
      <formula>0</formula>
    </cfRule>
  </conditionalFormatting>
  <conditionalFormatting sqref="J4:J35">
    <cfRule type="cellIs" dxfId="1240" priority="673" operator="lessThan">
      <formula>0</formula>
    </cfRule>
  </conditionalFormatting>
  <conditionalFormatting sqref="J4:J35">
    <cfRule type="cellIs" dxfId="1239" priority="672" operator="lessThan">
      <formula>0</formula>
    </cfRule>
  </conditionalFormatting>
  <conditionalFormatting sqref="J4:J35">
    <cfRule type="cellIs" dxfId="1238" priority="671" operator="lessThan">
      <formula>0</formula>
    </cfRule>
  </conditionalFormatting>
  <conditionalFormatting sqref="J4:J35">
    <cfRule type="cellIs" dxfId="1237" priority="670" operator="lessThan">
      <formula>0</formula>
    </cfRule>
  </conditionalFormatting>
  <conditionalFormatting sqref="J4:J35">
    <cfRule type="cellIs" dxfId="1236" priority="669" operator="lessThan">
      <formula>0</formula>
    </cfRule>
  </conditionalFormatting>
  <conditionalFormatting sqref="J4:J35">
    <cfRule type="cellIs" dxfId="1235" priority="668" operator="lessThan">
      <formula>0</formula>
    </cfRule>
  </conditionalFormatting>
  <conditionalFormatting sqref="J4:J35">
    <cfRule type="cellIs" dxfId="1234" priority="667" operator="lessThan">
      <formula>0</formula>
    </cfRule>
  </conditionalFormatting>
  <conditionalFormatting sqref="J4:J35">
    <cfRule type="cellIs" dxfId="1233" priority="666" operator="lessThan">
      <formula>0</formula>
    </cfRule>
  </conditionalFormatting>
  <conditionalFormatting sqref="J4:J35">
    <cfRule type="cellIs" dxfId="1232" priority="665" operator="lessThan">
      <formula>0</formula>
    </cfRule>
  </conditionalFormatting>
  <conditionalFormatting sqref="J4:J35">
    <cfRule type="cellIs" dxfId="1231" priority="664" operator="lessThan">
      <formula>0</formula>
    </cfRule>
  </conditionalFormatting>
  <conditionalFormatting sqref="J4:J35">
    <cfRule type="cellIs" dxfId="1230" priority="663" operator="lessThan">
      <formula>0</formula>
    </cfRule>
  </conditionalFormatting>
  <conditionalFormatting sqref="J4:J35">
    <cfRule type="cellIs" dxfId="1229" priority="662" operator="lessThan">
      <formula>0</formula>
    </cfRule>
  </conditionalFormatting>
  <conditionalFormatting sqref="J4:J35">
    <cfRule type="cellIs" dxfId="1228" priority="661" operator="lessThan">
      <formula>0</formula>
    </cfRule>
  </conditionalFormatting>
  <conditionalFormatting sqref="J4:J35">
    <cfRule type="cellIs" dxfId="1227" priority="660" operator="lessThan">
      <formula>0</formula>
    </cfRule>
  </conditionalFormatting>
  <conditionalFormatting sqref="J4:J35">
    <cfRule type="cellIs" dxfId="1226" priority="659" operator="lessThan">
      <formula>0</formula>
    </cfRule>
  </conditionalFormatting>
  <conditionalFormatting sqref="J4:J35">
    <cfRule type="cellIs" dxfId="1225" priority="658" operator="lessThan">
      <formula>0</formula>
    </cfRule>
  </conditionalFormatting>
  <conditionalFormatting sqref="J4:J35">
    <cfRule type="cellIs" dxfId="1224" priority="657" operator="lessThan">
      <formula>0</formula>
    </cfRule>
  </conditionalFormatting>
  <conditionalFormatting sqref="J4:J35">
    <cfRule type="cellIs" dxfId="1223" priority="656" operator="lessThan">
      <formula>0</formula>
    </cfRule>
  </conditionalFormatting>
  <conditionalFormatting sqref="J4:J35">
    <cfRule type="cellIs" dxfId="1222" priority="655" operator="lessThan">
      <formula>0</formula>
    </cfRule>
  </conditionalFormatting>
  <conditionalFormatting sqref="J4:J35">
    <cfRule type="cellIs" dxfId="1221" priority="654" operator="lessThan">
      <formula>0</formula>
    </cfRule>
  </conditionalFormatting>
  <conditionalFormatting sqref="J4:J35">
    <cfRule type="cellIs" dxfId="1220" priority="653" operator="lessThan">
      <formula>0</formula>
    </cfRule>
  </conditionalFormatting>
  <conditionalFormatting sqref="J4:J35">
    <cfRule type="cellIs" dxfId="1219" priority="652" operator="lessThan">
      <formula>0</formula>
    </cfRule>
  </conditionalFormatting>
  <conditionalFormatting sqref="J4:J35">
    <cfRule type="cellIs" dxfId="1218" priority="651" operator="lessThan">
      <formula>0</formula>
    </cfRule>
  </conditionalFormatting>
  <conditionalFormatting sqref="J4:J35">
    <cfRule type="cellIs" dxfId="1217" priority="650" operator="lessThan">
      <formula>0</formula>
    </cfRule>
  </conditionalFormatting>
  <conditionalFormatting sqref="J4:J35">
    <cfRule type="cellIs" dxfId="1216" priority="649" operator="lessThan">
      <formula>0</formula>
    </cfRule>
  </conditionalFormatting>
  <conditionalFormatting sqref="J4:J35">
    <cfRule type="cellIs" dxfId="1215" priority="648" operator="lessThan">
      <formula>0</formula>
    </cfRule>
  </conditionalFormatting>
  <conditionalFormatting sqref="J4:J35">
    <cfRule type="cellIs" dxfId="1214" priority="647" operator="lessThan">
      <formula>0</formula>
    </cfRule>
  </conditionalFormatting>
  <conditionalFormatting sqref="J4:J35">
    <cfRule type="cellIs" dxfId="1213" priority="646" operator="lessThan">
      <formula>0</formula>
    </cfRule>
  </conditionalFormatting>
  <conditionalFormatting sqref="J4:J35">
    <cfRule type="cellIs" dxfId="1212" priority="645" operator="lessThan">
      <formula>0</formula>
    </cfRule>
  </conditionalFormatting>
  <conditionalFormatting sqref="L4:L35">
    <cfRule type="cellIs" dxfId="1211" priority="644" operator="lessThan">
      <formula>0</formula>
    </cfRule>
  </conditionalFormatting>
  <conditionalFormatting sqref="L4:L35">
    <cfRule type="cellIs" dxfId="1210" priority="643" operator="lessThan">
      <formula>0</formula>
    </cfRule>
  </conditionalFormatting>
  <conditionalFormatting sqref="L4:L35">
    <cfRule type="cellIs" dxfId="1209" priority="642" operator="lessThan">
      <formula>0</formula>
    </cfRule>
  </conditionalFormatting>
  <conditionalFormatting sqref="L4:L35">
    <cfRule type="cellIs" dxfId="1208" priority="641" operator="lessThan">
      <formula>0</formula>
    </cfRule>
  </conditionalFormatting>
  <conditionalFormatting sqref="L4:L35">
    <cfRule type="cellIs" dxfId="1207" priority="640" operator="lessThan">
      <formula>0</formula>
    </cfRule>
  </conditionalFormatting>
  <conditionalFormatting sqref="L4:L35">
    <cfRule type="cellIs" dxfId="1206" priority="639" operator="lessThan">
      <formula>0</formula>
    </cfRule>
  </conditionalFormatting>
  <conditionalFormatting sqref="L4:L35">
    <cfRule type="cellIs" dxfId="1205" priority="638" operator="lessThan">
      <formula>0</formula>
    </cfRule>
  </conditionalFormatting>
  <conditionalFormatting sqref="L4:L35">
    <cfRule type="cellIs" dxfId="1204" priority="637" operator="lessThan">
      <formula>0</formula>
    </cfRule>
  </conditionalFormatting>
  <conditionalFormatting sqref="L4:L35">
    <cfRule type="cellIs" dxfId="1203" priority="636" operator="lessThan">
      <formula>0</formula>
    </cfRule>
  </conditionalFormatting>
  <conditionalFormatting sqref="L4:L35">
    <cfRule type="cellIs" dxfId="1202" priority="635" operator="lessThan">
      <formula>0</formula>
    </cfRule>
  </conditionalFormatting>
  <conditionalFormatting sqref="L4:L35">
    <cfRule type="cellIs" dxfId="1201" priority="634" operator="lessThan">
      <formula>0</formula>
    </cfRule>
  </conditionalFormatting>
  <conditionalFormatting sqref="L4:L35">
    <cfRule type="cellIs" dxfId="1200" priority="633" operator="lessThan">
      <formula>0</formula>
    </cfRule>
  </conditionalFormatting>
  <conditionalFormatting sqref="J4:J35">
    <cfRule type="cellIs" dxfId="1199" priority="632" operator="lessThan">
      <formula>0</formula>
    </cfRule>
  </conditionalFormatting>
  <conditionalFormatting sqref="J4:J35">
    <cfRule type="cellIs" dxfId="1198" priority="631" operator="lessThan">
      <formula>0</formula>
    </cfRule>
  </conditionalFormatting>
  <conditionalFormatting sqref="J4:J35">
    <cfRule type="cellIs" dxfId="1197" priority="630" operator="lessThan">
      <formula>0</formula>
    </cfRule>
  </conditionalFormatting>
  <conditionalFormatting sqref="J4:J35">
    <cfRule type="cellIs" dxfId="1196" priority="629" operator="lessThan">
      <formula>0</formula>
    </cfRule>
  </conditionalFormatting>
  <conditionalFormatting sqref="J4:J35">
    <cfRule type="cellIs" dxfId="1195" priority="628" operator="lessThan">
      <formula>0</formula>
    </cfRule>
  </conditionalFormatting>
  <conditionalFormatting sqref="J4:J35">
    <cfRule type="cellIs" dxfId="1194" priority="627" operator="lessThan">
      <formula>0</formula>
    </cfRule>
  </conditionalFormatting>
  <conditionalFormatting sqref="J4:J35">
    <cfRule type="cellIs" dxfId="1193" priority="626" operator="lessThan">
      <formula>0</formula>
    </cfRule>
  </conditionalFormatting>
  <conditionalFormatting sqref="J4:J35">
    <cfRule type="cellIs" dxfId="1192" priority="625" operator="lessThan">
      <formula>0</formula>
    </cfRule>
  </conditionalFormatting>
  <conditionalFormatting sqref="J4:J35">
    <cfRule type="cellIs" dxfId="1191" priority="624" operator="lessThan">
      <formula>0</formula>
    </cfRule>
  </conditionalFormatting>
  <conditionalFormatting sqref="J4:J35">
    <cfRule type="cellIs" dxfId="1190" priority="623" operator="lessThan">
      <formula>0</formula>
    </cfRule>
  </conditionalFormatting>
  <conditionalFormatting sqref="J4:J35">
    <cfRule type="cellIs" dxfId="1189" priority="622" operator="lessThan">
      <formula>0</formula>
    </cfRule>
  </conditionalFormatting>
  <conditionalFormatting sqref="J4:J35">
    <cfRule type="cellIs" dxfId="1188" priority="621" operator="lessThan">
      <formula>0</formula>
    </cfRule>
  </conditionalFormatting>
  <conditionalFormatting sqref="J4:J35">
    <cfRule type="cellIs" dxfId="1187" priority="620" operator="lessThan">
      <formula>0</formula>
    </cfRule>
  </conditionalFormatting>
  <conditionalFormatting sqref="J4:J35">
    <cfRule type="cellIs" dxfId="1186" priority="619" operator="lessThan">
      <formula>0</formula>
    </cfRule>
  </conditionalFormatting>
  <conditionalFormatting sqref="J4:J35">
    <cfRule type="cellIs" dxfId="1185" priority="618" operator="lessThan">
      <formula>0</formula>
    </cfRule>
  </conditionalFormatting>
  <conditionalFormatting sqref="J4:J35">
    <cfRule type="cellIs" dxfId="1184" priority="617" operator="lessThan">
      <formula>0</formula>
    </cfRule>
  </conditionalFormatting>
  <conditionalFormatting sqref="J4:J35">
    <cfRule type="cellIs" dxfId="1183" priority="616" operator="lessThan">
      <formula>0</formula>
    </cfRule>
  </conditionalFormatting>
  <conditionalFormatting sqref="J4:J35">
    <cfRule type="cellIs" dxfId="1182" priority="615" operator="lessThan">
      <formula>0</formula>
    </cfRule>
  </conditionalFormatting>
  <conditionalFormatting sqref="J4:J35">
    <cfRule type="cellIs" dxfId="1181" priority="614" operator="lessThan">
      <formula>0</formula>
    </cfRule>
  </conditionalFormatting>
  <conditionalFormatting sqref="J4:J35">
    <cfRule type="cellIs" dxfId="1180" priority="613" operator="lessThan">
      <formula>0</formula>
    </cfRule>
  </conditionalFormatting>
  <conditionalFormatting sqref="J4:J35">
    <cfRule type="cellIs" dxfId="1179" priority="612" operator="lessThan">
      <formula>0</formula>
    </cfRule>
  </conditionalFormatting>
  <conditionalFormatting sqref="J4:J35">
    <cfRule type="cellIs" dxfId="1178" priority="611" operator="lessThan">
      <formula>0</formula>
    </cfRule>
  </conditionalFormatting>
  <conditionalFormatting sqref="J4:J35">
    <cfRule type="cellIs" dxfId="1177" priority="610" operator="lessThan">
      <formula>0</formula>
    </cfRule>
  </conditionalFormatting>
  <conditionalFormatting sqref="J4:J35">
    <cfRule type="cellIs" dxfId="1176" priority="609" operator="lessThan">
      <formula>0</formula>
    </cfRule>
  </conditionalFormatting>
  <conditionalFormatting sqref="J4:J35">
    <cfRule type="cellIs" dxfId="1175" priority="608" operator="lessThan">
      <formula>0</formula>
    </cfRule>
  </conditionalFormatting>
  <conditionalFormatting sqref="J4:J35">
    <cfRule type="cellIs" dxfId="1174" priority="607" operator="lessThan">
      <formula>0</formula>
    </cfRule>
  </conditionalFormatting>
  <conditionalFormatting sqref="J4:J35">
    <cfRule type="cellIs" dxfId="1173" priority="606" operator="lessThan">
      <formula>0</formula>
    </cfRule>
  </conditionalFormatting>
  <conditionalFormatting sqref="J4:J35">
    <cfRule type="cellIs" dxfId="1172" priority="605" operator="lessThan">
      <formula>0</formula>
    </cfRule>
  </conditionalFormatting>
  <conditionalFormatting sqref="J4:J35">
    <cfRule type="cellIs" dxfId="1171" priority="604" operator="lessThan">
      <formula>0</formula>
    </cfRule>
  </conditionalFormatting>
  <conditionalFormatting sqref="J4:J35">
    <cfRule type="cellIs" dxfId="1170" priority="603" operator="lessThan">
      <formula>0</formula>
    </cfRule>
  </conditionalFormatting>
  <conditionalFormatting sqref="J4:J35">
    <cfRule type="cellIs" dxfId="1169" priority="602" operator="lessThan">
      <formula>0</formula>
    </cfRule>
  </conditionalFormatting>
  <conditionalFormatting sqref="J4:J35">
    <cfRule type="cellIs" dxfId="1168" priority="601" operator="lessThan">
      <formula>0</formula>
    </cfRule>
  </conditionalFormatting>
  <conditionalFormatting sqref="J4:J35">
    <cfRule type="cellIs" dxfId="1167" priority="600" operator="lessThan">
      <formula>0</formula>
    </cfRule>
  </conditionalFormatting>
  <conditionalFormatting sqref="J4:J35">
    <cfRule type="cellIs" dxfId="1166" priority="599" operator="lessThan">
      <formula>0</formula>
    </cfRule>
  </conditionalFormatting>
  <conditionalFormatting sqref="J4:J35">
    <cfRule type="cellIs" dxfId="1165" priority="598" operator="lessThan">
      <formula>0</formula>
    </cfRule>
  </conditionalFormatting>
  <conditionalFormatting sqref="J4:J35">
    <cfRule type="cellIs" dxfId="1164" priority="597" operator="lessThan">
      <formula>0</formula>
    </cfRule>
  </conditionalFormatting>
  <conditionalFormatting sqref="J4:J35">
    <cfRule type="cellIs" dxfId="1163" priority="596" operator="lessThan">
      <formula>0</formula>
    </cfRule>
  </conditionalFormatting>
  <conditionalFormatting sqref="J4:J35">
    <cfRule type="cellIs" dxfId="1162" priority="595" operator="lessThan">
      <formula>0</formula>
    </cfRule>
  </conditionalFormatting>
  <conditionalFormatting sqref="J4:J35">
    <cfRule type="cellIs" dxfId="1161" priority="594" operator="lessThan">
      <formula>0</formula>
    </cfRule>
  </conditionalFormatting>
  <conditionalFormatting sqref="J4:J35">
    <cfRule type="cellIs" dxfId="1160" priority="593" operator="lessThan">
      <formula>0</formula>
    </cfRule>
  </conditionalFormatting>
  <conditionalFormatting sqref="J4:J35">
    <cfRule type="cellIs" dxfId="1159" priority="592" operator="lessThan">
      <formula>0</formula>
    </cfRule>
  </conditionalFormatting>
  <conditionalFormatting sqref="J4:J35">
    <cfRule type="cellIs" dxfId="1158" priority="591" operator="lessThan">
      <formula>0</formula>
    </cfRule>
  </conditionalFormatting>
  <conditionalFormatting sqref="J4:J35">
    <cfRule type="cellIs" dxfId="1157" priority="590" operator="lessThan">
      <formula>0</formula>
    </cfRule>
  </conditionalFormatting>
  <conditionalFormatting sqref="H4:H36">
    <cfRule type="cellIs" dxfId="1156" priority="589" operator="lessThan">
      <formula>0</formula>
    </cfRule>
  </conditionalFormatting>
  <conditionalFormatting sqref="H4:H36">
    <cfRule type="cellIs" dxfId="1155" priority="588" operator="lessThan">
      <formula>0</formula>
    </cfRule>
  </conditionalFormatting>
  <conditionalFormatting sqref="H4:H36">
    <cfRule type="cellIs" dxfId="1154" priority="587" operator="lessThan">
      <formula>0</formula>
    </cfRule>
  </conditionalFormatting>
  <conditionalFormatting sqref="H4:H36">
    <cfRule type="cellIs" dxfId="1153" priority="586" operator="lessThan">
      <formula>0</formula>
    </cfRule>
  </conditionalFormatting>
  <conditionalFormatting sqref="H4:H36">
    <cfRule type="cellIs" dxfId="1152" priority="585" operator="lessThan">
      <formula>0</formula>
    </cfRule>
  </conditionalFormatting>
  <conditionalFormatting sqref="H4:H36">
    <cfRule type="cellIs" dxfId="1151" priority="584" operator="lessThan">
      <formula>0</formula>
    </cfRule>
  </conditionalFormatting>
  <conditionalFormatting sqref="H4:H36">
    <cfRule type="cellIs" dxfId="1150" priority="583" operator="lessThan">
      <formula>0</formula>
    </cfRule>
  </conditionalFormatting>
  <conditionalFormatting sqref="H4:H36">
    <cfRule type="cellIs" dxfId="1149" priority="582" operator="lessThan">
      <formula>0</formula>
    </cfRule>
  </conditionalFormatting>
  <conditionalFormatting sqref="H4:H36">
    <cfRule type="cellIs" dxfId="1148" priority="581" operator="lessThan">
      <formula>0</formula>
    </cfRule>
  </conditionalFormatting>
  <conditionalFormatting sqref="H4:H36">
    <cfRule type="cellIs" dxfId="1147" priority="580" operator="lessThan">
      <formula>0</formula>
    </cfRule>
  </conditionalFormatting>
  <conditionalFormatting sqref="L4:L35">
    <cfRule type="cellIs" dxfId="1146" priority="579" operator="lessThan">
      <formula>0</formula>
    </cfRule>
  </conditionalFormatting>
  <conditionalFormatting sqref="E4:E35">
    <cfRule type="cellIs" dxfId="1145" priority="578" operator="lessThan">
      <formula>0</formula>
    </cfRule>
  </conditionalFormatting>
  <conditionalFormatting sqref="E4:E35">
    <cfRule type="cellIs" dxfId="1144" priority="577" operator="lessThan">
      <formula>0</formula>
    </cfRule>
  </conditionalFormatting>
  <conditionalFormatting sqref="E4:E35">
    <cfRule type="cellIs" dxfId="1143" priority="576" operator="lessThan">
      <formula>0</formula>
    </cfRule>
  </conditionalFormatting>
  <conditionalFormatting sqref="E4:E35">
    <cfRule type="cellIs" dxfId="1142" priority="575" operator="lessThan">
      <formula>0</formula>
    </cfRule>
  </conditionalFormatting>
  <conditionalFormatting sqref="E4:E35">
    <cfRule type="cellIs" dxfId="1141" priority="574" operator="lessThan">
      <formula>0</formula>
    </cfRule>
  </conditionalFormatting>
  <conditionalFormatting sqref="E4:E35">
    <cfRule type="cellIs" dxfId="1140" priority="573" operator="lessThan">
      <formula>0</formula>
    </cfRule>
  </conditionalFormatting>
  <conditionalFormatting sqref="E4:E35">
    <cfRule type="cellIs" dxfId="1139" priority="572" operator="lessThan">
      <formula>0</formula>
    </cfRule>
  </conditionalFormatting>
  <conditionalFormatting sqref="E4:E35">
    <cfRule type="cellIs" dxfId="1138" priority="571" operator="lessThan">
      <formula>0</formula>
    </cfRule>
  </conditionalFormatting>
  <conditionalFormatting sqref="E4:E35">
    <cfRule type="cellIs" dxfId="1137" priority="570" operator="lessThan">
      <formula>0</formula>
    </cfRule>
  </conditionalFormatting>
  <conditionalFormatting sqref="E4:E35">
    <cfRule type="cellIs" dxfId="1136" priority="569" operator="lessThan">
      <formula>0</formula>
    </cfRule>
  </conditionalFormatting>
  <conditionalFormatting sqref="E4:E35">
    <cfRule type="cellIs" dxfId="1135" priority="568" operator="lessThan">
      <formula>0</formula>
    </cfRule>
  </conditionalFormatting>
  <conditionalFormatting sqref="E4:E35">
    <cfRule type="cellIs" dxfId="1134" priority="567" operator="lessThan">
      <formula>0</formula>
    </cfRule>
  </conditionalFormatting>
  <conditionalFormatting sqref="E4:E35">
    <cfRule type="cellIs" dxfId="1133" priority="566" operator="lessThan">
      <formula>0</formula>
    </cfRule>
  </conditionalFormatting>
  <conditionalFormatting sqref="E4:E35">
    <cfRule type="cellIs" dxfId="1132" priority="565" operator="lessThan">
      <formula>0</formula>
    </cfRule>
  </conditionalFormatting>
  <conditionalFormatting sqref="E4:E35">
    <cfRule type="cellIs" dxfId="1131" priority="564" operator="lessThan">
      <formula>0</formula>
    </cfRule>
  </conditionalFormatting>
  <conditionalFormatting sqref="E4:E35">
    <cfRule type="cellIs" dxfId="1130" priority="563" operator="lessThan">
      <formula>0</formula>
    </cfRule>
  </conditionalFormatting>
  <conditionalFormatting sqref="E4:E35">
    <cfRule type="cellIs" dxfId="1129" priority="562" operator="lessThan">
      <formula>0</formula>
    </cfRule>
  </conditionalFormatting>
  <conditionalFormatting sqref="E4:E35">
    <cfRule type="cellIs" dxfId="1128" priority="561" operator="lessThan">
      <formula>0</formula>
    </cfRule>
  </conditionalFormatting>
  <conditionalFormatting sqref="E4:E35">
    <cfRule type="cellIs" dxfId="1127" priority="560" operator="lessThan">
      <formula>0</formula>
    </cfRule>
  </conditionalFormatting>
  <conditionalFormatting sqref="E4:E35">
    <cfRule type="cellIs" dxfId="1126" priority="559" operator="lessThan">
      <formula>0</formula>
    </cfRule>
  </conditionalFormatting>
  <conditionalFormatting sqref="E4:E35">
    <cfRule type="cellIs" dxfId="1125" priority="558" operator="lessThan">
      <formula>0</formula>
    </cfRule>
  </conditionalFormatting>
  <conditionalFormatting sqref="E4:E35">
    <cfRule type="cellIs" dxfId="1124" priority="557" operator="lessThan">
      <formula>0</formula>
    </cfRule>
  </conditionalFormatting>
  <conditionalFormatting sqref="E4:E35">
    <cfRule type="cellIs" dxfId="1123" priority="556" operator="lessThan">
      <formula>0</formula>
    </cfRule>
  </conditionalFormatting>
  <conditionalFormatting sqref="E4:E35">
    <cfRule type="cellIs" dxfId="1122" priority="555" operator="lessThan">
      <formula>0</formula>
    </cfRule>
  </conditionalFormatting>
  <conditionalFormatting sqref="E4:E35">
    <cfRule type="cellIs" dxfId="1121" priority="554" operator="lessThan">
      <formula>0</formula>
    </cfRule>
  </conditionalFormatting>
  <conditionalFormatting sqref="E4:E35">
    <cfRule type="cellIs" dxfId="1120" priority="553" operator="lessThan">
      <formula>0</formula>
    </cfRule>
  </conditionalFormatting>
  <conditionalFormatting sqref="E4:E35">
    <cfRule type="cellIs" dxfId="1119" priority="552" operator="lessThan">
      <formula>0</formula>
    </cfRule>
  </conditionalFormatting>
  <conditionalFormatting sqref="E4:E35">
    <cfRule type="cellIs" dxfId="1118" priority="551" operator="lessThan">
      <formula>0</formula>
    </cfRule>
  </conditionalFormatting>
  <conditionalFormatting sqref="E4:E35">
    <cfRule type="cellIs" dxfId="1117" priority="550" operator="lessThan">
      <formula>0</formula>
    </cfRule>
  </conditionalFormatting>
  <conditionalFormatting sqref="E4:E35">
    <cfRule type="cellIs" dxfId="1116" priority="549" operator="lessThan">
      <formula>0</formula>
    </cfRule>
  </conditionalFormatting>
  <conditionalFormatting sqref="E4:E35">
    <cfRule type="cellIs" dxfId="1115" priority="548" operator="lessThan">
      <formula>0</formula>
    </cfRule>
  </conditionalFormatting>
  <conditionalFormatting sqref="E4:E35">
    <cfRule type="cellIs" dxfId="1114" priority="547" operator="lessThan">
      <formula>0</formula>
    </cfRule>
  </conditionalFormatting>
  <conditionalFormatting sqref="E4:E35">
    <cfRule type="cellIs" dxfId="1113" priority="546" operator="lessThan">
      <formula>0</formula>
    </cfRule>
  </conditionalFormatting>
  <conditionalFormatting sqref="E4:E35">
    <cfRule type="cellIs" dxfId="1112" priority="545" operator="lessThan">
      <formula>0</formula>
    </cfRule>
  </conditionalFormatting>
  <conditionalFormatting sqref="E4:E35">
    <cfRule type="cellIs" dxfId="1111" priority="544" operator="lessThan">
      <formula>0</formula>
    </cfRule>
  </conditionalFormatting>
  <conditionalFormatting sqref="E4:E35">
    <cfRule type="cellIs" dxfId="1110" priority="543" operator="lessThan">
      <formula>0</formula>
    </cfRule>
  </conditionalFormatting>
  <conditionalFormatting sqref="E4:E35">
    <cfRule type="cellIs" dxfId="1109" priority="542" operator="lessThan">
      <formula>0</formula>
    </cfRule>
  </conditionalFormatting>
  <conditionalFormatting sqref="E4:E35">
    <cfRule type="cellIs" dxfId="1108" priority="541" operator="lessThan">
      <formula>0</formula>
    </cfRule>
  </conditionalFormatting>
  <conditionalFormatting sqref="E4:E35">
    <cfRule type="cellIs" dxfId="1107" priority="540" operator="lessThan">
      <formula>0</formula>
    </cfRule>
  </conditionalFormatting>
  <conditionalFormatting sqref="E4:E35">
    <cfRule type="cellIs" dxfId="1106" priority="539" operator="lessThan">
      <formula>0</formula>
    </cfRule>
  </conditionalFormatting>
  <conditionalFormatting sqref="E4:E35">
    <cfRule type="cellIs" dxfId="1105" priority="538" operator="lessThan">
      <formula>0</formula>
    </cfRule>
  </conditionalFormatting>
  <conditionalFormatting sqref="E4:E35">
    <cfRule type="cellIs" dxfId="1104" priority="537" operator="lessThan">
      <formula>0</formula>
    </cfRule>
  </conditionalFormatting>
  <conditionalFormatting sqref="E4:E35">
    <cfRule type="cellIs" dxfId="1103" priority="536" operator="lessThan">
      <formula>0</formula>
    </cfRule>
  </conditionalFormatting>
  <conditionalFormatting sqref="E4:E35">
    <cfRule type="cellIs" dxfId="1102" priority="535" operator="lessThan">
      <formula>0</formula>
    </cfRule>
  </conditionalFormatting>
  <conditionalFormatting sqref="J4:J35">
    <cfRule type="cellIs" dxfId="1101" priority="534" operator="lessThan">
      <formula>0</formula>
    </cfRule>
  </conditionalFormatting>
  <conditionalFormatting sqref="J4:J35">
    <cfRule type="cellIs" dxfId="1100" priority="533" operator="lessThan">
      <formula>0</formula>
    </cfRule>
  </conditionalFormatting>
  <conditionalFormatting sqref="J4:J35">
    <cfRule type="cellIs" dxfId="1099" priority="532" operator="lessThan">
      <formula>0</formula>
    </cfRule>
  </conditionalFormatting>
  <conditionalFormatting sqref="J4:J35">
    <cfRule type="cellIs" dxfId="1098" priority="531" operator="lessThan">
      <formula>0</formula>
    </cfRule>
  </conditionalFormatting>
  <conditionalFormatting sqref="J4:J35">
    <cfRule type="cellIs" dxfId="1097" priority="530" operator="lessThan">
      <formula>0</formula>
    </cfRule>
  </conditionalFormatting>
  <conditionalFormatting sqref="J4:J35">
    <cfRule type="cellIs" dxfId="1096" priority="529" operator="lessThan">
      <formula>0</formula>
    </cfRule>
  </conditionalFormatting>
  <conditionalFormatting sqref="J4:J35">
    <cfRule type="cellIs" dxfId="1095" priority="528" operator="lessThan">
      <formula>0</formula>
    </cfRule>
  </conditionalFormatting>
  <conditionalFormatting sqref="J4:J35">
    <cfRule type="cellIs" dxfId="1094" priority="527" operator="lessThan">
      <formula>0</formula>
    </cfRule>
  </conditionalFormatting>
  <conditionalFormatting sqref="J4:J35">
    <cfRule type="cellIs" dxfId="1093" priority="526" operator="lessThan">
      <formula>0</formula>
    </cfRule>
  </conditionalFormatting>
  <conditionalFormatting sqref="J4:J35">
    <cfRule type="cellIs" dxfId="1092" priority="525" operator="lessThan">
      <formula>0</formula>
    </cfRule>
  </conditionalFormatting>
  <conditionalFormatting sqref="J4:J35">
    <cfRule type="cellIs" dxfId="1091" priority="524" operator="lessThan">
      <formula>0</formula>
    </cfRule>
  </conditionalFormatting>
  <conditionalFormatting sqref="J4:J35">
    <cfRule type="cellIs" dxfId="1090" priority="523" operator="lessThan">
      <formula>0</formula>
    </cfRule>
  </conditionalFormatting>
  <conditionalFormatting sqref="J4:J35">
    <cfRule type="cellIs" dxfId="1089" priority="522" operator="lessThan">
      <formula>0</formula>
    </cfRule>
  </conditionalFormatting>
  <conditionalFormatting sqref="J4:J35">
    <cfRule type="cellIs" dxfId="1088" priority="521" operator="lessThan">
      <formula>0</formula>
    </cfRule>
  </conditionalFormatting>
  <conditionalFormatting sqref="J4:J35">
    <cfRule type="cellIs" dxfId="1087" priority="520" operator="lessThan">
      <formula>0</formula>
    </cfRule>
  </conditionalFormatting>
  <conditionalFormatting sqref="J4:J35">
    <cfRule type="cellIs" dxfId="1086" priority="519" operator="lessThan">
      <formula>0</formula>
    </cfRule>
  </conditionalFormatting>
  <conditionalFormatting sqref="J4:J35">
    <cfRule type="cellIs" dxfId="1085" priority="518" operator="lessThan">
      <formula>0</formula>
    </cfRule>
  </conditionalFormatting>
  <conditionalFormatting sqref="J4:J35">
    <cfRule type="cellIs" dxfId="1084" priority="517" operator="lessThan">
      <formula>0</formula>
    </cfRule>
  </conditionalFormatting>
  <conditionalFormatting sqref="J4:J35">
    <cfRule type="cellIs" dxfId="1083" priority="516" operator="lessThan">
      <formula>0</formula>
    </cfRule>
  </conditionalFormatting>
  <conditionalFormatting sqref="J4:J35">
    <cfRule type="cellIs" dxfId="1082" priority="515" operator="lessThan">
      <formula>0</formula>
    </cfRule>
  </conditionalFormatting>
  <conditionalFormatting sqref="J4:J35">
    <cfRule type="cellIs" dxfId="1081" priority="514" operator="lessThan">
      <formula>0</formula>
    </cfRule>
  </conditionalFormatting>
  <conditionalFormatting sqref="J4:J35">
    <cfRule type="cellIs" dxfId="1080" priority="513" operator="lessThan">
      <formula>0</formula>
    </cfRule>
  </conditionalFormatting>
  <conditionalFormatting sqref="J4:J35">
    <cfRule type="cellIs" dxfId="1079" priority="512" operator="lessThan">
      <formula>0</formula>
    </cfRule>
  </conditionalFormatting>
  <conditionalFormatting sqref="J4:J35">
    <cfRule type="cellIs" dxfId="1078" priority="511" operator="lessThan">
      <formula>0</formula>
    </cfRule>
  </conditionalFormatting>
  <conditionalFormatting sqref="J4:J35">
    <cfRule type="cellIs" dxfId="1077" priority="510" operator="lessThan">
      <formula>0</formula>
    </cfRule>
  </conditionalFormatting>
  <conditionalFormatting sqref="J4:J35">
    <cfRule type="cellIs" dxfId="1076" priority="509" operator="lessThan">
      <formula>0</formula>
    </cfRule>
  </conditionalFormatting>
  <conditionalFormatting sqref="J4:J35">
    <cfRule type="cellIs" dxfId="1075" priority="508" operator="lessThan">
      <formula>0</formula>
    </cfRule>
  </conditionalFormatting>
  <conditionalFormatting sqref="J4:J35">
    <cfRule type="cellIs" dxfId="1074" priority="507" operator="lessThan">
      <formula>0</formula>
    </cfRule>
  </conditionalFormatting>
  <conditionalFormatting sqref="J4:J35">
    <cfRule type="cellIs" dxfId="1073" priority="506" operator="lessThan">
      <formula>0</formula>
    </cfRule>
  </conditionalFormatting>
  <conditionalFormatting sqref="J4:J35">
    <cfRule type="cellIs" dxfId="1072" priority="505" operator="lessThan">
      <formula>0</formula>
    </cfRule>
  </conditionalFormatting>
  <conditionalFormatting sqref="J4:J35">
    <cfRule type="cellIs" dxfId="1071" priority="504" operator="lessThan">
      <formula>0</formula>
    </cfRule>
  </conditionalFormatting>
  <conditionalFormatting sqref="J4:J35">
    <cfRule type="cellIs" dxfId="1070" priority="503" operator="lessThan">
      <formula>0</formula>
    </cfRule>
  </conditionalFormatting>
  <conditionalFormatting sqref="J4:J35">
    <cfRule type="cellIs" dxfId="1069" priority="502" operator="lessThan">
      <formula>0</formula>
    </cfRule>
  </conditionalFormatting>
  <conditionalFormatting sqref="J4:J35">
    <cfRule type="cellIs" dxfId="1068" priority="501" operator="lessThan">
      <formula>0</formula>
    </cfRule>
  </conditionalFormatting>
  <conditionalFormatting sqref="J4:J35">
    <cfRule type="cellIs" dxfId="1067" priority="500" operator="lessThan">
      <formula>0</formula>
    </cfRule>
  </conditionalFormatting>
  <conditionalFormatting sqref="J4:J35">
    <cfRule type="cellIs" dxfId="1066" priority="499" operator="lessThan">
      <formula>0</formula>
    </cfRule>
  </conditionalFormatting>
  <conditionalFormatting sqref="J4:J35">
    <cfRule type="cellIs" dxfId="1065" priority="498" operator="lessThan">
      <formula>0</formula>
    </cfRule>
  </conditionalFormatting>
  <conditionalFormatting sqref="J4:J35">
    <cfRule type="cellIs" dxfId="1064" priority="497" operator="lessThan">
      <formula>0</formula>
    </cfRule>
  </conditionalFormatting>
  <conditionalFormatting sqref="J4:J35">
    <cfRule type="cellIs" dxfId="1063" priority="496" operator="lessThan">
      <formula>0</formula>
    </cfRule>
  </conditionalFormatting>
  <conditionalFormatting sqref="J4:J35">
    <cfRule type="cellIs" dxfId="1062" priority="495" operator="lessThan">
      <formula>0</formula>
    </cfRule>
  </conditionalFormatting>
  <conditionalFormatting sqref="J4:J35">
    <cfRule type="cellIs" dxfId="1061" priority="494" operator="lessThan">
      <formula>0</formula>
    </cfRule>
  </conditionalFormatting>
  <conditionalFormatting sqref="J4:J35">
    <cfRule type="cellIs" dxfId="1060" priority="493" operator="lessThan">
      <formula>0</formula>
    </cfRule>
  </conditionalFormatting>
  <conditionalFormatting sqref="J4:J35">
    <cfRule type="cellIs" dxfId="1059" priority="492" operator="lessThan">
      <formula>0</formula>
    </cfRule>
  </conditionalFormatting>
  <conditionalFormatting sqref="J4:J35">
    <cfRule type="cellIs" dxfId="1058" priority="491" operator="lessThan">
      <formula>0</formula>
    </cfRule>
  </conditionalFormatting>
  <conditionalFormatting sqref="L4:L35">
    <cfRule type="cellIs" dxfId="1057" priority="490" operator="lessThan">
      <formula>0</formula>
    </cfRule>
  </conditionalFormatting>
  <conditionalFormatting sqref="L4:L35">
    <cfRule type="cellIs" dxfId="1056" priority="489" operator="lessThan">
      <formula>0</formula>
    </cfRule>
  </conditionalFormatting>
  <conditionalFormatting sqref="L4:L35">
    <cfRule type="cellIs" dxfId="1055" priority="488" operator="lessThan">
      <formula>0</formula>
    </cfRule>
  </conditionalFormatting>
  <conditionalFormatting sqref="L4:L35">
    <cfRule type="cellIs" dxfId="1054" priority="487" operator="lessThan">
      <formula>0</formula>
    </cfRule>
  </conditionalFormatting>
  <conditionalFormatting sqref="L4:L35">
    <cfRule type="cellIs" dxfId="1053" priority="486" operator="lessThan">
      <formula>0</formula>
    </cfRule>
  </conditionalFormatting>
  <conditionalFormatting sqref="L4:L35">
    <cfRule type="cellIs" dxfId="1052" priority="485" operator="lessThan">
      <formula>0</formula>
    </cfRule>
  </conditionalFormatting>
  <conditionalFormatting sqref="L4:L35">
    <cfRule type="cellIs" dxfId="1051" priority="484" operator="lessThan">
      <formula>0</formula>
    </cfRule>
  </conditionalFormatting>
  <conditionalFormatting sqref="L4:L35">
    <cfRule type="cellIs" dxfId="1050" priority="483" operator="lessThan">
      <formula>0</formula>
    </cfRule>
  </conditionalFormatting>
  <conditionalFormatting sqref="L4:L35">
    <cfRule type="cellIs" dxfId="1049" priority="482" operator="lessThan">
      <formula>0</formula>
    </cfRule>
  </conditionalFormatting>
  <conditionalFormatting sqref="L4:L35">
    <cfRule type="cellIs" dxfId="1048" priority="481" operator="lessThan">
      <formula>0</formula>
    </cfRule>
  </conditionalFormatting>
  <conditionalFormatting sqref="L4:L35">
    <cfRule type="cellIs" dxfId="1047" priority="480" operator="lessThan">
      <formula>0</formula>
    </cfRule>
  </conditionalFormatting>
  <conditionalFormatting sqref="L4:L35">
    <cfRule type="cellIs" dxfId="1046" priority="479" operator="lessThan">
      <formula>0</formula>
    </cfRule>
  </conditionalFormatting>
  <conditionalFormatting sqref="J4:J35">
    <cfRule type="cellIs" dxfId="1045" priority="478" operator="lessThan">
      <formula>0</formula>
    </cfRule>
  </conditionalFormatting>
  <conditionalFormatting sqref="J4:J35">
    <cfRule type="cellIs" dxfId="1044" priority="477" operator="lessThan">
      <formula>0</formula>
    </cfRule>
  </conditionalFormatting>
  <conditionalFormatting sqref="J4:J35">
    <cfRule type="cellIs" dxfId="1043" priority="476" operator="lessThan">
      <formula>0</formula>
    </cfRule>
  </conditionalFormatting>
  <conditionalFormatting sqref="J4:J35">
    <cfRule type="cellIs" dxfId="1042" priority="475" operator="lessThan">
      <formula>0</formula>
    </cfRule>
  </conditionalFormatting>
  <conditionalFormatting sqref="J4:J35">
    <cfRule type="cellIs" dxfId="1041" priority="474" operator="lessThan">
      <formula>0</formula>
    </cfRule>
  </conditionalFormatting>
  <conditionalFormatting sqref="J4:J35">
    <cfRule type="cellIs" dxfId="1040" priority="473" operator="lessThan">
      <formula>0</formula>
    </cfRule>
  </conditionalFormatting>
  <conditionalFormatting sqref="J4:J35">
    <cfRule type="cellIs" dxfId="1039" priority="472" operator="lessThan">
      <formula>0</formula>
    </cfRule>
  </conditionalFormatting>
  <conditionalFormatting sqref="J4:J35">
    <cfRule type="cellIs" dxfId="1038" priority="471" operator="lessThan">
      <formula>0</formula>
    </cfRule>
  </conditionalFormatting>
  <conditionalFormatting sqref="J4:J35">
    <cfRule type="cellIs" dxfId="1037" priority="470" operator="lessThan">
      <formula>0</formula>
    </cfRule>
  </conditionalFormatting>
  <conditionalFormatting sqref="J4:J35">
    <cfRule type="cellIs" dxfId="1036" priority="469" operator="lessThan">
      <formula>0</formula>
    </cfRule>
  </conditionalFormatting>
  <conditionalFormatting sqref="J4:J35">
    <cfRule type="cellIs" dxfId="1035" priority="468" operator="lessThan">
      <formula>0</formula>
    </cfRule>
  </conditionalFormatting>
  <conditionalFormatting sqref="J4:J35">
    <cfRule type="cellIs" dxfId="1034" priority="467" operator="lessThan">
      <formula>0</formula>
    </cfRule>
  </conditionalFormatting>
  <conditionalFormatting sqref="J4:J35">
    <cfRule type="cellIs" dxfId="1033" priority="466" operator="lessThan">
      <formula>0</formula>
    </cfRule>
  </conditionalFormatting>
  <conditionalFormatting sqref="J4:J35">
    <cfRule type="cellIs" dxfId="1032" priority="465" operator="lessThan">
      <formula>0</formula>
    </cfRule>
  </conditionalFormatting>
  <conditionalFormatting sqref="J4:J35">
    <cfRule type="cellIs" dxfId="1031" priority="464" operator="lessThan">
      <formula>0</formula>
    </cfRule>
  </conditionalFormatting>
  <conditionalFormatting sqref="J4:J35">
    <cfRule type="cellIs" dxfId="1030" priority="463" operator="lessThan">
      <formula>0</formula>
    </cfRule>
  </conditionalFormatting>
  <conditionalFormatting sqref="J4:J35">
    <cfRule type="cellIs" dxfId="1029" priority="462" operator="lessThan">
      <formula>0</formula>
    </cfRule>
  </conditionalFormatting>
  <conditionalFormatting sqref="J4:J35">
    <cfRule type="cellIs" dxfId="1028" priority="461" operator="lessThan">
      <formula>0</formula>
    </cfRule>
  </conditionalFormatting>
  <conditionalFormatting sqref="J4:J35">
    <cfRule type="cellIs" dxfId="1027" priority="460" operator="lessThan">
      <formula>0</formula>
    </cfRule>
  </conditionalFormatting>
  <conditionalFormatting sqref="J4:J35">
    <cfRule type="cellIs" dxfId="1026" priority="459" operator="lessThan">
      <formula>0</formula>
    </cfRule>
  </conditionalFormatting>
  <conditionalFormatting sqref="J4:J35">
    <cfRule type="cellIs" dxfId="1025" priority="458" operator="lessThan">
      <formula>0</formula>
    </cfRule>
  </conditionalFormatting>
  <conditionalFormatting sqref="J4:J35">
    <cfRule type="cellIs" dxfId="1024" priority="457" operator="lessThan">
      <formula>0</formula>
    </cfRule>
  </conditionalFormatting>
  <conditionalFormatting sqref="J4:J35">
    <cfRule type="cellIs" dxfId="1023" priority="456" operator="lessThan">
      <formula>0</formula>
    </cfRule>
  </conditionalFormatting>
  <conditionalFormatting sqref="J4:J35">
    <cfRule type="cellIs" dxfId="1022" priority="455" operator="lessThan">
      <formula>0</formula>
    </cfRule>
  </conditionalFormatting>
  <conditionalFormatting sqref="J4:J35">
    <cfRule type="cellIs" dxfId="1021" priority="454" operator="lessThan">
      <formula>0</formula>
    </cfRule>
  </conditionalFormatting>
  <conditionalFormatting sqref="J4:J35">
    <cfRule type="cellIs" dxfId="1020" priority="453" operator="lessThan">
      <formula>0</formula>
    </cfRule>
  </conditionalFormatting>
  <conditionalFormatting sqref="J4:J35">
    <cfRule type="cellIs" dxfId="1019" priority="452" operator="lessThan">
      <formula>0</formula>
    </cfRule>
  </conditionalFormatting>
  <conditionalFormatting sqref="J4:J35">
    <cfRule type="cellIs" dxfId="1018" priority="451" operator="lessThan">
      <formula>0</formula>
    </cfRule>
  </conditionalFormatting>
  <conditionalFormatting sqref="J4:J35">
    <cfRule type="cellIs" dxfId="1017" priority="450" operator="lessThan">
      <formula>0</formula>
    </cfRule>
  </conditionalFormatting>
  <conditionalFormatting sqref="J4:J35">
    <cfRule type="cellIs" dxfId="1016" priority="449" operator="lessThan">
      <formula>0</formula>
    </cfRule>
  </conditionalFormatting>
  <conditionalFormatting sqref="J4:J35">
    <cfRule type="cellIs" dxfId="1015" priority="448" operator="lessThan">
      <formula>0</formula>
    </cfRule>
  </conditionalFormatting>
  <conditionalFormatting sqref="J4:J35">
    <cfRule type="cellIs" dxfId="1014" priority="447" operator="lessThan">
      <formula>0</formula>
    </cfRule>
  </conditionalFormatting>
  <conditionalFormatting sqref="J4:J35">
    <cfRule type="cellIs" dxfId="1013" priority="446" operator="lessThan">
      <formula>0</formula>
    </cfRule>
  </conditionalFormatting>
  <conditionalFormatting sqref="J4:J35">
    <cfRule type="cellIs" dxfId="1012" priority="445" operator="lessThan">
      <formula>0</formula>
    </cfRule>
  </conditionalFormatting>
  <conditionalFormatting sqref="J4:J35">
    <cfRule type="cellIs" dxfId="1011" priority="444" operator="lessThan">
      <formula>0</formula>
    </cfRule>
  </conditionalFormatting>
  <conditionalFormatting sqref="J4:J35">
    <cfRule type="cellIs" dxfId="1010" priority="443" operator="lessThan">
      <formula>0</formula>
    </cfRule>
  </conditionalFormatting>
  <conditionalFormatting sqref="J4:J35">
    <cfRule type="cellIs" dxfId="1009" priority="442" operator="lessThan">
      <formula>0</formula>
    </cfRule>
  </conditionalFormatting>
  <conditionalFormatting sqref="J4:J35">
    <cfRule type="cellIs" dxfId="1008" priority="441" operator="lessThan">
      <formula>0</formula>
    </cfRule>
  </conditionalFormatting>
  <conditionalFormatting sqref="J4:J35">
    <cfRule type="cellIs" dxfId="1007" priority="440" operator="lessThan">
      <formula>0</formula>
    </cfRule>
  </conditionalFormatting>
  <conditionalFormatting sqref="J4:J35">
    <cfRule type="cellIs" dxfId="1006" priority="439" operator="lessThan">
      <formula>0</formula>
    </cfRule>
  </conditionalFormatting>
  <conditionalFormatting sqref="J4:J35">
    <cfRule type="cellIs" dxfId="1005" priority="438" operator="lessThan">
      <formula>0</formula>
    </cfRule>
  </conditionalFormatting>
  <conditionalFormatting sqref="J4:J35">
    <cfRule type="cellIs" dxfId="1004" priority="437" operator="lessThan">
      <formula>0</formula>
    </cfRule>
  </conditionalFormatting>
  <conditionalFormatting sqref="J4:J35">
    <cfRule type="cellIs" dxfId="1003" priority="436" operator="lessThan">
      <formula>0</formula>
    </cfRule>
  </conditionalFormatting>
  <conditionalFormatting sqref="J4:J35">
    <cfRule type="cellIs" dxfId="1002" priority="435" operator="lessThan">
      <formula>0</formula>
    </cfRule>
  </conditionalFormatting>
  <conditionalFormatting sqref="J4:J35">
    <cfRule type="cellIs" dxfId="1001" priority="434" operator="lessThan">
      <formula>0</formula>
    </cfRule>
  </conditionalFormatting>
  <conditionalFormatting sqref="L4:L35">
    <cfRule type="cellIs" dxfId="1000" priority="433" operator="lessThan">
      <formula>0</formula>
    </cfRule>
  </conditionalFormatting>
  <conditionalFormatting sqref="L4:L35">
    <cfRule type="cellIs" dxfId="999" priority="432" operator="lessThan">
      <formula>0</formula>
    </cfRule>
  </conditionalFormatting>
  <conditionalFormatting sqref="E4:E35">
    <cfRule type="cellIs" dxfId="998" priority="431" operator="lessThan">
      <formula>0</formula>
    </cfRule>
  </conditionalFormatting>
  <conditionalFormatting sqref="E4:E35">
    <cfRule type="cellIs" dxfId="997" priority="430" operator="lessThan">
      <formula>0</formula>
    </cfRule>
  </conditionalFormatting>
  <conditionalFormatting sqref="E4:E35">
    <cfRule type="cellIs" dxfId="996" priority="429" operator="lessThan">
      <formula>0</formula>
    </cfRule>
  </conditionalFormatting>
  <conditionalFormatting sqref="E4:E35">
    <cfRule type="cellIs" dxfId="995" priority="428" operator="lessThan">
      <formula>0</formula>
    </cfRule>
  </conditionalFormatting>
  <conditionalFormatting sqref="E4:E35">
    <cfRule type="cellIs" dxfId="994" priority="427" operator="lessThan">
      <formula>0</formula>
    </cfRule>
  </conditionalFormatting>
  <conditionalFormatting sqref="E4:E35">
    <cfRule type="cellIs" dxfId="993" priority="426" operator="lessThan">
      <formula>0</formula>
    </cfRule>
  </conditionalFormatting>
  <conditionalFormatting sqref="E4:E35">
    <cfRule type="cellIs" dxfId="992" priority="425" operator="lessThan">
      <formula>0</formula>
    </cfRule>
  </conditionalFormatting>
  <conditionalFormatting sqref="E4:E35">
    <cfRule type="cellIs" dxfId="991" priority="424" operator="lessThan">
      <formula>0</formula>
    </cfRule>
  </conditionalFormatting>
  <conditionalFormatting sqref="E4:E35">
    <cfRule type="cellIs" dxfId="990" priority="423" operator="lessThan">
      <formula>0</formula>
    </cfRule>
  </conditionalFormatting>
  <conditionalFormatting sqref="E4:E35">
    <cfRule type="cellIs" dxfId="989" priority="422" operator="lessThan">
      <formula>0</formula>
    </cfRule>
  </conditionalFormatting>
  <conditionalFormatting sqref="E4:E35">
    <cfRule type="cellIs" dxfId="988" priority="421" operator="lessThan">
      <formula>0</formula>
    </cfRule>
  </conditionalFormatting>
  <conditionalFormatting sqref="E4:E35">
    <cfRule type="cellIs" dxfId="987" priority="420" operator="lessThan">
      <formula>0</formula>
    </cfRule>
  </conditionalFormatting>
  <conditionalFormatting sqref="E4:E35">
    <cfRule type="cellIs" dxfId="986" priority="419" operator="lessThan">
      <formula>0</formula>
    </cfRule>
  </conditionalFormatting>
  <conditionalFormatting sqref="E4:E35">
    <cfRule type="cellIs" dxfId="985" priority="418" operator="lessThan">
      <formula>0</formula>
    </cfRule>
  </conditionalFormatting>
  <conditionalFormatting sqref="E4:E35">
    <cfRule type="cellIs" dxfId="984" priority="417" operator="lessThan">
      <formula>0</formula>
    </cfRule>
  </conditionalFormatting>
  <conditionalFormatting sqref="E4:E35">
    <cfRule type="cellIs" dxfId="983" priority="416" operator="lessThan">
      <formula>0</formula>
    </cfRule>
  </conditionalFormatting>
  <conditionalFormatting sqref="E4:E35">
    <cfRule type="cellIs" dxfId="982" priority="415" operator="lessThan">
      <formula>0</formula>
    </cfRule>
  </conditionalFormatting>
  <conditionalFormatting sqref="E4:E35">
    <cfRule type="cellIs" dxfId="981" priority="414" operator="lessThan">
      <formula>0</formula>
    </cfRule>
  </conditionalFormatting>
  <conditionalFormatting sqref="E4:E35">
    <cfRule type="cellIs" dxfId="980" priority="413" operator="lessThan">
      <formula>0</formula>
    </cfRule>
  </conditionalFormatting>
  <conditionalFormatting sqref="E4:E35">
    <cfRule type="cellIs" dxfId="979" priority="412" operator="lessThan">
      <formula>0</formula>
    </cfRule>
  </conditionalFormatting>
  <conditionalFormatting sqref="E4:E35">
    <cfRule type="cellIs" dxfId="978" priority="411" operator="lessThan">
      <formula>0</formula>
    </cfRule>
  </conditionalFormatting>
  <conditionalFormatting sqref="E4:E35">
    <cfRule type="cellIs" dxfId="977" priority="410" operator="lessThan">
      <formula>0</formula>
    </cfRule>
  </conditionalFormatting>
  <conditionalFormatting sqref="E4:E35">
    <cfRule type="cellIs" dxfId="976" priority="409" operator="lessThan">
      <formula>0</formula>
    </cfRule>
  </conditionalFormatting>
  <conditionalFormatting sqref="E4:E35">
    <cfRule type="cellIs" dxfId="975" priority="408" operator="lessThan">
      <formula>0</formula>
    </cfRule>
  </conditionalFormatting>
  <conditionalFormatting sqref="E4:E35">
    <cfRule type="cellIs" dxfId="974" priority="407" operator="lessThan">
      <formula>0</formula>
    </cfRule>
  </conditionalFormatting>
  <conditionalFormatting sqref="E4:E35">
    <cfRule type="cellIs" dxfId="973" priority="406" operator="lessThan">
      <formula>0</formula>
    </cfRule>
  </conditionalFormatting>
  <conditionalFormatting sqref="E4:E35">
    <cfRule type="cellIs" dxfId="972" priority="405" operator="lessThan">
      <formula>0</formula>
    </cfRule>
  </conditionalFormatting>
  <conditionalFormatting sqref="E4:E35">
    <cfRule type="cellIs" dxfId="971" priority="404" operator="lessThan">
      <formula>0</formula>
    </cfRule>
  </conditionalFormatting>
  <conditionalFormatting sqref="E4:E35">
    <cfRule type="cellIs" dxfId="970" priority="403" operator="lessThan">
      <formula>0</formula>
    </cfRule>
  </conditionalFormatting>
  <conditionalFormatting sqref="E4:E35">
    <cfRule type="cellIs" dxfId="969" priority="402" operator="lessThan">
      <formula>0</formula>
    </cfRule>
  </conditionalFormatting>
  <conditionalFormatting sqref="E4:E35">
    <cfRule type="cellIs" dxfId="968" priority="401" operator="lessThan">
      <formula>0</formula>
    </cfRule>
  </conditionalFormatting>
  <conditionalFormatting sqref="E4:E35">
    <cfRule type="cellIs" dxfId="967" priority="400" operator="lessThan">
      <formula>0</formula>
    </cfRule>
  </conditionalFormatting>
  <conditionalFormatting sqref="E4:E35">
    <cfRule type="cellIs" dxfId="966" priority="399" operator="lessThan">
      <formula>0</formula>
    </cfRule>
  </conditionalFormatting>
  <conditionalFormatting sqref="E4:E35">
    <cfRule type="cellIs" dxfId="965" priority="398" operator="lessThan">
      <formula>0</formula>
    </cfRule>
  </conditionalFormatting>
  <conditionalFormatting sqref="E4:E35">
    <cfRule type="cellIs" dxfId="964" priority="397" operator="lessThan">
      <formula>0</formula>
    </cfRule>
  </conditionalFormatting>
  <conditionalFormatting sqref="E4:E35">
    <cfRule type="cellIs" dxfId="963" priority="396" operator="lessThan">
      <formula>0</formula>
    </cfRule>
  </conditionalFormatting>
  <conditionalFormatting sqref="E4:E35">
    <cfRule type="cellIs" dxfId="962" priority="395" operator="lessThan">
      <formula>0</formula>
    </cfRule>
  </conditionalFormatting>
  <conditionalFormatting sqref="E4:E35">
    <cfRule type="cellIs" dxfId="961" priority="394" operator="lessThan">
      <formula>0</formula>
    </cfRule>
  </conditionalFormatting>
  <conditionalFormatting sqref="E4:E35">
    <cfRule type="cellIs" dxfId="960" priority="393" operator="lessThan">
      <formula>0</formula>
    </cfRule>
  </conditionalFormatting>
  <conditionalFormatting sqref="E4:E35">
    <cfRule type="cellIs" dxfId="959" priority="392" operator="lessThan">
      <formula>0</formula>
    </cfRule>
  </conditionalFormatting>
  <conditionalFormatting sqref="E4:E35">
    <cfRule type="cellIs" dxfId="958" priority="391" operator="lessThan">
      <formula>0</formula>
    </cfRule>
  </conditionalFormatting>
  <conditionalFormatting sqref="E4:E35">
    <cfRule type="cellIs" dxfId="957" priority="390" operator="lessThan">
      <formula>0</formula>
    </cfRule>
  </conditionalFormatting>
  <conditionalFormatting sqref="E4:E35">
    <cfRule type="cellIs" dxfId="956" priority="389" operator="lessThan">
      <formula>0</formula>
    </cfRule>
  </conditionalFormatting>
  <conditionalFormatting sqref="E4:E35">
    <cfRule type="cellIs" dxfId="955" priority="388" operator="lessThan">
      <formula>0</formula>
    </cfRule>
  </conditionalFormatting>
  <conditionalFormatting sqref="J4:J35">
    <cfRule type="cellIs" dxfId="954" priority="387" operator="lessThan">
      <formula>0</formula>
    </cfRule>
  </conditionalFormatting>
  <conditionalFormatting sqref="J4:J35">
    <cfRule type="cellIs" dxfId="953" priority="386" operator="lessThan">
      <formula>0</formula>
    </cfRule>
  </conditionalFormatting>
  <conditionalFormatting sqref="J4:J35">
    <cfRule type="cellIs" dxfId="952" priority="385" operator="lessThan">
      <formula>0</formula>
    </cfRule>
  </conditionalFormatting>
  <conditionalFormatting sqref="J4:J35">
    <cfRule type="cellIs" dxfId="951" priority="384" operator="lessThan">
      <formula>0</formula>
    </cfRule>
  </conditionalFormatting>
  <conditionalFormatting sqref="J4:J35">
    <cfRule type="cellIs" dxfId="950" priority="383" operator="lessThan">
      <formula>0</formula>
    </cfRule>
  </conditionalFormatting>
  <conditionalFormatting sqref="J4:J35">
    <cfRule type="cellIs" dxfId="949" priority="382" operator="lessThan">
      <formula>0</formula>
    </cfRule>
  </conditionalFormatting>
  <conditionalFormatting sqref="J4:J35">
    <cfRule type="cellIs" dxfId="948" priority="381" operator="lessThan">
      <formula>0</formula>
    </cfRule>
  </conditionalFormatting>
  <conditionalFormatting sqref="J4:J35">
    <cfRule type="cellIs" dxfId="947" priority="380" operator="lessThan">
      <formula>0</formula>
    </cfRule>
  </conditionalFormatting>
  <conditionalFormatting sqref="J4:J35">
    <cfRule type="cellIs" dxfId="946" priority="379" operator="lessThan">
      <formula>0</formula>
    </cfRule>
  </conditionalFormatting>
  <conditionalFormatting sqref="J4:J35">
    <cfRule type="cellIs" dxfId="945" priority="378" operator="lessThan">
      <formula>0</formula>
    </cfRule>
  </conditionalFormatting>
  <conditionalFormatting sqref="J4:J35">
    <cfRule type="cellIs" dxfId="944" priority="377" operator="lessThan">
      <formula>0</formula>
    </cfRule>
  </conditionalFormatting>
  <conditionalFormatting sqref="J4:J35">
    <cfRule type="cellIs" dxfId="943" priority="376" operator="lessThan">
      <formula>0</formula>
    </cfRule>
  </conditionalFormatting>
  <conditionalFormatting sqref="J4:J35">
    <cfRule type="cellIs" dxfId="942" priority="375" operator="lessThan">
      <formula>0</formula>
    </cfRule>
  </conditionalFormatting>
  <conditionalFormatting sqref="J4:J35">
    <cfRule type="cellIs" dxfId="941" priority="374" operator="lessThan">
      <formula>0</formula>
    </cfRule>
  </conditionalFormatting>
  <conditionalFormatting sqref="J4:J35">
    <cfRule type="cellIs" dxfId="940" priority="373" operator="lessThan">
      <formula>0</formula>
    </cfRule>
  </conditionalFormatting>
  <conditionalFormatting sqref="J4:J35">
    <cfRule type="cellIs" dxfId="939" priority="372" operator="lessThan">
      <formula>0</formula>
    </cfRule>
  </conditionalFormatting>
  <conditionalFormatting sqref="J4:J35">
    <cfRule type="cellIs" dxfId="938" priority="371" operator="lessThan">
      <formula>0</formula>
    </cfRule>
  </conditionalFormatting>
  <conditionalFormatting sqref="J4:J35">
    <cfRule type="cellIs" dxfId="937" priority="370" operator="lessThan">
      <formula>0</formula>
    </cfRule>
  </conditionalFormatting>
  <conditionalFormatting sqref="J4:J35">
    <cfRule type="cellIs" dxfId="936" priority="369" operator="lessThan">
      <formula>0</formula>
    </cfRule>
  </conditionalFormatting>
  <conditionalFormatting sqref="J4:J35">
    <cfRule type="cellIs" dxfId="935" priority="368" operator="lessThan">
      <formula>0</formula>
    </cfRule>
  </conditionalFormatting>
  <conditionalFormatting sqref="J4:J35">
    <cfRule type="cellIs" dxfId="934" priority="367" operator="lessThan">
      <formula>0</formula>
    </cfRule>
  </conditionalFormatting>
  <conditionalFormatting sqref="J4:J35">
    <cfRule type="cellIs" dxfId="933" priority="366" operator="lessThan">
      <formula>0</formula>
    </cfRule>
  </conditionalFormatting>
  <conditionalFormatting sqref="J4:J35">
    <cfRule type="cellIs" dxfId="932" priority="365" operator="lessThan">
      <formula>0</formula>
    </cfRule>
  </conditionalFormatting>
  <conditionalFormatting sqref="J4:J35">
    <cfRule type="cellIs" dxfId="931" priority="364" operator="lessThan">
      <formula>0</formula>
    </cfRule>
  </conditionalFormatting>
  <conditionalFormatting sqref="J4:J35">
    <cfRule type="cellIs" dxfId="930" priority="363" operator="lessThan">
      <formula>0</formula>
    </cfRule>
  </conditionalFormatting>
  <conditionalFormatting sqref="J4:J35">
    <cfRule type="cellIs" dxfId="929" priority="362" operator="lessThan">
      <formula>0</formula>
    </cfRule>
  </conditionalFormatting>
  <conditionalFormatting sqref="J4:J35">
    <cfRule type="cellIs" dxfId="928" priority="361" operator="lessThan">
      <formula>0</formula>
    </cfRule>
  </conditionalFormatting>
  <conditionalFormatting sqref="J4:J35">
    <cfRule type="cellIs" dxfId="927" priority="360" operator="lessThan">
      <formula>0</formula>
    </cfRule>
  </conditionalFormatting>
  <conditionalFormatting sqref="J4:J35">
    <cfRule type="cellIs" dxfId="926" priority="359" operator="lessThan">
      <formula>0</formula>
    </cfRule>
  </conditionalFormatting>
  <conditionalFormatting sqref="J4:J35">
    <cfRule type="cellIs" dxfId="925" priority="358" operator="lessThan">
      <formula>0</formula>
    </cfRule>
  </conditionalFormatting>
  <conditionalFormatting sqref="J4:J35">
    <cfRule type="cellIs" dxfId="924" priority="357" operator="lessThan">
      <formula>0</formula>
    </cfRule>
  </conditionalFormatting>
  <conditionalFormatting sqref="J4:J35">
    <cfRule type="cellIs" dxfId="923" priority="356" operator="lessThan">
      <formula>0</formula>
    </cfRule>
  </conditionalFormatting>
  <conditionalFormatting sqref="J4:J35">
    <cfRule type="cellIs" dxfId="922" priority="355" operator="lessThan">
      <formula>0</formula>
    </cfRule>
  </conditionalFormatting>
  <conditionalFormatting sqref="J4:J35">
    <cfRule type="cellIs" dxfId="921" priority="354" operator="lessThan">
      <formula>0</formula>
    </cfRule>
  </conditionalFormatting>
  <conditionalFormatting sqref="J4:J35">
    <cfRule type="cellIs" dxfId="920" priority="353" operator="lessThan">
      <formula>0</formula>
    </cfRule>
  </conditionalFormatting>
  <conditionalFormatting sqref="J4:J35">
    <cfRule type="cellIs" dxfId="919" priority="352" operator="lessThan">
      <formula>0</formula>
    </cfRule>
  </conditionalFormatting>
  <conditionalFormatting sqref="J4:J35">
    <cfRule type="cellIs" dxfId="918" priority="351" operator="lessThan">
      <formula>0</formula>
    </cfRule>
  </conditionalFormatting>
  <conditionalFormatting sqref="J4:J35">
    <cfRule type="cellIs" dxfId="917" priority="350" operator="lessThan">
      <formula>0</formula>
    </cfRule>
  </conditionalFormatting>
  <conditionalFormatting sqref="J4:J35">
    <cfRule type="cellIs" dxfId="916" priority="349" operator="lessThan">
      <formula>0</formula>
    </cfRule>
  </conditionalFormatting>
  <conditionalFormatting sqref="J4:J35">
    <cfRule type="cellIs" dxfId="915" priority="348" operator="lessThan">
      <formula>0</formula>
    </cfRule>
  </conditionalFormatting>
  <conditionalFormatting sqref="J4:J35">
    <cfRule type="cellIs" dxfId="914" priority="347" operator="lessThan">
      <formula>0</formula>
    </cfRule>
  </conditionalFormatting>
  <conditionalFormatting sqref="J4:J35">
    <cfRule type="cellIs" dxfId="913" priority="346" operator="lessThan">
      <formula>0</formula>
    </cfRule>
  </conditionalFormatting>
  <conditionalFormatting sqref="J4:J35">
    <cfRule type="cellIs" dxfId="912" priority="345" operator="lessThan">
      <formula>0</formula>
    </cfRule>
  </conditionalFormatting>
  <conditionalFormatting sqref="J4:J35">
    <cfRule type="cellIs" dxfId="911" priority="344" operator="lessThan">
      <formula>0</formula>
    </cfRule>
  </conditionalFormatting>
  <conditionalFormatting sqref="L4:L35">
    <cfRule type="cellIs" dxfId="910" priority="343" operator="lessThan">
      <formula>0</formula>
    </cfRule>
  </conditionalFormatting>
  <conditionalFormatting sqref="L4:L35">
    <cfRule type="cellIs" dxfId="909" priority="342" operator="lessThan">
      <formula>0</formula>
    </cfRule>
  </conditionalFormatting>
  <conditionalFormatting sqref="L4:L35">
    <cfRule type="cellIs" dxfId="908" priority="341" operator="lessThan">
      <formula>0</formula>
    </cfRule>
  </conditionalFormatting>
  <conditionalFormatting sqref="L4:L35">
    <cfRule type="cellIs" dxfId="907" priority="340" operator="lessThan">
      <formula>0</formula>
    </cfRule>
  </conditionalFormatting>
  <conditionalFormatting sqref="L4:L35">
    <cfRule type="cellIs" dxfId="906" priority="339" operator="lessThan">
      <formula>0</formula>
    </cfRule>
  </conditionalFormatting>
  <conditionalFormatting sqref="L4:L35">
    <cfRule type="cellIs" dxfId="905" priority="338" operator="lessThan">
      <formula>0</formula>
    </cfRule>
  </conditionalFormatting>
  <conditionalFormatting sqref="L4:L35">
    <cfRule type="cellIs" dxfId="904" priority="337" operator="lessThan">
      <formula>0</formula>
    </cfRule>
  </conditionalFormatting>
  <conditionalFormatting sqref="L4:L35">
    <cfRule type="cellIs" dxfId="903" priority="336" operator="lessThan">
      <formula>0</formula>
    </cfRule>
  </conditionalFormatting>
  <conditionalFormatting sqref="L4:L35">
    <cfRule type="cellIs" dxfId="902" priority="335" operator="lessThan">
      <formula>0</formula>
    </cfRule>
  </conditionalFormatting>
  <conditionalFormatting sqref="L4:L35">
    <cfRule type="cellIs" dxfId="901" priority="334" operator="lessThan">
      <formula>0</formula>
    </cfRule>
  </conditionalFormatting>
  <conditionalFormatting sqref="L4:L35">
    <cfRule type="cellIs" dxfId="900" priority="333" operator="lessThan">
      <formula>0</formula>
    </cfRule>
  </conditionalFormatting>
  <conditionalFormatting sqref="J4:J35">
    <cfRule type="cellIs" dxfId="899" priority="332" operator="lessThan">
      <formula>0</formula>
    </cfRule>
  </conditionalFormatting>
  <conditionalFormatting sqref="J4:J35">
    <cfRule type="cellIs" dxfId="898" priority="331" operator="lessThan">
      <formula>0</formula>
    </cfRule>
  </conditionalFormatting>
  <conditionalFormatting sqref="J4:J35">
    <cfRule type="cellIs" dxfId="897" priority="330" operator="lessThan">
      <formula>0</formula>
    </cfRule>
  </conditionalFormatting>
  <conditionalFormatting sqref="J4:J35">
    <cfRule type="cellIs" dxfId="896" priority="329" operator="lessThan">
      <formula>0</formula>
    </cfRule>
  </conditionalFormatting>
  <conditionalFormatting sqref="J4:J35">
    <cfRule type="cellIs" dxfId="895" priority="328" operator="lessThan">
      <formula>0</formula>
    </cfRule>
  </conditionalFormatting>
  <conditionalFormatting sqref="J4:J35">
    <cfRule type="cellIs" dxfId="894" priority="327" operator="lessThan">
      <formula>0</formula>
    </cfRule>
  </conditionalFormatting>
  <conditionalFormatting sqref="J4:J35">
    <cfRule type="cellIs" dxfId="893" priority="326" operator="lessThan">
      <formula>0</formula>
    </cfRule>
  </conditionalFormatting>
  <conditionalFormatting sqref="J4:J35">
    <cfRule type="cellIs" dxfId="892" priority="325" operator="lessThan">
      <formula>0</formula>
    </cfRule>
  </conditionalFormatting>
  <conditionalFormatting sqref="J4:J35">
    <cfRule type="cellIs" dxfId="891" priority="324" operator="lessThan">
      <formula>0</formula>
    </cfRule>
  </conditionalFormatting>
  <conditionalFormatting sqref="J4:J35">
    <cfRule type="cellIs" dxfId="890" priority="323" operator="lessThan">
      <formula>0</formula>
    </cfRule>
  </conditionalFormatting>
  <conditionalFormatting sqref="J4:J35">
    <cfRule type="cellIs" dxfId="889" priority="322" operator="lessThan">
      <formula>0</formula>
    </cfRule>
  </conditionalFormatting>
  <conditionalFormatting sqref="J4:J35">
    <cfRule type="cellIs" dxfId="888" priority="321" operator="lessThan">
      <formula>0</formula>
    </cfRule>
  </conditionalFormatting>
  <conditionalFormatting sqref="J4:J35">
    <cfRule type="cellIs" dxfId="887" priority="320" operator="lessThan">
      <formula>0</formula>
    </cfRule>
  </conditionalFormatting>
  <conditionalFormatting sqref="J4:J35">
    <cfRule type="cellIs" dxfId="886" priority="319" operator="lessThan">
      <formula>0</formula>
    </cfRule>
  </conditionalFormatting>
  <conditionalFormatting sqref="J4:J35">
    <cfRule type="cellIs" dxfId="885" priority="318" operator="lessThan">
      <formula>0</formula>
    </cfRule>
  </conditionalFormatting>
  <conditionalFormatting sqref="J4:J35">
    <cfRule type="cellIs" dxfId="884" priority="317" operator="lessThan">
      <formula>0</formula>
    </cfRule>
  </conditionalFormatting>
  <conditionalFormatting sqref="J4:J35">
    <cfRule type="cellIs" dxfId="883" priority="316" operator="lessThan">
      <formula>0</formula>
    </cfRule>
  </conditionalFormatting>
  <conditionalFormatting sqref="J4:J35">
    <cfRule type="cellIs" dxfId="882" priority="315" operator="lessThan">
      <formula>0</formula>
    </cfRule>
  </conditionalFormatting>
  <conditionalFormatting sqref="J4:J35">
    <cfRule type="cellIs" dxfId="881" priority="314" operator="lessThan">
      <formula>0</formula>
    </cfRule>
  </conditionalFormatting>
  <conditionalFormatting sqref="J4:J35">
    <cfRule type="cellIs" dxfId="880" priority="313" operator="lessThan">
      <formula>0</formula>
    </cfRule>
  </conditionalFormatting>
  <conditionalFormatting sqref="J4:J35">
    <cfRule type="cellIs" dxfId="879" priority="312" operator="lessThan">
      <formula>0</formula>
    </cfRule>
  </conditionalFormatting>
  <conditionalFormatting sqref="J4:J35">
    <cfRule type="cellIs" dxfId="878" priority="311" operator="lessThan">
      <formula>0</formula>
    </cfRule>
  </conditionalFormatting>
  <conditionalFormatting sqref="J4:J35">
    <cfRule type="cellIs" dxfId="877" priority="310" operator="lessThan">
      <formula>0</formula>
    </cfRule>
  </conditionalFormatting>
  <conditionalFormatting sqref="J4:J35">
    <cfRule type="cellIs" dxfId="876" priority="309" operator="lessThan">
      <formula>0</formula>
    </cfRule>
  </conditionalFormatting>
  <conditionalFormatting sqref="J4:J35">
    <cfRule type="cellIs" dxfId="875" priority="308" operator="lessThan">
      <formula>0</formula>
    </cfRule>
  </conditionalFormatting>
  <conditionalFormatting sqref="J4:J35">
    <cfRule type="cellIs" dxfId="874" priority="307" operator="lessThan">
      <formula>0</formula>
    </cfRule>
  </conditionalFormatting>
  <conditionalFormatting sqref="J4:J35">
    <cfRule type="cellIs" dxfId="873" priority="306" operator="lessThan">
      <formula>0</formula>
    </cfRule>
  </conditionalFormatting>
  <conditionalFormatting sqref="J4:J35">
    <cfRule type="cellIs" dxfId="872" priority="305" operator="lessThan">
      <formula>0</formula>
    </cfRule>
  </conditionalFormatting>
  <conditionalFormatting sqref="J4:J35">
    <cfRule type="cellIs" dxfId="871" priority="304" operator="lessThan">
      <formula>0</formula>
    </cfRule>
  </conditionalFormatting>
  <conditionalFormatting sqref="J4:J35">
    <cfRule type="cellIs" dxfId="870" priority="303" operator="lessThan">
      <formula>0</formula>
    </cfRule>
  </conditionalFormatting>
  <conditionalFormatting sqref="J4:J35">
    <cfRule type="cellIs" dxfId="869" priority="302" operator="lessThan">
      <formula>0</formula>
    </cfRule>
  </conditionalFormatting>
  <conditionalFormatting sqref="J4:J35">
    <cfRule type="cellIs" dxfId="868" priority="301" operator="lessThan">
      <formula>0</formula>
    </cfRule>
  </conditionalFormatting>
  <conditionalFormatting sqref="J4:J35">
    <cfRule type="cellIs" dxfId="867" priority="300" operator="lessThan">
      <formula>0</formula>
    </cfRule>
  </conditionalFormatting>
  <conditionalFormatting sqref="J4:J35">
    <cfRule type="cellIs" dxfId="866" priority="299" operator="lessThan">
      <formula>0</formula>
    </cfRule>
  </conditionalFormatting>
  <conditionalFormatting sqref="J4:J35">
    <cfRule type="cellIs" dxfId="865" priority="298" operator="lessThan">
      <formula>0</formula>
    </cfRule>
  </conditionalFormatting>
  <conditionalFormatting sqref="J4:J35">
    <cfRule type="cellIs" dxfId="864" priority="297" operator="lessThan">
      <formula>0</formula>
    </cfRule>
  </conditionalFormatting>
  <conditionalFormatting sqref="J4:J35">
    <cfRule type="cellIs" dxfId="863" priority="296" operator="lessThan">
      <formula>0</formula>
    </cfRule>
  </conditionalFormatting>
  <conditionalFormatting sqref="J4:J35">
    <cfRule type="cellIs" dxfId="862" priority="295" operator="lessThan">
      <formula>0</formula>
    </cfRule>
  </conditionalFormatting>
  <conditionalFormatting sqref="J4:J35">
    <cfRule type="cellIs" dxfId="861" priority="294" operator="lessThan">
      <formula>0</formula>
    </cfRule>
  </conditionalFormatting>
  <conditionalFormatting sqref="J4:J35">
    <cfRule type="cellIs" dxfId="860" priority="293" operator="lessThan">
      <formula>0</formula>
    </cfRule>
  </conditionalFormatting>
  <conditionalFormatting sqref="J4:J35">
    <cfRule type="cellIs" dxfId="859" priority="292" operator="lessThan">
      <formula>0</formula>
    </cfRule>
  </conditionalFormatting>
  <conditionalFormatting sqref="J4:J35">
    <cfRule type="cellIs" dxfId="858" priority="291" operator="lessThan">
      <formula>0</formula>
    </cfRule>
  </conditionalFormatting>
  <conditionalFormatting sqref="J4:J35">
    <cfRule type="cellIs" dxfId="857" priority="290" operator="lessThan">
      <formula>0</formula>
    </cfRule>
  </conditionalFormatting>
  <conditionalFormatting sqref="J4:J35">
    <cfRule type="cellIs" dxfId="856" priority="289" operator="lessThan">
      <formula>0</formula>
    </cfRule>
  </conditionalFormatting>
  <conditionalFormatting sqref="J4:J35">
    <cfRule type="cellIs" dxfId="855" priority="288" operator="lessThan">
      <formula>0</formula>
    </cfRule>
  </conditionalFormatting>
  <conditionalFormatting sqref="L4:L35">
    <cfRule type="cellIs" dxfId="854" priority="287" operator="lessThan">
      <formula>0</formula>
    </cfRule>
  </conditionalFormatting>
  <conditionalFormatting sqref="L4:L35">
    <cfRule type="cellIs" dxfId="853" priority="286" operator="lessThan">
      <formula>0</formula>
    </cfRule>
  </conditionalFormatting>
  <conditionalFormatting sqref="L4:L35">
    <cfRule type="cellIs" dxfId="852" priority="285" operator="lessThan">
      <formula>0</formula>
    </cfRule>
  </conditionalFormatting>
  <conditionalFormatting sqref="L4:L35">
    <cfRule type="cellIs" dxfId="851" priority="284" operator="lessThan">
      <formula>0</formula>
    </cfRule>
  </conditionalFormatting>
  <conditionalFormatting sqref="L4:L35">
    <cfRule type="cellIs" dxfId="850" priority="283" operator="lessThan">
      <formula>0</formula>
    </cfRule>
  </conditionalFormatting>
  <conditionalFormatting sqref="L4:L35">
    <cfRule type="cellIs" dxfId="849" priority="282" operator="lessThan">
      <formula>0</formula>
    </cfRule>
  </conditionalFormatting>
  <conditionalFormatting sqref="L4:L35">
    <cfRule type="cellIs" dxfId="848" priority="281" operator="lessThan">
      <formula>0</formula>
    </cfRule>
  </conditionalFormatting>
  <conditionalFormatting sqref="E4:E35">
    <cfRule type="cellIs" dxfId="847" priority="280" operator="lessThan">
      <formula>0</formula>
    </cfRule>
  </conditionalFormatting>
  <conditionalFormatting sqref="E4:E35">
    <cfRule type="cellIs" dxfId="846" priority="279" operator="lessThan">
      <formula>0</formula>
    </cfRule>
  </conditionalFormatting>
  <conditionalFormatting sqref="E4:E35">
    <cfRule type="cellIs" dxfId="845" priority="278" operator="lessThan">
      <formula>0</formula>
    </cfRule>
  </conditionalFormatting>
  <conditionalFormatting sqref="E4:E35">
    <cfRule type="cellIs" dxfId="844" priority="277" operator="lessThan">
      <formula>0</formula>
    </cfRule>
  </conditionalFormatting>
  <conditionalFormatting sqref="E4:E35">
    <cfRule type="cellIs" dxfId="843" priority="276" operator="lessThan">
      <formula>0</formula>
    </cfRule>
  </conditionalFormatting>
  <conditionalFormatting sqref="E4:E35">
    <cfRule type="cellIs" dxfId="842" priority="275" operator="lessThan">
      <formula>0</formula>
    </cfRule>
  </conditionalFormatting>
  <conditionalFormatting sqref="E4:E35">
    <cfRule type="cellIs" dxfId="841" priority="274" operator="lessThan">
      <formula>0</formula>
    </cfRule>
  </conditionalFormatting>
  <conditionalFormatting sqref="E4:E35">
    <cfRule type="cellIs" dxfId="840" priority="273" operator="lessThan">
      <formula>0</formula>
    </cfRule>
  </conditionalFormatting>
  <conditionalFormatting sqref="E4:E35">
    <cfRule type="cellIs" dxfId="839" priority="272" operator="lessThan">
      <formula>0</formula>
    </cfRule>
  </conditionalFormatting>
  <conditionalFormatting sqref="E4:E35">
    <cfRule type="cellIs" dxfId="838" priority="271" operator="lessThan">
      <formula>0</formula>
    </cfRule>
  </conditionalFormatting>
  <conditionalFormatting sqref="E4:E35">
    <cfRule type="cellIs" dxfId="837" priority="270" operator="lessThan">
      <formula>0</formula>
    </cfRule>
  </conditionalFormatting>
  <conditionalFormatting sqref="E4:E35">
    <cfRule type="cellIs" dxfId="836" priority="269" operator="lessThan">
      <formula>0</formula>
    </cfRule>
  </conditionalFormatting>
  <conditionalFormatting sqref="E4:E35">
    <cfRule type="cellIs" dxfId="835" priority="268" operator="lessThan">
      <formula>0</formula>
    </cfRule>
  </conditionalFormatting>
  <conditionalFormatting sqref="E4:E35">
    <cfRule type="cellIs" dxfId="834" priority="267" operator="lessThan">
      <formula>0</formula>
    </cfRule>
  </conditionalFormatting>
  <conditionalFormatting sqref="E4:E35">
    <cfRule type="cellIs" dxfId="833" priority="266" operator="lessThan">
      <formula>0</formula>
    </cfRule>
  </conditionalFormatting>
  <conditionalFormatting sqref="E4:E35">
    <cfRule type="cellIs" dxfId="832" priority="265" operator="lessThan">
      <formula>0</formula>
    </cfRule>
  </conditionalFormatting>
  <conditionalFormatting sqref="E4:E35">
    <cfRule type="cellIs" dxfId="831" priority="264" operator="lessThan">
      <formula>0</formula>
    </cfRule>
  </conditionalFormatting>
  <conditionalFormatting sqref="E4:E35">
    <cfRule type="cellIs" dxfId="830" priority="263" operator="lessThan">
      <formula>0</formula>
    </cfRule>
  </conditionalFormatting>
  <conditionalFormatting sqref="E4:E35">
    <cfRule type="cellIs" dxfId="829" priority="262" operator="lessThan">
      <formula>0</formula>
    </cfRule>
  </conditionalFormatting>
  <conditionalFormatting sqref="E4:E35">
    <cfRule type="cellIs" dxfId="828" priority="261" operator="lessThan">
      <formula>0</formula>
    </cfRule>
  </conditionalFormatting>
  <conditionalFormatting sqref="E4:E35">
    <cfRule type="cellIs" dxfId="827" priority="260" operator="lessThan">
      <formula>0</formula>
    </cfRule>
  </conditionalFormatting>
  <conditionalFormatting sqref="E4:E35">
    <cfRule type="cellIs" dxfId="826" priority="259" operator="lessThan">
      <formula>0</formula>
    </cfRule>
  </conditionalFormatting>
  <conditionalFormatting sqref="E4:E35">
    <cfRule type="cellIs" dxfId="825" priority="258" operator="lessThan">
      <formula>0</formula>
    </cfRule>
  </conditionalFormatting>
  <conditionalFormatting sqref="E4:E35">
    <cfRule type="cellIs" dxfId="824" priority="257" operator="lessThan">
      <formula>0</formula>
    </cfRule>
  </conditionalFormatting>
  <conditionalFormatting sqref="E4:E35">
    <cfRule type="cellIs" dxfId="823" priority="256" operator="lessThan">
      <formula>0</formula>
    </cfRule>
  </conditionalFormatting>
  <conditionalFormatting sqref="E4:E35">
    <cfRule type="cellIs" dxfId="822" priority="255" operator="lessThan">
      <formula>0</formula>
    </cfRule>
  </conditionalFormatting>
  <conditionalFormatting sqref="E4:E35">
    <cfRule type="cellIs" dxfId="821" priority="254" operator="lessThan">
      <formula>0</formula>
    </cfRule>
  </conditionalFormatting>
  <conditionalFormatting sqref="E4:E35">
    <cfRule type="cellIs" dxfId="820" priority="253" operator="lessThan">
      <formula>0</formula>
    </cfRule>
  </conditionalFormatting>
  <conditionalFormatting sqref="E4:E35">
    <cfRule type="cellIs" dxfId="819" priority="252" operator="lessThan">
      <formula>0</formula>
    </cfRule>
  </conditionalFormatting>
  <conditionalFormatting sqref="E4:E35">
    <cfRule type="cellIs" dxfId="818" priority="251" operator="lessThan">
      <formula>0</formula>
    </cfRule>
  </conditionalFormatting>
  <conditionalFormatting sqref="E4:E35">
    <cfRule type="cellIs" dxfId="817" priority="250" operator="lessThan">
      <formula>0</formula>
    </cfRule>
  </conditionalFormatting>
  <conditionalFormatting sqref="E4:E35">
    <cfRule type="cellIs" dxfId="816" priority="249" operator="lessThan">
      <formula>0</formula>
    </cfRule>
  </conditionalFormatting>
  <conditionalFormatting sqref="E4:E35">
    <cfRule type="cellIs" dxfId="815" priority="248" operator="lessThan">
      <formula>0</formula>
    </cfRule>
  </conditionalFormatting>
  <conditionalFormatting sqref="E4:E35">
    <cfRule type="cellIs" dxfId="814" priority="247" operator="lessThan">
      <formula>0</formula>
    </cfRule>
  </conditionalFormatting>
  <conditionalFormatting sqref="E4:E35">
    <cfRule type="cellIs" dxfId="813" priority="246" operator="lessThan">
      <formula>0</formula>
    </cfRule>
  </conditionalFormatting>
  <conditionalFormatting sqref="E4:E35">
    <cfRule type="cellIs" dxfId="812" priority="245" operator="lessThan">
      <formula>0</formula>
    </cfRule>
  </conditionalFormatting>
  <conditionalFormatting sqref="E4:E35">
    <cfRule type="cellIs" dxfId="811" priority="244" operator="lessThan">
      <formula>0</formula>
    </cfRule>
  </conditionalFormatting>
  <conditionalFormatting sqref="E4:E35">
    <cfRule type="cellIs" dxfId="810" priority="243" operator="lessThan">
      <formula>0</formula>
    </cfRule>
  </conditionalFormatting>
  <conditionalFormatting sqref="E4:E35">
    <cfRule type="cellIs" dxfId="809" priority="242" operator="lessThan">
      <formula>0</formula>
    </cfRule>
  </conditionalFormatting>
  <conditionalFormatting sqref="E4:E35">
    <cfRule type="cellIs" dxfId="808" priority="241" operator="lessThan">
      <formula>0</formula>
    </cfRule>
  </conditionalFormatting>
  <conditionalFormatting sqref="E4:E35">
    <cfRule type="cellIs" dxfId="807" priority="240" operator="lessThan">
      <formula>0</formula>
    </cfRule>
  </conditionalFormatting>
  <conditionalFormatting sqref="E4:E35">
    <cfRule type="cellIs" dxfId="806" priority="239" operator="lessThan">
      <formula>0</formula>
    </cfRule>
  </conditionalFormatting>
  <conditionalFormatting sqref="E4:E35">
    <cfRule type="cellIs" dxfId="805" priority="238" operator="lessThan">
      <formula>0</formula>
    </cfRule>
  </conditionalFormatting>
  <conditionalFormatting sqref="E4:E35">
    <cfRule type="cellIs" dxfId="804" priority="237" operator="lessThan">
      <formula>0</formula>
    </cfRule>
  </conditionalFormatting>
  <conditionalFormatting sqref="J4:J35">
    <cfRule type="cellIs" dxfId="803" priority="236" operator="lessThan">
      <formula>0</formula>
    </cfRule>
  </conditionalFormatting>
  <conditionalFormatting sqref="J4:J35">
    <cfRule type="cellIs" dxfId="802" priority="235" operator="lessThan">
      <formula>0</formula>
    </cfRule>
  </conditionalFormatting>
  <conditionalFormatting sqref="J4:J35">
    <cfRule type="cellIs" dxfId="801" priority="234" operator="lessThan">
      <formula>0</formula>
    </cfRule>
  </conditionalFormatting>
  <conditionalFormatting sqref="J4:J35">
    <cfRule type="cellIs" dxfId="800" priority="233" operator="lessThan">
      <formula>0</formula>
    </cfRule>
  </conditionalFormatting>
  <conditionalFormatting sqref="J4:J35">
    <cfRule type="cellIs" dxfId="799" priority="232" operator="lessThan">
      <formula>0</formula>
    </cfRule>
  </conditionalFormatting>
  <conditionalFormatting sqref="J4:J35">
    <cfRule type="cellIs" dxfId="798" priority="231" operator="lessThan">
      <formula>0</formula>
    </cfRule>
  </conditionalFormatting>
  <conditionalFormatting sqref="J4:J35">
    <cfRule type="cellIs" dxfId="797" priority="230" operator="lessThan">
      <formula>0</formula>
    </cfRule>
  </conditionalFormatting>
  <conditionalFormatting sqref="J4:J35">
    <cfRule type="cellIs" dxfId="796" priority="229" operator="lessThan">
      <formula>0</formula>
    </cfRule>
  </conditionalFormatting>
  <conditionalFormatting sqref="J4:J35">
    <cfRule type="cellIs" dxfId="795" priority="228" operator="lessThan">
      <formula>0</formula>
    </cfRule>
  </conditionalFormatting>
  <conditionalFormatting sqref="J4:J35">
    <cfRule type="cellIs" dxfId="794" priority="227" operator="lessThan">
      <formula>0</formula>
    </cfRule>
  </conditionalFormatting>
  <conditionalFormatting sqref="J4:J35">
    <cfRule type="cellIs" dxfId="793" priority="226" operator="lessThan">
      <formula>0</formula>
    </cfRule>
  </conditionalFormatting>
  <conditionalFormatting sqref="J4:J35">
    <cfRule type="cellIs" dxfId="792" priority="225" operator="lessThan">
      <formula>0</formula>
    </cfRule>
  </conditionalFormatting>
  <conditionalFormatting sqref="J4:J35">
    <cfRule type="cellIs" dxfId="791" priority="224" operator="lessThan">
      <formula>0</formula>
    </cfRule>
  </conditionalFormatting>
  <conditionalFormatting sqref="J4:J35">
    <cfRule type="cellIs" dxfId="790" priority="223" operator="lessThan">
      <formula>0</formula>
    </cfRule>
  </conditionalFormatting>
  <conditionalFormatting sqref="J4:J35">
    <cfRule type="cellIs" dxfId="789" priority="222" operator="lessThan">
      <formula>0</formula>
    </cfRule>
  </conditionalFormatting>
  <conditionalFormatting sqref="J4:J35">
    <cfRule type="cellIs" dxfId="788" priority="221" operator="lessThan">
      <formula>0</formula>
    </cfRule>
  </conditionalFormatting>
  <conditionalFormatting sqref="J4:J35">
    <cfRule type="cellIs" dxfId="787" priority="220" operator="lessThan">
      <formula>0</formula>
    </cfRule>
  </conditionalFormatting>
  <conditionalFormatting sqref="J4:J35">
    <cfRule type="cellIs" dxfId="786" priority="219" operator="lessThan">
      <formula>0</formula>
    </cfRule>
  </conditionalFormatting>
  <conditionalFormatting sqref="J4:J35">
    <cfRule type="cellIs" dxfId="785" priority="218" operator="lessThan">
      <formula>0</formula>
    </cfRule>
  </conditionalFormatting>
  <conditionalFormatting sqref="J4:J35">
    <cfRule type="cellIs" dxfId="784" priority="217" operator="lessThan">
      <formula>0</formula>
    </cfRule>
  </conditionalFormatting>
  <conditionalFormatting sqref="J4:J35">
    <cfRule type="cellIs" dxfId="783" priority="216" operator="lessThan">
      <formula>0</formula>
    </cfRule>
  </conditionalFormatting>
  <conditionalFormatting sqref="J4:J35">
    <cfRule type="cellIs" dxfId="782" priority="215" operator="lessThan">
      <formula>0</formula>
    </cfRule>
  </conditionalFormatting>
  <conditionalFormatting sqref="J4:J35">
    <cfRule type="cellIs" dxfId="781" priority="214" operator="lessThan">
      <formula>0</formula>
    </cfRule>
  </conditionalFormatting>
  <conditionalFormatting sqref="J4:J35">
    <cfRule type="cellIs" dxfId="780" priority="213" operator="lessThan">
      <formula>0</formula>
    </cfRule>
  </conditionalFormatting>
  <conditionalFormatting sqref="J4:J35">
    <cfRule type="cellIs" dxfId="779" priority="212" operator="lessThan">
      <formula>0</formula>
    </cfRule>
  </conditionalFormatting>
  <conditionalFormatting sqref="J4:J35">
    <cfRule type="cellIs" dxfId="778" priority="211" operator="lessThan">
      <formula>0</formula>
    </cfRule>
  </conditionalFormatting>
  <conditionalFormatting sqref="J4:J35">
    <cfRule type="cellIs" dxfId="777" priority="210" operator="lessThan">
      <formula>0</formula>
    </cfRule>
  </conditionalFormatting>
  <conditionalFormatting sqref="J4:J35">
    <cfRule type="cellIs" dxfId="776" priority="209" operator="lessThan">
      <formula>0</formula>
    </cfRule>
  </conditionalFormatting>
  <conditionalFormatting sqref="J4:J35">
    <cfRule type="cellIs" dxfId="775" priority="208" operator="lessThan">
      <formula>0</formula>
    </cfRule>
  </conditionalFormatting>
  <conditionalFormatting sqref="J4:J35">
    <cfRule type="cellIs" dxfId="774" priority="207" operator="lessThan">
      <formula>0</formula>
    </cfRule>
  </conditionalFormatting>
  <conditionalFormatting sqref="J4:J35">
    <cfRule type="cellIs" dxfId="773" priority="206" operator="lessThan">
      <formula>0</formula>
    </cfRule>
  </conditionalFormatting>
  <conditionalFormatting sqref="J4:J35">
    <cfRule type="cellIs" dxfId="772" priority="205" operator="lessThan">
      <formula>0</formula>
    </cfRule>
  </conditionalFormatting>
  <conditionalFormatting sqref="J4:J35">
    <cfRule type="cellIs" dxfId="771" priority="204" operator="lessThan">
      <formula>0</formula>
    </cfRule>
  </conditionalFormatting>
  <conditionalFormatting sqref="J4:J35">
    <cfRule type="cellIs" dxfId="770" priority="203" operator="lessThan">
      <formula>0</formula>
    </cfRule>
  </conditionalFormatting>
  <conditionalFormatting sqref="J4:J35">
    <cfRule type="cellIs" dxfId="769" priority="202" operator="lessThan">
      <formula>0</formula>
    </cfRule>
  </conditionalFormatting>
  <conditionalFormatting sqref="J4:J35">
    <cfRule type="cellIs" dxfId="768" priority="201" operator="lessThan">
      <formula>0</formula>
    </cfRule>
  </conditionalFormatting>
  <conditionalFormatting sqref="J4:J35">
    <cfRule type="cellIs" dxfId="767" priority="200" operator="lessThan">
      <formula>0</formula>
    </cfRule>
  </conditionalFormatting>
  <conditionalFormatting sqref="J4:J35">
    <cfRule type="cellIs" dxfId="766" priority="199" operator="lessThan">
      <formula>0</formula>
    </cfRule>
  </conditionalFormatting>
  <conditionalFormatting sqref="J4:J35">
    <cfRule type="cellIs" dxfId="765" priority="198" operator="lessThan">
      <formula>0</formula>
    </cfRule>
  </conditionalFormatting>
  <conditionalFormatting sqref="J4:J35">
    <cfRule type="cellIs" dxfId="764" priority="197" operator="lessThan">
      <formula>0</formula>
    </cfRule>
  </conditionalFormatting>
  <conditionalFormatting sqref="J4:J35">
    <cfRule type="cellIs" dxfId="763" priority="196" operator="lessThan">
      <formula>0</formula>
    </cfRule>
  </conditionalFormatting>
  <conditionalFormatting sqref="J4:J35">
    <cfRule type="cellIs" dxfId="762" priority="195" operator="lessThan">
      <formula>0</formula>
    </cfRule>
  </conditionalFormatting>
  <conditionalFormatting sqref="J4:J35">
    <cfRule type="cellIs" dxfId="761" priority="194" operator="lessThan">
      <formula>0</formula>
    </cfRule>
  </conditionalFormatting>
  <conditionalFormatting sqref="J4:J35">
    <cfRule type="cellIs" dxfId="760" priority="193" operator="lessThan">
      <formula>0</formula>
    </cfRule>
  </conditionalFormatting>
  <conditionalFormatting sqref="L4:L35">
    <cfRule type="cellIs" dxfId="759" priority="192" operator="lessThan">
      <formula>0</formula>
    </cfRule>
  </conditionalFormatting>
  <conditionalFormatting sqref="L4:L35">
    <cfRule type="cellIs" dxfId="758" priority="191" operator="lessThan">
      <formula>0</formula>
    </cfRule>
  </conditionalFormatting>
  <conditionalFormatting sqref="L4:L35">
    <cfRule type="cellIs" dxfId="757" priority="190" operator="lessThan">
      <formula>0</formula>
    </cfRule>
  </conditionalFormatting>
  <conditionalFormatting sqref="L4:L35">
    <cfRule type="cellIs" dxfId="756" priority="189" operator="lessThan">
      <formula>0</formula>
    </cfRule>
  </conditionalFormatting>
  <conditionalFormatting sqref="L4:L35">
    <cfRule type="cellIs" dxfId="755" priority="188" operator="lessThan">
      <formula>0</formula>
    </cfRule>
  </conditionalFormatting>
  <conditionalFormatting sqref="L4:L35">
    <cfRule type="cellIs" dxfId="754" priority="187" operator="lessThan">
      <formula>0</formula>
    </cfRule>
  </conditionalFormatting>
  <conditionalFormatting sqref="L4:L35">
    <cfRule type="cellIs" dxfId="753" priority="186" operator="lessThan">
      <formula>0</formula>
    </cfRule>
  </conditionalFormatting>
  <conditionalFormatting sqref="L4:L35">
    <cfRule type="cellIs" dxfId="752" priority="185" operator="lessThan">
      <formula>0</formula>
    </cfRule>
  </conditionalFormatting>
  <conditionalFormatting sqref="L4:L35">
    <cfRule type="cellIs" dxfId="751" priority="184" operator="lessThan">
      <formula>0</formula>
    </cfRule>
  </conditionalFormatting>
  <conditionalFormatting sqref="L4:L35">
    <cfRule type="cellIs" dxfId="750" priority="183" operator="lessThan">
      <formula>0</formula>
    </cfRule>
  </conditionalFormatting>
  <conditionalFormatting sqref="L4:L35">
    <cfRule type="cellIs" dxfId="749" priority="182" operator="lessThan">
      <formula>0</formula>
    </cfRule>
  </conditionalFormatting>
  <conditionalFormatting sqref="L4:L35">
    <cfRule type="cellIs" dxfId="748" priority="181" operator="lessThan">
      <formula>0</formula>
    </cfRule>
  </conditionalFormatting>
  <conditionalFormatting sqref="J4:J35">
    <cfRule type="cellIs" dxfId="747" priority="180" operator="lessThan">
      <formula>0</formula>
    </cfRule>
  </conditionalFormatting>
  <conditionalFormatting sqref="J4:J35">
    <cfRule type="cellIs" dxfId="746" priority="179" operator="lessThan">
      <formula>0</formula>
    </cfRule>
  </conditionalFormatting>
  <conditionalFormatting sqref="J4:J35">
    <cfRule type="cellIs" dxfId="745" priority="178" operator="lessThan">
      <formula>0</formula>
    </cfRule>
  </conditionalFormatting>
  <conditionalFormatting sqref="J4:J35">
    <cfRule type="cellIs" dxfId="744" priority="177" operator="lessThan">
      <formula>0</formula>
    </cfRule>
  </conditionalFormatting>
  <conditionalFormatting sqref="J4:J35">
    <cfRule type="cellIs" dxfId="743" priority="176" operator="lessThan">
      <formula>0</formula>
    </cfRule>
  </conditionalFormatting>
  <conditionalFormatting sqref="J4:J35">
    <cfRule type="cellIs" dxfId="742" priority="175" operator="lessThan">
      <formula>0</formula>
    </cfRule>
  </conditionalFormatting>
  <conditionalFormatting sqref="J4:J35">
    <cfRule type="cellIs" dxfId="741" priority="174" operator="lessThan">
      <formula>0</formula>
    </cfRule>
  </conditionalFormatting>
  <conditionalFormatting sqref="J4:J35">
    <cfRule type="cellIs" dxfId="740" priority="173" operator="lessThan">
      <formula>0</formula>
    </cfRule>
  </conditionalFormatting>
  <conditionalFormatting sqref="J4:J35">
    <cfRule type="cellIs" dxfId="739" priority="172" operator="lessThan">
      <formula>0</formula>
    </cfRule>
  </conditionalFormatting>
  <conditionalFormatting sqref="J4:J35">
    <cfRule type="cellIs" dxfId="738" priority="171" operator="lessThan">
      <formula>0</formula>
    </cfRule>
  </conditionalFormatting>
  <conditionalFormatting sqref="J4:J35">
    <cfRule type="cellIs" dxfId="737" priority="170" operator="lessThan">
      <formula>0</formula>
    </cfRule>
  </conditionalFormatting>
  <conditionalFormatting sqref="J4:J35">
    <cfRule type="cellIs" dxfId="736" priority="169" operator="lessThan">
      <formula>0</formula>
    </cfRule>
  </conditionalFormatting>
  <conditionalFormatting sqref="J4:J35">
    <cfRule type="cellIs" dxfId="735" priority="168" operator="lessThan">
      <formula>0</formula>
    </cfRule>
  </conditionalFormatting>
  <conditionalFormatting sqref="J4:J35">
    <cfRule type="cellIs" dxfId="734" priority="167" operator="lessThan">
      <formula>0</formula>
    </cfRule>
  </conditionalFormatting>
  <conditionalFormatting sqref="J4:J35">
    <cfRule type="cellIs" dxfId="733" priority="166" operator="lessThan">
      <formula>0</formula>
    </cfRule>
  </conditionalFormatting>
  <conditionalFormatting sqref="J4:J35">
    <cfRule type="cellIs" dxfId="732" priority="165" operator="lessThan">
      <formula>0</formula>
    </cfRule>
  </conditionalFormatting>
  <conditionalFormatting sqref="J4:J35">
    <cfRule type="cellIs" dxfId="731" priority="164" operator="lessThan">
      <formula>0</formula>
    </cfRule>
  </conditionalFormatting>
  <conditionalFormatting sqref="J4:J35">
    <cfRule type="cellIs" dxfId="730" priority="163" operator="lessThan">
      <formula>0</formula>
    </cfRule>
  </conditionalFormatting>
  <conditionalFormatting sqref="J4:J35">
    <cfRule type="cellIs" dxfId="729" priority="162" operator="lessThan">
      <formula>0</formula>
    </cfRule>
  </conditionalFormatting>
  <conditionalFormatting sqref="J4:J35">
    <cfRule type="cellIs" dxfId="728" priority="161" operator="lessThan">
      <formula>0</formula>
    </cfRule>
  </conditionalFormatting>
  <conditionalFormatting sqref="J4:J35">
    <cfRule type="cellIs" dxfId="727" priority="160" operator="lessThan">
      <formula>0</formula>
    </cfRule>
  </conditionalFormatting>
  <conditionalFormatting sqref="J4:J35">
    <cfRule type="cellIs" dxfId="726" priority="159" operator="lessThan">
      <formula>0</formula>
    </cfRule>
  </conditionalFormatting>
  <conditionalFormatting sqref="J4:J35">
    <cfRule type="cellIs" dxfId="725" priority="158" operator="lessThan">
      <formula>0</formula>
    </cfRule>
  </conditionalFormatting>
  <conditionalFormatting sqref="J4:J35">
    <cfRule type="cellIs" dxfId="724" priority="157" operator="lessThan">
      <formula>0</formula>
    </cfRule>
  </conditionalFormatting>
  <conditionalFormatting sqref="J4:J35">
    <cfRule type="cellIs" dxfId="723" priority="156" operator="lessThan">
      <formula>0</formula>
    </cfRule>
  </conditionalFormatting>
  <conditionalFormatting sqref="J4:J35">
    <cfRule type="cellIs" dxfId="722" priority="155" operator="lessThan">
      <formula>0</formula>
    </cfRule>
  </conditionalFormatting>
  <conditionalFormatting sqref="J4:J35">
    <cfRule type="cellIs" dxfId="721" priority="154" operator="lessThan">
      <formula>0</formula>
    </cfRule>
  </conditionalFormatting>
  <conditionalFormatting sqref="J4:J35">
    <cfRule type="cellIs" dxfId="720" priority="153" operator="lessThan">
      <formula>0</formula>
    </cfRule>
  </conditionalFormatting>
  <conditionalFormatting sqref="J4:J35">
    <cfRule type="cellIs" dxfId="719" priority="152" operator="lessThan">
      <formula>0</formula>
    </cfRule>
  </conditionalFormatting>
  <conditionalFormatting sqref="J4:J35">
    <cfRule type="cellIs" dxfId="718" priority="151" operator="lessThan">
      <formula>0</formula>
    </cfRule>
  </conditionalFormatting>
  <conditionalFormatting sqref="J4:J35">
    <cfRule type="cellIs" dxfId="717" priority="150" operator="lessThan">
      <formula>0</formula>
    </cfRule>
  </conditionalFormatting>
  <conditionalFormatting sqref="J4:J35">
    <cfRule type="cellIs" dxfId="716" priority="149" operator="lessThan">
      <formula>0</formula>
    </cfRule>
  </conditionalFormatting>
  <conditionalFormatting sqref="J4:J35">
    <cfRule type="cellIs" dxfId="715" priority="148" operator="lessThan">
      <formula>0</formula>
    </cfRule>
  </conditionalFormatting>
  <conditionalFormatting sqref="J4:J35">
    <cfRule type="cellIs" dxfId="714" priority="147" operator="lessThan">
      <formula>0</formula>
    </cfRule>
  </conditionalFormatting>
  <conditionalFormatting sqref="J4:J35">
    <cfRule type="cellIs" dxfId="713" priority="146" operator="lessThan">
      <formula>0</formula>
    </cfRule>
  </conditionalFormatting>
  <conditionalFormatting sqref="J4:J35">
    <cfRule type="cellIs" dxfId="712" priority="145" operator="lessThan">
      <formula>0</formula>
    </cfRule>
  </conditionalFormatting>
  <conditionalFormatting sqref="J4:J35">
    <cfRule type="cellIs" dxfId="711" priority="144" operator="lessThan">
      <formula>0</formula>
    </cfRule>
  </conditionalFormatting>
  <conditionalFormatting sqref="J4:J35">
    <cfRule type="cellIs" dxfId="710" priority="143" operator="lessThan">
      <formula>0</formula>
    </cfRule>
  </conditionalFormatting>
  <conditionalFormatting sqref="J4:J35">
    <cfRule type="cellIs" dxfId="709" priority="142" operator="lessThan">
      <formula>0</formula>
    </cfRule>
  </conditionalFormatting>
  <conditionalFormatting sqref="J4:J35">
    <cfRule type="cellIs" dxfId="708" priority="141" operator="lessThan">
      <formula>0</formula>
    </cfRule>
  </conditionalFormatting>
  <conditionalFormatting sqref="J4:J35">
    <cfRule type="cellIs" dxfId="707" priority="140" operator="lessThan">
      <formula>0</formula>
    </cfRule>
  </conditionalFormatting>
  <conditionalFormatting sqref="J4:J35">
    <cfRule type="cellIs" dxfId="706" priority="139" operator="lessThan">
      <formula>0</formula>
    </cfRule>
  </conditionalFormatting>
  <conditionalFormatting sqref="J4:J35">
    <cfRule type="cellIs" dxfId="705" priority="138" operator="lessThan">
      <formula>0</formula>
    </cfRule>
  </conditionalFormatting>
  <conditionalFormatting sqref="J4:J35">
    <cfRule type="cellIs" dxfId="704" priority="137" operator="lessThan">
      <formula>0</formula>
    </cfRule>
  </conditionalFormatting>
  <conditionalFormatting sqref="J4:J35">
    <cfRule type="cellIs" dxfId="703" priority="136" operator="lessThan">
      <formula>0</formula>
    </cfRule>
  </conditionalFormatting>
  <conditionalFormatting sqref="L4:L35">
    <cfRule type="cellIs" dxfId="702" priority="135" operator="lessThan">
      <formula>0</formula>
    </cfRule>
  </conditionalFormatting>
  <conditionalFormatting sqref="L4:L35">
    <cfRule type="cellIs" dxfId="701" priority="134" operator="lessThan">
      <formula>0</formula>
    </cfRule>
  </conditionalFormatting>
  <conditionalFormatting sqref="L4:L35">
    <cfRule type="cellIs" dxfId="700" priority="133" operator="lessThan">
      <formula>0</formula>
    </cfRule>
  </conditionalFormatting>
  <conditionalFormatting sqref="L4:L35">
    <cfRule type="cellIs" dxfId="699" priority="132" operator="lessThan">
      <formula>0</formula>
    </cfRule>
  </conditionalFormatting>
  <conditionalFormatting sqref="L4:L35">
    <cfRule type="cellIs" dxfId="698" priority="131" operator="lessThan">
      <formula>0</formula>
    </cfRule>
  </conditionalFormatting>
  <conditionalFormatting sqref="L4:L35">
    <cfRule type="cellIs" dxfId="697" priority="130" operator="lessThan">
      <formula>0</formula>
    </cfRule>
  </conditionalFormatting>
  <conditionalFormatting sqref="L4:L35">
    <cfRule type="cellIs" dxfId="696" priority="129" operator="lessThan">
      <formula>0</formula>
    </cfRule>
  </conditionalFormatting>
  <conditionalFormatting sqref="L4:L35">
    <cfRule type="cellIs" dxfId="695" priority="128" operator="lessThan">
      <formula>0</formula>
    </cfRule>
  </conditionalFormatting>
  <conditionalFormatting sqref="L4:L35">
    <cfRule type="cellIs" dxfId="694" priority="127" operator="lessThan">
      <formula>0</formula>
    </cfRule>
  </conditionalFormatting>
  <conditionalFormatting sqref="L4:L35">
    <cfRule type="cellIs" dxfId="693" priority="126" operator="lessThan">
      <formula>0</formula>
    </cfRule>
  </conditionalFormatting>
  <conditionalFormatting sqref="L4:L35">
    <cfRule type="cellIs" dxfId="692" priority="125" operator="lessThan">
      <formula>0</formula>
    </cfRule>
  </conditionalFormatting>
  <conditionalFormatting sqref="L4:L35">
    <cfRule type="cellIs" dxfId="691" priority="124" operator="lessThan">
      <formula>0</formula>
    </cfRule>
  </conditionalFormatting>
  <conditionalFormatting sqref="L4:L35">
    <cfRule type="cellIs" dxfId="690" priority="123" operator="lessThan">
      <formula>0</formula>
    </cfRule>
  </conditionalFormatting>
  <conditionalFormatting sqref="L4:L35">
    <cfRule type="cellIs" dxfId="689" priority="122" operator="lessThan">
      <formula>0</formula>
    </cfRule>
  </conditionalFormatting>
  <conditionalFormatting sqref="L4:L35">
    <cfRule type="cellIs" dxfId="688" priority="121" operator="lessThan">
      <formula>0</formula>
    </cfRule>
  </conditionalFormatting>
  <conditionalFormatting sqref="L4:L35">
    <cfRule type="cellIs" dxfId="687" priority="120" operator="lessThan">
      <formula>0</formula>
    </cfRule>
  </conditionalFormatting>
  <conditionalFormatting sqref="L4:L35">
    <cfRule type="cellIs" dxfId="686" priority="119" operator="lessThan">
      <formula>0</formula>
    </cfRule>
  </conditionalFormatting>
  <conditionalFormatting sqref="L4:L35">
    <cfRule type="cellIs" dxfId="685" priority="118" operator="lessThan">
      <formula>0</formula>
    </cfRule>
  </conditionalFormatting>
  <conditionalFormatting sqref="L4:L35">
    <cfRule type="cellIs" dxfId="684" priority="117" operator="lessThan">
      <formula>0</formula>
    </cfRule>
  </conditionalFormatting>
  <conditionalFormatting sqref="L4:L35">
    <cfRule type="cellIs" dxfId="683" priority="116" operator="lessThan">
      <formula>0</formula>
    </cfRule>
  </conditionalFormatting>
  <conditionalFormatting sqref="L4:L35">
    <cfRule type="cellIs" dxfId="682" priority="115" operator="lessThan">
      <formula>0</formula>
    </cfRule>
  </conditionalFormatting>
  <conditionalFormatting sqref="L4:L35">
    <cfRule type="cellIs" dxfId="681" priority="114" operator="lessThan">
      <formula>0</formula>
    </cfRule>
  </conditionalFormatting>
  <conditionalFormatting sqref="L4:L35">
    <cfRule type="cellIs" dxfId="680" priority="113" operator="lessThan">
      <formula>0</formula>
    </cfRule>
  </conditionalFormatting>
  <conditionalFormatting sqref="L4:L35">
    <cfRule type="cellIs" dxfId="679" priority="112" operator="lessThan">
      <formula>0</formula>
    </cfRule>
  </conditionalFormatting>
  <conditionalFormatting sqref="L4:L35">
    <cfRule type="cellIs" dxfId="678" priority="111" operator="lessThan">
      <formula>0</formula>
    </cfRule>
  </conditionalFormatting>
  <conditionalFormatting sqref="L4:L35">
    <cfRule type="cellIs" dxfId="677" priority="110" operator="lessThan">
      <formula>0</formula>
    </cfRule>
  </conditionalFormatting>
  <conditionalFormatting sqref="L4:L35">
    <cfRule type="cellIs" dxfId="676" priority="109" operator="lessThan">
      <formula>0</formula>
    </cfRule>
  </conditionalFormatting>
  <conditionalFormatting sqref="L4:L35">
    <cfRule type="cellIs" dxfId="675" priority="108" operator="lessThan">
      <formula>0</formula>
    </cfRule>
  </conditionalFormatting>
  <conditionalFormatting sqref="L4:L35">
    <cfRule type="cellIs" dxfId="674" priority="107" operator="lessThan">
      <formula>0</formula>
    </cfRule>
  </conditionalFormatting>
  <conditionalFormatting sqref="L4:L35">
    <cfRule type="cellIs" dxfId="673" priority="106" operator="lessThan">
      <formula>0</formula>
    </cfRule>
  </conditionalFormatting>
  <conditionalFormatting sqref="L4:L35">
    <cfRule type="cellIs" dxfId="672" priority="105" operator="lessThan">
      <formula>0</formula>
    </cfRule>
  </conditionalFormatting>
  <conditionalFormatting sqref="L4:L35">
    <cfRule type="cellIs" dxfId="671" priority="104" operator="lessThan">
      <formula>0</formula>
    </cfRule>
  </conditionalFormatting>
  <conditionalFormatting sqref="L4:L35">
    <cfRule type="cellIs" dxfId="670" priority="103" operator="lessThan">
      <formula>0</formula>
    </cfRule>
  </conditionalFormatting>
  <conditionalFormatting sqref="L4:L35">
    <cfRule type="cellIs" dxfId="669" priority="102" operator="lessThan">
      <formula>0</formula>
    </cfRule>
  </conditionalFormatting>
  <conditionalFormatting sqref="L4:L35">
    <cfRule type="cellIs" dxfId="668" priority="101" operator="lessThan">
      <formula>0</formula>
    </cfRule>
  </conditionalFormatting>
  <conditionalFormatting sqref="C5:C6">
    <cfRule type="cellIs" dxfId="667" priority="100" operator="lessThan">
      <formula>0</formula>
    </cfRule>
  </conditionalFormatting>
  <conditionalFormatting sqref="C5:C6">
    <cfRule type="cellIs" dxfId="666" priority="99" operator="lessThan">
      <formula>0</formula>
    </cfRule>
  </conditionalFormatting>
  <conditionalFormatting sqref="C5:C6">
    <cfRule type="cellIs" dxfId="665" priority="98" operator="lessThan">
      <formula>0</formula>
    </cfRule>
  </conditionalFormatting>
  <conditionalFormatting sqref="C5:C6">
    <cfRule type="cellIs" dxfId="664" priority="97" operator="lessThan">
      <formula>0</formula>
    </cfRule>
  </conditionalFormatting>
  <conditionalFormatting sqref="C5:C6">
    <cfRule type="cellIs" dxfId="663" priority="96" operator="lessThan">
      <formula>0</formula>
    </cfRule>
  </conditionalFormatting>
  <conditionalFormatting sqref="C5:C6">
    <cfRule type="cellIs" dxfId="662" priority="95" operator="lessThan">
      <formula>0</formula>
    </cfRule>
  </conditionalFormatting>
  <conditionalFormatting sqref="C5:C6">
    <cfRule type="cellIs" dxfId="661" priority="94" operator="lessThan">
      <formula>0</formula>
    </cfRule>
  </conditionalFormatting>
  <conditionalFormatting sqref="C5:C6">
    <cfRule type="cellIs" dxfId="660" priority="93" operator="lessThan">
      <formula>0</formula>
    </cfRule>
  </conditionalFormatting>
  <conditionalFormatting sqref="C5:C6">
    <cfRule type="cellIs" dxfId="659" priority="92" operator="lessThan">
      <formula>0</formula>
    </cfRule>
  </conditionalFormatting>
  <conditionalFormatting sqref="C5:C6">
    <cfRule type="cellIs" dxfId="658" priority="91" operator="lessThan">
      <formula>0</formula>
    </cfRule>
  </conditionalFormatting>
  <conditionalFormatting sqref="C5:C6">
    <cfRule type="cellIs" dxfId="657" priority="90" operator="lessThan">
      <formula>0</formula>
    </cfRule>
  </conditionalFormatting>
  <conditionalFormatting sqref="C5:C6">
    <cfRule type="cellIs" dxfId="656" priority="89" operator="lessThan">
      <formula>0</formula>
    </cfRule>
  </conditionalFormatting>
  <conditionalFormatting sqref="C5:C6">
    <cfRule type="cellIs" dxfId="655" priority="88" operator="lessThan">
      <formula>0</formula>
    </cfRule>
  </conditionalFormatting>
  <conditionalFormatting sqref="C5:C6">
    <cfRule type="cellIs" dxfId="654" priority="87" operator="lessThan">
      <formula>0</formula>
    </cfRule>
  </conditionalFormatting>
  <conditionalFormatting sqref="C5:C6">
    <cfRule type="cellIs" dxfId="653" priority="86" operator="lessThan">
      <formula>0</formula>
    </cfRule>
  </conditionalFormatting>
  <conditionalFormatting sqref="C5:C6">
    <cfRule type="cellIs" dxfId="652" priority="85" operator="lessThan">
      <formula>0</formula>
    </cfRule>
  </conditionalFormatting>
  <conditionalFormatting sqref="C5:C6">
    <cfRule type="cellIs" dxfId="651" priority="84" operator="lessThan">
      <formula>0</formula>
    </cfRule>
  </conditionalFormatting>
  <conditionalFormatting sqref="C5:C6">
    <cfRule type="cellIs" dxfId="650" priority="83" operator="lessThan">
      <formula>0</formula>
    </cfRule>
  </conditionalFormatting>
  <conditionalFormatting sqref="C5:C6">
    <cfRule type="cellIs" dxfId="649" priority="82" operator="lessThan">
      <formula>0</formula>
    </cfRule>
  </conditionalFormatting>
  <conditionalFormatting sqref="C5:C6">
    <cfRule type="cellIs" dxfId="648" priority="81" operator="lessThan">
      <formula>0</formula>
    </cfRule>
  </conditionalFormatting>
  <conditionalFormatting sqref="C5:C6">
    <cfRule type="cellIs" dxfId="647" priority="80" operator="lessThan">
      <formula>0</formula>
    </cfRule>
  </conditionalFormatting>
  <conditionalFormatting sqref="C5:C6">
    <cfRule type="cellIs" dxfId="646" priority="79" operator="lessThan">
      <formula>0</formula>
    </cfRule>
  </conditionalFormatting>
  <conditionalFormatting sqref="C5:C6">
    <cfRule type="cellIs" dxfId="645" priority="78" operator="lessThan">
      <formula>0</formula>
    </cfRule>
  </conditionalFormatting>
  <conditionalFormatting sqref="C5:C6">
    <cfRule type="cellIs" dxfId="644" priority="77" operator="lessThan">
      <formula>0</formula>
    </cfRule>
  </conditionalFormatting>
  <conditionalFormatting sqref="C5:C6">
    <cfRule type="cellIs" dxfId="643" priority="76" operator="lessThan">
      <formula>0</formula>
    </cfRule>
  </conditionalFormatting>
  <conditionalFormatting sqref="C5:C6">
    <cfRule type="cellIs" dxfId="642" priority="75" operator="lessThan">
      <formula>0</formula>
    </cfRule>
  </conditionalFormatting>
  <conditionalFormatting sqref="C5:C6">
    <cfRule type="cellIs" dxfId="641" priority="74" operator="lessThan">
      <formula>0</formula>
    </cfRule>
  </conditionalFormatting>
  <conditionalFormatting sqref="C5:C6">
    <cfRule type="cellIs" dxfId="640" priority="73" operator="lessThan">
      <formula>0</formula>
    </cfRule>
  </conditionalFormatting>
  <conditionalFormatting sqref="C5:C6">
    <cfRule type="cellIs" dxfId="639" priority="72" operator="lessThan">
      <formula>0</formula>
    </cfRule>
  </conditionalFormatting>
  <conditionalFormatting sqref="C5:C6">
    <cfRule type="cellIs" dxfId="638" priority="71" operator="lessThan">
      <formula>0</formula>
    </cfRule>
  </conditionalFormatting>
  <conditionalFormatting sqref="C5:C6">
    <cfRule type="cellIs" dxfId="637" priority="70" operator="lessThan">
      <formula>0</formula>
    </cfRule>
  </conditionalFormatting>
  <conditionalFormatting sqref="C5:C6">
    <cfRule type="cellIs" dxfId="636" priority="69" operator="lessThan">
      <formula>0</formula>
    </cfRule>
  </conditionalFormatting>
  <conditionalFormatting sqref="C5:C6">
    <cfRule type="cellIs" dxfId="635" priority="68" operator="lessThan">
      <formula>0</formula>
    </cfRule>
  </conditionalFormatting>
  <conditionalFormatting sqref="C5:C6">
    <cfRule type="cellIs" dxfId="634" priority="67" operator="lessThan">
      <formula>0</formula>
    </cfRule>
  </conditionalFormatting>
  <conditionalFormatting sqref="C5:C6">
    <cfRule type="cellIs" dxfId="633" priority="66" operator="lessThan">
      <formula>0</formula>
    </cfRule>
  </conditionalFormatting>
  <conditionalFormatting sqref="C5:C6">
    <cfRule type="cellIs" dxfId="632" priority="65" operator="lessThan">
      <formula>0</formula>
    </cfRule>
  </conditionalFormatting>
  <conditionalFormatting sqref="C5:C6">
    <cfRule type="cellIs" dxfId="631" priority="64" operator="lessThan">
      <formula>0</formula>
    </cfRule>
  </conditionalFormatting>
  <conditionalFormatting sqref="C5:C6">
    <cfRule type="cellIs" dxfId="630" priority="63" operator="lessThan">
      <formula>0</formula>
    </cfRule>
  </conditionalFormatting>
  <conditionalFormatting sqref="C5:C6">
    <cfRule type="cellIs" dxfId="629" priority="62" operator="lessThan">
      <formula>0</formula>
    </cfRule>
  </conditionalFormatting>
  <conditionalFormatting sqref="C5:C6">
    <cfRule type="cellIs" dxfId="628" priority="61" operator="lessThan">
      <formula>0</formula>
    </cfRule>
  </conditionalFormatting>
  <conditionalFormatting sqref="C5:C6">
    <cfRule type="cellIs" dxfId="627" priority="60" operator="lessThan">
      <formula>0</formula>
    </cfRule>
  </conditionalFormatting>
  <conditionalFormatting sqref="C5:C6">
    <cfRule type="cellIs" dxfId="626" priority="59" operator="lessThan">
      <formula>0</formula>
    </cfRule>
  </conditionalFormatting>
  <conditionalFormatting sqref="C5:C6">
    <cfRule type="cellIs" dxfId="625" priority="58" operator="lessThan">
      <formula>0</formula>
    </cfRule>
  </conditionalFormatting>
  <conditionalFormatting sqref="C5:C6">
    <cfRule type="cellIs" dxfId="624" priority="57" operator="lessThan">
      <formula>0</formula>
    </cfRule>
  </conditionalFormatting>
  <conditionalFormatting sqref="C5:C6">
    <cfRule type="cellIs" dxfId="623" priority="56" operator="lessThan">
      <formula>0</formula>
    </cfRule>
  </conditionalFormatting>
  <conditionalFormatting sqref="C5:C6">
    <cfRule type="cellIs" dxfId="622" priority="55" operator="lessThan">
      <formula>0</formula>
    </cfRule>
  </conditionalFormatting>
  <conditionalFormatting sqref="C5:C6">
    <cfRule type="cellIs" dxfId="621" priority="54" operator="lessThan">
      <formula>0</formula>
    </cfRule>
  </conditionalFormatting>
  <conditionalFormatting sqref="C5:C6">
    <cfRule type="cellIs" dxfId="620" priority="53" operator="lessThan">
      <formula>0</formula>
    </cfRule>
  </conditionalFormatting>
  <conditionalFormatting sqref="C5:C6">
    <cfRule type="cellIs" dxfId="619" priority="52" operator="lessThan">
      <formula>0</formula>
    </cfRule>
  </conditionalFormatting>
  <conditionalFormatting sqref="C5:C6">
    <cfRule type="cellIs" dxfId="618" priority="51" operator="lessThan">
      <formula>0</formula>
    </cfRule>
  </conditionalFormatting>
  <conditionalFormatting sqref="C4:C35">
    <cfRule type="cellIs" dxfId="617" priority="50" operator="lessThan">
      <formula>0</formula>
    </cfRule>
  </conditionalFormatting>
  <conditionalFormatting sqref="C4:C35">
    <cfRule type="cellIs" dxfId="616" priority="49" operator="lessThan">
      <formula>0</formula>
    </cfRule>
  </conditionalFormatting>
  <conditionalFormatting sqref="C4:C35">
    <cfRule type="cellIs" dxfId="615" priority="48" operator="lessThan">
      <formula>0</formula>
    </cfRule>
  </conditionalFormatting>
  <conditionalFormatting sqref="C4:C35">
    <cfRule type="cellIs" dxfId="614" priority="47" operator="lessThan">
      <formula>0</formula>
    </cfRule>
  </conditionalFormatting>
  <conditionalFormatting sqref="C4:C35">
    <cfRule type="cellIs" dxfId="613" priority="46" operator="lessThan">
      <formula>0</formula>
    </cfRule>
  </conditionalFormatting>
  <conditionalFormatting sqref="C4:C35">
    <cfRule type="cellIs" dxfId="612" priority="45" operator="lessThan">
      <formula>0</formula>
    </cfRule>
  </conditionalFormatting>
  <conditionalFormatting sqref="C4:C35">
    <cfRule type="cellIs" dxfId="611" priority="44" operator="lessThan">
      <formula>0</formula>
    </cfRule>
  </conditionalFormatting>
  <conditionalFormatting sqref="C4:C35">
    <cfRule type="cellIs" dxfId="610" priority="43" operator="lessThan">
      <formula>0</formula>
    </cfRule>
  </conditionalFormatting>
  <conditionalFormatting sqref="C4:C35">
    <cfRule type="cellIs" dxfId="609" priority="42" operator="lessThan">
      <formula>0</formula>
    </cfRule>
  </conditionalFormatting>
  <conditionalFormatting sqref="C4:C35">
    <cfRule type="cellIs" dxfId="608" priority="41" operator="lessThan">
      <formula>0</formula>
    </cfRule>
  </conditionalFormatting>
  <conditionalFormatting sqref="C4:C35">
    <cfRule type="cellIs" dxfId="607" priority="40" operator="lessThan">
      <formula>0</formula>
    </cfRule>
  </conditionalFormatting>
  <conditionalFormatting sqref="C4:C35">
    <cfRule type="cellIs" dxfId="606" priority="39" operator="lessThan">
      <formula>0</formula>
    </cfRule>
  </conditionalFormatting>
  <conditionalFormatting sqref="C4:C35">
    <cfRule type="cellIs" dxfId="605" priority="38" operator="lessThan">
      <formula>0</formula>
    </cfRule>
  </conditionalFormatting>
  <conditionalFormatting sqref="C4:C35">
    <cfRule type="cellIs" dxfId="604" priority="37" operator="lessThan">
      <formula>0</formula>
    </cfRule>
  </conditionalFormatting>
  <conditionalFormatting sqref="C4:C35">
    <cfRule type="cellIs" dxfId="603" priority="36" operator="lessThan">
      <formula>0</formula>
    </cfRule>
  </conditionalFormatting>
  <conditionalFormatting sqref="C4:C35">
    <cfRule type="cellIs" dxfId="602" priority="35" operator="lessThan">
      <formula>0</formula>
    </cfRule>
  </conditionalFormatting>
  <conditionalFormatting sqref="C4:C35">
    <cfRule type="cellIs" dxfId="601" priority="34" operator="lessThan">
      <formula>0</formula>
    </cfRule>
  </conditionalFormatting>
  <conditionalFormatting sqref="C4:C35">
    <cfRule type="cellIs" dxfId="600" priority="33" operator="lessThan">
      <formula>0</formula>
    </cfRule>
  </conditionalFormatting>
  <conditionalFormatting sqref="C4:C35">
    <cfRule type="cellIs" dxfId="599" priority="32" operator="lessThan">
      <formula>0</formula>
    </cfRule>
  </conditionalFormatting>
  <conditionalFormatting sqref="C4:C35">
    <cfRule type="cellIs" dxfId="598" priority="31" operator="lessThan">
      <formula>0</formula>
    </cfRule>
  </conditionalFormatting>
  <conditionalFormatting sqref="C4:C35">
    <cfRule type="cellIs" dxfId="597" priority="30" operator="lessThan">
      <formula>0</formula>
    </cfRule>
  </conditionalFormatting>
  <conditionalFormatting sqref="C4:C35">
    <cfRule type="cellIs" dxfId="596" priority="29" operator="lessThan">
      <formula>0</formula>
    </cfRule>
  </conditionalFormatting>
  <conditionalFormatting sqref="C4:C35">
    <cfRule type="cellIs" dxfId="595" priority="28" operator="lessThan">
      <formula>0</formula>
    </cfRule>
  </conditionalFormatting>
  <conditionalFormatting sqref="C4:C35">
    <cfRule type="cellIs" dxfId="594" priority="27" operator="lessThan">
      <formula>0</formula>
    </cfRule>
  </conditionalFormatting>
  <conditionalFormatting sqref="C4:C35">
    <cfRule type="cellIs" dxfId="593" priority="26" operator="lessThan">
      <formula>0</formula>
    </cfRule>
  </conditionalFormatting>
  <conditionalFormatting sqref="C4:C35">
    <cfRule type="cellIs" dxfId="592" priority="25" operator="lessThan">
      <formula>0</formula>
    </cfRule>
  </conditionalFormatting>
  <conditionalFormatting sqref="C4:C35">
    <cfRule type="cellIs" dxfId="591" priority="24" operator="lessThan">
      <formula>0</formula>
    </cfRule>
  </conditionalFormatting>
  <conditionalFormatting sqref="C4:C35">
    <cfRule type="cellIs" dxfId="590" priority="23" operator="lessThan">
      <formula>0</formula>
    </cfRule>
  </conditionalFormatting>
  <conditionalFormatting sqref="C4:C35">
    <cfRule type="cellIs" dxfId="589" priority="22" operator="lessThan">
      <formula>0</formula>
    </cfRule>
  </conditionalFormatting>
  <conditionalFormatting sqref="C4:C35">
    <cfRule type="cellIs" dxfId="588" priority="21" operator="lessThan">
      <formula>0</formula>
    </cfRule>
  </conditionalFormatting>
  <conditionalFormatting sqref="C4:C35">
    <cfRule type="cellIs" dxfId="587" priority="20" operator="lessThan">
      <formula>0</formula>
    </cfRule>
  </conditionalFormatting>
  <conditionalFormatting sqref="C4:C35">
    <cfRule type="cellIs" dxfId="586" priority="19" operator="lessThan">
      <formula>0</formula>
    </cfRule>
  </conditionalFormatting>
  <conditionalFormatting sqref="C4:C35">
    <cfRule type="cellIs" dxfId="585" priority="18" operator="lessThan">
      <formula>0</formula>
    </cfRule>
  </conditionalFormatting>
  <conditionalFormatting sqref="C4:C35">
    <cfRule type="cellIs" dxfId="584" priority="17" operator="lessThan">
      <formula>0</formula>
    </cfRule>
  </conditionalFormatting>
  <conditionalFormatting sqref="C4:C35">
    <cfRule type="cellIs" dxfId="583" priority="16" operator="lessThan">
      <formula>0</formula>
    </cfRule>
  </conditionalFormatting>
  <conditionalFormatting sqref="C4:C35">
    <cfRule type="cellIs" dxfId="582" priority="15" operator="lessThan">
      <formula>0</formula>
    </cfRule>
  </conditionalFormatting>
  <conditionalFormatting sqref="C4:C35">
    <cfRule type="cellIs" dxfId="581" priority="14" operator="lessThan">
      <formula>0</formula>
    </cfRule>
  </conditionalFormatting>
  <conditionalFormatting sqref="C4:C35">
    <cfRule type="cellIs" dxfId="580" priority="13" operator="lessThan">
      <formula>0</formula>
    </cfRule>
  </conditionalFormatting>
  <conditionalFormatting sqref="C4:C35">
    <cfRule type="cellIs" dxfId="579" priority="12" operator="lessThan">
      <formula>0</formula>
    </cfRule>
  </conditionalFormatting>
  <conditionalFormatting sqref="C4:C35">
    <cfRule type="cellIs" dxfId="578" priority="11" operator="lessThan">
      <formula>0</formula>
    </cfRule>
  </conditionalFormatting>
  <conditionalFormatting sqref="C4:C35">
    <cfRule type="cellIs" dxfId="577" priority="10" operator="lessThan">
      <formula>0</formula>
    </cfRule>
  </conditionalFormatting>
  <conditionalFormatting sqref="C4:C35">
    <cfRule type="cellIs" dxfId="576" priority="9" operator="lessThan">
      <formula>0</formula>
    </cfRule>
  </conditionalFormatting>
  <conditionalFormatting sqref="C4:C35">
    <cfRule type="cellIs" dxfId="575" priority="8" operator="lessThan">
      <formula>0</formula>
    </cfRule>
  </conditionalFormatting>
  <conditionalFormatting sqref="C4:C35">
    <cfRule type="cellIs" dxfId="574" priority="7" operator="lessThan">
      <formula>0</formula>
    </cfRule>
  </conditionalFormatting>
  <conditionalFormatting sqref="C4:C35">
    <cfRule type="cellIs" dxfId="573" priority="6" operator="lessThan">
      <formula>0</formula>
    </cfRule>
  </conditionalFormatting>
  <conditionalFormatting sqref="C4:C35">
    <cfRule type="cellIs" dxfId="572" priority="5" operator="lessThan">
      <formula>0</formula>
    </cfRule>
  </conditionalFormatting>
  <conditionalFormatting sqref="C4:C35">
    <cfRule type="cellIs" dxfId="571" priority="4" operator="lessThan">
      <formula>0</formula>
    </cfRule>
  </conditionalFormatting>
  <conditionalFormatting sqref="C4:C35">
    <cfRule type="cellIs" dxfId="570" priority="3" operator="lessThan">
      <formula>0</formula>
    </cfRule>
  </conditionalFormatting>
  <conditionalFormatting sqref="C4:C35">
    <cfRule type="cellIs" dxfId="569" priority="2" operator="lessThan">
      <formula>0</formula>
    </cfRule>
  </conditionalFormatting>
  <conditionalFormatting sqref="C4:C35">
    <cfRule type="cellIs" dxfId="568"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EA70"/>
  <sheetViews>
    <sheetView zoomScale="115" zoomScaleNormal="115" zoomScaleSheetLayoutView="85" workbookViewId="0">
      <selection activeCell="B13" sqref="B13"/>
    </sheetView>
  </sheetViews>
  <sheetFormatPr defaultColWidth="9.140625" defaultRowHeight="14.45"/>
  <cols>
    <col min="1" max="1" width="21.85546875" style="90" customWidth="1"/>
    <col min="2" max="2" width="17.140625" style="167" customWidth="1"/>
    <col min="3" max="3" width="11.7109375" style="167" customWidth="1"/>
    <col min="4" max="4" width="15.5703125" style="168" bestFit="1" customWidth="1"/>
    <col min="5" max="5" width="22.140625" style="90" customWidth="1"/>
    <col min="6" max="6" width="12.7109375" style="90" bestFit="1" customWidth="1"/>
    <col min="7" max="7" width="13" style="90" bestFit="1" customWidth="1"/>
    <col min="8" max="8" width="15" style="90" bestFit="1" customWidth="1"/>
    <col min="9" max="16384" width="9.140625" style="90"/>
  </cols>
  <sheetData>
    <row r="1" spans="1:131" s="84" customFormat="1" ht="15.75" customHeight="1" thickBot="1">
      <c r="A1" s="81" t="s">
        <v>451</v>
      </c>
      <c r="B1" s="486">
        <f>'Current month'!A4</f>
        <v>44774</v>
      </c>
      <c r="C1" s="82"/>
      <c r="D1" s="82"/>
      <c r="E1" s="82"/>
      <c r="F1" s="82"/>
      <c r="G1" s="82"/>
      <c r="H1" s="83"/>
    </row>
    <row r="2" spans="1:131" s="84" customFormat="1" ht="20.45" thickBot="1">
      <c r="A2" s="843" t="s">
        <v>452</v>
      </c>
      <c r="B2" s="843"/>
      <c r="C2" s="843"/>
      <c r="D2" s="843"/>
      <c r="E2" s="843"/>
      <c r="F2" s="843"/>
      <c r="G2" s="843"/>
      <c r="H2" s="844"/>
    </row>
    <row r="3" spans="1:131" ht="15.75" customHeight="1" thickBot="1">
      <c r="A3" s="85" t="s">
        <v>453</v>
      </c>
      <c r="B3" s="86" t="s">
        <v>454</v>
      </c>
      <c r="C3" s="87" t="s">
        <v>455</v>
      </c>
      <c r="D3" s="88" t="s">
        <v>456</v>
      </c>
      <c r="E3" s="85" t="s">
        <v>157</v>
      </c>
      <c r="F3" s="86" t="s">
        <v>123</v>
      </c>
      <c r="G3" s="87" t="s">
        <v>455</v>
      </c>
      <c r="H3" s="89" t="s">
        <v>456</v>
      </c>
      <c r="CP3" s="90">
        <v>82301</v>
      </c>
    </row>
    <row r="4" spans="1:131" ht="15.75" customHeight="1">
      <c r="A4" s="91" t="s">
        <v>15</v>
      </c>
      <c r="B4" s="92">
        <f>'Current month'!C35</f>
        <v>68972</v>
      </c>
      <c r="C4" s="332">
        <v>0</v>
      </c>
      <c r="D4" s="93"/>
      <c r="E4" s="94" t="s">
        <v>457</v>
      </c>
      <c r="F4" s="95">
        <f>'Current month'!CU35</f>
        <v>0</v>
      </c>
      <c r="G4" s="321">
        <v>69.3</v>
      </c>
      <c r="H4" s="101">
        <f>F4*G4</f>
        <v>0</v>
      </c>
      <c r="X4" s="90">
        <v>117499</v>
      </c>
      <c r="Z4" s="90">
        <v>966</v>
      </c>
      <c r="AB4" s="90">
        <v>2616</v>
      </c>
      <c r="AF4" s="90">
        <v>543800</v>
      </c>
      <c r="AH4" s="90">
        <v>49062</v>
      </c>
      <c r="AJ4" s="90">
        <v>8346</v>
      </c>
      <c r="AL4" s="90">
        <v>9872</v>
      </c>
      <c r="AN4" s="90">
        <v>13707</v>
      </c>
      <c r="AP4" s="90">
        <v>18116</v>
      </c>
      <c r="AR4" s="90">
        <v>1894.8</v>
      </c>
      <c r="AT4" s="90">
        <v>13193</v>
      </c>
      <c r="AV4" s="90">
        <v>5790</v>
      </c>
      <c r="AX4" s="90">
        <v>24527</v>
      </c>
      <c r="AZ4" s="90">
        <v>295</v>
      </c>
      <c r="BB4" s="90">
        <v>2803</v>
      </c>
      <c r="BD4" s="90">
        <v>3636</v>
      </c>
      <c r="BH4" s="90">
        <v>566580</v>
      </c>
      <c r="BJ4" s="90">
        <v>733030</v>
      </c>
      <c r="BO4" s="90">
        <v>21485</v>
      </c>
      <c r="BQ4" s="90">
        <v>160.5</v>
      </c>
      <c r="BU4" s="90">
        <v>178838</v>
      </c>
      <c r="BX4" s="90">
        <v>70</v>
      </c>
      <c r="BZ4" s="90">
        <v>75</v>
      </c>
      <c r="CB4" s="90">
        <v>70</v>
      </c>
      <c r="CG4" s="90">
        <v>24873</v>
      </c>
      <c r="CJ4" s="90">
        <v>33059</v>
      </c>
      <c r="CM4" s="90">
        <v>7092</v>
      </c>
      <c r="CP4" s="90">
        <v>82307</v>
      </c>
      <c r="CS4" s="90">
        <v>4517</v>
      </c>
      <c r="CV4" s="90">
        <v>5424</v>
      </c>
      <c r="CY4" s="90">
        <v>2513</v>
      </c>
      <c r="DB4" s="90">
        <v>1692</v>
      </c>
      <c r="DE4" s="90">
        <v>3696</v>
      </c>
      <c r="DH4" s="90">
        <v>3560</v>
      </c>
      <c r="DK4" s="90">
        <v>3971</v>
      </c>
      <c r="DN4" s="90">
        <v>3265</v>
      </c>
      <c r="EA4" s="171">
        <v>0.83</v>
      </c>
    </row>
    <row r="5" spans="1:131" ht="15.75" customHeight="1">
      <c r="A5" s="97" t="s">
        <v>19</v>
      </c>
      <c r="B5" s="92">
        <f>'Current month'!E35</f>
        <v>67119</v>
      </c>
      <c r="C5" s="317">
        <v>5.83</v>
      </c>
      <c r="D5" s="99">
        <f>C5*B5</f>
        <v>391303.77</v>
      </c>
      <c r="E5" s="100" t="s">
        <v>458</v>
      </c>
      <c r="F5" s="92">
        <f>'Current month'!CT35</f>
        <v>5172</v>
      </c>
      <c r="G5" s="321">
        <f>G4</f>
        <v>69.3</v>
      </c>
      <c r="H5" s="473">
        <f>F5*G5</f>
        <v>358419.6</v>
      </c>
    </row>
    <row r="6" spans="1:131" ht="15.75" customHeight="1">
      <c r="A6" s="97" t="s">
        <v>23</v>
      </c>
      <c r="B6" s="92">
        <v>1256</v>
      </c>
      <c r="C6" s="317"/>
      <c r="D6" s="99">
        <f>C6*B6</f>
        <v>0</v>
      </c>
      <c r="E6" s="102" t="s">
        <v>459</v>
      </c>
      <c r="F6" s="107">
        <f>'Current month'!CX35</f>
        <v>730.88</v>
      </c>
      <c r="G6" s="321">
        <f t="shared" ref="G6:G18" si="0">G5</f>
        <v>69.3</v>
      </c>
      <c r="H6" s="99">
        <f>F6*G6</f>
        <v>50649.983999999997</v>
      </c>
    </row>
    <row r="7" spans="1:131" ht="15.75" customHeight="1">
      <c r="A7" s="97" t="s">
        <v>460</v>
      </c>
      <c r="B7" s="92">
        <f>'Current month'!G4</f>
        <v>1070</v>
      </c>
      <c r="C7" s="98">
        <v>186</v>
      </c>
      <c r="D7" s="99">
        <f>C7*B7</f>
        <v>199020</v>
      </c>
      <c r="E7" s="102" t="s">
        <v>421</v>
      </c>
      <c r="F7" s="107">
        <f>'Current month'!DD35</f>
        <v>291.20999999999998</v>
      </c>
      <c r="G7" s="321">
        <f t="shared" si="0"/>
        <v>69.3</v>
      </c>
      <c r="H7" s="99">
        <f>F7*G7</f>
        <v>20180.852999999999</v>
      </c>
      <c r="K7" s="103"/>
    </row>
    <row r="8" spans="1:131" ht="15.75" customHeight="1">
      <c r="A8" s="97" t="s">
        <v>461</v>
      </c>
      <c r="B8" s="98"/>
      <c r="C8" s="98"/>
      <c r="D8" s="99">
        <v>430</v>
      </c>
      <c r="E8" s="102" t="s">
        <v>102</v>
      </c>
      <c r="F8" s="107">
        <f>'Current month'!DA35</f>
        <v>142.75</v>
      </c>
      <c r="G8" s="321">
        <f t="shared" si="0"/>
        <v>69.3</v>
      </c>
      <c r="H8" s="99">
        <f>F8*G8</f>
        <v>9892.5749999999989</v>
      </c>
    </row>
    <row r="9" spans="1:131" ht="15.75" customHeight="1">
      <c r="A9" s="104" t="s">
        <v>462</v>
      </c>
      <c r="B9" s="105"/>
      <c r="C9" s="96"/>
      <c r="D9" s="106">
        <f>SUM(D4:D8)</f>
        <v>590753.77</v>
      </c>
      <c r="E9" s="102" t="s">
        <v>463</v>
      </c>
      <c r="F9" s="107">
        <f>'Current month'!DM35</f>
        <v>228.4</v>
      </c>
      <c r="G9" s="321">
        <f t="shared" si="0"/>
        <v>69.3</v>
      </c>
      <c r="H9" s="99">
        <f t="shared" ref="H9:H18" si="1">F9*G9</f>
        <v>15828.119999999999</v>
      </c>
    </row>
    <row r="10" spans="1:131" ht="15.75" customHeight="1">
      <c r="A10" s="97" t="s">
        <v>464</v>
      </c>
      <c r="B10" s="92">
        <f>'Current month'!X35</f>
        <v>1562</v>
      </c>
      <c r="C10" s="317">
        <v>6.25</v>
      </c>
      <c r="D10" s="99">
        <f>C10*B10</f>
        <v>9762.5</v>
      </c>
      <c r="E10" s="102" t="s">
        <v>465</v>
      </c>
      <c r="F10" s="107">
        <f>'Current month'!DP35</f>
        <v>182.72000000000003</v>
      </c>
      <c r="G10" s="321">
        <f t="shared" si="0"/>
        <v>69.3</v>
      </c>
      <c r="H10" s="99">
        <f t="shared" si="1"/>
        <v>12662.496000000001</v>
      </c>
    </row>
    <row r="11" spans="1:131" ht="15.75" customHeight="1" thickBot="1">
      <c r="A11" s="108" t="s">
        <v>466</v>
      </c>
      <c r="B11" s="92">
        <f>'Current month'!V35</f>
        <v>2998031</v>
      </c>
      <c r="C11" s="318">
        <v>6.25</v>
      </c>
      <c r="D11" s="109">
        <f>C11*B11</f>
        <v>18737693.75</v>
      </c>
      <c r="E11" s="102" t="s">
        <v>467</v>
      </c>
      <c r="F11" s="107">
        <f>'Current month'!DS35</f>
        <v>13212.939999999999</v>
      </c>
      <c r="G11" s="321">
        <f t="shared" si="0"/>
        <v>69.3</v>
      </c>
      <c r="H11" s="99">
        <f t="shared" si="1"/>
        <v>915656.74199999985</v>
      </c>
    </row>
    <row r="12" spans="1:131" ht="15.75" customHeight="1">
      <c r="A12" s="110" t="s">
        <v>468</v>
      </c>
      <c r="B12" s="111" t="s">
        <v>469</v>
      </c>
      <c r="C12" s="112" t="s">
        <v>455</v>
      </c>
      <c r="D12" s="113" t="s">
        <v>456</v>
      </c>
      <c r="E12" s="102" t="s">
        <v>470</v>
      </c>
      <c r="F12" s="107">
        <f>'Current month'!DV35</f>
        <v>285.5</v>
      </c>
      <c r="G12" s="321">
        <f t="shared" si="0"/>
        <v>69.3</v>
      </c>
      <c r="H12" s="99">
        <f t="shared" si="1"/>
        <v>19785.149999999998</v>
      </c>
    </row>
    <row r="13" spans="1:131" ht="15.75" customHeight="1">
      <c r="A13" s="114" t="s">
        <v>471</v>
      </c>
      <c r="B13" s="115"/>
      <c r="C13" s="319">
        <v>4000</v>
      </c>
      <c r="D13" s="116">
        <f>C13*B13</f>
        <v>0</v>
      </c>
      <c r="E13" s="102" t="s">
        <v>472</v>
      </c>
      <c r="F13" s="107">
        <f>'Current month'!DY35</f>
        <v>194.14</v>
      </c>
      <c r="G13" s="321">
        <f t="shared" si="0"/>
        <v>69.3</v>
      </c>
      <c r="H13" s="99">
        <f t="shared" si="1"/>
        <v>13453.901999999998</v>
      </c>
    </row>
    <row r="14" spans="1:131" ht="15.75" customHeight="1">
      <c r="A14" s="117" t="s">
        <v>473</v>
      </c>
      <c r="B14" s="118">
        <f>'Current month'!Z35</f>
        <v>-319524</v>
      </c>
      <c r="C14" s="320">
        <v>34</v>
      </c>
      <c r="D14" s="116">
        <f>(C14*B14)</f>
        <v>-10863816</v>
      </c>
      <c r="E14" s="102" t="s">
        <v>474</v>
      </c>
      <c r="F14" s="107">
        <f>'Current month'!EB35</f>
        <v>188.43</v>
      </c>
      <c r="G14" s="321">
        <f t="shared" si="0"/>
        <v>69.3</v>
      </c>
      <c r="H14" s="99">
        <f t="shared" si="1"/>
        <v>13058.199000000001</v>
      </c>
    </row>
    <row r="15" spans="1:131" ht="15.75" customHeight="1">
      <c r="A15" s="97" t="s">
        <v>475</v>
      </c>
      <c r="B15" s="92">
        <v>0</v>
      </c>
      <c r="C15" s="320">
        <v>34</v>
      </c>
      <c r="D15" s="99">
        <f>C15*B15</f>
        <v>0</v>
      </c>
      <c r="E15" s="102" t="s">
        <v>476</v>
      </c>
      <c r="F15" s="107">
        <f>'Current month'!EE35</f>
        <v>234.10999999999999</v>
      </c>
      <c r="G15" s="321">
        <f t="shared" si="0"/>
        <v>69.3</v>
      </c>
      <c r="H15" s="99">
        <f t="shared" si="1"/>
        <v>16223.822999999999</v>
      </c>
    </row>
    <row r="16" spans="1:131" ht="15.75" customHeight="1">
      <c r="A16" s="97" t="s">
        <v>477</v>
      </c>
      <c r="B16" s="92">
        <f>'Current month'!BV35</f>
        <v>570</v>
      </c>
      <c r="C16" s="320">
        <v>34</v>
      </c>
      <c r="D16" s="99">
        <f t="shared" ref="D16:D30" si="2">C16*B16</f>
        <v>19380</v>
      </c>
      <c r="E16" s="102" t="s">
        <v>478</v>
      </c>
      <c r="F16" s="107">
        <f>'Current month'!DJ35</f>
        <v>296.91999999999996</v>
      </c>
      <c r="G16" s="321">
        <f t="shared" si="0"/>
        <v>69.3</v>
      </c>
      <c r="H16" s="99">
        <f t="shared" si="1"/>
        <v>20576.555999999997</v>
      </c>
    </row>
    <row r="17" spans="1:8" ht="15.75" customHeight="1">
      <c r="A17" s="97" t="s">
        <v>479</v>
      </c>
      <c r="B17" s="92">
        <f>'Current month'!CC35</f>
        <v>-641450</v>
      </c>
      <c r="C17" s="320">
        <v>34</v>
      </c>
      <c r="D17" s="99">
        <f t="shared" si="2"/>
        <v>-21809300</v>
      </c>
      <c r="E17" s="102" t="s">
        <v>480</v>
      </c>
      <c r="F17" s="92">
        <v>182</v>
      </c>
      <c r="G17" s="321">
        <f t="shared" si="0"/>
        <v>69.3</v>
      </c>
      <c r="H17" s="99">
        <f t="shared" si="1"/>
        <v>12612.6</v>
      </c>
    </row>
    <row r="18" spans="1:8" ht="15.75" customHeight="1" thickBot="1">
      <c r="A18" s="97" t="s">
        <v>481</v>
      </c>
      <c r="B18" s="92">
        <f>'Current month'!AR35</f>
        <v>641450</v>
      </c>
      <c r="C18" s="320">
        <v>34</v>
      </c>
      <c r="D18" s="99">
        <f t="shared" si="2"/>
        <v>21809300</v>
      </c>
      <c r="E18" s="119" t="s">
        <v>482</v>
      </c>
      <c r="F18" s="120">
        <f>F5-SUM(F6:F17)</f>
        <v>-10997.999999999998</v>
      </c>
      <c r="G18" s="321">
        <f t="shared" si="0"/>
        <v>69.3</v>
      </c>
      <c r="H18" s="99">
        <f t="shared" si="1"/>
        <v>-762161.39999999979</v>
      </c>
    </row>
    <row r="19" spans="1:8" ht="15.75" customHeight="1">
      <c r="A19" s="97" t="s">
        <v>483</v>
      </c>
      <c r="B19" s="92">
        <f>'Current month'!BL35</f>
        <v>17</v>
      </c>
      <c r="C19" s="320">
        <v>34</v>
      </c>
      <c r="D19" s="99">
        <f t="shared" si="2"/>
        <v>578</v>
      </c>
      <c r="E19" s="845" t="s">
        <v>484</v>
      </c>
      <c r="F19" s="846"/>
      <c r="G19" s="846"/>
      <c r="H19" s="847"/>
    </row>
    <row r="20" spans="1:8" ht="15.75" customHeight="1">
      <c r="A20" s="97" t="s">
        <v>485</v>
      </c>
      <c r="B20" s="92">
        <f>'Current month'!AJ35</f>
        <v>0</v>
      </c>
      <c r="C20" s="320">
        <v>34</v>
      </c>
      <c r="D20" s="99">
        <f t="shared" si="2"/>
        <v>0</v>
      </c>
      <c r="E20" s="121"/>
      <c r="F20" s="688" t="s">
        <v>486</v>
      </c>
      <c r="G20" s="688" t="s">
        <v>455</v>
      </c>
      <c r="H20" s="122" t="s">
        <v>456</v>
      </c>
    </row>
    <row r="21" spans="1:8" ht="15.75" customHeight="1">
      <c r="A21" s="97" t="s">
        <v>487</v>
      </c>
      <c r="B21" s="92">
        <f>'Current month'!BP35</f>
        <v>208</v>
      </c>
      <c r="C21" s="320">
        <v>34</v>
      </c>
      <c r="D21" s="99">
        <f t="shared" si="2"/>
        <v>7072</v>
      </c>
      <c r="E21" s="123" t="s">
        <v>488</v>
      </c>
      <c r="F21" s="451">
        <f>H21/G21</f>
        <v>160727</v>
      </c>
      <c r="G21" s="322">
        <v>6.25</v>
      </c>
      <c r="H21" s="125">
        <v>1004543.75</v>
      </c>
    </row>
    <row r="22" spans="1:8" ht="15.75" customHeight="1">
      <c r="A22" s="97" t="s">
        <v>489</v>
      </c>
      <c r="B22" s="92">
        <f>'Current month'!BN35</f>
        <v>5979</v>
      </c>
      <c r="C22" s="320">
        <v>34</v>
      </c>
      <c r="D22" s="99">
        <f t="shared" si="2"/>
        <v>203286</v>
      </c>
      <c r="E22" s="123" t="s">
        <v>490</v>
      </c>
      <c r="F22" s="451">
        <f>H22/G22</f>
        <v>4299.355746910097</v>
      </c>
      <c r="G22" s="322">
        <f>G17</f>
        <v>69.3</v>
      </c>
      <c r="H22" s="125">
        <v>297945.35326086968</v>
      </c>
    </row>
    <row r="23" spans="1:8" ht="15.75" customHeight="1">
      <c r="A23" s="97" t="s">
        <v>463</v>
      </c>
      <c r="B23" s="92">
        <f>'Current month'!AX35</f>
        <v>9451</v>
      </c>
      <c r="C23" s="320">
        <v>34</v>
      </c>
      <c r="D23" s="99">
        <f t="shared" si="2"/>
        <v>321334</v>
      </c>
      <c r="E23" s="123" t="s">
        <v>491</v>
      </c>
      <c r="F23" s="451">
        <f>H23/G23</f>
        <v>4817</v>
      </c>
      <c r="G23" s="322">
        <v>66.88</v>
      </c>
      <c r="H23" s="125">
        <v>322160.95999999996</v>
      </c>
    </row>
    <row r="24" spans="1:8" ht="15.75" customHeight="1">
      <c r="A24" s="97" t="s">
        <v>465</v>
      </c>
      <c r="B24" s="92">
        <f>'Current month'!AZ35</f>
        <v>11197</v>
      </c>
      <c r="C24" s="320">
        <v>34</v>
      </c>
      <c r="D24" s="99">
        <f t="shared" si="2"/>
        <v>380698</v>
      </c>
      <c r="E24" s="126" t="s">
        <v>492</v>
      </c>
      <c r="F24" s="330">
        <v>462</v>
      </c>
      <c r="G24" s="322">
        <v>6.25</v>
      </c>
      <c r="H24" s="127">
        <f>G24*F24</f>
        <v>2887.5</v>
      </c>
    </row>
    <row r="25" spans="1:8" ht="15.75" customHeight="1">
      <c r="A25" s="97" t="s">
        <v>467</v>
      </c>
      <c r="B25" s="92">
        <f>'Current month'!BB35</f>
        <v>37</v>
      </c>
      <c r="C25" s="320">
        <v>34</v>
      </c>
      <c r="D25" s="99">
        <f t="shared" si="2"/>
        <v>1258</v>
      </c>
      <c r="E25" s="126" t="s">
        <v>493</v>
      </c>
      <c r="F25" s="330">
        <v>55</v>
      </c>
      <c r="G25" s="322">
        <v>6.25</v>
      </c>
      <c r="H25" s="127">
        <f>G25*F25</f>
        <v>343.75</v>
      </c>
    </row>
    <row r="26" spans="1:8" ht="15.75" customHeight="1" thickBot="1">
      <c r="A26" s="97" t="s">
        <v>470</v>
      </c>
      <c r="B26" s="92">
        <f>'Current month'!BD35</f>
        <v>21393</v>
      </c>
      <c r="C26" s="320">
        <v>34</v>
      </c>
      <c r="D26" s="99">
        <f t="shared" si="2"/>
        <v>727362</v>
      </c>
      <c r="E26" s="128" t="s">
        <v>494</v>
      </c>
      <c r="F26" s="331"/>
      <c r="G26" s="124">
        <v>6.25</v>
      </c>
      <c r="H26" s="129">
        <f>G26*F26</f>
        <v>0</v>
      </c>
    </row>
    <row r="27" spans="1:8" ht="15.75" customHeight="1">
      <c r="A27" s="97" t="s">
        <v>472</v>
      </c>
      <c r="B27" s="92">
        <f>'Current month'!BF35</f>
        <v>14</v>
      </c>
      <c r="C27" s="320">
        <v>34</v>
      </c>
      <c r="D27" s="99">
        <f t="shared" si="2"/>
        <v>476</v>
      </c>
      <c r="E27" s="848" t="s">
        <v>495</v>
      </c>
      <c r="F27" s="849"/>
      <c r="G27" s="849"/>
      <c r="H27" s="850"/>
    </row>
    <row r="28" spans="1:8" ht="15.75" customHeight="1">
      <c r="A28" s="97" t="s">
        <v>474</v>
      </c>
      <c r="B28" s="92">
        <f>'Current month'!BH35</f>
        <v>18</v>
      </c>
      <c r="C28" s="320">
        <v>34</v>
      </c>
      <c r="D28" s="99">
        <f t="shared" si="2"/>
        <v>612</v>
      </c>
      <c r="E28" s="323"/>
      <c r="F28" s="324" t="s">
        <v>496</v>
      </c>
      <c r="G28" s="324" t="s">
        <v>497</v>
      </c>
      <c r="H28" s="325" t="s">
        <v>498</v>
      </c>
    </row>
    <row r="29" spans="1:8" ht="15.75" customHeight="1">
      <c r="A29" s="97" t="s">
        <v>476</v>
      </c>
      <c r="B29" s="92">
        <f>'Current month'!BJ35</f>
        <v>8</v>
      </c>
      <c r="C29" s="320">
        <v>34</v>
      </c>
      <c r="D29" s="99">
        <f t="shared" si="2"/>
        <v>272</v>
      </c>
      <c r="E29" s="326" t="s">
        <v>453</v>
      </c>
      <c r="F29" s="327">
        <f>D9</f>
        <v>590753.77</v>
      </c>
      <c r="G29" s="327">
        <f>H21</f>
        <v>1004543.75</v>
      </c>
      <c r="H29" s="328">
        <f>F29-G29</f>
        <v>-413789.98</v>
      </c>
    </row>
    <row r="30" spans="1:8" ht="15.75" customHeight="1" thickBot="1">
      <c r="A30" s="130" t="s">
        <v>478</v>
      </c>
      <c r="B30" s="92">
        <f>'Current month'!AV35</f>
        <v>58075</v>
      </c>
      <c r="C30" s="320">
        <v>34</v>
      </c>
      <c r="D30" s="131">
        <f t="shared" si="2"/>
        <v>1974550</v>
      </c>
      <c r="E30" s="326" t="s">
        <v>174</v>
      </c>
      <c r="F30" s="327">
        <f>H5</f>
        <v>358419.6</v>
      </c>
      <c r="G30" s="327">
        <f>H22</f>
        <v>297945.35326086968</v>
      </c>
      <c r="H30" s="328">
        <f>F30-G30</f>
        <v>60474.246739130293</v>
      </c>
    </row>
    <row r="31" spans="1:8" ht="15.75" customHeight="1">
      <c r="A31" s="132" t="s">
        <v>499</v>
      </c>
      <c r="B31" s="689"/>
      <c r="C31" s="133" t="s">
        <v>455</v>
      </c>
      <c r="D31" s="134" t="s">
        <v>456</v>
      </c>
      <c r="E31" s="329" t="s">
        <v>468</v>
      </c>
      <c r="F31" s="327">
        <f>D13+D14</f>
        <v>-10863816</v>
      </c>
      <c r="G31" s="327">
        <f>H23</f>
        <v>322160.95999999996</v>
      </c>
      <c r="H31" s="328">
        <f>F31-G31</f>
        <v>-11185976.960000001</v>
      </c>
    </row>
    <row r="32" spans="1:8" ht="15.75" customHeight="1">
      <c r="A32" s="135" t="s">
        <v>500</v>
      </c>
      <c r="B32" s="92">
        <f>'Current month'!CI35</f>
        <v>19718.480566335173</v>
      </c>
      <c r="C32" s="317">
        <v>28.94</v>
      </c>
      <c r="D32" s="99">
        <f>B32*C32</f>
        <v>570652.82758973993</v>
      </c>
      <c r="E32" s="329" t="s">
        <v>382</v>
      </c>
      <c r="F32" s="327">
        <f>D33</f>
        <v>0</v>
      </c>
      <c r="G32" s="327">
        <v>0</v>
      </c>
      <c r="H32" s="328">
        <f>F32-G32</f>
        <v>0</v>
      </c>
    </row>
    <row r="33" spans="1:8" ht="15.95" hidden="1" thickBot="1">
      <c r="A33" s="136" t="s">
        <v>501</v>
      </c>
      <c r="B33" s="137"/>
      <c r="C33" s="138">
        <v>28.94</v>
      </c>
      <c r="D33" s="139">
        <f>C33*B33</f>
        <v>0</v>
      </c>
      <c r="E33" s="140" t="s">
        <v>450</v>
      </c>
      <c r="F33" s="141">
        <f>SUM(F29:F32)</f>
        <v>-9914642.6300000008</v>
      </c>
      <c r="G33" s="141">
        <f>SUM(G29:G32)</f>
        <v>1624650.0632608696</v>
      </c>
      <c r="H33" s="142">
        <f>F33-G33</f>
        <v>-11539292.693260871</v>
      </c>
    </row>
    <row r="34" spans="1:8" ht="15.75" hidden="1" customHeight="1">
      <c r="A34" s="708" t="s">
        <v>502</v>
      </c>
      <c r="B34" s="708"/>
      <c r="C34" s="708"/>
      <c r="D34" s="708"/>
      <c r="E34" s="143"/>
      <c r="F34" s="143"/>
      <c r="G34" s="143"/>
      <c r="H34" s="144"/>
    </row>
    <row r="35" spans="1:8" ht="15.75" hidden="1" customHeight="1" thickBot="1">
      <c r="A35" s="145" t="s">
        <v>453</v>
      </c>
      <c r="B35" s="689" t="s">
        <v>454</v>
      </c>
      <c r="C35" s="133" t="s">
        <v>455</v>
      </c>
      <c r="D35" s="134" t="s">
        <v>456</v>
      </c>
      <c r="E35" s="146"/>
      <c r="F35" s="689"/>
      <c r="G35" s="133"/>
      <c r="H35" s="134"/>
    </row>
    <row r="36" spans="1:8" ht="15.75" hidden="1" customHeight="1">
      <c r="A36" s="97" t="s">
        <v>15</v>
      </c>
      <c r="B36" s="92">
        <v>12954</v>
      </c>
      <c r="C36" s="147">
        <v>0</v>
      </c>
      <c r="D36" s="99">
        <f>C36*B36</f>
        <v>0</v>
      </c>
      <c r="E36" s="102"/>
      <c r="F36" s="148"/>
      <c r="G36" s="98"/>
      <c r="H36" s="149"/>
    </row>
    <row r="37" spans="1:8" ht="15.75" hidden="1" customHeight="1">
      <c r="A37" s="97" t="s">
        <v>19</v>
      </c>
      <c r="B37" s="92">
        <v>11325</v>
      </c>
      <c r="C37" s="98">
        <v>5.83</v>
      </c>
      <c r="D37" s="99">
        <f>C37*B37</f>
        <v>66024.75</v>
      </c>
      <c r="E37" s="150" t="s">
        <v>468</v>
      </c>
      <c r="F37" s="689" t="s">
        <v>469</v>
      </c>
      <c r="G37" s="133" t="s">
        <v>455</v>
      </c>
      <c r="H37" s="151" t="s">
        <v>456</v>
      </c>
    </row>
    <row r="38" spans="1:8" ht="15.75" hidden="1" customHeight="1">
      <c r="A38" s="97" t="s">
        <v>17</v>
      </c>
      <c r="B38" s="92">
        <v>99</v>
      </c>
      <c r="C38" s="98"/>
      <c r="D38" s="99">
        <f>C38*B38</f>
        <v>0</v>
      </c>
      <c r="E38" s="102" t="s">
        <v>503</v>
      </c>
      <c r="F38" s="148">
        <v>64</v>
      </c>
      <c r="G38" s="147">
        <v>34</v>
      </c>
      <c r="H38" s="149">
        <f>G38*F38</f>
        <v>2176</v>
      </c>
    </row>
    <row r="39" spans="1:8" ht="15.75" hidden="1" customHeight="1" thickBot="1">
      <c r="A39" s="97" t="s">
        <v>24</v>
      </c>
      <c r="B39" s="92">
        <v>111</v>
      </c>
      <c r="C39" s="98">
        <v>186</v>
      </c>
      <c r="D39" s="99">
        <f>C39*B39</f>
        <v>20646</v>
      </c>
      <c r="E39" s="102" t="s">
        <v>504</v>
      </c>
      <c r="F39" s="148">
        <v>0</v>
      </c>
      <c r="G39" s="147">
        <v>34</v>
      </c>
      <c r="H39" s="149">
        <f>G39*F39</f>
        <v>0</v>
      </c>
    </row>
    <row r="40" spans="1:8" ht="15.75" hidden="1" customHeight="1">
      <c r="A40" s="97" t="s">
        <v>461</v>
      </c>
      <c r="B40" s="98"/>
      <c r="C40" s="98"/>
      <c r="D40" s="99">
        <v>430</v>
      </c>
      <c r="E40" s="119" t="s">
        <v>505</v>
      </c>
      <c r="F40" s="152">
        <v>102</v>
      </c>
      <c r="G40" s="147">
        <v>34</v>
      </c>
      <c r="H40" s="153">
        <f>G40*F40</f>
        <v>3468</v>
      </c>
    </row>
    <row r="41" spans="1:8" ht="15.75" hidden="1" customHeight="1">
      <c r="A41" s="97" t="s">
        <v>462</v>
      </c>
      <c r="B41" s="147"/>
      <c r="C41" s="98"/>
      <c r="D41" s="99">
        <f>SUM(D36:D40)</f>
        <v>87100.75</v>
      </c>
      <c r="E41" s="154" t="s">
        <v>453</v>
      </c>
      <c r="F41" s="155" t="s">
        <v>486</v>
      </c>
      <c r="G41" s="156" t="s">
        <v>16</v>
      </c>
      <c r="H41" s="157">
        <v>6.2</v>
      </c>
    </row>
    <row r="42" spans="1:8" ht="15.75" hidden="1" customHeight="1">
      <c r="A42" s="851" t="s">
        <v>506</v>
      </c>
      <c r="B42" s="852"/>
      <c r="C42" s="852"/>
      <c r="D42" s="853"/>
      <c r="E42" s="158" t="s">
        <v>157</v>
      </c>
      <c r="F42" s="159" t="s">
        <v>486</v>
      </c>
      <c r="G42" s="160" t="s">
        <v>123</v>
      </c>
      <c r="H42" s="161">
        <v>54.4</v>
      </c>
    </row>
    <row r="43" spans="1:8" ht="15.75" hidden="1" customHeight="1" thickBot="1">
      <c r="A43" s="97" t="s">
        <v>507</v>
      </c>
      <c r="B43" s="92">
        <v>110</v>
      </c>
      <c r="C43" s="98">
        <v>6.25</v>
      </c>
      <c r="D43" s="99">
        <f>C43*B43</f>
        <v>687.5</v>
      </c>
      <c r="E43" s="158" t="s">
        <v>158</v>
      </c>
      <c r="F43" s="159" t="s">
        <v>486</v>
      </c>
      <c r="G43" s="160" t="s">
        <v>469</v>
      </c>
      <c r="H43" s="161">
        <v>23</v>
      </c>
    </row>
    <row r="44" spans="1:8" ht="15.75" hidden="1" customHeight="1">
      <c r="A44" s="130" t="s">
        <v>508</v>
      </c>
      <c r="B44" s="92">
        <v>84</v>
      </c>
      <c r="C44" s="162">
        <v>6.25</v>
      </c>
      <c r="D44" s="131">
        <f>C44*B44</f>
        <v>525</v>
      </c>
      <c r="E44" s="158" t="s">
        <v>382</v>
      </c>
      <c r="F44" s="159" t="s">
        <v>486</v>
      </c>
      <c r="G44" s="160" t="s">
        <v>509</v>
      </c>
      <c r="H44" s="163">
        <v>34.33</v>
      </c>
    </row>
    <row r="45" spans="1:8" ht="15.75" hidden="1" customHeight="1">
      <c r="A45" s="146" t="s">
        <v>157</v>
      </c>
      <c r="B45" s="689"/>
      <c r="C45" s="133" t="s">
        <v>455</v>
      </c>
      <c r="D45" s="151" t="s">
        <v>456</v>
      </c>
      <c r="E45" s="164"/>
      <c r="F45" s="164"/>
      <c r="G45" s="164"/>
      <c r="H45" s="164"/>
    </row>
    <row r="46" spans="1:8" ht="15.75" hidden="1" customHeight="1">
      <c r="A46" s="102" t="s">
        <v>510</v>
      </c>
      <c r="B46" s="148">
        <v>318.75</v>
      </c>
      <c r="C46" s="98">
        <v>50.25</v>
      </c>
      <c r="D46" s="165">
        <f>B46*C46</f>
        <v>16017.1875</v>
      </c>
      <c r="E46" s="164"/>
      <c r="F46" s="164"/>
      <c r="G46" s="164"/>
      <c r="H46" s="164"/>
    </row>
    <row r="47" spans="1:8" ht="15.75" hidden="1" customHeight="1">
      <c r="A47" s="164" t="s">
        <v>511</v>
      </c>
      <c r="B47" s="166">
        <v>0</v>
      </c>
      <c r="C47" s="98">
        <v>50.25</v>
      </c>
      <c r="D47" s="165">
        <f>B47*C47</f>
        <v>0</v>
      </c>
      <c r="E47" s="164"/>
      <c r="F47" s="164"/>
      <c r="G47" s="164"/>
      <c r="H47" s="164"/>
    </row>
    <row r="48" spans="1:8" ht="15.75" hidden="1" customHeight="1">
      <c r="A48" s="164" t="s">
        <v>512</v>
      </c>
      <c r="B48" s="166">
        <v>6.25</v>
      </c>
      <c r="C48" s="98">
        <v>50.25</v>
      </c>
      <c r="D48" s="165">
        <f>B48*C48</f>
        <v>314.0625</v>
      </c>
      <c r="E48" s="164"/>
      <c r="F48" s="164"/>
      <c r="G48" s="164"/>
      <c r="H48" s="164"/>
    </row>
    <row r="49" spans="1:4" ht="15.75" customHeight="1" thickBot="1"/>
    <row r="50" spans="1:4" ht="15.75" customHeight="1" thickBot="1">
      <c r="A50" s="840" t="s">
        <v>513</v>
      </c>
      <c r="B50" s="841"/>
      <c r="C50" s="841"/>
      <c r="D50" s="842"/>
    </row>
    <row r="51" spans="1:4" ht="15.75" customHeight="1">
      <c r="A51" s="169" t="s">
        <v>514</v>
      </c>
      <c r="B51" s="709" t="s">
        <v>515</v>
      </c>
      <c r="C51" s="709" t="s">
        <v>516</v>
      </c>
      <c r="D51" s="710" t="s">
        <v>517</v>
      </c>
    </row>
    <row r="52" spans="1:4" ht="15.75" customHeight="1">
      <c r="A52" s="854" t="s">
        <v>518</v>
      </c>
      <c r="B52" s="855">
        <f>'Current month'!CS3</f>
        <v>20903.5</v>
      </c>
      <c r="C52" s="855">
        <v>20904</v>
      </c>
      <c r="D52" s="856">
        <f>18320/2*3</f>
        <v>27480</v>
      </c>
    </row>
    <row r="53" spans="1:4" ht="15.75" customHeight="1">
      <c r="A53" s="854"/>
      <c r="B53" s="855"/>
      <c r="C53" s="855"/>
      <c r="D53" s="856"/>
    </row>
    <row r="54" spans="1:4" ht="15.75" customHeight="1">
      <c r="A54" s="854" t="s">
        <v>519</v>
      </c>
      <c r="B54" s="855">
        <v>20014</v>
      </c>
      <c r="C54" s="855">
        <v>19718</v>
      </c>
      <c r="D54" s="856">
        <v>25000</v>
      </c>
    </row>
    <row r="55" spans="1:4" ht="15.75" customHeight="1">
      <c r="A55" s="857"/>
      <c r="B55" s="858"/>
      <c r="C55" s="858"/>
      <c r="D55" s="859"/>
    </row>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sheetData>
  <mergeCells count="13">
    <mergeCell ref="A52:A53"/>
    <mergeCell ref="B52:B53"/>
    <mergeCell ref="C52:C53"/>
    <mergeCell ref="D52:D53"/>
    <mergeCell ref="A54:A55"/>
    <mergeCell ref="B54:B55"/>
    <mergeCell ref="C54:C55"/>
    <mergeCell ref="D54:D55"/>
    <mergeCell ref="A50:D50"/>
    <mergeCell ref="A2:H2"/>
    <mergeCell ref="E19:H19"/>
    <mergeCell ref="E27:H27"/>
    <mergeCell ref="A42:D42"/>
  </mergeCells>
  <printOptions horizontalCentered="1"/>
  <pageMargins left="0.39370078740157499" right="0.39370078740157499" top="1.28" bottom="0.39370078740157499" header="0.118110236220472" footer="0.196850393700787"/>
  <pageSetup paperSize="9" scale="77" orientation="portrait" horizontalDpi="300" verticalDpi="300" r:id="rId1"/>
  <headerFooter alignWithMargins="0">
    <oddHeader>&amp;C&amp;G&amp;"Times New Roman,Bold Italic"&amp;14&amp;EMonthly Consumption</oddHeader>
    <oddFooter>&amp;R&amp;"Times New Roman,Bold Italic"Engineering Department</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N1048576"/>
  <sheetViews>
    <sheetView zoomScaleNormal="100" workbookViewId="0">
      <selection activeCell="W19" sqref="W19"/>
    </sheetView>
  </sheetViews>
  <sheetFormatPr defaultColWidth="9.140625" defaultRowHeight="18" customHeight="1"/>
  <cols>
    <col min="1" max="1" width="11.28515625" style="292" customWidth="1"/>
    <col min="2" max="7" width="13.28515625" style="292" customWidth="1"/>
    <col min="8" max="8" width="13.7109375" style="292" customWidth="1"/>
    <col min="9" max="9" width="13.28515625" style="292" customWidth="1"/>
    <col min="10" max="10" width="15.7109375" style="292" customWidth="1"/>
    <col min="11" max="11" width="16.7109375" style="292" customWidth="1"/>
    <col min="12" max="12" width="10.85546875" style="292" hidden="1" customWidth="1"/>
    <col min="13" max="13" width="16.28515625" style="292" hidden="1" customWidth="1"/>
    <col min="14" max="14" width="13.28515625" style="292" hidden="1" customWidth="1"/>
    <col min="15" max="21" width="13.28515625" style="292" customWidth="1"/>
    <col min="22" max="22" width="15.85546875" style="292" customWidth="1"/>
    <col min="23" max="26" width="9.42578125" style="217" customWidth="1"/>
    <col min="27" max="27" width="11.5703125" style="217" customWidth="1"/>
    <col min="28" max="28" width="8.42578125" style="217" customWidth="1"/>
    <col min="29" max="31" width="9.42578125" style="217" customWidth="1"/>
    <col min="32" max="32" width="9.42578125" style="217" bestFit="1" customWidth="1"/>
    <col min="33" max="39" width="9.42578125" style="217" customWidth="1"/>
    <col min="40" max="40" width="11.7109375" style="217" customWidth="1"/>
    <col min="41" max="41" width="9.42578125" style="217" customWidth="1"/>
    <col min="42" max="42" width="10.28515625" style="217" customWidth="1"/>
    <col min="43" max="48" width="9.42578125" style="217" hidden="1" customWidth="1"/>
    <col min="49" max="49" width="10.42578125" style="217" customWidth="1"/>
    <col min="50" max="50" width="9.42578125" style="217" customWidth="1"/>
    <col min="51" max="51" width="11.5703125" style="217" customWidth="1"/>
    <col min="52" max="52" width="10.7109375" style="217" customWidth="1"/>
    <col min="53" max="53" width="11" style="217" customWidth="1"/>
    <col min="54" max="58" width="9.42578125" style="217" customWidth="1"/>
    <col min="59" max="59" width="9.140625" style="217"/>
    <col min="60" max="60" width="9.85546875" style="217" customWidth="1"/>
    <col min="61" max="61" width="9.140625" style="217"/>
    <col min="62" max="62" width="10.140625" style="217" customWidth="1"/>
    <col min="63" max="63" width="9.140625" style="217"/>
    <col min="64" max="64" width="13.5703125" style="217" customWidth="1"/>
    <col min="65" max="65" width="18.42578125" style="217" customWidth="1"/>
    <col min="66" max="66" width="16.28515625" style="217" bestFit="1" customWidth="1"/>
    <col min="67" max="16384" width="9.140625" style="217"/>
  </cols>
  <sheetData>
    <row r="1" spans="1:66" ht="18" customHeight="1">
      <c r="A1" s="335" t="s">
        <v>520</v>
      </c>
      <c r="B1" s="335"/>
      <c r="C1" s="335"/>
      <c r="D1" s="335"/>
      <c r="E1" s="335"/>
      <c r="F1" s="335"/>
      <c r="G1" s="335"/>
      <c r="H1" s="335"/>
      <c r="I1" s="335"/>
      <c r="J1" s="335"/>
      <c r="K1" s="335"/>
      <c r="L1" s="335"/>
      <c r="M1" s="335"/>
      <c r="N1" s="335"/>
      <c r="O1" s="335"/>
      <c r="P1" s="335"/>
      <c r="Q1" s="335"/>
      <c r="R1" s="335"/>
      <c r="S1" s="335"/>
      <c r="T1" s="335"/>
      <c r="U1" s="335"/>
      <c r="V1" s="335"/>
      <c r="AA1" s="245"/>
    </row>
    <row r="2" spans="1:66" ht="29.25" customHeight="1" thickBot="1">
      <c r="A2" s="336"/>
      <c r="B2" s="265" t="s">
        <v>473</v>
      </c>
      <c r="C2" s="265" t="s">
        <v>521</v>
      </c>
      <c r="D2" s="265" t="s">
        <v>522</v>
      </c>
      <c r="E2" s="265" t="s">
        <v>75</v>
      </c>
      <c r="F2" s="265" t="s">
        <v>380</v>
      </c>
      <c r="G2" s="265" t="s">
        <v>81</v>
      </c>
      <c r="H2" s="337" t="s">
        <v>523</v>
      </c>
      <c r="I2" s="265" t="s">
        <v>524</v>
      </c>
      <c r="J2" s="265" t="s">
        <v>525</v>
      </c>
      <c r="K2" s="265" t="s">
        <v>526</v>
      </c>
      <c r="L2" s="265" t="s">
        <v>527</v>
      </c>
      <c r="M2" s="338" t="s">
        <v>528</v>
      </c>
      <c r="N2" s="265" t="s">
        <v>529</v>
      </c>
      <c r="O2" s="339" t="s">
        <v>530</v>
      </c>
      <c r="P2" s="339" t="s">
        <v>531</v>
      </c>
      <c r="Q2" s="339" t="s">
        <v>532</v>
      </c>
      <c r="R2" s="339" t="s">
        <v>533</v>
      </c>
      <c r="S2" s="339" t="s">
        <v>534</v>
      </c>
      <c r="T2" s="339" t="s">
        <v>535</v>
      </c>
      <c r="U2" s="339" t="s">
        <v>536</v>
      </c>
      <c r="V2" s="339" t="s">
        <v>537</v>
      </c>
      <c r="W2" s="861" t="s">
        <v>473</v>
      </c>
      <c r="X2" s="862"/>
      <c r="Y2" s="861" t="s">
        <v>522</v>
      </c>
      <c r="Z2" s="862"/>
      <c r="AA2" s="860" t="str">
        <f>C2</f>
        <v>Lorry Meter</v>
      </c>
      <c r="AB2" s="860"/>
      <c r="AC2" s="860" t="s">
        <v>538</v>
      </c>
      <c r="AD2" s="860"/>
      <c r="AE2" s="860" t="s">
        <v>75</v>
      </c>
      <c r="AF2" s="860"/>
      <c r="AG2" s="860" t="s">
        <v>380</v>
      </c>
      <c r="AH2" s="860"/>
      <c r="AI2" s="860" t="s">
        <v>539</v>
      </c>
      <c r="AJ2" s="860"/>
      <c r="AK2" s="860" t="s">
        <v>524</v>
      </c>
      <c r="AL2" s="860"/>
      <c r="AM2" s="861" t="s">
        <v>540</v>
      </c>
      <c r="AN2" s="863"/>
      <c r="AO2" s="861" t="s">
        <v>541</v>
      </c>
      <c r="AP2" s="863"/>
      <c r="AQ2" s="861" t="s">
        <v>527</v>
      </c>
      <c r="AR2" s="862"/>
      <c r="AS2" s="861" t="s">
        <v>528</v>
      </c>
      <c r="AT2" s="862"/>
      <c r="AU2" s="861" t="s">
        <v>529</v>
      </c>
      <c r="AV2" s="863"/>
      <c r="AW2" s="861" t="s">
        <v>542</v>
      </c>
      <c r="AX2" s="863"/>
      <c r="AY2" s="861" t="s">
        <v>543</v>
      </c>
      <c r="AZ2" s="863"/>
      <c r="BA2" s="861" t="s">
        <v>544</v>
      </c>
      <c r="BB2" s="863"/>
      <c r="BC2" s="861" t="s">
        <v>545</v>
      </c>
      <c r="BD2" s="863"/>
      <c r="BE2" s="861" t="s">
        <v>546</v>
      </c>
      <c r="BF2" s="863"/>
      <c r="BG2" s="861" t="s">
        <v>547</v>
      </c>
      <c r="BH2" s="863"/>
      <c r="BI2" s="861" t="s">
        <v>548</v>
      </c>
      <c r="BJ2" s="863"/>
      <c r="BK2" s="861" t="s">
        <v>549</v>
      </c>
      <c r="BL2" s="863"/>
      <c r="BM2" s="864" t="s">
        <v>550</v>
      </c>
      <c r="BN2" s="864" t="s">
        <v>551</v>
      </c>
    </row>
    <row r="3" spans="1:66" ht="18" customHeight="1" thickBot="1">
      <c r="A3" s="222" t="s">
        <v>14</v>
      </c>
      <c r="B3" s="340"/>
      <c r="C3" s="340"/>
      <c r="D3" s="340"/>
      <c r="E3" s="231"/>
      <c r="F3" s="231"/>
      <c r="G3" s="231"/>
      <c r="H3" s="340"/>
      <c r="I3" s="340"/>
      <c r="J3" s="340"/>
      <c r="K3" s="340"/>
      <c r="L3" s="340"/>
      <c r="M3" s="341"/>
      <c r="N3" s="340"/>
      <c r="O3" s="340"/>
      <c r="P3" s="340"/>
      <c r="Q3" s="340"/>
      <c r="R3" s="340"/>
      <c r="S3" s="340"/>
      <c r="T3" s="340"/>
      <c r="U3" s="340"/>
      <c r="V3" s="231"/>
      <c r="W3" s="264" t="s">
        <v>552</v>
      </c>
      <c r="X3" s="342" t="s">
        <v>391</v>
      </c>
      <c r="Y3" s="264" t="s">
        <v>552</v>
      </c>
      <c r="Z3" s="342" t="s">
        <v>391</v>
      </c>
      <c r="AA3" s="264" t="s">
        <v>552</v>
      </c>
      <c r="AB3" s="264" t="s">
        <v>391</v>
      </c>
      <c r="AC3" s="264" t="s">
        <v>552</v>
      </c>
      <c r="AD3" s="264" t="s">
        <v>391</v>
      </c>
      <c r="AE3" s="264" t="s">
        <v>552</v>
      </c>
      <c r="AF3" s="264" t="s">
        <v>391</v>
      </c>
      <c r="AG3" s="264" t="s">
        <v>552</v>
      </c>
      <c r="AH3" s="264" t="s">
        <v>391</v>
      </c>
      <c r="AI3" s="264" t="s">
        <v>552</v>
      </c>
      <c r="AJ3" s="264" t="s">
        <v>391</v>
      </c>
      <c r="AK3" s="264" t="s">
        <v>552</v>
      </c>
      <c r="AL3" s="264" t="s">
        <v>391</v>
      </c>
      <c r="AM3" s="264" t="s">
        <v>552</v>
      </c>
      <c r="AN3" s="264" t="s">
        <v>391</v>
      </c>
      <c r="AO3" s="264" t="s">
        <v>552</v>
      </c>
      <c r="AP3" s="264" t="s">
        <v>391</v>
      </c>
      <c r="AQ3" s="264" t="s">
        <v>552</v>
      </c>
      <c r="AR3" s="264" t="s">
        <v>391</v>
      </c>
      <c r="AS3" s="264" t="s">
        <v>552</v>
      </c>
      <c r="AT3" s="264" t="s">
        <v>391</v>
      </c>
      <c r="AU3" s="264" t="s">
        <v>552</v>
      </c>
      <c r="AV3" s="264" t="s">
        <v>391</v>
      </c>
      <c r="AW3" s="264" t="s">
        <v>552</v>
      </c>
      <c r="AX3" s="264" t="s">
        <v>391</v>
      </c>
      <c r="AY3" s="264" t="s">
        <v>552</v>
      </c>
      <c r="AZ3" s="264" t="s">
        <v>391</v>
      </c>
      <c r="BA3" s="264" t="s">
        <v>552</v>
      </c>
      <c r="BB3" s="264" t="s">
        <v>391</v>
      </c>
      <c r="BC3" s="264" t="s">
        <v>552</v>
      </c>
      <c r="BD3" s="264" t="s">
        <v>391</v>
      </c>
      <c r="BE3" s="264" t="s">
        <v>552</v>
      </c>
      <c r="BF3" s="264" t="s">
        <v>391</v>
      </c>
      <c r="BG3" s="264" t="s">
        <v>552</v>
      </c>
      <c r="BH3" s="264" t="s">
        <v>391</v>
      </c>
      <c r="BI3" s="264" t="s">
        <v>552</v>
      </c>
      <c r="BJ3" s="264" t="s">
        <v>391</v>
      </c>
      <c r="BK3" s="264" t="s">
        <v>552</v>
      </c>
      <c r="BL3" s="264" t="s">
        <v>391</v>
      </c>
      <c r="BM3" s="864"/>
      <c r="BN3" s="864"/>
    </row>
    <row r="4" spans="1:66" ht="18" customHeight="1" thickBot="1">
      <c r="A4" s="343">
        <f>'Current month'!A3</f>
        <v>44773</v>
      </c>
      <c r="B4" s="271">
        <f>'Current month'!Y3</f>
        <v>319524</v>
      </c>
      <c r="C4" s="344">
        <f>'Current month'!AE3</f>
        <v>1340</v>
      </c>
      <c r="D4" s="271">
        <f>'Current month'!AG3</f>
        <v>549830</v>
      </c>
      <c r="E4" s="271">
        <f>'Current month'!BU3</f>
        <v>660530</v>
      </c>
      <c r="F4" s="271">
        <f>'Current month'!BY3</f>
        <v>854250</v>
      </c>
      <c r="G4" s="271">
        <f>'Current month'!AQ3</f>
        <v>640810</v>
      </c>
      <c r="H4" s="271">
        <f>'Current month'!BK3</f>
        <v>28292</v>
      </c>
      <c r="I4" s="271">
        <f>'Current month'!AI3</f>
        <v>1180</v>
      </c>
      <c r="J4" s="271">
        <f>'Current month'!BO17</f>
        <v>0</v>
      </c>
      <c r="K4" s="271">
        <f>'Current month'!BM3</f>
        <v>5951</v>
      </c>
      <c r="L4" s="229"/>
      <c r="M4" s="229"/>
      <c r="N4" s="229"/>
      <c r="O4" s="271">
        <f>'Current month'!AW3</f>
        <v>9445</v>
      </c>
      <c r="P4" s="271">
        <f>'Current month'!AY3</f>
        <v>11189</v>
      </c>
      <c r="Q4" s="271">
        <f>'Current month'!BA3</f>
        <v>19913</v>
      </c>
      <c r="R4" s="271">
        <f>'Current month'!BC3</f>
        <v>21369</v>
      </c>
      <c r="S4" s="271">
        <f>'Current month'!BE3</f>
        <v>21334</v>
      </c>
      <c r="T4" s="271">
        <f>'Current month'!BG4</f>
        <v>14706</v>
      </c>
      <c r="U4" s="271">
        <f>'Current month'!BI3</f>
        <v>6836</v>
      </c>
      <c r="V4" s="271">
        <f>'Current month'!BK3</f>
        <v>28292</v>
      </c>
      <c r="W4" s="279">
        <f t="shared" ref="W4:W34" si="0">B4</f>
        <v>319524</v>
      </c>
      <c r="X4" s="273"/>
      <c r="Y4" s="279">
        <f t="shared" ref="Y4:Y34" si="1">D4</f>
        <v>549830</v>
      </c>
      <c r="Z4" s="273"/>
      <c r="AA4" s="279">
        <f>C4</f>
        <v>1340</v>
      </c>
      <c r="AB4" s="273"/>
      <c r="AC4" s="279">
        <f>G4</f>
        <v>640810</v>
      </c>
      <c r="AD4" s="273"/>
      <c r="AE4" s="279">
        <f>E4</f>
        <v>660530</v>
      </c>
      <c r="AF4" s="273"/>
      <c r="AG4" s="273">
        <f>F4</f>
        <v>854250</v>
      </c>
      <c r="AH4" s="273"/>
      <c r="AI4" s="279">
        <f>H4</f>
        <v>28292</v>
      </c>
      <c r="AJ4" s="273"/>
      <c r="AK4" s="279">
        <f>I4</f>
        <v>1180</v>
      </c>
      <c r="AL4" s="273"/>
      <c r="AM4" s="279">
        <f>J4</f>
        <v>0</v>
      </c>
      <c r="AN4" s="273"/>
      <c r="AO4" s="279">
        <f>K4</f>
        <v>5951</v>
      </c>
      <c r="AP4" s="273"/>
      <c r="AQ4" s="279">
        <f>L4</f>
        <v>0</v>
      </c>
      <c r="AR4" s="273"/>
      <c r="AS4" s="279">
        <f>M4</f>
        <v>0</v>
      </c>
      <c r="AT4" s="273"/>
      <c r="AU4" s="279">
        <f>N4</f>
        <v>0</v>
      </c>
      <c r="AV4" s="273"/>
      <c r="AW4" s="279">
        <f>O4</f>
        <v>9445</v>
      </c>
      <c r="AX4" s="273"/>
      <c r="AY4" s="279">
        <f>P4</f>
        <v>11189</v>
      </c>
      <c r="AZ4" s="273"/>
      <c r="BA4" s="279">
        <f>Q4</f>
        <v>19913</v>
      </c>
      <c r="BB4" s="273"/>
      <c r="BC4" s="279">
        <f>R4</f>
        <v>21369</v>
      </c>
      <c r="BD4" s="273"/>
      <c r="BE4" s="279">
        <f>S4</f>
        <v>21334</v>
      </c>
      <c r="BF4" s="273"/>
      <c r="BG4" s="279">
        <f>T4</f>
        <v>14706</v>
      </c>
      <c r="BH4" s="273"/>
      <c r="BI4" s="279">
        <f>U4</f>
        <v>6836</v>
      </c>
      <c r="BJ4" s="273"/>
      <c r="BK4" s="279">
        <f>V4</f>
        <v>28292</v>
      </c>
      <c r="BL4" s="273"/>
      <c r="BM4" s="277"/>
      <c r="BN4" s="277"/>
    </row>
    <row r="5" spans="1:66" ht="18" customHeight="1" thickBot="1">
      <c r="A5" s="343">
        <f>'Current month'!A4</f>
        <v>44774</v>
      </c>
      <c r="B5" s="271">
        <f>'Current month'!Y4</f>
        <v>319839</v>
      </c>
      <c r="C5" s="344">
        <f>'Current month'!AE4</f>
        <v>1340</v>
      </c>
      <c r="D5" s="271">
        <f>'Current month'!AG4</f>
        <v>550300</v>
      </c>
      <c r="E5" s="271">
        <f>'Current month'!BU4</f>
        <v>660720</v>
      </c>
      <c r="F5" s="271">
        <f>'Current month'!BY4</f>
        <v>854250</v>
      </c>
      <c r="G5" s="271">
        <f>'Current month'!AQ4</f>
        <v>641040</v>
      </c>
      <c r="H5" s="271">
        <f>'Current month'!BK4</f>
        <v>28298</v>
      </c>
      <c r="I5" s="271">
        <f>'Current month'!AI4</f>
        <v>1180</v>
      </c>
      <c r="J5" s="271">
        <f>'Current month'!BO4</f>
        <v>33434</v>
      </c>
      <c r="K5" s="271">
        <f>'Current month'!BM4</f>
        <v>5960</v>
      </c>
      <c r="L5" s="271"/>
      <c r="M5" s="271"/>
      <c r="N5" s="271"/>
      <c r="O5" s="271">
        <f>'Current month'!AW4</f>
        <v>9448</v>
      </c>
      <c r="P5" s="271">
        <f>'Current month'!AY4</f>
        <v>11191</v>
      </c>
      <c r="Q5" s="271">
        <f>'Current month'!BA4</f>
        <v>19921</v>
      </c>
      <c r="R5" s="271">
        <f>'Current month'!BC4</f>
        <v>21370</v>
      </c>
      <c r="S5" s="271">
        <f>'Current month'!BE4</f>
        <v>21346</v>
      </c>
      <c r="T5" s="271" t="e">
        <f>'Current month'!#REF!</f>
        <v>#REF!</v>
      </c>
      <c r="U5" s="271">
        <f>'Current month'!BI4</f>
        <v>6837</v>
      </c>
      <c r="V5" s="271">
        <f>'Current month'!BK4</f>
        <v>28298</v>
      </c>
      <c r="W5" s="279">
        <f t="shared" si="0"/>
        <v>319839</v>
      </c>
      <c r="X5" s="273">
        <f>W5-W4</f>
        <v>315</v>
      </c>
      <c r="Y5" s="279">
        <f t="shared" si="1"/>
        <v>550300</v>
      </c>
      <c r="Z5" s="273">
        <f t="shared" ref="Z5:Z34" si="2">Y5-Y4</f>
        <v>470</v>
      </c>
      <c r="AA5" s="279">
        <f t="shared" ref="AA5:AA34" si="3">C5</f>
        <v>1340</v>
      </c>
      <c r="AB5" s="273">
        <f t="shared" ref="AB5:AB34" si="4">AA5-AA4</f>
        <v>0</v>
      </c>
      <c r="AC5" s="279">
        <f t="shared" ref="AC5:AC34" si="5">G5</f>
        <v>641040</v>
      </c>
      <c r="AD5" s="273">
        <f t="shared" ref="AD5:AD34" si="6">AC5-AC4</f>
        <v>230</v>
      </c>
      <c r="AE5" s="279">
        <f t="shared" ref="AE5:AE34" si="7">E5</f>
        <v>660720</v>
      </c>
      <c r="AF5" s="273">
        <f t="shared" ref="AF5:AF34" si="8">AE5-AE4</f>
        <v>190</v>
      </c>
      <c r="AG5" s="273">
        <f t="shared" ref="AG5:AG34" si="9">F5</f>
        <v>854250</v>
      </c>
      <c r="AH5" s="273">
        <f>AG5-AG4-AD5</f>
        <v>-230</v>
      </c>
      <c r="AI5" s="279">
        <f t="shared" ref="AI5:AI34" si="10">H5</f>
        <v>28298</v>
      </c>
      <c r="AJ5" s="273">
        <f t="shared" ref="AJ5:AX34" si="11">AI5-AI4</f>
        <v>6</v>
      </c>
      <c r="AK5" s="279">
        <f t="shared" ref="AK5:AK34" si="12">I5</f>
        <v>1180</v>
      </c>
      <c r="AL5" s="273">
        <f t="shared" si="11"/>
        <v>0</v>
      </c>
      <c r="AM5" s="279">
        <v>2538</v>
      </c>
      <c r="AN5" s="273">
        <f t="shared" si="11"/>
        <v>2538</v>
      </c>
      <c r="AO5" s="279">
        <f t="shared" ref="AO5:AO34" si="13">K5</f>
        <v>5960</v>
      </c>
      <c r="AP5" s="273">
        <f t="shared" si="11"/>
        <v>9</v>
      </c>
      <c r="AQ5" s="279">
        <f t="shared" ref="AQ5:AQ34" si="14">L5</f>
        <v>0</v>
      </c>
      <c r="AR5" s="273">
        <f t="shared" si="11"/>
        <v>0</v>
      </c>
      <c r="AS5" s="279">
        <f t="shared" ref="AS5:AS34" si="15">M5</f>
        <v>0</v>
      </c>
      <c r="AT5" s="273">
        <f t="shared" si="11"/>
        <v>0</v>
      </c>
      <c r="AU5" s="279">
        <f t="shared" ref="AU5:AU34" si="16">N5</f>
        <v>0</v>
      </c>
      <c r="AV5" s="273">
        <f t="shared" si="11"/>
        <v>0</v>
      </c>
      <c r="AW5" s="279">
        <f t="shared" ref="AW5:AW34" si="17">O5</f>
        <v>9448</v>
      </c>
      <c r="AX5" s="273">
        <f t="shared" si="11"/>
        <v>3</v>
      </c>
      <c r="AY5" s="279">
        <f t="shared" ref="AY5:AY34" si="18">P5</f>
        <v>11191</v>
      </c>
      <c r="AZ5" s="273">
        <f t="shared" ref="AZ5:BL20" si="19">AY5-AY4</f>
        <v>2</v>
      </c>
      <c r="BA5" s="279">
        <f t="shared" ref="BA5:BA34" si="20">Q5</f>
        <v>19921</v>
      </c>
      <c r="BB5" s="273">
        <f t="shared" si="19"/>
        <v>8</v>
      </c>
      <c r="BC5" s="279">
        <f t="shared" ref="BC5:BC34" si="21">R5</f>
        <v>21370</v>
      </c>
      <c r="BD5" s="273">
        <f t="shared" si="19"/>
        <v>1</v>
      </c>
      <c r="BE5" s="279">
        <f t="shared" ref="BE5:BE34" si="22">S5</f>
        <v>21346</v>
      </c>
      <c r="BF5" s="273">
        <f t="shared" si="19"/>
        <v>12</v>
      </c>
      <c r="BG5" s="279" t="e">
        <f t="shared" ref="BG5:BG34" si="23">T5</f>
        <v>#REF!</v>
      </c>
      <c r="BH5" s="273" t="e">
        <f t="shared" si="19"/>
        <v>#REF!</v>
      </c>
      <c r="BI5" s="279">
        <f t="shared" ref="BI5:BI34" si="24">U5</f>
        <v>6837</v>
      </c>
      <c r="BJ5" s="273">
        <f t="shared" si="19"/>
        <v>1</v>
      </c>
      <c r="BK5" s="279">
        <f t="shared" ref="BK5:BK34" si="25">V5</f>
        <v>28298</v>
      </c>
      <c r="BL5" s="273">
        <f t="shared" si="19"/>
        <v>6</v>
      </c>
      <c r="BM5" s="273" t="e">
        <f>SUM(BL5,BJ5,BH5,BF5,BD5,BB5,AZ5,AX5,AP5)</f>
        <v>#REF!</v>
      </c>
      <c r="BN5" s="273">
        <f>SUM(AD5,AF5,AH5,AJ5,AL5,AN5)</f>
        <v>2734</v>
      </c>
    </row>
    <row r="6" spans="1:66" ht="18" customHeight="1" thickBot="1">
      <c r="A6" s="343">
        <f>'Current month'!A5</f>
        <v>44775</v>
      </c>
      <c r="B6" s="271">
        <f>'Current month'!Y5</f>
        <v>320108</v>
      </c>
      <c r="C6" s="344">
        <f>'Current month'!AE5</f>
        <v>1340</v>
      </c>
      <c r="D6" s="271">
        <f>'Current month'!AG5</f>
        <v>550770</v>
      </c>
      <c r="E6" s="271">
        <f>'Current month'!BU5</f>
        <v>660920</v>
      </c>
      <c r="F6" s="271">
        <f>'Current month'!BY5</f>
        <v>854250</v>
      </c>
      <c r="G6" s="271">
        <f>'Current month'!AQ5</f>
        <v>641220</v>
      </c>
      <c r="H6" s="271">
        <f>'Current month'!BK5</f>
        <v>28302</v>
      </c>
      <c r="I6" s="271">
        <f>'Current month'!AI5</f>
        <v>1180</v>
      </c>
      <c r="J6" s="271">
        <f>'Current month'!BO5</f>
        <v>33502</v>
      </c>
      <c r="K6" s="271">
        <f>'Current month'!BM5</f>
        <v>5967</v>
      </c>
      <c r="L6" s="229"/>
      <c r="M6" s="229"/>
      <c r="N6" s="229"/>
      <c r="O6" s="271">
        <f>'Current month'!AW5</f>
        <v>9449</v>
      </c>
      <c r="P6" s="271">
        <f>'Current month'!AY5</f>
        <v>11194</v>
      </c>
      <c r="Q6" s="271">
        <f>'Current month'!BA5</f>
        <v>19939</v>
      </c>
      <c r="R6" s="271">
        <f>'Current month'!BC5</f>
        <v>21385</v>
      </c>
      <c r="S6" s="271">
        <f>'Current month'!BE5</f>
        <v>21347</v>
      </c>
      <c r="T6" s="271">
        <f>'Current month'!BG5</f>
        <v>14711</v>
      </c>
      <c r="U6" s="271">
        <f>'Current month'!BI5</f>
        <v>6839</v>
      </c>
      <c r="V6" s="271">
        <f>'Current month'!BK5</f>
        <v>28302</v>
      </c>
      <c r="W6" s="279">
        <f t="shared" si="0"/>
        <v>320108</v>
      </c>
      <c r="X6" s="273">
        <f t="shared" ref="X6:X34" si="26">W6-W5</f>
        <v>269</v>
      </c>
      <c r="Y6" s="279">
        <f t="shared" si="1"/>
        <v>550770</v>
      </c>
      <c r="Z6" s="273">
        <f t="shared" si="2"/>
        <v>470</v>
      </c>
      <c r="AA6" s="279">
        <f t="shared" si="3"/>
        <v>1340</v>
      </c>
      <c r="AB6" s="273">
        <f t="shared" si="4"/>
        <v>0</v>
      </c>
      <c r="AC6" s="279">
        <f t="shared" si="5"/>
        <v>641220</v>
      </c>
      <c r="AD6" s="273">
        <f t="shared" si="6"/>
        <v>180</v>
      </c>
      <c r="AE6" s="279">
        <f t="shared" si="7"/>
        <v>660920</v>
      </c>
      <c r="AF6" s="273">
        <f t="shared" si="8"/>
        <v>200</v>
      </c>
      <c r="AG6" s="273">
        <f t="shared" si="9"/>
        <v>854250</v>
      </c>
      <c r="AH6" s="273">
        <f t="shared" ref="AH6:AH34" si="27">AG6-AG5-AD6</f>
        <v>-180</v>
      </c>
      <c r="AI6" s="279">
        <f t="shared" si="10"/>
        <v>28302</v>
      </c>
      <c r="AJ6" s="273">
        <f t="shared" si="11"/>
        <v>4</v>
      </c>
      <c r="AK6" s="279">
        <f t="shared" si="12"/>
        <v>1180</v>
      </c>
      <c r="AL6" s="273">
        <f t="shared" si="11"/>
        <v>0</v>
      </c>
      <c r="AM6" s="279">
        <f t="shared" ref="AM6:AM34" si="28">J6</f>
        <v>33502</v>
      </c>
      <c r="AN6" s="273">
        <f t="shared" si="11"/>
        <v>30964</v>
      </c>
      <c r="AO6" s="279">
        <f t="shared" si="13"/>
        <v>5967</v>
      </c>
      <c r="AP6" s="273">
        <f t="shared" si="11"/>
        <v>7</v>
      </c>
      <c r="AQ6" s="279">
        <f t="shared" si="14"/>
        <v>0</v>
      </c>
      <c r="AR6" s="273">
        <f t="shared" si="11"/>
        <v>0</v>
      </c>
      <c r="AS6" s="279">
        <f t="shared" si="15"/>
        <v>0</v>
      </c>
      <c r="AT6" s="273">
        <f t="shared" si="11"/>
        <v>0</v>
      </c>
      <c r="AU6" s="279">
        <f t="shared" si="16"/>
        <v>0</v>
      </c>
      <c r="AV6" s="273">
        <f t="shared" si="11"/>
        <v>0</v>
      </c>
      <c r="AW6" s="279">
        <f t="shared" si="17"/>
        <v>9449</v>
      </c>
      <c r="AX6" s="273">
        <f t="shared" si="11"/>
        <v>1</v>
      </c>
      <c r="AY6" s="279">
        <f t="shared" si="18"/>
        <v>11194</v>
      </c>
      <c r="AZ6" s="273">
        <f t="shared" si="19"/>
        <v>3</v>
      </c>
      <c r="BA6" s="279">
        <f t="shared" si="20"/>
        <v>19939</v>
      </c>
      <c r="BB6" s="273">
        <f t="shared" si="19"/>
        <v>18</v>
      </c>
      <c r="BC6" s="279">
        <f t="shared" si="21"/>
        <v>21385</v>
      </c>
      <c r="BD6" s="273">
        <f t="shared" si="19"/>
        <v>15</v>
      </c>
      <c r="BE6" s="279">
        <f t="shared" si="22"/>
        <v>21347</v>
      </c>
      <c r="BF6" s="273">
        <f t="shared" si="19"/>
        <v>1</v>
      </c>
      <c r="BG6" s="279">
        <f t="shared" si="23"/>
        <v>14711</v>
      </c>
      <c r="BH6" s="273" t="e">
        <f t="shared" si="19"/>
        <v>#REF!</v>
      </c>
      <c r="BI6" s="279">
        <f t="shared" si="24"/>
        <v>6839</v>
      </c>
      <c r="BJ6" s="273">
        <f t="shared" si="19"/>
        <v>2</v>
      </c>
      <c r="BK6" s="279">
        <f t="shared" si="25"/>
        <v>28302</v>
      </c>
      <c r="BL6" s="273">
        <f t="shared" si="19"/>
        <v>4</v>
      </c>
      <c r="BM6" s="273" t="e">
        <f t="shared" ref="BM6:BM34" si="29">SUM(BL6,BJ6,BH6,BF6,BD6,BB6,AZ6,AX6,AP6)</f>
        <v>#REF!</v>
      </c>
      <c r="BN6" s="273">
        <f t="shared" ref="BN6:BN34" si="30">SUM(AD6,AF6,AH6,AJ6,AL6,AN6)</f>
        <v>31168</v>
      </c>
    </row>
    <row r="7" spans="1:66" ht="18" customHeight="1" thickBot="1">
      <c r="A7" s="343">
        <f>'Current month'!A6</f>
        <v>44776</v>
      </c>
      <c r="B7" s="271">
        <f>'Current month'!Y6</f>
        <v>320384</v>
      </c>
      <c r="C7" s="344">
        <f>'Current month'!AE6</f>
        <v>1340</v>
      </c>
      <c r="D7" s="271">
        <f>'Current month'!AG6</f>
        <v>551240</v>
      </c>
      <c r="E7" s="271">
        <f>'Current month'!BU6</f>
        <v>661100</v>
      </c>
      <c r="F7" s="271">
        <f>'Current month'!BY6</f>
        <v>854250</v>
      </c>
      <c r="G7" s="271">
        <f>'Current month'!AQ6</f>
        <v>641450</v>
      </c>
      <c r="H7" s="271">
        <f>'Current month'!BK6</f>
        <v>28309</v>
      </c>
      <c r="I7" s="271">
        <f>'Current month'!AI6</f>
        <v>0</v>
      </c>
      <c r="J7" s="271">
        <f>'Current month'!BO6</f>
        <v>33579</v>
      </c>
      <c r="K7" s="271">
        <f>'Current month'!BM6</f>
        <v>5979</v>
      </c>
      <c r="L7" s="229"/>
      <c r="M7" s="229"/>
      <c r="N7" s="229"/>
      <c r="O7" s="271">
        <f>'Current month'!AW6</f>
        <v>9451</v>
      </c>
      <c r="P7" s="271">
        <f>'Current month'!AY6</f>
        <v>11197</v>
      </c>
      <c r="Q7" s="271">
        <f>'Current month'!BA6</f>
        <v>19950</v>
      </c>
      <c r="R7" s="271">
        <f>'Current month'!BC6</f>
        <v>21393</v>
      </c>
      <c r="S7" s="271">
        <f>'Current month'!BE6</f>
        <v>21348</v>
      </c>
      <c r="T7" s="271">
        <f>'Current month'!BG6</f>
        <v>14718</v>
      </c>
      <c r="U7" s="271">
        <f>'Current month'!BI6</f>
        <v>6844</v>
      </c>
      <c r="V7" s="271">
        <f>'Current month'!BK6</f>
        <v>28309</v>
      </c>
      <c r="W7" s="279">
        <f t="shared" si="0"/>
        <v>320384</v>
      </c>
      <c r="X7" s="273">
        <f t="shared" si="26"/>
        <v>276</v>
      </c>
      <c r="Y7" s="279">
        <f t="shared" si="1"/>
        <v>551240</v>
      </c>
      <c r="Z7" s="273">
        <f t="shared" si="2"/>
        <v>470</v>
      </c>
      <c r="AA7" s="279">
        <f t="shared" si="3"/>
        <v>1340</v>
      </c>
      <c r="AB7" s="273">
        <f t="shared" si="4"/>
        <v>0</v>
      </c>
      <c r="AC7" s="279">
        <f t="shared" si="5"/>
        <v>641450</v>
      </c>
      <c r="AD7" s="273">
        <f t="shared" si="6"/>
        <v>230</v>
      </c>
      <c r="AE7" s="279">
        <f t="shared" si="7"/>
        <v>661100</v>
      </c>
      <c r="AF7" s="273">
        <f t="shared" si="8"/>
        <v>180</v>
      </c>
      <c r="AG7" s="273">
        <f t="shared" si="9"/>
        <v>854250</v>
      </c>
      <c r="AH7" s="273">
        <f t="shared" si="27"/>
        <v>-230</v>
      </c>
      <c r="AI7" s="279">
        <f t="shared" si="10"/>
        <v>28309</v>
      </c>
      <c r="AJ7" s="273">
        <f t="shared" si="11"/>
        <v>7</v>
      </c>
      <c r="AK7" s="279">
        <f t="shared" si="12"/>
        <v>0</v>
      </c>
      <c r="AL7" s="273">
        <f t="shared" si="11"/>
        <v>-1180</v>
      </c>
      <c r="AM7" s="279">
        <f t="shared" si="28"/>
        <v>33579</v>
      </c>
      <c r="AN7" s="273">
        <f t="shared" si="11"/>
        <v>77</v>
      </c>
      <c r="AO7" s="279">
        <f t="shared" si="13"/>
        <v>5979</v>
      </c>
      <c r="AP7" s="273">
        <f t="shared" si="11"/>
        <v>12</v>
      </c>
      <c r="AQ7" s="279">
        <f t="shared" si="14"/>
        <v>0</v>
      </c>
      <c r="AR7" s="273">
        <f t="shared" si="11"/>
        <v>0</v>
      </c>
      <c r="AS7" s="279">
        <f t="shared" si="15"/>
        <v>0</v>
      </c>
      <c r="AT7" s="273">
        <f t="shared" si="11"/>
        <v>0</v>
      </c>
      <c r="AU7" s="279">
        <f t="shared" si="16"/>
        <v>0</v>
      </c>
      <c r="AV7" s="273">
        <f t="shared" si="11"/>
        <v>0</v>
      </c>
      <c r="AW7" s="279">
        <f t="shared" si="17"/>
        <v>9451</v>
      </c>
      <c r="AX7" s="273">
        <f t="shared" si="11"/>
        <v>2</v>
      </c>
      <c r="AY7" s="279">
        <f t="shared" si="18"/>
        <v>11197</v>
      </c>
      <c r="AZ7" s="273">
        <f t="shared" si="19"/>
        <v>3</v>
      </c>
      <c r="BA7" s="279">
        <f t="shared" si="20"/>
        <v>19950</v>
      </c>
      <c r="BB7" s="273">
        <f t="shared" si="19"/>
        <v>11</v>
      </c>
      <c r="BC7" s="279">
        <f t="shared" si="21"/>
        <v>21393</v>
      </c>
      <c r="BD7" s="273">
        <f t="shared" si="19"/>
        <v>8</v>
      </c>
      <c r="BE7" s="279">
        <f t="shared" si="22"/>
        <v>21348</v>
      </c>
      <c r="BF7" s="273">
        <f t="shared" si="19"/>
        <v>1</v>
      </c>
      <c r="BG7" s="279">
        <f t="shared" si="23"/>
        <v>14718</v>
      </c>
      <c r="BH7" s="273">
        <f t="shared" si="19"/>
        <v>7</v>
      </c>
      <c r="BI7" s="279">
        <f t="shared" si="24"/>
        <v>6844</v>
      </c>
      <c r="BJ7" s="273">
        <f t="shared" si="19"/>
        <v>5</v>
      </c>
      <c r="BK7" s="279">
        <f t="shared" si="25"/>
        <v>28309</v>
      </c>
      <c r="BL7" s="273">
        <f t="shared" si="19"/>
        <v>7</v>
      </c>
      <c r="BM7" s="273">
        <f t="shared" si="29"/>
        <v>56</v>
      </c>
      <c r="BN7" s="273">
        <f t="shared" si="30"/>
        <v>-916</v>
      </c>
    </row>
    <row r="8" spans="1:66" ht="18" customHeight="1" thickBot="1">
      <c r="A8" s="343">
        <f>'Current month'!A7</f>
        <v>44777</v>
      </c>
      <c r="B8" s="271">
        <f>'Current month'!Y7</f>
        <v>0</v>
      </c>
      <c r="C8" s="344">
        <f>'Current month'!AE7</f>
        <v>0</v>
      </c>
      <c r="D8" s="271">
        <f>'Current month'!AG7</f>
        <v>0</v>
      </c>
      <c r="E8" s="271">
        <f>'Current month'!BU7</f>
        <v>0</v>
      </c>
      <c r="F8" s="271">
        <f>'Current month'!BY7</f>
        <v>0</v>
      </c>
      <c r="G8" s="271">
        <f>'Current month'!AQ7</f>
        <v>0</v>
      </c>
      <c r="H8" s="271">
        <f>'Current month'!BK7</f>
        <v>0</v>
      </c>
      <c r="I8" s="271">
        <f>'Current month'!AI7</f>
        <v>0</v>
      </c>
      <c r="J8" s="271">
        <f>'Current month'!BO7</f>
        <v>0</v>
      </c>
      <c r="K8" s="271">
        <f>'Current month'!BM7</f>
        <v>0</v>
      </c>
      <c r="L8" s="229"/>
      <c r="M8" s="229"/>
      <c r="N8" s="229"/>
      <c r="O8" s="271">
        <f>'Current month'!AW7</f>
        <v>0</v>
      </c>
      <c r="P8" s="271">
        <f>'Current month'!AY7</f>
        <v>0</v>
      </c>
      <c r="Q8" s="271">
        <f>'Current month'!BA7</f>
        <v>0</v>
      </c>
      <c r="R8" s="271">
        <f>'Current month'!BC7</f>
        <v>0</v>
      </c>
      <c r="S8" s="271">
        <f>'Current month'!BE7</f>
        <v>0</v>
      </c>
      <c r="T8" s="271">
        <f>'Current month'!BG7</f>
        <v>0</v>
      </c>
      <c r="U8" s="271">
        <f>'Current month'!BI7</f>
        <v>0</v>
      </c>
      <c r="V8" s="271">
        <f>'Current month'!BK7</f>
        <v>0</v>
      </c>
      <c r="W8" s="279">
        <f t="shared" si="0"/>
        <v>0</v>
      </c>
      <c r="X8" s="273">
        <f t="shared" si="26"/>
        <v>-320384</v>
      </c>
      <c r="Y8" s="279">
        <f t="shared" si="1"/>
        <v>0</v>
      </c>
      <c r="Z8" s="273">
        <f t="shared" si="2"/>
        <v>-551240</v>
      </c>
      <c r="AA8" s="279">
        <f t="shared" si="3"/>
        <v>0</v>
      </c>
      <c r="AB8" s="273">
        <f t="shared" si="4"/>
        <v>-1340</v>
      </c>
      <c r="AC8" s="279">
        <f t="shared" si="5"/>
        <v>0</v>
      </c>
      <c r="AD8" s="273">
        <f t="shared" si="6"/>
        <v>-641450</v>
      </c>
      <c r="AE8" s="279">
        <f t="shared" si="7"/>
        <v>0</v>
      </c>
      <c r="AF8" s="273">
        <f t="shared" si="8"/>
        <v>-661100</v>
      </c>
      <c r="AG8" s="273">
        <f t="shared" si="9"/>
        <v>0</v>
      </c>
      <c r="AH8" s="273">
        <f t="shared" si="27"/>
        <v>-212800</v>
      </c>
      <c r="AI8" s="279">
        <f t="shared" si="10"/>
        <v>0</v>
      </c>
      <c r="AJ8" s="273">
        <f t="shared" si="11"/>
        <v>-28309</v>
      </c>
      <c r="AK8" s="279">
        <f t="shared" si="12"/>
        <v>0</v>
      </c>
      <c r="AL8" s="273">
        <f t="shared" si="11"/>
        <v>0</v>
      </c>
      <c r="AM8" s="279">
        <f t="shared" si="28"/>
        <v>0</v>
      </c>
      <c r="AN8" s="273">
        <f t="shared" si="11"/>
        <v>-33579</v>
      </c>
      <c r="AO8" s="279">
        <f t="shared" si="13"/>
        <v>0</v>
      </c>
      <c r="AP8" s="273">
        <f t="shared" si="11"/>
        <v>-5979</v>
      </c>
      <c r="AQ8" s="279">
        <f t="shared" si="14"/>
        <v>0</v>
      </c>
      <c r="AR8" s="273">
        <f t="shared" si="11"/>
        <v>0</v>
      </c>
      <c r="AS8" s="279">
        <f t="shared" si="15"/>
        <v>0</v>
      </c>
      <c r="AT8" s="273">
        <f t="shared" si="11"/>
        <v>0</v>
      </c>
      <c r="AU8" s="279">
        <f t="shared" si="16"/>
        <v>0</v>
      </c>
      <c r="AV8" s="273">
        <f t="shared" si="11"/>
        <v>0</v>
      </c>
      <c r="AW8" s="279">
        <f t="shared" si="17"/>
        <v>0</v>
      </c>
      <c r="AX8" s="273">
        <f t="shared" si="11"/>
        <v>-9451</v>
      </c>
      <c r="AY8" s="279">
        <f t="shared" si="18"/>
        <v>0</v>
      </c>
      <c r="AZ8" s="273">
        <f t="shared" si="19"/>
        <v>-11197</v>
      </c>
      <c r="BA8" s="279">
        <f t="shared" si="20"/>
        <v>0</v>
      </c>
      <c r="BB8" s="273">
        <f t="shared" si="19"/>
        <v>-19950</v>
      </c>
      <c r="BC8" s="279">
        <f t="shared" si="21"/>
        <v>0</v>
      </c>
      <c r="BD8" s="273">
        <f t="shared" si="19"/>
        <v>-21393</v>
      </c>
      <c r="BE8" s="279">
        <f t="shared" si="22"/>
        <v>0</v>
      </c>
      <c r="BF8" s="273">
        <f t="shared" si="19"/>
        <v>-21348</v>
      </c>
      <c r="BG8" s="279">
        <f t="shared" si="23"/>
        <v>0</v>
      </c>
      <c r="BH8" s="273">
        <f t="shared" si="19"/>
        <v>-14718</v>
      </c>
      <c r="BI8" s="279">
        <f t="shared" si="24"/>
        <v>0</v>
      </c>
      <c r="BJ8" s="273">
        <f t="shared" si="19"/>
        <v>-6844</v>
      </c>
      <c r="BK8" s="279">
        <f t="shared" si="25"/>
        <v>0</v>
      </c>
      <c r="BL8" s="273">
        <f t="shared" si="19"/>
        <v>-28309</v>
      </c>
      <c r="BM8" s="273">
        <f t="shared" si="29"/>
        <v>-139189</v>
      </c>
      <c r="BN8" s="273">
        <f t="shared" si="30"/>
        <v>-1577238</v>
      </c>
    </row>
    <row r="9" spans="1:66" ht="18" customHeight="1" thickBot="1">
      <c r="A9" s="343">
        <f>'Current month'!A8</f>
        <v>44778</v>
      </c>
      <c r="B9" s="271">
        <f>'Current month'!Y9</f>
        <v>0</v>
      </c>
      <c r="C9" s="344">
        <f>'Current month'!AE8</f>
        <v>0</v>
      </c>
      <c r="D9" s="271">
        <f>'Current month'!AG8</f>
        <v>0</v>
      </c>
      <c r="E9" s="271">
        <f>'Current month'!BU8</f>
        <v>0</v>
      </c>
      <c r="F9" s="271">
        <f>'Current month'!BY8</f>
        <v>0</v>
      </c>
      <c r="G9" s="271">
        <f>'Current month'!AQ8</f>
        <v>0</v>
      </c>
      <c r="H9" s="271">
        <f>'Current month'!BK8</f>
        <v>0</v>
      </c>
      <c r="I9" s="271">
        <f>'Current month'!AI8</f>
        <v>0</v>
      </c>
      <c r="J9" s="271">
        <f>'Current month'!BO8</f>
        <v>0</v>
      </c>
      <c r="K9" s="271">
        <f>'Current month'!BM8</f>
        <v>0</v>
      </c>
      <c r="L9" s="229"/>
      <c r="M9" s="229"/>
      <c r="N9" s="229"/>
      <c r="O9" s="271">
        <f>'Current month'!AW8</f>
        <v>0</v>
      </c>
      <c r="P9" s="271">
        <f>'Current month'!AY8</f>
        <v>0</v>
      </c>
      <c r="Q9" s="271">
        <f>'Current month'!BA8</f>
        <v>0</v>
      </c>
      <c r="R9" s="271">
        <f>'Current month'!BC8</f>
        <v>0</v>
      </c>
      <c r="S9" s="271">
        <f>'Current month'!BE8</f>
        <v>0</v>
      </c>
      <c r="T9" s="271">
        <f>'Current month'!BG8</f>
        <v>0</v>
      </c>
      <c r="U9" s="271">
        <f>'Current month'!BI8</f>
        <v>0</v>
      </c>
      <c r="V9" s="271">
        <f>'Current month'!BK8</f>
        <v>0</v>
      </c>
      <c r="W9" s="279">
        <f t="shared" si="0"/>
        <v>0</v>
      </c>
      <c r="X9" s="273">
        <f t="shared" si="26"/>
        <v>0</v>
      </c>
      <c r="Y9" s="279">
        <f t="shared" si="1"/>
        <v>0</v>
      </c>
      <c r="Z9" s="273">
        <f t="shared" si="2"/>
        <v>0</v>
      </c>
      <c r="AA9" s="279">
        <f t="shared" si="3"/>
        <v>0</v>
      </c>
      <c r="AB9" s="273">
        <f t="shared" si="4"/>
        <v>0</v>
      </c>
      <c r="AC9" s="279">
        <f t="shared" si="5"/>
        <v>0</v>
      </c>
      <c r="AD9" s="273">
        <f t="shared" si="6"/>
        <v>0</v>
      </c>
      <c r="AE9" s="279">
        <f t="shared" si="7"/>
        <v>0</v>
      </c>
      <c r="AF9" s="273">
        <f t="shared" si="8"/>
        <v>0</v>
      </c>
      <c r="AG9" s="273">
        <f t="shared" si="9"/>
        <v>0</v>
      </c>
      <c r="AH9" s="273">
        <f t="shared" si="27"/>
        <v>0</v>
      </c>
      <c r="AI9" s="279">
        <f t="shared" si="10"/>
        <v>0</v>
      </c>
      <c r="AJ9" s="273">
        <f t="shared" si="11"/>
        <v>0</v>
      </c>
      <c r="AK9" s="279">
        <f t="shared" si="12"/>
        <v>0</v>
      </c>
      <c r="AL9" s="273">
        <f t="shared" si="11"/>
        <v>0</v>
      </c>
      <c r="AM9" s="279">
        <f t="shared" si="28"/>
        <v>0</v>
      </c>
      <c r="AN9" s="273">
        <f t="shared" si="11"/>
        <v>0</v>
      </c>
      <c r="AO9" s="279">
        <f t="shared" si="13"/>
        <v>0</v>
      </c>
      <c r="AP9" s="273">
        <f t="shared" si="11"/>
        <v>0</v>
      </c>
      <c r="AQ9" s="279">
        <f t="shared" si="14"/>
        <v>0</v>
      </c>
      <c r="AR9" s="273">
        <f t="shared" si="11"/>
        <v>0</v>
      </c>
      <c r="AS9" s="279">
        <f t="shared" si="15"/>
        <v>0</v>
      </c>
      <c r="AT9" s="273">
        <f t="shared" si="11"/>
        <v>0</v>
      </c>
      <c r="AU9" s="279">
        <f t="shared" si="16"/>
        <v>0</v>
      </c>
      <c r="AV9" s="273">
        <f t="shared" si="11"/>
        <v>0</v>
      </c>
      <c r="AW9" s="279">
        <f t="shared" si="17"/>
        <v>0</v>
      </c>
      <c r="AX9" s="273">
        <f t="shared" si="11"/>
        <v>0</v>
      </c>
      <c r="AY9" s="279">
        <f t="shared" si="18"/>
        <v>0</v>
      </c>
      <c r="AZ9" s="273">
        <f t="shared" si="19"/>
        <v>0</v>
      </c>
      <c r="BA9" s="279">
        <f t="shared" si="20"/>
        <v>0</v>
      </c>
      <c r="BB9" s="273">
        <f t="shared" si="19"/>
        <v>0</v>
      </c>
      <c r="BC9" s="279">
        <f t="shared" si="21"/>
        <v>0</v>
      </c>
      <c r="BD9" s="273">
        <f t="shared" si="19"/>
        <v>0</v>
      </c>
      <c r="BE9" s="279">
        <f t="shared" si="22"/>
        <v>0</v>
      </c>
      <c r="BF9" s="273">
        <f t="shared" si="19"/>
        <v>0</v>
      </c>
      <c r="BG9" s="279">
        <f t="shared" si="23"/>
        <v>0</v>
      </c>
      <c r="BH9" s="273">
        <f t="shared" si="19"/>
        <v>0</v>
      </c>
      <c r="BI9" s="279">
        <f t="shared" si="24"/>
        <v>0</v>
      </c>
      <c r="BJ9" s="273">
        <f t="shared" si="19"/>
        <v>0</v>
      </c>
      <c r="BK9" s="279">
        <f t="shared" si="25"/>
        <v>0</v>
      </c>
      <c r="BL9" s="273">
        <f t="shared" si="19"/>
        <v>0</v>
      </c>
      <c r="BM9" s="273">
        <f t="shared" si="29"/>
        <v>0</v>
      </c>
      <c r="BN9" s="273">
        <f t="shared" si="30"/>
        <v>0</v>
      </c>
    </row>
    <row r="10" spans="1:66" ht="18" customHeight="1" thickBot="1">
      <c r="A10" s="343">
        <f>'Current month'!A9</f>
        <v>44779</v>
      </c>
      <c r="B10" s="271" t="e">
        <f>'Current month'!#REF!</f>
        <v>#REF!</v>
      </c>
      <c r="C10" s="344">
        <f>'Current month'!AE9</f>
        <v>0</v>
      </c>
      <c r="D10" s="271">
        <f>'Current month'!AG9</f>
        <v>0</v>
      </c>
      <c r="E10" s="271">
        <f>'Current month'!BU9</f>
        <v>0</v>
      </c>
      <c r="F10" s="271">
        <f>'Current month'!BY9</f>
        <v>0</v>
      </c>
      <c r="G10" s="271">
        <f>'Current month'!AQ9</f>
        <v>0</v>
      </c>
      <c r="H10" s="271">
        <f>'Current month'!BK9</f>
        <v>0</v>
      </c>
      <c r="I10" s="271">
        <f>'Current month'!AI9</f>
        <v>0</v>
      </c>
      <c r="J10" s="271">
        <f>'Current month'!BO9</f>
        <v>0</v>
      </c>
      <c r="K10" s="271">
        <f>'Current month'!BM9</f>
        <v>0</v>
      </c>
      <c r="L10" s="229"/>
      <c r="M10" s="229"/>
      <c r="N10" s="229"/>
      <c r="O10" s="271">
        <f>'Current month'!AW9</f>
        <v>0</v>
      </c>
      <c r="P10" s="271">
        <f>'Current month'!AY9</f>
        <v>0</v>
      </c>
      <c r="Q10" s="271">
        <f>'Current month'!BA9</f>
        <v>0</v>
      </c>
      <c r="R10" s="271">
        <f>'Current month'!BC9</f>
        <v>0</v>
      </c>
      <c r="S10" s="271">
        <f>'Current month'!BE9</f>
        <v>0</v>
      </c>
      <c r="T10" s="271">
        <f>'Current month'!BG9</f>
        <v>0</v>
      </c>
      <c r="U10" s="271">
        <f>'Current month'!BI9</f>
        <v>0</v>
      </c>
      <c r="V10" s="271">
        <f>'Current month'!BK9</f>
        <v>0</v>
      </c>
      <c r="W10" s="279" t="e">
        <f t="shared" si="0"/>
        <v>#REF!</v>
      </c>
      <c r="X10" s="273" t="e">
        <f t="shared" si="26"/>
        <v>#REF!</v>
      </c>
      <c r="Y10" s="279">
        <f t="shared" si="1"/>
        <v>0</v>
      </c>
      <c r="Z10" s="273">
        <f t="shared" si="2"/>
        <v>0</v>
      </c>
      <c r="AA10" s="279">
        <f t="shared" si="3"/>
        <v>0</v>
      </c>
      <c r="AB10" s="273">
        <f t="shared" si="4"/>
        <v>0</v>
      </c>
      <c r="AC10" s="279">
        <f t="shared" si="5"/>
        <v>0</v>
      </c>
      <c r="AD10" s="273">
        <f t="shared" si="6"/>
        <v>0</v>
      </c>
      <c r="AE10" s="279">
        <f t="shared" si="7"/>
        <v>0</v>
      </c>
      <c r="AF10" s="273">
        <f t="shared" si="8"/>
        <v>0</v>
      </c>
      <c r="AG10" s="273">
        <f t="shared" si="9"/>
        <v>0</v>
      </c>
      <c r="AH10" s="273">
        <f t="shared" si="27"/>
        <v>0</v>
      </c>
      <c r="AI10" s="279">
        <f t="shared" si="10"/>
        <v>0</v>
      </c>
      <c r="AJ10" s="273">
        <f t="shared" si="11"/>
        <v>0</v>
      </c>
      <c r="AK10" s="279">
        <f t="shared" si="12"/>
        <v>0</v>
      </c>
      <c r="AL10" s="273">
        <f t="shared" si="11"/>
        <v>0</v>
      </c>
      <c r="AM10" s="279">
        <f t="shared" si="28"/>
        <v>0</v>
      </c>
      <c r="AN10" s="273">
        <f t="shared" si="11"/>
        <v>0</v>
      </c>
      <c r="AO10" s="279">
        <f t="shared" si="13"/>
        <v>0</v>
      </c>
      <c r="AP10" s="273">
        <f t="shared" si="11"/>
        <v>0</v>
      </c>
      <c r="AQ10" s="279">
        <f t="shared" si="14"/>
        <v>0</v>
      </c>
      <c r="AR10" s="273">
        <f t="shared" si="11"/>
        <v>0</v>
      </c>
      <c r="AS10" s="279">
        <f t="shared" si="15"/>
        <v>0</v>
      </c>
      <c r="AT10" s="273">
        <f t="shared" si="11"/>
        <v>0</v>
      </c>
      <c r="AU10" s="279">
        <f t="shared" si="16"/>
        <v>0</v>
      </c>
      <c r="AV10" s="273">
        <f t="shared" si="11"/>
        <v>0</v>
      </c>
      <c r="AW10" s="279">
        <f t="shared" si="17"/>
        <v>0</v>
      </c>
      <c r="AX10" s="273">
        <f t="shared" si="11"/>
        <v>0</v>
      </c>
      <c r="AY10" s="279">
        <f t="shared" si="18"/>
        <v>0</v>
      </c>
      <c r="AZ10" s="273">
        <f t="shared" si="19"/>
        <v>0</v>
      </c>
      <c r="BA10" s="279">
        <f t="shared" si="20"/>
        <v>0</v>
      </c>
      <c r="BB10" s="273">
        <f t="shared" si="19"/>
        <v>0</v>
      </c>
      <c r="BC10" s="279">
        <f t="shared" si="21"/>
        <v>0</v>
      </c>
      <c r="BD10" s="273">
        <f t="shared" si="19"/>
        <v>0</v>
      </c>
      <c r="BE10" s="279">
        <f t="shared" si="22"/>
        <v>0</v>
      </c>
      <c r="BF10" s="273">
        <f t="shared" si="19"/>
        <v>0</v>
      </c>
      <c r="BG10" s="279">
        <f t="shared" si="23"/>
        <v>0</v>
      </c>
      <c r="BH10" s="273">
        <f t="shared" si="19"/>
        <v>0</v>
      </c>
      <c r="BI10" s="279">
        <f t="shared" si="24"/>
        <v>0</v>
      </c>
      <c r="BJ10" s="273">
        <f t="shared" si="19"/>
        <v>0</v>
      </c>
      <c r="BK10" s="279">
        <f t="shared" si="25"/>
        <v>0</v>
      </c>
      <c r="BL10" s="273">
        <f t="shared" si="19"/>
        <v>0</v>
      </c>
      <c r="BM10" s="273">
        <f t="shared" si="29"/>
        <v>0</v>
      </c>
      <c r="BN10" s="273">
        <f t="shared" si="30"/>
        <v>0</v>
      </c>
    </row>
    <row r="11" spans="1:66" ht="18" customHeight="1" thickBot="1">
      <c r="A11" s="343">
        <f>'Current month'!A10</f>
        <v>44780</v>
      </c>
      <c r="B11" s="271">
        <f>'Current month'!Y10</f>
        <v>0</v>
      </c>
      <c r="C11" s="344">
        <f>'Current month'!AE10</f>
        <v>0</v>
      </c>
      <c r="D11" s="271">
        <f>'Current month'!AG10</f>
        <v>0</v>
      </c>
      <c r="E11" s="271">
        <f>'Current month'!BU10</f>
        <v>0</v>
      </c>
      <c r="F11" s="271">
        <f>'Current month'!BY10</f>
        <v>0</v>
      </c>
      <c r="G11" s="271">
        <f>'Current month'!AQ10</f>
        <v>0</v>
      </c>
      <c r="H11" s="271">
        <f>'Current month'!BK10</f>
        <v>0</v>
      </c>
      <c r="I11" s="271">
        <f>'Current month'!AI10</f>
        <v>0</v>
      </c>
      <c r="J11" s="271">
        <f>'Current month'!BO10</f>
        <v>0</v>
      </c>
      <c r="K11" s="271">
        <f>'Current month'!BM10</f>
        <v>0</v>
      </c>
      <c r="L11" s="229"/>
      <c r="M11" s="229"/>
      <c r="N11" s="229"/>
      <c r="O11" s="271">
        <f>'Current month'!AW10</f>
        <v>0</v>
      </c>
      <c r="P11" s="271">
        <f>'Current month'!AY10</f>
        <v>0</v>
      </c>
      <c r="Q11" s="271">
        <f>'Current month'!BA10</f>
        <v>0</v>
      </c>
      <c r="R11" s="271">
        <f>'Current month'!BC10</f>
        <v>0</v>
      </c>
      <c r="S11" s="271">
        <f>'Current month'!BE10</f>
        <v>0</v>
      </c>
      <c r="T11" s="271">
        <f>'Current month'!BG10</f>
        <v>0</v>
      </c>
      <c r="U11" s="271">
        <f>'Current month'!BI10</f>
        <v>0</v>
      </c>
      <c r="V11" s="271">
        <f>'Current month'!BK10</f>
        <v>0</v>
      </c>
      <c r="W11" s="279">
        <f t="shared" si="0"/>
        <v>0</v>
      </c>
      <c r="X11" s="273" t="e">
        <f t="shared" si="26"/>
        <v>#REF!</v>
      </c>
      <c r="Y11" s="279">
        <f t="shared" si="1"/>
        <v>0</v>
      </c>
      <c r="Z11" s="273">
        <f t="shared" si="2"/>
        <v>0</v>
      </c>
      <c r="AA11" s="279">
        <f t="shared" si="3"/>
        <v>0</v>
      </c>
      <c r="AB11" s="273">
        <f t="shared" si="4"/>
        <v>0</v>
      </c>
      <c r="AC11" s="279">
        <f t="shared" si="5"/>
        <v>0</v>
      </c>
      <c r="AD11" s="273">
        <f t="shared" si="6"/>
        <v>0</v>
      </c>
      <c r="AE11" s="279">
        <f t="shared" si="7"/>
        <v>0</v>
      </c>
      <c r="AF11" s="273">
        <f t="shared" si="8"/>
        <v>0</v>
      </c>
      <c r="AG11" s="273">
        <f t="shared" si="9"/>
        <v>0</v>
      </c>
      <c r="AH11" s="273">
        <f t="shared" si="27"/>
        <v>0</v>
      </c>
      <c r="AI11" s="279">
        <f t="shared" si="10"/>
        <v>0</v>
      </c>
      <c r="AJ11" s="273">
        <f t="shared" si="11"/>
        <v>0</v>
      </c>
      <c r="AK11" s="279">
        <f t="shared" si="12"/>
        <v>0</v>
      </c>
      <c r="AL11" s="273">
        <f t="shared" si="11"/>
        <v>0</v>
      </c>
      <c r="AM11" s="279">
        <f t="shared" si="28"/>
        <v>0</v>
      </c>
      <c r="AN11" s="273">
        <f t="shared" si="11"/>
        <v>0</v>
      </c>
      <c r="AO11" s="279">
        <f t="shared" si="13"/>
        <v>0</v>
      </c>
      <c r="AP11" s="273">
        <f t="shared" si="11"/>
        <v>0</v>
      </c>
      <c r="AQ11" s="279">
        <f t="shared" si="14"/>
        <v>0</v>
      </c>
      <c r="AR11" s="273">
        <f t="shared" si="11"/>
        <v>0</v>
      </c>
      <c r="AS11" s="279">
        <f t="shared" si="15"/>
        <v>0</v>
      </c>
      <c r="AT11" s="273">
        <f t="shared" si="11"/>
        <v>0</v>
      </c>
      <c r="AU11" s="279">
        <f t="shared" si="16"/>
        <v>0</v>
      </c>
      <c r="AV11" s="273">
        <f t="shared" si="11"/>
        <v>0</v>
      </c>
      <c r="AW11" s="279">
        <f t="shared" si="17"/>
        <v>0</v>
      </c>
      <c r="AX11" s="273">
        <f t="shared" si="11"/>
        <v>0</v>
      </c>
      <c r="AY11" s="279">
        <f t="shared" si="18"/>
        <v>0</v>
      </c>
      <c r="AZ11" s="273">
        <f t="shared" si="19"/>
        <v>0</v>
      </c>
      <c r="BA11" s="279">
        <f t="shared" si="20"/>
        <v>0</v>
      </c>
      <c r="BB11" s="273">
        <f t="shared" si="19"/>
        <v>0</v>
      </c>
      <c r="BC11" s="279">
        <f t="shared" si="21"/>
        <v>0</v>
      </c>
      <c r="BD11" s="273">
        <f t="shared" si="19"/>
        <v>0</v>
      </c>
      <c r="BE11" s="279">
        <f t="shared" si="22"/>
        <v>0</v>
      </c>
      <c r="BF11" s="273">
        <f t="shared" si="19"/>
        <v>0</v>
      </c>
      <c r="BG11" s="279">
        <f t="shared" si="23"/>
        <v>0</v>
      </c>
      <c r="BH11" s="273">
        <f t="shared" si="19"/>
        <v>0</v>
      </c>
      <c r="BI11" s="279">
        <f t="shared" si="24"/>
        <v>0</v>
      </c>
      <c r="BJ11" s="273">
        <f t="shared" si="19"/>
        <v>0</v>
      </c>
      <c r="BK11" s="279">
        <f t="shared" si="25"/>
        <v>0</v>
      </c>
      <c r="BL11" s="273">
        <f t="shared" si="19"/>
        <v>0</v>
      </c>
      <c r="BM11" s="273">
        <f t="shared" si="29"/>
        <v>0</v>
      </c>
      <c r="BN11" s="273">
        <f t="shared" si="30"/>
        <v>0</v>
      </c>
    </row>
    <row r="12" spans="1:66" ht="18" customHeight="1" thickBot="1">
      <c r="A12" s="343">
        <f>'Current month'!A11</f>
        <v>44781</v>
      </c>
      <c r="B12" s="271">
        <f>'Current month'!Y11</f>
        <v>0</v>
      </c>
      <c r="C12" s="344">
        <f>'Current month'!AE11</f>
        <v>0</v>
      </c>
      <c r="D12" s="271">
        <f>'Current month'!AG11</f>
        <v>0</v>
      </c>
      <c r="E12" s="271">
        <f>'Current month'!BU11</f>
        <v>0</v>
      </c>
      <c r="F12" s="271">
        <f>'Current month'!BY11</f>
        <v>0</v>
      </c>
      <c r="G12" s="271">
        <f>'Current month'!AQ11</f>
        <v>0</v>
      </c>
      <c r="H12" s="271">
        <f>'Current month'!BK11</f>
        <v>0</v>
      </c>
      <c r="I12" s="271">
        <f>'Current month'!AI11</f>
        <v>0</v>
      </c>
      <c r="J12" s="271">
        <f>'Current month'!BO11</f>
        <v>0</v>
      </c>
      <c r="K12" s="271">
        <f>'Current month'!BM11</f>
        <v>0</v>
      </c>
      <c r="L12" s="229"/>
      <c r="M12" s="229"/>
      <c r="N12" s="229"/>
      <c r="O12" s="271">
        <f>'Current month'!AW11</f>
        <v>0</v>
      </c>
      <c r="P12" s="271">
        <f>'Current month'!AY11</f>
        <v>0</v>
      </c>
      <c r="Q12" s="271">
        <f>'Current month'!BA11</f>
        <v>0</v>
      </c>
      <c r="R12" s="271">
        <f>'Current month'!BC11</f>
        <v>0</v>
      </c>
      <c r="S12" s="271">
        <f>'Current month'!BE11</f>
        <v>0</v>
      </c>
      <c r="T12" s="271">
        <f>'Current month'!BG11</f>
        <v>0</v>
      </c>
      <c r="U12" s="271">
        <f>'Current month'!BI11</f>
        <v>0</v>
      </c>
      <c r="V12" s="271">
        <f>'Current month'!BK11</f>
        <v>0</v>
      </c>
      <c r="W12" s="279">
        <f t="shared" si="0"/>
        <v>0</v>
      </c>
      <c r="X12" s="273">
        <f t="shared" si="26"/>
        <v>0</v>
      </c>
      <c r="Y12" s="279">
        <f t="shared" si="1"/>
        <v>0</v>
      </c>
      <c r="Z12" s="273">
        <f t="shared" si="2"/>
        <v>0</v>
      </c>
      <c r="AA12" s="279">
        <f t="shared" si="3"/>
        <v>0</v>
      </c>
      <c r="AB12" s="273">
        <f t="shared" si="4"/>
        <v>0</v>
      </c>
      <c r="AC12" s="279">
        <f t="shared" si="5"/>
        <v>0</v>
      </c>
      <c r="AD12" s="273">
        <f t="shared" si="6"/>
        <v>0</v>
      </c>
      <c r="AE12" s="279">
        <f t="shared" si="7"/>
        <v>0</v>
      </c>
      <c r="AF12" s="273">
        <f t="shared" si="8"/>
        <v>0</v>
      </c>
      <c r="AG12" s="273">
        <f t="shared" si="9"/>
        <v>0</v>
      </c>
      <c r="AH12" s="273">
        <f t="shared" si="27"/>
        <v>0</v>
      </c>
      <c r="AI12" s="279">
        <f t="shared" si="10"/>
        <v>0</v>
      </c>
      <c r="AJ12" s="273">
        <f t="shared" si="11"/>
        <v>0</v>
      </c>
      <c r="AK12" s="279">
        <f t="shared" si="12"/>
        <v>0</v>
      </c>
      <c r="AL12" s="273">
        <f t="shared" si="11"/>
        <v>0</v>
      </c>
      <c r="AM12" s="279">
        <f t="shared" si="28"/>
        <v>0</v>
      </c>
      <c r="AN12" s="273">
        <f t="shared" si="11"/>
        <v>0</v>
      </c>
      <c r="AO12" s="279">
        <f t="shared" si="13"/>
        <v>0</v>
      </c>
      <c r="AP12" s="273">
        <f t="shared" si="11"/>
        <v>0</v>
      </c>
      <c r="AQ12" s="279">
        <f t="shared" si="14"/>
        <v>0</v>
      </c>
      <c r="AR12" s="273">
        <f t="shared" si="11"/>
        <v>0</v>
      </c>
      <c r="AS12" s="279">
        <f t="shared" si="15"/>
        <v>0</v>
      </c>
      <c r="AT12" s="273">
        <f t="shared" si="11"/>
        <v>0</v>
      </c>
      <c r="AU12" s="279">
        <f t="shared" si="16"/>
        <v>0</v>
      </c>
      <c r="AV12" s="273">
        <f t="shared" si="11"/>
        <v>0</v>
      </c>
      <c r="AW12" s="279">
        <f t="shared" si="17"/>
        <v>0</v>
      </c>
      <c r="AX12" s="273">
        <f t="shared" si="11"/>
        <v>0</v>
      </c>
      <c r="AY12" s="279">
        <f t="shared" si="18"/>
        <v>0</v>
      </c>
      <c r="AZ12" s="273">
        <f t="shared" si="19"/>
        <v>0</v>
      </c>
      <c r="BA12" s="279">
        <f t="shared" si="20"/>
        <v>0</v>
      </c>
      <c r="BB12" s="273">
        <f t="shared" si="19"/>
        <v>0</v>
      </c>
      <c r="BC12" s="279">
        <f t="shared" si="21"/>
        <v>0</v>
      </c>
      <c r="BD12" s="273">
        <f t="shared" si="19"/>
        <v>0</v>
      </c>
      <c r="BE12" s="279">
        <f t="shared" si="22"/>
        <v>0</v>
      </c>
      <c r="BF12" s="273">
        <f t="shared" si="19"/>
        <v>0</v>
      </c>
      <c r="BG12" s="279">
        <f t="shared" si="23"/>
        <v>0</v>
      </c>
      <c r="BH12" s="273">
        <f t="shared" si="19"/>
        <v>0</v>
      </c>
      <c r="BI12" s="279">
        <f t="shared" si="24"/>
        <v>0</v>
      </c>
      <c r="BJ12" s="273">
        <f t="shared" si="19"/>
        <v>0</v>
      </c>
      <c r="BK12" s="279">
        <f t="shared" si="25"/>
        <v>0</v>
      </c>
      <c r="BL12" s="273">
        <f t="shared" si="19"/>
        <v>0</v>
      </c>
      <c r="BM12" s="273">
        <f t="shared" si="29"/>
        <v>0</v>
      </c>
      <c r="BN12" s="273">
        <f t="shared" si="30"/>
        <v>0</v>
      </c>
    </row>
    <row r="13" spans="1:66" ht="18" customHeight="1" thickBot="1">
      <c r="A13" s="343">
        <f>'Current month'!A12</f>
        <v>44782</v>
      </c>
      <c r="B13" s="271">
        <f>'Current month'!Y12</f>
        <v>0</v>
      </c>
      <c r="C13" s="344">
        <f>'Current month'!AE12</f>
        <v>0</v>
      </c>
      <c r="D13" s="271">
        <f>'Current month'!AG12</f>
        <v>0</v>
      </c>
      <c r="E13" s="271">
        <f>'Current month'!BU12</f>
        <v>0</v>
      </c>
      <c r="F13" s="271">
        <f>'Current month'!BY12</f>
        <v>0</v>
      </c>
      <c r="G13" s="271">
        <f>'Current month'!AQ12</f>
        <v>0</v>
      </c>
      <c r="H13" s="271">
        <f>'Current month'!BK12</f>
        <v>0</v>
      </c>
      <c r="I13" s="271">
        <f>'Current month'!AI12</f>
        <v>0</v>
      </c>
      <c r="J13" s="271">
        <f>'Current month'!BO12</f>
        <v>0</v>
      </c>
      <c r="K13" s="271">
        <f>'Current month'!BM12</f>
        <v>0</v>
      </c>
      <c r="L13" s="229"/>
      <c r="M13" s="229"/>
      <c r="N13" s="229"/>
      <c r="O13" s="271">
        <f>'Current month'!AW12</f>
        <v>0</v>
      </c>
      <c r="P13" s="271">
        <f>'Current month'!AY12</f>
        <v>0</v>
      </c>
      <c r="Q13" s="271">
        <f>'Current month'!BA12</f>
        <v>0</v>
      </c>
      <c r="R13" s="271">
        <f>'Current month'!BC12</f>
        <v>0</v>
      </c>
      <c r="S13" s="271">
        <f>'Current month'!BE12</f>
        <v>0</v>
      </c>
      <c r="T13" s="271">
        <f>'Current month'!BG12</f>
        <v>0</v>
      </c>
      <c r="U13" s="271">
        <f>'Current month'!BI12</f>
        <v>0</v>
      </c>
      <c r="V13" s="271">
        <f>'Current month'!BK12</f>
        <v>0</v>
      </c>
      <c r="W13" s="279">
        <f t="shared" si="0"/>
        <v>0</v>
      </c>
      <c r="X13" s="273">
        <f t="shared" si="26"/>
        <v>0</v>
      </c>
      <c r="Y13" s="279">
        <f t="shared" si="1"/>
        <v>0</v>
      </c>
      <c r="Z13" s="273">
        <f t="shared" si="2"/>
        <v>0</v>
      </c>
      <c r="AA13" s="279">
        <f t="shared" si="3"/>
        <v>0</v>
      </c>
      <c r="AB13" s="273">
        <f t="shared" si="4"/>
        <v>0</v>
      </c>
      <c r="AC13" s="279">
        <f t="shared" si="5"/>
        <v>0</v>
      </c>
      <c r="AD13" s="273">
        <f t="shared" si="6"/>
        <v>0</v>
      </c>
      <c r="AE13" s="279">
        <f t="shared" si="7"/>
        <v>0</v>
      </c>
      <c r="AF13" s="273">
        <f t="shared" si="8"/>
        <v>0</v>
      </c>
      <c r="AG13" s="273">
        <f t="shared" si="9"/>
        <v>0</v>
      </c>
      <c r="AH13" s="273">
        <f t="shared" si="27"/>
        <v>0</v>
      </c>
      <c r="AI13" s="279">
        <f t="shared" si="10"/>
        <v>0</v>
      </c>
      <c r="AJ13" s="273">
        <f t="shared" si="11"/>
        <v>0</v>
      </c>
      <c r="AK13" s="279">
        <f t="shared" si="12"/>
        <v>0</v>
      </c>
      <c r="AL13" s="273">
        <f t="shared" si="11"/>
        <v>0</v>
      </c>
      <c r="AM13" s="279">
        <f t="shared" si="28"/>
        <v>0</v>
      </c>
      <c r="AN13" s="273">
        <f t="shared" si="11"/>
        <v>0</v>
      </c>
      <c r="AO13" s="279">
        <f t="shared" si="13"/>
        <v>0</v>
      </c>
      <c r="AP13" s="273">
        <f t="shared" si="11"/>
        <v>0</v>
      </c>
      <c r="AQ13" s="279">
        <f t="shared" si="14"/>
        <v>0</v>
      </c>
      <c r="AR13" s="273"/>
      <c r="AS13" s="279">
        <f t="shared" si="15"/>
        <v>0</v>
      </c>
      <c r="AT13" s="273"/>
      <c r="AU13" s="279">
        <f t="shared" si="16"/>
        <v>0</v>
      </c>
      <c r="AV13" s="273"/>
      <c r="AW13" s="279">
        <f t="shared" si="17"/>
        <v>0</v>
      </c>
      <c r="AX13" s="273">
        <f t="shared" si="11"/>
        <v>0</v>
      </c>
      <c r="AY13" s="279">
        <f t="shared" si="18"/>
        <v>0</v>
      </c>
      <c r="AZ13" s="273">
        <f t="shared" si="19"/>
        <v>0</v>
      </c>
      <c r="BA13" s="279">
        <f t="shared" si="20"/>
        <v>0</v>
      </c>
      <c r="BB13" s="273">
        <f t="shared" si="19"/>
        <v>0</v>
      </c>
      <c r="BC13" s="279">
        <f t="shared" si="21"/>
        <v>0</v>
      </c>
      <c r="BD13" s="273">
        <f t="shared" si="19"/>
        <v>0</v>
      </c>
      <c r="BE13" s="279">
        <f t="shared" si="22"/>
        <v>0</v>
      </c>
      <c r="BF13" s="273">
        <f t="shared" si="19"/>
        <v>0</v>
      </c>
      <c r="BG13" s="279">
        <f t="shared" si="23"/>
        <v>0</v>
      </c>
      <c r="BH13" s="273">
        <f t="shared" si="19"/>
        <v>0</v>
      </c>
      <c r="BI13" s="279">
        <f t="shared" si="24"/>
        <v>0</v>
      </c>
      <c r="BJ13" s="273">
        <f t="shared" si="19"/>
        <v>0</v>
      </c>
      <c r="BK13" s="279">
        <f t="shared" si="25"/>
        <v>0</v>
      </c>
      <c r="BL13" s="273">
        <f t="shared" si="19"/>
        <v>0</v>
      </c>
      <c r="BM13" s="273">
        <f t="shared" si="29"/>
        <v>0</v>
      </c>
      <c r="BN13" s="273">
        <f t="shared" si="30"/>
        <v>0</v>
      </c>
    </row>
    <row r="14" spans="1:66" ht="18" customHeight="1" thickBot="1">
      <c r="A14" s="343">
        <f>'Current month'!A13</f>
        <v>44783</v>
      </c>
      <c r="B14" s="271">
        <f>'Current month'!Y13</f>
        <v>0</v>
      </c>
      <c r="C14" s="344">
        <f>'Current month'!AE13</f>
        <v>0</v>
      </c>
      <c r="D14" s="271">
        <f>'Current month'!AG13</f>
        <v>0</v>
      </c>
      <c r="E14" s="271">
        <f>'Current month'!BU13</f>
        <v>0</v>
      </c>
      <c r="F14" s="271">
        <f>'Current month'!BY13</f>
        <v>0</v>
      </c>
      <c r="G14" s="271">
        <f>'Current month'!AQ13</f>
        <v>0</v>
      </c>
      <c r="H14" s="271">
        <f>'Current month'!BK13</f>
        <v>0</v>
      </c>
      <c r="I14" s="271">
        <f>'Current month'!AI13</f>
        <v>0</v>
      </c>
      <c r="J14" s="271">
        <f>'Current month'!BO13</f>
        <v>0</v>
      </c>
      <c r="K14" s="271">
        <f>'Current month'!BM13</f>
        <v>0</v>
      </c>
      <c r="L14" s="229"/>
      <c r="M14" s="229"/>
      <c r="N14" s="229"/>
      <c r="O14" s="271">
        <f>'Current month'!AW13</f>
        <v>0</v>
      </c>
      <c r="P14" s="271">
        <f>'Current month'!AY13</f>
        <v>0</v>
      </c>
      <c r="Q14" s="271">
        <f>'Current month'!BA13</f>
        <v>0</v>
      </c>
      <c r="R14" s="271">
        <f>'Current month'!BC13</f>
        <v>0</v>
      </c>
      <c r="S14" s="271">
        <f>'Current month'!BE13</f>
        <v>0</v>
      </c>
      <c r="T14" s="271">
        <f>'Current month'!BG13</f>
        <v>0</v>
      </c>
      <c r="U14" s="271">
        <f>'Current month'!BI13</f>
        <v>0</v>
      </c>
      <c r="V14" s="271">
        <f>'Current month'!BK13</f>
        <v>0</v>
      </c>
      <c r="W14" s="279">
        <f t="shared" si="0"/>
        <v>0</v>
      </c>
      <c r="X14" s="273">
        <f t="shared" si="26"/>
        <v>0</v>
      </c>
      <c r="Y14" s="279">
        <f t="shared" si="1"/>
        <v>0</v>
      </c>
      <c r="Z14" s="273">
        <f t="shared" si="2"/>
        <v>0</v>
      </c>
      <c r="AA14" s="279">
        <f t="shared" si="3"/>
        <v>0</v>
      </c>
      <c r="AB14" s="273">
        <f t="shared" si="4"/>
        <v>0</v>
      </c>
      <c r="AC14" s="279">
        <f t="shared" si="5"/>
        <v>0</v>
      </c>
      <c r="AD14" s="273">
        <f t="shared" si="6"/>
        <v>0</v>
      </c>
      <c r="AE14" s="279">
        <f t="shared" si="7"/>
        <v>0</v>
      </c>
      <c r="AF14" s="273">
        <f t="shared" si="8"/>
        <v>0</v>
      </c>
      <c r="AG14" s="273">
        <f t="shared" si="9"/>
        <v>0</v>
      </c>
      <c r="AH14" s="273">
        <f t="shared" si="27"/>
        <v>0</v>
      </c>
      <c r="AI14" s="279">
        <f t="shared" si="10"/>
        <v>0</v>
      </c>
      <c r="AJ14" s="273">
        <f t="shared" si="11"/>
        <v>0</v>
      </c>
      <c r="AK14" s="279">
        <f t="shared" si="12"/>
        <v>0</v>
      </c>
      <c r="AL14" s="273">
        <f t="shared" si="11"/>
        <v>0</v>
      </c>
      <c r="AM14" s="279">
        <f t="shared" si="28"/>
        <v>0</v>
      </c>
      <c r="AN14" s="273">
        <f t="shared" si="11"/>
        <v>0</v>
      </c>
      <c r="AO14" s="279">
        <f t="shared" si="13"/>
        <v>0</v>
      </c>
      <c r="AP14" s="273">
        <f t="shared" si="11"/>
        <v>0</v>
      </c>
      <c r="AQ14" s="279">
        <f t="shared" si="14"/>
        <v>0</v>
      </c>
      <c r="AR14" s="273">
        <f t="shared" si="11"/>
        <v>0</v>
      </c>
      <c r="AS14" s="279">
        <f t="shared" si="15"/>
        <v>0</v>
      </c>
      <c r="AT14" s="273">
        <f t="shared" si="11"/>
        <v>0</v>
      </c>
      <c r="AU14" s="279">
        <f t="shared" si="16"/>
        <v>0</v>
      </c>
      <c r="AV14" s="273">
        <f t="shared" si="11"/>
        <v>0</v>
      </c>
      <c r="AW14" s="279">
        <f t="shared" si="17"/>
        <v>0</v>
      </c>
      <c r="AX14" s="273">
        <f t="shared" si="11"/>
        <v>0</v>
      </c>
      <c r="AY14" s="279">
        <f t="shared" si="18"/>
        <v>0</v>
      </c>
      <c r="AZ14" s="273">
        <f t="shared" si="19"/>
        <v>0</v>
      </c>
      <c r="BA14" s="279">
        <f t="shared" si="20"/>
        <v>0</v>
      </c>
      <c r="BB14" s="273">
        <f t="shared" si="19"/>
        <v>0</v>
      </c>
      <c r="BC14" s="279">
        <f t="shared" si="21"/>
        <v>0</v>
      </c>
      <c r="BD14" s="273">
        <f t="shared" si="19"/>
        <v>0</v>
      </c>
      <c r="BE14" s="279">
        <f t="shared" si="22"/>
        <v>0</v>
      </c>
      <c r="BF14" s="273">
        <f t="shared" si="19"/>
        <v>0</v>
      </c>
      <c r="BG14" s="279">
        <f t="shared" si="23"/>
        <v>0</v>
      </c>
      <c r="BH14" s="273">
        <f t="shared" si="19"/>
        <v>0</v>
      </c>
      <c r="BI14" s="279">
        <f t="shared" si="24"/>
        <v>0</v>
      </c>
      <c r="BJ14" s="273">
        <f t="shared" si="19"/>
        <v>0</v>
      </c>
      <c r="BK14" s="279">
        <f t="shared" si="25"/>
        <v>0</v>
      </c>
      <c r="BL14" s="273">
        <f t="shared" si="19"/>
        <v>0</v>
      </c>
      <c r="BM14" s="273">
        <f t="shared" si="29"/>
        <v>0</v>
      </c>
      <c r="BN14" s="273">
        <f t="shared" si="30"/>
        <v>0</v>
      </c>
    </row>
    <row r="15" spans="1:66" ht="18" customHeight="1" thickBot="1">
      <c r="A15" s="343">
        <f>'Current month'!A14</f>
        <v>44784</v>
      </c>
      <c r="B15" s="271">
        <f>'Current month'!Y14</f>
        <v>0</v>
      </c>
      <c r="C15" s="344">
        <f>'Current month'!AE14</f>
        <v>0</v>
      </c>
      <c r="D15" s="271">
        <f>'Current month'!AG14</f>
        <v>0</v>
      </c>
      <c r="E15" s="271">
        <f>'Current month'!BU14</f>
        <v>0</v>
      </c>
      <c r="F15" s="271">
        <f>'Current month'!BY14</f>
        <v>0</v>
      </c>
      <c r="G15" s="271">
        <f>'Current month'!AQ14</f>
        <v>0</v>
      </c>
      <c r="H15" s="271">
        <f>'Current month'!BK14</f>
        <v>0</v>
      </c>
      <c r="I15" s="271">
        <f>'Current month'!AI14</f>
        <v>0</v>
      </c>
      <c r="J15" s="271">
        <f>'Current month'!BO14</f>
        <v>0</v>
      </c>
      <c r="K15" s="271">
        <f>'Current month'!BM14</f>
        <v>0</v>
      </c>
      <c r="L15" s="229"/>
      <c r="M15" s="229"/>
      <c r="N15" s="229"/>
      <c r="O15" s="271">
        <f>'Current month'!AW14</f>
        <v>0</v>
      </c>
      <c r="P15" s="271">
        <f>'Current month'!AY14</f>
        <v>0</v>
      </c>
      <c r="Q15" s="271">
        <f>'Current month'!BA14</f>
        <v>0</v>
      </c>
      <c r="R15" s="271">
        <f>'Current month'!BC14</f>
        <v>0</v>
      </c>
      <c r="S15" s="271">
        <f>'Current month'!BE14</f>
        <v>0</v>
      </c>
      <c r="T15" s="271">
        <f>'Current month'!BG14</f>
        <v>0</v>
      </c>
      <c r="U15" s="271">
        <f>'Current month'!BI14</f>
        <v>0</v>
      </c>
      <c r="V15" s="271">
        <f>'Current month'!BK14</f>
        <v>0</v>
      </c>
      <c r="W15" s="279">
        <f t="shared" si="0"/>
        <v>0</v>
      </c>
      <c r="X15" s="273">
        <f t="shared" si="26"/>
        <v>0</v>
      </c>
      <c r="Y15" s="279">
        <f t="shared" si="1"/>
        <v>0</v>
      </c>
      <c r="Z15" s="273">
        <f t="shared" si="2"/>
        <v>0</v>
      </c>
      <c r="AA15" s="279">
        <f t="shared" si="3"/>
        <v>0</v>
      </c>
      <c r="AB15" s="273">
        <f t="shared" si="4"/>
        <v>0</v>
      </c>
      <c r="AC15" s="279">
        <f t="shared" si="5"/>
        <v>0</v>
      </c>
      <c r="AD15" s="273">
        <f t="shared" si="6"/>
        <v>0</v>
      </c>
      <c r="AE15" s="279">
        <f t="shared" si="7"/>
        <v>0</v>
      </c>
      <c r="AF15" s="273">
        <f t="shared" si="8"/>
        <v>0</v>
      </c>
      <c r="AG15" s="273">
        <f t="shared" si="9"/>
        <v>0</v>
      </c>
      <c r="AH15" s="273">
        <f t="shared" si="27"/>
        <v>0</v>
      </c>
      <c r="AI15" s="279">
        <f t="shared" si="10"/>
        <v>0</v>
      </c>
      <c r="AJ15" s="273">
        <f t="shared" si="11"/>
        <v>0</v>
      </c>
      <c r="AK15" s="279">
        <f t="shared" si="12"/>
        <v>0</v>
      </c>
      <c r="AL15" s="273">
        <f t="shared" si="11"/>
        <v>0</v>
      </c>
      <c r="AM15" s="279">
        <f t="shared" si="28"/>
        <v>0</v>
      </c>
      <c r="AN15" s="273">
        <f t="shared" si="11"/>
        <v>0</v>
      </c>
      <c r="AO15" s="279">
        <f t="shared" si="13"/>
        <v>0</v>
      </c>
      <c r="AP15" s="273">
        <f t="shared" si="11"/>
        <v>0</v>
      </c>
      <c r="AQ15" s="279">
        <f t="shared" si="14"/>
        <v>0</v>
      </c>
      <c r="AR15" s="273">
        <f t="shared" si="11"/>
        <v>0</v>
      </c>
      <c r="AS15" s="279">
        <f t="shared" si="15"/>
        <v>0</v>
      </c>
      <c r="AT15" s="273">
        <f t="shared" si="11"/>
        <v>0</v>
      </c>
      <c r="AU15" s="279">
        <f t="shared" si="16"/>
        <v>0</v>
      </c>
      <c r="AV15" s="273">
        <f t="shared" si="11"/>
        <v>0</v>
      </c>
      <c r="AW15" s="279">
        <f t="shared" si="17"/>
        <v>0</v>
      </c>
      <c r="AX15" s="273">
        <f t="shared" si="11"/>
        <v>0</v>
      </c>
      <c r="AY15" s="279">
        <f t="shared" si="18"/>
        <v>0</v>
      </c>
      <c r="AZ15" s="273">
        <f t="shared" si="19"/>
        <v>0</v>
      </c>
      <c r="BA15" s="279">
        <f t="shared" si="20"/>
        <v>0</v>
      </c>
      <c r="BB15" s="273">
        <f t="shared" si="19"/>
        <v>0</v>
      </c>
      <c r="BC15" s="279">
        <f t="shared" si="21"/>
        <v>0</v>
      </c>
      <c r="BD15" s="273">
        <f t="shared" si="19"/>
        <v>0</v>
      </c>
      <c r="BE15" s="279">
        <f t="shared" si="22"/>
        <v>0</v>
      </c>
      <c r="BF15" s="273">
        <f t="shared" si="19"/>
        <v>0</v>
      </c>
      <c r="BG15" s="279">
        <f t="shared" si="23"/>
        <v>0</v>
      </c>
      <c r="BH15" s="273">
        <f t="shared" si="19"/>
        <v>0</v>
      </c>
      <c r="BI15" s="279">
        <f t="shared" si="24"/>
        <v>0</v>
      </c>
      <c r="BJ15" s="273">
        <f t="shared" si="19"/>
        <v>0</v>
      </c>
      <c r="BK15" s="279">
        <f t="shared" si="25"/>
        <v>0</v>
      </c>
      <c r="BL15" s="273">
        <f t="shared" si="19"/>
        <v>0</v>
      </c>
      <c r="BM15" s="273">
        <f t="shared" si="29"/>
        <v>0</v>
      </c>
      <c r="BN15" s="273">
        <f t="shared" si="30"/>
        <v>0</v>
      </c>
    </row>
    <row r="16" spans="1:66" ht="18" customHeight="1" thickBot="1">
      <c r="A16" s="343">
        <f>'Current month'!A15</f>
        <v>44785</v>
      </c>
      <c r="B16" s="271">
        <v>307964</v>
      </c>
      <c r="C16" s="344">
        <f>'Current month'!AE15</f>
        <v>0</v>
      </c>
      <c r="D16" s="271">
        <f>'Current month'!AG15</f>
        <v>0</v>
      </c>
      <c r="E16" s="271">
        <f>'Current month'!BU15</f>
        <v>0</v>
      </c>
      <c r="F16" s="271">
        <f>'Current month'!BY15</f>
        <v>0</v>
      </c>
      <c r="G16" s="271">
        <f>'Current month'!AQ15</f>
        <v>0</v>
      </c>
      <c r="H16" s="271">
        <f>'Current month'!BK15</f>
        <v>0</v>
      </c>
      <c r="I16" s="271">
        <f>'Current month'!AI15</f>
        <v>0</v>
      </c>
      <c r="J16" s="271">
        <f>'Current month'!BO15</f>
        <v>0</v>
      </c>
      <c r="K16" s="271">
        <f>'Current month'!BM15</f>
        <v>0</v>
      </c>
      <c r="L16" s="229"/>
      <c r="M16" s="229"/>
      <c r="N16" s="229"/>
      <c r="O16" s="271">
        <f>'Current month'!AW15</f>
        <v>0</v>
      </c>
      <c r="P16" s="271">
        <f>'Current month'!AY15</f>
        <v>0</v>
      </c>
      <c r="Q16" s="271">
        <f>'Current month'!BA15</f>
        <v>0</v>
      </c>
      <c r="R16" s="271">
        <f>'Current month'!BC15</f>
        <v>0</v>
      </c>
      <c r="S16" s="271">
        <f>'Current month'!BE15</f>
        <v>0</v>
      </c>
      <c r="T16" s="271">
        <f>'Current month'!BG15</f>
        <v>0</v>
      </c>
      <c r="U16" s="271">
        <f>'Current month'!BI15</f>
        <v>0</v>
      </c>
      <c r="V16" s="271">
        <f>'Current month'!BK15</f>
        <v>0</v>
      </c>
      <c r="W16" s="279">
        <f t="shared" si="0"/>
        <v>307964</v>
      </c>
      <c r="X16" s="273">
        <f t="shared" si="26"/>
        <v>307964</v>
      </c>
      <c r="Y16" s="279">
        <f t="shared" si="1"/>
        <v>0</v>
      </c>
      <c r="Z16" s="273">
        <f t="shared" si="2"/>
        <v>0</v>
      </c>
      <c r="AA16" s="279">
        <f t="shared" si="3"/>
        <v>0</v>
      </c>
      <c r="AB16" s="273">
        <f t="shared" si="4"/>
        <v>0</v>
      </c>
      <c r="AC16" s="279">
        <f t="shared" si="5"/>
        <v>0</v>
      </c>
      <c r="AD16" s="273">
        <f t="shared" si="6"/>
        <v>0</v>
      </c>
      <c r="AE16" s="279">
        <f t="shared" si="7"/>
        <v>0</v>
      </c>
      <c r="AF16" s="273">
        <f t="shared" si="8"/>
        <v>0</v>
      </c>
      <c r="AG16" s="273">
        <f t="shared" si="9"/>
        <v>0</v>
      </c>
      <c r="AH16" s="273">
        <f t="shared" si="27"/>
        <v>0</v>
      </c>
      <c r="AI16" s="279">
        <f t="shared" si="10"/>
        <v>0</v>
      </c>
      <c r="AJ16" s="273">
        <f t="shared" si="11"/>
        <v>0</v>
      </c>
      <c r="AK16" s="279">
        <f t="shared" si="12"/>
        <v>0</v>
      </c>
      <c r="AL16" s="273">
        <f t="shared" si="11"/>
        <v>0</v>
      </c>
      <c r="AM16" s="279">
        <f t="shared" si="28"/>
        <v>0</v>
      </c>
      <c r="AN16" s="273">
        <f t="shared" si="11"/>
        <v>0</v>
      </c>
      <c r="AO16" s="279">
        <f t="shared" si="13"/>
        <v>0</v>
      </c>
      <c r="AP16" s="273">
        <f t="shared" si="11"/>
        <v>0</v>
      </c>
      <c r="AQ16" s="279">
        <f t="shared" si="14"/>
        <v>0</v>
      </c>
      <c r="AR16" s="273">
        <f t="shared" si="11"/>
        <v>0</v>
      </c>
      <c r="AS16" s="279">
        <f t="shared" si="15"/>
        <v>0</v>
      </c>
      <c r="AT16" s="273">
        <f t="shared" si="11"/>
        <v>0</v>
      </c>
      <c r="AU16" s="279">
        <f t="shared" si="16"/>
        <v>0</v>
      </c>
      <c r="AV16" s="273">
        <f t="shared" si="11"/>
        <v>0</v>
      </c>
      <c r="AW16" s="279">
        <f t="shared" si="17"/>
        <v>0</v>
      </c>
      <c r="AX16" s="273">
        <f t="shared" si="11"/>
        <v>0</v>
      </c>
      <c r="AY16" s="279">
        <f t="shared" si="18"/>
        <v>0</v>
      </c>
      <c r="AZ16" s="273">
        <f t="shared" si="19"/>
        <v>0</v>
      </c>
      <c r="BA16" s="279">
        <f t="shared" si="20"/>
        <v>0</v>
      </c>
      <c r="BB16" s="273">
        <f t="shared" si="19"/>
        <v>0</v>
      </c>
      <c r="BC16" s="279">
        <f t="shared" si="21"/>
        <v>0</v>
      </c>
      <c r="BD16" s="273">
        <f t="shared" si="19"/>
        <v>0</v>
      </c>
      <c r="BE16" s="279">
        <f t="shared" si="22"/>
        <v>0</v>
      </c>
      <c r="BF16" s="273">
        <f t="shared" si="19"/>
        <v>0</v>
      </c>
      <c r="BG16" s="279">
        <f t="shared" si="23"/>
        <v>0</v>
      </c>
      <c r="BH16" s="273">
        <f t="shared" si="19"/>
        <v>0</v>
      </c>
      <c r="BI16" s="279">
        <f t="shared" si="24"/>
        <v>0</v>
      </c>
      <c r="BJ16" s="273">
        <f t="shared" si="19"/>
        <v>0</v>
      </c>
      <c r="BK16" s="279">
        <f t="shared" si="25"/>
        <v>0</v>
      </c>
      <c r="BL16" s="273">
        <f t="shared" si="19"/>
        <v>0</v>
      </c>
      <c r="BM16" s="273">
        <f t="shared" si="29"/>
        <v>0</v>
      </c>
      <c r="BN16" s="273">
        <f t="shared" si="30"/>
        <v>0</v>
      </c>
    </row>
    <row r="17" spans="1:66" ht="18" customHeight="1" thickBot="1">
      <c r="A17" s="343">
        <f>'Current month'!A16</f>
        <v>44786</v>
      </c>
      <c r="B17" s="271">
        <f>'Current month'!Y16</f>
        <v>0</v>
      </c>
      <c r="C17" s="344">
        <f>'Current month'!AE16</f>
        <v>0</v>
      </c>
      <c r="D17" s="271">
        <f>'Current month'!AG16</f>
        <v>0</v>
      </c>
      <c r="E17" s="271">
        <f>'Current month'!BU16</f>
        <v>0</v>
      </c>
      <c r="F17" s="271">
        <f>'Current month'!BY16</f>
        <v>0</v>
      </c>
      <c r="G17" s="271">
        <f>'Current month'!AQ16</f>
        <v>0</v>
      </c>
      <c r="H17" s="271">
        <f>'Current month'!BK16</f>
        <v>0</v>
      </c>
      <c r="I17" s="271">
        <f>'Current month'!AI16</f>
        <v>0</v>
      </c>
      <c r="J17" s="271">
        <f>'Current month'!BO16</f>
        <v>0</v>
      </c>
      <c r="K17" s="271">
        <f>'Current month'!BM16</f>
        <v>0</v>
      </c>
      <c r="L17" s="229"/>
      <c r="M17" s="229"/>
      <c r="N17" s="229"/>
      <c r="O17" s="271">
        <f>'Current month'!AW16</f>
        <v>0</v>
      </c>
      <c r="P17" s="271">
        <f>'Current month'!AY16</f>
        <v>0</v>
      </c>
      <c r="Q17" s="271">
        <f>'Current month'!BA16</f>
        <v>0</v>
      </c>
      <c r="R17" s="271">
        <f>'Current month'!BC16</f>
        <v>0</v>
      </c>
      <c r="S17" s="271">
        <f>'Current month'!BE16</f>
        <v>0</v>
      </c>
      <c r="T17" s="271">
        <f>'Current month'!BG16</f>
        <v>0</v>
      </c>
      <c r="U17" s="271">
        <f>'Current month'!BI16</f>
        <v>0</v>
      </c>
      <c r="V17" s="271">
        <f>'Current month'!BK16</f>
        <v>0</v>
      </c>
      <c r="W17" s="279">
        <f t="shared" si="0"/>
        <v>0</v>
      </c>
      <c r="X17" s="273">
        <f t="shared" si="26"/>
        <v>-307964</v>
      </c>
      <c r="Y17" s="279">
        <f t="shared" si="1"/>
        <v>0</v>
      </c>
      <c r="Z17" s="273">
        <f t="shared" si="2"/>
        <v>0</v>
      </c>
      <c r="AA17" s="279">
        <f t="shared" si="3"/>
        <v>0</v>
      </c>
      <c r="AB17" s="273">
        <f t="shared" si="4"/>
        <v>0</v>
      </c>
      <c r="AC17" s="279">
        <f t="shared" si="5"/>
        <v>0</v>
      </c>
      <c r="AD17" s="273">
        <f t="shared" si="6"/>
        <v>0</v>
      </c>
      <c r="AE17" s="279">
        <f t="shared" si="7"/>
        <v>0</v>
      </c>
      <c r="AF17" s="273">
        <f t="shared" si="8"/>
        <v>0</v>
      </c>
      <c r="AG17" s="273">
        <f t="shared" si="9"/>
        <v>0</v>
      </c>
      <c r="AH17" s="273">
        <f t="shared" si="27"/>
        <v>0</v>
      </c>
      <c r="AI17" s="279">
        <f t="shared" si="10"/>
        <v>0</v>
      </c>
      <c r="AJ17" s="273">
        <f t="shared" si="11"/>
        <v>0</v>
      </c>
      <c r="AK17" s="279">
        <f t="shared" si="12"/>
        <v>0</v>
      </c>
      <c r="AL17" s="273">
        <f t="shared" si="11"/>
        <v>0</v>
      </c>
      <c r="AM17" s="279">
        <f t="shared" si="28"/>
        <v>0</v>
      </c>
      <c r="AN17" s="273">
        <f t="shared" si="11"/>
        <v>0</v>
      </c>
      <c r="AO17" s="279">
        <f t="shared" si="13"/>
        <v>0</v>
      </c>
      <c r="AP17" s="273">
        <f t="shared" si="11"/>
        <v>0</v>
      </c>
      <c r="AQ17" s="279">
        <f t="shared" si="14"/>
        <v>0</v>
      </c>
      <c r="AR17" s="273">
        <f t="shared" si="11"/>
        <v>0</v>
      </c>
      <c r="AS17" s="279">
        <f t="shared" si="15"/>
        <v>0</v>
      </c>
      <c r="AT17" s="273">
        <f t="shared" si="11"/>
        <v>0</v>
      </c>
      <c r="AU17" s="279">
        <f t="shared" si="16"/>
        <v>0</v>
      </c>
      <c r="AV17" s="273">
        <f t="shared" si="11"/>
        <v>0</v>
      </c>
      <c r="AW17" s="279">
        <f t="shared" si="17"/>
        <v>0</v>
      </c>
      <c r="AX17" s="273">
        <f t="shared" si="11"/>
        <v>0</v>
      </c>
      <c r="AY17" s="279">
        <f t="shared" si="18"/>
        <v>0</v>
      </c>
      <c r="AZ17" s="273">
        <f t="shared" si="19"/>
        <v>0</v>
      </c>
      <c r="BA17" s="279">
        <f t="shared" si="20"/>
        <v>0</v>
      </c>
      <c r="BB17" s="273">
        <f t="shared" si="19"/>
        <v>0</v>
      </c>
      <c r="BC17" s="279">
        <f t="shared" si="21"/>
        <v>0</v>
      </c>
      <c r="BD17" s="273">
        <f t="shared" si="19"/>
        <v>0</v>
      </c>
      <c r="BE17" s="279">
        <f t="shared" si="22"/>
        <v>0</v>
      </c>
      <c r="BF17" s="273">
        <f t="shared" si="19"/>
        <v>0</v>
      </c>
      <c r="BG17" s="279">
        <f t="shared" si="23"/>
        <v>0</v>
      </c>
      <c r="BH17" s="273">
        <f t="shared" si="19"/>
        <v>0</v>
      </c>
      <c r="BI17" s="279">
        <f t="shared" si="24"/>
        <v>0</v>
      </c>
      <c r="BJ17" s="273">
        <f t="shared" si="19"/>
        <v>0</v>
      </c>
      <c r="BK17" s="279">
        <f t="shared" si="25"/>
        <v>0</v>
      </c>
      <c r="BL17" s="273">
        <f t="shared" si="19"/>
        <v>0</v>
      </c>
      <c r="BM17" s="273">
        <f t="shared" si="29"/>
        <v>0</v>
      </c>
      <c r="BN17" s="273">
        <f t="shared" si="30"/>
        <v>0</v>
      </c>
    </row>
    <row r="18" spans="1:66" ht="18" customHeight="1" thickBot="1">
      <c r="A18" s="343">
        <f>'Current month'!A17</f>
        <v>44787</v>
      </c>
      <c r="B18" s="271">
        <f>'Current month'!Y17</f>
        <v>0</v>
      </c>
      <c r="C18" s="344">
        <f>'Current month'!AE17</f>
        <v>0</v>
      </c>
      <c r="D18" s="271">
        <f>'Current month'!AG17</f>
        <v>0</v>
      </c>
      <c r="E18" s="271">
        <f>'Current month'!BU17</f>
        <v>0</v>
      </c>
      <c r="F18" s="271">
        <f>'Current month'!BY17</f>
        <v>0</v>
      </c>
      <c r="G18" s="271">
        <f>'Current month'!AQ17</f>
        <v>0</v>
      </c>
      <c r="H18" s="271">
        <f>'Current month'!BK17</f>
        <v>0</v>
      </c>
      <c r="I18" s="271">
        <f>'Current month'!AI17</f>
        <v>0</v>
      </c>
      <c r="J18" s="271" t="e">
        <f>'Current month'!#REF!</f>
        <v>#REF!</v>
      </c>
      <c r="K18" s="271">
        <f>'Current month'!BM17</f>
        <v>0</v>
      </c>
      <c r="L18" s="229"/>
      <c r="M18" s="229"/>
      <c r="N18" s="229"/>
      <c r="O18" s="271">
        <f>'Current month'!AW17</f>
        <v>0</v>
      </c>
      <c r="P18" s="271">
        <f>'Current month'!AY17</f>
        <v>0</v>
      </c>
      <c r="Q18" s="271">
        <f>'Current month'!BA17</f>
        <v>0</v>
      </c>
      <c r="R18" s="271">
        <f>'Current month'!BC17</f>
        <v>0</v>
      </c>
      <c r="S18" s="271">
        <f>'Current month'!BE17</f>
        <v>0</v>
      </c>
      <c r="T18" s="271">
        <f>'Current month'!BG17</f>
        <v>0</v>
      </c>
      <c r="U18" s="271">
        <f>'Current month'!BI17</f>
        <v>0</v>
      </c>
      <c r="V18" s="271">
        <f>'Current month'!BK17</f>
        <v>0</v>
      </c>
      <c r="W18" s="279">
        <f t="shared" si="0"/>
        <v>0</v>
      </c>
      <c r="X18" s="273">
        <f t="shared" si="26"/>
        <v>0</v>
      </c>
      <c r="Y18" s="279">
        <f t="shared" si="1"/>
        <v>0</v>
      </c>
      <c r="Z18" s="273">
        <f t="shared" si="2"/>
        <v>0</v>
      </c>
      <c r="AA18" s="279">
        <f t="shared" si="3"/>
        <v>0</v>
      </c>
      <c r="AB18" s="273">
        <f t="shared" si="4"/>
        <v>0</v>
      </c>
      <c r="AC18" s="279">
        <f t="shared" si="5"/>
        <v>0</v>
      </c>
      <c r="AD18" s="273">
        <f t="shared" si="6"/>
        <v>0</v>
      </c>
      <c r="AE18" s="279">
        <f t="shared" si="7"/>
        <v>0</v>
      </c>
      <c r="AF18" s="273">
        <f t="shared" si="8"/>
        <v>0</v>
      </c>
      <c r="AG18" s="273">
        <f t="shared" si="9"/>
        <v>0</v>
      </c>
      <c r="AH18" s="273">
        <f t="shared" si="27"/>
        <v>0</v>
      </c>
      <c r="AI18" s="279">
        <f t="shared" si="10"/>
        <v>0</v>
      </c>
      <c r="AJ18" s="273">
        <f t="shared" si="11"/>
        <v>0</v>
      </c>
      <c r="AK18" s="279">
        <f t="shared" si="12"/>
        <v>0</v>
      </c>
      <c r="AL18" s="273">
        <f t="shared" si="11"/>
        <v>0</v>
      </c>
      <c r="AM18" s="279" t="e">
        <f t="shared" si="28"/>
        <v>#REF!</v>
      </c>
      <c r="AN18" s="273" t="e">
        <f t="shared" si="11"/>
        <v>#REF!</v>
      </c>
      <c r="AO18" s="279">
        <f t="shared" si="13"/>
        <v>0</v>
      </c>
      <c r="AP18" s="273">
        <f t="shared" si="11"/>
        <v>0</v>
      </c>
      <c r="AQ18" s="279">
        <f t="shared" si="14"/>
        <v>0</v>
      </c>
      <c r="AR18" s="273">
        <f t="shared" si="11"/>
        <v>0</v>
      </c>
      <c r="AS18" s="279">
        <f t="shared" si="15"/>
        <v>0</v>
      </c>
      <c r="AT18" s="273">
        <f t="shared" si="11"/>
        <v>0</v>
      </c>
      <c r="AU18" s="279">
        <f t="shared" si="16"/>
        <v>0</v>
      </c>
      <c r="AV18" s="273">
        <f t="shared" si="11"/>
        <v>0</v>
      </c>
      <c r="AW18" s="279">
        <f t="shared" si="17"/>
        <v>0</v>
      </c>
      <c r="AX18" s="273">
        <f t="shared" si="11"/>
        <v>0</v>
      </c>
      <c r="AY18" s="279">
        <f>P18</f>
        <v>0</v>
      </c>
      <c r="AZ18" s="273">
        <f t="shared" si="19"/>
        <v>0</v>
      </c>
      <c r="BA18" s="279">
        <f t="shared" si="20"/>
        <v>0</v>
      </c>
      <c r="BB18" s="273">
        <f t="shared" si="19"/>
        <v>0</v>
      </c>
      <c r="BC18" s="279">
        <f t="shared" si="21"/>
        <v>0</v>
      </c>
      <c r="BD18" s="273">
        <f t="shared" si="19"/>
        <v>0</v>
      </c>
      <c r="BE18" s="279">
        <f t="shared" si="22"/>
        <v>0</v>
      </c>
      <c r="BF18" s="273">
        <f t="shared" si="19"/>
        <v>0</v>
      </c>
      <c r="BG18" s="279">
        <f t="shared" si="23"/>
        <v>0</v>
      </c>
      <c r="BH18" s="273">
        <f t="shared" si="19"/>
        <v>0</v>
      </c>
      <c r="BI18" s="279">
        <f t="shared" si="24"/>
        <v>0</v>
      </c>
      <c r="BJ18" s="273">
        <f t="shared" si="19"/>
        <v>0</v>
      </c>
      <c r="BK18" s="279">
        <f t="shared" si="25"/>
        <v>0</v>
      </c>
      <c r="BL18" s="273">
        <f t="shared" si="19"/>
        <v>0</v>
      </c>
      <c r="BM18" s="273">
        <f t="shared" si="29"/>
        <v>0</v>
      </c>
      <c r="BN18" s="273" t="e">
        <f t="shared" si="30"/>
        <v>#REF!</v>
      </c>
    </row>
    <row r="19" spans="1:66" ht="18" customHeight="1" thickBot="1">
      <c r="A19" s="343">
        <f>'Current month'!A18</f>
        <v>44788</v>
      </c>
      <c r="B19" s="271">
        <v>314994</v>
      </c>
      <c r="C19" s="344">
        <v>130</v>
      </c>
      <c r="D19" s="271">
        <v>542480</v>
      </c>
      <c r="E19" s="271">
        <v>657470</v>
      </c>
      <c r="F19" s="271">
        <v>854250</v>
      </c>
      <c r="G19" s="271">
        <v>637770</v>
      </c>
      <c r="H19" s="271">
        <v>28196</v>
      </c>
      <c r="I19" s="271">
        <v>1197</v>
      </c>
      <c r="J19" s="271">
        <v>32318</v>
      </c>
      <c r="K19" s="271">
        <v>5863</v>
      </c>
      <c r="L19" s="229"/>
      <c r="M19" s="229"/>
      <c r="N19" s="229"/>
      <c r="O19" s="271">
        <v>9407</v>
      </c>
      <c r="P19" s="271">
        <v>11138</v>
      </c>
      <c r="Q19" s="271">
        <v>19700</v>
      </c>
      <c r="R19" s="271">
        <v>21233</v>
      </c>
      <c r="S19" s="271">
        <v>21306</v>
      </c>
      <c r="T19" s="271">
        <v>14621</v>
      </c>
      <c r="U19" s="271">
        <v>6809</v>
      </c>
      <c r="V19" s="271">
        <v>28196</v>
      </c>
      <c r="W19" s="279">
        <f t="shared" si="0"/>
        <v>314994</v>
      </c>
      <c r="X19" s="273">
        <f t="shared" si="26"/>
        <v>314994</v>
      </c>
      <c r="Y19" s="279">
        <f t="shared" si="1"/>
        <v>542480</v>
      </c>
      <c r="Z19" s="273">
        <f t="shared" si="2"/>
        <v>542480</v>
      </c>
      <c r="AA19" s="279">
        <f t="shared" si="3"/>
        <v>130</v>
      </c>
      <c r="AB19" s="273">
        <f t="shared" si="4"/>
        <v>130</v>
      </c>
      <c r="AC19" s="279">
        <f t="shared" si="5"/>
        <v>637770</v>
      </c>
      <c r="AD19" s="273">
        <f t="shared" si="6"/>
        <v>637770</v>
      </c>
      <c r="AE19" s="279">
        <f t="shared" si="7"/>
        <v>657470</v>
      </c>
      <c r="AF19" s="273">
        <f t="shared" si="8"/>
        <v>657470</v>
      </c>
      <c r="AG19" s="273">
        <f t="shared" si="9"/>
        <v>854250</v>
      </c>
      <c r="AH19" s="273">
        <f t="shared" si="27"/>
        <v>216480</v>
      </c>
      <c r="AI19" s="279">
        <f t="shared" si="10"/>
        <v>28196</v>
      </c>
      <c r="AJ19" s="273">
        <f t="shared" si="11"/>
        <v>28196</v>
      </c>
      <c r="AK19" s="279">
        <f t="shared" si="12"/>
        <v>1197</v>
      </c>
      <c r="AL19" s="273">
        <f t="shared" si="11"/>
        <v>1197</v>
      </c>
      <c r="AM19" s="279">
        <f t="shared" si="28"/>
        <v>32318</v>
      </c>
      <c r="AN19" s="273" t="e">
        <f t="shared" si="11"/>
        <v>#REF!</v>
      </c>
      <c r="AO19" s="279">
        <f t="shared" si="13"/>
        <v>5863</v>
      </c>
      <c r="AP19" s="273">
        <f t="shared" si="11"/>
        <v>5863</v>
      </c>
      <c r="AQ19" s="279">
        <f t="shared" si="14"/>
        <v>0</v>
      </c>
      <c r="AR19" s="273">
        <f t="shared" si="11"/>
        <v>0</v>
      </c>
      <c r="AS19" s="279">
        <f t="shared" si="15"/>
        <v>0</v>
      </c>
      <c r="AT19" s="273">
        <f t="shared" si="11"/>
        <v>0</v>
      </c>
      <c r="AU19" s="279">
        <f t="shared" si="16"/>
        <v>0</v>
      </c>
      <c r="AV19" s="273">
        <f t="shared" si="11"/>
        <v>0</v>
      </c>
      <c r="AW19" s="279">
        <f t="shared" si="17"/>
        <v>9407</v>
      </c>
      <c r="AX19" s="273">
        <f t="shared" si="11"/>
        <v>9407</v>
      </c>
      <c r="AY19" s="279">
        <f t="shared" si="18"/>
        <v>11138</v>
      </c>
      <c r="AZ19" s="273">
        <f t="shared" si="19"/>
        <v>11138</v>
      </c>
      <c r="BA19" s="279">
        <f t="shared" si="20"/>
        <v>19700</v>
      </c>
      <c r="BB19" s="273">
        <f t="shared" si="19"/>
        <v>19700</v>
      </c>
      <c r="BC19" s="279">
        <f t="shared" si="21"/>
        <v>21233</v>
      </c>
      <c r="BD19" s="273">
        <f t="shared" si="19"/>
        <v>21233</v>
      </c>
      <c r="BE19" s="279">
        <f t="shared" si="22"/>
        <v>21306</v>
      </c>
      <c r="BF19" s="273">
        <f t="shared" si="19"/>
        <v>21306</v>
      </c>
      <c r="BG19" s="279">
        <f t="shared" si="23"/>
        <v>14621</v>
      </c>
      <c r="BH19" s="273">
        <f t="shared" si="19"/>
        <v>14621</v>
      </c>
      <c r="BI19" s="279">
        <f t="shared" si="24"/>
        <v>6809</v>
      </c>
      <c r="BJ19" s="273">
        <f t="shared" si="19"/>
        <v>6809</v>
      </c>
      <c r="BK19" s="279">
        <f t="shared" si="25"/>
        <v>28196</v>
      </c>
      <c r="BL19" s="273">
        <f t="shared" si="19"/>
        <v>28196</v>
      </c>
      <c r="BM19" s="273">
        <f t="shared" si="29"/>
        <v>138273</v>
      </c>
      <c r="BN19" s="273" t="e">
        <f t="shared" si="30"/>
        <v>#REF!</v>
      </c>
    </row>
    <row r="20" spans="1:66" ht="18" customHeight="1" thickBot="1">
      <c r="A20" s="343">
        <f>'Current month'!A19</f>
        <v>44789</v>
      </c>
      <c r="B20" s="271">
        <f>'Current month'!Y18</f>
        <v>0</v>
      </c>
      <c r="C20" s="344">
        <f>'Current month'!AE19</f>
        <v>0</v>
      </c>
      <c r="D20" s="271">
        <f>'Current month'!AG19</f>
        <v>0</v>
      </c>
      <c r="E20" s="271">
        <f>'Current month'!BU19</f>
        <v>0</v>
      </c>
      <c r="F20" s="271">
        <f>'Current month'!BY19</f>
        <v>0</v>
      </c>
      <c r="G20" s="271">
        <f>'Current month'!AQ19</f>
        <v>0</v>
      </c>
      <c r="H20" s="271">
        <f>'Current month'!BK19</f>
        <v>0</v>
      </c>
      <c r="I20" s="271">
        <f>'Current month'!AI19</f>
        <v>0</v>
      </c>
      <c r="J20" s="271">
        <f>'Current month'!BO19</f>
        <v>0</v>
      </c>
      <c r="K20" s="271">
        <f>'Current month'!BM19</f>
        <v>0</v>
      </c>
      <c r="L20" s="229"/>
      <c r="M20" s="229"/>
      <c r="N20" s="229"/>
      <c r="O20" s="271">
        <f>'Current month'!AW19</f>
        <v>0</v>
      </c>
      <c r="P20" s="271">
        <f>'Current month'!AY19</f>
        <v>0</v>
      </c>
      <c r="Q20" s="271">
        <f>'Current month'!BA19</f>
        <v>0</v>
      </c>
      <c r="R20" s="271">
        <f>'Current month'!BC19</f>
        <v>0</v>
      </c>
      <c r="S20" s="271">
        <f>'Current month'!BE19</f>
        <v>0</v>
      </c>
      <c r="T20" s="271">
        <f>'Current month'!BG19</f>
        <v>0</v>
      </c>
      <c r="U20" s="271">
        <f>'Current month'!BI19</f>
        <v>0</v>
      </c>
      <c r="V20" s="271">
        <f>'Current month'!BK19</f>
        <v>0</v>
      </c>
      <c r="W20" s="279">
        <f t="shared" si="0"/>
        <v>0</v>
      </c>
      <c r="X20" s="273">
        <f t="shared" si="26"/>
        <v>-314994</v>
      </c>
      <c r="Y20" s="279">
        <f t="shared" si="1"/>
        <v>0</v>
      </c>
      <c r="Z20" s="273">
        <f t="shared" si="2"/>
        <v>-542480</v>
      </c>
      <c r="AA20" s="279">
        <f t="shared" si="3"/>
        <v>0</v>
      </c>
      <c r="AB20" s="273">
        <f t="shared" si="4"/>
        <v>-130</v>
      </c>
      <c r="AC20" s="279">
        <f t="shared" si="5"/>
        <v>0</v>
      </c>
      <c r="AD20" s="273">
        <f t="shared" si="6"/>
        <v>-637770</v>
      </c>
      <c r="AE20" s="279">
        <f t="shared" si="7"/>
        <v>0</v>
      </c>
      <c r="AF20" s="273">
        <f t="shared" si="8"/>
        <v>-657470</v>
      </c>
      <c r="AG20" s="273">
        <f t="shared" si="9"/>
        <v>0</v>
      </c>
      <c r="AH20" s="273">
        <f t="shared" si="27"/>
        <v>-216480</v>
      </c>
      <c r="AI20" s="279">
        <f t="shared" si="10"/>
        <v>0</v>
      </c>
      <c r="AJ20" s="273">
        <f t="shared" si="11"/>
        <v>-28196</v>
      </c>
      <c r="AK20" s="279">
        <f t="shared" si="12"/>
        <v>0</v>
      </c>
      <c r="AL20" s="273">
        <f t="shared" si="11"/>
        <v>-1197</v>
      </c>
      <c r="AM20" s="279">
        <f t="shared" si="28"/>
        <v>0</v>
      </c>
      <c r="AN20" s="273">
        <f t="shared" si="11"/>
        <v>-32318</v>
      </c>
      <c r="AO20" s="279">
        <f t="shared" si="13"/>
        <v>0</v>
      </c>
      <c r="AP20" s="273">
        <f t="shared" si="11"/>
        <v>-5863</v>
      </c>
      <c r="AQ20" s="279">
        <f t="shared" si="14"/>
        <v>0</v>
      </c>
      <c r="AR20" s="273">
        <f t="shared" si="11"/>
        <v>0</v>
      </c>
      <c r="AS20" s="279">
        <f t="shared" si="15"/>
        <v>0</v>
      </c>
      <c r="AT20" s="273">
        <f t="shared" si="11"/>
        <v>0</v>
      </c>
      <c r="AU20" s="279">
        <f t="shared" si="16"/>
        <v>0</v>
      </c>
      <c r="AV20" s="273">
        <f t="shared" si="11"/>
        <v>0</v>
      </c>
      <c r="AW20" s="279">
        <f t="shared" si="17"/>
        <v>0</v>
      </c>
      <c r="AX20" s="273">
        <f t="shared" si="11"/>
        <v>-9407</v>
      </c>
      <c r="AY20" s="279">
        <f t="shared" si="18"/>
        <v>0</v>
      </c>
      <c r="AZ20" s="273">
        <f t="shared" si="19"/>
        <v>-11138</v>
      </c>
      <c r="BA20" s="279">
        <f t="shared" si="20"/>
        <v>0</v>
      </c>
      <c r="BB20" s="273">
        <f t="shared" si="19"/>
        <v>-19700</v>
      </c>
      <c r="BC20" s="279">
        <f t="shared" si="21"/>
        <v>0</v>
      </c>
      <c r="BD20" s="273">
        <f t="shared" si="19"/>
        <v>-21233</v>
      </c>
      <c r="BE20" s="279">
        <f t="shared" si="22"/>
        <v>0</v>
      </c>
      <c r="BF20" s="273">
        <f t="shared" si="19"/>
        <v>-21306</v>
      </c>
      <c r="BG20" s="279">
        <f t="shared" si="23"/>
        <v>0</v>
      </c>
      <c r="BH20" s="273">
        <f t="shared" si="19"/>
        <v>-14621</v>
      </c>
      <c r="BI20" s="279">
        <f t="shared" si="24"/>
        <v>0</v>
      </c>
      <c r="BJ20" s="273">
        <f t="shared" si="19"/>
        <v>-6809</v>
      </c>
      <c r="BK20" s="279">
        <f t="shared" si="25"/>
        <v>0</v>
      </c>
      <c r="BL20" s="273">
        <f t="shared" si="19"/>
        <v>-28196</v>
      </c>
      <c r="BM20" s="273">
        <f t="shared" si="29"/>
        <v>-138273</v>
      </c>
      <c r="BN20" s="273">
        <f t="shared" si="30"/>
        <v>-1573431</v>
      </c>
    </row>
    <row r="21" spans="1:66" ht="18" customHeight="1" thickBot="1">
      <c r="A21" s="343">
        <f>'Current month'!A20</f>
        <v>44790</v>
      </c>
      <c r="B21" s="271">
        <f>'Current month'!Y19</f>
        <v>0</v>
      </c>
      <c r="C21" s="344">
        <f>'Current month'!AE20</f>
        <v>0</v>
      </c>
      <c r="D21" s="271">
        <f>'Current month'!AG20</f>
        <v>0</v>
      </c>
      <c r="E21" s="271">
        <f>'Current month'!BU20</f>
        <v>0</v>
      </c>
      <c r="F21" s="271">
        <f>'Current month'!BY20</f>
        <v>0</v>
      </c>
      <c r="G21" s="271">
        <f>'Current month'!AQ20</f>
        <v>0</v>
      </c>
      <c r="H21" s="271">
        <f>'Current month'!BK20</f>
        <v>0</v>
      </c>
      <c r="I21" s="271">
        <f>'Current month'!AI20</f>
        <v>0</v>
      </c>
      <c r="J21" s="271">
        <f>'Current month'!BO20</f>
        <v>0</v>
      </c>
      <c r="K21" s="271">
        <f>'Current month'!BM20</f>
        <v>0</v>
      </c>
      <c r="L21" s="229"/>
      <c r="M21" s="229"/>
      <c r="N21" s="229"/>
      <c r="O21" s="271">
        <f>'Current month'!AW20</f>
        <v>0</v>
      </c>
      <c r="P21" s="271">
        <f>'Current month'!AY20</f>
        <v>0</v>
      </c>
      <c r="Q21" s="271">
        <f>'Current month'!BA20</f>
        <v>0</v>
      </c>
      <c r="R21" s="271">
        <f>'Current month'!BC20</f>
        <v>0</v>
      </c>
      <c r="S21" s="271">
        <f>'Current month'!BE20</f>
        <v>0</v>
      </c>
      <c r="T21" s="271">
        <f>'Current month'!BG20</f>
        <v>0</v>
      </c>
      <c r="U21" s="271">
        <f>'Current month'!BI20</f>
        <v>0</v>
      </c>
      <c r="V21" s="271">
        <f>'Current month'!BK20</f>
        <v>0</v>
      </c>
      <c r="W21" s="279">
        <f t="shared" si="0"/>
        <v>0</v>
      </c>
      <c r="X21" s="273">
        <f t="shared" si="26"/>
        <v>0</v>
      </c>
      <c r="Y21" s="279">
        <f t="shared" si="1"/>
        <v>0</v>
      </c>
      <c r="Z21" s="273">
        <f t="shared" si="2"/>
        <v>0</v>
      </c>
      <c r="AA21" s="279">
        <f t="shared" si="3"/>
        <v>0</v>
      </c>
      <c r="AB21" s="273">
        <f t="shared" si="4"/>
        <v>0</v>
      </c>
      <c r="AC21" s="279">
        <f t="shared" si="5"/>
        <v>0</v>
      </c>
      <c r="AD21" s="273">
        <f t="shared" si="6"/>
        <v>0</v>
      </c>
      <c r="AE21" s="279">
        <f t="shared" si="7"/>
        <v>0</v>
      </c>
      <c r="AF21" s="273">
        <f t="shared" si="8"/>
        <v>0</v>
      </c>
      <c r="AG21" s="273">
        <f t="shared" si="9"/>
        <v>0</v>
      </c>
      <c r="AH21" s="273">
        <f t="shared" si="27"/>
        <v>0</v>
      </c>
      <c r="AI21" s="279">
        <f t="shared" si="10"/>
        <v>0</v>
      </c>
      <c r="AJ21" s="273">
        <f t="shared" si="11"/>
        <v>0</v>
      </c>
      <c r="AK21" s="279">
        <f t="shared" si="12"/>
        <v>0</v>
      </c>
      <c r="AL21" s="273">
        <f t="shared" si="11"/>
        <v>0</v>
      </c>
      <c r="AM21" s="279">
        <f t="shared" si="28"/>
        <v>0</v>
      </c>
      <c r="AN21" s="273">
        <f t="shared" si="11"/>
        <v>0</v>
      </c>
      <c r="AO21" s="279">
        <f t="shared" si="13"/>
        <v>0</v>
      </c>
      <c r="AP21" s="273">
        <f t="shared" si="11"/>
        <v>0</v>
      </c>
      <c r="AQ21" s="279">
        <f t="shared" si="14"/>
        <v>0</v>
      </c>
      <c r="AR21" s="273">
        <f t="shared" si="11"/>
        <v>0</v>
      </c>
      <c r="AS21" s="279">
        <f t="shared" si="15"/>
        <v>0</v>
      </c>
      <c r="AT21" s="273">
        <f t="shared" si="11"/>
        <v>0</v>
      </c>
      <c r="AU21" s="279">
        <f t="shared" si="16"/>
        <v>0</v>
      </c>
      <c r="AV21" s="273">
        <f t="shared" si="11"/>
        <v>0</v>
      </c>
      <c r="AW21" s="279">
        <f t="shared" si="17"/>
        <v>0</v>
      </c>
      <c r="AX21" s="273">
        <f t="shared" si="11"/>
        <v>0</v>
      </c>
      <c r="AY21" s="279">
        <f t="shared" si="18"/>
        <v>0</v>
      </c>
      <c r="AZ21" s="273">
        <f t="shared" ref="AZ21:BL34" si="31">AY21-AY20</f>
        <v>0</v>
      </c>
      <c r="BA21" s="279">
        <f t="shared" si="20"/>
        <v>0</v>
      </c>
      <c r="BB21" s="273">
        <f t="shared" si="31"/>
        <v>0</v>
      </c>
      <c r="BC21" s="279">
        <f t="shared" si="21"/>
        <v>0</v>
      </c>
      <c r="BD21" s="273">
        <f t="shared" si="31"/>
        <v>0</v>
      </c>
      <c r="BE21" s="279">
        <f t="shared" si="22"/>
        <v>0</v>
      </c>
      <c r="BF21" s="273">
        <f t="shared" si="31"/>
        <v>0</v>
      </c>
      <c r="BG21" s="279">
        <f t="shared" si="23"/>
        <v>0</v>
      </c>
      <c r="BH21" s="273">
        <f t="shared" si="31"/>
        <v>0</v>
      </c>
      <c r="BI21" s="279">
        <f t="shared" si="24"/>
        <v>0</v>
      </c>
      <c r="BJ21" s="273">
        <f t="shared" si="31"/>
        <v>0</v>
      </c>
      <c r="BK21" s="279">
        <f t="shared" si="25"/>
        <v>0</v>
      </c>
      <c r="BL21" s="273">
        <f t="shared" si="31"/>
        <v>0</v>
      </c>
      <c r="BM21" s="273">
        <f t="shared" si="29"/>
        <v>0</v>
      </c>
      <c r="BN21" s="273">
        <f t="shared" si="30"/>
        <v>0</v>
      </c>
    </row>
    <row r="22" spans="1:66" ht="18" customHeight="1" thickBot="1">
      <c r="A22" s="343">
        <f>'Current month'!A21</f>
        <v>44791</v>
      </c>
      <c r="B22" s="271">
        <f>'Current month'!Y21</f>
        <v>0</v>
      </c>
      <c r="C22" s="344">
        <f>'Current month'!AE21</f>
        <v>0</v>
      </c>
      <c r="D22" s="271">
        <f>'Current month'!AG21</f>
        <v>0</v>
      </c>
      <c r="E22" s="271">
        <f>'Current month'!BU21</f>
        <v>0</v>
      </c>
      <c r="F22" s="271">
        <f>'Current month'!BY21</f>
        <v>0</v>
      </c>
      <c r="G22" s="271">
        <f>'Current month'!AQ21</f>
        <v>0</v>
      </c>
      <c r="H22" s="271">
        <f>'Current month'!BK21</f>
        <v>0</v>
      </c>
      <c r="I22" s="271">
        <f>'Current month'!AI21</f>
        <v>0</v>
      </c>
      <c r="J22" s="271">
        <f>'Current month'!BO21</f>
        <v>0</v>
      </c>
      <c r="K22" s="271">
        <f>'Current month'!BM21</f>
        <v>0</v>
      </c>
      <c r="L22" s="229"/>
      <c r="M22" s="229"/>
      <c r="N22" s="229"/>
      <c r="O22" s="271">
        <f>'Current month'!AW21</f>
        <v>0</v>
      </c>
      <c r="P22" s="271">
        <f>'Current month'!AY21</f>
        <v>0</v>
      </c>
      <c r="Q22" s="271">
        <f>'Current month'!BA21</f>
        <v>0</v>
      </c>
      <c r="R22" s="271">
        <f>'Current month'!BC21</f>
        <v>0</v>
      </c>
      <c r="S22" s="271">
        <f>'Current month'!BE21</f>
        <v>0</v>
      </c>
      <c r="T22" s="271">
        <f>'Current month'!BG21</f>
        <v>0</v>
      </c>
      <c r="U22" s="271">
        <f>'Current month'!BI21</f>
        <v>0</v>
      </c>
      <c r="V22" s="271">
        <f>'Current month'!BK21</f>
        <v>0</v>
      </c>
      <c r="W22" s="279">
        <f t="shared" si="0"/>
        <v>0</v>
      </c>
      <c r="X22" s="273">
        <f t="shared" si="26"/>
        <v>0</v>
      </c>
      <c r="Y22" s="279">
        <f t="shared" si="1"/>
        <v>0</v>
      </c>
      <c r="Z22" s="273">
        <f t="shared" si="2"/>
        <v>0</v>
      </c>
      <c r="AA22" s="279">
        <f t="shared" si="3"/>
        <v>0</v>
      </c>
      <c r="AB22" s="273">
        <f t="shared" si="4"/>
        <v>0</v>
      </c>
      <c r="AC22" s="279">
        <f t="shared" si="5"/>
        <v>0</v>
      </c>
      <c r="AD22" s="273">
        <f t="shared" si="6"/>
        <v>0</v>
      </c>
      <c r="AE22" s="279">
        <f t="shared" si="7"/>
        <v>0</v>
      </c>
      <c r="AF22" s="273">
        <f t="shared" si="8"/>
        <v>0</v>
      </c>
      <c r="AG22" s="273">
        <f t="shared" si="9"/>
        <v>0</v>
      </c>
      <c r="AH22" s="273">
        <f t="shared" si="27"/>
        <v>0</v>
      </c>
      <c r="AI22" s="279">
        <f t="shared" si="10"/>
        <v>0</v>
      </c>
      <c r="AJ22" s="273">
        <f t="shared" si="11"/>
        <v>0</v>
      </c>
      <c r="AK22" s="279">
        <f t="shared" si="12"/>
        <v>0</v>
      </c>
      <c r="AL22" s="273">
        <f t="shared" si="11"/>
        <v>0</v>
      </c>
      <c r="AM22" s="279">
        <f t="shared" si="28"/>
        <v>0</v>
      </c>
      <c r="AN22" s="273">
        <f t="shared" si="11"/>
        <v>0</v>
      </c>
      <c r="AO22" s="279">
        <f t="shared" si="13"/>
        <v>0</v>
      </c>
      <c r="AP22" s="273">
        <f t="shared" si="11"/>
        <v>0</v>
      </c>
      <c r="AQ22" s="279">
        <f t="shared" si="14"/>
        <v>0</v>
      </c>
      <c r="AR22" s="273">
        <f t="shared" si="11"/>
        <v>0</v>
      </c>
      <c r="AS22" s="279">
        <f t="shared" si="15"/>
        <v>0</v>
      </c>
      <c r="AT22" s="273">
        <f t="shared" si="11"/>
        <v>0</v>
      </c>
      <c r="AU22" s="279">
        <f t="shared" si="16"/>
        <v>0</v>
      </c>
      <c r="AV22" s="273">
        <f t="shared" si="11"/>
        <v>0</v>
      </c>
      <c r="AW22" s="279">
        <f t="shared" si="17"/>
        <v>0</v>
      </c>
      <c r="AX22" s="273">
        <f t="shared" si="11"/>
        <v>0</v>
      </c>
      <c r="AY22" s="279">
        <f t="shared" si="18"/>
        <v>0</v>
      </c>
      <c r="AZ22" s="273">
        <f t="shared" si="31"/>
        <v>0</v>
      </c>
      <c r="BA22" s="279">
        <f t="shared" si="20"/>
        <v>0</v>
      </c>
      <c r="BB22" s="273">
        <f t="shared" si="31"/>
        <v>0</v>
      </c>
      <c r="BC22" s="279">
        <f t="shared" si="21"/>
        <v>0</v>
      </c>
      <c r="BD22" s="273">
        <f t="shared" si="31"/>
        <v>0</v>
      </c>
      <c r="BE22" s="279">
        <f t="shared" si="22"/>
        <v>0</v>
      </c>
      <c r="BF22" s="273">
        <f t="shared" si="31"/>
        <v>0</v>
      </c>
      <c r="BG22" s="279">
        <f t="shared" si="23"/>
        <v>0</v>
      </c>
      <c r="BH22" s="273">
        <f t="shared" si="31"/>
        <v>0</v>
      </c>
      <c r="BI22" s="279">
        <f t="shared" si="24"/>
        <v>0</v>
      </c>
      <c r="BJ22" s="273">
        <f t="shared" si="31"/>
        <v>0</v>
      </c>
      <c r="BK22" s="279">
        <f t="shared" si="25"/>
        <v>0</v>
      </c>
      <c r="BL22" s="273">
        <f t="shared" si="31"/>
        <v>0</v>
      </c>
      <c r="BM22" s="273">
        <f t="shared" si="29"/>
        <v>0</v>
      </c>
      <c r="BN22" s="273">
        <f t="shared" si="30"/>
        <v>0</v>
      </c>
    </row>
    <row r="23" spans="1:66" ht="18" customHeight="1" thickBot="1">
      <c r="A23" s="343">
        <f>'Current month'!A22</f>
        <v>44792</v>
      </c>
      <c r="B23" s="271">
        <f>'Current month'!Y22</f>
        <v>0</v>
      </c>
      <c r="C23" s="344">
        <f>'Current month'!AE22</f>
        <v>0</v>
      </c>
      <c r="D23" s="271">
        <f>'Current month'!AG22</f>
        <v>0</v>
      </c>
      <c r="E23" s="271">
        <f>'Current month'!BU22</f>
        <v>0</v>
      </c>
      <c r="F23" s="271">
        <f>'Current month'!BY22</f>
        <v>0</v>
      </c>
      <c r="G23" s="271">
        <f>'Current month'!AQ22</f>
        <v>0</v>
      </c>
      <c r="H23" s="271">
        <f>'Current month'!BK22</f>
        <v>0</v>
      </c>
      <c r="I23" s="271">
        <f>'Current month'!AI22</f>
        <v>0</v>
      </c>
      <c r="J23" s="271">
        <f>'Current month'!BO22</f>
        <v>0</v>
      </c>
      <c r="K23" s="271">
        <f>'Current month'!BM22</f>
        <v>0</v>
      </c>
      <c r="L23" s="229"/>
      <c r="M23" s="229"/>
      <c r="N23" s="229"/>
      <c r="O23" s="271">
        <f>'Current month'!AW22</f>
        <v>0</v>
      </c>
      <c r="P23" s="271">
        <f>'Current month'!AY22</f>
        <v>0</v>
      </c>
      <c r="Q23" s="271">
        <f>'Current month'!BA22</f>
        <v>0</v>
      </c>
      <c r="R23" s="271">
        <f>'Current month'!BC22</f>
        <v>0</v>
      </c>
      <c r="S23" s="271">
        <f>'Current month'!BE22</f>
        <v>0</v>
      </c>
      <c r="T23" s="271">
        <f>'Current month'!BG22</f>
        <v>0</v>
      </c>
      <c r="U23" s="271">
        <f>'Current month'!BI22</f>
        <v>0</v>
      </c>
      <c r="V23" s="271">
        <f>'Current month'!BK22</f>
        <v>0</v>
      </c>
      <c r="W23" s="279">
        <f t="shared" si="0"/>
        <v>0</v>
      </c>
      <c r="X23" s="273">
        <f t="shared" si="26"/>
        <v>0</v>
      </c>
      <c r="Y23" s="279">
        <f t="shared" si="1"/>
        <v>0</v>
      </c>
      <c r="Z23" s="273">
        <f t="shared" si="2"/>
        <v>0</v>
      </c>
      <c r="AA23" s="279">
        <f t="shared" si="3"/>
        <v>0</v>
      </c>
      <c r="AB23" s="273">
        <f t="shared" si="4"/>
        <v>0</v>
      </c>
      <c r="AC23" s="279">
        <f t="shared" si="5"/>
        <v>0</v>
      </c>
      <c r="AD23" s="273">
        <f t="shared" si="6"/>
        <v>0</v>
      </c>
      <c r="AE23" s="279">
        <f t="shared" si="7"/>
        <v>0</v>
      </c>
      <c r="AF23" s="273">
        <f t="shared" si="8"/>
        <v>0</v>
      </c>
      <c r="AG23" s="273">
        <f t="shared" si="9"/>
        <v>0</v>
      </c>
      <c r="AH23" s="273">
        <f t="shared" si="27"/>
        <v>0</v>
      </c>
      <c r="AI23" s="279">
        <f t="shared" si="10"/>
        <v>0</v>
      </c>
      <c r="AJ23" s="273">
        <f t="shared" si="11"/>
        <v>0</v>
      </c>
      <c r="AK23" s="279">
        <f t="shared" si="12"/>
        <v>0</v>
      </c>
      <c r="AL23" s="273">
        <f t="shared" si="11"/>
        <v>0</v>
      </c>
      <c r="AM23" s="279">
        <f t="shared" si="28"/>
        <v>0</v>
      </c>
      <c r="AN23" s="273">
        <f t="shared" si="11"/>
        <v>0</v>
      </c>
      <c r="AO23" s="279">
        <f t="shared" si="13"/>
        <v>0</v>
      </c>
      <c r="AP23" s="273">
        <f t="shared" si="11"/>
        <v>0</v>
      </c>
      <c r="AQ23" s="279">
        <f t="shared" si="14"/>
        <v>0</v>
      </c>
      <c r="AR23" s="273">
        <f t="shared" si="11"/>
        <v>0</v>
      </c>
      <c r="AS23" s="279">
        <f t="shared" si="15"/>
        <v>0</v>
      </c>
      <c r="AT23" s="273">
        <f t="shared" si="11"/>
        <v>0</v>
      </c>
      <c r="AU23" s="279">
        <f t="shared" si="16"/>
        <v>0</v>
      </c>
      <c r="AV23" s="273">
        <f t="shared" si="11"/>
        <v>0</v>
      </c>
      <c r="AW23" s="279">
        <f t="shared" si="17"/>
        <v>0</v>
      </c>
      <c r="AX23" s="273">
        <f t="shared" si="11"/>
        <v>0</v>
      </c>
      <c r="AY23" s="279">
        <f t="shared" si="18"/>
        <v>0</v>
      </c>
      <c r="AZ23" s="273">
        <f t="shared" si="31"/>
        <v>0</v>
      </c>
      <c r="BA23" s="279">
        <f t="shared" si="20"/>
        <v>0</v>
      </c>
      <c r="BB23" s="273">
        <f t="shared" si="31"/>
        <v>0</v>
      </c>
      <c r="BC23" s="279">
        <f t="shared" si="21"/>
        <v>0</v>
      </c>
      <c r="BD23" s="273">
        <f t="shared" si="31"/>
        <v>0</v>
      </c>
      <c r="BE23" s="279">
        <f t="shared" si="22"/>
        <v>0</v>
      </c>
      <c r="BF23" s="273">
        <f t="shared" si="31"/>
        <v>0</v>
      </c>
      <c r="BG23" s="279">
        <f t="shared" si="23"/>
        <v>0</v>
      </c>
      <c r="BH23" s="273">
        <f t="shared" si="31"/>
        <v>0</v>
      </c>
      <c r="BI23" s="279">
        <f t="shared" si="24"/>
        <v>0</v>
      </c>
      <c r="BJ23" s="273">
        <f t="shared" si="31"/>
        <v>0</v>
      </c>
      <c r="BK23" s="279">
        <f t="shared" si="25"/>
        <v>0</v>
      </c>
      <c r="BL23" s="273">
        <f t="shared" si="31"/>
        <v>0</v>
      </c>
      <c r="BM23" s="273">
        <f t="shared" si="29"/>
        <v>0</v>
      </c>
      <c r="BN23" s="273">
        <f t="shared" si="30"/>
        <v>0</v>
      </c>
    </row>
    <row r="24" spans="1:66" ht="18" customHeight="1" thickBot="1">
      <c r="A24" s="343">
        <f>'Current month'!A23</f>
        <v>44793</v>
      </c>
      <c r="B24" s="271">
        <f>'Current month'!Y23</f>
        <v>0</v>
      </c>
      <c r="C24" s="344">
        <f>'Current month'!AE23</f>
        <v>0</v>
      </c>
      <c r="D24" s="271">
        <f>'Current month'!AG23</f>
        <v>0</v>
      </c>
      <c r="E24" s="271">
        <f>'Current month'!BU23</f>
        <v>0</v>
      </c>
      <c r="F24" s="271">
        <f>'Current month'!BY23</f>
        <v>0</v>
      </c>
      <c r="G24" s="271">
        <f>'Current month'!AQ23</f>
        <v>0</v>
      </c>
      <c r="H24" s="271">
        <f>'Current month'!BK23</f>
        <v>0</v>
      </c>
      <c r="I24" s="271">
        <f>'Current month'!AI23</f>
        <v>0</v>
      </c>
      <c r="J24" s="271">
        <f>'Current month'!BO23</f>
        <v>0</v>
      </c>
      <c r="K24" s="271">
        <f>'Current month'!BM23</f>
        <v>0</v>
      </c>
      <c r="L24" s="229"/>
      <c r="M24" s="229"/>
      <c r="N24" s="229"/>
      <c r="O24" s="271">
        <f>'Current month'!AW23</f>
        <v>0</v>
      </c>
      <c r="P24" s="271">
        <f>'Current month'!AY23</f>
        <v>0</v>
      </c>
      <c r="Q24" s="271">
        <f>'Current month'!BA23</f>
        <v>0</v>
      </c>
      <c r="R24" s="271">
        <f>'Current month'!BC23</f>
        <v>0</v>
      </c>
      <c r="S24" s="271">
        <f>'Current month'!BE23</f>
        <v>0</v>
      </c>
      <c r="T24" s="271">
        <f>'Current month'!BG23</f>
        <v>0</v>
      </c>
      <c r="U24" s="271">
        <f>'Current month'!BI23</f>
        <v>0</v>
      </c>
      <c r="V24" s="271">
        <f>'Current month'!BK23</f>
        <v>0</v>
      </c>
      <c r="W24" s="279">
        <f t="shared" si="0"/>
        <v>0</v>
      </c>
      <c r="X24" s="273">
        <f t="shared" si="26"/>
        <v>0</v>
      </c>
      <c r="Y24" s="279">
        <f t="shared" si="1"/>
        <v>0</v>
      </c>
      <c r="Z24" s="273">
        <f t="shared" si="2"/>
        <v>0</v>
      </c>
      <c r="AA24" s="279">
        <f t="shared" si="3"/>
        <v>0</v>
      </c>
      <c r="AB24" s="273">
        <f t="shared" si="4"/>
        <v>0</v>
      </c>
      <c r="AC24" s="279">
        <f t="shared" si="5"/>
        <v>0</v>
      </c>
      <c r="AD24" s="273">
        <f t="shared" si="6"/>
        <v>0</v>
      </c>
      <c r="AE24" s="279">
        <f t="shared" si="7"/>
        <v>0</v>
      </c>
      <c r="AF24" s="273">
        <f t="shared" si="8"/>
        <v>0</v>
      </c>
      <c r="AG24" s="273">
        <f t="shared" si="9"/>
        <v>0</v>
      </c>
      <c r="AH24" s="273">
        <f t="shared" si="27"/>
        <v>0</v>
      </c>
      <c r="AI24" s="279">
        <f t="shared" si="10"/>
        <v>0</v>
      </c>
      <c r="AJ24" s="273">
        <f t="shared" si="11"/>
        <v>0</v>
      </c>
      <c r="AK24" s="279">
        <f t="shared" si="12"/>
        <v>0</v>
      </c>
      <c r="AL24" s="273">
        <f t="shared" si="11"/>
        <v>0</v>
      </c>
      <c r="AM24" s="279">
        <f t="shared" si="28"/>
        <v>0</v>
      </c>
      <c r="AN24" s="273">
        <f t="shared" si="11"/>
        <v>0</v>
      </c>
      <c r="AO24" s="279">
        <f t="shared" si="13"/>
        <v>0</v>
      </c>
      <c r="AP24" s="273">
        <f t="shared" si="11"/>
        <v>0</v>
      </c>
      <c r="AQ24" s="279">
        <f t="shared" si="14"/>
        <v>0</v>
      </c>
      <c r="AR24" s="273">
        <f t="shared" si="11"/>
        <v>0</v>
      </c>
      <c r="AS24" s="279">
        <f t="shared" si="15"/>
        <v>0</v>
      </c>
      <c r="AT24" s="273">
        <f t="shared" si="11"/>
        <v>0</v>
      </c>
      <c r="AU24" s="279">
        <f t="shared" si="16"/>
        <v>0</v>
      </c>
      <c r="AV24" s="273">
        <f t="shared" si="11"/>
        <v>0</v>
      </c>
      <c r="AW24" s="279">
        <f t="shared" si="17"/>
        <v>0</v>
      </c>
      <c r="AX24" s="273">
        <f t="shared" si="11"/>
        <v>0</v>
      </c>
      <c r="AY24" s="279">
        <f t="shared" si="18"/>
        <v>0</v>
      </c>
      <c r="AZ24" s="273">
        <f t="shared" si="31"/>
        <v>0</v>
      </c>
      <c r="BA24" s="279">
        <f t="shared" si="20"/>
        <v>0</v>
      </c>
      <c r="BB24" s="273">
        <f t="shared" si="31"/>
        <v>0</v>
      </c>
      <c r="BC24" s="279">
        <f t="shared" si="21"/>
        <v>0</v>
      </c>
      <c r="BD24" s="273">
        <f t="shared" si="31"/>
        <v>0</v>
      </c>
      <c r="BE24" s="279">
        <f t="shared" si="22"/>
        <v>0</v>
      </c>
      <c r="BF24" s="273">
        <f t="shared" si="31"/>
        <v>0</v>
      </c>
      <c r="BG24" s="279">
        <f t="shared" si="23"/>
        <v>0</v>
      </c>
      <c r="BH24" s="273">
        <f t="shared" si="31"/>
        <v>0</v>
      </c>
      <c r="BI24" s="279">
        <f t="shared" si="24"/>
        <v>0</v>
      </c>
      <c r="BJ24" s="273">
        <f t="shared" si="31"/>
        <v>0</v>
      </c>
      <c r="BK24" s="279">
        <f t="shared" si="25"/>
        <v>0</v>
      </c>
      <c r="BL24" s="273">
        <f t="shared" si="31"/>
        <v>0</v>
      </c>
      <c r="BM24" s="273">
        <f t="shared" si="29"/>
        <v>0</v>
      </c>
      <c r="BN24" s="273">
        <f t="shared" si="30"/>
        <v>0</v>
      </c>
    </row>
    <row r="25" spans="1:66" ht="18" customHeight="1" thickBot="1">
      <c r="A25" s="343">
        <f>'Current month'!A24</f>
        <v>44794</v>
      </c>
      <c r="B25" s="271">
        <f>'Current month'!Y24</f>
        <v>0</v>
      </c>
      <c r="C25" s="344">
        <f>'Current month'!AE24</f>
        <v>0</v>
      </c>
      <c r="D25" s="271">
        <f>'Current month'!AG24</f>
        <v>0</v>
      </c>
      <c r="E25" s="271">
        <f>'Current month'!BU24</f>
        <v>0</v>
      </c>
      <c r="F25" s="271">
        <f>'Current month'!BY24</f>
        <v>0</v>
      </c>
      <c r="G25" s="271">
        <f>'Current month'!AQ24</f>
        <v>0</v>
      </c>
      <c r="H25" s="271">
        <f>'Current month'!BK24</f>
        <v>0</v>
      </c>
      <c r="I25" s="271">
        <f>'Current month'!AI24</f>
        <v>0</v>
      </c>
      <c r="J25" s="271">
        <f>'Current month'!BO24</f>
        <v>0</v>
      </c>
      <c r="K25" s="271">
        <f>'Current month'!BM24</f>
        <v>0</v>
      </c>
      <c r="L25" s="229"/>
      <c r="M25" s="229"/>
      <c r="N25" s="229"/>
      <c r="O25" s="271">
        <f>'Current month'!AW24</f>
        <v>0</v>
      </c>
      <c r="P25" s="271">
        <f>'Current month'!AY24</f>
        <v>0</v>
      </c>
      <c r="Q25" s="271">
        <f>'Current month'!BA24</f>
        <v>0</v>
      </c>
      <c r="R25" s="271">
        <f>'Current month'!BC24</f>
        <v>0</v>
      </c>
      <c r="S25" s="271">
        <f>'Current month'!BE24</f>
        <v>0</v>
      </c>
      <c r="T25" s="271">
        <f>'Current month'!BG24</f>
        <v>0</v>
      </c>
      <c r="U25" s="271">
        <f>'Current month'!BI24</f>
        <v>0</v>
      </c>
      <c r="V25" s="271">
        <f>'Current month'!BK24</f>
        <v>0</v>
      </c>
      <c r="W25" s="279">
        <f t="shared" si="0"/>
        <v>0</v>
      </c>
      <c r="X25" s="273">
        <f t="shared" si="26"/>
        <v>0</v>
      </c>
      <c r="Y25" s="279">
        <f t="shared" si="1"/>
        <v>0</v>
      </c>
      <c r="Z25" s="273">
        <f t="shared" si="2"/>
        <v>0</v>
      </c>
      <c r="AA25" s="279">
        <f t="shared" si="3"/>
        <v>0</v>
      </c>
      <c r="AB25" s="273">
        <f t="shared" si="4"/>
        <v>0</v>
      </c>
      <c r="AC25" s="279">
        <f t="shared" si="5"/>
        <v>0</v>
      </c>
      <c r="AD25" s="273">
        <f t="shared" si="6"/>
        <v>0</v>
      </c>
      <c r="AE25" s="279">
        <f t="shared" si="7"/>
        <v>0</v>
      </c>
      <c r="AF25" s="273">
        <f t="shared" si="8"/>
        <v>0</v>
      </c>
      <c r="AG25" s="273">
        <f t="shared" si="9"/>
        <v>0</v>
      </c>
      <c r="AH25" s="273">
        <f t="shared" si="27"/>
        <v>0</v>
      </c>
      <c r="AI25" s="279">
        <f t="shared" si="10"/>
        <v>0</v>
      </c>
      <c r="AJ25" s="273">
        <f t="shared" si="11"/>
        <v>0</v>
      </c>
      <c r="AK25" s="279">
        <f t="shared" si="12"/>
        <v>0</v>
      </c>
      <c r="AL25" s="273">
        <f t="shared" si="11"/>
        <v>0</v>
      </c>
      <c r="AM25" s="279">
        <f t="shared" si="28"/>
        <v>0</v>
      </c>
      <c r="AN25" s="273">
        <f t="shared" si="11"/>
        <v>0</v>
      </c>
      <c r="AO25" s="279">
        <f t="shared" si="13"/>
        <v>0</v>
      </c>
      <c r="AP25" s="273">
        <f t="shared" si="11"/>
        <v>0</v>
      </c>
      <c r="AQ25" s="279">
        <f t="shared" si="14"/>
        <v>0</v>
      </c>
      <c r="AR25" s="273">
        <f t="shared" si="11"/>
        <v>0</v>
      </c>
      <c r="AS25" s="279">
        <f t="shared" si="15"/>
        <v>0</v>
      </c>
      <c r="AT25" s="273">
        <f t="shared" si="11"/>
        <v>0</v>
      </c>
      <c r="AU25" s="279">
        <f t="shared" si="16"/>
        <v>0</v>
      </c>
      <c r="AV25" s="273">
        <f t="shared" si="11"/>
        <v>0</v>
      </c>
      <c r="AW25" s="279">
        <f t="shared" si="17"/>
        <v>0</v>
      </c>
      <c r="AX25" s="273">
        <f t="shared" si="11"/>
        <v>0</v>
      </c>
      <c r="AY25" s="279">
        <f t="shared" si="18"/>
        <v>0</v>
      </c>
      <c r="AZ25" s="273">
        <f t="shared" si="31"/>
        <v>0</v>
      </c>
      <c r="BA25" s="279">
        <f t="shared" si="20"/>
        <v>0</v>
      </c>
      <c r="BB25" s="273">
        <f t="shared" si="31"/>
        <v>0</v>
      </c>
      <c r="BC25" s="279">
        <f t="shared" si="21"/>
        <v>0</v>
      </c>
      <c r="BD25" s="273">
        <f t="shared" si="31"/>
        <v>0</v>
      </c>
      <c r="BE25" s="279">
        <f t="shared" si="22"/>
        <v>0</v>
      </c>
      <c r="BF25" s="273">
        <f t="shared" si="31"/>
        <v>0</v>
      </c>
      <c r="BG25" s="279">
        <f t="shared" si="23"/>
        <v>0</v>
      </c>
      <c r="BH25" s="273">
        <f t="shared" si="31"/>
        <v>0</v>
      </c>
      <c r="BI25" s="279">
        <f t="shared" si="24"/>
        <v>0</v>
      </c>
      <c r="BJ25" s="273">
        <f t="shared" si="31"/>
        <v>0</v>
      </c>
      <c r="BK25" s="279">
        <f t="shared" si="25"/>
        <v>0</v>
      </c>
      <c r="BL25" s="273">
        <f t="shared" si="31"/>
        <v>0</v>
      </c>
      <c r="BM25" s="273">
        <f t="shared" si="29"/>
        <v>0</v>
      </c>
      <c r="BN25" s="273">
        <f t="shared" si="30"/>
        <v>0</v>
      </c>
    </row>
    <row r="26" spans="1:66" ht="18" customHeight="1" thickBot="1">
      <c r="A26" s="343">
        <f>'Current month'!A25</f>
        <v>44795</v>
      </c>
      <c r="B26" s="271">
        <f>'Current month'!Y25</f>
        <v>0</v>
      </c>
      <c r="C26" s="344">
        <f>'Current month'!AE25</f>
        <v>0</v>
      </c>
      <c r="D26" s="271">
        <f>'Current month'!AG25</f>
        <v>0</v>
      </c>
      <c r="E26" s="271">
        <f>'Current month'!BU25</f>
        <v>0</v>
      </c>
      <c r="F26" s="271">
        <f>'Current month'!BY25</f>
        <v>0</v>
      </c>
      <c r="G26" s="271">
        <f>'Current month'!AQ25</f>
        <v>0</v>
      </c>
      <c r="H26" s="271">
        <f>'Current month'!BK25</f>
        <v>0</v>
      </c>
      <c r="I26" s="271">
        <f>'Current month'!AI25</f>
        <v>0</v>
      </c>
      <c r="J26" s="271">
        <f>'Current month'!BO25</f>
        <v>0</v>
      </c>
      <c r="K26" s="271">
        <f>'Current month'!BM25</f>
        <v>0</v>
      </c>
      <c r="L26" s="229"/>
      <c r="M26" s="229"/>
      <c r="N26" s="229"/>
      <c r="O26" s="271">
        <f>'Current month'!AW25</f>
        <v>0</v>
      </c>
      <c r="P26" s="271">
        <f>'Current month'!AY25</f>
        <v>0</v>
      </c>
      <c r="Q26" s="271">
        <f>'Current month'!BA25</f>
        <v>0</v>
      </c>
      <c r="R26" s="271">
        <f>'Current month'!BC25</f>
        <v>0</v>
      </c>
      <c r="S26" s="271">
        <f>'Current month'!BE25</f>
        <v>0</v>
      </c>
      <c r="T26" s="271">
        <f>'Current month'!BG25</f>
        <v>0</v>
      </c>
      <c r="U26" s="271">
        <f>'Current month'!BI25</f>
        <v>0</v>
      </c>
      <c r="V26" s="271">
        <f>'Current month'!BK25</f>
        <v>0</v>
      </c>
      <c r="W26" s="279">
        <f t="shared" si="0"/>
        <v>0</v>
      </c>
      <c r="X26" s="273">
        <f t="shared" si="26"/>
        <v>0</v>
      </c>
      <c r="Y26" s="279">
        <f t="shared" si="1"/>
        <v>0</v>
      </c>
      <c r="Z26" s="273">
        <f t="shared" si="2"/>
        <v>0</v>
      </c>
      <c r="AA26" s="279">
        <f t="shared" si="3"/>
        <v>0</v>
      </c>
      <c r="AB26" s="273">
        <f t="shared" si="4"/>
        <v>0</v>
      </c>
      <c r="AC26" s="279">
        <f t="shared" si="5"/>
        <v>0</v>
      </c>
      <c r="AD26" s="273">
        <f t="shared" si="6"/>
        <v>0</v>
      </c>
      <c r="AE26" s="279">
        <f t="shared" si="7"/>
        <v>0</v>
      </c>
      <c r="AF26" s="273">
        <f t="shared" si="8"/>
        <v>0</v>
      </c>
      <c r="AG26" s="273">
        <f t="shared" si="9"/>
        <v>0</v>
      </c>
      <c r="AH26" s="273">
        <f t="shared" si="27"/>
        <v>0</v>
      </c>
      <c r="AI26" s="279">
        <f t="shared" si="10"/>
        <v>0</v>
      </c>
      <c r="AJ26" s="273">
        <f t="shared" si="11"/>
        <v>0</v>
      </c>
      <c r="AK26" s="279">
        <f t="shared" si="12"/>
        <v>0</v>
      </c>
      <c r="AL26" s="273">
        <f t="shared" si="11"/>
        <v>0</v>
      </c>
      <c r="AM26" s="279">
        <f t="shared" si="28"/>
        <v>0</v>
      </c>
      <c r="AN26" s="273">
        <f t="shared" si="11"/>
        <v>0</v>
      </c>
      <c r="AO26" s="279">
        <f t="shared" si="13"/>
        <v>0</v>
      </c>
      <c r="AP26" s="273">
        <f t="shared" si="11"/>
        <v>0</v>
      </c>
      <c r="AQ26" s="279">
        <f t="shared" si="14"/>
        <v>0</v>
      </c>
      <c r="AR26" s="273">
        <f t="shared" si="11"/>
        <v>0</v>
      </c>
      <c r="AS26" s="279">
        <f t="shared" si="15"/>
        <v>0</v>
      </c>
      <c r="AT26" s="273">
        <f t="shared" si="11"/>
        <v>0</v>
      </c>
      <c r="AU26" s="279">
        <f t="shared" si="16"/>
        <v>0</v>
      </c>
      <c r="AV26" s="273">
        <f t="shared" si="11"/>
        <v>0</v>
      </c>
      <c r="AW26" s="279">
        <f t="shared" si="17"/>
        <v>0</v>
      </c>
      <c r="AX26" s="273">
        <f t="shared" si="11"/>
        <v>0</v>
      </c>
      <c r="AY26" s="279">
        <f t="shared" si="18"/>
        <v>0</v>
      </c>
      <c r="AZ26" s="273">
        <f t="shared" si="31"/>
        <v>0</v>
      </c>
      <c r="BA26" s="279">
        <f t="shared" si="20"/>
        <v>0</v>
      </c>
      <c r="BB26" s="273">
        <f t="shared" si="31"/>
        <v>0</v>
      </c>
      <c r="BC26" s="279">
        <f t="shared" si="21"/>
        <v>0</v>
      </c>
      <c r="BD26" s="273">
        <f t="shared" si="31"/>
        <v>0</v>
      </c>
      <c r="BE26" s="279">
        <f t="shared" si="22"/>
        <v>0</v>
      </c>
      <c r="BF26" s="273">
        <f t="shared" si="31"/>
        <v>0</v>
      </c>
      <c r="BG26" s="279">
        <f t="shared" si="23"/>
        <v>0</v>
      </c>
      <c r="BH26" s="273">
        <f t="shared" si="31"/>
        <v>0</v>
      </c>
      <c r="BI26" s="279">
        <f t="shared" si="24"/>
        <v>0</v>
      </c>
      <c r="BJ26" s="273">
        <f t="shared" si="31"/>
        <v>0</v>
      </c>
      <c r="BK26" s="279">
        <f t="shared" si="25"/>
        <v>0</v>
      </c>
      <c r="BL26" s="273">
        <f t="shared" si="31"/>
        <v>0</v>
      </c>
      <c r="BM26" s="273">
        <f t="shared" si="29"/>
        <v>0</v>
      </c>
      <c r="BN26" s="273">
        <f t="shared" si="30"/>
        <v>0</v>
      </c>
    </row>
    <row r="27" spans="1:66" ht="18" customHeight="1" thickBot="1">
      <c r="A27" s="343">
        <f>'Current month'!A26</f>
        <v>44796</v>
      </c>
      <c r="B27" s="271">
        <f>'Current month'!Y26</f>
        <v>0</v>
      </c>
      <c r="C27" s="344">
        <f>'Current month'!AE26</f>
        <v>0</v>
      </c>
      <c r="D27" s="271">
        <f>'Current month'!AG26</f>
        <v>0</v>
      </c>
      <c r="E27" s="271">
        <f>'Current month'!BU26</f>
        <v>0</v>
      </c>
      <c r="F27" s="271">
        <f>'Current month'!BY26</f>
        <v>0</v>
      </c>
      <c r="G27" s="271">
        <f>'Current month'!AQ26</f>
        <v>0</v>
      </c>
      <c r="H27" s="271">
        <f>'Current month'!BK26</f>
        <v>0</v>
      </c>
      <c r="I27" s="271">
        <f>'Current month'!AI26</f>
        <v>0</v>
      </c>
      <c r="J27" s="271">
        <f>'Current month'!BO26</f>
        <v>0</v>
      </c>
      <c r="K27" s="271">
        <f>'Current month'!BM26</f>
        <v>0</v>
      </c>
      <c r="L27" s="229"/>
      <c r="M27" s="229"/>
      <c r="N27" s="229"/>
      <c r="O27" s="271">
        <f>'Current month'!AW26</f>
        <v>0</v>
      </c>
      <c r="P27" s="271">
        <f>'Current month'!AY26</f>
        <v>0</v>
      </c>
      <c r="Q27" s="271">
        <f>'Current month'!BA26</f>
        <v>0</v>
      </c>
      <c r="R27" s="271">
        <f>'Current month'!BC26</f>
        <v>0</v>
      </c>
      <c r="S27" s="271">
        <f>'Current month'!BE26</f>
        <v>0</v>
      </c>
      <c r="T27" s="271">
        <f>'Current month'!BG26</f>
        <v>0</v>
      </c>
      <c r="U27" s="271">
        <f>'Current month'!BI26</f>
        <v>0</v>
      </c>
      <c r="V27" s="271">
        <f>'Current month'!BK26</f>
        <v>0</v>
      </c>
      <c r="W27" s="279">
        <f t="shared" si="0"/>
        <v>0</v>
      </c>
      <c r="X27" s="273">
        <f t="shared" si="26"/>
        <v>0</v>
      </c>
      <c r="Y27" s="279">
        <f t="shared" si="1"/>
        <v>0</v>
      </c>
      <c r="Z27" s="273">
        <f t="shared" si="2"/>
        <v>0</v>
      </c>
      <c r="AA27" s="279">
        <f t="shared" si="3"/>
        <v>0</v>
      </c>
      <c r="AB27" s="273">
        <f t="shared" si="4"/>
        <v>0</v>
      </c>
      <c r="AC27" s="279">
        <f t="shared" si="5"/>
        <v>0</v>
      </c>
      <c r="AD27" s="273">
        <f t="shared" si="6"/>
        <v>0</v>
      </c>
      <c r="AE27" s="279">
        <f t="shared" si="7"/>
        <v>0</v>
      </c>
      <c r="AF27" s="273">
        <f t="shared" si="8"/>
        <v>0</v>
      </c>
      <c r="AG27" s="273">
        <f t="shared" si="9"/>
        <v>0</v>
      </c>
      <c r="AH27" s="273">
        <f t="shared" si="27"/>
        <v>0</v>
      </c>
      <c r="AI27" s="279">
        <f t="shared" si="10"/>
        <v>0</v>
      </c>
      <c r="AJ27" s="273">
        <f t="shared" si="11"/>
        <v>0</v>
      </c>
      <c r="AK27" s="279">
        <f t="shared" si="12"/>
        <v>0</v>
      </c>
      <c r="AL27" s="273">
        <f t="shared" si="11"/>
        <v>0</v>
      </c>
      <c r="AM27" s="279">
        <f t="shared" si="28"/>
        <v>0</v>
      </c>
      <c r="AN27" s="273">
        <f t="shared" si="11"/>
        <v>0</v>
      </c>
      <c r="AO27" s="279">
        <f t="shared" si="13"/>
        <v>0</v>
      </c>
      <c r="AP27" s="273">
        <f t="shared" si="11"/>
        <v>0</v>
      </c>
      <c r="AQ27" s="279">
        <f t="shared" si="14"/>
        <v>0</v>
      </c>
      <c r="AR27" s="273">
        <f t="shared" si="11"/>
        <v>0</v>
      </c>
      <c r="AS27" s="279">
        <f t="shared" si="15"/>
        <v>0</v>
      </c>
      <c r="AT27" s="273">
        <f t="shared" si="11"/>
        <v>0</v>
      </c>
      <c r="AU27" s="279">
        <f t="shared" si="16"/>
        <v>0</v>
      </c>
      <c r="AV27" s="273">
        <f t="shared" si="11"/>
        <v>0</v>
      </c>
      <c r="AW27" s="279">
        <f t="shared" si="17"/>
        <v>0</v>
      </c>
      <c r="AX27" s="273">
        <f t="shared" si="11"/>
        <v>0</v>
      </c>
      <c r="AY27" s="279">
        <f t="shared" si="18"/>
        <v>0</v>
      </c>
      <c r="AZ27" s="273">
        <f t="shared" si="31"/>
        <v>0</v>
      </c>
      <c r="BA27" s="279">
        <f t="shared" si="20"/>
        <v>0</v>
      </c>
      <c r="BB27" s="273">
        <f t="shared" si="31"/>
        <v>0</v>
      </c>
      <c r="BC27" s="279">
        <f t="shared" si="21"/>
        <v>0</v>
      </c>
      <c r="BD27" s="273">
        <f t="shared" si="31"/>
        <v>0</v>
      </c>
      <c r="BE27" s="279">
        <f t="shared" si="22"/>
        <v>0</v>
      </c>
      <c r="BF27" s="273">
        <f t="shared" si="31"/>
        <v>0</v>
      </c>
      <c r="BG27" s="279">
        <f t="shared" si="23"/>
        <v>0</v>
      </c>
      <c r="BH27" s="273">
        <f t="shared" si="31"/>
        <v>0</v>
      </c>
      <c r="BI27" s="279">
        <f t="shared" si="24"/>
        <v>0</v>
      </c>
      <c r="BJ27" s="273">
        <f t="shared" si="31"/>
        <v>0</v>
      </c>
      <c r="BK27" s="279">
        <f t="shared" si="25"/>
        <v>0</v>
      </c>
      <c r="BL27" s="273">
        <f t="shared" si="31"/>
        <v>0</v>
      </c>
      <c r="BM27" s="273">
        <f t="shared" si="29"/>
        <v>0</v>
      </c>
      <c r="BN27" s="273">
        <f t="shared" si="30"/>
        <v>0</v>
      </c>
    </row>
    <row r="28" spans="1:66" ht="18" customHeight="1" thickBot="1">
      <c r="A28" s="343">
        <f>'Current month'!A27</f>
        <v>44797</v>
      </c>
      <c r="B28" s="271">
        <f>'Current month'!Y27</f>
        <v>0</v>
      </c>
      <c r="C28" s="344">
        <f>'Current month'!AE27</f>
        <v>0</v>
      </c>
      <c r="D28" s="271">
        <f>'Current month'!AG27</f>
        <v>0</v>
      </c>
      <c r="E28" s="271">
        <f>'Current month'!BU27</f>
        <v>0</v>
      </c>
      <c r="F28" s="271">
        <f>'Current month'!BY27</f>
        <v>0</v>
      </c>
      <c r="G28" s="271">
        <f>'Current month'!AQ27</f>
        <v>0</v>
      </c>
      <c r="H28" s="271">
        <f>'Current month'!BK27</f>
        <v>0</v>
      </c>
      <c r="I28" s="271">
        <f>'Current month'!AI27</f>
        <v>0</v>
      </c>
      <c r="J28" s="271">
        <f>'Current month'!BO27</f>
        <v>0</v>
      </c>
      <c r="K28" s="271">
        <f>'Current month'!BM27</f>
        <v>0</v>
      </c>
      <c r="L28" s="229"/>
      <c r="M28" s="229"/>
      <c r="N28" s="229"/>
      <c r="O28" s="271">
        <f>'Current month'!AW27</f>
        <v>0</v>
      </c>
      <c r="P28" s="271">
        <f>'Current month'!AY27</f>
        <v>0</v>
      </c>
      <c r="Q28" s="271">
        <f>'Current month'!BA27</f>
        <v>0</v>
      </c>
      <c r="R28" s="271">
        <f>'Current month'!BC27</f>
        <v>0</v>
      </c>
      <c r="S28" s="271">
        <f>'Current month'!BE27</f>
        <v>0</v>
      </c>
      <c r="T28" s="271">
        <f>'Current month'!BG27</f>
        <v>0</v>
      </c>
      <c r="U28" s="271">
        <f>'Current month'!BI27</f>
        <v>0</v>
      </c>
      <c r="V28" s="271">
        <f>'Current month'!BK27</f>
        <v>0</v>
      </c>
      <c r="W28" s="279">
        <f t="shared" si="0"/>
        <v>0</v>
      </c>
      <c r="X28" s="273">
        <f t="shared" si="26"/>
        <v>0</v>
      </c>
      <c r="Y28" s="279">
        <f t="shared" si="1"/>
        <v>0</v>
      </c>
      <c r="Z28" s="273">
        <f t="shared" si="2"/>
        <v>0</v>
      </c>
      <c r="AA28" s="279">
        <f t="shared" si="3"/>
        <v>0</v>
      </c>
      <c r="AB28" s="273">
        <f t="shared" si="4"/>
        <v>0</v>
      </c>
      <c r="AC28" s="279">
        <f t="shared" si="5"/>
        <v>0</v>
      </c>
      <c r="AD28" s="273">
        <f t="shared" si="6"/>
        <v>0</v>
      </c>
      <c r="AE28" s="279">
        <f t="shared" si="7"/>
        <v>0</v>
      </c>
      <c r="AF28" s="273">
        <f t="shared" si="8"/>
        <v>0</v>
      </c>
      <c r="AG28" s="273">
        <f t="shared" si="9"/>
        <v>0</v>
      </c>
      <c r="AH28" s="273">
        <f t="shared" si="27"/>
        <v>0</v>
      </c>
      <c r="AI28" s="279">
        <f t="shared" si="10"/>
        <v>0</v>
      </c>
      <c r="AJ28" s="273">
        <f t="shared" si="11"/>
        <v>0</v>
      </c>
      <c r="AK28" s="279">
        <f t="shared" si="12"/>
        <v>0</v>
      </c>
      <c r="AL28" s="273">
        <f t="shared" si="11"/>
        <v>0</v>
      </c>
      <c r="AM28" s="279">
        <f t="shared" si="28"/>
        <v>0</v>
      </c>
      <c r="AN28" s="273">
        <f t="shared" si="11"/>
        <v>0</v>
      </c>
      <c r="AO28" s="279">
        <f t="shared" si="13"/>
        <v>0</v>
      </c>
      <c r="AP28" s="273">
        <f t="shared" si="11"/>
        <v>0</v>
      </c>
      <c r="AQ28" s="279">
        <f t="shared" si="14"/>
        <v>0</v>
      </c>
      <c r="AR28" s="273">
        <f t="shared" si="11"/>
        <v>0</v>
      </c>
      <c r="AS28" s="279">
        <f t="shared" si="15"/>
        <v>0</v>
      </c>
      <c r="AT28" s="273">
        <f t="shared" si="11"/>
        <v>0</v>
      </c>
      <c r="AU28" s="279">
        <f t="shared" si="16"/>
        <v>0</v>
      </c>
      <c r="AV28" s="273">
        <f t="shared" si="11"/>
        <v>0</v>
      </c>
      <c r="AW28" s="279">
        <f t="shared" si="17"/>
        <v>0</v>
      </c>
      <c r="AX28" s="273">
        <f t="shared" si="11"/>
        <v>0</v>
      </c>
      <c r="AY28" s="279">
        <f t="shared" si="18"/>
        <v>0</v>
      </c>
      <c r="AZ28" s="273">
        <f t="shared" si="31"/>
        <v>0</v>
      </c>
      <c r="BA28" s="279">
        <f t="shared" si="20"/>
        <v>0</v>
      </c>
      <c r="BB28" s="273">
        <f t="shared" si="31"/>
        <v>0</v>
      </c>
      <c r="BC28" s="279">
        <f t="shared" si="21"/>
        <v>0</v>
      </c>
      <c r="BD28" s="273">
        <f t="shared" si="31"/>
        <v>0</v>
      </c>
      <c r="BE28" s="279">
        <f t="shared" si="22"/>
        <v>0</v>
      </c>
      <c r="BF28" s="273">
        <f t="shared" si="31"/>
        <v>0</v>
      </c>
      <c r="BG28" s="279">
        <f t="shared" si="23"/>
        <v>0</v>
      </c>
      <c r="BH28" s="273">
        <f t="shared" si="31"/>
        <v>0</v>
      </c>
      <c r="BI28" s="279">
        <f t="shared" si="24"/>
        <v>0</v>
      </c>
      <c r="BJ28" s="273">
        <f t="shared" si="31"/>
        <v>0</v>
      </c>
      <c r="BK28" s="279">
        <f t="shared" si="25"/>
        <v>0</v>
      </c>
      <c r="BL28" s="273">
        <f t="shared" si="31"/>
        <v>0</v>
      </c>
      <c r="BM28" s="273">
        <f t="shared" si="29"/>
        <v>0</v>
      </c>
      <c r="BN28" s="273">
        <f t="shared" si="30"/>
        <v>0</v>
      </c>
    </row>
    <row r="29" spans="1:66" ht="18" customHeight="1" thickBot="1">
      <c r="A29" s="343">
        <f>'Current month'!A28</f>
        <v>44798</v>
      </c>
      <c r="B29" s="271">
        <f>'Current month'!Y28</f>
        <v>0</v>
      </c>
      <c r="C29" s="344">
        <f>'Current month'!AE28</f>
        <v>0</v>
      </c>
      <c r="D29" s="271">
        <f>'Current month'!AG28</f>
        <v>0</v>
      </c>
      <c r="E29" s="271">
        <f>'Current month'!BU28</f>
        <v>0</v>
      </c>
      <c r="F29" s="271">
        <f>'Current month'!BY28</f>
        <v>0</v>
      </c>
      <c r="G29" s="271">
        <f>'Current month'!AQ28</f>
        <v>0</v>
      </c>
      <c r="H29" s="271">
        <f>'Current month'!BK28</f>
        <v>0</v>
      </c>
      <c r="I29" s="271">
        <f>'Current month'!AI28</f>
        <v>0</v>
      </c>
      <c r="J29" s="271">
        <f>'Current month'!BO28</f>
        <v>0</v>
      </c>
      <c r="K29" s="271">
        <f>'Current month'!BM28</f>
        <v>0</v>
      </c>
      <c r="L29" s="229"/>
      <c r="M29" s="229"/>
      <c r="N29" s="229"/>
      <c r="O29" s="271">
        <f>'Current month'!AW28</f>
        <v>0</v>
      </c>
      <c r="P29" s="271">
        <f>'Current month'!AY28</f>
        <v>0</v>
      </c>
      <c r="Q29" s="271">
        <f>'Current month'!BA28</f>
        <v>0</v>
      </c>
      <c r="R29" s="271">
        <f>'Current month'!BC28</f>
        <v>0</v>
      </c>
      <c r="S29" s="271">
        <f>'Current month'!BE28</f>
        <v>0</v>
      </c>
      <c r="T29" s="271">
        <f>'Current month'!BG28</f>
        <v>0</v>
      </c>
      <c r="U29" s="271">
        <f>'Current month'!BI28</f>
        <v>0</v>
      </c>
      <c r="V29" s="271">
        <f>'Current month'!BK28</f>
        <v>0</v>
      </c>
      <c r="W29" s="279">
        <f t="shared" si="0"/>
        <v>0</v>
      </c>
      <c r="X29" s="273">
        <f t="shared" si="26"/>
        <v>0</v>
      </c>
      <c r="Y29" s="279">
        <f t="shared" si="1"/>
        <v>0</v>
      </c>
      <c r="Z29" s="273">
        <f t="shared" si="2"/>
        <v>0</v>
      </c>
      <c r="AA29" s="279">
        <f t="shared" si="3"/>
        <v>0</v>
      </c>
      <c r="AB29" s="273">
        <f>AA29-AA28</f>
        <v>0</v>
      </c>
      <c r="AC29" s="279">
        <f t="shared" si="5"/>
        <v>0</v>
      </c>
      <c r="AD29" s="273">
        <f t="shared" si="6"/>
        <v>0</v>
      </c>
      <c r="AE29" s="279">
        <f t="shared" si="7"/>
        <v>0</v>
      </c>
      <c r="AF29" s="273">
        <f t="shared" si="8"/>
        <v>0</v>
      </c>
      <c r="AG29" s="273">
        <f t="shared" si="9"/>
        <v>0</v>
      </c>
      <c r="AH29" s="273">
        <f t="shared" si="27"/>
        <v>0</v>
      </c>
      <c r="AI29" s="279">
        <f t="shared" si="10"/>
        <v>0</v>
      </c>
      <c r="AJ29" s="273">
        <f t="shared" si="11"/>
        <v>0</v>
      </c>
      <c r="AK29" s="279">
        <f t="shared" si="12"/>
        <v>0</v>
      </c>
      <c r="AL29" s="273">
        <f t="shared" si="11"/>
        <v>0</v>
      </c>
      <c r="AM29" s="279">
        <f t="shared" si="28"/>
        <v>0</v>
      </c>
      <c r="AN29" s="273">
        <f t="shared" si="11"/>
        <v>0</v>
      </c>
      <c r="AO29" s="279">
        <f t="shared" si="13"/>
        <v>0</v>
      </c>
      <c r="AP29" s="273">
        <f t="shared" si="11"/>
        <v>0</v>
      </c>
      <c r="AQ29" s="279">
        <f t="shared" si="14"/>
        <v>0</v>
      </c>
      <c r="AR29" s="273">
        <f t="shared" si="11"/>
        <v>0</v>
      </c>
      <c r="AS29" s="279">
        <f t="shared" si="15"/>
        <v>0</v>
      </c>
      <c r="AT29" s="273">
        <f t="shared" si="11"/>
        <v>0</v>
      </c>
      <c r="AU29" s="279">
        <f t="shared" si="16"/>
        <v>0</v>
      </c>
      <c r="AV29" s="273">
        <f t="shared" si="11"/>
        <v>0</v>
      </c>
      <c r="AW29" s="279">
        <f t="shared" si="17"/>
        <v>0</v>
      </c>
      <c r="AX29" s="273">
        <f t="shared" si="11"/>
        <v>0</v>
      </c>
      <c r="AY29" s="279">
        <f t="shared" si="18"/>
        <v>0</v>
      </c>
      <c r="AZ29" s="273">
        <f t="shared" si="31"/>
        <v>0</v>
      </c>
      <c r="BA29" s="279">
        <f t="shared" si="20"/>
        <v>0</v>
      </c>
      <c r="BB29" s="273">
        <f t="shared" si="31"/>
        <v>0</v>
      </c>
      <c r="BC29" s="279">
        <f t="shared" si="21"/>
        <v>0</v>
      </c>
      <c r="BD29" s="273">
        <f t="shared" si="31"/>
        <v>0</v>
      </c>
      <c r="BE29" s="279">
        <f t="shared" si="22"/>
        <v>0</v>
      </c>
      <c r="BF29" s="273">
        <f t="shared" si="31"/>
        <v>0</v>
      </c>
      <c r="BG29" s="279">
        <f t="shared" si="23"/>
        <v>0</v>
      </c>
      <c r="BH29" s="273">
        <f t="shared" si="31"/>
        <v>0</v>
      </c>
      <c r="BI29" s="279">
        <f t="shared" si="24"/>
        <v>0</v>
      </c>
      <c r="BJ29" s="273">
        <f t="shared" si="31"/>
        <v>0</v>
      </c>
      <c r="BK29" s="279">
        <f t="shared" si="25"/>
        <v>0</v>
      </c>
      <c r="BL29" s="273">
        <f t="shared" si="31"/>
        <v>0</v>
      </c>
      <c r="BM29" s="273">
        <f t="shared" si="29"/>
        <v>0</v>
      </c>
      <c r="BN29" s="273">
        <f t="shared" si="30"/>
        <v>0</v>
      </c>
    </row>
    <row r="30" spans="1:66" ht="18" customHeight="1" thickBot="1">
      <c r="A30" s="343">
        <f>'Current month'!A29</f>
        <v>44799</v>
      </c>
      <c r="B30" s="271">
        <f>'Current month'!Y29</f>
        <v>0</v>
      </c>
      <c r="C30" s="344">
        <f>'Current month'!AE29</f>
        <v>0</v>
      </c>
      <c r="D30" s="271">
        <f>'Current month'!AG29</f>
        <v>0</v>
      </c>
      <c r="E30" s="271">
        <f>'Current month'!BU29</f>
        <v>0</v>
      </c>
      <c r="F30" s="271">
        <f>'Current month'!BY29</f>
        <v>0</v>
      </c>
      <c r="G30" s="271">
        <f>'Current month'!AQ29</f>
        <v>0</v>
      </c>
      <c r="H30" s="271">
        <f>'Current month'!BK29</f>
        <v>0</v>
      </c>
      <c r="I30" s="271">
        <f>'Current month'!AI29</f>
        <v>0</v>
      </c>
      <c r="J30" s="271">
        <f>'Current month'!BO29</f>
        <v>0</v>
      </c>
      <c r="K30" s="271">
        <f>'Current month'!BM29</f>
        <v>0</v>
      </c>
      <c r="L30" s="271"/>
      <c r="M30" s="271"/>
      <c r="N30" s="271"/>
      <c r="O30" s="271">
        <f>'Current month'!AW29</f>
        <v>0</v>
      </c>
      <c r="P30" s="271">
        <f>'Current month'!AY29</f>
        <v>0</v>
      </c>
      <c r="Q30" s="271">
        <f>'Current month'!BA29</f>
        <v>0</v>
      </c>
      <c r="R30" s="271">
        <f>'Current month'!BC29</f>
        <v>0</v>
      </c>
      <c r="S30" s="271">
        <f>'Current month'!BE29</f>
        <v>0</v>
      </c>
      <c r="T30" s="271">
        <f>'Current month'!BG29</f>
        <v>0</v>
      </c>
      <c r="U30" s="271">
        <f>'Current month'!BI29</f>
        <v>0</v>
      </c>
      <c r="V30" s="271">
        <f>'Current month'!BK29</f>
        <v>0</v>
      </c>
      <c r="W30" s="279">
        <f t="shared" si="0"/>
        <v>0</v>
      </c>
      <c r="X30" s="273">
        <f t="shared" si="26"/>
        <v>0</v>
      </c>
      <c r="Y30" s="279">
        <f t="shared" si="1"/>
        <v>0</v>
      </c>
      <c r="Z30" s="273">
        <f t="shared" si="2"/>
        <v>0</v>
      </c>
      <c r="AA30" s="279">
        <f t="shared" si="3"/>
        <v>0</v>
      </c>
      <c r="AB30" s="273">
        <f t="shared" si="4"/>
        <v>0</v>
      </c>
      <c r="AC30" s="279">
        <f t="shared" si="5"/>
        <v>0</v>
      </c>
      <c r="AD30" s="273">
        <f t="shared" si="6"/>
        <v>0</v>
      </c>
      <c r="AE30" s="279">
        <f t="shared" si="7"/>
        <v>0</v>
      </c>
      <c r="AF30" s="273">
        <f t="shared" si="8"/>
        <v>0</v>
      </c>
      <c r="AG30" s="273">
        <f t="shared" si="9"/>
        <v>0</v>
      </c>
      <c r="AH30" s="273">
        <f t="shared" si="27"/>
        <v>0</v>
      </c>
      <c r="AI30" s="279">
        <f t="shared" si="10"/>
        <v>0</v>
      </c>
      <c r="AJ30" s="273">
        <f t="shared" si="11"/>
        <v>0</v>
      </c>
      <c r="AK30" s="279">
        <f t="shared" si="12"/>
        <v>0</v>
      </c>
      <c r="AL30" s="273">
        <f t="shared" si="11"/>
        <v>0</v>
      </c>
      <c r="AM30" s="279">
        <f t="shared" si="28"/>
        <v>0</v>
      </c>
      <c r="AN30" s="273">
        <f t="shared" si="11"/>
        <v>0</v>
      </c>
      <c r="AO30" s="279">
        <f t="shared" si="13"/>
        <v>0</v>
      </c>
      <c r="AP30" s="273">
        <f t="shared" si="11"/>
        <v>0</v>
      </c>
      <c r="AQ30" s="279">
        <f t="shared" si="14"/>
        <v>0</v>
      </c>
      <c r="AR30" s="273">
        <f t="shared" si="11"/>
        <v>0</v>
      </c>
      <c r="AS30" s="279">
        <f t="shared" si="15"/>
        <v>0</v>
      </c>
      <c r="AT30" s="273">
        <f t="shared" si="11"/>
        <v>0</v>
      </c>
      <c r="AU30" s="279">
        <f t="shared" si="16"/>
        <v>0</v>
      </c>
      <c r="AV30" s="273">
        <f t="shared" si="11"/>
        <v>0</v>
      </c>
      <c r="AW30" s="279">
        <f t="shared" si="17"/>
        <v>0</v>
      </c>
      <c r="AX30" s="273">
        <f t="shared" si="11"/>
        <v>0</v>
      </c>
      <c r="AY30" s="279">
        <f t="shared" si="18"/>
        <v>0</v>
      </c>
      <c r="AZ30" s="273">
        <f t="shared" si="31"/>
        <v>0</v>
      </c>
      <c r="BA30" s="279">
        <f t="shared" si="20"/>
        <v>0</v>
      </c>
      <c r="BB30" s="273">
        <f t="shared" si="31"/>
        <v>0</v>
      </c>
      <c r="BC30" s="279">
        <f t="shared" si="21"/>
        <v>0</v>
      </c>
      <c r="BD30" s="273">
        <f t="shared" si="31"/>
        <v>0</v>
      </c>
      <c r="BE30" s="279">
        <f t="shared" si="22"/>
        <v>0</v>
      </c>
      <c r="BF30" s="273">
        <f t="shared" si="31"/>
        <v>0</v>
      </c>
      <c r="BG30" s="279">
        <f t="shared" si="23"/>
        <v>0</v>
      </c>
      <c r="BH30" s="273">
        <f t="shared" si="31"/>
        <v>0</v>
      </c>
      <c r="BI30" s="279">
        <f t="shared" si="24"/>
        <v>0</v>
      </c>
      <c r="BJ30" s="273">
        <f t="shared" si="31"/>
        <v>0</v>
      </c>
      <c r="BK30" s="279">
        <f t="shared" si="25"/>
        <v>0</v>
      </c>
      <c r="BL30" s="273">
        <f t="shared" si="31"/>
        <v>0</v>
      </c>
      <c r="BM30" s="273">
        <f t="shared" si="29"/>
        <v>0</v>
      </c>
      <c r="BN30" s="273">
        <f t="shared" si="30"/>
        <v>0</v>
      </c>
    </row>
    <row r="31" spans="1:66" ht="18" customHeight="1" thickBot="1">
      <c r="A31" s="343">
        <f>'Current month'!A30</f>
        <v>44800</v>
      </c>
      <c r="B31" s="271">
        <f>'Current month'!Y30</f>
        <v>0</v>
      </c>
      <c r="C31" s="344">
        <f>'Current month'!AE30</f>
        <v>0</v>
      </c>
      <c r="D31" s="271">
        <f>'Current month'!AG30</f>
        <v>0</v>
      </c>
      <c r="E31" s="271">
        <f>'Current month'!BU30</f>
        <v>0</v>
      </c>
      <c r="F31" s="271">
        <f>'Current month'!BY30</f>
        <v>0</v>
      </c>
      <c r="G31" s="271">
        <f>'Current month'!AQ30</f>
        <v>0</v>
      </c>
      <c r="H31" s="271">
        <f>'Current month'!BK30</f>
        <v>0</v>
      </c>
      <c r="I31" s="271">
        <f>'Current month'!AI30</f>
        <v>0</v>
      </c>
      <c r="J31" s="271">
        <f>'Current month'!BO30</f>
        <v>0</v>
      </c>
      <c r="K31" s="271">
        <f>'Current month'!BM30</f>
        <v>0</v>
      </c>
      <c r="L31" s="231"/>
      <c r="M31" s="231"/>
      <c r="N31" s="231"/>
      <c r="O31" s="271">
        <f>'Current month'!AW30</f>
        <v>0</v>
      </c>
      <c r="P31" s="271">
        <f>'Current month'!AY30</f>
        <v>0</v>
      </c>
      <c r="Q31" s="271">
        <f>'Current month'!BA30</f>
        <v>0</v>
      </c>
      <c r="R31" s="271">
        <f>'Current month'!BC30</f>
        <v>0</v>
      </c>
      <c r="S31" s="271">
        <f>'Current month'!BE30</f>
        <v>0</v>
      </c>
      <c r="T31" s="271">
        <f>'Current month'!BG30</f>
        <v>0</v>
      </c>
      <c r="U31" s="271">
        <f>'Current month'!BI30</f>
        <v>0</v>
      </c>
      <c r="V31" s="271">
        <f>'Current month'!BK30</f>
        <v>0</v>
      </c>
      <c r="W31" s="279">
        <f t="shared" si="0"/>
        <v>0</v>
      </c>
      <c r="X31" s="273">
        <f t="shared" si="26"/>
        <v>0</v>
      </c>
      <c r="Y31" s="279">
        <f t="shared" si="1"/>
        <v>0</v>
      </c>
      <c r="Z31" s="273">
        <f t="shared" si="2"/>
        <v>0</v>
      </c>
      <c r="AA31" s="279">
        <f t="shared" si="3"/>
        <v>0</v>
      </c>
      <c r="AB31" s="273">
        <f t="shared" si="4"/>
        <v>0</v>
      </c>
      <c r="AC31" s="279">
        <f t="shared" si="5"/>
        <v>0</v>
      </c>
      <c r="AD31" s="273">
        <f t="shared" si="6"/>
        <v>0</v>
      </c>
      <c r="AE31" s="279">
        <f t="shared" si="7"/>
        <v>0</v>
      </c>
      <c r="AF31" s="273">
        <f t="shared" si="8"/>
        <v>0</v>
      </c>
      <c r="AG31" s="273">
        <f t="shared" si="9"/>
        <v>0</v>
      </c>
      <c r="AH31" s="273">
        <f t="shared" si="27"/>
        <v>0</v>
      </c>
      <c r="AI31" s="279">
        <f t="shared" si="10"/>
        <v>0</v>
      </c>
      <c r="AJ31" s="273">
        <f t="shared" si="11"/>
        <v>0</v>
      </c>
      <c r="AK31" s="279">
        <f t="shared" si="12"/>
        <v>0</v>
      </c>
      <c r="AL31" s="273">
        <f t="shared" si="11"/>
        <v>0</v>
      </c>
      <c r="AM31" s="279">
        <f t="shared" si="28"/>
        <v>0</v>
      </c>
      <c r="AN31" s="273">
        <f t="shared" si="11"/>
        <v>0</v>
      </c>
      <c r="AO31" s="279">
        <f t="shared" si="13"/>
        <v>0</v>
      </c>
      <c r="AP31" s="273"/>
      <c r="AQ31" s="279">
        <f t="shared" si="14"/>
        <v>0</v>
      </c>
      <c r="AR31" s="273">
        <f t="shared" si="11"/>
        <v>0</v>
      </c>
      <c r="AS31" s="279">
        <f t="shared" si="15"/>
        <v>0</v>
      </c>
      <c r="AT31" s="273">
        <f t="shared" si="11"/>
        <v>0</v>
      </c>
      <c r="AU31" s="279">
        <f t="shared" si="16"/>
        <v>0</v>
      </c>
      <c r="AV31" s="273">
        <f t="shared" si="11"/>
        <v>0</v>
      </c>
      <c r="AW31" s="279">
        <f t="shared" si="17"/>
        <v>0</v>
      </c>
      <c r="AX31" s="273">
        <f t="shared" si="11"/>
        <v>0</v>
      </c>
      <c r="AY31" s="279">
        <f t="shared" si="18"/>
        <v>0</v>
      </c>
      <c r="AZ31" s="273">
        <f t="shared" si="31"/>
        <v>0</v>
      </c>
      <c r="BA31" s="279">
        <f t="shared" si="20"/>
        <v>0</v>
      </c>
      <c r="BB31" s="273">
        <f t="shared" si="31"/>
        <v>0</v>
      </c>
      <c r="BC31" s="279">
        <f t="shared" si="21"/>
        <v>0</v>
      </c>
      <c r="BD31" s="273">
        <f t="shared" si="31"/>
        <v>0</v>
      </c>
      <c r="BE31" s="279">
        <f t="shared" si="22"/>
        <v>0</v>
      </c>
      <c r="BF31" s="273">
        <f t="shared" si="31"/>
        <v>0</v>
      </c>
      <c r="BG31" s="279">
        <f t="shared" si="23"/>
        <v>0</v>
      </c>
      <c r="BH31" s="273">
        <f t="shared" si="31"/>
        <v>0</v>
      </c>
      <c r="BI31" s="279">
        <f t="shared" si="24"/>
        <v>0</v>
      </c>
      <c r="BJ31" s="273">
        <f t="shared" si="31"/>
        <v>0</v>
      </c>
      <c r="BK31" s="279">
        <f t="shared" si="25"/>
        <v>0</v>
      </c>
      <c r="BL31" s="273">
        <f t="shared" si="31"/>
        <v>0</v>
      </c>
      <c r="BM31" s="273">
        <f t="shared" si="29"/>
        <v>0</v>
      </c>
      <c r="BN31" s="273">
        <f t="shared" si="30"/>
        <v>0</v>
      </c>
    </row>
    <row r="32" spans="1:66" ht="18" customHeight="1" thickBot="1">
      <c r="A32" s="343">
        <f>'Current month'!A31</f>
        <v>44801</v>
      </c>
      <c r="B32" s="271">
        <f>'Current month'!Y31</f>
        <v>0</v>
      </c>
      <c r="C32" s="344">
        <f>'Current month'!AE31</f>
        <v>0</v>
      </c>
      <c r="D32" s="271">
        <f>'Current month'!AG31</f>
        <v>0</v>
      </c>
      <c r="E32" s="271">
        <f>'Current month'!BU31</f>
        <v>0</v>
      </c>
      <c r="F32" s="271">
        <f>'Current month'!BY31</f>
        <v>0</v>
      </c>
      <c r="G32" s="271">
        <f>'Current month'!AQ31</f>
        <v>0</v>
      </c>
      <c r="H32" s="271">
        <f>'Current month'!BK31</f>
        <v>0</v>
      </c>
      <c r="I32" s="271">
        <f>'Current month'!AI31</f>
        <v>0</v>
      </c>
      <c r="J32" s="271">
        <f>'Current month'!BO31</f>
        <v>0</v>
      </c>
      <c r="K32" s="271">
        <f>'Current month'!BM31</f>
        <v>0</v>
      </c>
      <c r="L32" s="229"/>
      <c r="M32" s="229"/>
      <c r="N32" s="229"/>
      <c r="O32" s="271">
        <f>'Current month'!AW31</f>
        <v>0</v>
      </c>
      <c r="P32" s="271">
        <f>'Current month'!AY31</f>
        <v>0</v>
      </c>
      <c r="Q32" s="271">
        <f>'Current month'!BA31</f>
        <v>0</v>
      </c>
      <c r="R32" s="271">
        <f>'Current month'!BC31</f>
        <v>0</v>
      </c>
      <c r="S32" s="271">
        <f>'Current month'!BE31</f>
        <v>0</v>
      </c>
      <c r="T32" s="271">
        <f>'Current month'!BG31</f>
        <v>0</v>
      </c>
      <c r="U32" s="271">
        <f>'Current month'!BI31</f>
        <v>0</v>
      </c>
      <c r="V32" s="271">
        <f>'Current month'!BK31</f>
        <v>0</v>
      </c>
      <c r="W32" s="279">
        <f t="shared" si="0"/>
        <v>0</v>
      </c>
      <c r="X32" s="273">
        <f t="shared" si="26"/>
        <v>0</v>
      </c>
      <c r="Y32" s="279">
        <f t="shared" si="1"/>
        <v>0</v>
      </c>
      <c r="Z32" s="273">
        <f t="shared" si="2"/>
        <v>0</v>
      </c>
      <c r="AA32" s="279">
        <f t="shared" si="3"/>
        <v>0</v>
      </c>
      <c r="AB32" s="273">
        <f t="shared" si="4"/>
        <v>0</v>
      </c>
      <c r="AC32" s="279">
        <f t="shared" si="5"/>
        <v>0</v>
      </c>
      <c r="AD32" s="273">
        <f t="shared" si="6"/>
        <v>0</v>
      </c>
      <c r="AE32" s="279">
        <f t="shared" si="7"/>
        <v>0</v>
      </c>
      <c r="AF32" s="273">
        <f t="shared" si="8"/>
        <v>0</v>
      </c>
      <c r="AG32" s="273">
        <f t="shared" si="9"/>
        <v>0</v>
      </c>
      <c r="AH32" s="273">
        <f t="shared" si="27"/>
        <v>0</v>
      </c>
      <c r="AI32" s="279">
        <f t="shared" si="10"/>
        <v>0</v>
      </c>
      <c r="AJ32" s="273">
        <f t="shared" si="11"/>
        <v>0</v>
      </c>
      <c r="AK32" s="279">
        <f t="shared" si="12"/>
        <v>0</v>
      </c>
      <c r="AL32" s="273">
        <f t="shared" si="11"/>
        <v>0</v>
      </c>
      <c r="AM32" s="279">
        <f t="shared" si="28"/>
        <v>0</v>
      </c>
      <c r="AN32" s="273">
        <f t="shared" si="11"/>
        <v>0</v>
      </c>
      <c r="AO32" s="279">
        <f t="shared" si="13"/>
        <v>0</v>
      </c>
      <c r="AP32" s="273">
        <f t="shared" si="11"/>
        <v>0</v>
      </c>
      <c r="AQ32" s="279">
        <f t="shared" si="14"/>
        <v>0</v>
      </c>
      <c r="AR32" s="273">
        <f t="shared" si="11"/>
        <v>0</v>
      </c>
      <c r="AS32" s="279">
        <f t="shared" si="15"/>
        <v>0</v>
      </c>
      <c r="AT32" s="273">
        <f t="shared" si="11"/>
        <v>0</v>
      </c>
      <c r="AU32" s="279">
        <f t="shared" si="16"/>
        <v>0</v>
      </c>
      <c r="AV32" s="273">
        <f t="shared" si="11"/>
        <v>0</v>
      </c>
      <c r="AW32" s="279">
        <f t="shared" si="17"/>
        <v>0</v>
      </c>
      <c r="AX32" s="273">
        <f t="shared" si="11"/>
        <v>0</v>
      </c>
      <c r="AY32" s="279">
        <f t="shared" si="18"/>
        <v>0</v>
      </c>
      <c r="AZ32" s="273">
        <f t="shared" si="31"/>
        <v>0</v>
      </c>
      <c r="BA32" s="279">
        <f t="shared" si="20"/>
        <v>0</v>
      </c>
      <c r="BB32" s="273">
        <f t="shared" si="31"/>
        <v>0</v>
      </c>
      <c r="BC32" s="279">
        <f t="shared" si="21"/>
        <v>0</v>
      </c>
      <c r="BD32" s="273">
        <f t="shared" si="31"/>
        <v>0</v>
      </c>
      <c r="BE32" s="279">
        <f t="shared" si="22"/>
        <v>0</v>
      </c>
      <c r="BF32" s="273">
        <f t="shared" si="31"/>
        <v>0</v>
      </c>
      <c r="BG32" s="279">
        <f t="shared" si="23"/>
        <v>0</v>
      </c>
      <c r="BH32" s="273">
        <f t="shared" si="31"/>
        <v>0</v>
      </c>
      <c r="BI32" s="279">
        <f t="shared" si="24"/>
        <v>0</v>
      </c>
      <c r="BJ32" s="273">
        <f t="shared" si="31"/>
        <v>0</v>
      </c>
      <c r="BK32" s="279">
        <f t="shared" si="25"/>
        <v>0</v>
      </c>
      <c r="BL32" s="273">
        <f t="shared" si="31"/>
        <v>0</v>
      </c>
      <c r="BM32" s="273">
        <f t="shared" si="29"/>
        <v>0</v>
      </c>
      <c r="BN32" s="273">
        <f t="shared" si="30"/>
        <v>0</v>
      </c>
    </row>
    <row r="33" spans="1:66" ht="18" customHeight="1" thickBot="1">
      <c r="A33" s="343">
        <f>'Current month'!A32</f>
        <v>44802</v>
      </c>
      <c r="B33" s="271">
        <f>'Current month'!Y32</f>
        <v>0</v>
      </c>
      <c r="C33" s="344">
        <f>'Current month'!AE32</f>
        <v>0</v>
      </c>
      <c r="D33" s="271">
        <f>'Current month'!AG32</f>
        <v>0</v>
      </c>
      <c r="E33" s="271">
        <f>'Current month'!BU32</f>
        <v>0</v>
      </c>
      <c r="F33" s="271">
        <f>'Current month'!BY32</f>
        <v>0</v>
      </c>
      <c r="G33" s="271">
        <f>'Current month'!AQ32</f>
        <v>0</v>
      </c>
      <c r="H33" s="271">
        <f>'Current month'!BK32</f>
        <v>0</v>
      </c>
      <c r="I33" s="271">
        <f>'Current month'!AI32</f>
        <v>0</v>
      </c>
      <c r="J33" s="271">
        <f>'Current month'!BO32</f>
        <v>0</v>
      </c>
      <c r="K33" s="271">
        <f>'Current month'!BM32</f>
        <v>0</v>
      </c>
      <c r="L33" s="229"/>
      <c r="M33" s="229"/>
      <c r="N33" s="229"/>
      <c r="O33" s="271">
        <f>'Current month'!AW32</f>
        <v>0</v>
      </c>
      <c r="P33" s="271">
        <f>'Current month'!AY32</f>
        <v>0</v>
      </c>
      <c r="Q33" s="271">
        <f>'Current month'!BA32</f>
        <v>0</v>
      </c>
      <c r="R33" s="271">
        <f>'Current month'!BC32</f>
        <v>0</v>
      </c>
      <c r="S33" s="271">
        <f>'Current month'!BE32</f>
        <v>0</v>
      </c>
      <c r="T33" s="271">
        <f>'Current month'!BG32</f>
        <v>0</v>
      </c>
      <c r="U33" s="271">
        <f>'Current month'!BI32</f>
        <v>0</v>
      </c>
      <c r="V33" s="271">
        <f>'Current month'!BK32</f>
        <v>0</v>
      </c>
      <c r="W33" s="279">
        <f t="shared" si="0"/>
        <v>0</v>
      </c>
      <c r="X33" s="273">
        <f t="shared" si="26"/>
        <v>0</v>
      </c>
      <c r="Y33" s="279">
        <f t="shared" si="1"/>
        <v>0</v>
      </c>
      <c r="Z33" s="273">
        <f t="shared" si="2"/>
        <v>0</v>
      </c>
      <c r="AA33" s="279">
        <f t="shared" si="3"/>
        <v>0</v>
      </c>
      <c r="AB33" s="273">
        <f t="shared" si="4"/>
        <v>0</v>
      </c>
      <c r="AC33" s="279">
        <f t="shared" si="5"/>
        <v>0</v>
      </c>
      <c r="AD33" s="273">
        <f t="shared" si="6"/>
        <v>0</v>
      </c>
      <c r="AE33" s="279">
        <f t="shared" si="7"/>
        <v>0</v>
      </c>
      <c r="AF33" s="273">
        <f t="shared" si="8"/>
        <v>0</v>
      </c>
      <c r="AG33" s="273">
        <f t="shared" si="9"/>
        <v>0</v>
      </c>
      <c r="AH33" s="273">
        <f t="shared" si="27"/>
        <v>0</v>
      </c>
      <c r="AI33" s="279">
        <f t="shared" si="10"/>
        <v>0</v>
      </c>
      <c r="AJ33" s="273">
        <f t="shared" si="11"/>
        <v>0</v>
      </c>
      <c r="AK33" s="279">
        <f t="shared" si="12"/>
        <v>0</v>
      </c>
      <c r="AL33" s="273">
        <f t="shared" si="11"/>
        <v>0</v>
      </c>
      <c r="AM33" s="279">
        <f t="shared" si="28"/>
        <v>0</v>
      </c>
      <c r="AN33" s="273">
        <f t="shared" si="11"/>
        <v>0</v>
      </c>
      <c r="AO33" s="279">
        <f t="shared" si="13"/>
        <v>0</v>
      </c>
      <c r="AP33" s="273">
        <f t="shared" si="11"/>
        <v>0</v>
      </c>
      <c r="AQ33" s="279">
        <f t="shared" si="14"/>
        <v>0</v>
      </c>
      <c r="AR33" s="273">
        <f t="shared" si="11"/>
        <v>0</v>
      </c>
      <c r="AS33" s="279">
        <f t="shared" si="15"/>
        <v>0</v>
      </c>
      <c r="AT33" s="273">
        <f t="shared" si="11"/>
        <v>0</v>
      </c>
      <c r="AU33" s="279">
        <f t="shared" si="16"/>
        <v>0</v>
      </c>
      <c r="AV33" s="273">
        <f t="shared" si="11"/>
        <v>0</v>
      </c>
      <c r="AW33" s="279">
        <f t="shared" si="17"/>
        <v>0</v>
      </c>
      <c r="AX33" s="273">
        <f t="shared" si="11"/>
        <v>0</v>
      </c>
      <c r="AY33" s="279">
        <f t="shared" si="18"/>
        <v>0</v>
      </c>
      <c r="AZ33" s="273">
        <f t="shared" si="31"/>
        <v>0</v>
      </c>
      <c r="BA33" s="279">
        <f t="shared" si="20"/>
        <v>0</v>
      </c>
      <c r="BB33" s="273">
        <f t="shared" si="31"/>
        <v>0</v>
      </c>
      <c r="BC33" s="279">
        <f t="shared" si="21"/>
        <v>0</v>
      </c>
      <c r="BD33" s="273">
        <f t="shared" si="31"/>
        <v>0</v>
      </c>
      <c r="BE33" s="279">
        <f t="shared" si="22"/>
        <v>0</v>
      </c>
      <c r="BF33" s="273">
        <f t="shared" si="31"/>
        <v>0</v>
      </c>
      <c r="BG33" s="279">
        <f t="shared" si="23"/>
        <v>0</v>
      </c>
      <c r="BH33" s="273">
        <f t="shared" si="31"/>
        <v>0</v>
      </c>
      <c r="BI33" s="279">
        <f t="shared" si="24"/>
        <v>0</v>
      </c>
      <c r="BJ33" s="273">
        <f t="shared" si="31"/>
        <v>0</v>
      </c>
      <c r="BK33" s="279">
        <f t="shared" si="25"/>
        <v>0</v>
      </c>
      <c r="BL33" s="273">
        <f t="shared" si="31"/>
        <v>0</v>
      </c>
      <c r="BM33" s="273">
        <f t="shared" si="29"/>
        <v>0</v>
      </c>
      <c r="BN33" s="273">
        <f t="shared" si="30"/>
        <v>0</v>
      </c>
    </row>
    <row r="34" spans="1:66" ht="18" customHeight="1" thickBot="1">
      <c r="A34" s="343">
        <f>'Current month'!A33</f>
        <v>44803</v>
      </c>
      <c r="B34" s="271"/>
      <c r="C34" s="344"/>
      <c r="D34" s="271"/>
      <c r="E34" s="271"/>
      <c r="F34" s="271">
        <f>'Current month'!BY33</f>
        <v>0</v>
      </c>
      <c r="G34" s="271">
        <f>'Current month'!AQ33</f>
        <v>0</v>
      </c>
      <c r="H34" s="271">
        <f>'Current month'!BK33</f>
        <v>0</v>
      </c>
      <c r="I34" s="271">
        <f>'Current month'!AI33</f>
        <v>0</v>
      </c>
      <c r="J34" s="271">
        <f>'Current month'!BO33</f>
        <v>0</v>
      </c>
      <c r="K34" s="271">
        <f>'Current month'!BM33</f>
        <v>0</v>
      </c>
      <c r="L34" s="229"/>
      <c r="M34" s="229"/>
      <c r="N34" s="229"/>
      <c r="O34" s="271">
        <f>'Current month'!AW33</f>
        <v>0</v>
      </c>
      <c r="P34" s="271">
        <f>'Current month'!AY33</f>
        <v>0</v>
      </c>
      <c r="Q34" s="271">
        <f>'Current month'!BA33</f>
        <v>0</v>
      </c>
      <c r="R34" s="271">
        <f>'Current month'!BC33</f>
        <v>0</v>
      </c>
      <c r="S34" s="271">
        <f>'Current month'!BE33</f>
        <v>0</v>
      </c>
      <c r="T34" s="271">
        <f>'Current month'!BG33</f>
        <v>0</v>
      </c>
      <c r="U34" s="271">
        <f>'Current month'!BI33</f>
        <v>0</v>
      </c>
      <c r="V34" s="271">
        <f>'Current month'!BK33</f>
        <v>0</v>
      </c>
      <c r="W34" s="279">
        <f t="shared" si="0"/>
        <v>0</v>
      </c>
      <c r="X34" s="273">
        <f t="shared" si="26"/>
        <v>0</v>
      </c>
      <c r="Y34" s="279">
        <f t="shared" si="1"/>
        <v>0</v>
      </c>
      <c r="Z34" s="273">
        <f t="shared" si="2"/>
        <v>0</v>
      </c>
      <c r="AA34" s="279">
        <f t="shared" si="3"/>
        <v>0</v>
      </c>
      <c r="AB34" s="273">
        <f t="shared" si="4"/>
        <v>0</v>
      </c>
      <c r="AC34" s="279">
        <f t="shared" si="5"/>
        <v>0</v>
      </c>
      <c r="AD34" s="273">
        <f t="shared" si="6"/>
        <v>0</v>
      </c>
      <c r="AE34" s="279">
        <f t="shared" si="7"/>
        <v>0</v>
      </c>
      <c r="AF34" s="273">
        <f t="shared" si="8"/>
        <v>0</v>
      </c>
      <c r="AG34" s="273">
        <f t="shared" si="9"/>
        <v>0</v>
      </c>
      <c r="AH34" s="273">
        <f t="shared" si="27"/>
        <v>0</v>
      </c>
      <c r="AI34" s="279">
        <f t="shared" si="10"/>
        <v>0</v>
      </c>
      <c r="AJ34" s="273">
        <f t="shared" si="11"/>
        <v>0</v>
      </c>
      <c r="AK34" s="279">
        <f t="shared" si="12"/>
        <v>0</v>
      </c>
      <c r="AL34" s="273">
        <f t="shared" si="11"/>
        <v>0</v>
      </c>
      <c r="AM34" s="279">
        <f t="shared" si="28"/>
        <v>0</v>
      </c>
      <c r="AN34" s="273">
        <f t="shared" si="11"/>
        <v>0</v>
      </c>
      <c r="AO34" s="279">
        <f t="shared" si="13"/>
        <v>0</v>
      </c>
      <c r="AP34" s="273">
        <f t="shared" si="11"/>
        <v>0</v>
      </c>
      <c r="AQ34" s="279">
        <f t="shared" si="14"/>
        <v>0</v>
      </c>
      <c r="AR34" s="273">
        <f t="shared" si="11"/>
        <v>0</v>
      </c>
      <c r="AS34" s="279">
        <f t="shared" si="15"/>
        <v>0</v>
      </c>
      <c r="AT34" s="273">
        <f t="shared" si="11"/>
        <v>0</v>
      </c>
      <c r="AU34" s="279">
        <f t="shared" si="16"/>
        <v>0</v>
      </c>
      <c r="AV34" s="273">
        <f t="shared" si="11"/>
        <v>0</v>
      </c>
      <c r="AW34" s="279">
        <f t="shared" si="17"/>
        <v>0</v>
      </c>
      <c r="AX34" s="273">
        <f t="shared" si="11"/>
        <v>0</v>
      </c>
      <c r="AY34" s="279">
        <f t="shared" si="18"/>
        <v>0</v>
      </c>
      <c r="AZ34" s="273">
        <f t="shared" si="31"/>
        <v>0</v>
      </c>
      <c r="BA34" s="279">
        <f t="shared" si="20"/>
        <v>0</v>
      </c>
      <c r="BB34" s="273">
        <f t="shared" si="31"/>
        <v>0</v>
      </c>
      <c r="BC34" s="279">
        <f t="shared" si="21"/>
        <v>0</v>
      </c>
      <c r="BD34" s="273">
        <f t="shared" si="31"/>
        <v>0</v>
      </c>
      <c r="BE34" s="279">
        <f t="shared" si="22"/>
        <v>0</v>
      </c>
      <c r="BF34" s="273">
        <f t="shared" si="31"/>
        <v>0</v>
      </c>
      <c r="BG34" s="279">
        <f t="shared" si="23"/>
        <v>0</v>
      </c>
      <c r="BH34" s="273">
        <f t="shared" si="31"/>
        <v>0</v>
      </c>
      <c r="BI34" s="279">
        <f t="shared" si="24"/>
        <v>0</v>
      </c>
      <c r="BJ34" s="273">
        <f t="shared" si="31"/>
        <v>0</v>
      </c>
      <c r="BK34" s="279">
        <f t="shared" si="25"/>
        <v>0</v>
      </c>
      <c r="BL34" s="273">
        <f t="shared" si="31"/>
        <v>0</v>
      </c>
      <c r="BM34" s="273">
        <f t="shared" si="29"/>
        <v>0</v>
      </c>
      <c r="BN34" s="273">
        <f t="shared" si="30"/>
        <v>0</v>
      </c>
    </row>
    <row r="35" spans="1:66" ht="18" customHeight="1" thickBot="1">
      <c r="A35" s="343" t="e">
        <f>'Current month'!#REF!</f>
        <v>#REF!</v>
      </c>
      <c r="B35" s="271" t="e">
        <f>'Current month'!#REF!</f>
        <v>#REF!</v>
      </c>
      <c r="C35" s="344" t="e">
        <f>'Current month'!#REF!</f>
        <v>#REF!</v>
      </c>
      <c r="D35" s="271" t="e">
        <f>'Current month'!#REF!</f>
        <v>#REF!</v>
      </c>
      <c r="E35" s="271" t="e">
        <f>'Current month'!#REF!</f>
        <v>#REF!</v>
      </c>
      <c r="F35" s="271" t="e">
        <f>'Current month'!#REF!</f>
        <v>#REF!</v>
      </c>
      <c r="G35" s="271" t="e">
        <f>'Current month'!#REF!</f>
        <v>#REF!</v>
      </c>
      <c r="H35" s="271" t="e">
        <f>'Current month'!#REF!</f>
        <v>#REF!</v>
      </c>
      <c r="I35" s="271" t="e">
        <f>'Current month'!#REF!</f>
        <v>#REF!</v>
      </c>
      <c r="J35" s="271" t="e">
        <f>'Current month'!#REF!</f>
        <v>#REF!</v>
      </c>
      <c r="K35" s="271" t="e">
        <f>'Current month'!#REF!</f>
        <v>#REF!</v>
      </c>
      <c r="L35" s="229"/>
      <c r="M35" s="229"/>
      <c r="N35" s="229"/>
      <c r="O35" s="271" t="e">
        <f>'Current month'!#REF!</f>
        <v>#REF!</v>
      </c>
      <c r="P35" s="271" t="e">
        <f>'Current month'!#REF!</f>
        <v>#REF!</v>
      </c>
      <c r="Q35" s="271" t="e">
        <f>'Current month'!#REF!</f>
        <v>#REF!</v>
      </c>
      <c r="R35" s="271" t="e">
        <f>'Current month'!#REF!</f>
        <v>#REF!</v>
      </c>
      <c r="S35" s="271" t="e">
        <f>'Current month'!#REF!</f>
        <v>#REF!</v>
      </c>
      <c r="T35" s="271" t="e">
        <f>'Current month'!#REF!</f>
        <v>#REF!</v>
      </c>
      <c r="U35" s="271" t="e">
        <f>'Current month'!#REF!</f>
        <v>#REF!</v>
      </c>
      <c r="V35" s="271" t="e">
        <f>'Current month'!#REF!</f>
        <v>#REF!</v>
      </c>
      <c r="W35" s="279" t="e">
        <f>B35</f>
        <v>#REF!</v>
      </c>
      <c r="X35" s="273" t="e">
        <f>W35-W34</f>
        <v>#REF!</v>
      </c>
      <c r="Y35" s="279" t="e">
        <f>D35</f>
        <v>#REF!</v>
      </c>
      <c r="Z35" s="273" t="e">
        <f>Y35-Y34</f>
        <v>#REF!</v>
      </c>
      <c r="AA35" s="279" t="e">
        <f>C35</f>
        <v>#REF!</v>
      </c>
      <c r="AB35" s="273" t="e">
        <f>AA35-AA34</f>
        <v>#REF!</v>
      </c>
      <c r="AC35" s="279" t="e">
        <f>G35</f>
        <v>#REF!</v>
      </c>
      <c r="AD35" s="273" t="e">
        <f>AC35-AC34</f>
        <v>#REF!</v>
      </c>
      <c r="AE35" s="279" t="e">
        <f>E35</f>
        <v>#REF!</v>
      </c>
      <c r="AF35" s="273" t="e">
        <f>AE35-AE34</f>
        <v>#REF!</v>
      </c>
      <c r="AG35" s="273" t="e">
        <f>F35</f>
        <v>#REF!</v>
      </c>
      <c r="AH35" s="273" t="e">
        <f>AG35-AG34-AD35</f>
        <v>#REF!</v>
      </c>
      <c r="AI35" s="279" t="e">
        <f>H35</f>
        <v>#REF!</v>
      </c>
      <c r="AJ35" s="273" t="e">
        <f>AI35-AI34</f>
        <v>#REF!</v>
      </c>
      <c r="AK35" s="279" t="e">
        <f>I35</f>
        <v>#REF!</v>
      </c>
      <c r="AL35" s="273" t="e">
        <f>AK35-AK34</f>
        <v>#REF!</v>
      </c>
      <c r="AM35" s="279" t="e">
        <f>J35</f>
        <v>#REF!</v>
      </c>
      <c r="AN35" s="273" t="e">
        <f>AM35-AM34</f>
        <v>#REF!</v>
      </c>
      <c r="AO35" s="279" t="e">
        <f>K35</f>
        <v>#REF!</v>
      </c>
      <c r="AP35" s="273" t="e">
        <f>AO35-AO34</f>
        <v>#REF!</v>
      </c>
      <c r="AQ35" s="279">
        <f>L35</f>
        <v>0</v>
      </c>
      <c r="AR35" s="273">
        <f>AQ35-AQ34</f>
        <v>0</v>
      </c>
      <c r="AS35" s="279">
        <f>M35</f>
        <v>0</v>
      </c>
      <c r="AT35" s="273">
        <f>AS35-AS34</f>
        <v>0</v>
      </c>
      <c r="AU35" s="279">
        <f>N35</f>
        <v>0</v>
      </c>
      <c r="AV35" s="273">
        <f>AU35-AU34</f>
        <v>0</v>
      </c>
      <c r="AW35" s="279" t="e">
        <f>O35</f>
        <v>#REF!</v>
      </c>
      <c r="AX35" s="273" t="e">
        <f>AW35-AW34</f>
        <v>#REF!</v>
      </c>
      <c r="AY35" s="279" t="e">
        <f>P35</f>
        <v>#REF!</v>
      </c>
      <c r="AZ35" s="273" t="e">
        <f>AY35-AY34</f>
        <v>#REF!</v>
      </c>
      <c r="BA35" s="279" t="e">
        <f>Q35</f>
        <v>#REF!</v>
      </c>
      <c r="BB35" s="273" t="e">
        <f>BA35-BA34</f>
        <v>#REF!</v>
      </c>
      <c r="BC35" s="279" t="e">
        <f>R35</f>
        <v>#REF!</v>
      </c>
      <c r="BD35" s="273" t="e">
        <f>BC35-BC34</f>
        <v>#REF!</v>
      </c>
      <c r="BE35" s="279" t="e">
        <f>S35</f>
        <v>#REF!</v>
      </c>
      <c r="BF35" s="273" t="e">
        <f>BE35-BE34</f>
        <v>#REF!</v>
      </c>
      <c r="BG35" s="279" t="e">
        <f>T35</f>
        <v>#REF!</v>
      </c>
      <c r="BH35" s="273" t="e">
        <f>BG35-BG34</f>
        <v>#REF!</v>
      </c>
      <c r="BI35" s="279" t="e">
        <f>U35</f>
        <v>#REF!</v>
      </c>
      <c r="BJ35" s="273" t="e">
        <f>BI35-BI34</f>
        <v>#REF!</v>
      </c>
      <c r="BK35" s="279" t="e">
        <f>V35</f>
        <v>#REF!</v>
      </c>
      <c r="BL35" s="273" t="e">
        <f>BK35-BK34</f>
        <v>#REF!</v>
      </c>
      <c r="BM35" s="273" t="e">
        <f>SUM(BL35,BJ35,BH35,BF35,BD35,BB35,AZ35,AX35,AP35)</f>
        <v>#REF!</v>
      </c>
      <c r="BN35" s="273" t="e">
        <f>SUM(AD35,AF35,AH35,AJ35,AL35,AN35)</f>
        <v>#REF!</v>
      </c>
    </row>
    <row r="36" spans="1:66" ht="18" customHeight="1" thickBot="1">
      <c r="A36" s="343"/>
      <c r="B36" s="271"/>
      <c r="C36" s="271"/>
      <c r="D36" s="271"/>
      <c r="E36" s="271"/>
      <c r="F36" s="271"/>
      <c r="G36" s="271"/>
      <c r="H36" s="271"/>
      <c r="I36" s="271"/>
      <c r="J36" s="271"/>
      <c r="K36" s="271"/>
      <c r="L36" s="271"/>
      <c r="M36" s="271"/>
      <c r="N36" s="271"/>
      <c r="O36" s="271"/>
      <c r="P36" s="271"/>
      <c r="Q36" s="271"/>
      <c r="R36" s="271"/>
      <c r="S36" s="271"/>
      <c r="T36" s="271"/>
      <c r="U36" s="271"/>
      <c r="V36" s="271"/>
      <c r="W36" s="279"/>
      <c r="X36" s="273"/>
      <c r="Y36" s="279"/>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c r="BM36" s="277"/>
      <c r="BN36" s="277"/>
    </row>
    <row r="37" spans="1:66" ht="18" customHeight="1">
      <c r="A37" s="345" t="s">
        <v>450</v>
      </c>
      <c r="B37" s="338"/>
      <c r="C37" s="338"/>
      <c r="D37" s="338"/>
      <c r="E37" s="338"/>
      <c r="F37" s="338"/>
      <c r="G37" s="338"/>
      <c r="H37" s="338"/>
      <c r="I37" s="338"/>
      <c r="J37" s="338"/>
      <c r="K37" s="338"/>
      <c r="L37" s="338"/>
      <c r="M37" s="338"/>
      <c r="N37" s="338"/>
      <c r="O37" s="338"/>
      <c r="P37" s="338"/>
      <c r="Q37" s="338"/>
      <c r="R37" s="338"/>
      <c r="S37" s="338"/>
      <c r="T37" s="338"/>
      <c r="U37" s="338"/>
      <c r="V37" s="338"/>
      <c r="W37" s="279"/>
      <c r="X37" s="273" t="e">
        <f>SUM(X4:X36)</f>
        <v>#REF!</v>
      </c>
      <c r="Y37" s="279"/>
      <c r="Z37" s="273" t="e">
        <f>SUM(Z4:Z36)</f>
        <v>#REF!</v>
      </c>
      <c r="AA37" s="273"/>
      <c r="AB37" s="273" t="e">
        <f>SUM(AB4:AB35)</f>
        <v>#REF!</v>
      </c>
      <c r="AC37" s="273"/>
      <c r="AD37" s="273" t="e">
        <f>SUM(AD4:AD36)</f>
        <v>#REF!</v>
      </c>
      <c r="AE37" s="273"/>
      <c r="AF37" s="273" t="e">
        <f>SUM(AF4:AF36)</f>
        <v>#REF!</v>
      </c>
      <c r="AG37" s="273"/>
      <c r="AH37" s="273" t="e">
        <f>SUM(AH4:AH36)</f>
        <v>#REF!</v>
      </c>
      <c r="AI37" s="273"/>
      <c r="AJ37" s="273" t="e">
        <f>SUM(AJ4:AJ36)</f>
        <v>#REF!</v>
      </c>
      <c r="AK37" s="273"/>
      <c r="AL37" s="273" t="e">
        <f>SUM(AL4:AL36)</f>
        <v>#REF!</v>
      </c>
      <c r="AM37" s="273"/>
      <c r="AN37" s="273" t="e">
        <f>SUM(AN4:AN36)</f>
        <v>#REF!</v>
      </c>
      <c r="AO37" s="273"/>
      <c r="AP37" s="273" t="e">
        <f>SUM(AP4:AP36)</f>
        <v>#REF!</v>
      </c>
      <c r="AQ37" s="273"/>
      <c r="AR37" s="273">
        <f>SUM(AR4:AR36)</f>
        <v>0</v>
      </c>
      <c r="AS37" s="273"/>
      <c r="AT37" s="273">
        <f>SUM(AT4:AT36)</f>
        <v>0</v>
      </c>
      <c r="AU37" s="273"/>
      <c r="AV37" s="273">
        <f>SUM(AV4:AV36)</f>
        <v>0</v>
      </c>
      <c r="AW37" s="273"/>
      <c r="AX37" s="273" t="e">
        <f>SUM(AX4:AX36)</f>
        <v>#REF!</v>
      </c>
      <c r="AY37" s="273"/>
      <c r="AZ37" s="273" t="e">
        <f>SUM(AZ4:AZ36)</f>
        <v>#REF!</v>
      </c>
      <c r="BA37" s="273"/>
      <c r="BB37" s="273" t="e">
        <f>SUM(BB4:BB36)</f>
        <v>#REF!</v>
      </c>
      <c r="BC37" s="273"/>
      <c r="BD37" s="273" t="e">
        <f>SUM(BD4:BD36)</f>
        <v>#REF!</v>
      </c>
      <c r="BE37" s="273"/>
      <c r="BF37" s="273" t="e">
        <f>SUM(BF4:BF36)</f>
        <v>#REF!</v>
      </c>
      <c r="BG37" s="273"/>
      <c r="BH37" s="273" t="e">
        <f>SUM(BH4:BH36)</f>
        <v>#REF!</v>
      </c>
      <c r="BI37" s="273"/>
      <c r="BJ37" s="273" t="e">
        <f>SUM(BJ4:BJ36)</f>
        <v>#REF!</v>
      </c>
      <c r="BK37" s="273"/>
      <c r="BL37" s="273" t="e">
        <f>SUM(BL4:BL36)</f>
        <v>#REF!</v>
      </c>
    </row>
    <row r="39" spans="1:66" ht="18" customHeight="1">
      <c r="C39" s="282" t="s">
        <v>553</v>
      </c>
      <c r="D39" s="217"/>
      <c r="E39" s="217"/>
      <c r="F39" s="217"/>
      <c r="G39" s="217"/>
      <c r="H39" s="217"/>
      <c r="I39" s="217"/>
      <c r="J39" s="217"/>
      <c r="K39" s="217"/>
      <c r="L39" s="217"/>
      <c r="M39" s="217"/>
      <c r="N39" s="217"/>
      <c r="O39" s="217"/>
      <c r="P39" s="217"/>
      <c r="Q39" s="217"/>
      <c r="R39" s="217"/>
      <c r="S39" s="217"/>
      <c r="T39" s="217"/>
      <c r="U39" s="217"/>
      <c r="V39" s="217"/>
    </row>
    <row r="40" spans="1:66" ht="18" customHeight="1">
      <c r="A40" s="265" t="s">
        <v>473</v>
      </c>
      <c r="B40" s="339"/>
      <c r="C40" s="273" t="e">
        <f>X37</f>
        <v>#REF!</v>
      </c>
      <c r="D40" s="217"/>
      <c r="E40" s="217"/>
      <c r="F40" s="217"/>
      <c r="H40" s="217"/>
      <c r="I40" s="217"/>
      <c r="J40" s="217"/>
      <c r="K40" s="217"/>
      <c r="L40" s="217"/>
      <c r="M40" s="217"/>
      <c r="N40" s="217"/>
      <c r="O40" s="217"/>
      <c r="P40" s="217"/>
      <c r="Q40" s="217"/>
      <c r="R40" s="217"/>
      <c r="S40" s="217"/>
      <c r="T40" s="217"/>
      <c r="U40" s="217"/>
      <c r="V40" s="217"/>
    </row>
    <row r="41" spans="1:66" ht="18" customHeight="1">
      <c r="A41" s="265" t="str">
        <f>C2</f>
        <v>Lorry Meter</v>
      </c>
      <c r="B41" s="339"/>
      <c r="C41" s="273" t="e">
        <f>AB37</f>
        <v>#REF!</v>
      </c>
      <c r="D41" s="217"/>
      <c r="E41" s="217"/>
      <c r="F41" s="217"/>
      <c r="H41" s="217"/>
      <c r="I41" s="217"/>
      <c r="J41" s="217"/>
      <c r="K41" s="217"/>
      <c r="L41" s="217"/>
      <c r="M41" s="217"/>
      <c r="N41" s="217"/>
      <c r="O41" s="217"/>
      <c r="P41" s="217"/>
      <c r="Q41" s="217"/>
      <c r="R41" s="217"/>
      <c r="S41" s="217"/>
      <c r="T41" s="217"/>
      <c r="U41" s="217"/>
      <c r="V41" s="217"/>
    </row>
    <row r="42" spans="1:66" ht="18" customHeight="1">
      <c r="A42" s="265" t="s">
        <v>75</v>
      </c>
      <c r="B42" s="339"/>
      <c r="C42" s="277" t="e">
        <f>AF37</f>
        <v>#REF!</v>
      </c>
      <c r="D42" s="217"/>
      <c r="E42" s="217"/>
      <c r="F42" s="217"/>
      <c r="H42" s="217"/>
      <c r="I42" s="217"/>
      <c r="J42" s="217"/>
      <c r="K42" s="217"/>
      <c r="L42" s="217"/>
      <c r="M42" s="217"/>
      <c r="N42" s="217"/>
      <c r="O42" s="217"/>
      <c r="P42" s="217"/>
      <c r="Q42" s="217"/>
      <c r="R42" s="217"/>
      <c r="S42" s="217"/>
      <c r="T42" s="217"/>
      <c r="U42" s="217"/>
      <c r="V42" s="217"/>
    </row>
    <row r="43" spans="1:66" ht="18" customHeight="1">
      <c r="A43" s="265" t="s">
        <v>380</v>
      </c>
      <c r="B43" s="339"/>
      <c r="C43" s="277" t="e">
        <f>AH37</f>
        <v>#REF!</v>
      </c>
      <c r="D43" s="217"/>
      <c r="E43" s="217"/>
      <c r="F43" s="217"/>
      <c r="H43" s="217"/>
      <c r="I43" s="217"/>
      <c r="J43" s="217"/>
      <c r="K43" s="217"/>
      <c r="L43" s="217"/>
      <c r="M43" s="217"/>
      <c r="N43" s="217"/>
      <c r="O43" s="217"/>
      <c r="P43" s="217"/>
      <c r="Q43" s="217"/>
      <c r="R43" s="217"/>
      <c r="S43" s="217"/>
      <c r="T43" s="217"/>
      <c r="U43" s="217"/>
      <c r="V43" s="217"/>
    </row>
    <row r="44" spans="1:66" ht="18" customHeight="1">
      <c r="A44" s="265" t="s">
        <v>81</v>
      </c>
      <c r="B44" s="339"/>
      <c r="C44" s="277" t="e">
        <f>AD37</f>
        <v>#REF!</v>
      </c>
      <c r="D44" s="217"/>
      <c r="E44" s="217"/>
      <c r="F44" s="217"/>
      <c r="G44" s="217"/>
      <c r="H44" s="217"/>
      <c r="I44" s="217"/>
      <c r="J44" s="217"/>
      <c r="K44" s="217"/>
      <c r="L44" s="217"/>
      <c r="M44" s="217"/>
      <c r="N44" s="217"/>
      <c r="O44" s="217"/>
      <c r="P44" s="217"/>
      <c r="Q44" s="217"/>
      <c r="R44" s="217"/>
      <c r="S44" s="217"/>
      <c r="T44" s="217"/>
      <c r="U44" s="217"/>
      <c r="V44" s="217"/>
    </row>
    <row r="45" spans="1:66" ht="18" customHeight="1">
      <c r="A45" s="265" t="s">
        <v>539</v>
      </c>
      <c r="B45" s="339"/>
      <c r="C45" s="277" t="e">
        <f>AJ37</f>
        <v>#REF!</v>
      </c>
      <c r="D45" s="217"/>
      <c r="E45" s="217"/>
      <c r="F45" s="217"/>
      <c r="G45" s="217"/>
      <c r="H45" s="217"/>
      <c r="I45" s="217"/>
      <c r="J45" s="217"/>
      <c r="K45" s="217"/>
      <c r="L45" s="217"/>
      <c r="M45" s="217"/>
      <c r="N45" s="217"/>
      <c r="O45" s="217"/>
      <c r="P45" s="217"/>
      <c r="Q45" s="217"/>
      <c r="R45" s="217"/>
      <c r="S45" s="217"/>
      <c r="T45" s="217"/>
      <c r="U45" s="217"/>
      <c r="V45" s="217"/>
    </row>
    <row r="46" spans="1:66" ht="18" customHeight="1">
      <c r="A46" s="265" t="s">
        <v>524</v>
      </c>
      <c r="B46" s="339"/>
      <c r="C46" s="277" t="e">
        <f>AL37</f>
        <v>#REF!</v>
      </c>
      <c r="D46" s="217"/>
      <c r="E46" s="217"/>
      <c r="F46" s="217"/>
      <c r="G46" s="217"/>
      <c r="H46" s="217"/>
      <c r="I46" s="217"/>
      <c r="J46" s="217"/>
      <c r="K46" s="217"/>
      <c r="L46" s="217"/>
      <c r="M46" s="217"/>
      <c r="N46" s="217"/>
      <c r="O46" s="217"/>
      <c r="P46" s="217"/>
      <c r="Q46" s="217"/>
      <c r="R46" s="217"/>
      <c r="S46" s="217"/>
      <c r="T46" s="217"/>
      <c r="U46" s="217"/>
      <c r="V46" s="217"/>
    </row>
    <row r="47" spans="1:66" ht="18" customHeight="1">
      <c r="A47" s="265" t="s">
        <v>540</v>
      </c>
      <c r="B47" s="339"/>
      <c r="C47" s="277" t="e">
        <f>AN37</f>
        <v>#REF!</v>
      </c>
      <c r="D47" s="217"/>
      <c r="E47" s="217"/>
      <c r="F47" s="217"/>
      <c r="G47" s="217"/>
      <c r="H47" s="217"/>
      <c r="I47" s="217"/>
      <c r="J47" s="217"/>
      <c r="K47" s="217"/>
      <c r="L47" s="217"/>
      <c r="M47" s="217"/>
      <c r="N47" s="217"/>
      <c r="O47" s="217"/>
      <c r="P47" s="217"/>
      <c r="Q47" s="217"/>
      <c r="R47" s="217"/>
      <c r="S47" s="217"/>
      <c r="T47" s="217"/>
      <c r="U47" s="217"/>
      <c r="V47" s="217"/>
    </row>
    <row r="48" spans="1:66" ht="18" customHeight="1">
      <c r="A48" s="265" t="s">
        <v>541</v>
      </c>
      <c r="B48" s="339"/>
      <c r="C48" s="277" t="e">
        <f>AP37</f>
        <v>#REF!</v>
      </c>
      <c r="D48" s="217"/>
      <c r="E48" s="217"/>
      <c r="F48" s="217"/>
      <c r="G48" s="217"/>
      <c r="H48" s="217"/>
      <c r="I48" s="217"/>
      <c r="J48" s="217"/>
      <c r="K48" s="217"/>
      <c r="L48" s="217"/>
      <c r="M48" s="217"/>
      <c r="N48" s="217"/>
      <c r="O48" s="217"/>
      <c r="P48" s="217"/>
      <c r="Q48" s="217"/>
      <c r="R48" s="217"/>
      <c r="S48" s="217"/>
      <c r="T48" s="217"/>
      <c r="U48" s="217"/>
      <c r="V48" s="217"/>
    </row>
    <row r="49" spans="1:22" ht="18" customHeight="1">
      <c r="A49" s="339" t="s">
        <v>463</v>
      </c>
      <c r="B49" s="339"/>
      <c r="C49" s="273" t="e">
        <f>AX37</f>
        <v>#REF!</v>
      </c>
      <c r="D49" s="217"/>
      <c r="E49" s="217"/>
      <c r="F49" s="217"/>
      <c r="G49" s="217"/>
      <c r="H49" s="217"/>
      <c r="I49" s="217"/>
      <c r="J49" s="217"/>
      <c r="K49" s="217"/>
      <c r="L49" s="217"/>
      <c r="M49" s="217"/>
      <c r="N49" s="217"/>
      <c r="O49" s="217"/>
      <c r="P49" s="217"/>
      <c r="Q49" s="217"/>
      <c r="R49" s="217"/>
      <c r="S49" s="217"/>
      <c r="T49" s="217"/>
      <c r="U49" s="217"/>
      <c r="V49" s="217"/>
    </row>
    <row r="50" spans="1:22" ht="18" customHeight="1">
      <c r="A50" s="339" t="s">
        <v>465</v>
      </c>
      <c r="B50" s="339"/>
      <c r="C50" s="273" t="e">
        <f>AZ37</f>
        <v>#REF!</v>
      </c>
      <c r="D50" s="217"/>
      <c r="E50" s="217"/>
      <c r="F50" s="217"/>
      <c r="G50" s="217"/>
      <c r="H50" s="217"/>
      <c r="I50" s="217"/>
      <c r="J50" s="217"/>
      <c r="K50" s="217"/>
      <c r="L50" s="217"/>
      <c r="M50" s="217"/>
      <c r="N50" s="217"/>
      <c r="O50" s="217"/>
      <c r="P50" s="217"/>
      <c r="Q50" s="217"/>
      <c r="R50" s="217"/>
      <c r="S50" s="217"/>
      <c r="T50" s="217"/>
      <c r="U50" s="217"/>
      <c r="V50" s="217"/>
    </row>
    <row r="51" spans="1:22" ht="18" customHeight="1">
      <c r="A51" s="339" t="s">
        <v>467</v>
      </c>
      <c r="B51" s="339"/>
      <c r="C51" s="273" t="e">
        <f>BB37</f>
        <v>#REF!</v>
      </c>
      <c r="D51" s="217"/>
      <c r="E51" s="217"/>
      <c r="F51" s="217"/>
      <c r="G51" s="217"/>
      <c r="H51" s="217"/>
      <c r="I51" s="217"/>
      <c r="J51" s="217"/>
      <c r="K51" s="217"/>
      <c r="L51" s="217"/>
      <c r="M51" s="217"/>
      <c r="N51" s="217"/>
      <c r="O51" s="217"/>
      <c r="P51" s="217"/>
      <c r="Q51" s="217"/>
      <c r="R51" s="217"/>
      <c r="S51" s="217"/>
      <c r="T51" s="217"/>
      <c r="U51" s="217"/>
      <c r="V51" s="217"/>
    </row>
    <row r="52" spans="1:22" ht="18" customHeight="1">
      <c r="A52" s="339" t="s">
        <v>470</v>
      </c>
      <c r="B52" s="339"/>
      <c r="C52" s="273" t="e">
        <f>BD37</f>
        <v>#REF!</v>
      </c>
      <c r="D52" s="217"/>
      <c r="E52" s="217"/>
      <c r="F52" s="217"/>
      <c r="G52" s="217"/>
      <c r="H52" s="217"/>
      <c r="I52" s="217"/>
      <c r="J52" s="217"/>
      <c r="K52" s="217"/>
      <c r="L52" s="217"/>
      <c r="M52" s="217"/>
      <c r="N52" s="217"/>
      <c r="O52" s="217"/>
      <c r="P52" s="217"/>
      <c r="Q52" s="217"/>
      <c r="R52" s="217"/>
      <c r="S52" s="217"/>
      <c r="T52" s="217"/>
      <c r="U52" s="217"/>
      <c r="V52" s="217"/>
    </row>
    <row r="53" spans="1:22" ht="18" customHeight="1">
      <c r="A53" s="339" t="s">
        <v>472</v>
      </c>
      <c r="B53" s="339"/>
      <c r="C53" s="273" t="e">
        <f>BF37</f>
        <v>#REF!</v>
      </c>
      <c r="D53" s="217"/>
      <c r="E53" s="217"/>
      <c r="F53" s="217"/>
      <c r="G53" s="217"/>
      <c r="H53" s="217"/>
      <c r="I53" s="217"/>
      <c r="J53" s="217"/>
      <c r="K53" s="217"/>
      <c r="L53" s="217"/>
      <c r="M53" s="217"/>
      <c r="N53" s="217"/>
      <c r="O53" s="217"/>
      <c r="P53" s="217"/>
      <c r="Q53" s="217"/>
      <c r="R53" s="217"/>
      <c r="S53" s="217"/>
      <c r="T53" s="217"/>
      <c r="U53" s="217"/>
      <c r="V53" s="217"/>
    </row>
    <row r="54" spans="1:22" ht="18" customHeight="1">
      <c r="A54" s="339" t="s">
        <v>474</v>
      </c>
      <c r="B54" s="339"/>
      <c r="C54" s="273" t="e">
        <f>BH37</f>
        <v>#REF!</v>
      </c>
      <c r="D54" s="217"/>
      <c r="E54" s="217"/>
      <c r="F54" s="217"/>
      <c r="G54" s="217"/>
      <c r="H54" s="217"/>
      <c r="I54" s="217"/>
      <c r="J54" s="217"/>
      <c r="K54" s="217"/>
      <c r="L54" s="217"/>
      <c r="M54" s="217"/>
      <c r="N54" s="217"/>
      <c r="O54" s="217"/>
      <c r="P54" s="217"/>
      <c r="Q54" s="217"/>
      <c r="R54" s="217"/>
      <c r="S54" s="217"/>
      <c r="T54" s="217"/>
      <c r="U54" s="217"/>
      <c r="V54" s="217"/>
    </row>
    <row r="55" spans="1:22" ht="18" customHeight="1">
      <c r="A55" s="339" t="s">
        <v>476</v>
      </c>
      <c r="B55" s="339"/>
      <c r="C55" s="273" t="e">
        <f>BJ37</f>
        <v>#REF!</v>
      </c>
      <c r="D55" s="217"/>
      <c r="E55" s="217"/>
      <c r="F55" s="217"/>
      <c r="G55" s="217"/>
      <c r="H55" s="217"/>
      <c r="I55" s="217"/>
      <c r="J55" s="217"/>
      <c r="K55" s="217"/>
      <c r="L55" s="217"/>
      <c r="M55" s="217"/>
      <c r="N55" s="217"/>
      <c r="O55" s="217"/>
      <c r="P55" s="217"/>
      <c r="Q55" s="217"/>
      <c r="R55" s="217"/>
      <c r="S55" s="217"/>
      <c r="T55" s="217"/>
      <c r="U55" s="217"/>
      <c r="V55" s="217"/>
    </row>
    <row r="56" spans="1:22" ht="18" customHeight="1">
      <c r="A56" s="339" t="s">
        <v>554</v>
      </c>
      <c r="B56" s="339"/>
      <c r="C56" s="273" t="e">
        <f>BL37</f>
        <v>#REF!</v>
      </c>
      <c r="D56" s="217"/>
      <c r="E56" s="217"/>
      <c r="F56" s="217"/>
      <c r="G56" s="217"/>
      <c r="H56" s="217"/>
      <c r="I56" s="217"/>
      <c r="J56" s="217"/>
      <c r="K56" s="217"/>
      <c r="L56" s="217"/>
      <c r="M56" s="217"/>
      <c r="N56" s="217"/>
      <c r="O56" s="217"/>
      <c r="P56" s="217"/>
      <c r="Q56" s="217"/>
      <c r="R56" s="217"/>
      <c r="S56" s="217"/>
      <c r="T56" s="217"/>
      <c r="U56" s="217"/>
      <c r="V56" s="217"/>
    </row>
    <row r="57" spans="1:22" ht="18" hidden="1" customHeight="1">
      <c r="A57" s="265" t="s">
        <v>527</v>
      </c>
      <c r="B57" s="339"/>
      <c r="C57" s="277">
        <f>AR37</f>
        <v>0</v>
      </c>
      <c r="D57" s="217"/>
      <c r="E57" s="217"/>
      <c r="F57" s="217"/>
      <c r="G57" s="217"/>
      <c r="H57" s="217"/>
      <c r="I57" s="217"/>
      <c r="J57" s="217"/>
      <c r="K57" s="217"/>
      <c r="L57" s="217"/>
      <c r="M57" s="217"/>
      <c r="N57" s="217"/>
      <c r="O57" s="217"/>
      <c r="P57" s="217"/>
      <c r="Q57" s="217"/>
      <c r="R57" s="217"/>
      <c r="S57" s="217"/>
      <c r="T57" s="217"/>
      <c r="U57" s="217"/>
      <c r="V57" s="217"/>
    </row>
    <row r="58" spans="1:22" ht="18" hidden="1" customHeight="1">
      <c r="A58" s="265" t="s">
        <v>528</v>
      </c>
      <c r="B58" s="339"/>
      <c r="C58" s="273">
        <f>AT37</f>
        <v>0</v>
      </c>
      <c r="D58" s="217"/>
      <c r="E58" s="217"/>
      <c r="F58" s="217"/>
      <c r="G58" s="217"/>
      <c r="H58" s="217"/>
      <c r="I58" s="217"/>
      <c r="J58" s="217"/>
      <c r="K58" s="217"/>
      <c r="L58" s="217"/>
      <c r="M58" s="217"/>
      <c r="N58" s="217"/>
      <c r="O58" s="217"/>
      <c r="P58" s="217"/>
      <c r="Q58" s="217"/>
      <c r="R58" s="217"/>
      <c r="S58" s="217"/>
      <c r="T58" s="217"/>
      <c r="U58" s="217"/>
      <c r="V58" s="217"/>
    </row>
    <row r="59" spans="1:22" ht="18" hidden="1" customHeight="1">
      <c r="A59" s="265" t="s">
        <v>555</v>
      </c>
      <c r="B59" s="339"/>
      <c r="C59" s="277">
        <f>AV37</f>
        <v>0</v>
      </c>
      <c r="D59" s="217"/>
      <c r="E59" s="217"/>
      <c r="F59" s="217"/>
      <c r="G59" s="217"/>
      <c r="H59" s="217"/>
      <c r="I59" s="217"/>
      <c r="J59" s="217"/>
      <c r="K59" s="217"/>
      <c r="L59" s="217"/>
      <c r="M59" s="217"/>
      <c r="N59" s="217"/>
      <c r="O59" s="217"/>
      <c r="P59" s="217"/>
      <c r="Q59" s="217"/>
      <c r="R59" s="217"/>
      <c r="S59" s="217"/>
      <c r="T59" s="217"/>
      <c r="U59" s="217"/>
      <c r="V59" s="217"/>
    </row>
    <row r="1048576" spans="3:4" ht="12.6">
      <c r="C1048576" s="273"/>
      <c r="D1048576" s="289"/>
    </row>
  </sheetData>
  <mergeCells count="23">
    <mergeCell ref="BG2:BH2"/>
    <mergeCell ref="BI2:BJ2"/>
    <mergeCell ref="BK2:BL2"/>
    <mergeCell ref="BM2:BM3"/>
    <mergeCell ref="BN2:BN3"/>
    <mergeCell ref="BE2:BF2"/>
    <mergeCell ref="AI2:AJ2"/>
    <mergeCell ref="AK2:AL2"/>
    <mergeCell ref="AM2:AN2"/>
    <mergeCell ref="AO2:AP2"/>
    <mergeCell ref="AQ2:AR2"/>
    <mergeCell ref="AS2:AT2"/>
    <mergeCell ref="AU2:AV2"/>
    <mergeCell ref="AW2:AX2"/>
    <mergeCell ref="AY2:AZ2"/>
    <mergeCell ref="BA2:BB2"/>
    <mergeCell ref="BC2:BD2"/>
    <mergeCell ref="AG2:AH2"/>
    <mergeCell ref="W2:X2"/>
    <mergeCell ref="Y2:Z2"/>
    <mergeCell ref="AA2:AB2"/>
    <mergeCell ref="AC2:AD2"/>
    <mergeCell ref="AE2:AF2"/>
  </mergeCells>
  <conditionalFormatting sqref="B4:V36">
    <cfRule type="cellIs" dxfId="567" priority="389" operator="lessThan">
      <formula>0</formula>
    </cfRule>
  </conditionalFormatting>
  <conditionalFormatting sqref="K4:K35">
    <cfRule type="cellIs" dxfId="566" priority="387" operator="lessThan">
      <formula>0</formula>
    </cfRule>
  </conditionalFormatting>
  <conditionalFormatting sqref="K4:K35">
    <cfRule type="cellIs" dxfId="565" priority="386" operator="lessThan">
      <formula>0</formula>
    </cfRule>
  </conditionalFormatting>
  <conditionalFormatting sqref="K4:K35">
    <cfRule type="cellIs" dxfId="564" priority="385" operator="lessThan">
      <formula>0</formula>
    </cfRule>
  </conditionalFormatting>
  <conditionalFormatting sqref="B4:B35">
    <cfRule type="cellIs" dxfId="563" priority="384" operator="lessThan">
      <formula>0</formula>
    </cfRule>
  </conditionalFormatting>
  <conditionalFormatting sqref="D4:D35">
    <cfRule type="cellIs" dxfId="562" priority="383" operator="lessThan">
      <formula>0</formula>
    </cfRule>
  </conditionalFormatting>
  <conditionalFormatting sqref="E4:E35">
    <cfRule type="cellIs" dxfId="561" priority="382" operator="lessThan">
      <formula>0</formula>
    </cfRule>
  </conditionalFormatting>
  <conditionalFormatting sqref="F4:F35">
    <cfRule type="cellIs" dxfId="560" priority="381" operator="lessThan">
      <formula>0</formula>
    </cfRule>
  </conditionalFormatting>
  <conditionalFormatting sqref="G4:G35">
    <cfRule type="cellIs" dxfId="559" priority="380" operator="lessThan">
      <formula>0</formula>
    </cfRule>
  </conditionalFormatting>
  <conditionalFormatting sqref="H4:H35">
    <cfRule type="cellIs" dxfId="558" priority="379" operator="lessThan">
      <formula>0</formula>
    </cfRule>
  </conditionalFormatting>
  <conditionalFormatting sqref="J4:J35">
    <cfRule type="cellIs" dxfId="557" priority="378" operator="lessThan">
      <formula>0</formula>
    </cfRule>
  </conditionalFormatting>
  <conditionalFormatting sqref="I4:I35">
    <cfRule type="cellIs" dxfId="556" priority="377" operator="lessThan">
      <formula>0</formula>
    </cfRule>
  </conditionalFormatting>
  <conditionalFormatting sqref="K4:K35">
    <cfRule type="cellIs" dxfId="555" priority="376" operator="lessThan">
      <formula>0</formula>
    </cfRule>
  </conditionalFormatting>
  <conditionalFormatting sqref="L4">
    <cfRule type="cellIs" dxfId="554" priority="375" operator="lessThan">
      <formula>0</formula>
    </cfRule>
  </conditionalFormatting>
  <conditionalFormatting sqref="M4:M8">
    <cfRule type="cellIs" dxfId="553" priority="374" operator="lessThan">
      <formula>0</formula>
    </cfRule>
  </conditionalFormatting>
  <conditionalFormatting sqref="N4">
    <cfRule type="cellIs" dxfId="552" priority="373" operator="lessThan">
      <formula>0</formula>
    </cfRule>
  </conditionalFormatting>
  <conditionalFormatting sqref="O4:O35">
    <cfRule type="cellIs" dxfId="551" priority="372" operator="lessThan">
      <formula>0</formula>
    </cfRule>
  </conditionalFormatting>
  <conditionalFormatting sqref="P4:P35">
    <cfRule type="cellIs" dxfId="550" priority="371" operator="lessThan">
      <formula>0</formula>
    </cfRule>
  </conditionalFormatting>
  <conditionalFormatting sqref="Q4:Q35">
    <cfRule type="cellIs" dxfId="549" priority="83" operator="lessThan">
      <formula>0</formula>
    </cfRule>
    <cfRule type="cellIs" dxfId="548" priority="370" operator="lessThan">
      <formula>0</formula>
    </cfRule>
  </conditionalFormatting>
  <conditionalFormatting sqref="R4:R35">
    <cfRule type="cellIs" dxfId="547" priority="369" operator="lessThan">
      <formula>0</formula>
    </cfRule>
  </conditionalFormatting>
  <conditionalFormatting sqref="S4:S35">
    <cfRule type="cellIs" dxfId="546" priority="368" operator="lessThan">
      <formula>0</formula>
    </cfRule>
  </conditionalFormatting>
  <conditionalFormatting sqref="T4:T35">
    <cfRule type="cellIs" dxfId="545" priority="367" operator="lessThan">
      <formula>0</formula>
    </cfRule>
  </conditionalFormatting>
  <conditionalFormatting sqref="U4:U35">
    <cfRule type="cellIs" dxfId="544" priority="366" operator="lessThan">
      <formula>0</formula>
    </cfRule>
  </conditionalFormatting>
  <conditionalFormatting sqref="B4:B35">
    <cfRule type="cellIs" dxfId="543" priority="365" operator="lessThan">
      <formula>0</formula>
    </cfRule>
  </conditionalFormatting>
  <conditionalFormatting sqref="B4:B35">
    <cfRule type="cellIs" dxfId="542" priority="364" operator="lessThan">
      <formula>0</formula>
    </cfRule>
  </conditionalFormatting>
  <conditionalFormatting sqref="B4:B35">
    <cfRule type="cellIs" dxfId="541" priority="363" operator="lessThan">
      <formula>0</formula>
    </cfRule>
  </conditionalFormatting>
  <conditionalFormatting sqref="B4:B35">
    <cfRule type="cellIs" dxfId="540" priority="362" operator="lessThan">
      <formula>0</formula>
    </cfRule>
  </conditionalFormatting>
  <conditionalFormatting sqref="D4:D35">
    <cfRule type="cellIs" dxfId="539" priority="361" operator="lessThan">
      <formula>0</formula>
    </cfRule>
  </conditionalFormatting>
  <conditionalFormatting sqref="D4:D35">
    <cfRule type="cellIs" dxfId="538" priority="360" operator="lessThan">
      <formula>0</formula>
    </cfRule>
  </conditionalFormatting>
  <conditionalFormatting sqref="E4:E35">
    <cfRule type="cellIs" dxfId="537" priority="359" operator="lessThan">
      <formula>0</formula>
    </cfRule>
  </conditionalFormatting>
  <conditionalFormatting sqref="E4:E35">
    <cfRule type="cellIs" dxfId="536" priority="358" operator="lessThan">
      <formula>0</formula>
    </cfRule>
  </conditionalFormatting>
  <conditionalFormatting sqref="F4:F35">
    <cfRule type="cellIs" dxfId="535" priority="357" operator="lessThan">
      <formula>0</formula>
    </cfRule>
  </conditionalFormatting>
  <conditionalFormatting sqref="F4:F35">
    <cfRule type="cellIs" dxfId="534" priority="356" operator="lessThan">
      <formula>0</formula>
    </cfRule>
  </conditionalFormatting>
  <conditionalFormatting sqref="G4:G35">
    <cfRule type="cellIs" dxfId="533" priority="355" operator="lessThan">
      <formula>0</formula>
    </cfRule>
  </conditionalFormatting>
  <conditionalFormatting sqref="G4:G35">
    <cfRule type="cellIs" dxfId="532" priority="354" operator="lessThan">
      <formula>0</formula>
    </cfRule>
  </conditionalFormatting>
  <conditionalFormatting sqref="J4:J35">
    <cfRule type="cellIs" dxfId="531" priority="353" operator="lessThan">
      <formula>0</formula>
    </cfRule>
  </conditionalFormatting>
  <conditionalFormatting sqref="J4:J35">
    <cfRule type="cellIs" dxfId="530" priority="352" operator="lessThan">
      <formula>0</formula>
    </cfRule>
  </conditionalFormatting>
  <conditionalFormatting sqref="I4:I35">
    <cfRule type="cellIs" dxfId="529" priority="351" operator="lessThan">
      <formula>0</formula>
    </cfRule>
  </conditionalFormatting>
  <conditionalFormatting sqref="I4:I35">
    <cfRule type="cellIs" dxfId="528" priority="350" operator="lessThan">
      <formula>0</formula>
    </cfRule>
  </conditionalFormatting>
  <conditionalFormatting sqref="K4:K35">
    <cfRule type="cellIs" dxfId="527" priority="349" operator="lessThan">
      <formula>0</formula>
    </cfRule>
  </conditionalFormatting>
  <conditionalFormatting sqref="K4:K35">
    <cfRule type="cellIs" dxfId="526" priority="348" operator="lessThan">
      <formula>0</formula>
    </cfRule>
  </conditionalFormatting>
  <conditionalFormatting sqref="L4">
    <cfRule type="cellIs" dxfId="525" priority="347" operator="lessThan">
      <formula>0</formula>
    </cfRule>
  </conditionalFormatting>
  <conditionalFormatting sqref="L4">
    <cfRule type="cellIs" dxfId="524" priority="346" operator="lessThan">
      <formula>0</formula>
    </cfRule>
  </conditionalFormatting>
  <conditionalFormatting sqref="M4:M8">
    <cfRule type="cellIs" dxfId="523" priority="345" operator="lessThan">
      <formula>0</formula>
    </cfRule>
  </conditionalFormatting>
  <conditionalFormatting sqref="M4:M8">
    <cfRule type="cellIs" dxfId="522" priority="344" operator="lessThan">
      <formula>0</formula>
    </cfRule>
  </conditionalFormatting>
  <conditionalFormatting sqref="H4:H35">
    <cfRule type="cellIs" dxfId="521" priority="343" operator="lessThan">
      <formula>0</formula>
    </cfRule>
  </conditionalFormatting>
  <conditionalFormatting sqref="H4:H35">
    <cfRule type="cellIs" dxfId="520" priority="342" operator="lessThan">
      <formula>0</formula>
    </cfRule>
  </conditionalFormatting>
  <conditionalFormatting sqref="H4:H35">
    <cfRule type="cellIs" dxfId="519" priority="341" operator="lessThan">
      <formula>0</formula>
    </cfRule>
  </conditionalFormatting>
  <conditionalFormatting sqref="H4:H35">
    <cfRule type="cellIs" dxfId="518" priority="340" operator="lessThan">
      <formula>0</formula>
    </cfRule>
  </conditionalFormatting>
  <conditionalFormatting sqref="N4">
    <cfRule type="cellIs" dxfId="517" priority="339" operator="lessThan">
      <formula>0</formula>
    </cfRule>
  </conditionalFormatting>
  <conditionalFormatting sqref="N4">
    <cfRule type="cellIs" dxfId="516" priority="338" operator="lessThan">
      <formula>0</formula>
    </cfRule>
  </conditionalFormatting>
  <conditionalFormatting sqref="O4:O35">
    <cfRule type="cellIs" dxfId="515" priority="337" operator="lessThan">
      <formula>0</formula>
    </cfRule>
  </conditionalFormatting>
  <conditionalFormatting sqref="O4:O35">
    <cfRule type="cellIs" dxfId="514" priority="336" operator="lessThan">
      <formula>0</formula>
    </cfRule>
  </conditionalFormatting>
  <conditionalFormatting sqref="P4:P35">
    <cfRule type="cellIs" dxfId="513" priority="335" operator="lessThan">
      <formula>0</formula>
    </cfRule>
  </conditionalFormatting>
  <conditionalFormatting sqref="P4:P35">
    <cfRule type="cellIs" dxfId="512" priority="334" operator="lessThan">
      <formula>0</formula>
    </cfRule>
  </conditionalFormatting>
  <conditionalFormatting sqref="Q4:Q35">
    <cfRule type="cellIs" dxfId="511" priority="333" operator="lessThan">
      <formula>0</formula>
    </cfRule>
  </conditionalFormatting>
  <conditionalFormatting sqref="Q4:Q35">
    <cfRule type="cellIs" dxfId="510" priority="332" operator="lessThan">
      <formula>0</formula>
    </cfRule>
  </conditionalFormatting>
  <conditionalFormatting sqref="R4:R35">
    <cfRule type="cellIs" dxfId="509" priority="331" operator="lessThan">
      <formula>0</formula>
    </cfRule>
  </conditionalFormatting>
  <conditionalFormatting sqref="R4:R35">
    <cfRule type="cellIs" dxfId="508" priority="330" operator="lessThan">
      <formula>0</formula>
    </cfRule>
  </conditionalFormatting>
  <conditionalFormatting sqref="S4:S35">
    <cfRule type="cellIs" dxfId="507" priority="329" operator="lessThan">
      <formula>0</formula>
    </cfRule>
  </conditionalFormatting>
  <conditionalFormatting sqref="S4:S35">
    <cfRule type="cellIs" dxfId="506" priority="328" operator="lessThan">
      <formula>0</formula>
    </cfRule>
  </conditionalFormatting>
  <conditionalFormatting sqref="T4:T35">
    <cfRule type="cellIs" dxfId="505" priority="327" operator="lessThan">
      <formula>0</formula>
    </cfRule>
  </conditionalFormatting>
  <conditionalFormatting sqref="T4:T35">
    <cfRule type="cellIs" dxfId="504" priority="326" operator="lessThan">
      <formula>0</formula>
    </cfRule>
  </conditionalFormatting>
  <conditionalFormatting sqref="U4:U35">
    <cfRule type="cellIs" dxfId="503" priority="325" operator="lessThan">
      <formula>0</formula>
    </cfRule>
  </conditionalFormatting>
  <conditionalFormatting sqref="U4:U35">
    <cfRule type="cellIs" dxfId="502" priority="324" operator="lessThan">
      <formula>0</formula>
    </cfRule>
  </conditionalFormatting>
  <conditionalFormatting sqref="K4:K35">
    <cfRule type="cellIs" dxfId="501" priority="323" operator="lessThan">
      <formula>0</formula>
    </cfRule>
  </conditionalFormatting>
  <conditionalFormatting sqref="K4:K35">
    <cfRule type="cellIs" dxfId="500" priority="322" operator="lessThan">
      <formula>0</formula>
    </cfRule>
  </conditionalFormatting>
  <conditionalFormatting sqref="K4:K35">
    <cfRule type="cellIs" dxfId="499" priority="321" operator="lessThan">
      <formula>0</formula>
    </cfRule>
  </conditionalFormatting>
  <conditionalFormatting sqref="L4">
    <cfRule type="cellIs" dxfId="498" priority="320" operator="lessThan">
      <formula>0</formula>
    </cfRule>
  </conditionalFormatting>
  <conditionalFormatting sqref="L4">
    <cfRule type="cellIs" dxfId="497" priority="319" operator="lessThan">
      <formula>0</formula>
    </cfRule>
  </conditionalFormatting>
  <conditionalFormatting sqref="L4">
    <cfRule type="cellIs" dxfId="496" priority="318" operator="lessThan">
      <formula>0</formula>
    </cfRule>
  </conditionalFormatting>
  <conditionalFormatting sqref="E4:E35">
    <cfRule type="cellIs" dxfId="495" priority="317" operator="lessThan">
      <formula>0</formula>
    </cfRule>
  </conditionalFormatting>
  <conditionalFormatting sqref="F4:F35">
    <cfRule type="cellIs" dxfId="494" priority="316" operator="lessThan">
      <formula>0</formula>
    </cfRule>
  </conditionalFormatting>
  <conditionalFormatting sqref="G4:G35">
    <cfRule type="cellIs" dxfId="493" priority="315" operator="lessThan">
      <formula>0</formula>
    </cfRule>
  </conditionalFormatting>
  <conditionalFormatting sqref="H4:H35">
    <cfRule type="cellIs" dxfId="492" priority="314" operator="lessThan">
      <formula>0</formula>
    </cfRule>
  </conditionalFormatting>
  <conditionalFormatting sqref="I4:I35">
    <cfRule type="cellIs" dxfId="491" priority="313" operator="lessThan">
      <formula>0</formula>
    </cfRule>
  </conditionalFormatting>
  <conditionalFormatting sqref="K4:K35">
    <cfRule type="cellIs" dxfId="490" priority="312" operator="lessThan">
      <formula>0</formula>
    </cfRule>
  </conditionalFormatting>
  <conditionalFormatting sqref="J4:J35">
    <cfRule type="cellIs" dxfId="489" priority="311" operator="lessThan">
      <formula>0</formula>
    </cfRule>
  </conditionalFormatting>
  <conditionalFormatting sqref="L4">
    <cfRule type="cellIs" dxfId="488" priority="310" operator="lessThan">
      <formula>0</formula>
    </cfRule>
  </conditionalFormatting>
  <conditionalFormatting sqref="M4:M8">
    <cfRule type="cellIs" dxfId="487" priority="309" operator="lessThan">
      <formula>0</formula>
    </cfRule>
  </conditionalFormatting>
  <conditionalFormatting sqref="N4">
    <cfRule type="cellIs" dxfId="486" priority="308" operator="lessThan">
      <formula>0</formula>
    </cfRule>
  </conditionalFormatting>
  <conditionalFormatting sqref="O4:O35">
    <cfRule type="cellIs" dxfId="485" priority="307" operator="lessThan">
      <formula>0</formula>
    </cfRule>
  </conditionalFormatting>
  <conditionalFormatting sqref="P4:P35">
    <cfRule type="cellIs" dxfId="484" priority="306" operator="lessThan">
      <formula>0</formula>
    </cfRule>
  </conditionalFormatting>
  <conditionalFormatting sqref="Q4:Q35">
    <cfRule type="cellIs" dxfId="483" priority="305" operator="lessThan">
      <formula>0</formula>
    </cfRule>
  </conditionalFormatting>
  <conditionalFormatting sqref="R4:R35">
    <cfRule type="cellIs" dxfId="482" priority="304" operator="lessThan">
      <formula>0</formula>
    </cfRule>
  </conditionalFormatting>
  <conditionalFormatting sqref="S4:S35">
    <cfRule type="cellIs" dxfId="481" priority="303" operator="lessThan">
      <formula>0</formula>
    </cfRule>
  </conditionalFormatting>
  <conditionalFormatting sqref="T4:T35">
    <cfRule type="cellIs" dxfId="480" priority="302" operator="lessThan">
      <formula>0</formula>
    </cfRule>
  </conditionalFormatting>
  <conditionalFormatting sqref="U4:U35">
    <cfRule type="cellIs" dxfId="479" priority="301" operator="lessThan">
      <formula>0</formula>
    </cfRule>
  </conditionalFormatting>
  <conditionalFormatting sqref="V4:V35">
    <cfRule type="cellIs" dxfId="478" priority="300" operator="lessThan">
      <formula>0</formula>
    </cfRule>
  </conditionalFormatting>
  <conditionalFormatting sqref="E4:E35">
    <cfRule type="cellIs" dxfId="477" priority="299" operator="lessThan">
      <formula>0</formula>
    </cfRule>
  </conditionalFormatting>
  <conditionalFormatting sqref="E4:E35">
    <cfRule type="cellIs" dxfId="476" priority="298" operator="lessThan">
      <formula>0</formula>
    </cfRule>
  </conditionalFormatting>
  <conditionalFormatting sqref="F4:F35">
    <cfRule type="cellIs" dxfId="475" priority="297" operator="lessThan">
      <formula>0</formula>
    </cfRule>
  </conditionalFormatting>
  <conditionalFormatting sqref="F4:F35">
    <cfRule type="cellIs" dxfId="474" priority="296" operator="lessThan">
      <formula>0</formula>
    </cfRule>
  </conditionalFormatting>
  <conditionalFormatting sqref="G4:G35">
    <cfRule type="cellIs" dxfId="473" priority="295" operator="lessThan">
      <formula>0</formula>
    </cfRule>
  </conditionalFormatting>
  <conditionalFormatting sqref="G4:G35">
    <cfRule type="cellIs" dxfId="472" priority="294" operator="lessThan">
      <formula>0</formula>
    </cfRule>
  </conditionalFormatting>
  <conditionalFormatting sqref="H4:H35">
    <cfRule type="cellIs" dxfId="471" priority="293" operator="lessThan">
      <formula>0</formula>
    </cfRule>
  </conditionalFormatting>
  <conditionalFormatting sqref="H4:H35">
    <cfRule type="cellIs" dxfId="470" priority="292" operator="lessThan">
      <formula>0</formula>
    </cfRule>
  </conditionalFormatting>
  <conditionalFormatting sqref="K4:K35">
    <cfRule type="cellIs" dxfId="469" priority="291" operator="lessThan">
      <formula>0</formula>
    </cfRule>
  </conditionalFormatting>
  <conditionalFormatting sqref="K4:K35">
    <cfRule type="cellIs" dxfId="468" priority="290" operator="lessThan">
      <formula>0</formula>
    </cfRule>
  </conditionalFormatting>
  <conditionalFormatting sqref="J4:J35">
    <cfRule type="cellIs" dxfId="467" priority="289" operator="lessThan">
      <formula>0</formula>
    </cfRule>
  </conditionalFormatting>
  <conditionalFormatting sqref="J4:J35">
    <cfRule type="cellIs" dxfId="466" priority="288" operator="lessThan">
      <formula>0</formula>
    </cfRule>
  </conditionalFormatting>
  <conditionalFormatting sqref="L4">
    <cfRule type="cellIs" dxfId="465" priority="287" operator="lessThan">
      <formula>0</formula>
    </cfRule>
  </conditionalFormatting>
  <conditionalFormatting sqref="L4">
    <cfRule type="cellIs" dxfId="464" priority="286" operator="lessThan">
      <formula>0</formula>
    </cfRule>
  </conditionalFormatting>
  <conditionalFormatting sqref="M4:M8">
    <cfRule type="cellIs" dxfId="463" priority="285" operator="lessThan">
      <formula>0</formula>
    </cfRule>
  </conditionalFormatting>
  <conditionalFormatting sqref="M4:M8">
    <cfRule type="cellIs" dxfId="462" priority="284" operator="lessThan">
      <formula>0</formula>
    </cfRule>
  </conditionalFormatting>
  <conditionalFormatting sqref="N4">
    <cfRule type="cellIs" dxfId="461" priority="283" operator="lessThan">
      <formula>0</formula>
    </cfRule>
  </conditionalFormatting>
  <conditionalFormatting sqref="N4">
    <cfRule type="cellIs" dxfId="460" priority="282" operator="lessThan">
      <formula>0</formula>
    </cfRule>
  </conditionalFormatting>
  <conditionalFormatting sqref="I4:I35">
    <cfRule type="cellIs" dxfId="459" priority="281" operator="lessThan">
      <formula>0</formula>
    </cfRule>
  </conditionalFormatting>
  <conditionalFormatting sqref="I4:I35">
    <cfRule type="cellIs" dxfId="458" priority="280" operator="lessThan">
      <formula>0</formula>
    </cfRule>
  </conditionalFormatting>
  <conditionalFormatting sqref="I4:I35">
    <cfRule type="cellIs" dxfId="457" priority="279" operator="lessThan">
      <formula>0</formula>
    </cfRule>
  </conditionalFormatting>
  <conditionalFormatting sqref="I4:I35">
    <cfRule type="cellIs" dxfId="456" priority="278" operator="lessThan">
      <formula>0</formula>
    </cfRule>
  </conditionalFormatting>
  <conditionalFormatting sqref="O4:O35">
    <cfRule type="cellIs" dxfId="455" priority="277" operator="lessThan">
      <formula>0</formula>
    </cfRule>
  </conditionalFormatting>
  <conditionalFormatting sqref="O4:O35">
    <cfRule type="cellIs" dxfId="454" priority="276" operator="lessThan">
      <formula>0</formula>
    </cfRule>
  </conditionalFormatting>
  <conditionalFormatting sqref="P4:P35">
    <cfRule type="cellIs" dxfId="453" priority="275" operator="lessThan">
      <formula>0</formula>
    </cfRule>
  </conditionalFormatting>
  <conditionalFormatting sqref="P4:P35">
    <cfRule type="cellIs" dxfId="452" priority="274" operator="lessThan">
      <formula>0</formula>
    </cfRule>
  </conditionalFormatting>
  <conditionalFormatting sqref="Q4:Q35">
    <cfRule type="cellIs" dxfId="451" priority="273" operator="lessThan">
      <formula>0</formula>
    </cfRule>
  </conditionalFormatting>
  <conditionalFormatting sqref="Q4:Q35">
    <cfRule type="cellIs" dxfId="450" priority="272" operator="lessThan">
      <formula>0</formula>
    </cfRule>
  </conditionalFormatting>
  <conditionalFormatting sqref="R4:R35">
    <cfRule type="cellIs" dxfId="449" priority="271" operator="lessThan">
      <formula>0</formula>
    </cfRule>
  </conditionalFormatting>
  <conditionalFormatting sqref="R4:R35">
    <cfRule type="cellIs" dxfId="448" priority="270" operator="lessThan">
      <formula>0</formula>
    </cfRule>
  </conditionalFormatting>
  <conditionalFormatting sqref="S4:S35">
    <cfRule type="cellIs" dxfId="447" priority="269" operator="lessThan">
      <formula>0</formula>
    </cfRule>
  </conditionalFormatting>
  <conditionalFormatting sqref="S4:S35">
    <cfRule type="cellIs" dxfId="446" priority="268" operator="lessThan">
      <formula>0</formula>
    </cfRule>
  </conditionalFormatting>
  <conditionalFormatting sqref="T4:T35">
    <cfRule type="cellIs" dxfId="445" priority="267" operator="lessThan">
      <formula>0</formula>
    </cfRule>
  </conditionalFormatting>
  <conditionalFormatting sqref="T4:T35">
    <cfRule type="cellIs" dxfId="444" priority="266" operator="lessThan">
      <formula>0</formula>
    </cfRule>
  </conditionalFormatting>
  <conditionalFormatting sqref="U4:U35">
    <cfRule type="cellIs" dxfId="443" priority="265" operator="lessThan">
      <formula>0</formula>
    </cfRule>
  </conditionalFormatting>
  <conditionalFormatting sqref="U4:U35">
    <cfRule type="cellIs" dxfId="442" priority="264" operator="lessThan">
      <formula>0</formula>
    </cfRule>
  </conditionalFormatting>
  <conditionalFormatting sqref="V4:V35">
    <cfRule type="cellIs" dxfId="441" priority="263" operator="lessThan">
      <formula>0</formula>
    </cfRule>
  </conditionalFormatting>
  <conditionalFormatting sqref="V4:V35">
    <cfRule type="cellIs" dxfId="440" priority="262" operator="lessThan">
      <formula>0</formula>
    </cfRule>
  </conditionalFormatting>
  <conditionalFormatting sqref="L4">
    <cfRule type="cellIs" dxfId="439" priority="261" operator="lessThan">
      <formula>0</formula>
    </cfRule>
  </conditionalFormatting>
  <conditionalFormatting sqref="L4">
    <cfRule type="cellIs" dxfId="438" priority="260" operator="lessThan">
      <formula>0</formula>
    </cfRule>
  </conditionalFormatting>
  <conditionalFormatting sqref="L4">
    <cfRule type="cellIs" dxfId="437" priority="259" operator="lessThan">
      <formula>0</formula>
    </cfRule>
  </conditionalFormatting>
  <conditionalFormatting sqref="L4">
    <cfRule type="cellIs" dxfId="436" priority="258" operator="lessThan">
      <formula>0</formula>
    </cfRule>
  </conditionalFormatting>
  <conditionalFormatting sqref="L4">
    <cfRule type="cellIs" dxfId="435" priority="257" operator="lessThan">
      <formula>0</formula>
    </cfRule>
  </conditionalFormatting>
  <conditionalFormatting sqref="L4">
    <cfRule type="cellIs" dxfId="434" priority="256" operator="lessThan">
      <formula>0</formula>
    </cfRule>
  </conditionalFormatting>
  <conditionalFormatting sqref="L4">
    <cfRule type="cellIs" dxfId="433" priority="255" operator="lessThan">
      <formula>0</formula>
    </cfRule>
  </conditionalFormatting>
  <conditionalFormatting sqref="M4:M8">
    <cfRule type="cellIs" dxfId="432" priority="254" operator="lessThan">
      <formula>0</formula>
    </cfRule>
  </conditionalFormatting>
  <conditionalFormatting sqref="N4">
    <cfRule type="cellIs" dxfId="431" priority="253" operator="lessThan">
      <formula>0</formula>
    </cfRule>
  </conditionalFormatting>
  <conditionalFormatting sqref="L4">
    <cfRule type="cellIs" dxfId="430" priority="252" operator="lessThan">
      <formula>0</formula>
    </cfRule>
  </conditionalFormatting>
  <conditionalFormatting sqref="L4">
    <cfRule type="cellIs" dxfId="429" priority="251" operator="lessThan">
      <formula>0</formula>
    </cfRule>
  </conditionalFormatting>
  <conditionalFormatting sqref="M4:M8">
    <cfRule type="cellIs" dxfId="428" priority="250" operator="lessThan">
      <formula>0</formula>
    </cfRule>
  </conditionalFormatting>
  <conditionalFormatting sqref="M4:M8">
    <cfRule type="cellIs" dxfId="427" priority="249" operator="lessThan">
      <formula>0</formula>
    </cfRule>
  </conditionalFormatting>
  <conditionalFormatting sqref="N4">
    <cfRule type="cellIs" dxfId="426" priority="248" operator="lessThan">
      <formula>0</formula>
    </cfRule>
  </conditionalFormatting>
  <conditionalFormatting sqref="N4">
    <cfRule type="cellIs" dxfId="425" priority="247" operator="lessThan">
      <formula>0</formula>
    </cfRule>
  </conditionalFormatting>
  <conditionalFormatting sqref="L4">
    <cfRule type="cellIs" dxfId="424" priority="246" operator="lessThan">
      <formula>0</formula>
    </cfRule>
  </conditionalFormatting>
  <conditionalFormatting sqref="L4">
    <cfRule type="cellIs" dxfId="423" priority="245" operator="lessThan">
      <formula>0</formula>
    </cfRule>
  </conditionalFormatting>
  <conditionalFormatting sqref="L4">
    <cfRule type="cellIs" dxfId="422" priority="244" operator="lessThan">
      <formula>0</formula>
    </cfRule>
  </conditionalFormatting>
  <conditionalFormatting sqref="B4:B35">
    <cfRule type="cellIs" dxfId="421" priority="243" operator="lessThan">
      <formula>0</formula>
    </cfRule>
  </conditionalFormatting>
  <conditionalFormatting sqref="C4:C35">
    <cfRule type="cellIs" dxfId="420" priority="242" operator="lessThan">
      <formula>0</formula>
    </cfRule>
  </conditionalFormatting>
  <conditionalFormatting sqref="E4:E35">
    <cfRule type="cellIs" dxfId="419" priority="241" operator="lessThan">
      <formula>0</formula>
    </cfRule>
  </conditionalFormatting>
  <conditionalFormatting sqref="F4:F35">
    <cfRule type="cellIs" dxfId="418" priority="240" operator="lessThan">
      <formula>0</formula>
    </cfRule>
  </conditionalFormatting>
  <conditionalFormatting sqref="H4:H35">
    <cfRule type="cellIs" dxfId="417" priority="239" operator="lessThan">
      <formula>0</formula>
    </cfRule>
  </conditionalFormatting>
  <conditionalFormatting sqref="K4:K35">
    <cfRule type="cellIs" dxfId="416" priority="238" operator="lessThan">
      <formula>0</formula>
    </cfRule>
  </conditionalFormatting>
  <conditionalFormatting sqref="J4:J35">
    <cfRule type="cellIs" dxfId="415" priority="237" operator="lessThan">
      <formula>0</formula>
    </cfRule>
  </conditionalFormatting>
  <conditionalFormatting sqref="O4:O35">
    <cfRule type="cellIs" dxfId="414" priority="236" operator="lessThan">
      <formula>0</formula>
    </cfRule>
  </conditionalFormatting>
  <conditionalFormatting sqref="P4:P35">
    <cfRule type="cellIs" dxfId="413" priority="235" operator="lessThan">
      <formula>0</formula>
    </cfRule>
  </conditionalFormatting>
  <conditionalFormatting sqref="Q4:Q35">
    <cfRule type="cellIs" dxfId="412" priority="234" operator="lessThan">
      <formula>0</formula>
    </cfRule>
  </conditionalFormatting>
  <conditionalFormatting sqref="R4:R35">
    <cfRule type="cellIs" dxfId="411" priority="233" operator="lessThan">
      <formula>0</formula>
    </cfRule>
  </conditionalFormatting>
  <conditionalFormatting sqref="S4:S35">
    <cfRule type="cellIs" dxfId="410" priority="232" operator="lessThan">
      <formula>0</formula>
    </cfRule>
  </conditionalFormatting>
  <conditionalFormatting sqref="T4:T35">
    <cfRule type="cellIs" dxfId="409" priority="231" operator="lessThan">
      <formula>0</formula>
    </cfRule>
  </conditionalFormatting>
  <conditionalFormatting sqref="U4:U35">
    <cfRule type="cellIs" dxfId="408" priority="230" operator="lessThan">
      <formula>0</formula>
    </cfRule>
  </conditionalFormatting>
  <conditionalFormatting sqref="V4:V35">
    <cfRule type="cellIs" dxfId="407" priority="229" operator="lessThan">
      <formula>0</formula>
    </cfRule>
  </conditionalFormatting>
  <conditionalFormatting sqref="K32:K35">
    <cfRule type="cellIs" dxfId="406" priority="228" operator="lessThan">
      <formula>0</formula>
    </cfRule>
  </conditionalFormatting>
  <conditionalFormatting sqref="B4:B35">
    <cfRule type="cellIs" dxfId="405" priority="227" operator="lessThan">
      <formula>0</formula>
    </cfRule>
  </conditionalFormatting>
  <conditionalFormatting sqref="C4:C35">
    <cfRule type="cellIs" dxfId="404" priority="226" operator="lessThan">
      <formula>0</formula>
    </cfRule>
  </conditionalFormatting>
  <conditionalFormatting sqref="G4:G35">
    <cfRule type="cellIs" dxfId="403" priority="225" operator="lessThan">
      <formula>0</formula>
    </cfRule>
  </conditionalFormatting>
  <conditionalFormatting sqref="V4:V35">
    <cfRule type="cellIs" dxfId="402" priority="224" operator="lessThan">
      <formula>0</formula>
    </cfRule>
  </conditionalFormatting>
  <conditionalFormatting sqref="O4:O35">
    <cfRule type="cellIs" dxfId="401" priority="223" operator="lessThan">
      <formula>0</formula>
    </cfRule>
  </conditionalFormatting>
  <conditionalFormatting sqref="P4:P35">
    <cfRule type="cellIs" dxfId="400" priority="222" operator="lessThan">
      <formula>0</formula>
    </cfRule>
  </conditionalFormatting>
  <conditionalFormatting sqref="Q4:Q35">
    <cfRule type="cellIs" dxfId="399" priority="221" operator="lessThan">
      <formula>0</formula>
    </cfRule>
  </conditionalFormatting>
  <conditionalFormatting sqref="R4:R35">
    <cfRule type="cellIs" dxfId="398" priority="220" operator="lessThan">
      <formula>0</formula>
    </cfRule>
  </conditionalFormatting>
  <conditionalFormatting sqref="S4:S35">
    <cfRule type="cellIs" dxfId="397" priority="219" operator="lessThan">
      <formula>0</formula>
    </cfRule>
  </conditionalFormatting>
  <conditionalFormatting sqref="T4:T35">
    <cfRule type="cellIs" dxfId="396" priority="218" operator="lessThan">
      <formula>0</formula>
    </cfRule>
  </conditionalFormatting>
  <conditionalFormatting sqref="U4:U35">
    <cfRule type="cellIs" dxfId="395" priority="217" operator="lessThan">
      <formula>0</formula>
    </cfRule>
  </conditionalFormatting>
  <conditionalFormatting sqref="E4:E35">
    <cfRule type="cellIs" dxfId="394" priority="216" operator="lessThan">
      <formula>0</formula>
    </cfRule>
  </conditionalFormatting>
  <conditionalFormatting sqref="F4:F35">
    <cfRule type="cellIs" dxfId="393" priority="215" operator="lessThan">
      <formula>0</formula>
    </cfRule>
  </conditionalFormatting>
  <conditionalFormatting sqref="H4:H35">
    <cfRule type="cellIs" dxfId="392" priority="214" operator="lessThan">
      <formula>0</formula>
    </cfRule>
  </conditionalFormatting>
  <conditionalFormatting sqref="K4:K35">
    <cfRule type="cellIs" dxfId="391" priority="213" operator="lessThan">
      <formula>0</formula>
    </cfRule>
  </conditionalFormatting>
  <conditionalFormatting sqref="I4:I35">
    <cfRule type="cellIs" dxfId="390" priority="212" operator="lessThan">
      <formula>0</formula>
    </cfRule>
  </conditionalFormatting>
  <conditionalFormatting sqref="J4:J35">
    <cfRule type="cellIs" dxfId="389" priority="211" operator="lessThan">
      <formula>0</formula>
    </cfRule>
  </conditionalFormatting>
  <conditionalFormatting sqref="K4:K35">
    <cfRule type="cellIs" dxfId="388" priority="210" operator="lessThan">
      <formula>0</formula>
    </cfRule>
  </conditionalFormatting>
  <conditionalFormatting sqref="B4:B35">
    <cfRule type="cellIs" dxfId="387" priority="209" operator="lessThan">
      <formula>0</formula>
    </cfRule>
  </conditionalFormatting>
  <conditionalFormatting sqref="C4:C35">
    <cfRule type="cellIs" dxfId="386" priority="208" operator="lessThan">
      <formula>0</formula>
    </cfRule>
  </conditionalFormatting>
  <conditionalFormatting sqref="G4:G35">
    <cfRule type="cellIs" dxfId="385" priority="207" operator="lessThan">
      <formula>0</formula>
    </cfRule>
  </conditionalFormatting>
  <conditionalFormatting sqref="V4:V35">
    <cfRule type="cellIs" dxfId="384" priority="206" operator="lessThan">
      <formula>0</formula>
    </cfRule>
  </conditionalFormatting>
  <conditionalFormatting sqref="O4:O35">
    <cfRule type="cellIs" dxfId="383" priority="205" operator="lessThan">
      <formula>0</formula>
    </cfRule>
  </conditionalFormatting>
  <conditionalFormatting sqref="P4:P35">
    <cfRule type="cellIs" dxfId="382" priority="204" operator="lessThan">
      <formula>0</formula>
    </cfRule>
  </conditionalFormatting>
  <conditionalFormatting sqref="Q4:Q35">
    <cfRule type="cellIs" dxfId="381" priority="203" operator="lessThan">
      <formula>0</formula>
    </cfRule>
  </conditionalFormatting>
  <conditionalFormatting sqref="R4:R35">
    <cfRule type="cellIs" dxfId="380" priority="202" operator="lessThan">
      <formula>0</formula>
    </cfRule>
  </conditionalFormatting>
  <conditionalFormatting sqref="S4:S35">
    <cfRule type="cellIs" dxfId="379" priority="201" operator="lessThan">
      <formula>0</formula>
    </cfRule>
  </conditionalFormatting>
  <conditionalFormatting sqref="T4:T35">
    <cfRule type="cellIs" dxfId="378" priority="200" operator="lessThan">
      <formula>0</formula>
    </cfRule>
  </conditionalFormatting>
  <conditionalFormatting sqref="U4:U35">
    <cfRule type="cellIs" dxfId="377" priority="199" operator="lessThan">
      <formula>0</formula>
    </cfRule>
  </conditionalFormatting>
  <conditionalFormatting sqref="E4:E35">
    <cfRule type="cellIs" dxfId="376" priority="198" operator="lessThan">
      <formula>0</formula>
    </cfRule>
  </conditionalFormatting>
  <conditionalFormatting sqref="F4:F35">
    <cfRule type="cellIs" dxfId="375" priority="197" operator="lessThan">
      <formula>0</formula>
    </cfRule>
  </conditionalFormatting>
  <conditionalFormatting sqref="H4:H35">
    <cfRule type="cellIs" dxfId="374" priority="196" operator="lessThan">
      <formula>0</formula>
    </cfRule>
  </conditionalFormatting>
  <conditionalFormatting sqref="J4:J35">
    <cfRule type="cellIs" dxfId="373" priority="195" operator="lessThan">
      <formula>0</formula>
    </cfRule>
  </conditionalFormatting>
  <conditionalFormatting sqref="K4:K35">
    <cfRule type="cellIs" dxfId="372" priority="194" operator="lessThan">
      <formula>0</formula>
    </cfRule>
  </conditionalFormatting>
  <conditionalFormatting sqref="I4:I35">
    <cfRule type="cellIs" dxfId="371" priority="193" operator="lessThan">
      <formula>0</formula>
    </cfRule>
  </conditionalFormatting>
  <conditionalFormatting sqref="B4:B35">
    <cfRule type="cellIs" dxfId="370" priority="192" operator="lessThan">
      <formula>0</formula>
    </cfRule>
  </conditionalFormatting>
  <conditionalFormatting sqref="C4:C35">
    <cfRule type="cellIs" dxfId="369" priority="191" operator="lessThan">
      <formula>0</formula>
    </cfRule>
  </conditionalFormatting>
  <conditionalFormatting sqref="I4:I35">
    <cfRule type="cellIs" dxfId="368" priority="190" operator="lessThan">
      <formula>0</formula>
    </cfRule>
  </conditionalFormatting>
  <conditionalFormatting sqref="G4:G35">
    <cfRule type="cellIs" dxfId="367" priority="189" operator="lessThan">
      <formula>0</formula>
    </cfRule>
  </conditionalFormatting>
  <conditionalFormatting sqref="E4:E35">
    <cfRule type="cellIs" dxfId="366" priority="188" operator="lessThan">
      <formula>0</formula>
    </cfRule>
  </conditionalFormatting>
  <conditionalFormatting sqref="F4:F35">
    <cfRule type="cellIs" dxfId="365" priority="187" operator="lessThan">
      <formula>0</formula>
    </cfRule>
  </conditionalFormatting>
  <conditionalFormatting sqref="H4:H35">
    <cfRule type="cellIs" dxfId="364" priority="186" operator="lessThan">
      <formula>0</formula>
    </cfRule>
  </conditionalFormatting>
  <conditionalFormatting sqref="J4:J35">
    <cfRule type="cellIs" dxfId="363" priority="185" operator="lessThan">
      <formula>0</formula>
    </cfRule>
  </conditionalFormatting>
  <conditionalFormatting sqref="V4:V35">
    <cfRule type="cellIs" dxfId="362" priority="184" operator="lessThan">
      <formula>0</formula>
    </cfRule>
  </conditionalFormatting>
  <conditionalFormatting sqref="O4:O35">
    <cfRule type="cellIs" dxfId="361" priority="183" operator="lessThan">
      <formula>0</formula>
    </cfRule>
  </conditionalFormatting>
  <conditionalFormatting sqref="P4:P35">
    <cfRule type="cellIs" dxfId="360" priority="182" operator="lessThan">
      <formula>0</formula>
    </cfRule>
  </conditionalFormatting>
  <conditionalFormatting sqref="Q4:Q35">
    <cfRule type="cellIs" dxfId="359" priority="181" operator="lessThan">
      <formula>0</formula>
    </cfRule>
  </conditionalFormatting>
  <conditionalFormatting sqref="R4:R35">
    <cfRule type="cellIs" dxfId="358" priority="180" operator="lessThan">
      <formula>0</formula>
    </cfRule>
  </conditionalFormatting>
  <conditionalFormatting sqref="S4:S35">
    <cfRule type="cellIs" dxfId="357" priority="179" operator="lessThan">
      <formula>0</formula>
    </cfRule>
  </conditionalFormatting>
  <conditionalFormatting sqref="T4:T35">
    <cfRule type="cellIs" dxfId="356" priority="178" operator="lessThan">
      <formula>0</formula>
    </cfRule>
  </conditionalFormatting>
  <conditionalFormatting sqref="U4:U35">
    <cfRule type="cellIs" dxfId="355" priority="177" operator="lessThan">
      <formula>0</formula>
    </cfRule>
  </conditionalFormatting>
  <conditionalFormatting sqref="B19:B27">
    <cfRule type="cellIs" dxfId="354" priority="176" operator="lessThan">
      <formula>0</formula>
    </cfRule>
  </conditionalFormatting>
  <conditionalFormatting sqref="B18">
    <cfRule type="cellIs" dxfId="353" priority="175" operator="lessThan">
      <formula>0</formula>
    </cfRule>
  </conditionalFormatting>
  <conditionalFormatting sqref="C18:C27">
    <cfRule type="cellIs" dxfId="352" priority="174" operator="lessThan">
      <formula>0</formula>
    </cfRule>
  </conditionalFormatting>
  <conditionalFormatting sqref="C17:C27">
    <cfRule type="cellIs" dxfId="351" priority="173" operator="lessThan">
      <formula>0</formula>
    </cfRule>
  </conditionalFormatting>
  <conditionalFormatting sqref="G18:G30">
    <cfRule type="cellIs" dxfId="350" priority="172" operator="lessThan">
      <formula>0</formula>
    </cfRule>
  </conditionalFormatting>
  <conditionalFormatting sqref="V18:V29">
    <cfRule type="cellIs" dxfId="349" priority="171" operator="lessThan">
      <formula>0</formula>
    </cfRule>
  </conditionalFormatting>
  <conditionalFormatting sqref="O18:O29">
    <cfRule type="cellIs" dxfId="348" priority="170" operator="lessThan">
      <formula>0</formula>
    </cfRule>
  </conditionalFormatting>
  <conditionalFormatting sqref="P18:P29">
    <cfRule type="cellIs" dxfId="347" priority="169" operator="lessThan">
      <formula>0</formula>
    </cfRule>
  </conditionalFormatting>
  <conditionalFormatting sqref="Q18:Q29">
    <cfRule type="cellIs" dxfId="346" priority="168" operator="lessThan">
      <formula>0</formula>
    </cfRule>
  </conditionalFormatting>
  <conditionalFormatting sqref="R18:R29">
    <cfRule type="cellIs" dxfId="345" priority="167" operator="lessThan">
      <formula>0</formula>
    </cfRule>
  </conditionalFormatting>
  <conditionalFormatting sqref="S18:S29">
    <cfRule type="cellIs" dxfId="344" priority="166" operator="lessThan">
      <formula>0</formula>
    </cfRule>
  </conditionalFormatting>
  <conditionalFormatting sqref="T18:T29">
    <cfRule type="cellIs" dxfId="343" priority="165" operator="lessThan">
      <formula>0</formula>
    </cfRule>
  </conditionalFormatting>
  <conditionalFormatting sqref="U18:U29">
    <cfRule type="cellIs" dxfId="342" priority="164" operator="lessThan">
      <formula>0</formula>
    </cfRule>
  </conditionalFormatting>
  <conditionalFormatting sqref="E18:E30">
    <cfRule type="cellIs" dxfId="341" priority="163" operator="lessThan">
      <formula>0</formula>
    </cfRule>
  </conditionalFormatting>
  <conditionalFormatting sqref="F18:F30">
    <cfRule type="cellIs" dxfId="340" priority="162" operator="lessThan">
      <formula>0</formula>
    </cfRule>
  </conditionalFormatting>
  <conditionalFormatting sqref="H18:H29">
    <cfRule type="cellIs" dxfId="339" priority="161" operator="lessThan">
      <formula>0</formula>
    </cfRule>
  </conditionalFormatting>
  <conditionalFormatting sqref="J18:J29">
    <cfRule type="cellIs" dxfId="338" priority="160" operator="lessThan">
      <formula>0</formula>
    </cfRule>
  </conditionalFormatting>
  <conditionalFormatting sqref="B4:B35">
    <cfRule type="cellIs" dxfId="337" priority="159" operator="lessThan">
      <formula>0</formula>
    </cfRule>
  </conditionalFormatting>
  <conditionalFormatting sqref="C4:C35">
    <cfRule type="cellIs" dxfId="336" priority="158" operator="lessThan">
      <formula>0</formula>
    </cfRule>
  </conditionalFormatting>
  <conditionalFormatting sqref="G4:G35">
    <cfRule type="cellIs" dxfId="335" priority="157" operator="lessThan">
      <formula>0</formula>
    </cfRule>
  </conditionalFormatting>
  <conditionalFormatting sqref="E4:E35">
    <cfRule type="cellIs" dxfId="334" priority="156" operator="lessThan">
      <formula>0</formula>
    </cfRule>
  </conditionalFormatting>
  <conditionalFormatting sqref="F4:F35">
    <cfRule type="cellIs" dxfId="333" priority="155" operator="lessThan">
      <formula>0</formula>
    </cfRule>
  </conditionalFormatting>
  <conditionalFormatting sqref="O4:O35">
    <cfRule type="cellIs" dxfId="332" priority="154" operator="lessThan">
      <formula>0</formula>
    </cfRule>
  </conditionalFormatting>
  <conditionalFormatting sqref="P4:P35">
    <cfRule type="cellIs" dxfId="331" priority="153" operator="lessThan">
      <formula>0</formula>
    </cfRule>
  </conditionalFormatting>
  <conditionalFormatting sqref="Q4:Q35">
    <cfRule type="cellIs" dxfId="330" priority="152" operator="lessThan">
      <formula>0</formula>
    </cfRule>
  </conditionalFormatting>
  <conditionalFormatting sqref="R4:R35">
    <cfRule type="cellIs" dxfId="329" priority="151" operator="lessThan">
      <formula>0</formula>
    </cfRule>
  </conditionalFormatting>
  <conditionalFormatting sqref="S4:S35">
    <cfRule type="cellIs" dxfId="328" priority="150" operator="lessThan">
      <formula>0</formula>
    </cfRule>
  </conditionalFormatting>
  <conditionalFormatting sqref="T4:T35">
    <cfRule type="cellIs" dxfId="327" priority="149" operator="lessThan">
      <formula>0</formula>
    </cfRule>
  </conditionalFormatting>
  <conditionalFormatting sqref="U4:U35">
    <cfRule type="cellIs" dxfId="326" priority="148" operator="lessThan">
      <formula>0</formula>
    </cfRule>
  </conditionalFormatting>
  <conditionalFormatting sqref="V4:V35">
    <cfRule type="cellIs" dxfId="325" priority="147" operator="lessThan">
      <formula>0</formula>
    </cfRule>
  </conditionalFormatting>
  <conditionalFormatting sqref="H4:H35">
    <cfRule type="cellIs" dxfId="324" priority="146" operator="lessThan">
      <formula>0</formula>
    </cfRule>
  </conditionalFormatting>
  <conditionalFormatting sqref="J4:J35">
    <cfRule type="cellIs" dxfId="323" priority="145" operator="lessThan">
      <formula>0</formula>
    </cfRule>
  </conditionalFormatting>
  <conditionalFormatting sqref="I4:I35">
    <cfRule type="cellIs" dxfId="322" priority="144" operator="lessThan">
      <formula>0</formula>
    </cfRule>
  </conditionalFormatting>
  <conditionalFormatting sqref="E3:E35">
    <cfRule type="cellIs" dxfId="321" priority="143" operator="lessThan">
      <formula>0</formula>
    </cfRule>
  </conditionalFormatting>
  <conditionalFormatting sqref="F3:F35">
    <cfRule type="cellIs" dxfId="320" priority="142" operator="lessThan">
      <formula>0</formula>
    </cfRule>
  </conditionalFormatting>
  <conditionalFormatting sqref="G3:G35">
    <cfRule type="cellIs" dxfId="319" priority="141" operator="lessThan">
      <formula>0</formula>
    </cfRule>
  </conditionalFormatting>
  <conditionalFormatting sqref="B4:B35">
    <cfRule type="cellIs" dxfId="318" priority="140" operator="lessThan">
      <formula>0</formula>
    </cfRule>
  </conditionalFormatting>
  <conditionalFormatting sqref="E5">
    <cfRule type="cellIs" dxfId="317" priority="139" operator="lessThan">
      <formula>0</formula>
    </cfRule>
  </conditionalFormatting>
  <conditionalFormatting sqref="F5">
    <cfRule type="cellIs" dxfId="316" priority="138" operator="lessThan">
      <formula>0</formula>
    </cfRule>
  </conditionalFormatting>
  <conditionalFormatting sqref="G5">
    <cfRule type="cellIs" dxfId="315" priority="137" operator="lessThan">
      <formula>0</formula>
    </cfRule>
  </conditionalFormatting>
  <conditionalFormatting sqref="E5">
    <cfRule type="cellIs" dxfId="314" priority="136" operator="lessThan">
      <formula>0</formula>
    </cfRule>
  </conditionalFormatting>
  <conditionalFormatting sqref="E5">
    <cfRule type="cellIs" dxfId="313" priority="135" operator="lessThan">
      <formula>0</formula>
    </cfRule>
  </conditionalFormatting>
  <conditionalFormatting sqref="F5">
    <cfRule type="cellIs" dxfId="312" priority="134" operator="lessThan">
      <formula>0</formula>
    </cfRule>
  </conditionalFormatting>
  <conditionalFormatting sqref="F5">
    <cfRule type="cellIs" dxfId="311" priority="133" operator="lessThan">
      <formula>0</formula>
    </cfRule>
  </conditionalFormatting>
  <conditionalFormatting sqref="G5">
    <cfRule type="cellIs" dxfId="310" priority="132" operator="lessThan">
      <formula>0</formula>
    </cfRule>
  </conditionalFormatting>
  <conditionalFormatting sqref="G5">
    <cfRule type="cellIs" dxfId="309" priority="131" operator="lessThan">
      <formula>0</formula>
    </cfRule>
  </conditionalFormatting>
  <conditionalFormatting sqref="E5">
    <cfRule type="cellIs" dxfId="308" priority="130" operator="lessThan">
      <formula>0</formula>
    </cfRule>
  </conditionalFormatting>
  <conditionalFormatting sqref="F5">
    <cfRule type="cellIs" dxfId="307" priority="129" operator="lessThan">
      <formula>0</formula>
    </cfRule>
  </conditionalFormatting>
  <conditionalFormatting sqref="G5">
    <cfRule type="cellIs" dxfId="306" priority="128" operator="lessThan">
      <formula>0</formula>
    </cfRule>
  </conditionalFormatting>
  <conditionalFormatting sqref="E5">
    <cfRule type="cellIs" dxfId="305" priority="127" operator="lessThan">
      <formula>0</formula>
    </cfRule>
  </conditionalFormatting>
  <conditionalFormatting sqref="E5">
    <cfRule type="cellIs" dxfId="304" priority="126" operator="lessThan">
      <formula>0</formula>
    </cfRule>
  </conditionalFormatting>
  <conditionalFormatting sqref="F5">
    <cfRule type="cellIs" dxfId="303" priority="125" operator="lessThan">
      <formula>0</formula>
    </cfRule>
  </conditionalFormatting>
  <conditionalFormatting sqref="F5">
    <cfRule type="cellIs" dxfId="302" priority="124" operator="lessThan">
      <formula>0</formula>
    </cfRule>
  </conditionalFormatting>
  <conditionalFormatting sqref="G5">
    <cfRule type="cellIs" dxfId="301" priority="123" operator="lessThan">
      <formula>0</formula>
    </cfRule>
  </conditionalFormatting>
  <conditionalFormatting sqref="G5">
    <cfRule type="cellIs" dxfId="300" priority="122" operator="lessThan">
      <formula>0</formula>
    </cfRule>
  </conditionalFormatting>
  <conditionalFormatting sqref="C4:C35">
    <cfRule type="cellIs" dxfId="299" priority="121" operator="lessThan">
      <formula>0</formula>
    </cfRule>
  </conditionalFormatting>
  <conditionalFormatting sqref="V4:V35">
    <cfRule type="cellIs" dxfId="298" priority="120" operator="lessThan">
      <formula>0</formula>
    </cfRule>
  </conditionalFormatting>
  <conditionalFormatting sqref="O4:O35">
    <cfRule type="cellIs" dxfId="297" priority="119" operator="lessThan">
      <formula>0</formula>
    </cfRule>
  </conditionalFormatting>
  <conditionalFormatting sqref="P4:P35">
    <cfRule type="cellIs" dxfId="296" priority="118" operator="lessThan">
      <formula>0</formula>
    </cfRule>
  </conditionalFormatting>
  <conditionalFormatting sqref="Q4:Q35">
    <cfRule type="cellIs" dxfId="295" priority="117" operator="lessThan">
      <formula>0</formula>
    </cfRule>
  </conditionalFormatting>
  <conditionalFormatting sqref="R4:R35">
    <cfRule type="cellIs" dxfId="294" priority="116" operator="lessThan">
      <formula>0</formula>
    </cfRule>
  </conditionalFormatting>
  <conditionalFormatting sqref="S4:S35">
    <cfRule type="cellIs" dxfId="293" priority="115" operator="lessThan">
      <formula>0</formula>
    </cfRule>
  </conditionalFormatting>
  <conditionalFormatting sqref="T4:T35">
    <cfRule type="cellIs" dxfId="292" priority="114" operator="lessThan">
      <formula>0</formula>
    </cfRule>
  </conditionalFormatting>
  <conditionalFormatting sqref="U4:U35">
    <cfRule type="cellIs" dxfId="291" priority="113" operator="lessThan">
      <formula>0</formula>
    </cfRule>
  </conditionalFormatting>
  <conditionalFormatting sqref="K4:K35">
    <cfRule type="cellIs" dxfId="290" priority="112" operator="lessThan">
      <formula>0</formula>
    </cfRule>
  </conditionalFormatting>
  <conditionalFormatting sqref="J4:J35">
    <cfRule type="cellIs" dxfId="289" priority="111" operator="lessThan">
      <formula>0</formula>
    </cfRule>
  </conditionalFormatting>
  <conditionalFormatting sqref="H4:H35">
    <cfRule type="cellIs" dxfId="288" priority="110" operator="lessThan">
      <formula>0</formula>
    </cfRule>
  </conditionalFormatting>
  <conditionalFormatting sqref="I4:I35">
    <cfRule type="cellIs" dxfId="287" priority="109" operator="lessThan">
      <formula>0</formula>
    </cfRule>
  </conditionalFormatting>
  <conditionalFormatting sqref="B4:B35">
    <cfRule type="cellIs" dxfId="286" priority="108" operator="lessThan">
      <formula>0</formula>
    </cfRule>
  </conditionalFormatting>
  <conditionalFormatting sqref="B4:B35">
    <cfRule type="cellIs" dxfId="285" priority="107" operator="lessThan">
      <formula>0</formula>
    </cfRule>
  </conditionalFormatting>
  <conditionalFormatting sqref="B4:B35">
    <cfRule type="cellIs" dxfId="284" priority="106" operator="lessThan">
      <formula>0</formula>
    </cfRule>
  </conditionalFormatting>
  <conditionalFormatting sqref="C4:C35">
    <cfRule type="cellIs" dxfId="283" priority="105" operator="lessThan">
      <formula>0</formula>
    </cfRule>
  </conditionalFormatting>
  <conditionalFormatting sqref="G3:G35">
    <cfRule type="cellIs" dxfId="282" priority="104" operator="lessThan">
      <formula>0</formula>
    </cfRule>
  </conditionalFormatting>
  <conditionalFormatting sqref="V3:V35">
    <cfRule type="cellIs" dxfId="281" priority="103" operator="lessThan">
      <formula>0</formula>
    </cfRule>
  </conditionalFormatting>
  <conditionalFormatting sqref="O4:O35">
    <cfRule type="cellIs" dxfId="280" priority="102" operator="lessThan">
      <formula>0</formula>
    </cfRule>
  </conditionalFormatting>
  <conditionalFormatting sqref="G5">
    <cfRule type="cellIs" dxfId="279" priority="101" operator="lessThan">
      <formula>0</formula>
    </cfRule>
  </conditionalFormatting>
  <conditionalFormatting sqref="G5">
    <cfRule type="cellIs" dxfId="278" priority="100" operator="lessThan">
      <formula>0</formula>
    </cfRule>
  </conditionalFormatting>
  <conditionalFormatting sqref="G5">
    <cfRule type="cellIs" dxfId="277" priority="99" operator="lessThan">
      <formula>0</formula>
    </cfRule>
  </conditionalFormatting>
  <conditionalFormatting sqref="G5">
    <cfRule type="cellIs" dxfId="276" priority="98" operator="lessThan">
      <formula>0</formula>
    </cfRule>
  </conditionalFormatting>
  <conditionalFormatting sqref="G5">
    <cfRule type="cellIs" dxfId="275" priority="97" operator="lessThan">
      <formula>0</formula>
    </cfRule>
  </conditionalFormatting>
  <conditionalFormatting sqref="G5">
    <cfRule type="cellIs" dxfId="274" priority="96" operator="lessThan">
      <formula>0</formula>
    </cfRule>
  </conditionalFormatting>
  <conditionalFormatting sqref="G6">
    <cfRule type="cellIs" dxfId="273" priority="95" operator="lessThan">
      <formula>0</formula>
    </cfRule>
  </conditionalFormatting>
  <conditionalFormatting sqref="G6">
    <cfRule type="cellIs" dxfId="272" priority="94" operator="lessThan">
      <formula>0</formula>
    </cfRule>
  </conditionalFormatting>
  <conditionalFormatting sqref="G6">
    <cfRule type="cellIs" dxfId="271" priority="93" operator="lessThan">
      <formula>0</formula>
    </cfRule>
  </conditionalFormatting>
  <conditionalFormatting sqref="G6">
    <cfRule type="cellIs" dxfId="270" priority="92" operator="lessThan">
      <formula>0</formula>
    </cfRule>
  </conditionalFormatting>
  <conditionalFormatting sqref="G6">
    <cfRule type="cellIs" dxfId="269" priority="91" operator="lessThan">
      <formula>0</formula>
    </cfRule>
  </conditionalFormatting>
  <conditionalFormatting sqref="G6">
    <cfRule type="cellIs" dxfId="268" priority="90" operator="lessThan">
      <formula>0</formula>
    </cfRule>
  </conditionalFormatting>
  <conditionalFormatting sqref="V5">
    <cfRule type="cellIs" dxfId="267" priority="89" operator="lessThan">
      <formula>0</formula>
    </cfRule>
  </conditionalFormatting>
  <conditionalFormatting sqref="V5">
    <cfRule type="cellIs" dxfId="266" priority="88" operator="lessThan">
      <formula>0</formula>
    </cfRule>
  </conditionalFormatting>
  <conditionalFormatting sqref="V5">
    <cfRule type="cellIs" dxfId="265" priority="87" operator="lessThan">
      <formula>0</formula>
    </cfRule>
  </conditionalFormatting>
  <conditionalFormatting sqref="E4:E35">
    <cfRule type="cellIs" dxfId="264" priority="86" operator="lessThan">
      <formula>0</formula>
    </cfRule>
  </conditionalFormatting>
  <conditionalFormatting sqref="F4:F35">
    <cfRule type="cellIs" dxfId="263" priority="85" operator="lessThan">
      <formula>0</formula>
    </cfRule>
  </conditionalFormatting>
  <conditionalFormatting sqref="P4:P35">
    <cfRule type="cellIs" dxfId="262" priority="84" operator="lessThan">
      <formula>0</formula>
    </cfRule>
  </conditionalFormatting>
  <conditionalFormatting sqref="R4:R35">
    <cfRule type="cellIs" dxfId="261" priority="82" operator="lessThan">
      <formula>0</formula>
    </cfRule>
  </conditionalFormatting>
  <conditionalFormatting sqref="S4:S35">
    <cfRule type="cellIs" dxfId="260" priority="81" operator="lessThan">
      <formula>0</formula>
    </cfRule>
  </conditionalFormatting>
  <conditionalFormatting sqref="T4:T35">
    <cfRule type="cellIs" dxfId="259" priority="80" operator="lessThan">
      <formula>0</formula>
    </cfRule>
  </conditionalFormatting>
  <conditionalFormatting sqref="U4:U35">
    <cfRule type="cellIs" dxfId="258" priority="79" operator="lessThan">
      <formula>0</formula>
    </cfRule>
  </conditionalFormatting>
  <conditionalFormatting sqref="J4:J35">
    <cfRule type="cellIs" dxfId="257" priority="78" operator="lessThan">
      <formula>0</formula>
    </cfRule>
  </conditionalFormatting>
  <conditionalFormatting sqref="K4:K35">
    <cfRule type="cellIs" dxfId="256" priority="77" operator="lessThan">
      <formula>0</formula>
    </cfRule>
  </conditionalFormatting>
  <conditionalFormatting sqref="H4:H35">
    <cfRule type="cellIs" dxfId="255" priority="76" operator="lessThan">
      <formula>0</formula>
    </cfRule>
  </conditionalFormatting>
  <conditionalFormatting sqref="I4:I35">
    <cfRule type="cellIs" dxfId="254" priority="75" operator="lessThan">
      <formula>0</formula>
    </cfRule>
  </conditionalFormatting>
  <conditionalFormatting sqref="B31:B35">
    <cfRule type="cellIs" dxfId="253" priority="74" operator="lessThan">
      <formula>0</formula>
    </cfRule>
  </conditionalFormatting>
  <conditionalFormatting sqref="C30:C35">
    <cfRule type="cellIs" dxfId="252" priority="73" operator="lessThan">
      <formula>0</formula>
    </cfRule>
  </conditionalFormatting>
  <conditionalFormatting sqref="G30:G35">
    <cfRule type="cellIs" dxfId="251" priority="72" operator="lessThan">
      <formula>0</formula>
    </cfRule>
  </conditionalFormatting>
  <conditionalFormatting sqref="F30:F35">
    <cfRule type="cellIs" dxfId="250" priority="71" operator="lessThan">
      <formula>0</formula>
    </cfRule>
  </conditionalFormatting>
  <conditionalFormatting sqref="E30">
    <cfRule type="cellIs" dxfId="249" priority="70" operator="lessThan">
      <formula>0</formula>
    </cfRule>
  </conditionalFormatting>
  <conditionalFormatting sqref="E30:E35">
    <cfRule type="cellIs" dxfId="248" priority="69" operator="lessThan">
      <formula>0</formula>
    </cfRule>
  </conditionalFormatting>
  <conditionalFormatting sqref="E30">
    <cfRule type="cellIs" dxfId="247" priority="68" operator="lessThan">
      <formula>0</formula>
    </cfRule>
  </conditionalFormatting>
  <conditionalFormatting sqref="E30:E31">
    <cfRule type="cellIs" dxfId="246" priority="67" operator="lessThan">
      <formula>0</formula>
    </cfRule>
  </conditionalFormatting>
  <conditionalFormatting sqref="E30:E35">
    <cfRule type="cellIs" dxfId="245" priority="66" operator="lessThan">
      <formula>0</formula>
    </cfRule>
  </conditionalFormatting>
  <conditionalFormatting sqref="G30:G35">
    <cfRule type="cellIs" dxfId="244" priority="65" operator="lessThan">
      <formula>0</formula>
    </cfRule>
  </conditionalFormatting>
  <conditionalFormatting sqref="V30:V35">
    <cfRule type="cellIs" dxfId="243" priority="64" operator="lessThan">
      <formula>0</formula>
    </cfRule>
  </conditionalFormatting>
  <conditionalFormatting sqref="O30:O35">
    <cfRule type="cellIs" dxfId="242" priority="63" operator="lessThan">
      <formula>0</formula>
    </cfRule>
  </conditionalFormatting>
  <conditionalFormatting sqref="P30:P35">
    <cfRule type="cellIs" dxfId="241" priority="62" operator="lessThan">
      <formula>0</formula>
    </cfRule>
  </conditionalFormatting>
  <conditionalFormatting sqref="Q30:Q35">
    <cfRule type="cellIs" dxfId="240" priority="61" operator="lessThan">
      <formula>0</formula>
    </cfRule>
  </conditionalFormatting>
  <conditionalFormatting sqref="R30:R35">
    <cfRule type="cellIs" dxfId="239" priority="60" operator="lessThan">
      <formula>0</formula>
    </cfRule>
  </conditionalFormatting>
  <conditionalFormatting sqref="S30:S35">
    <cfRule type="cellIs" dxfId="238" priority="59" operator="lessThan">
      <formula>0</formula>
    </cfRule>
  </conditionalFormatting>
  <conditionalFormatting sqref="T30:T35">
    <cfRule type="cellIs" dxfId="237" priority="58" operator="lessThan">
      <formula>0</formula>
    </cfRule>
  </conditionalFormatting>
  <conditionalFormatting sqref="U30:U35">
    <cfRule type="cellIs" dxfId="236" priority="57" operator="lessThan">
      <formula>0</formula>
    </cfRule>
  </conditionalFormatting>
  <conditionalFormatting sqref="H30:H35">
    <cfRule type="cellIs" dxfId="235" priority="56" operator="lessThan">
      <formula>0</formula>
    </cfRule>
  </conditionalFormatting>
  <conditionalFormatting sqref="K30:K35">
    <cfRule type="cellIs" dxfId="234" priority="55" operator="lessThan">
      <formula>0</formula>
    </cfRule>
  </conditionalFormatting>
  <conditionalFormatting sqref="J30:J35">
    <cfRule type="cellIs" dxfId="233" priority="54" operator="lessThan">
      <formula>0</formula>
    </cfRule>
  </conditionalFormatting>
  <conditionalFormatting sqref="I30:I35">
    <cfRule type="cellIs" dxfId="232" priority="53" operator="lessThan">
      <formula>0</formula>
    </cfRule>
  </conditionalFormatting>
  <conditionalFormatting sqref="D4:D35">
    <cfRule type="cellIs" dxfId="231" priority="52" operator="lessThan">
      <formula>0</formula>
    </cfRule>
  </conditionalFormatting>
  <conditionalFormatting sqref="B6:B29">
    <cfRule type="cellIs" dxfId="230" priority="51" operator="lessThan">
      <formula>0</formula>
    </cfRule>
  </conditionalFormatting>
  <conditionalFormatting sqref="B6:B13">
    <cfRule type="cellIs" dxfId="229" priority="50" operator="lessThan">
      <formula>0</formula>
    </cfRule>
  </conditionalFormatting>
  <conditionalFormatting sqref="B6:B9">
    <cfRule type="cellIs" dxfId="228" priority="49" operator="lessThan">
      <formula>0</formula>
    </cfRule>
  </conditionalFormatting>
  <conditionalFormatting sqref="C6:C29">
    <cfRule type="cellIs" dxfId="227" priority="48" operator="lessThan">
      <formula>0</formula>
    </cfRule>
  </conditionalFormatting>
  <conditionalFormatting sqref="G6:G29">
    <cfRule type="cellIs" dxfId="226" priority="47" operator="lessThan">
      <formula>0</formula>
    </cfRule>
  </conditionalFormatting>
  <conditionalFormatting sqref="V6:V29">
    <cfRule type="cellIs" dxfId="225" priority="46" operator="lessThan">
      <formula>0</formula>
    </cfRule>
  </conditionalFormatting>
  <conditionalFormatting sqref="O6:O29">
    <cfRule type="cellIs" dxfId="224" priority="45" operator="lessThan">
      <formula>0</formula>
    </cfRule>
  </conditionalFormatting>
  <conditionalFormatting sqref="P6:P29">
    <cfRule type="cellIs" dxfId="223" priority="44" operator="lessThan">
      <formula>0</formula>
    </cfRule>
  </conditionalFormatting>
  <conditionalFormatting sqref="Q6:Q29">
    <cfRule type="cellIs" dxfId="222" priority="43" operator="lessThan">
      <formula>0</formula>
    </cfRule>
  </conditionalFormatting>
  <conditionalFormatting sqref="R6:R29">
    <cfRule type="cellIs" dxfId="221" priority="42" operator="lessThan">
      <formula>0</formula>
    </cfRule>
  </conditionalFormatting>
  <conditionalFormatting sqref="S6:S29">
    <cfRule type="cellIs" dxfId="220" priority="41" operator="lessThan">
      <formula>0</formula>
    </cfRule>
  </conditionalFormatting>
  <conditionalFormatting sqref="T6:T29">
    <cfRule type="cellIs" dxfId="219" priority="40" operator="lessThan">
      <formula>0</formula>
    </cfRule>
  </conditionalFormatting>
  <conditionalFormatting sqref="U6:U29">
    <cfRule type="cellIs" dxfId="218" priority="39" operator="lessThan">
      <formula>0</formula>
    </cfRule>
  </conditionalFormatting>
  <conditionalFormatting sqref="E6:E29">
    <cfRule type="cellIs" dxfId="217" priority="38" operator="lessThan">
      <formula>0</formula>
    </cfRule>
  </conditionalFormatting>
  <conditionalFormatting sqref="F6:F29">
    <cfRule type="cellIs" dxfId="216" priority="37" operator="lessThan">
      <formula>0</formula>
    </cfRule>
  </conditionalFormatting>
  <conditionalFormatting sqref="H6:H29">
    <cfRule type="cellIs" dxfId="215" priority="36" operator="lessThan">
      <formula>0</formula>
    </cfRule>
  </conditionalFormatting>
  <conditionalFormatting sqref="K6:K30">
    <cfRule type="cellIs" dxfId="214" priority="35" operator="lessThan">
      <formula>0</formula>
    </cfRule>
  </conditionalFormatting>
  <conditionalFormatting sqref="J6:J29">
    <cfRule type="cellIs" dxfId="213" priority="34" operator="lessThan">
      <formula>0</formula>
    </cfRule>
  </conditionalFormatting>
  <conditionalFormatting sqref="I6:I29">
    <cfRule type="cellIs" dxfId="212" priority="33" operator="lessThan">
      <formula>0</formula>
    </cfRule>
  </conditionalFormatting>
  <conditionalFormatting sqref="B11:B33">
    <cfRule type="cellIs" dxfId="211" priority="32" operator="lessThan">
      <formula>0</formula>
    </cfRule>
  </conditionalFormatting>
  <conditionalFormatting sqref="C11:C33">
    <cfRule type="cellIs" dxfId="210" priority="31" operator="lessThan">
      <formula>0</formula>
    </cfRule>
  </conditionalFormatting>
  <conditionalFormatting sqref="G11:G33">
    <cfRule type="cellIs" dxfId="209" priority="30" operator="lessThan">
      <formula>0</formula>
    </cfRule>
  </conditionalFormatting>
  <conditionalFormatting sqref="E11:E33">
    <cfRule type="cellIs" dxfId="208" priority="29" operator="lessThan">
      <formula>0</formula>
    </cfRule>
  </conditionalFormatting>
  <conditionalFormatting sqref="F11:F33">
    <cfRule type="cellIs" dxfId="207" priority="28" operator="lessThan">
      <formula>0</formula>
    </cfRule>
  </conditionalFormatting>
  <conditionalFormatting sqref="D11:D33">
    <cfRule type="cellIs" dxfId="206" priority="27" operator="lessThan">
      <formula>0</formula>
    </cfRule>
  </conditionalFormatting>
  <conditionalFormatting sqref="H11:H33">
    <cfRule type="cellIs" dxfId="205" priority="26" operator="lessThan">
      <formula>0</formula>
    </cfRule>
  </conditionalFormatting>
  <conditionalFormatting sqref="J11:J33">
    <cfRule type="cellIs" dxfId="204" priority="25" operator="lessThan">
      <formula>0</formula>
    </cfRule>
  </conditionalFormatting>
  <conditionalFormatting sqref="K31:K33">
    <cfRule type="cellIs" dxfId="203" priority="24" operator="lessThan">
      <formula>0</formula>
    </cfRule>
  </conditionalFormatting>
  <conditionalFormatting sqref="V11:V33">
    <cfRule type="cellIs" dxfId="202" priority="23" operator="lessThan">
      <formula>0</formula>
    </cfRule>
  </conditionalFormatting>
  <conditionalFormatting sqref="O11:O33">
    <cfRule type="cellIs" dxfId="201" priority="22" operator="lessThan">
      <formula>0</formula>
    </cfRule>
  </conditionalFormatting>
  <conditionalFormatting sqref="P11:P33">
    <cfRule type="cellIs" dxfId="200" priority="21" operator="lessThan">
      <formula>0</formula>
    </cfRule>
  </conditionalFormatting>
  <conditionalFormatting sqref="Q11:Q33">
    <cfRule type="cellIs" dxfId="199" priority="20" operator="lessThan">
      <formula>0</formula>
    </cfRule>
  </conditionalFormatting>
  <conditionalFormatting sqref="R11:R33">
    <cfRule type="cellIs" dxfId="198" priority="19" operator="lessThan">
      <formula>0</formula>
    </cfRule>
  </conditionalFormatting>
  <conditionalFormatting sqref="S11:S33">
    <cfRule type="cellIs" dxfId="197" priority="18" operator="lessThan">
      <formula>0</formula>
    </cfRule>
  </conditionalFormatting>
  <conditionalFormatting sqref="T11:T33">
    <cfRule type="cellIs" dxfId="196" priority="17" operator="lessThan">
      <formula>0</formula>
    </cfRule>
  </conditionalFormatting>
  <conditionalFormatting sqref="U11:U33">
    <cfRule type="cellIs" dxfId="195" priority="16" operator="lessThan">
      <formula>0</formula>
    </cfRule>
  </conditionalFormatting>
  <conditionalFormatting sqref="I26:I35">
    <cfRule type="cellIs" dxfId="194" priority="15" operator="lessThan">
      <formula>0</formula>
    </cfRule>
  </conditionalFormatting>
  <conditionalFormatting sqref="Q4">
    <cfRule type="cellIs" dxfId="193" priority="14" operator="lessThan">
      <formula>0</formula>
    </cfRule>
  </conditionalFormatting>
  <conditionalFormatting sqref="Q4">
    <cfRule type="cellIs" dxfId="192" priority="13" operator="lessThan">
      <formula>0</formula>
    </cfRule>
  </conditionalFormatting>
  <conditionalFormatting sqref="Q4">
    <cfRule type="cellIs" dxfId="191" priority="12" operator="lessThan">
      <formula>0</formula>
    </cfRule>
  </conditionalFormatting>
  <conditionalFormatting sqref="Q4">
    <cfRule type="cellIs" dxfId="190" priority="11" operator="lessThan">
      <formula>0</formula>
    </cfRule>
  </conditionalFormatting>
  <conditionalFormatting sqref="Q4">
    <cfRule type="cellIs" dxfId="189" priority="10" operator="lessThan">
      <formula>0</formula>
    </cfRule>
  </conditionalFormatting>
  <conditionalFormatting sqref="Q4">
    <cfRule type="cellIs" dxfId="188" priority="9" operator="lessThan">
      <formula>0</formula>
    </cfRule>
  </conditionalFormatting>
  <conditionalFormatting sqref="Q4">
    <cfRule type="cellIs" dxfId="187" priority="8" operator="lessThan">
      <formula>0</formula>
    </cfRule>
  </conditionalFormatting>
  <conditionalFormatting sqref="Q4">
    <cfRule type="cellIs" dxfId="186" priority="7" operator="lessThan">
      <formula>0</formula>
    </cfRule>
  </conditionalFormatting>
  <conditionalFormatting sqref="Q4">
    <cfRule type="cellIs" dxfId="185" priority="6" operator="lessThan">
      <formula>0</formula>
    </cfRule>
  </conditionalFormatting>
  <conditionalFormatting sqref="Q4">
    <cfRule type="cellIs" dxfId="184" priority="5" operator="lessThan">
      <formula>0</formula>
    </cfRule>
  </conditionalFormatting>
  <conditionalFormatting sqref="Q4">
    <cfRule type="cellIs" dxfId="183" priority="4" operator="lessThan">
      <formula>0</formula>
    </cfRule>
  </conditionalFormatting>
  <conditionalFormatting sqref="Q4">
    <cfRule type="cellIs" dxfId="182" priority="3" operator="lessThan">
      <formula>0</formula>
    </cfRule>
  </conditionalFormatting>
  <conditionalFormatting sqref="Q4">
    <cfRule type="cellIs" dxfId="181" priority="2" operator="lessThan">
      <formula>0</formula>
    </cfRule>
  </conditionalFormatting>
  <conditionalFormatting sqref="Q4">
    <cfRule type="cellIs" dxfId="180" priority="1" operator="lessThan">
      <formula>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48"/>
  <sheetViews>
    <sheetView view="pageBreakPreview" topLeftCell="J48" zoomScale="115" zoomScaleNormal="100" zoomScaleSheetLayoutView="115" workbookViewId="0">
      <selection activeCell="J48" sqref="J48"/>
    </sheetView>
  </sheetViews>
  <sheetFormatPr defaultColWidth="9.140625" defaultRowHeight="14.45"/>
  <cols>
    <col min="1" max="1" width="9.140625" style="355"/>
    <col min="2" max="6" width="14.42578125" style="355" customWidth="1"/>
    <col min="7" max="10" width="14.42578125" style="359" customWidth="1"/>
    <col min="11" max="16384" width="9.140625" style="355"/>
  </cols>
  <sheetData>
    <row r="1" spans="1:10">
      <c r="B1" s="358" t="s">
        <v>556</v>
      </c>
      <c r="C1" s="358" t="s">
        <v>557</v>
      </c>
      <c r="D1" s="358" t="s">
        <v>558</v>
      </c>
      <c r="E1" s="358" t="s">
        <v>559</v>
      </c>
      <c r="F1" s="452" t="s">
        <v>560</v>
      </c>
      <c r="G1" s="356" t="s">
        <v>561</v>
      </c>
      <c r="H1" s="356" t="s">
        <v>562</v>
      </c>
      <c r="I1" s="356" t="s">
        <v>563</v>
      </c>
      <c r="J1" s="356" t="s">
        <v>564</v>
      </c>
    </row>
    <row r="2" spans="1:10">
      <c r="B2" s="356" t="s">
        <v>565</v>
      </c>
      <c r="C2" s="356" t="s">
        <v>565</v>
      </c>
      <c r="D2" s="356" t="s">
        <v>565</v>
      </c>
      <c r="E2" s="356"/>
      <c r="F2" s="356"/>
      <c r="G2" s="356" t="s">
        <v>565</v>
      </c>
      <c r="H2" s="356" t="s">
        <v>565</v>
      </c>
      <c r="I2" s="356" t="s">
        <v>565</v>
      </c>
      <c r="J2" s="356" t="s">
        <v>565</v>
      </c>
    </row>
    <row r="3" spans="1:10">
      <c r="A3" s="357" t="s">
        <v>566</v>
      </c>
      <c r="B3" s="357"/>
      <c r="C3" s="357">
        <v>545793</v>
      </c>
      <c r="D3" s="357">
        <v>545844</v>
      </c>
      <c r="E3" s="357"/>
      <c r="F3" s="453">
        <v>546264</v>
      </c>
      <c r="G3" s="356"/>
      <c r="H3" s="356">
        <f>D3-C3</f>
        <v>51</v>
      </c>
      <c r="I3" s="356"/>
      <c r="J3" s="456">
        <f>(F3-D3)/6</f>
        <v>70</v>
      </c>
    </row>
    <row r="4" spans="1:10">
      <c r="A4" s="357" t="s">
        <v>567</v>
      </c>
      <c r="B4" s="357"/>
      <c r="C4" s="357">
        <v>557194</v>
      </c>
      <c r="D4" s="357">
        <v>557194</v>
      </c>
      <c r="E4" s="357"/>
      <c r="F4" s="454">
        <v>557232</v>
      </c>
      <c r="G4" s="356"/>
      <c r="H4" s="356">
        <f>D4-C4</f>
        <v>0</v>
      </c>
      <c r="I4" s="356"/>
      <c r="J4" s="456">
        <f t="shared" ref="J4:J47" si="0">(F4-D4)/6</f>
        <v>6.333333333333333</v>
      </c>
    </row>
    <row r="5" spans="1:10">
      <c r="A5" s="357" t="s">
        <v>568</v>
      </c>
      <c r="B5" s="357"/>
      <c r="C5" s="357">
        <v>521148</v>
      </c>
      <c r="D5" s="357">
        <v>521211</v>
      </c>
      <c r="E5" s="357"/>
      <c r="F5" s="454">
        <v>521721</v>
      </c>
      <c r="G5" s="356"/>
      <c r="H5" s="356">
        <f>D5-C5</f>
        <v>63</v>
      </c>
      <c r="I5" s="356"/>
      <c r="J5" s="456">
        <f t="shared" si="0"/>
        <v>85</v>
      </c>
    </row>
    <row r="6" spans="1:10">
      <c r="A6" s="357" t="s">
        <v>569</v>
      </c>
      <c r="B6" s="357"/>
      <c r="C6" s="357">
        <v>403953</v>
      </c>
      <c r="D6" s="357">
        <v>403982</v>
      </c>
      <c r="E6" s="357"/>
      <c r="F6" s="454">
        <v>404150</v>
      </c>
      <c r="G6" s="356"/>
      <c r="H6" s="356">
        <f>D6-C6</f>
        <v>29</v>
      </c>
      <c r="I6" s="356"/>
      <c r="J6" s="456">
        <f t="shared" si="0"/>
        <v>28</v>
      </c>
    </row>
    <row r="7" spans="1:10">
      <c r="A7" s="357" t="s">
        <v>570</v>
      </c>
      <c r="B7" s="357"/>
      <c r="C7" s="357">
        <v>522351</v>
      </c>
      <c r="D7" s="357">
        <v>522366</v>
      </c>
      <c r="E7" s="357"/>
      <c r="F7" s="454">
        <v>522449</v>
      </c>
      <c r="G7" s="356"/>
      <c r="H7" s="356">
        <f>D7-C7</f>
        <v>15</v>
      </c>
      <c r="I7" s="356"/>
      <c r="J7" s="456">
        <f t="shared" si="0"/>
        <v>13.833333333333334</v>
      </c>
    </row>
    <row r="8" spans="1:10">
      <c r="A8" s="357" t="s">
        <v>571</v>
      </c>
      <c r="B8" s="357"/>
      <c r="C8" s="357"/>
      <c r="D8" s="357">
        <v>373655</v>
      </c>
      <c r="E8" s="357">
        <v>373730</v>
      </c>
      <c r="F8" s="454">
        <v>374134</v>
      </c>
      <c r="G8" s="356"/>
      <c r="H8" s="361">
        <v>75</v>
      </c>
      <c r="I8" s="356">
        <f>E8-D8</f>
        <v>75</v>
      </c>
      <c r="J8" s="456">
        <f t="shared" si="0"/>
        <v>79.833333333333329</v>
      </c>
    </row>
    <row r="9" spans="1:10">
      <c r="A9" s="357" t="s">
        <v>572</v>
      </c>
      <c r="B9" s="357"/>
      <c r="C9" s="357">
        <v>474459</v>
      </c>
      <c r="D9" s="357">
        <v>474550</v>
      </c>
      <c r="E9" s="357"/>
      <c r="F9" s="454">
        <v>475177</v>
      </c>
      <c r="G9" s="356"/>
      <c r="H9" s="356">
        <f t="shared" ref="H9:H23" si="1">D9-C9</f>
        <v>91</v>
      </c>
      <c r="I9" s="356"/>
      <c r="J9" s="456">
        <f t="shared" si="0"/>
        <v>104.5</v>
      </c>
    </row>
    <row r="10" spans="1:10">
      <c r="A10" s="357" t="s">
        <v>573</v>
      </c>
      <c r="B10" s="357"/>
      <c r="C10" s="357">
        <v>480660</v>
      </c>
      <c r="D10" s="357">
        <v>480753</v>
      </c>
      <c r="E10" s="357"/>
      <c r="F10" s="454">
        <v>481399</v>
      </c>
      <c r="G10" s="356"/>
      <c r="H10" s="356">
        <f t="shared" si="1"/>
        <v>93</v>
      </c>
      <c r="I10" s="356"/>
      <c r="J10" s="456">
        <f t="shared" si="0"/>
        <v>107.66666666666667</v>
      </c>
    </row>
    <row r="11" spans="1:10">
      <c r="A11" s="357" t="s">
        <v>574</v>
      </c>
      <c r="B11" s="357"/>
      <c r="C11" s="357">
        <v>518546</v>
      </c>
      <c r="D11" s="357">
        <v>518644</v>
      </c>
      <c r="E11" s="357"/>
      <c r="F11" s="454">
        <v>519525</v>
      </c>
      <c r="G11" s="356"/>
      <c r="H11" s="356">
        <f t="shared" si="1"/>
        <v>98</v>
      </c>
      <c r="I11" s="356"/>
      <c r="J11" s="456">
        <f t="shared" si="0"/>
        <v>146.83333333333334</v>
      </c>
    </row>
    <row r="12" spans="1:10">
      <c r="A12" s="357" t="s">
        <v>575</v>
      </c>
      <c r="B12" s="357"/>
      <c r="C12" s="357">
        <v>330759</v>
      </c>
      <c r="D12" s="357">
        <v>330886</v>
      </c>
      <c r="E12" s="357"/>
      <c r="F12" s="454">
        <v>331356</v>
      </c>
      <c r="G12" s="356"/>
      <c r="H12" s="356">
        <f t="shared" si="1"/>
        <v>127</v>
      </c>
      <c r="I12" s="356"/>
      <c r="J12" s="456">
        <f t="shared" si="0"/>
        <v>78.333333333333329</v>
      </c>
    </row>
    <row r="13" spans="1:10">
      <c r="A13" s="357" t="s">
        <v>576</v>
      </c>
      <c r="B13" s="357"/>
      <c r="C13" s="357">
        <v>370016</v>
      </c>
      <c r="D13" s="357">
        <v>370053</v>
      </c>
      <c r="E13" s="357"/>
      <c r="F13" s="454">
        <v>370317</v>
      </c>
      <c r="G13" s="356"/>
      <c r="H13" s="356">
        <f t="shared" si="1"/>
        <v>37</v>
      </c>
      <c r="I13" s="356"/>
      <c r="J13" s="456">
        <f t="shared" si="0"/>
        <v>44</v>
      </c>
    </row>
    <row r="14" spans="1:10">
      <c r="A14" s="357" t="s">
        <v>577</v>
      </c>
      <c r="B14" s="357"/>
      <c r="C14" s="357">
        <v>421455</v>
      </c>
      <c r="D14" s="357">
        <v>421471</v>
      </c>
      <c r="E14" s="357"/>
      <c r="F14" s="454">
        <v>421602</v>
      </c>
      <c r="G14" s="356"/>
      <c r="H14" s="356">
        <f t="shared" si="1"/>
        <v>16</v>
      </c>
      <c r="I14" s="356"/>
      <c r="J14" s="456">
        <f t="shared" si="0"/>
        <v>21.833333333333332</v>
      </c>
    </row>
    <row r="15" spans="1:10">
      <c r="A15" s="357" t="s">
        <v>578</v>
      </c>
      <c r="B15" s="357">
        <v>322882</v>
      </c>
      <c r="C15" s="357">
        <v>322909</v>
      </c>
      <c r="D15" s="357">
        <v>322938</v>
      </c>
      <c r="E15" s="357"/>
      <c r="F15" s="454">
        <v>323055</v>
      </c>
      <c r="G15" s="356">
        <f t="shared" ref="G15:G22" si="2">C15-B15</f>
        <v>27</v>
      </c>
      <c r="H15" s="356">
        <f t="shared" si="1"/>
        <v>29</v>
      </c>
      <c r="I15" s="356"/>
      <c r="J15" s="456">
        <f t="shared" si="0"/>
        <v>19.5</v>
      </c>
    </row>
    <row r="16" spans="1:10">
      <c r="A16" s="357" t="s">
        <v>579</v>
      </c>
      <c r="B16" s="357">
        <v>458249</v>
      </c>
      <c r="C16" s="357">
        <v>458284</v>
      </c>
      <c r="D16" s="357">
        <v>458305</v>
      </c>
      <c r="E16" s="357"/>
      <c r="F16" s="454">
        <v>458482</v>
      </c>
      <c r="G16" s="356">
        <f t="shared" si="2"/>
        <v>35</v>
      </c>
      <c r="H16" s="356">
        <f t="shared" si="1"/>
        <v>21</v>
      </c>
      <c r="I16" s="356"/>
      <c r="J16" s="456">
        <f t="shared" si="0"/>
        <v>29.5</v>
      </c>
    </row>
    <row r="17" spans="1:10">
      <c r="A17" s="357" t="s">
        <v>580</v>
      </c>
      <c r="B17" s="357">
        <v>439419</v>
      </c>
      <c r="C17" s="357">
        <v>439419</v>
      </c>
      <c r="D17" s="357">
        <v>439419</v>
      </c>
      <c r="E17" s="357"/>
      <c r="F17" s="454">
        <v>439431</v>
      </c>
      <c r="G17" s="360">
        <f t="shared" si="2"/>
        <v>0</v>
      </c>
      <c r="H17" s="360">
        <f t="shared" si="1"/>
        <v>0</v>
      </c>
      <c r="I17" s="356"/>
      <c r="J17" s="456">
        <f t="shared" si="0"/>
        <v>2</v>
      </c>
    </row>
    <row r="18" spans="1:10">
      <c r="A18" s="357" t="s">
        <v>581</v>
      </c>
      <c r="B18" s="357">
        <v>434282</v>
      </c>
      <c r="C18" s="357">
        <v>434282</v>
      </c>
      <c r="D18" s="357">
        <v>434282</v>
      </c>
      <c r="E18" s="357"/>
      <c r="F18" s="454">
        <v>434283</v>
      </c>
      <c r="G18" s="360">
        <f t="shared" si="2"/>
        <v>0</v>
      </c>
      <c r="H18" s="360">
        <f t="shared" si="1"/>
        <v>0</v>
      </c>
      <c r="I18" s="356"/>
      <c r="J18" s="456">
        <f t="shared" si="0"/>
        <v>0.16666666666666666</v>
      </c>
    </row>
    <row r="19" spans="1:10">
      <c r="A19" s="357" t="s">
        <v>582</v>
      </c>
      <c r="B19" s="357">
        <v>1777</v>
      </c>
      <c r="C19" s="357">
        <v>1801</v>
      </c>
      <c r="D19" s="357">
        <v>1833</v>
      </c>
      <c r="E19" s="357"/>
      <c r="F19" s="455">
        <v>2033</v>
      </c>
      <c r="G19" s="356">
        <f t="shared" si="2"/>
        <v>24</v>
      </c>
      <c r="H19" s="356">
        <f t="shared" si="1"/>
        <v>32</v>
      </c>
      <c r="I19" s="356"/>
      <c r="J19" s="456">
        <f t="shared" si="0"/>
        <v>33.333333333333336</v>
      </c>
    </row>
    <row r="20" spans="1:10">
      <c r="A20" s="357" t="s">
        <v>583</v>
      </c>
      <c r="B20" s="357">
        <v>97552</v>
      </c>
      <c r="C20" s="357">
        <v>97583</v>
      </c>
      <c r="D20" s="357">
        <v>97617</v>
      </c>
      <c r="E20" s="357"/>
      <c r="F20" s="454">
        <v>97785</v>
      </c>
      <c r="G20" s="356">
        <f t="shared" si="2"/>
        <v>31</v>
      </c>
      <c r="H20" s="356">
        <f t="shared" si="1"/>
        <v>34</v>
      </c>
      <c r="I20" s="356"/>
      <c r="J20" s="456">
        <f t="shared" si="0"/>
        <v>28</v>
      </c>
    </row>
    <row r="21" spans="1:10">
      <c r="A21" s="357" t="s">
        <v>584</v>
      </c>
      <c r="B21" s="357">
        <v>419872</v>
      </c>
      <c r="C21" s="357">
        <v>419905</v>
      </c>
      <c r="D21" s="357">
        <v>419990</v>
      </c>
      <c r="E21" s="357"/>
      <c r="F21" s="454">
        <v>420081</v>
      </c>
      <c r="G21" s="356">
        <f t="shared" si="2"/>
        <v>33</v>
      </c>
      <c r="H21" s="356">
        <f t="shared" si="1"/>
        <v>85</v>
      </c>
      <c r="I21" s="356"/>
      <c r="J21" s="456">
        <f t="shared" si="0"/>
        <v>15.166666666666666</v>
      </c>
    </row>
    <row r="22" spans="1:10">
      <c r="A22" s="357" t="s">
        <v>585</v>
      </c>
      <c r="B22" s="357">
        <v>391776</v>
      </c>
      <c r="C22" s="357">
        <v>391798</v>
      </c>
      <c r="D22" s="357">
        <v>391828</v>
      </c>
      <c r="E22" s="357"/>
      <c r="F22" s="454">
        <v>392088</v>
      </c>
      <c r="G22" s="356">
        <f t="shared" si="2"/>
        <v>22</v>
      </c>
      <c r="H22" s="356">
        <f t="shared" si="1"/>
        <v>30</v>
      </c>
      <c r="I22" s="356"/>
      <c r="J22" s="456">
        <f t="shared" si="0"/>
        <v>43.333333333333336</v>
      </c>
    </row>
    <row r="23" spans="1:10">
      <c r="A23" s="357" t="s">
        <v>586</v>
      </c>
      <c r="B23" s="357"/>
      <c r="C23" s="357">
        <v>629020</v>
      </c>
      <c r="D23" s="357">
        <v>629119</v>
      </c>
      <c r="E23" s="357"/>
      <c r="F23" s="454">
        <v>629617</v>
      </c>
      <c r="G23" s="356"/>
      <c r="H23" s="356">
        <f t="shared" si="1"/>
        <v>99</v>
      </c>
      <c r="I23" s="356"/>
      <c r="J23" s="456">
        <f t="shared" si="0"/>
        <v>83</v>
      </c>
    </row>
    <row r="24" spans="1:10">
      <c r="A24" s="357" t="s">
        <v>587</v>
      </c>
      <c r="B24" s="357"/>
      <c r="C24" s="357">
        <v>660050</v>
      </c>
      <c r="D24" s="357">
        <v>660132</v>
      </c>
      <c r="E24" s="357"/>
      <c r="F24" s="454">
        <v>660620</v>
      </c>
      <c r="G24" s="356"/>
      <c r="H24" s="356">
        <f t="shared" ref="G24:H47" si="3">D24-C24</f>
        <v>82</v>
      </c>
      <c r="I24" s="356"/>
      <c r="J24" s="456">
        <f t="shared" si="0"/>
        <v>81.333333333333329</v>
      </c>
    </row>
    <row r="25" spans="1:10">
      <c r="A25" s="357" t="s">
        <v>588</v>
      </c>
      <c r="B25" s="357"/>
      <c r="C25" s="357">
        <v>635838</v>
      </c>
      <c r="D25" s="357">
        <v>635874</v>
      </c>
      <c r="E25" s="357"/>
      <c r="F25" s="454">
        <v>636078</v>
      </c>
      <c r="G25" s="356"/>
      <c r="H25" s="356">
        <f t="shared" si="3"/>
        <v>36</v>
      </c>
      <c r="I25" s="356"/>
      <c r="J25" s="456">
        <f t="shared" si="0"/>
        <v>34</v>
      </c>
    </row>
    <row r="26" spans="1:10">
      <c r="A26" s="357" t="s">
        <v>589</v>
      </c>
      <c r="B26" s="357"/>
      <c r="C26" s="357">
        <v>605561</v>
      </c>
      <c r="D26" s="357">
        <v>605630</v>
      </c>
      <c r="E26" s="357"/>
      <c r="F26" s="454">
        <v>606218</v>
      </c>
      <c r="G26" s="356"/>
      <c r="H26" s="356">
        <f t="shared" si="3"/>
        <v>69</v>
      </c>
      <c r="I26" s="356"/>
      <c r="J26" s="456">
        <f t="shared" si="0"/>
        <v>98</v>
      </c>
    </row>
    <row r="27" spans="1:10">
      <c r="A27" s="357" t="s">
        <v>590</v>
      </c>
      <c r="B27" s="357"/>
      <c r="C27" s="357">
        <v>561331</v>
      </c>
      <c r="D27" s="357">
        <v>561366</v>
      </c>
      <c r="E27" s="357"/>
      <c r="F27" s="454">
        <v>561691</v>
      </c>
      <c r="G27" s="356"/>
      <c r="H27" s="356">
        <f t="shared" si="3"/>
        <v>35</v>
      </c>
      <c r="I27" s="356"/>
      <c r="J27" s="456">
        <f t="shared" si="0"/>
        <v>54.166666666666664</v>
      </c>
    </row>
    <row r="28" spans="1:10">
      <c r="A28" s="357" t="s">
        <v>591</v>
      </c>
      <c r="B28" s="357">
        <v>585163</v>
      </c>
      <c r="C28" s="357">
        <v>585201</v>
      </c>
      <c r="D28" s="357">
        <v>585241</v>
      </c>
      <c r="E28" s="357"/>
      <c r="F28" s="454">
        <v>585584</v>
      </c>
      <c r="G28" s="356">
        <f t="shared" si="3"/>
        <v>38</v>
      </c>
      <c r="H28" s="356">
        <f t="shared" si="3"/>
        <v>40</v>
      </c>
      <c r="I28" s="356"/>
      <c r="J28" s="456">
        <f t="shared" si="0"/>
        <v>57.166666666666664</v>
      </c>
    </row>
    <row r="29" spans="1:10">
      <c r="A29" s="357" t="s">
        <v>592</v>
      </c>
      <c r="B29" s="357">
        <v>583919</v>
      </c>
      <c r="C29" s="357">
        <v>583963</v>
      </c>
      <c r="D29" s="357">
        <v>584017</v>
      </c>
      <c r="E29" s="357"/>
      <c r="F29" s="454">
        <v>584354</v>
      </c>
      <c r="G29" s="356">
        <f t="shared" si="3"/>
        <v>44</v>
      </c>
      <c r="H29" s="356">
        <f t="shared" si="3"/>
        <v>54</v>
      </c>
      <c r="I29" s="356"/>
      <c r="J29" s="456">
        <f t="shared" si="0"/>
        <v>56.166666666666664</v>
      </c>
    </row>
    <row r="30" spans="1:10">
      <c r="A30" s="357" t="s">
        <v>593</v>
      </c>
      <c r="B30" s="357">
        <v>568789</v>
      </c>
      <c r="C30" s="357">
        <v>568845</v>
      </c>
      <c r="D30" s="357">
        <v>568895</v>
      </c>
      <c r="E30" s="357"/>
      <c r="F30" s="454">
        <v>569274</v>
      </c>
      <c r="G30" s="356">
        <f t="shared" si="3"/>
        <v>56</v>
      </c>
      <c r="H30" s="356">
        <f t="shared" si="3"/>
        <v>50</v>
      </c>
      <c r="I30" s="356"/>
      <c r="J30" s="456">
        <f t="shared" si="0"/>
        <v>63.166666666666664</v>
      </c>
    </row>
    <row r="31" spans="1:10">
      <c r="A31" s="357" t="s">
        <v>594</v>
      </c>
      <c r="B31" s="357">
        <v>536645</v>
      </c>
      <c r="C31" s="357">
        <v>536645</v>
      </c>
      <c r="D31" s="357">
        <v>536645</v>
      </c>
      <c r="E31" s="357"/>
      <c r="F31" s="454">
        <v>536647</v>
      </c>
      <c r="G31" s="360">
        <f t="shared" si="3"/>
        <v>0</v>
      </c>
      <c r="H31" s="360">
        <f t="shared" si="3"/>
        <v>0</v>
      </c>
      <c r="I31" s="356"/>
      <c r="J31" s="456">
        <f t="shared" si="0"/>
        <v>0.33333333333333331</v>
      </c>
    </row>
    <row r="32" spans="1:10">
      <c r="A32" s="357" t="s">
        <v>595</v>
      </c>
      <c r="B32" s="357">
        <v>343963</v>
      </c>
      <c r="C32" s="357">
        <v>344003</v>
      </c>
      <c r="D32" s="357">
        <v>344056</v>
      </c>
      <c r="E32" s="357"/>
      <c r="F32" s="454">
        <v>344214</v>
      </c>
      <c r="G32" s="356">
        <f t="shared" si="3"/>
        <v>40</v>
      </c>
      <c r="H32" s="356">
        <f t="shared" si="3"/>
        <v>53</v>
      </c>
      <c r="I32" s="356"/>
      <c r="J32" s="456">
        <f t="shared" si="0"/>
        <v>26.333333333333332</v>
      </c>
    </row>
    <row r="33" spans="1:10">
      <c r="A33" s="357" t="s">
        <v>596</v>
      </c>
      <c r="B33" s="357">
        <v>537346</v>
      </c>
      <c r="C33" s="357">
        <v>537390</v>
      </c>
      <c r="D33" s="357">
        <v>537421</v>
      </c>
      <c r="E33" s="357"/>
      <c r="F33" s="454">
        <v>537800</v>
      </c>
      <c r="G33" s="356">
        <f t="shared" si="3"/>
        <v>44</v>
      </c>
      <c r="H33" s="356">
        <f t="shared" si="3"/>
        <v>31</v>
      </c>
      <c r="I33" s="356"/>
      <c r="J33" s="456">
        <f t="shared" si="0"/>
        <v>63.166666666666664</v>
      </c>
    </row>
    <row r="34" spans="1:10">
      <c r="A34" s="357" t="s">
        <v>597</v>
      </c>
      <c r="B34" s="357">
        <v>320292</v>
      </c>
      <c r="C34" s="357">
        <v>320323</v>
      </c>
      <c r="D34" s="357">
        <v>320374</v>
      </c>
      <c r="E34" s="357"/>
      <c r="F34" s="454">
        <v>320580</v>
      </c>
      <c r="G34" s="356">
        <f t="shared" si="3"/>
        <v>31</v>
      </c>
      <c r="H34" s="356">
        <f t="shared" si="3"/>
        <v>51</v>
      </c>
      <c r="I34" s="356"/>
      <c r="J34" s="456">
        <f t="shared" si="0"/>
        <v>34.333333333333336</v>
      </c>
    </row>
    <row r="35" spans="1:10">
      <c r="A35" s="357" t="s">
        <v>598</v>
      </c>
      <c r="B35" s="357">
        <v>525492</v>
      </c>
      <c r="C35" s="357">
        <v>525527</v>
      </c>
      <c r="D35" s="357">
        <v>525559</v>
      </c>
      <c r="E35" s="357"/>
      <c r="F35" s="454">
        <v>526080</v>
      </c>
      <c r="G35" s="356">
        <f t="shared" si="3"/>
        <v>35</v>
      </c>
      <c r="H35" s="356">
        <f t="shared" si="3"/>
        <v>32</v>
      </c>
      <c r="I35" s="356"/>
      <c r="J35" s="456">
        <f t="shared" si="0"/>
        <v>86.833333333333329</v>
      </c>
    </row>
    <row r="36" spans="1:10">
      <c r="A36" s="357" t="s">
        <v>599</v>
      </c>
      <c r="B36" s="357">
        <v>442426</v>
      </c>
      <c r="C36" s="357">
        <v>442456</v>
      </c>
      <c r="D36" s="357">
        <v>442490</v>
      </c>
      <c r="E36" s="357"/>
      <c r="F36" s="454">
        <v>442749</v>
      </c>
      <c r="G36" s="356">
        <f t="shared" si="3"/>
        <v>30</v>
      </c>
      <c r="H36" s="356">
        <f t="shared" si="3"/>
        <v>34</v>
      </c>
      <c r="I36" s="356"/>
      <c r="J36" s="456">
        <f t="shared" si="0"/>
        <v>43.166666666666664</v>
      </c>
    </row>
    <row r="37" spans="1:10">
      <c r="A37" s="357" t="s">
        <v>600</v>
      </c>
      <c r="B37" s="357">
        <v>325647</v>
      </c>
      <c r="C37" s="357">
        <v>325697</v>
      </c>
      <c r="D37" s="357">
        <v>325744</v>
      </c>
      <c r="E37" s="357"/>
      <c r="F37" s="454">
        <v>325853</v>
      </c>
      <c r="G37" s="356">
        <f t="shared" si="3"/>
        <v>50</v>
      </c>
      <c r="H37" s="356">
        <f t="shared" si="3"/>
        <v>47</v>
      </c>
      <c r="I37" s="356"/>
      <c r="J37" s="456">
        <f t="shared" si="0"/>
        <v>18.166666666666668</v>
      </c>
    </row>
    <row r="38" spans="1:10">
      <c r="A38" s="357" t="s">
        <v>601</v>
      </c>
      <c r="B38" s="357"/>
      <c r="C38" s="357">
        <v>703565</v>
      </c>
      <c r="D38" s="357">
        <v>703599</v>
      </c>
      <c r="E38" s="357"/>
      <c r="F38" s="454">
        <v>703970</v>
      </c>
      <c r="G38" s="356"/>
      <c r="H38" s="356">
        <f t="shared" si="3"/>
        <v>34</v>
      </c>
      <c r="I38" s="356"/>
      <c r="J38" s="456">
        <f t="shared" si="0"/>
        <v>61.833333333333336</v>
      </c>
    </row>
    <row r="39" spans="1:10">
      <c r="A39" s="357" t="s">
        <v>602</v>
      </c>
      <c r="B39" s="357"/>
      <c r="C39" s="357">
        <v>564922</v>
      </c>
      <c r="D39" s="357">
        <v>565139</v>
      </c>
      <c r="E39" s="357"/>
      <c r="F39" s="454">
        <v>566384</v>
      </c>
      <c r="G39" s="356"/>
      <c r="H39" s="356">
        <f t="shared" si="3"/>
        <v>217</v>
      </c>
      <c r="I39" s="356"/>
      <c r="J39" s="456">
        <f t="shared" si="0"/>
        <v>207.5</v>
      </c>
    </row>
    <row r="40" spans="1:10">
      <c r="A40" s="357" t="s">
        <v>603</v>
      </c>
      <c r="B40" s="357"/>
      <c r="C40" s="357">
        <v>557272</v>
      </c>
      <c r="D40" s="357">
        <v>557336</v>
      </c>
      <c r="E40" s="357"/>
      <c r="F40" s="454">
        <v>557869</v>
      </c>
      <c r="G40" s="356"/>
      <c r="H40" s="356">
        <f t="shared" si="3"/>
        <v>64</v>
      </c>
      <c r="I40" s="356"/>
      <c r="J40" s="456">
        <f t="shared" si="0"/>
        <v>88.833333333333329</v>
      </c>
    </row>
    <row r="41" spans="1:10">
      <c r="A41" s="357" t="s">
        <v>604</v>
      </c>
      <c r="B41" s="357"/>
      <c r="C41" s="357">
        <v>688946</v>
      </c>
      <c r="D41" s="357">
        <v>689017</v>
      </c>
      <c r="E41" s="357"/>
      <c r="F41" s="454">
        <v>689522</v>
      </c>
      <c r="G41" s="356"/>
      <c r="H41" s="356">
        <f t="shared" si="3"/>
        <v>71</v>
      </c>
      <c r="I41" s="356"/>
      <c r="J41" s="456">
        <f t="shared" si="0"/>
        <v>84.166666666666671</v>
      </c>
    </row>
    <row r="42" spans="1:10">
      <c r="A42" s="357" t="s">
        <v>605</v>
      </c>
      <c r="B42" s="357"/>
      <c r="C42" s="357">
        <v>600267</v>
      </c>
      <c r="D42" s="357">
        <v>600319</v>
      </c>
      <c r="E42" s="357"/>
      <c r="F42" s="454">
        <v>600705</v>
      </c>
      <c r="G42" s="356"/>
      <c r="H42" s="356">
        <f t="shared" si="3"/>
        <v>52</v>
      </c>
      <c r="I42" s="356"/>
      <c r="J42" s="456">
        <f t="shared" si="0"/>
        <v>64.333333333333329</v>
      </c>
    </row>
    <row r="43" spans="1:10">
      <c r="A43" s="357" t="s">
        <v>606</v>
      </c>
      <c r="B43" s="357">
        <v>578859</v>
      </c>
      <c r="C43" s="357">
        <v>578908</v>
      </c>
      <c r="D43" s="357">
        <v>578935</v>
      </c>
      <c r="E43" s="357"/>
      <c r="F43" s="454">
        <v>579231</v>
      </c>
      <c r="G43" s="356">
        <f t="shared" si="3"/>
        <v>49</v>
      </c>
      <c r="H43" s="356">
        <f t="shared" si="3"/>
        <v>27</v>
      </c>
      <c r="I43" s="356"/>
      <c r="J43" s="456">
        <f t="shared" si="0"/>
        <v>49.333333333333336</v>
      </c>
    </row>
    <row r="44" spans="1:10">
      <c r="A44" s="357" t="s">
        <v>607</v>
      </c>
      <c r="B44" s="357">
        <v>469419</v>
      </c>
      <c r="C44" s="357">
        <v>469474</v>
      </c>
      <c r="D44" s="357">
        <v>469504</v>
      </c>
      <c r="E44" s="357"/>
      <c r="F44" s="454">
        <v>469855</v>
      </c>
      <c r="G44" s="356">
        <f t="shared" si="3"/>
        <v>55</v>
      </c>
      <c r="H44" s="356">
        <f t="shared" si="3"/>
        <v>30</v>
      </c>
      <c r="I44" s="356"/>
      <c r="J44" s="456">
        <f t="shared" si="0"/>
        <v>58.5</v>
      </c>
    </row>
    <row r="45" spans="1:10">
      <c r="A45" s="357" t="s">
        <v>608</v>
      </c>
      <c r="B45" s="357">
        <v>596992</v>
      </c>
      <c r="C45" s="357">
        <v>596992</v>
      </c>
      <c r="D45" s="357">
        <v>596992</v>
      </c>
      <c r="E45" s="357"/>
      <c r="F45" s="454">
        <v>596992</v>
      </c>
      <c r="G45" s="356">
        <f t="shared" si="3"/>
        <v>0</v>
      </c>
      <c r="H45" s="356">
        <f t="shared" si="3"/>
        <v>0</v>
      </c>
      <c r="I45" s="356"/>
      <c r="J45" s="456">
        <f t="shared" si="0"/>
        <v>0</v>
      </c>
    </row>
    <row r="46" spans="1:10">
      <c r="A46" s="357" t="s">
        <v>609</v>
      </c>
      <c r="B46" s="357">
        <v>880228</v>
      </c>
      <c r="C46" s="357">
        <v>880361</v>
      </c>
      <c r="D46" s="357">
        <v>880432</v>
      </c>
      <c r="E46" s="357"/>
      <c r="F46" s="454">
        <v>881173</v>
      </c>
      <c r="G46" s="356">
        <f t="shared" si="3"/>
        <v>133</v>
      </c>
      <c r="H46" s="356">
        <f t="shared" si="3"/>
        <v>71</v>
      </c>
      <c r="I46" s="356"/>
      <c r="J46" s="456">
        <f t="shared" si="0"/>
        <v>123.5</v>
      </c>
    </row>
    <row r="47" spans="1:10">
      <c r="A47" s="357" t="s">
        <v>610</v>
      </c>
      <c r="B47" s="357">
        <v>759376</v>
      </c>
      <c r="C47" s="357">
        <v>759462</v>
      </c>
      <c r="D47" s="357">
        <v>759519</v>
      </c>
      <c r="E47" s="357"/>
      <c r="F47" s="454">
        <v>760003</v>
      </c>
      <c r="G47" s="356">
        <f t="shared" si="3"/>
        <v>86</v>
      </c>
      <c r="H47" s="356">
        <f t="shared" si="3"/>
        <v>57</v>
      </c>
      <c r="I47" s="356"/>
      <c r="J47" s="456">
        <f t="shared" si="0"/>
        <v>80.666666666666671</v>
      </c>
    </row>
    <row r="48" spans="1:10">
      <c r="H48" s="359">
        <f>SUM(H3:H47)</f>
        <v>2262</v>
      </c>
      <c r="J48" s="457">
        <f>SUM(J3:J47)</f>
        <v>2575.166666666667</v>
      </c>
    </row>
  </sheetData>
  <pageMargins left="0.25" right="0.25"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CC91"/>
  <sheetViews>
    <sheetView zoomScale="80" zoomScaleNormal="80" workbookViewId="0">
      <pane xSplit="1" topLeftCell="B1" activePane="topRight" state="frozen"/>
      <selection pane="topRight" activeCell="E19" sqref="E19"/>
    </sheetView>
  </sheetViews>
  <sheetFormatPr defaultColWidth="9.140625" defaultRowHeight="18" customHeight="1"/>
  <cols>
    <col min="1" max="1" width="9.5703125" style="292" customWidth="1"/>
    <col min="2" max="8" width="13.85546875" style="292" customWidth="1"/>
    <col min="9" max="11" width="13.85546875" style="292" hidden="1" customWidth="1"/>
    <col min="12" max="21" width="13.85546875" style="292" customWidth="1"/>
    <col min="22" max="23" width="13.85546875" style="295" customWidth="1"/>
    <col min="24" max="24" width="14.7109375" style="244" customWidth="1"/>
    <col min="25" max="25" width="14.7109375" style="217" customWidth="1"/>
    <col min="26" max="26" width="16.28515625" style="217" customWidth="1"/>
    <col min="27" max="81" width="14.7109375" style="217" customWidth="1"/>
    <col min="82" max="16384" width="9.140625" style="217"/>
  </cols>
  <sheetData>
    <row r="1" spans="1:81" ht="18" customHeight="1" thickBot="1">
      <c r="A1" s="216" t="s">
        <v>611</v>
      </c>
      <c r="B1" s="216"/>
      <c r="C1" s="216"/>
      <c r="D1" s="216"/>
      <c r="E1" s="216"/>
      <c r="F1" s="216"/>
      <c r="G1" s="216"/>
      <c r="H1" s="216"/>
      <c r="I1" s="216"/>
      <c r="J1" s="216"/>
      <c r="K1" s="216"/>
      <c r="L1" s="216"/>
      <c r="M1" s="216"/>
      <c r="N1" s="216"/>
      <c r="O1" s="216"/>
      <c r="P1" s="216"/>
      <c r="Q1" s="216"/>
      <c r="R1" s="216"/>
      <c r="S1" s="216"/>
      <c r="T1" s="216"/>
      <c r="U1" s="216"/>
      <c r="V1" s="243"/>
      <c r="W1" s="243"/>
      <c r="AM1" s="245"/>
      <c r="AN1" s="245"/>
      <c r="AO1" s="245"/>
      <c r="AP1" s="245"/>
    </row>
    <row r="2" spans="1:81" ht="18" customHeight="1" thickBot="1">
      <c r="A2" s="246" t="s">
        <v>14</v>
      </c>
      <c r="B2" s="247"/>
      <c r="C2" s="247"/>
      <c r="D2" s="247"/>
      <c r="E2" s="248"/>
      <c r="F2" s="248"/>
      <c r="G2" s="249"/>
      <c r="H2" s="249"/>
      <c r="I2" s="250"/>
      <c r="J2" s="248"/>
      <c r="K2" s="250"/>
      <c r="L2" s="248"/>
      <c r="M2" s="249"/>
      <c r="N2" s="249"/>
      <c r="O2" s="250"/>
      <c r="P2" s="248"/>
      <c r="Q2" s="250"/>
      <c r="R2" s="250"/>
      <c r="S2" s="248"/>
      <c r="T2" s="250"/>
      <c r="U2" s="868" t="s">
        <v>612</v>
      </c>
      <c r="V2" s="868"/>
      <c r="W2" s="711"/>
      <c r="X2" s="869" t="s">
        <v>613</v>
      </c>
      <c r="Y2" s="868"/>
      <c r="Z2" s="868"/>
      <c r="AA2" s="868"/>
      <c r="AB2" s="870"/>
      <c r="AC2" s="865" t="s">
        <v>614</v>
      </c>
      <c r="AD2" s="866"/>
      <c r="AE2" s="866"/>
      <c r="AF2" s="866"/>
      <c r="AG2" s="866"/>
      <c r="AH2" s="865" t="s">
        <v>615</v>
      </c>
      <c r="AI2" s="866"/>
      <c r="AJ2" s="866"/>
      <c r="AK2" s="866"/>
      <c r="AL2" s="866"/>
      <c r="AM2" s="866"/>
      <c r="AN2" s="712" t="s">
        <v>446</v>
      </c>
      <c r="AO2" s="251" t="s">
        <v>616</v>
      </c>
      <c r="AP2" s="251" t="s">
        <v>617</v>
      </c>
      <c r="AQ2" s="865" t="s">
        <v>618</v>
      </c>
      <c r="AR2" s="866"/>
      <c r="AS2" s="866"/>
      <c r="AT2" s="865" t="s">
        <v>397</v>
      </c>
      <c r="AU2" s="866"/>
      <c r="AV2" s="866"/>
      <c r="AW2" s="865" t="s">
        <v>619</v>
      </c>
      <c r="AX2" s="866"/>
      <c r="AY2" s="866"/>
      <c r="AZ2" s="869" t="s">
        <v>620</v>
      </c>
      <c r="BA2" s="868"/>
      <c r="BB2" s="870"/>
      <c r="BC2" s="865" t="str">
        <f>L3</f>
        <v xml:space="preserve">Steam Boiler </v>
      </c>
      <c r="BD2" s="866"/>
      <c r="BE2" s="867"/>
      <c r="BF2" s="865" t="str">
        <f>M3</f>
        <v xml:space="preserve">Pantry A </v>
      </c>
      <c r="BG2" s="866"/>
      <c r="BH2" s="866"/>
      <c r="BI2" s="865" t="str">
        <f>N3</f>
        <v>Pantry B</v>
      </c>
      <c r="BJ2" s="866"/>
      <c r="BK2" s="867"/>
      <c r="BL2" s="865" t="str">
        <f>O3</f>
        <v>Pantry C</v>
      </c>
      <c r="BM2" s="866"/>
      <c r="BN2" s="867"/>
      <c r="BO2" s="865" t="str">
        <f>P3</f>
        <v>Pantry D</v>
      </c>
      <c r="BP2" s="866"/>
      <c r="BQ2" s="866"/>
      <c r="BR2" s="865" t="str">
        <f>Q3</f>
        <v>Pantry E</v>
      </c>
      <c r="BS2" s="866"/>
      <c r="BT2" s="867"/>
      <c r="BU2" s="865" t="str">
        <f>R3</f>
        <v>Pantry F</v>
      </c>
      <c r="BV2" s="866"/>
      <c r="BW2" s="867"/>
      <c r="BX2" s="865" t="str">
        <f>S3</f>
        <v>Pantry G</v>
      </c>
      <c r="BY2" s="866"/>
      <c r="BZ2" s="866"/>
      <c r="CA2" s="865" t="str">
        <f>T3</f>
        <v xml:space="preserve">Main Building </v>
      </c>
      <c r="CB2" s="866"/>
      <c r="CC2" s="867"/>
    </row>
    <row r="3" spans="1:81" ht="18" customHeight="1" thickBot="1">
      <c r="A3" s="246"/>
      <c r="B3" s="252" t="s">
        <v>621</v>
      </c>
      <c r="C3" s="252" t="s">
        <v>622</v>
      </c>
      <c r="D3" s="252" t="s">
        <v>623</v>
      </c>
      <c r="E3" s="252" t="s">
        <v>624</v>
      </c>
      <c r="F3" s="252" t="s">
        <v>397</v>
      </c>
      <c r="G3" s="253" t="s">
        <v>105</v>
      </c>
      <c r="H3" s="253" t="s">
        <v>420</v>
      </c>
      <c r="I3" s="254" t="s">
        <v>529</v>
      </c>
      <c r="J3" s="255" t="s">
        <v>511</v>
      </c>
      <c r="K3" s="256" t="s">
        <v>512</v>
      </c>
      <c r="L3" s="252" t="s">
        <v>139</v>
      </c>
      <c r="M3" s="253" t="s">
        <v>625</v>
      </c>
      <c r="N3" s="253" t="s">
        <v>56</v>
      </c>
      <c r="O3" s="253" t="s">
        <v>61</v>
      </c>
      <c r="P3" s="253" t="s">
        <v>63</v>
      </c>
      <c r="Q3" s="253" t="s">
        <v>67</v>
      </c>
      <c r="R3" s="253" t="s">
        <v>70</v>
      </c>
      <c r="S3" s="253" t="s">
        <v>73</v>
      </c>
      <c r="T3" s="253" t="s">
        <v>108</v>
      </c>
      <c r="U3" s="257" t="s">
        <v>626</v>
      </c>
      <c r="V3" s="258" t="s">
        <v>627</v>
      </c>
      <c r="W3" s="259" t="s">
        <v>628</v>
      </c>
      <c r="X3" s="260" t="s">
        <v>629</v>
      </c>
      <c r="Y3" s="261" t="s">
        <v>60</v>
      </c>
      <c r="Z3" s="261" t="s">
        <v>123</v>
      </c>
      <c r="AA3" s="261" t="s">
        <v>630</v>
      </c>
      <c r="AB3" s="262" t="s">
        <v>631</v>
      </c>
      <c r="AC3" s="263" t="s">
        <v>629</v>
      </c>
      <c r="AD3" s="264" t="s">
        <v>60</v>
      </c>
      <c r="AE3" s="264" t="s">
        <v>123</v>
      </c>
      <c r="AF3" s="264" t="s">
        <v>630</v>
      </c>
      <c r="AG3" s="264" t="s">
        <v>631</v>
      </c>
      <c r="AH3" s="263" t="s">
        <v>629</v>
      </c>
      <c r="AI3" s="264" t="s">
        <v>60</v>
      </c>
      <c r="AJ3" s="264" t="s">
        <v>123</v>
      </c>
      <c r="AK3" s="264" t="s">
        <v>630</v>
      </c>
      <c r="AL3" s="264" t="s">
        <v>631</v>
      </c>
      <c r="AM3" s="265" t="s">
        <v>632</v>
      </c>
      <c r="AN3" s="264" t="s">
        <v>633</v>
      </c>
      <c r="AO3" s="266"/>
      <c r="AP3" s="266"/>
      <c r="AQ3" s="263" t="s">
        <v>552</v>
      </c>
      <c r="AR3" s="264" t="s">
        <v>634</v>
      </c>
      <c r="AS3" s="264" t="s">
        <v>631</v>
      </c>
      <c r="AT3" s="263" t="s">
        <v>635</v>
      </c>
      <c r="AU3" s="264" t="s">
        <v>634</v>
      </c>
      <c r="AV3" s="264" t="s">
        <v>631</v>
      </c>
      <c r="AW3" s="263" t="s">
        <v>552</v>
      </c>
      <c r="AX3" s="264" t="s">
        <v>634</v>
      </c>
      <c r="AY3" s="264" t="s">
        <v>631</v>
      </c>
      <c r="AZ3" s="267" t="s">
        <v>552</v>
      </c>
      <c r="BA3" s="225" t="s">
        <v>634</v>
      </c>
      <c r="BB3" s="268" t="s">
        <v>631</v>
      </c>
      <c r="BC3" s="263" t="s">
        <v>552</v>
      </c>
      <c r="BD3" s="264" t="s">
        <v>634</v>
      </c>
      <c r="BE3" s="265" t="s">
        <v>631</v>
      </c>
      <c r="BF3" s="263" t="s">
        <v>552</v>
      </c>
      <c r="BG3" s="264" t="s">
        <v>634</v>
      </c>
      <c r="BH3" s="264" t="s">
        <v>631</v>
      </c>
      <c r="BI3" s="263" t="s">
        <v>552</v>
      </c>
      <c r="BJ3" s="264" t="s">
        <v>634</v>
      </c>
      <c r="BK3" s="269" t="s">
        <v>631</v>
      </c>
      <c r="BL3" s="263" t="s">
        <v>552</v>
      </c>
      <c r="BM3" s="264" t="s">
        <v>634</v>
      </c>
      <c r="BN3" s="265" t="s">
        <v>631</v>
      </c>
      <c r="BO3" s="263" t="s">
        <v>552</v>
      </c>
      <c r="BP3" s="264" t="s">
        <v>634</v>
      </c>
      <c r="BQ3" s="264" t="s">
        <v>631</v>
      </c>
      <c r="BR3" s="263" t="s">
        <v>552</v>
      </c>
      <c r="BS3" s="264" t="s">
        <v>634</v>
      </c>
      <c r="BT3" s="269" t="s">
        <v>631</v>
      </c>
      <c r="BU3" s="263" t="s">
        <v>552</v>
      </c>
      <c r="BV3" s="264" t="s">
        <v>634</v>
      </c>
      <c r="BW3" s="265" t="s">
        <v>631</v>
      </c>
      <c r="BX3" s="263" t="s">
        <v>552</v>
      </c>
      <c r="BY3" s="264" t="s">
        <v>634</v>
      </c>
      <c r="BZ3" s="264" t="s">
        <v>631</v>
      </c>
      <c r="CA3" s="263" t="s">
        <v>552</v>
      </c>
      <c r="CB3" s="264" t="s">
        <v>634</v>
      </c>
      <c r="CC3" s="269" t="s">
        <v>631</v>
      </c>
    </row>
    <row r="4" spans="1:81" ht="18" customHeight="1" thickBot="1">
      <c r="A4" s="270" t="s">
        <v>636</v>
      </c>
      <c r="B4" s="231">
        <f>'Current month'!CM3</f>
        <v>64</v>
      </c>
      <c r="C4" s="231">
        <f>'Current month'!CO3</f>
        <v>65</v>
      </c>
      <c r="D4" s="231">
        <f>'Current month'!CQ3</f>
        <v>65</v>
      </c>
      <c r="E4" s="231">
        <f>'Current month'!CJ3</f>
        <v>2694183</v>
      </c>
      <c r="F4" s="231">
        <f>'Current month'!CV3</f>
        <v>46855</v>
      </c>
      <c r="G4" s="231">
        <f>'Current month'!DB3</f>
        <v>15312</v>
      </c>
      <c r="H4" s="231">
        <f>'Current month'!CY3</f>
        <v>35987</v>
      </c>
      <c r="I4" s="271"/>
      <c r="J4" s="271"/>
      <c r="K4" s="271"/>
      <c r="L4" s="271">
        <f>'Current month'!DE3</f>
        <v>855886</v>
      </c>
      <c r="M4" s="231">
        <f>'Current month'!DK3</f>
        <v>10879</v>
      </c>
      <c r="N4" s="231">
        <f>'Current month'!DN3</f>
        <v>6636</v>
      </c>
      <c r="O4" s="231">
        <f>'Current month'!DQ3</f>
        <v>2309</v>
      </c>
      <c r="P4" s="231">
        <f>'Current month'!DT3</f>
        <v>8084</v>
      </c>
      <c r="Q4" s="231">
        <f>'Current month'!DW3</f>
        <v>7482</v>
      </c>
      <c r="R4" s="231">
        <f>'Current month'!DZ3</f>
        <v>8072</v>
      </c>
      <c r="S4" s="231">
        <f>'Current month'!EC3</f>
        <v>7995</v>
      </c>
      <c r="T4" s="231">
        <f>'Current month'!DH3</f>
        <v>11369</v>
      </c>
      <c r="U4" s="298"/>
      <c r="V4" s="298"/>
      <c r="W4" s="298"/>
      <c r="X4" s="272">
        <f>B4</f>
        <v>64</v>
      </c>
      <c r="Y4" s="273">
        <f t="shared" ref="Y4:Y23" si="0">(X4*19075)/100</f>
        <v>12208</v>
      </c>
      <c r="Z4" s="274">
        <f t="shared" ref="Z4:Z36" si="1">0.565*Y4</f>
        <v>6897.5199999999995</v>
      </c>
      <c r="AA4" s="275"/>
      <c r="AB4" s="273"/>
      <c r="AC4" s="276">
        <f t="shared" ref="AC4:AC36" si="2">C4</f>
        <v>65</v>
      </c>
      <c r="AD4" s="273">
        <f t="shared" ref="AD4:AD23" si="3">(AC4*19075)/100</f>
        <v>12398.75</v>
      </c>
      <c r="AE4" s="277">
        <f t="shared" ref="AE4:AE36" si="4">0.565*AD4</f>
        <v>7005.2937499999989</v>
      </c>
      <c r="AF4" s="277">
        <f t="shared" ref="AF4:AF36" si="5">V4</f>
        <v>0</v>
      </c>
      <c r="AG4" s="273"/>
      <c r="AH4" s="276">
        <f>D4</f>
        <v>65</v>
      </c>
      <c r="AI4" s="273">
        <f t="shared" ref="AI4:AI23" si="6">(AH4*19075)/100</f>
        <v>12398.75</v>
      </c>
      <c r="AJ4" s="277">
        <f t="shared" ref="AJ4:AJ36" si="7">0.565*AI4</f>
        <v>7005.2937499999989</v>
      </c>
      <c r="AK4" s="277">
        <f>W4</f>
        <v>0</v>
      </c>
      <c r="AL4" s="277"/>
      <c r="AM4" s="278">
        <f t="shared" ref="AM4:AM36" si="8">44.549*AL4</f>
        <v>0</v>
      </c>
      <c r="AN4" s="273">
        <f>Z4+AE4+AJ4</f>
        <v>20908.107499999998</v>
      </c>
      <c r="AO4" s="279">
        <f>U4+V4+W4</f>
        <v>0</v>
      </c>
      <c r="AP4" s="279">
        <f>AB4+AG4+AL4</f>
        <v>0</v>
      </c>
      <c r="AQ4" s="280">
        <f>E4</f>
        <v>2694183</v>
      </c>
      <c r="AR4" s="277"/>
      <c r="AS4" s="277"/>
      <c r="AT4" s="276">
        <f t="shared" ref="AT4:AT36" si="9">F4</f>
        <v>46855</v>
      </c>
      <c r="AU4" s="277"/>
      <c r="AV4" s="277"/>
      <c r="AW4" s="276">
        <f>G4</f>
        <v>15312</v>
      </c>
      <c r="AX4" s="277"/>
      <c r="AY4" s="277"/>
      <c r="AZ4" s="276">
        <f>H4</f>
        <v>35987</v>
      </c>
      <c r="BA4" s="277"/>
      <c r="BB4" s="277"/>
      <c r="BC4" s="276">
        <f>L4</f>
        <v>855886</v>
      </c>
      <c r="BD4" s="277"/>
      <c r="BE4" s="277"/>
      <c r="BF4" s="280">
        <f>M4</f>
        <v>10879</v>
      </c>
      <c r="BG4" s="277"/>
      <c r="BH4" s="277"/>
      <c r="BI4" s="276">
        <f>N4</f>
        <v>6636</v>
      </c>
      <c r="BJ4" s="277"/>
      <c r="BK4" s="277"/>
      <c r="BL4" s="276">
        <f>O4</f>
        <v>2309</v>
      </c>
      <c r="BM4" s="277"/>
      <c r="BN4" s="277"/>
      <c r="BO4" s="280">
        <f>P4</f>
        <v>8084</v>
      </c>
      <c r="BP4" s="277"/>
      <c r="BQ4" s="277"/>
      <c r="BR4" s="276">
        <f>Q4</f>
        <v>7482</v>
      </c>
      <c r="BS4" s="277"/>
      <c r="BT4" s="277"/>
      <c r="BU4" s="276">
        <f>R4</f>
        <v>8072</v>
      </c>
      <c r="BV4" s="277"/>
      <c r="BW4" s="277"/>
      <c r="BX4" s="280">
        <f>S4</f>
        <v>7995</v>
      </c>
      <c r="BY4" s="277"/>
      <c r="BZ4" s="277"/>
      <c r="CA4" s="276">
        <f>T4</f>
        <v>11369</v>
      </c>
      <c r="CB4" s="277"/>
      <c r="CC4" s="277"/>
    </row>
    <row r="5" spans="1:81" ht="18" customHeight="1" thickBot="1">
      <c r="A5" s="281">
        <f>'Current month'!A4</f>
        <v>44774</v>
      </c>
      <c r="B5" s="231">
        <f>'Current month'!CM4</f>
        <v>59</v>
      </c>
      <c r="C5" s="231">
        <f>'Current month'!CO4</f>
        <v>60</v>
      </c>
      <c r="D5" s="231">
        <f>'Current month'!CQ4</f>
        <v>60</v>
      </c>
      <c r="E5" s="231">
        <f>'Current month'!CJ4</f>
        <v>2697143</v>
      </c>
      <c r="F5" s="231">
        <f>'Current month'!CV4</f>
        <v>46893</v>
      </c>
      <c r="G5" s="231">
        <f>'Current month'!DB6</f>
        <v>15363</v>
      </c>
      <c r="H5" s="231">
        <f>'Current month'!CY4</f>
        <v>35995</v>
      </c>
      <c r="I5" s="271"/>
      <c r="J5" s="271"/>
      <c r="K5" s="271"/>
      <c r="L5" s="271">
        <f>'Current month'!DE4</f>
        <v>856017</v>
      </c>
      <c r="M5" s="231">
        <f>'Current month'!DK4</f>
        <v>10890</v>
      </c>
      <c r="N5" s="231">
        <f>'Current month'!DN4</f>
        <v>6645</v>
      </c>
      <c r="O5" s="231">
        <f>'Current month'!DQ4</f>
        <v>2310</v>
      </c>
      <c r="P5" s="231">
        <f>'Current month'!DT4</f>
        <v>8098</v>
      </c>
      <c r="Q5" s="231">
        <f>'Current month'!DW4</f>
        <v>7492</v>
      </c>
      <c r="R5" s="231">
        <f>'Current month'!DZ4</f>
        <v>8082</v>
      </c>
      <c r="S5" s="231">
        <f>'Current month'!EC4</f>
        <v>8000</v>
      </c>
      <c r="T5" s="231">
        <f>'Current month'!DH4</f>
        <v>11385</v>
      </c>
      <c r="U5" s="299"/>
      <c r="V5" s="299"/>
      <c r="W5" s="299"/>
      <c r="X5" s="272">
        <f t="shared" ref="X5:X36" si="10">B5</f>
        <v>59</v>
      </c>
      <c r="Y5" s="273">
        <f t="shared" si="0"/>
        <v>11254.25</v>
      </c>
      <c r="Z5" s="274">
        <f t="shared" si="1"/>
        <v>6358.651249999999</v>
      </c>
      <c r="AA5" s="275">
        <f t="shared" ref="AA5:AA36" si="11">U5</f>
        <v>0</v>
      </c>
      <c r="AB5" s="273">
        <f>Z4-Z5+AA4</f>
        <v>538.86875000000055</v>
      </c>
      <c r="AC5" s="276">
        <f t="shared" si="2"/>
        <v>60</v>
      </c>
      <c r="AD5" s="273">
        <f t="shared" si="3"/>
        <v>11445</v>
      </c>
      <c r="AE5" s="277">
        <f t="shared" si="4"/>
        <v>6466.4249999999993</v>
      </c>
      <c r="AF5" s="277">
        <f t="shared" si="5"/>
        <v>0</v>
      </c>
      <c r="AG5" s="273">
        <f>AE4-AE5+AF5</f>
        <v>538.86874999999964</v>
      </c>
      <c r="AH5" s="276">
        <f t="shared" ref="AH5:AH36" si="12">D5</f>
        <v>60</v>
      </c>
      <c r="AI5" s="273">
        <f t="shared" si="6"/>
        <v>11445</v>
      </c>
      <c r="AJ5" s="277">
        <f t="shared" si="7"/>
        <v>6466.4249999999993</v>
      </c>
      <c r="AK5" s="277">
        <f t="shared" ref="AK5:AK36" si="13">W5</f>
        <v>0</v>
      </c>
      <c r="AL5" s="273">
        <f t="shared" ref="AL5:AL36" si="14">AJ4-AJ5+AK4</f>
        <v>538.86874999999964</v>
      </c>
      <c r="AM5" s="278">
        <f t="shared" si="8"/>
        <v>24006.063943749985</v>
      </c>
      <c r="AN5" s="273">
        <f>Z5+AE5+AJ5</f>
        <v>19291.501249999998</v>
      </c>
      <c r="AO5" s="279">
        <f t="shared" ref="AO5:AO36" si="15">U5+V5+W5</f>
        <v>0</v>
      </c>
      <c r="AP5" s="279">
        <f t="shared" ref="AP5:AP36" si="16">AB5+AG5+AL5</f>
        <v>1616.6062499999998</v>
      </c>
      <c r="AQ5" s="280">
        <f t="shared" ref="AQ5:AQ36" si="17">E5</f>
        <v>2697143</v>
      </c>
      <c r="AR5" s="273">
        <f>AQ5-AQ4</f>
        <v>2960</v>
      </c>
      <c r="AS5" s="277">
        <f t="shared" ref="AS5:AS36" si="18">6.25*AR5</f>
        <v>18500</v>
      </c>
      <c r="AT5" s="276">
        <f t="shared" si="9"/>
        <v>46893</v>
      </c>
      <c r="AU5" s="273">
        <f>AT5-AT4</f>
        <v>38</v>
      </c>
      <c r="AV5" s="277">
        <f t="shared" ref="AV5:AV36" si="19">6.25*AU5</f>
        <v>237.5</v>
      </c>
      <c r="AW5" s="276">
        <f t="shared" ref="AW5:AW36" si="20">G5</f>
        <v>15363</v>
      </c>
      <c r="AX5" s="273">
        <f>AW5-AW4</f>
        <v>51</v>
      </c>
      <c r="AY5" s="277">
        <f t="shared" ref="AY5:AY36" si="21">6.25*AX5</f>
        <v>318.75</v>
      </c>
      <c r="AZ5" s="276">
        <f t="shared" ref="AZ5:AZ36" si="22">H5</f>
        <v>35995</v>
      </c>
      <c r="BA5" s="273">
        <f>AZ5-AZ4</f>
        <v>8</v>
      </c>
      <c r="BB5" s="277">
        <f t="shared" ref="BB5:BB36" si="23">6.25*BA5</f>
        <v>50</v>
      </c>
      <c r="BC5" s="276">
        <f t="shared" ref="BC5:BC36" si="24">L5</f>
        <v>856017</v>
      </c>
      <c r="BD5" s="273">
        <f>BC5-BC4</f>
        <v>131</v>
      </c>
      <c r="BE5" s="277">
        <f t="shared" ref="BE5:BE36" si="25">6.25*BD5</f>
        <v>818.75</v>
      </c>
      <c r="BF5" s="280">
        <f t="shared" ref="BF5:BF36" si="26">M5</f>
        <v>10890</v>
      </c>
      <c r="BG5" s="273">
        <f>BF5-BF4</f>
        <v>11</v>
      </c>
      <c r="BH5" s="277">
        <f t="shared" ref="BH5:BH36" si="27">6.25*BG5</f>
        <v>68.75</v>
      </c>
      <c r="BI5" s="276">
        <f t="shared" ref="BI5:BI36" si="28">N5</f>
        <v>6645</v>
      </c>
      <c r="BJ5" s="273">
        <f>BI5-BI4</f>
        <v>9</v>
      </c>
      <c r="BK5" s="277">
        <f t="shared" ref="BK5:BK36" si="29">6.25*BJ5</f>
        <v>56.25</v>
      </c>
      <c r="BL5" s="276">
        <f t="shared" ref="BL5:BL36" si="30">O5</f>
        <v>2310</v>
      </c>
      <c r="BM5" s="273">
        <f>BL5-BL4</f>
        <v>1</v>
      </c>
      <c r="BN5" s="277">
        <f t="shared" ref="BN5:BN36" si="31">6.25*BM5</f>
        <v>6.25</v>
      </c>
      <c r="BO5" s="280">
        <f t="shared" ref="BO5:BO36" si="32">P5</f>
        <v>8098</v>
      </c>
      <c r="BP5" s="273">
        <f>BO5-BO4</f>
        <v>14</v>
      </c>
      <c r="BQ5" s="277">
        <f t="shared" ref="BQ5:BQ36" si="33">6.25*BP5</f>
        <v>87.5</v>
      </c>
      <c r="BR5" s="276">
        <f t="shared" ref="BR5:BR36" si="34">Q5</f>
        <v>7492</v>
      </c>
      <c r="BS5" s="273">
        <f>BR5-BR4</f>
        <v>10</v>
      </c>
      <c r="BT5" s="277">
        <f t="shared" ref="BT5:BT36" si="35">6.25*BS5</f>
        <v>62.5</v>
      </c>
      <c r="BU5" s="276">
        <f t="shared" ref="BU5:BU36" si="36">R5</f>
        <v>8082</v>
      </c>
      <c r="BV5" s="273">
        <f>BU5-BU4</f>
        <v>10</v>
      </c>
      <c r="BW5" s="277">
        <f t="shared" ref="BW5:BW36" si="37">6.25*BV5</f>
        <v>62.5</v>
      </c>
      <c r="BX5" s="280">
        <f t="shared" ref="BX5:BX36" si="38">S5</f>
        <v>8000</v>
      </c>
      <c r="BY5" s="273">
        <f>BX5-BX4</f>
        <v>5</v>
      </c>
      <c r="BZ5" s="277">
        <f t="shared" ref="BZ5:BZ36" si="39">6.25*BY5</f>
        <v>31.25</v>
      </c>
      <c r="CA5" s="276">
        <f t="shared" ref="CA5:CA36" si="40">T5</f>
        <v>11385</v>
      </c>
      <c r="CB5" s="273">
        <f>CA5-CA4</f>
        <v>16</v>
      </c>
      <c r="CC5" s="277">
        <f t="shared" ref="CC5:CC36" si="41">6.25*CB5</f>
        <v>100</v>
      </c>
    </row>
    <row r="6" spans="1:81" ht="18" customHeight="1" thickBot="1">
      <c r="A6" s="281">
        <f>'Current month'!A5</f>
        <v>44775</v>
      </c>
      <c r="B6" s="231">
        <f>'Current month'!CM5</f>
        <v>55</v>
      </c>
      <c r="C6" s="231">
        <f>'Current month'!CO5</f>
        <v>55</v>
      </c>
      <c r="D6" s="231">
        <f>'Current month'!CQ5</f>
        <v>55</v>
      </c>
      <c r="E6" s="231">
        <f>'Current month'!CJ5</f>
        <v>2700335</v>
      </c>
      <c r="F6" s="231">
        <f>'Current month'!CV5</f>
        <v>46936</v>
      </c>
      <c r="G6" s="231">
        <f>'Current month'!DB5</f>
        <v>15346</v>
      </c>
      <c r="H6" s="231">
        <f>'Current month'!CY5</f>
        <v>36003</v>
      </c>
      <c r="I6" s="271"/>
      <c r="J6" s="271"/>
      <c r="K6" s="271"/>
      <c r="L6" s="271">
        <f>'Current month'!DE5</f>
        <v>856145</v>
      </c>
      <c r="M6" s="231">
        <f>'Current month'!DK5</f>
        <v>10904</v>
      </c>
      <c r="N6" s="231">
        <f>'Current month'!DN5</f>
        <v>6655</v>
      </c>
      <c r="O6" s="231">
        <f>'Current month'!DQ5</f>
        <v>2312</v>
      </c>
      <c r="P6" s="231">
        <f>'Current month'!DT5</f>
        <v>8115</v>
      </c>
      <c r="Q6" s="231">
        <f>'Current month'!DW5</f>
        <v>7503</v>
      </c>
      <c r="R6" s="231">
        <f>'Current month'!DZ5</f>
        <v>8092</v>
      </c>
      <c r="S6" s="231">
        <f>'Current month'!EC5</f>
        <v>8019</v>
      </c>
      <c r="T6" s="231">
        <f>'Current month'!DH5</f>
        <v>11403</v>
      </c>
      <c r="U6" s="299"/>
      <c r="V6" s="299"/>
      <c r="W6" s="299"/>
      <c r="X6" s="272">
        <f t="shared" si="10"/>
        <v>55</v>
      </c>
      <c r="Y6" s="273">
        <f t="shared" si="0"/>
        <v>10491.25</v>
      </c>
      <c r="Z6" s="274">
        <f t="shared" si="1"/>
        <v>5927.5562499999996</v>
      </c>
      <c r="AA6" s="275">
        <f t="shared" si="11"/>
        <v>0</v>
      </c>
      <c r="AB6" s="273">
        <f>Z5-Z6+AA5</f>
        <v>431.09499999999935</v>
      </c>
      <c r="AC6" s="276">
        <f t="shared" si="2"/>
        <v>55</v>
      </c>
      <c r="AD6" s="273">
        <f t="shared" si="3"/>
        <v>10491.25</v>
      </c>
      <c r="AE6" s="277">
        <f t="shared" si="4"/>
        <v>5927.5562499999996</v>
      </c>
      <c r="AF6" s="277">
        <f t="shared" si="5"/>
        <v>0</v>
      </c>
      <c r="AG6" s="273">
        <f t="shared" ref="AG6:AG36" si="42">AE5-AE6+AF5</f>
        <v>538.86874999999964</v>
      </c>
      <c r="AH6" s="276">
        <f t="shared" si="12"/>
        <v>55</v>
      </c>
      <c r="AI6" s="273">
        <f t="shared" si="6"/>
        <v>10491.25</v>
      </c>
      <c r="AJ6" s="277">
        <f t="shared" si="7"/>
        <v>5927.5562499999996</v>
      </c>
      <c r="AK6" s="277">
        <f t="shared" si="13"/>
        <v>0</v>
      </c>
      <c r="AL6" s="273">
        <f t="shared" si="14"/>
        <v>538.86874999999964</v>
      </c>
      <c r="AM6" s="278">
        <f t="shared" si="8"/>
        <v>24006.063943749985</v>
      </c>
      <c r="AN6" s="273">
        <f t="shared" ref="AN6:AN36" si="43">Z6+AE6+AJ6</f>
        <v>17782.668749999997</v>
      </c>
      <c r="AO6" s="279">
        <f t="shared" si="15"/>
        <v>0</v>
      </c>
      <c r="AP6" s="279">
        <f t="shared" si="16"/>
        <v>1508.8324999999986</v>
      </c>
      <c r="AQ6" s="280">
        <f t="shared" si="17"/>
        <v>2700335</v>
      </c>
      <c r="AR6" s="273">
        <f t="shared" ref="AR6:AR34" si="44">AQ6-AQ5</f>
        <v>3192</v>
      </c>
      <c r="AS6" s="277">
        <f t="shared" si="18"/>
        <v>19950</v>
      </c>
      <c r="AT6" s="276">
        <f t="shared" si="9"/>
        <v>46936</v>
      </c>
      <c r="AU6" s="273">
        <f t="shared" ref="AU6:AU35" si="45">AT6-AT5</f>
        <v>43</v>
      </c>
      <c r="AV6" s="277">
        <f t="shared" si="19"/>
        <v>268.75</v>
      </c>
      <c r="AW6" s="276">
        <f t="shared" si="20"/>
        <v>15346</v>
      </c>
      <c r="AX6" s="273">
        <f t="shared" ref="AX6:AX35" si="46">AW6-AW5</f>
        <v>-17</v>
      </c>
      <c r="AY6" s="277">
        <f t="shared" si="21"/>
        <v>-106.25</v>
      </c>
      <c r="AZ6" s="276">
        <f t="shared" si="22"/>
        <v>36003</v>
      </c>
      <c r="BA6" s="273">
        <f t="shared" ref="BA6:BA35" si="47">AZ6-AZ5</f>
        <v>8</v>
      </c>
      <c r="BB6" s="277">
        <f t="shared" si="23"/>
        <v>50</v>
      </c>
      <c r="BC6" s="276">
        <f t="shared" si="24"/>
        <v>856145</v>
      </c>
      <c r="BD6" s="273">
        <f t="shared" ref="BD6:BD35" si="48">BC6-BC5</f>
        <v>128</v>
      </c>
      <c r="BE6" s="277">
        <f t="shared" si="25"/>
        <v>800</v>
      </c>
      <c r="BF6" s="280">
        <f t="shared" si="26"/>
        <v>10904</v>
      </c>
      <c r="BG6" s="273">
        <f t="shared" ref="BG6:BG35" si="49">BF6-BF5</f>
        <v>14</v>
      </c>
      <c r="BH6" s="277">
        <f t="shared" si="27"/>
        <v>87.5</v>
      </c>
      <c r="BI6" s="276">
        <f t="shared" si="28"/>
        <v>6655</v>
      </c>
      <c r="BJ6" s="273">
        <f t="shared" ref="BJ6:BJ35" si="50">BI6-BI5</f>
        <v>10</v>
      </c>
      <c r="BK6" s="277">
        <f t="shared" si="29"/>
        <v>62.5</v>
      </c>
      <c r="BL6" s="276">
        <f t="shared" si="30"/>
        <v>2312</v>
      </c>
      <c r="BM6" s="273">
        <f t="shared" ref="BM6:BM35" si="51">BL6-BL5</f>
        <v>2</v>
      </c>
      <c r="BN6" s="277">
        <f t="shared" si="31"/>
        <v>12.5</v>
      </c>
      <c r="BO6" s="280">
        <f t="shared" si="32"/>
        <v>8115</v>
      </c>
      <c r="BP6" s="273">
        <f t="shared" ref="BP6:BP35" si="52">BO6-BO5</f>
        <v>17</v>
      </c>
      <c r="BQ6" s="277">
        <f t="shared" si="33"/>
        <v>106.25</v>
      </c>
      <c r="BR6" s="276">
        <f t="shared" si="34"/>
        <v>7503</v>
      </c>
      <c r="BS6" s="273">
        <f t="shared" ref="BS6:BS35" si="53">BR6-BR5</f>
        <v>11</v>
      </c>
      <c r="BT6" s="277">
        <f t="shared" si="35"/>
        <v>68.75</v>
      </c>
      <c r="BU6" s="276">
        <f t="shared" si="36"/>
        <v>8092</v>
      </c>
      <c r="BV6" s="273">
        <f t="shared" ref="BV6:BV35" si="54">BU6-BU5</f>
        <v>10</v>
      </c>
      <c r="BW6" s="277">
        <f t="shared" si="37"/>
        <v>62.5</v>
      </c>
      <c r="BX6" s="280">
        <f t="shared" si="38"/>
        <v>8019</v>
      </c>
      <c r="BY6" s="273">
        <f t="shared" ref="BY6:BY35" si="55">BX6-BX5</f>
        <v>19</v>
      </c>
      <c r="BZ6" s="277">
        <f t="shared" si="39"/>
        <v>118.75</v>
      </c>
      <c r="CA6" s="276">
        <f t="shared" si="40"/>
        <v>11403</v>
      </c>
      <c r="CB6" s="273">
        <f t="shared" ref="CB6:CB35" si="56">CA6-CA5</f>
        <v>18</v>
      </c>
      <c r="CC6" s="277">
        <f t="shared" si="41"/>
        <v>112.5</v>
      </c>
    </row>
    <row r="7" spans="1:81" ht="18" customHeight="1" thickBot="1">
      <c r="A7" s="281">
        <f>'Current month'!A6</f>
        <v>44776</v>
      </c>
      <c r="B7" s="231">
        <f>'Current month'!CM6</f>
        <v>48</v>
      </c>
      <c r="C7" s="231">
        <f>'Current month'!CO6</f>
        <v>50</v>
      </c>
      <c r="D7" s="231">
        <f>'Current month'!CQ6</f>
        <v>48</v>
      </c>
      <c r="E7" s="231">
        <f>'Current month'!CJ6</f>
        <v>2704260</v>
      </c>
      <c r="F7" s="231">
        <f>'Current month'!CV6</f>
        <v>46983</v>
      </c>
      <c r="G7" s="231" t="e">
        <f>'Current month'!#REF!</f>
        <v>#REF!</v>
      </c>
      <c r="H7" s="231">
        <f>'Current month'!CY6</f>
        <v>36012</v>
      </c>
      <c r="I7" s="271"/>
      <c r="J7" s="271"/>
      <c r="K7" s="271"/>
      <c r="L7" s="271">
        <f>'Current month'!DE6</f>
        <v>856335</v>
      </c>
      <c r="M7" s="231">
        <f>'Current month'!DK6</f>
        <v>10919</v>
      </c>
      <c r="N7" s="231">
        <f>'Current month'!DN6</f>
        <v>6668</v>
      </c>
      <c r="O7" s="231">
        <f>'Current month'!DQ6</f>
        <v>2314</v>
      </c>
      <c r="P7" s="231">
        <f>'Current month'!DT6</f>
        <v>8134</v>
      </c>
      <c r="Q7" s="231">
        <f>'Current month'!DW6</f>
        <v>7516</v>
      </c>
      <c r="R7" s="231">
        <f>'Current month'!DZ6</f>
        <v>8105</v>
      </c>
      <c r="S7" s="231">
        <f>'Current month'!EC6</f>
        <v>8036</v>
      </c>
      <c r="T7" s="231">
        <f>'Current month'!DH6</f>
        <v>11421</v>
      </c>
      <c r="U7" s="299"/>
      <c r="V7" s="299"/>
      <c r="W7" s="299"/>
      <c r="X7" s="272">
        <f t="shared" si="10"/>
        <v>48</v>
      </c>
      <c r="Y7" s="273">
        <f t="shared" si="0"/>
        <v>9156</v>
      </c>
      <c r="Z7" s="273">
        <f t="shared" si="1"/>
        <v>5173.1399999999994</v>
      </c>
      <c r="AA7" s="277">
        <f>U7</f>
        <v>0</v>
      </c>
      <c r="AB7" s="273">
        <f t="shared" ref="AB7:AB36" si="57">Z6-Z7+AA6</f>
        <v>754.41625000000022</v>
      </c>
      <c r="AC7" s="276">
        <f t="shared" si="2"/>
        <v>50</v>
      </c>
      <c r="AD7" s="273">
        <f t="shared" si="3"/>
        <v>9537.5</v>
      </c>
      <c r="AE7" s="277">
        <f t="shared" si="4"/>
        <v>5388.6874999999991</v>
      </c>
      <c r="AF7" s="277">
        <f t="shared" si="5"/>
        <v>0</v>
      </c>
      <c r="AG7" s="273">
        <f t="shared" si="42"/>
        <v>538.86875000000055</v>
      </c>
      <c r="AH7" s="276">
        <f t="shared" si="12"/>
        <v>48</v>
      </c>
      <c r="AI7" s="273">
        <f t="shared" si="6"/>
        <v>9156</v>
      </c>
      <c r="AJ7" s="277">
        <f t="shared" si="7"/>
        <v>5173.1399999999994</v>
      </c>
      <c r="AK7" s="277">
        <f t="shared" si="13"/>
        <v>0</v>
      </c>
      <c r="AL7" s="273">
        <f t="shared" si="14"/>
        <v>754.41625000000022</v>
      </c>
      <c r="AM7" s="278">
        <f t="shared" si="8"/>
        <v>33608.489521250012</v>
      </c>
      <c r="AN7" s="273">
        <f t="shared" si="43"/>
        <v>15734.967499999999</v>
      </c>
      <c r="AO7" s="279">
        <f t="shared" si="15"/>
        <v>0</v>
      </c>
      <c r="AP7" s="279">
        <f t="shared" si="16"/>
        <v>2047.701250000001</v>
      </c>
      <c r="AQ7" s="280">
        <f t="shared" si="17"/>
        <v>2704260</v>
      </c>
      <c r="AR7" s="273">
        <f t="shared" si="44"/>
        <v>3925</v>
      </c>
      <c r="AS7" s="277">
        <f t="shared" si="18"/>
        <v>24531.25</v>
      </c>
      <c r="AT7" s="276">
        <f t="shared" si="9"/>
        <v>46983</v>
      </c>
      <c r="AU7" s="273">
        <f t="shared" si="45"/>
        <v>47</v>
      </c>
      <c r="AV7" s="277">
        <f t="shared" si="19"/>
        <v>293.75</v>
      </c>
      <c r="AW7" s="276" t="e">
        <f t="shared" si="20"/>
        <v>#REF!</v>
      </c>
      <c r="AX7" s="273" t="e">
        <f t="shared" si="46"/>
        <v>#REF!</v>
      </c>
      <c r="AY7" s="277" t="e">
        <f t="shared" si="21"/>
        <v>#REF!</v>
      </c>
      <c r="AZ7" s="276">
        <f t="shared" si="22"/>
        <v>36012</v>
      </c>
      <c r="BA7" s="273">
        <f t="shared" si="47"/>
        <v>9</v>
      </c>
      <c r="BB7" s="277">
        <f t="shared" si="23"/>
        <v>56.25</v>
      </c>
      <c r="BC7" s="276">
        <f t="shared" si="24"/>
        <v>856335</v>
      </c>
      <c r="BD7" s="273">
        <f t="shared" si="48"/>
        <v>190</v>
      </c>
      <c r="BE7" s="277">
        <f t="shared" si="25"/>
        <v>1187.5</v>
      </c>
      <c r="BF7" s="280">
        <f t="shared" si="26"/>
        <v>10919</v>
      </c>
      <c r="BG7" s="273">
        <f t="shared" si="49"/>
        <v>15</v>
      </c>
      <c r="BH7" s="277">
        <f t="shared" si="27"/>
        <v>93.75</v>
      </c>
      <c r="BI7" s="276">
        <f t="shared" si="28"/>
        <v>6668</v>
      </c>
      <c r="BJ7" s="273">
        <f t="shared" si="50"/>
        <v>13</v>
      </c>
      <c r="BK7" s="277">
        <f t="shared" si="29"/>
        <v>81.25</v>
      </c>
      <c r="BL7" s="276">
        <f t="shared" si="30"/>
        <v>2314</v>
      </c>
      <c r="BM7" s="273">
        <f t="shared" si="51"/>
        <v>2</v>
      </c>
      <c r="BN7" s="277">
        <f t="shared" si="31"/>
        <v>12.5</v>
      </c>
      <c r="BO7" s="280">
        <f t="shared" si="32"/>
        <v>8134</v>
      </c>
      <c r="BP7" s="273">
        <f t="shared" si="52"/>
        <v>19</v>
      </c>
      <c r="BQ7" s="277">
        <f t="shared" si="33"/>
        <v>118.75</v>
      </c>
      <c r="BR7" s="276">
        <f t="shared" si="34"/>
        <v>7516</v>
      </c>
      <c r="BS7" s="273">
        <f t="shared" si="53"/>
        <v>13</v>
      </c>
      <c r="BT7" s="277">
        <f t="shared" si="35"/>
        <v>81.25</v>
      </c>
      <c r="BU7" s="276">
        <f t="shared" si="36"/>
        <v>8105</v>
      </c>
      <c r="BV7" s="273">
        <f t="shared" si="54"/>
        <v>13</v>
      </c>
      <c r="BW7" s="277">
        <f t="shared" si="37"/>
        <v>81.25</v>
      </c>
      <c r="BX7" s="280">
        <f t="shared" si="38"/>
        <v>8036</v>
      </c>
      <c r="BY7" s="273">
        <f t="shared" si="55"/>
        <v>17</v>
      </c>
      <c r="BZ7" s="277">
        <f t="shared" si="39"/>
        <v>106.25</v>
      </c>
      <c r="CA7" s="276">
        <f t="shared" si="40"/>
        <v>11421</v>
      </c>
      <c r="CB7" s="273">
        <f t="shared" si="56"/>
        <v>18</v>
      </c>
      <c r="CC7" s="277">
        <f t="shared" si="41"/>
        <v>112.5</v>
      </c>
    </row>
    <row r="8" spans="1:81" ht="18" customHeight="1" thickBot="1">
      <c r="A8" s="281">
        <f>'Current month'!A7</f>
        <v>44777</v>
      </c>
      <c r="B8" s="231">
        <f>'Current month'!CM7</f>
        <v>0</v>
      </c>
      <c r="C8" s="231">
        <f>'Current month'!CO7</f>
        <v>0</v>
      </c>
      <c r="D8" s="231">
        <f>'Current month'!CQ7</f>
        <v>0</v>
      </c>
      <c r="E8" s="231">
        <f>'Current month'!CJ7</f>
        <v>0</v>
      </c>
      <c r="F8" s="231">
        <f>'Current month'!CV7</f>
        <v>0</v>
      </c>
      <c r="G8" s="231">
        <f>'Current month'!DB7</f>
        <v>0</v>
      </c>
      <c r="H8" s="231">
        <f>'Current month'!CY7</f>
        <v>0</v>
      </c>
      <c r="I8" s="271"/>
      <c r="J8" s="271"/>
      <c r="K8" s="271"/>
      <c r="L8" s="271">
        <f>'Current month'!DE7</f>
        <v>0</v>
      </c>
      <c r="M8" s="231">
        <f>'Current month'!DK7</f>
        <v>0</v>
      </c>
      <c r="N8" s="231">
        <f>'Current month'!DN7</f>
        <v>0</v>
      </c>
      <c r="O8" s="231">
        <f>'Current month'!DQ7</f>
        <v>0</v>
      </c>
      <c r="P8" s="231">
        <f>'Current month'!DT7</f>
        <v>0</v>
      </c>
      <c r="Q8" s="231">
        <f>'Current month'!DW7</f>
        <v>0</v>
      </c>
      <c r="R8" s="231">
        <f>'Current month'!DZ7</f>
        <v>0</v>
      </c>
      <c r="S8" s="231">
        <f>'Current month'!EC7</f>
        <v>0</v>
      </c>
      <c r="T8" s="231">
        <f>'Current month'!DH7</f>
        <v>0</v>
      </c>
      <c r="U8" s="299"/>
      <c r="V8" s="299"/>
      <c r="W8" s="300"/>
      <c r="X8" s="272">
        <f t="shared" si="10"/>
        <v>0</v>
      </c>
      <c r="Y8" s="273">
        <f t="shared" si="0"/>
        <v>0</v>
      </c>
      <c r="Z8" s="273">
        <f t="shared" si="1"/>
        <v>0</v>
      </c>
      <c r="AA8" s="277">
        <f t="shared" si="11"/>
        <v>0</v>
      </c>
      <c r="AB8" s="273">
        <f t="shared" si="57"/>
        <v>5173.1399999999994</v>
      </c>
      <c r="AC8" s="276">
        <f t="shared" si="2"/>
        <v>0</v>
      </c>
      <c r="AD8" s="273">
        <f t="shared" si="3"/>
        <v>0</v>
      </c>
      <c r="AE8" s="277">
        <f t="shared" si="4"/>
        <v>0</v>
      </c>
      <c r="AF8" s="277">
        <f t="shared" si="5"/>
        <v>0</v>
      </c>
      <c r="AG8" s="273">
        <f t="shared" si="42"/>
        <v>5388.6874999999991</v>
      </c>
      <c r="AH8" s="276">
        <f t="shared" si="12"/>
        <v>0</v>
      </c>
      <c r="AI8" s="273">
        <f t="shared" si="6"/>
        <v>0</v>
      </c>
      <c r="AJ8" s="277">
        <f t="shared" si="7"/>
        <v>0</v>
      </c>
      <c r="AK8" s="277">
        <f t="shared" si="13"/>
        <v>0</v>
      </c>
      <c r="AL8" s="273">
        <f t="shared" si="14"/>
        <v>5173.1399999999994</v>
      </c>
      <c r="AM8" s="278">
        <f t="shared" si="8"/>
        <v>230458.21385999996</v>
      </c>
      <c r="AN8" s="273">
        <f t="shared" si="43"/>
        <v>0</v>
      </c>
      <c r="AO8" s="279">
        <f t="shared" si="15"/>
        <v>0</v>
      </c>
      <c r="AP8" s="279">
        <f t="shared" si="16"/>
        <v>15734.967499999999</v>
      </c>
      <c r="AQ8" s="280">
        <f t="shared" si="17"/>
        <v>0</v>
      </c>
      <c r="AR8" s="273">
        <f t="shared" si="44"/>
        <v>-2704260</v>
      </c>
      <c r="AS8" s="277">
        <f t="shared" si="18"/>
        <v>-16901625</v>
      </c>
      <c r="AT8" s="276">
        <f t="shared" si="9"/>
        <v>0</v>
      </c>
      <c r="AU8" s="273">
        <f t="shared" si="45"/>
        <v>-46983</v>
      </c>
      <c r="AV8" s="277">
        <f t="shared" si="19"/>
        <v>-293643.75</v>
      </c>
      <c r="AW8" s="276">
        <f t="shared" si="20"/>
        <v>0</v>
      </c>
      <c r="AX8" s="273" t="e">
        <f t="shared" si="46"/>
        <v>#REF!</v>
      </c>
      <c r="AY8" s="277" t="e">
        <f t="shared" si="21"/>
        <v>#REF!</v>
      </c>
      <c r="AZ8" s="276">
        <f t="shared" si="22"/>
        <v>0</v>
      </c>
      <c r="BA8" s="273">
        <f t="shared" si="47"/>
        <v>-36012</v>
      </c>
      <c r="BB8" s="277">
        <f t="shared" si="23"/>
        <v>-225075</v>
      </c>
      <c r="BC8" s="276">
        <f t="shared" si="24"/>
        <v>0</v>
      </c>
      <c r="BD8" s="273">
        <f t="shared" si="48"/>
        <v>-856335</v>
      </c>
      <c r="BE8" s="277">
        <f t="shared" si="25"/>
        <v>-5352093.75</v>
      </c>
      <c r="BF8" s="280">
        <f t="shared" si="26"/>
        <v>0</v>
      </c>
      <c r="BG8" s="273">
        <f t="shared" si="49"/>
        <v>-10919</v>
      </c>
      <c r="BH8" s="277">
        <f t="shared" si="27"/>
        <v>-68243.75</v>
      </c>
      <c r="BI8" s="276">
        <f t="shared" si="28"/>
        <v>0</v>
      </c>
      <c r="BJ8" s="273">
        <f t="shared" si="50"/>
        <v>-6668</v>
      </c>
      <c r="BK8" s="277">
        <f t="shared" si="29"/>
        <v>-41675</v>
      </c>
      <c r="BL8" s="276">
        <f t="shared" si="30"/>
        <v>0</v>
      </c>
      <c r="BM8" s="273">
        <f t="shared" si="51"/>
        <v>-2314</v>
      </c>
      <c r="BN8" s="277">
        <f t="shared" si="31"/>
        <v>-14462.5</v>
      </c>
      <c r="BO8" s="280">
        <f t="shared" si="32"/>
        <v>0</v>
      </c>
      <c r="BP8" s="273">
        <f t="shared" si="52"/>
        <v>-8134</v>
      </c>
      <c r="BQ8" s="277">
        <f t="shared" si="33"/>
        <v>-50837.5</v>
      </c>
      <c r="BR8" s="276">
        <f t="shared" si="34"/>
        <v>0</v>
      </c>
      <c r="BS8" s="273">
        <f t="shared" si="53"/>
        <v>-7516</v>
      </c>
      <c r="BT8" s="277">
        <f t="shared" si="35"/>
        <v>-46975</v>
      </c>
      <c r="BU8" s="276">
        <f t="shared" si="36"/>
        <v>0</v>
      </c>
      <c r="BV8" s="273">
        <f t="shared" si="54"/>
        <v>-8105</v>
      </c>
      <c r="BW8" s="277">
        <f t="shared" si="37"/>
        <v>-50656.25</v>
      </c>
      <c r="BX8" s="280">
        <f t="shared" si="38"/>
        <v>0</v>
      </c>
      <c r="BY8" s="273">
        <f t="shared" si="55"/>
        <v>-8036</v>
      </c>
      <c r="BZ8" s="277">
        <f t="shared" si="39"/>
        <v>-50225</v>
      </c>
      <c r="CA8" s="276">
        <f t="shared" si="40"/>
        <v>0</v>
      </c>
      <c r="CB8" s="273">
        <f t="shared" si="56"/>
        <v>-11421</v>
      </c>
      <c r="CC8" s="277">
        <f t="shared" si="41"/>
        <v>-71381.25</v>
      </c>
    </row>
    <row r="9" spans="1:81" ht="18" customHeight="1" thickBot="1">
      <c r="A9" s="281">
        <f>'Current month'!A8</f>
        <v>44778</v>
      </c>
      <c r="B9" s="231">
        <f>'Current month'!CM8</f>
        <v>0</v>
      </c>
      <c r="C9" s="231">
        <f>'Current month'!CO8</f>
        <v>0</v>
      </c>
      <c r="D9" s="231">
        <f>'Current month'!CQ8</f>
        <v>0</v>
      </c>
      <c r="E9" s="231">
        <f>'Current month'!CJ8</f>
        <v>0</v>
      </c>
      <c r="F9" s="231">
        <f>'Current month'!CV8</f>
        <v>0</v>
      </c>
      <c r="G9" s="231">
        <f>'Current month'!DB8</f>
        <v>0</v>
      </c>
      <c r="H9" s="231">
        <f>'Current month'!CY8</f>
        <v>0</v>
      </c>
      <c r="I9" s="271"/>
      <c r="J9" s="271"/>
      <c r="K9" s="271"/>
      <c r="L9" s="271">
        <f>'Current month'!DE8</f>
        <v>0</v>
      </c>
      <c r="M9" s="231">
        <f>'Current month'!DK8</f>
        <v>0</v>
      </c>
      <c r="N9" s="231">
        <f>'Current month'!DN8</f>
        <v>0</v>
      </c>
      <c r="O9" s="231">
        <f>'Current month'!DQ8</f>
        <v>0</v>
      </c>
      <c r="P9" s="231">
        <f>'Current month'!DT8</f>
        <v>0</v>
      </c>
      <c r="Q9" s="231">
        <f>'Current month'!DW8</f>
        <v>0</v>
      </c>
      <c r="R9" s="231">
        <f>'Current month'!DZ8</f>
        <v>0</v>
      </c>
      <c r="S9" s="231">
        <f>'Current month'!EC8</f>
        <v>0</v>
      </c>
      <c r="T9" s="231">
        <f>'Current month'!DH8</f>
        <v>0</v>
      </c>
      <c r="U9" s="299"/>
      <c r="V9" s="299"/>
      <c r="W9" s="300"/>
      <c r="X9" s="272">
        <f t="shared" si="10"/>
        <v>0</v>
      </c>
      <c r="Y9" s="273">
        <f t="shared" si="0"/>
        <v>0</v>
      </c>
      <c r="Z9" s="273">
        <f t="shared" si="1"/>
        <v>0</v>
      </c>
      <c r="AA9" s="277">
        <f t="shared" si="11"/>
        <v>0</v>
      </c>
      <c r="AB9" s="273">
        <f t="shared" si="57"/>
        <v>0</v>
      </c>
      <c r="AC9" s="276">
        <f t="shared" si="2"/>
        <v>0</v>
      </c>
      <c r="AD9" s="273">
        <f t="shared" si="3"/>
        <v>0</v>
      </c>
      <c r="AE9" s="277">
        <f t="shared" si="4"/>
        <v>0</v>
      </c>
      <c r="AF9" s="277">
        <f t="shared" si="5"/>
        <v>0</v>
      </c>
      <c r="AG9" s="273">
        <f t="shared" si="42"/>
        <v>0</v>
      </c>
      <c r="AH9" s="276">
        <f t="shared" si="12"/>
        <v>0</v>
      </c>
      <c r="AI9" s="273">
        <f t="shared" si="6"/>
        <v>0</v>
      </c>
      <c r="AJ9" s="277">
        <f t="shared" si="7"/>
        <v>0</v>
      </c>
      <c r="AK9" s="277">
        <f t="shared" si="13"/>
        <v>0</v>
      </c>
      <c r="AL9" s="273">
        <f t="shared" si="14"/>
        <v>0</v>
      </c>
      <c r="AM9" s="278">
        <f t="shared" si="8"/>
        <v>0</v>
      </c>
      <c r="AN9" s="273">
        <f t="shared" si="43"/>
        <v>0</v>
      </c>
      <c r="AO9" s="279">
        <f t="shared" si="15"/>
        <v>0</v>
      </c>
      <c r="AP9" s="279">
        <f t="shared" si="16"/>
        <v>0</v>
      </c>
      <c r="AQ9" s="280">
        <f t="shared" si="17"/>
        <v>0</v>
      </c>
      <c r="AR9" s="273">
        <f t="shared" si="44"/>
        <v>0</v>
      </c>
      <c r="AS9" s="277">
        <f t="shared" si="18"/>
        <v>0</v>
      </c>
      <c r="AT9" s="276">
        <f t="shared" si="9"/>
        <v>0</v>
      </c>
      <c r="AU9" s="273">
        <f t="shared" si="45"/>
        <v>0</v>
      </c>
      <c r="AV9" s="277">
        <f t="shared" si="19"/>
        <v>0</v>
      </c>
      <c r="AW9" s="276">
        <f t="shared" si="20"/>
        <v>0</v>
      </c>
      <c r="AX9" s="273">
        <f t="shared" si="46"/>
        <v>0</v>
      </c>
      <c r="AY9" s="277">
        <f t="shared" si="21"/>
        <v>0</v>
      </c>
      <c r="AZ9" s="276">
        <f t="shared" si="22"/>
        <v>0</v>
      </c>
      <c r="BA9" s="273">
        <f t="shared" si="47"/>
        <v>0</v>
      </c>
      <c r="BB9" s="277">
        <f t="shared" si="23"/>
        <v>0</v>
      </c>
      <c r="BC9" s="276">
        <f t="shared" si="24"/>
        <v>0</v>
      </c>
      <c r="BD9" s="273">
        <f t="shared" si="48"/>
        <v>0</v>
      </c>
      <c r="BE9" s="277">
        <f t="shared" si="25"/>
        <v>0</v>
      </c>
      <c r="BF9" s="280">
        <f t="shared" si="26"/>
        <v>0</v>
      </c>
      <c r="BG9" s="273">
        <f t="shared" si="49"/>
        <v>0</v>
      </c>
      <c r="BH9" s="277">
        <f t="shared" si="27"/>
        <v>0</v>
      </c>
      <c r="BI9" s="276">
        <f t="shared" si="28"/>
        <v>0</v>
      </c>
      <c r="BJ9" s="273">
        <f t="shared" si="50"/>
        <v>0</v>
      </c>
      <c r="BK9" s="277">
        <f t="shared" si="29"/>
        <v>0</v>
      </c>
      <c r="BL9" s="276">
        <f t="shared" si="30"/>
        <v>0</v>
      </c>
      <c r="BM9" s="273">
        <f t="shared" si="51"/>
        <v>0</v>
      </c>
      <c r="BN9" s="277">
        <f t="shared" si="31"/>
        <v>0</v>
      </c>
      <c r="BO9" s="280">
        <f t="shared" si="32"/>
        <v>0</v>
      </c>
      <c r="BP9" s="273">
        <f t="shared" si="52"/>
        <v>0</v>
      </c>
      <c r="BQ9" s="277">
        <f t="shared" si="33"/>
        <v>0</v>
      </c>
      <c r="BR9" s="276">
        <f t="shared" si="34"/>
        <v>0</v>
      </c>
      <c r="BS9" s="273">
        <f t="shared" si="53"/>
        <v>0</v>
      </c>
      <c r="BT9" s="277">
        <f t="shared" si="35"/>
        <v>0</v>
      </c>
      <c r="BU9" s="276">
        <f t="shared" si="36"/>
        <v>0</v>
      </c>
      <c r="BV9" s="273">
        <f t="shared" si="54"/>
        <v>0</v>
      </c>
      <c r="BW9" s="277">
        <f t="shared" si="37"/>
        <v>0</v>
      </c>
      <c r="BX9" s="280">
        <f t="shared" si="38"/>
        <v>0</v>
      </c>
      <c r="BY9" s="273">
        <f t="shared" si="55"/>
        <v>0</v>
      </c>
      <c r="BZ9" s="277">
        <f t="shared" si="39"/>
        <v>0</v>
      </c>
      <c r="CA9" s="276">
        <f t="shared" si="40"/>
        <v>0</v>
      </c>
      <c r="CB9" s="273">
        <f t="shared" si="56"/>
        <v>0</v>
      </c>
      <c r="CC9" s="277">
        <f t="shared" si="41"/>
        <v>0</v>
      </c>
    </row>
    <row r="10" spans="1:81" ht="18" customHeight="1" thickBot="1">
      <c r="A10" s="281">
        <f>'Current month'!A9</f>
        <v>44779</v>
      </c>
      <c r="B10" s="231">
        <f>'Current month'!CM9</f>
        <v>0</v>
      </c>
      <c r="C10" s="231">
        <f>'Current month'!CO9</f>
        <v>0</v>
      </c>
      <c r="D10" s="231">
        <f>'Current month'!CQ9</f>
        <v>0</v>
      </c>
      <c r="E10" s="231">
        <f>'Current month'!CJ9</f>
        <v>0</v>
      </c>
      <c r="F10" s="231">
        <f>'Current month'!CV9</f>
        <v>0</v>
      </c>
      <c r="G10" s="231">
        <f>'Current month'!DB9</f>
        <v>0</v>
      </c>
      <c r="H10" s="231">
        <f>'Current month'!CY9</f>
        <v>0</v>
      </c>
      <c r="I10" s="271"/>
      <c r="J10" s="271"/>
      <c r="K10" s="271"/>
      <c r="L10" s="271">
        <f>'Current month'!DE9</f>
        <v>0</v>
      </c>
      <c r="M10" s="231">
        <f>'Current month'!DK9</f>
        <v>0</v>
      </c>
      <c r="N10" s="231">
        <f>'Current month'!DN9</f>
        <v>0</v>
      </c>
      <c r="O10" s="231">
        <f>'Current month'!DQ9</f>
        <v>0</v>
      </c>
      <c r="P10" s="231">
        <f>'Current month'!DT9</f>
        <v>0</v>
      </c>
      <c r="Q10" s="231">
        <f>'Current month'!DW9</f>
        <v>0</v>
      </c>
      <c r="R10" s="231">
        <f>'Current month'!DZ9</f>
        <v>0</v>
      </c>
      <c r="S10" s="231">
        <f>'Current month'!EC9</f>
        <v>0</v>
      </c>
      <c r="T10" s="231">
        <f>'Current month'!DH9</f>
        <v>0</v>
      </c>
      <c r="U10" s="299"/>
      <c r="V10" s="299"/>
      <c r="W10" s="300"/>
      <c r="X10" s="272">
        <f t="shared" si="10"/>
        <v>0</v>
      </c>
      <c r="Y10" s="273">
        <f t="shared" si="0"/>
        <v>0</v>
      </c>
      <c r="Z10" s="273">
        <f t="shared" si="1"/>
        <v>0</v>
      </c>
      <c r="AA10" s="277">
        <f t="shared" si="11"/>
        <v>0</v>
      </c>
      <c r="AB10" s="273">
        <f t="shared" si="57"/>
        <v>0</v>
      </c>
      <c r="AC10" s="276">
        <f t="shared" si="2"/>
        <v>0</v>
      </c>
      <c r="AD10" s="273">
        <f t="shared" si="3"/>
        <v>0</v>
      </c>
      <c r="AE10" s="277">
        <f t="shared" si="4"/>
        <v>0</v>
      </c>
      <c r="AF10" s="277">
        <f t="shared" si="5"/>
        <v>0</v>
      </c>
      <c r="AG10" s="273">
        <f>AE9-AE10+AF9</f>
        <v>0</v>
      </c>
      <c r="AH10" s="276">
        <f t="shared" si="12"/>
        <v>0</v>
      </c>
      <c r="AI10" s="273">
        <f t="shared" si="6"/>
        <v>0</v>
      </c>
      <c r="AJ10" s="277">
        <f t="shared" si="7"/>
        <v>0</v>
      </c>
      <c r="AK10" s="277">
        <f t="shared" si="13"/>
        <v>0</v>
      </c>
      <c r="AL10" s="273">
        <f t="shared" si="14"/>
        <v>0</v>
      </c>
      <c r="AM10" s="278">
        <f t="shared" si="8"/>
        <v>0</v>
      </c>
      <c r="AN10" s="273">
        <f t="shared" si="43"/>
        <v>0</v>
      </c>
      <c r="AO10" s="279">
        <f t="shared" si="15"/>
        <v>0</v>
      </c>
      <c r="AP10" s="279">
        <f t="shared" si="16"/>
        <v>0</v>
      </c>
      <c r="AQ10" s="280">
        <f t="shared" si="17"/>
        <v>0</v>
      </c>
      <c r="AR10" s="273">
        <f t="shared" si="44"/>
        <v>0</v>
      </c>
      <c r="AS10" s="277">
        <f t="shared" si="18"/>
        <v>0</v>
      </c>
      <c r="AT10" s="276">
        <f t="shared" si="9"/>
        <v>0</v>
      </c>
      <c r="AU10" s="273">
        <f t="shared" si="45"/>
        <v>0</v>
      </c>
      <c r="AV10" s="277">
        <f t="shared" si="19"/>
        <v>0</v>
      </c>
      <c r="AW10" s="276">
        <f t="shared" si="20"/>
        <v>0</v>
      </c>
      <c r="AX10" s="273">
        <f t="shared" si="46"/>
        <v>0</v>
      </c>
      <c r="AY10" s="277">
        <f t="shared" si="21"/>
        <v>0</v>
      </c>
      <c r="AZ10" s="276">
        <f t="shared" si="22"/>
        <v>0</v>
      </c>
      <c r="BA10" s="273">
        <f t="shared" si="47"/>
        <v>0</v>
      </c>
      <c r="BB10" s="277">
        <f t="shared" si="23"/>
        <v>0</v>
      </c>
      <c r="BC10" s="276">
        <f t="shared" si="24"/>
        <v>0</v>
      </c>
      <c r="BD10" s="273">
        <f t="shared" si="48"/>
        <v>0</v>
      </c>
      <c r="BE10" s="277">
        <f t="shared" si="25"/>
        <v>0</v>
      </c>
      <c r="BF10" s="280">
        <f t="shared" si="26"/>
        <v>0</v>
      </c>
      <c r="BG10" s="273">
        <f t="shared" si="49"/>
        <v>0</v>
      </c>
      <c r="BH10" s="277">
        <f t="shared" si="27"/>
        <v>0</v>
      </c>
      <c r="BI10" s="276">
        <f t="shared" si="28"/>
        <v>0</v>
      </c>
      <c r="BJ10" s="273">
        <f t="shared" si="50"/>
        <v>0</v>
      </c>
      <c r="BK10" s="277">
        <f t="shared" si="29"/>
        <v>0</v>
      </c>
      <c r="BL10" s="276">
        <f t="shared" si="30"/>
        <v>0</v>
      </c>
      <c r="BM10" s="273">
        <f t="shared" si="51"/>
        <v>0</v>
      </c>
      <c r="BN10" s="277">
        <f t="shared" si="31"/>
        <v>0</v>
      </c>
      <c r="BO10" s="280">
        <f t="shared" si="32"/>
        <v>0</v>
      </c>
      <c r="BP10" s="273">
        <f t="shared" si="52"/>
        <v>0</v>
      </c>
      <c r="BQ10" s="277">
        <f t="shared" si="33"/>
        <v>0</v>
      </c>
      <c r="BR10" s="276">
        <f t="shared" si="34"/>
        <v>0</v>
      </c>
      <c r="BS10" s="273">
        <f t="shared" si="53"/>
        <v>0</v>
      </c>
      <c r="BT10" s="277">
        <f t="shared" si="35"/>
        <v>0</v>
      </c>
      <c r="BU10" s="276">
        <f t="shared" si="36"/>
        <v>0</v>
      </c>
      <c r="BV10" s="273">
        <f t="shared" si="54"/>
        <v>0</v>
      </c>
      <c r="BW10" s="277">
        <f t="shared" si="37"/>
        <v>0</v>
      </c>
      <c r="BX10" s="280">
        <f t="shared" si="38"/>
        <v>0</v>
      </c>
      <c r="BY10" s="273">
        <f t="shared" si="55"/>
        <v>0</v>
      </c>
      <c r="BZ10" s="277">
        <f t="shared" si="39"/>
        <v>0</v>
      </c>
      <c r="CA10" s="276">
        <f t="shared" si="40"/>
        <v>0</v>
      </c>
      <c r="CB10" s="273">
        <f t="shared" si="56"/>
        <v>0</v>
      </c>
      <c r="CC10" s="277">
        <f t="shared" si="41"/>
        <v>0</v>
      </c>
    </row>
    <row r="11" spans="1:81" ht="18" customHeight="1" thickBot="1">
      <c r="A11" s="281">
        <f>'Current month'!A10</f>
        <v>44780</v>
      </c>
      <c r="B11" s="231">
        <f>'Current month'!CM10</f>
        <v>0</v>
      </c>
      <c r="C11" s="231">
        <f>'Current month'!CO10</f>
        <v>0</v>
      </c>
      <c r="D11" s="231">
        <f>'Current month'!CQ10</f>
        <v>0</v>
      </c>
      <c r="E11" s="231">
        <f>'Current month'!CJ10</f>
        <v>0</v>
      </c>
      <c r="F11" s="231">
        <f>'Current month'!CV10</f>
        <v>0</v>
      </c>
      <c r="G11" s="231">
        <f>'Current month'!DB10</f>
        <v>0</v>
      </c>
      <c r="H11" s="231">
        <f>'Current month'!CY10</f>
        <v>0</v>
      </c>
      <c r="I11" s="271"/>
      <c r="J11" s="271"/>
      <c r="K11" s="271"/>
      <c r="L11" s="271">
        <f>'Current month'!DE10</f>
        <v>0</v>
      </c>
      <c r="M11" s="231">
        <f>'Current month'!DK10</f>
        <v>0</v>
      </c>
      <c r="N11" s="231">
        <f>'Current month'!DN10</f>
        <v>0</v>
      </c>
      <c r="O11" s="231">
        <f>'Current month'!DQ10</f>
        <v>0</v>
      </c>
      <c r="P11" s="231">
        <f>'Current month'!DT10</f>
        <v>0</v>
      </c>
      <c r="Q11" s="231">
        <f>'Current month'!DW10</f>
        <v>0</v>
      </c>
      <c r="R11" s="231">
        <f>'Current month'!DZ10</f>
        <v>0</v>
      </c>
      <c r="S11" s="231">
        <f>'Current month'!EC10</f>
        <v>0</v>
      </c>
      <c r="T11" s="231">
        <f>'Current month'!DH10</f>
        <v>0</v>
      </c>
      <c r="U11" s="299"/>
      <c r="V11" s="299"/>
      <c r="W11" s="300"/>
      <c r="X11" s="272">
        <f t="shared" si="10"/>
        <v>0</v>
      </c>
      <c r="Y11" s="273">
        <f t="shared" si="0"/>
        <v>0</v>
      </c>
      <c r="Z11" s="273">
        <f t="shared" si="1"/>
        <v>0</v>
      </c>
      <c r="AA11" s="277">
        <f t="shared" si="11"/>
        <v>0</v>
      </c>
      <c r="AB11" s="273">
        <f t="shared" si="57"/>
        <v>0</v>
      </c>
      <c r="AC11" s="276">
        <f t="shared" si="2"/>
        <v>0</v>
      </c>
      <c r="AD11" s="273">
        <f t="shared" si="3"/>
        <v>0</v>
      </c>
      <c r="AE11" s="277">
        <f t="shared" si="4"/>
        <v>0</v>
      </c>
      <c r="AF11" s="277">
        <f t="shared" si="5"/>
        <v>0</v>
      </c>
      <c r="AG11" s="273">
        <f t="shared" si="42"/>
        <v>0</v>
      </c>
      <c r="AH11" s="276">
        <f t="shared" si="12"/>
        <v>0</v>
      </c>
      <c r="AI11" s="273">
        <f t="shared" si="6"/>
        <v>0</v>
      </c>
      <c r="AJ11" s="277">
        <f t="shared" si="7"/>
        <v>0</v>
      </c>
      <c r="AK11" s="277">
        <f t="shared" si="13"/>
        <v>0</v>
      </c>
      <c r="AL11" s="273">
        <f t="shared" si="14"/>
        <v>0</v>
      </c>
      <c r="AM11" s="278">
        <f t="shared" si="8"/>
        <v>0</v>
      </c>
      <c r="AN11" s="273">
        <f t="shared" si="43"/>
        <v>0</v>
      </c>
      <c r="AO11" s="279">
        <f t="shared" si="15"/>
        <v>0</v>
      </c>
      <c r="AP11" s="279">
        <f t="shared" si="16"/>
        <v>0</v>
      </c>
      <c r="AQ11" s="280">
        <f t="shared" si="17"/>
        <v>0</v>
      </c>
      <c r="AR11" s="273">
        <f t="shared" si="44"/>
        <v>0</v>
      </c>
      <c r="AS11" s="277">
        <f t="shared" si="18"/>
        <v>0</v>
      </c>
      <c r="AT11" s="276">
        <f t="shared" si="9"/>
        <v>0</v>
      </c>
      <c r="AU11" s="273">
        <f t="shared" si="45"/>
        <v>0</v>
      </c>
      <c r="AV11" s="277">
        <f t="shared" si="19"/>
        <v>0</v>
      </c>
      <c r="AW11" s="276">
        <f t="shared" si="20"/>
        <v>0</v>
      </c>
      <c r="AX11" s="273">
        <f t="shared" si="46"/>
        <v>0</v>
      </c>
      <c r="AY11" s="277">
        <f t="shared" si="21"/>
        <v>0</v>
      </c>
      <c r="AZ11" s="276">
        <f t="shared" si="22"/>
        <v>0</v>
      </c>
      <c r="BA11" s="273">
        <f t="shared" si="47"/>
        <v>0</v>
      </c>
      <c r="BB11" s="277">
        <f t="shared" si="23"/>
        <v>0</v>
      </c>
      <c r="BC11" s="276">
        <f t="shared" si="24"/>
        <v>0</v>
      </c>
      <c r="BD11" s="273">
        <f t="shared" si="48"/>
        <v>0</v>
      </c>
      <c r="BE11" s="277">
        <f t="shared" si="25"/>
        <v>0</v>
      </c>
      <c r="BF11" s="280">
        <f t="shared" si="26"/>
        <v>0</v>
      </c>
      <c r="BG11" s="273">
        <f t="shared" si="49"/>
        <v>0</v>
      </c>
      <c r="BH11" s="277">
        <f t="shared" si="27"/>
        <v>0</v>
      </c>
      <c r="BI11" s="276">
        <f t="shared" si="28"/>
        <v>0</v>
      </c>
      <c r="BJ11" s="273">
        <f t="shared" si="50"/>
        <v>0</v>
      </c>
      <c r="BK11" s="277">
        <f t="shared" si="29"/>
        <v>0</v>
      </c>
      <c r="BL11" s="276">
        <f t="shared" si="30"/>
        <v>0</v>
      </c>
      <c r="BM11" s="273">
        <f t="shared" si="51"/>
        <v>0</v>
      </c>
      <c r="BN11" s="277">
        <f t="shared" si="31"/>
        <v>0</v>
      </c>
      <c r="BO11" s="280">
        <f t="shared" si="32"/>
        <v>0</v>
      </c>
      <c r="BP11" s="273">
        <f t="shared" si="52"/>
        <v>0</v>
      </c>
      <c r="BQ11" s="277">
        <f t="shared" si="33"/>
        <v>0</v>
      </c>
      <c r="BR11" s="276">
        <f t="shared" si="34"/>
        <v>0</v>
      </c>
      <c r="BS11" s="273">
        <f t="shared" si="53"/>
        <v>0</v>
      </c>
      <c r="BT11" s="277">
        <f t="shared" si="35"/>
        <v>0</v>
      </c>
      <c r="BU11" s="276">
        <f t="shared" si="36"/>
        <v>0</v>
      </c>
      <c r="BV11" s="273">
        <f t="shared" si="54"/>
        <v>0</v>
      </c>
      <c r="BW11" s="277">
        <f t="shared" si="37"/>
        <v>0</v>
      </c>
      <c r="BX11" s="280">
        <f t="shared" si="38"/>
        <v>0</v>
      </c>
      <c r="BY11" s="273">
        <f t="shared" si="55"/>
        <v>0</v>
      </c>
      <c r="BZ11" s="277">
        <f t="shared" si="39"/>
        <v>0</v>
      </c>
      <c r="CA11" s="276">
        <f t="shared" si="40"/>
        <v>0</v>
      </c>
      <c r="CB11" s="273">
        <f t="shared" si="56"/>
        <v>0</v>
      </c>
      <c r="CC11" s="277">
        <f t="shared" si="41"/>
        <v>0</v>
      </c>
    </row>
    <row r="12" spans="1:81" ht="18" customHeight="1" thickBot="1">
      <c r="A12" s="281">
        <f>'Current month'!A11</f>
        <v>44781</v>
      </c>
      <c r="B12" s="231">
        <f>'Current month'!CM11</f>
        <v>0</v>
      </c>
      <c r="C12" s="231">
        <f>'Current month'!CO11</f>
        <v>0</v>
      </c>
      <c r="D12" s="231">
        <f>'Current month'!CQ11</f>
        <v>0</v>
      </c>
      <c r="E12" s="231">
        <f>'Current month'!CJ11</f>
        <v>0</v>
      </c>
      <c r="F12" s="231">
        <f>'Current month'!CV11</f>
        <v>0</v>
      </c>
      <c r="G12" s="231">
        <f>'Current month'!DB11</f>
        <v>0</v>
      </c>
      <c r="H12" s="231">
        <f>'Current month'!CY11</f>
        <v>0</v>
      </c>
      <c r="I12" s="271"/>
      <c r="J12" s="271"/>
      <c r="K12" s="271"/>
      <c r="L12" s="271">
        <f>'Current month'!DE11</f>
        <v>0</v>
      </c>
      <c r="M12" s="231">
        <f>'Current month'!DK11</f>
        <v>0</v>
      </c>
      <c r="N12" s="231">
        <f>'Current month'!DN11</f>
        <v>0</v>
      </c>
      <c r="O12" s="231">
        <f>'Current month'!DQ11</f>
        <v>0</v>
      </c>
      <c r="P12" s="231">
        <f>'Current month'!DT11</f>
        <v>0</v>
      </c>
      <c r="Q12" s="231">
        <f>'Current month'!DW11</f>
        <v>0</v>
      </c>
      <c r="R12" s="231">
        <f>'Current month'!DZ11</f>
        <v>0</v>
      </c>
      <c r="S12" s="231">
        <f>'Current month'!EC11</f>
        <v>0</v>
      </c>
      <c r="T12" s="231">
        <f>'Current month'!DH11</f>
        <v>0</v>
      </c>
      <c r="U12" s="299"/>
      <c r="V12" s="299"/>
      <c r="W12" s="300"/>
      <c r="X12" s="272">
        <f t="shared" si="10"/>
        <v>0</v>
      </c>
      <c r="Y12" s="273">
        <f t="shared" si="0"/>
        <v>0</v>
      </c>
      <c r="Z12" s="273">
        <f t="shared" si="1"/>
        <v>0</v>
      </c>
      <c r="AA12" s="277">
        <f t="shared" si="11"/>
        <v>0</v>
      </c>
      <c r="AB12" s="273">
        <f t="shared" si="57"/>
        <v>0</v>
      </c>
      <c r="AC12" s="276">
        <f t="shared" si="2"/>
        <v>0</v>
      </c>
      <c r="AD12" s="273">
        <f t="shared" si="3"/>
        <v>0</v>
      </c>
      <c r="AE12" s="277">
        <f t="shared" si="4"/>
        <v>0</v>
      </c>
      <c r="AF12" s="277">
        <f t="shared" si="5"/>
        <v>0</v>
      </c>
      <c r="AG12" s="273">
        <f t="shared" si="42"/>
        <v>0</v>
      </c>
      <c r="AH12" s="276">
        <f t="shared" si="12"/>
        <v>0</v>
      </c>
      <c r="AI12" s="273">
        <f t="shared" si="6"/>
        <v>0</v>
      </c>
      <c r="AJ12" s="277">
        <f t="shared" si="7"/>
        <v>0</v>
      </c>
      <c r="AK12" s="277">
        <f t="shared" si="13"/>
        <v>0</v>
      </c>
      <c r="AL12" s="273">
        <f t="shared" si="14"/>
        <v>0</v>
      </c>
      <c r="AM12" s="278">
        <f t="shared" si="8"/>
        <v>0</v>
      </c>
      <c r="AN12" s="273">
        <f t="shared" si="43"/>
        <v>0</v>
      </c>
      <c r="AO12" s="279">
        <f t="shared" si="15"/>
        <v>0</v>
      </c>
      <c r="AP12" s="279">
        <f t="shared" si="16"/>
        <v>0</v>
      </c>
      <c r="AQ12" s="280">
        <f t="shared" si="17"/>
        <v>0</v>
      </c>
      <c r="AR12" s="273">
        <f t="shared" si="44"/>
        <v>0</v>
      </c>
      <c r="AS12" s="277">
        <f t="shared" si="18"/>
        <v>0</v>
      </c>
      <c r="AT12" s="276">
        <f t="shared" si="9"/>
        <v>0</v>
      </c>
      <c r="AU12" s="273">
        <f t="shared" si="45"/>
        <v>0</v>
      </c>
      <c r="AV12" s="277">
        <f t="shared" si="19"/>
        <v>0</v>
      </c>
      <c r="AW12" s="276">
        <f t="shared" si="20"/>
        <v>0</v>
      </c>
      <c r="AX12" s="273">
        <f t="shared" si="46"/>
        <v>0</v>
      </c>
      <c r="AY12" s="277">
        <f t="shared" si="21"/>
        <v>0</v>
      </c>
      <c r="AZ12" s="276">
        <f t="shared" si="22"/>
        <v>0</v>
      </c>
      <c r="BA12" s="273">
        <f t="shared" si="47"/>
        <v>0</v>
      </c>
      <c r="BB12" s="277">
        <f t="shared" si="23"/>
        <v>0</v>
      </c>
      <c r="BC12" s="276">
        <f t="shared" si="24"/>
        <v>0</v>
      </c>
      <c r="BD12" s="273">
        <f t="shared" si="48"/>
        <v>0</v>
      </c>
      <c r="BE12" s="277">
        <f t="shared" si="25"/>
        <v>0</v>
      </c>
      <c r="BF12" s="280">
        <f t="shared" si="26"/>
        <v>0</v>
      </c>
      <c r="BG12" s="273">
        <f t="shared" si="49"/>
        <v>0</v>
      </c>
      <c r="BH12" s="277">
        <f t="shared" si="27"/>
        <v>0</v>
      </c>
      <c r="BI12" s="276">
        <f t="shared" si="28"/>
        <v>0</v>
      </c>
      <c r="BJ12" s="273">
        <f t="shared" si="50"/>
        <v>0</v>
      </c>
      <c r="BK12" s="277">
        <f t="shared" si="29"/>
        <v>0</v>
      </c>
      <c r="BL12" s="276">
        <f t="shared" si="30"/>
        <v>0</v>
      </c>
      <c r="BM12" s="273">
        <f t="shared" si="51"/>
        <v>0</v>
      </c>
      <c r="BN12" s="277">
        <f t="shared" si="31"/>
        <v>0</v>
      </c>
      <c r="BO12" s="280">
        <f t="shared" si="32"/>
        <v>0</v>
      </c>
      <c r="BP12" s="273">
        <f t="shared" si="52"/>
        <v>0</v>
      </c>
      <c r="BQ12" s="277">
        <f t="shared" si="33"/>
        <v>0</v>
      </c>
      <c r="BR12" s="276">
        <f t="shared" si="34"/>
        <v>0</v>
      </c>
      <c r="BS12" s="273">
        <f t="shared" si="53"/>
        <v>0</v>
      </c>
      <c r="BT12" s="277">
        <f t="shared" si="35"/>
        <v>0</v>
      </c>
      <c r="BU12" s="276">
        <f t="shared" si="36"/>
        <v>0</v>
      </c>
      <c r="BV12" s="273">
        <f t="shared" si="54"/>
        <v>0</v>
      </c>
      <c r="BW12" s="277">
        <f t="shared" si="37"/>
        <v>0</v>
      </c>
      <c r="BX12" s="280">
        <f t="shared" si="38"/>
        <v>0</v>
      </c>
      <c r="BY12" s="273">
        <f t="shared" si="55"/>
        <v>0</v>
      </c>
      <c r="BZ12" s="277">
        <f t="shared" si="39"/>
        <v>0</v>
      </c>
      <c r="CA12" s="276">
        <f t="shared" si="40"/>
        <v>0</v>
      </c>
      <c r="CB12" s="273">
        <f t="shared" si="56"/>
        <v>0</v>
      </c>
      <c r="CC12" s="277">
        <f t="shared" si="41"/>
        <v>0</v>
      </c>
    </row>
    <row r="13" spans="1:81" ht="18" customHeight="1" thickBot="1">
      <c r="A13" s="281">
        <f>'Current month'!A12</f>
        <v>44782</v>
      </c>
      <c r="B13" s="231">
        <f>'Current month'!CM12</f>
        <v>0</v>
      </c>
      <c r="C13" s="231">
        <f>'Current month'!CO12</f>
        <v>0</v>
      </c>
      <c r="D13" s="231">
        <f>'Current month'!CQ12</f>
        <v>0</v>
      </c>
      <c r="E13" s="231">
        <f>'Current month'!CJ12</f>
        <v>0</v>
      </c>
      <c r="F13" s="231">
        <f>'Current month'!CV12</f>
        <v>0</v>
      </c>
      <c r="G13" s="231">
        <f>'Current month'!DB12</f>
        <v>0</v>
      </c>
      <c r="H13" s="231">
        <f>'Current month'!CY12</f>
        <v>0</v>
      </c>
      <c r="I13" s="271"/>
      <c r="J13" s="271"/>
      <c r="K13" s="271"/>
      <c r="L13" s="271">
        <f>'Current month'!DE12</f>
        <v>0</v>
      </c>
      <c r="M13" s="231">
        <f>'Current month'!DK12</f>
        <v>0</v>
      </c>
      <c r="N13" s="231">
        <f>'Current month'!DN12</f>
        <v>0</v>
      </c>
      <c r="O13" s="231">
        <f>'Current month'!DQ12</f>
        <v>0</v>
      </c>
      <c r="P13" s="231">
        <f>'Current month'!DT12</f>
        <v>0</v>
      </c>
      <c r="Q13" s="231">
        <f>'Current month'!DW12</f>
        <v>0</v>
      </c>
      <c r="R13" s="231">
        <f>'Current month'!DZ12</f>
        <v>0</v>
      </c>
      <c r="S13" s="231">
        <f>'Current month'!EC12</f>
        <v>0</v>
      </c>
      <c r="T13" s="231">
        <f>'Current month'!DH12</f>
        <v>0</v>
      </c>
      <c r="U13" s="299"/>
      <c r="V13" s="299"/>
      <c r="W13" s="300"/>
      <c r="X13" s="272">
        <f t="shared" si="10"/>
        <v>0</v>
      </c>
      <c r="Y13" s="273">
        <f t="shared" si="0"/>
        <v>0</v>
      </c>
      <c r="Z13" s="273">
        <f t="shared" si="1"/>
        <v>0</v>
      </c>
      <c r="AA13" s="277">
        <f t="shared" si="11"/>
        <v>0</v>
      </c>
      <c r="AB13" s="273">
        <f t="shared" si="57"/>
        <v>0</v>
      </c>
      <c r="AC13" s="276">
        <f t="shared" si="2"/>
        <v>0</v>
      </c>
      <c r="AD13" s="273">
        <f t="shared" si="3"/>
        <v>0</v>
      </c>
      <c r="AE13" s="277">
        <f t="shared" si="4"/>
        <v>0</v>
      </c>
      <c r="AF13" s="277">
        <f t="shared" si="5"/>
        <v>0</v>
      </c>
      <c r="AG13" s="273">
        <f t="shared" si="42"/>
        <v>0</v>
      </c>
      <c r="AH13" s="276">
        <f t="shared" si="12"/>
        <v>0</v>
      </c>
      <c r="AI13" s="273">
        <f t="shared" si="6"/>
        <v>0</v>
      </c>
      <c r="AJ13" s="277">
        <f t="shared" si="7"/>
        <v>0</v>
      </c>
      <c r="AK13" s="277">
        <f t="shared" si="13"/>
        <v>0</v>
      </c>
      <c r="AL13" s="273">
        <f t="shared" si="14"/>
        <v>0</v>
      </c>
      <c r="AM13" s="278">
        <f t="shared" si="8"/>
        <v>0</v>
      </c>
      <c r="AN13" s="273">
        <f t="shared" si="43"/>
        <v>0</v>
      </c>
      <c r="AO13" s="279">
        <f t="shared" si="15"/>
        <v>0</v>
      </c>
      <c r="AP13" s="279">
        <f t="shared" si="16"/>
        <v>0</v>
      </c>
      <c r="AQ13" s="280">
        <f t="shared" si="17"/>
        <v>0</v>
      </c>
      <c r="AR13" s="273">
        <f t="shared" si="44"/>
        <v>0</v>
      </c>
      <c r="AS13" s="277">
        <f t="shared" si="18"/>
        <v>0</v>
      </c>
      <c r="AT13" s="276">
        <f t="shared" si="9"/>
        <v>0</v>
      </c>
      <c r="AU13" s="273">
        <f t="shared" si="45"/>
        <v>0</v>
      </c>
      <c r="AV13" s="277">
        <f t="shared" si="19"/>
        <v>0</v>
      </c>
      <c r="AW13" s="276">
        <f t="shared" si="20"/>
        <v>0</v>
      </c>
      <c r="AX13" s="273">
        <f t="shared" si="46"/>
        <v>0</v>
      </c>
      <c r="AY13" s="277">
        <f t="shared" si="21"/>
        <v>0</v>
      </c>
      <c r="AZ13" s="276">
        <f t="shared" si="22"/>
        <v>0</v>
      </c>
      <c r="BA13" s="273">
        <f t="shared" si="47"/>
        <v>0</v>
      </c>
      <c r="BB13" s="277">
        <f t="shared" si="23"/>
        <v>0</v>
      </c>
      <c r="BC13" s="276">
        <f t="shared" si="24"/>
        <v>0</v>
      </c>
      <c r="BD13" s="273">
        <f t="shared" si="48"/>
        <v>0</v>
      </c>
      <c r="BE13" s="277">
        <f t="shared" si="25"/>
        <v>0</v>
      </c>
      <c r="BF13" s="280">
        <f t="shared" si="26"/>
        <v>0</v>
      </c>
      <c r="BG13" s="273">
        <f t="shared" si="49"/>
        <v>0</v>
      </c>
      <c r="BH13" s="277">
        <f t="shared" si="27"/>
        <v>0</v>
      </c>
      <c r="BI13" s="276">
        <f t="shared" si="28"/>
        <v>0</v>
      </c>
      <c r="BJ13" s="273">
        <f t="shared" si="50"/>
        <v>0</v>
      </c>
      <c r="BK13" s="277">
        <f t="shared" si="29"/>
        <v>0</v>
      </c>
      <c r="BL13" s="276">
        <f t="shared" si="30"/>
        <v>0</v>
      </c>
      <c r="BM13" s="273">
        <f t="shared" si="51"/>
        <v>0</v>
      </c>
      <c r="BN13" s="277">
        <f t="shared" si="31"/>
        <v>0</v>
      </c>
      <c r="BO13" s="280">
        <f t="shared" si="32"/>
        <v>0</v>
      </c>
      <c r="BP13" s="273">
        <f t="shared" si="52"/>
        <v>0</v>
      </c>
      <c r="BQ13" s="277">
        <f t="shared" si="33"/>
        <v>0</v>
      </c>
      <c r="BR13" s="276">
        <f t="shared" si="34"/>
        <v>0</v>
      </c>
      <c r="BS13" s="273">
        <f t="shared" si="53"/>
        <v>0</v>
      </c>
      <c r="BT13" s="277">
        <f t="shared" si="35"/>
        <v>0</v>
      </c>
      <c r="BU13" s="276">
        <f t="shared" si="36"/>
        <v>0</v>
      </c>
      <c r="BV13" s="273">
        <f t="shared" si="54"/>
        <v>0</v>
      </c>
      <c r="BW13" s="277">
        <f t="shared" si="37"/>
        <v>0</v>
      </c>
      <c r="BX13" s="280">
        <f t="shared" si="38"/>
        <v>0</v>
      </c>
      <c r="BY13" s="273">
        <f t="shared" si="55"/>
        <v>0</v>
      </c>
      <c r="BZ13" s="277">
        <f t="shared" si="39"/>
        <v>0</v>
      </c>
      <c r="CA13" s="276">
        <f t="shared" si="40"/>
        <v>0</v>
      </c>
      <c r="CB13" s="273">
        <f t="shared" si="56"/>
        <v>0</v>
      </c>
      <c r="CC13" s="277">
        <f t="shared" si="41"/>
        <v>0</v>
      </c>
    </row>
    <row r="14" spans="1:81" ht="18" customHeight="1" thickBot="1">
      <c r="A14" s="281">
        <f>'Current month'!A13</f>
        <v>44783</v>
      </c>
      <c r="B14" s="231">
        <f>'Current month'!CM13</f>
        <v>0</v>
      </c>
      <c r="C14" s="231">
        <f>'Current month'!CO13</f>
        <v>0</v>
      </c>
      <c r="D14" s="231">
        <f>'Current month'!CQ13</f>
        <v>0</v>
      </c>
      <c r="E14" s="231">
        <f>'Current month'!CJ13</f>
        <v>0</v>
      </c>
      <c r="F14" s="231">
        <f>'Current month'!CV13</f>
        <v>0</v>
      </c>
      <c r="G14" s="231">
        <f>'Current month'!DB13</f>
        <v>0</v>
      </c>
      <c r="H14" s="231">
        <f>'Current month'!CY13</f>
        <v>0</v>
      </c>
      <c r="I14" s="271"/>
      <c r="J14" s="271"/>
      <c r="K14" s="271"/>
      <c r="L14" s="271">
        <f>'Current month'!DE13</f>
        <v>0</v>
      </c>
      <c r="M14" s="231">
        <f>'Current month'!DK13</f>
        <v>0</v>
      </c>
      <c r="N14" s="231">
        <f>'Current month'!DN13</f>
        <v>0</v>
      </c>
      <c r="O14" s="231">
        <f>'Current month'!DQ13</f>
        <v>0</v>
      </c>
      <c r="P14" s="231">
        <f>'Current month'!DT13</f>
        <v>0</v>
      </c>
      <c r="Q14" s="231">
        <f>'Current month'!DW13</f>
        <v>0</v>
      </c>
      <c r="R14" s="231">
        <f>'Current month'!DZ13</f>
        <v>0</v>
      </c>
      <c r="S14" s="231">
        <f>'Current month'!EC13</f>
        <v>0</v>
      </c>
      <c r="T14" s="231">
        <f>'Current month'!DH13</f>
        <v>0</v>
      </c>
      <c r="U14" s="299"/>
      <c r="V14" s="299"/>
      <c r="W14" s="300"/>
      <c r="X14" s="272">
        <f t="shared" si="10"/>
        <v>0</v>
      </c>
      <c r="Y14" s="273">
        <f t="shared" si="0"/>
        <v>0</v>
      </c>
      <c r="Z14" s="273">
        <f t="shared" si="1"/>
        <v>0</v>
      </c>
      <c r="AA14" s="277">
        <f t="shared" si="11"/>
        <v>0</v>
      </c>
      <c r="AB14" s="273">
        <f t="shared" si="57"/>
        <v>0</v>
      </c>
      <c r="AC14" s="276">
        <f t="shared" si="2"/>
        <v>0</v>
      </c>
      <c r="AD14" s="273">
        <f t="shared" si="3"/>
        <v>0</v>
      </c>
      <c r="AE14" s="277">
        <f t="shared" si="4"/>
        <v>0</v>
      </c>
      <c r="AF14" s="277">
        <f t="shared" si="5"/>
        <v>0</v>
      </c>
      <c r="AG14" s="273">
        <f t="shared" si="42"/>
        <v>0</v>
      </c>
      <c r="AH14" s="276">
        <f t="shared" si="12"/>
        <v>0</v>
      </c>
      <c r="AI14" s="273">
        <f t="shared" si="6"/>
        <v>0</v>
      </c>
      <c r="AJ14" s="277">
        <f t="shared" si="7"/>
        <v>0</v>
      </c>
      <c r="AK14" s="277">
        <f t="shared" si="13"/>
        <v>0</v>
      </c>
      <c r="AL14" s="273">
        <f t="shared" si="14"/>
        <v>0</v>
      </c>
      <c r="AM14" s="278">
        <f t="shared" si="8"/>
        <v>0</v>
      </c>
      <c r="AN14" s="273">
        <f t="shared" si="43"/>
        <v>0</v>
      </c>
      <c r="AO14" s="279">
        <f t="shared" si="15"/>
        <v>0</v>
      </c>
      <c r="AP14" s="279">
        <f t="shared" si="16"/>
        <v>0</v>
      </c>
      <c r="AQ14" s="280">
        <f t="shared" si="17"/>
        <v>0</v>
      </c>
      <c r="AR14" s="273">
        <f t="shared" si="44"/>
        <v>0</v>
      </c>
      <c r="AS14" s="277">
        <f t="shared" si="18"/>
        <v>0</v>
      </c>
      <c r="AT14" s="276">
        <f t="shared" si="9"/>
        <v>0</v>
      </c>
      <c r="AU14" s="273">
        <f t="shared" si="45"/>
        <v>0</v>
      </c>
      <c r="AV14" s="277">
        <f t="shared" si="19"/>
        <v>0</v>
      </c>
      <c r="AW14" s="276">
        <f t="shared" si="20"/>
        <v>0</v>
      </c>
      <c r="AX14" s="273">
        <f t="shared" si="46"/>
        <v>0</v>
      </c>
      <c r="AY14" s="277">
        <f t="shared" si="21"/>
        <v>0</v>
      </c>
      <c r="AZ14" s="276">
        <f t="shared" si="22"/>
        <v>0</v>
      </c>
      <c r="BA14" s="273">
        <f t="shared" si="47"/>
        <v>0</v>
      </c>
      <c r="BB14" s="277">
        <f t="shared" si="23"/>
        <v>0</v>
      </c>
      <c r="BC14" s="276">
        <f t="shared" si="24"/>
        <v>0</v>
      </c>
      <c r="BD14" s="273">
        <f t="shared" si="48"/>
        <v>0</v>
      </c>
      <c r="BE14" s="277">
        <f t="shared" si="25"/>
        <v>0</v>
      </c>
      <c r="BF14" s="280">
        <f t="shared" si="26"/>
        <v>0</v>
      </c>
      <c r="BG14" s="273">
        <f t="shared" si="49"/>
        <v>0</v>
      </c>
      <c r="BH14" s="277">
        <f t="shared" si="27"/>
        <v>0</v>
      </c>
      <c r="BI14" s="276">
        <f t="shared" si="28"/>
        <v>0</v>
      </c>
      <c r="BJ14" s="273">
        <f t="shared" si="50"/>
        <v>0</v>
      </c>
      <c r="BK14" s="277">
        <f t="shared" si="29"/>
        <v>0</v>
      </c>
      <c r="BL14" s="276">
        <f t="shared" si="30"/>
        <v>0</v>
      </c>
      <c r="BM14" s="273">
        <f t="shared" si="51"/>
        <v>0</v>
      </c>
      <c r="BN14" s="277">
        <f t="shared" si="31"/>
        <v>0</v>
      </c>
      <c r="BO14" s="280">
        <f t="shared" si="32"/>
        <v>0</v>
      </c>
      <c r="BP14" s="273">
        <f t="shared" si="52"/>
        <v>0</v>
      </c>
      <c r="BQ14" s="277">
        <f t="shared" si="33"/>
        <v>0</v>
      </c>
      <c r="BR14" s="276">
        <f t="shared" si="34"/>
        <v>0</v>
      </c>
      <c r="BS14" s="273">
        <f t="shared" si="53"/>
        <v>0</v>
      </c>
      <c r="BT14" s="277">
        <f t="shared" si="35"/>
        <v>0</v>
      </c>
      <c r="BU14" s="276">
        <f t="shared" si="36"/>
        <v>0</v>
      </c>
      <c r="BV14" s="273">
        <f t="shared" si="54"/>
        <v>0</v>
      </c>
      <c r="BW14" s="277">
        <f t="shared" si="37"/>
        <v>0</v>
      </c>
      <c r="BX14" s="280">
        <f t="shared" si="38"/>
        <v>0</v>
      </c>
      <c r="BY14" s="273">
        <f t="shared" si="55"/>
        <v>0</v>
      </c>
      <c r="BZ14" s="277">
        <f t="shared" si="39"/>
        <v>0</v>
      </c>
      <c r="CA14" s="276">
        <f t="shared" si="40"/>
        <v>0</v>
      </c>
      <c r="CB14" s="273">
        <f t="shared" si="56"/>
        <v>0</v>
      </c>
      <c r="CC14" s="277">
        <f t="shared" si="41"/>
        <v>0</v>
      </c>
    </row>
    <row r="15" spans="1:81" ht="18" customHeight="1" thickBot="1">
      <c r="A15" s="281">
        <f>'Current month'!A14</f>
        <v>44784</v>
      </c>
      <c r="B15" s="231">
        <f>'Current month'!CM14</f>
        <v>0</v>
      </c>
      <c r="C15" s="231">
        <f>'Current month'!CO14</f>
        <v>0</v>
      </c>
      <c r="D15" s="231">
        <f>'Current month'!CQ14</f>
        <v>0</v>
      </c>
      <c r="E15" s="231">
        <f>'Current month'!CJ14</f>
        <v>0</v>
      </c>
      <c r="F15" s="231">
        <f>'Current month'!CV14</f>
        <v>0</v>
      </c>
      <c r="G15" s="231">
        <f>'Current month'!DB14</f>
        <v>0</v>
      </c>
      <c r="H15" s="231">
        <f>'Current month'!CY14</f>
        <v>0</v>
      </c>
      <c r="I15" s="271"/>
      <c r="J15" s="271"/>
      <c r="K15" s="271"/>
      <c r="L15" s="271">
        <f>'Current month'!DE14</f>
        <v>0</v>
      </c>
      <c r="M15" s="231">
        <f>'Current month'!DK14</f>
        <v>0</v>
      </c>
      <c r="N15" s="231">
        <f>'Current month'!DN14</f>
        <v>0</v>
      </c>
      <c r="O15" s="231">
        <f>'Current month'!DQ14</f>
        <v>0</v>
      </c>
      <c r="P15" s="231">
        <f>'Current month'!DT14</f>
        <v>0</v>
      </c>
      <c r="Q15" s="231">
        <f>'Current month'!DW14</f>
        <v>0</v>
      </c>
      <c r="R15" s="231">
        <f>'Current month'!DZ14</f>
        <v>0</v>
      </c>
      <c r="S15" s="231">
        <f>'Current month'!EC14</f>
        <v>0</v>
      </c>
      <c r="T15" s="231">
        <f>'Current month'!DH14</f>
        <v>0</v>
      </c>
      <c r="U15" s="301"/>
      <c r="V15" s="301"/>
      <c r="W15" s="302"/>
      <c r="X15" s="272">
        <f t="shared" si="10"/>
        <v>0</v>
      </c>
      <c r="Y15" s="273">
        <f t="shared" si="0"/>
        <v>0</v>
      </c>
      <c r="Z15" s="273">
        <f t="shared" si="1"/>
        <v>0</v>
      </c>
      <c r="AA15" s="277">
        <f t="shared" si="11"/>
        <v>0</v>
      </c>
      <c r="AB15" s="273">
        <f t="shared" si="57"/>
        <v>0</v>
      </c>
      <c r="AC15" s="276">
        <f t="shared" si="2"/>
        <v>0</v>
      </c>
      <c r="AD15" s="273">
        <f t="shared" si="3"/>
        <v>0</v>
      </c>
      <c r="AE15" s="277">
        <f t="shared" si="4"/>
        <v>0</v>
      </c>
      <c r="AF15" s="277">
        <f t="shared" si="5"/>
        <v>0</v>
      </c>
      <c r="AG15" s="273">
        <f t="shared" si="42"/>
        <v>0</v>
      </c>
      <c r="AH15" s="276">
        <f t="shared" si="12"/>
        <v>0</v>
      </c>
      <c r="AI15" s="273">
        <f t="shared" si="6"/>
        <v>0</v>
      </c>
      <c r="AJ15" s="277">
        <f t="shared" si="7"/>
        <v>0</v>
      </c>
      <c r="AK15" s="277">
        <f t="shared" si="13"/>
        <v>0</v>
      </c>
      <c r="AL15" s="273">
        <f t="shared" si="14"/>
        <v>0</v>
      </c>
      <c r="AM15" s="278">
        <f t="shared" si="8"/>
        <v>0</v>
      </c>
      <c r="AN15" s="273">
        <f t="shared" si="43"/>
        <v>0</v>
      </c>
      <c r="AO15" s="279">
        <f t="shared" si="15"/>
        <v>0</v>
      </c>
      <c r="AP15" s="279">
        <f t="shared" si="16"/>
        <v>0</v>
      </c>
      <c r="AQ15" s="280">
        <f t="shared" si="17"/>
        <v>0</v>
      </c>
      <c r="AR15" s="273">
        <f t="shared" si="44"/>
        <v>0</v>
      </c>
      <c r="AS15" s="277">
        <f t="shared" si="18"/>
        <v>0</v>
      </c>
      <c r="AT15" s="276">
        <f t="shared" si="9"/>
        <v>0</v>
      </c>
      <c r="AU15" s="273">
        <f t="shared" si="45"/>
        <v>0</v>
      </c>
      <c r="AV15" s="277">
        <f t="shared" si="19"/>
        <v>0</v>
      </c>
      <c r="AW15" s="276">
        <f t="shared" si="20"/>
        <v>0</v>
      </c>
      <c r="AX15" s="273">
        <f t="shared" si="46"/>
        <v>0</v>
      </c>
      <c r="AY15" s="277">
        <f t="shared" si="21"/>
        <v>0</v>
      </c>
      <c r="AZ15" s="276">
        <f t="shared" si="22"/>
        <v>0</v>
      </c>
      <c r="BA15" s="273">
        <f t="shared" si="47"/>
        <v>0</v>
      </c>
      <c r="BB15" s="277">
        <f t="shared" si="23"/>
        <v>0</v>
      </c>
      <c r="BC15" s="276">
        <f t="shared" si="24"/>
        <v>0</v>
      </c>
      <c r="BD15" s="273">
        <f t="shared" si="48"/>
        <v>0</v>
      </c>
      <c r="BE15" s="277">
        <f t="shared" si="25"/>
        <v>0</v>
      </c>
      <c r="BF15" s="280">
        <f t="shared" si="26"/>
        <v>0</v>
      </c>
      <c r="BG15" s="273">
        <f t="shared" si="49"/>
        <v>0</v>
      </c>
      <c r="BH15" s="277">
        <f t="shared" si="27"/>
        <v>0</v>
      </c>
      <c r="BI15" s="276">
        <f t="shared" si="28"/>
        <v>0</v>
      </c>
      <c r="BJ15" s="273">
        <f t="shared" si="50"/>
        <v>0</v>
      </c>
      <c r="BK15" s="277">
        <f t="shared" si="29"/>
        <v>0</v>
      </c>
      <c r="BL15" s="276">
        <f t="shared" si="30"/>
        <v>0</v>
      </c>
      <c r="BM15" s="273">
        <f t="shared" si="51"/>
        <v>0</v>
      </c>
      <c r="BN15" s="277">
        <f t="shared" si="31"/>
        <v>0</v>
      </c>
      <c r="BO15" s="280">
        <f t="shared" si="32"/>
        <v>0</v>
      </c>
      <c r="BP15" s="273">
        <f t="shared" si="52"/>
        <v>0</v>
      </c>
      <c r="BQ15" s="277">
        <f t="shared" si="33"/>
        <v>0</v>
      </c>
      <c r="BR15" s="276">
        <f t="shared" si="34"/>
        <v>0</v>
      </c>
      <c r="BS15" s="273">
        <f t="shared" si="53"/>
        <v>0</v>
      </c>
      <c r="BT15" s="277">
        <f t="shared" si="35"/>
        <v>0</v>
      </c>
      <c r="BU15" s="276">
        <f t="shared" si="36"/>
        <v>0</v>
      </c>
      <c r="BV15" s="273">
        <f t="shared" si="54"/>
        <v>0</v>
      </c>
      <c r="BW15" s="277">
        <f t="shared" si="37"/>
        <v>0</v>
      </c>
      <c r="BX15" s="280">
        <f t="shared" si="38"/>
        <v>0</v>
      </c>
      <c r="BY15" s="273">
        <f t="shared" si="55"/>
        <v>0</v>
      </c>
      <c r="BZ15" s="277">
        <f t="shared" si="39"/>
        <v>0</v>
      </c>
      <c r="CA15" s="276">
        <f t="shared" si="40"/>
        <v>0</v>
      </c>
      <c r="CB15" s="273">
        <f t="shared" si="56"/>
        <v>0</v>
      </c>
      <c r="CC15" s="277">
        <f t="shared" si="41"/>
        <v>0</v>
      </c>
    </row>
    <row r="16" spans="1:81" ht="18" customHeight="1" thickBot="1">
      <c r="A16" s="281">
        <f>'Current month'!A15</f>
        <v>44785</v>
      </c>
      <c r="B16" s="231">
        <f>'Current month'!CM15</f>
        <v>0</v>
      </c>
      <c r="C16" s="231">
        <f>'Current month'!CO15</f>
        <v>0</v>
      </c>
      <c r="D16" s="231">
        <f>'Current month'!CQ15</f>
        <v>0</v>
      </c>
      <c r="E16" s="231">
        <f>'Current month'!CJ15</f>
        <v>0</v>
      </c>
      <c r="F16" s="231">
        <f>'Current month'!CV15</f>
        <v>0</v>
      </c>
      <c r="G16" s="231">
        <f>'Current month'!DB15</f>
        <v>0</v>
      </c>
      <c r="H16" s="231">
        <f>'Current month'!CY15</f>
        <v>0</v>
      </c>
      <c r="I16" s="271"/>
      <c r="J16" s="271"/>
      <c r="K16" s="271"/>
      <c r="L16" s="271">
        <f>'Current month'!DE15</f>
        <v>0</v>
      </c>
      <c r="M16" s="231">
        <f>'Current month'!DK15</f>
        <v>0</v>
      </c>
      <c r="N16" s="231">
        <f>'Current month'!DQ20</f>
        <v>0</v>
      </c>
      <c r="O16" s="231">
        <f>'Current month'!DQ15</f>
        <v>0</v>
      </c>
      <c r="P16" s="231">
        <f>'Current month'!DT15</f>
        <v>0</v>
      </c>
      <c r="Q16" s="231">
        <f>'Current month'!DW15</f>
        <v>0</v>
      </c>
      <c r="R16" s="231" t="e">
        <f>'Current month'!#REF!</f>
        <v>#REF!</v>
      </c>
      <c r="S16" s="231">
        <f>'Current month'!EC15</f>
        <v>0</v>
      </c>
      <c r="T16" s="231">
        <f>'Current month'!DH15</f>
        <v>0</v>
      </c>
      <c r="U16" s="299"/>
      <c r="V16" s="299"/>
      <c r="W16" s="300"/>
      <c r="X16" s="272">
        <f t="shared" si="10"/>
        <v>0</v>
      </c>
      <c r="Y16" s="273">
        <f t="shared" si="0"/>
        <v>0</v>
      </c>
      <c r="Z16" s="273">
        <f t="shared" si="1"/>
        <v>0</v>
      </c>
      <c r="AA16" s="277">
        <f t="shared" si="11"/>
        <v>0</v>
      </c>
      <c r="AB16" s="273">
        <f t="shared" si="57"/>
        <v>0</v>
      </c>
      <c r="AC16" s="276">
        <f t="shared" si="2"/>
        <v>0</v>
      </c>
      <c r="AD16" s="273">
        <f t="shared" si="3"/>
        <v>0</v>
      </c>
      <c r="AE16" s="277">
        <f t="shared" si="4"/>
        <v>0</v>
      </c>
      <c r="AF16" s="277">
        <f t="shared" si="5"/>
        <v>0</v>
      </c>
      <c r="AG16" s="273">
        <f t="shared" si="42"/>
        <v>0</v>
      </c>
      <c r="AH16" s="276">
        <f t="shared" si="12"/>
        <v>0</v>
      </c>
      <c r="AI16" s="273">
        <f t="shared" si="6"/>
        <v>0</v>
      </c>
      <c r="AJ16" s="277">
        <f t="shared" si="7"/>
        <v>0</v>
      </c>
      <c r="AK16" s="277">
        <f t="shared" si="13"/>
        <v>0</v>
      </c>
      <c r="AL16" s="273">
        <f t="shared" si="14"/>
        <v>0</v>
      </c>
      <c r="AM16" s="278">
        <f t="shared" si="8"/>
        <v>0</v>
      </c>
      <c r="AN16" s="273">
        <f t="shared" si="43"/>
        <v>0</v>
      </c>
      <c r="AO16" s="279">
        <f t="shared" si="15"/>
        <v>0</v>
      </c>
      <c r="AP16" s="279">
        <f t="shared" si="16"/>
        <v>0</v>
      </c>
      <c r="AQ16" s="280">
        <f t="shared" si="17"/>
        <v>0</v>
      </c>
      <c r="AR16" s="273">
        <f t="shared" si="44"/>
        <v>0</v>
      </c>
      <c r="AS16" s="277">
        <f t="shared" si="18"/>
        <v>0</v>
      </c>
      <c r="AT16" s="276">
        <f t="shared" si="9"/>
        <v>0</v>
      </c>
      <c r="AU16" s="273">
        <f t="shared" si="45"/>
        <v>0</v>
      </c>
      <c r="AV16" s="277">
        <f t="shared" si="19"/>
        <v>0</v>
      </c>
      <c r="AW16" s="276">
        <f t="shared" si="20"/>
        <v>0</v>
      </c>
      <c r="AX16" s="273">
        <f t="shared" si="46"/>
        <v>0</v>
      </c>
      <c r="AY16" s="277">
        <f t="shared" si="21"/>
        <v>0</v>
      </c>
      <c r="AZ16" s="276">
        <f t="shared" si="22"/>
        <v>0</v>
      </c>
      <c r="BA16" s="273">
        <f t="shared" si="47"/>
        <v>0</v>
      </c>
      <c r="BB16" s="277">
        <f t="shared" si="23"/>
        <v>0</v>
      </c>
      <c r="BC16" s="276">
        <f t="shared" si="24"/>
        <v>0</v>
      </c>
      <c r="BD16" s="273">
        <f t="shared" si="48"/>
        <v>0</v>
      </c>
      <c r="BE16" s="277">
        <f t="shared" si="25"/>
        <v>0</v>
      </c>
      <c r="BF16" s="280">
        <f t="shared" si="26"/>
        <v>0</v>
      </c>
      <c r="BG16" s="273">
        <f t="shared" si="49"/>
        <v>0</v>
      </c>
      <c r="BH16" s="277">
        <f t="shared" si="27"/>
        <v>0</v>
      </c>
      <c r="BI16" s="276">
        <f t="shared" si="28"/>
        <v>0</v>
      </c>
      <c r="BJ16" s="273">
        <f t="shared" si="50"/>
        <v>0</v>
      </c>
      <c r="BK16" s="277">
        <f t="shared" si="29"/>
        <v>0</v>
      </c>
      <c r="BL16" s="276">
        <f t="shared" si="30"/>
        <v>0</v>
      </c>
      <c r="BM16" s="273">
        <f t="shared" si="51"/>
        <v>0</v>
      </c>
      <c r="BN16" s="277">
        <f t="shared" si="31"/>
        <v>0</v>
      </c>
      <c r="BO16" s="280">
        <f t="shared" si="32"/>
        <v>0</v>
      </c>
      <c r="BP16" s="273">
        <f t="shared" si="52"/>
        <v>0</v>
      </c>
      <c r="BQ16" s="277">
        <f t="shared" si="33"/>
        <v>0</v>
      </c>
      <c r="BR16" s="276">
        <f t="shared" si="34"/>
        <v>0</v>
      </c>
      <c r="BS16" s="273">
        <f t="shared" si="53"/>
        <v>0</v>
      </c>
      <c r="BT16" s="277">
        <f t="shared" si="35"/>
        <v>0</v>
      </c>
      <c r="BU16" s="276" t="e">
        <f t="shared" si="36"/>
        <v>#REF!</v>
      </c>
      <c r="BV16" s="273" t="e">
        <f t="shared" si="54"/>
        <v>#REF!</v>
      </c>
      <c r="BW16" s="277" t="e">
        <f t="shared" si="37"/>
        <v>#REF!</v>
      </c>
      <c r="BX16" s="280">
        <f t="shared" si="38"/>
        <v>0</v>
      </c>
      <c r="BY16" s="273">
        <f t="shared" si="55"/>
        <v>0</v>
      </c>
      <c r="BZ16" s="277">
        <f t="shared" si="39"/>
        <v>0</v>
      </c>
      <c r="CA16" s="276">
        <f t="shared" si="40"/>
        <v>0</v>
      </c>
      <c r="CB16" s="273">
        <f t="shared" si="56"/>
        <v>0</v>
      </c>
      <c r="CC16" s="277">
        <f t="shared" si="41"/>
        <v>0</v>
      </c>
    </row>
    <row r="17" spans="1:81" ht="18" customHeight="1" thickBot="1">
      <c r="A17" s="281">
        <f>'Current month'!A16</f>
        <v>44786</v>
      </c>
      <c r="B17" s="231">
        <f>'Current month'!CM16</f>
        <v>0</v>
      </c>
      <c r="C17" s="231">
        <f>'Current month'!CO16</f>
        <v>0</v>
      </c>
      <c r="D17" s="231">
        <f>'Current month'!CQ16</f>
        <v>0</v>
      </c>
      <c r="E17" s="231">
        <f>'Current month'!CJ16</f>
        <v>0</v>
      </c>
      <c r="F17" s="231">
        <f>'Current month'!CV16</f>
        <v>0</v>
      </c>
      <c r="G17" s="231">
        <f>'Current month'!DB16</f>
        <v>0</v>
      </c>
      <c r="H17" s="231">
        <f>'Current month'!CY16</f>
        <v>0</v>
      </c>
      <c r="I17" s="271"/>
      <c r="J17" s="271"/>
      <c r="K17" s="271"/>
      <c r="L17" s="271">
        <f>'Current month'!DE16</f>
        <v>0</v>
      </c>
      <c r="M17" s="231">
        <f>'Current month'!DK16</f>
        <v>0</v>
      </c>
      <c r="N17" s="231">
        <f>'Current month'!DN16</f>
        <v>0</v>
      </c>
      <c r="O17" s="231">
        <f>'Current month'!DQ16</f>
        <v>0</v>
      </c>
      <c r="P17" s="231">
        <f>'Current month'!DT16</f>
        <v>0</v>
      </c>
      <c r="Q17" s="231">
        <f>'Current month'!DW16</f>
        <v>0</v>
      </c>
      <c r="R17" s="231">
        <f>'Current month'!DZ16</f>
        <v>0</v>
      </c>
      <c r="S17" s="231">
        <f>'Current month'!EC16</f>
        <v>0</v>
      </c>
      <c r="T17" s="231">
        <f>'Current month'!DH16</f>
        <v>0</v>
      </c>
      <c r="U17" s="299"/>
      <c r="V17" s="299"/>
      <c r="W17" s="300"/>
      <c r="X17" s="272">
        <f t="shared" si="10"/>
        <v>0</v>
      </c>
      <c r="Y17" s="273">
        <f t="shared" si="0"/>
        <v>0</v>
      </c>
      <c r="Z17" s="273">
        <f t="shared" si="1"/>
        <v>0</v>
      </c>
      <c r="AA17" s="277">
        <f t="shared" si="11"/>
        <v>0</v>
      </c>
      <c r="AB17" s="273">
        <f>Z16-Z17+AA16</f>
        <v>0</v>
      </c>
      <c r="AC17" s="276">
        <f t="shared" si="2"/>
        <v>0</v>
      </c>
      <c r="AD17" s="273">
        <f t="shared" si="3"/>
        <v>0</v>
      </c>
      <c r="AE17" s="277">
        <f t="shared" si="4"/>
        <v>0</v>
      </c>
      <c r="AF17" s="277">
        <f t="shared" si="5"/>
        <v>0</v>
      </c>
      <c r="AG17" s="273">
        <f>AE16-AE17+AF16</f>
        <v>0</v>
      </c>
      <c r="AH17" s="276">
        <f t="shared" si="12"/>
        <v>0</v>
      </c>
      <c r="AI17" s="273">
        <f t="shared" si="6"/>
        <v>0</v>
      </c>
      <c r="AJ17" s="277">
        <f t="shared" si="7"/>
        <v>0</v>
      </c>
      <c r="AK17" s="277">
        <f t="shared" si="13"/>
        <v>0</v>
      </c>
      <c r="AL17" s="273">
        <f t="shared" si="14"/>
        <v>0</v>
      </c>
      <c r="AM17" s="278">
        <f t="shared" si="8"/>
        <v>0</v>
      </c>
      <c r="AN17" s="273">
        <f t="shared" si="43"/>
        <v>0</v>
      </c>
      <c r="AO17" s="279">
        <f t="shared" si="15"/>
        <v>0</v>
      </c>
      <c r="AP17" s="279">
        <f t="shared" si="16"/>
        <v>0</v>
      </c>
      <c r="AQ17" s="280">
        <f t="shared" si="17"/>
        <v>0</v>
      </c>
      <c r="AR17" s="273">
        <f t="shared" si="44"/>
        <v>0</v>
      </c>
      <c r="AS17" s="277">
        <f t="shared" si="18"/>
        <v>0</v>
      </c>
      <c r="AT17" s="276">
        <f t="shared" si="9"/>
        <v>0</v>
      </c>
      <c r="AU17" s="273">
        <f t="shared" si="45"/>
        <v>0</v>
      </c>
      <c r="AV17" s="277">
        <f t="shared" si="19"/>
        <v>0</v>
      </c>
      <c r="AW17" s="276">
        <f t="shared" si="20"/>
        <v>0</v>
      </c>
      <c r="AX17" s="273">
        <f t="shared" si="46"/>
        <v>0</v>
      </c>
      <c r="AY17" s="277">
        <f t="shared" si="21"/>
        <v>0</v>
      </c>
      <c r="AZ17" s="276">
        <f t="shared" si="22"/>
        <v>0</v>
      </c>
      <c r="BA17" s="273">
        <f t="shared" si="47"/>
        <v>0</v>
      </c>
      <c r="BB17" s="277">
        <f t="shared" si="23"/>
        <v>0</v>
      </c>
      <c r="BC17" s="276">
        <f t="shared" si="24"/>
        <v>0</v>
      </c>
      <c r="BD17" s="273">
        <f t="shared" si="48"/>
        <v>0</v>
      </c>
      <c r="BE17" s="277">
        <f t="shared" si="25"/>
        <v>0</v>
      </c>
      <c r="BF17" s="280">
        <f t="shared" si="26"/>
        <v>0</v>
      </c>
      <c r="BG17" s="273">
        <f t="shared" si="49"/>
        <v>0</v>
      </c>
      <c r="BH17" s="277">
        <f t="shared" si="27"/>
        <v>0</v>
      </c>
      <c r="BI17" s="276">
        <f t="shared" si="28"/>
        <v>0</v>
      </c>
      <c r="BJ17" s="273">
        <f t="shared" si="50"/>
        <v>0</v>
      </c>
      <c r="BK17" s="277">
        <f t="shared" si="29"/>
        <v>0</v>
      </c>
      <c r="BL17" s="276">
        <f t="shared" si="30"/>
        <v>0</v>
      </c>
      <c r="BM17" s="273">
        <f t="shared" si="51"/>
        <v>0</v>
      </c>
      <c r="BN17" s="277">
        <f t="shared" si="31"/>
        <v>0</v>
      </c>
      <c r="BO17" s="280">
        <f t="shared" si="32"/>
        <v>0</v>
      </c>
      <c r="BP17" s="273">
        <f t="shared" si="52"/>
        <v>0</v>
      </c>
      <c r="BQ17" s="277">
        <f t="shared" si="33"/>
        <v>0</v>
      </c>
      <c r="BR17" s="276">
        <f t="shared" si="34"/>
        <v>0</v>
      </c>
      <c r="BS17" s="273">
        <f t="shared" si="53"/>
        <v>0</v>
      </c>
      <c r="BT17" s="277">
        <f t="shared" si="35"/>
        <v>0</v>
      </c>
      <c r="BU17" s="276">
        <f t="shared" si="36"/>
        <v>0</v>
      </c>
      <c r="BV17" s="273" t="e">
        <f t="shared" si="54"/>
        <v>#REF!</v>
      </c>
      <c r="BW17" s="277" t="e">
        <f t="shared" si="37"/>
        <v>#REF!</v>
      </c>
      <c r="BX17" s="280">
        <f t="shared" si="38"/>
        <v>0</v>
      </c>
      <c r="BY17" s="273">
        <f t="shared" si="55"/>
        <v>0</v>
      </c>
      <c r="BZ17" s="277">
        <f t="shared" si="39"/>
        <v>0</v>
      </c>
      <c r="CA17" s="276">
        <f t="shared" si="40"/>
        <v>0</v>
      </c>
      <c r="CB17" s="273">
        <f t="shared" si="56"/>
        <v>0</v>
      </c>
      <c r="CC17" s="277">
        <f t="shared" si="41"/>
        <v>0</v>
      </c>
    </row>
    <row r="18" spans="1:81" ht="18" customHeight="1" thickBot="1">
      <c r="A18" s="281">
        <f>'Current month'!A17</f>
        <v>44787</v>
      </c>
      <c r="B18" s="231">
        <f>'Current month'!CM17</f>
        <v>0</v>
      </c>
      <c r="C18" s="231">
        <f>'Current month'!CO17</f>
        <v>0</v>
      </c>
      <c r="D18" s="231">
        <f>'Current month'!CQ17</f>
        <v>0</v>
      </c>
      <c r="E18" s="231">
        <f>'Current month'!CJ17</f>
        <v>0</v>
      </c>
      <c r="F18" s="231">
        <f>'Current month'!CV17</f>
        <v>0</v>
      </c>
      <c r="G18" s="231">
        <f>'Current month'!DB17</f>
        <v>0</v>
      </c>
      <c r="H18" s="231">
        <f>'Current month'!CY17</f>
        <v>0</v>
      </c>
      <c r="I18" s="271"/>
      <c r="J18" s="271"/>
      <c r="K18" s="271"/>
      <c r="L18" s="271">
        <f>'Current month'!DE17</f>
        <v>0</v>
      </c>
      <c r="M18" s="231">
        <f>'Current month'!DK17</f>
        <v>0</v>
      </c>
      <c r="N18" s="231">
        <f>'Current month'!DN17</f>
        <v>0</v>
      </c>
      <c r="O18" s="231">
        <f>'Current month'!DQ17</f>
        <v>0</v>
      </c>
      <c r="P18" s="231">
        <f>'Current month'!DT17</f>
        <v>0</v>
      </c>
      <c r="Q18" s="231">
        <f>'Current month'!DW17</f>
        <v>0</v>
      </c>
      <c r="R18" s="231">
        <f>'Current month'!DZ17</f>
        <v>0</v>
      </c>
      <c r="S18" s="231">
        <f>'Current month'!EC17</f>
        <v>0</v>
      </c>
      <c r="T18" s="231">
        <f>'Current month'!DH17</f>
        <v>0</v>
      </c>
      <c r="U18" s="299"/>
      <c r="V18" s="299"/>
      <c r="W18" s="300"/>
      <c r="X18" s="272">
        <f t="shared" si="10"/>
        <v>0</v>
      </c>
      <c r="Y18" s="273">
        <f t="shared" si="0"/>
        <v>0</v>
      </c>
      <c r="Z18" s="273">
        <f t="shared" si="1"/>
        <v>0</v>
      </c>
      <c r="AA18" s="277">
        <f t="shared" si="11"/>
        <v>0</v>
      </c>
      <c r="AB18" s="273">
        <f t="shared" si="57"/>
        <v>0</v>
      </c>
      <c r="AC18" s="276">
        <f t="shared" si="2"/>
        <v>0</v>
      </c>
      <c r="AD18" s="273">
        <f t="shared" si="3"/>
        <v>0</v>
      </c>
      <c r="AE18" s="277">
        <f t="shared" si="4"/>
        <v>0</v>
      </c>
      <c r="AF18" s="277">
        <f t="shared" si="5"/>
        <v>0</v>
      </c>
      <c r="AG18" s="273">
        <f t="shared" si="42"/>
        <v>0</v>
      </c>
      <c r="AH18" s="276">
        <f t="shared" si="12"/>
        <v>0</v>
      </c>
      <c r="AI18" s="273">
        <f t="shared" si="6"/>
        <v>0</v>
      </c>
      <c r="AJ18" s="277">
        <f t="shared" si="7"/>
        <v>0</v>
      </c>
      <c r="AK18" s="277">
        <f t="shared" si="13"/>
        <v>0</v>
      </c>
      <c r="AL18" s="273">
        <f t="shared" si="14"/>
        <v>0</v>
      </c>
      <c r="AM18" s="278">
        <f t="shared" si="8"/>
        <v>0</v>
      </c>
      <c r="AN18" s="273">
        <f t="shared" si="43"/>
        <v>0</v>
      </c>
      <c r="AO18" s="279">
        <f t="shared" si="15"/>
        <v>0</v>
      </c>
      <c r="AP18" s="279">
        <f t="shared" si="16"/>
        <v>0</v>
      </c>
      <c r="AQ18" s="280">
        <f t="shared" si="17"/>
        <v>0</v>
      </c>
      <c r="AR18" s="273">
        <f t="shared" si="44"/>
        <v>0</v>
      </c>
      <c r="AS18" s="277">
        <f t="shared" si="18"/>
        <v>0</v>
      </c>
      <c r="AT18" s="276">
        <f t="shared" si="9"/>
        <v>0</v>
      </c>
      <c r="AU18" s="273">
        <f t="shared" si="45"/>
        <v>0</v>
      </c>
      <c r="AV18" s="277">
        <f t="shared" si="19"/>
        <v>0</v>
      </c>
      <c r="AW18" s="276">
        <f t="shared" si="20"/>
        <v>0</v>
      </c>
      <c r="AX18" s="273">
        <f t="shared" si="46"/>
        <v>0</v>
      </c>
      <c r="AY18" s="277">
        <f t="shared" si="21"/>
        <v>0</v>
      </c>
      <c r="AZ18" s="276">
        <f t="shared" si="22"/>
        <v>0</v>
      </c>
      <c r="BA18" s="273">
        <f t="shared" si="47"/>
        <v>0</v>
      </c>
      <c r="BB18" s="277">
        <f t="shared" si="23"/>
        <v>0</v>
      </c>
      <c r="BC18" s="276">
        <f t="shared" si="24"/>
        <v>0</v>
      </c>
      <c r="BD18" s="273">
        <f t="shared" si="48"/>
        <v>0</v>
      </c>
      <c r="BE18" s="277">
        <f t="shared" si="25"/>
        <v>0</v>
      </c>
      <c r="BF18" s="280">
        <f t="shared" si="26"/>
        <v>0</v>
      </c>
      <c r="BG18" s="273">
        <f t="shared" si="49"/>
        <v>0</v>
      </c>
      <c r="BH18" s="277">
        <f t="shared" si="27"/>
        <v>0</v>
      </c>
      <c r="BI18" s="276">
        <f t="shared" si="28"/>
        <v>0</v>
      </c>
      <c r="BJ18" s="273">
        <f t="shared" si="50"/>
        <v>0</v>
      </c>
      <c r="BK18" s="277">
        <f t="shared" si="29"/>
        <v>0</v>
      </c>
      <c r="BL18" s="276">
        <f t="shared" si="30"/>
        <v>0</v>
      </c>
      <c r="BM18" s="273">
        <f t="shared" si="51"/>
        <v>0</v>
      </c>
      <c r="BN18" s="277">
        <f t="shared" si="31"/>
        <v>0</v>
      </c>
      <c r="BO18" s="280">
        <f t="shared" si="32"/>
        <v>0</v>
      </c>
      <c r="BP18" s="273">
        <f t="shared" si="52"/>
        <v>0</v>
      </c>
      <c r="BQ18" s="277">
        <f t="shared" si="33"/>
        <v>0</v>
      </c>
      <c r="BR18" s="276">
        <f t="shared" si="34"/>
        <v>0</v>
      </c>
      <c r="BS18" s="273">
        <f t="shared" si="53"/>
        <v>0</v>
      </c>
      <c r="BT18" s="277">
        <f t="shared" si="35"/>
        <v>0</v>
      </c>
      <c r="BU18" s="276">
        <f t="shared" si="36"/>
        <v>0</v>
      </c>
      <c r="BV18" s="273">
        <f t="shared" si="54"/>
        <v>0</v>
      </c>
      <c r="BW18" s="277">
        <f t="shared" si="37"/>
        <v>0</v>
      </c>
      <c r="BX18" s="280">
        <f t="shared" si="38"/>
        <v>0</v>
      </c>
      <c r="BY18" s="273">
        <f t="shared" si="55"/>
        <v>0</v>
      </c>
      <c r="BZ18" s="277">
        <f t="shared" si="39"/>
        <v>0</v>
      </c>
      <c r="CA18" s="276">
        <f t="shared" si="40"/>
        <v>0</v>
      </c>
      <c r="CB18" s="273">
        <f t="shared" si="56"/>
        <v>0</v>
      </c>
      <c r="CC18" s="277">
        <f t="shared" si="41"/>
        <v>0</v>
      </c>
    </row>
    <row r="19" spans="1:81" ht="18" customHeight="1" thickBot="1">
      <c r="A19" s="281">
        <f>'Current month'!A18</f>
        <v>44788</v>
      </c>
      <c r="B19" s="231">
        <f>'Current month'!CM18</f>
        <v>0</v>
      </c>
      <c r="C19" s="231">
        <f>'Current month'!CO18</f>
        <v>0</v>
      </c>
      <c r="D19" s="231">
        <f>'Current month'!CQ18</f>
        <v>0</v>
      </c>
      <c r="E19" s="231">
        <f>'Current month'!CJ18</f>
        <v>0</v>
      </c>
      <c r="F19" s="231">
        <f>'Current month'!CV18</f>
        <v>0</v>
      </c>
      <c r="G19" s="231">
        <f>'Current month'!DB18</f>
        <v>0</v>
      </c>
      <c r="H19" s="231">
        <f>'Current month'!CY18</f>
        <v>0</v>
      </c>
      <c r="I19" s="271"/>
      <c r="J19" s="271"/>
      <c r="K19" s="271"/>
      <c r="L19" s="271">
        <f>'Current month'!DE18</f>
        <v>0</v>
      </c>
      <c r="M19" s="231">
        <f>'Current month'!DK18</f>
        <v>0</v>
      </c>
      <c r="N19" s="231">
        <f>'Current month'!DN18</f>
        <v>0</v>
      </c>
      <c r="O19" s="231">
        <f>'Current month'!DQ18</f>
        <v>0</v>
      </c>
      <c r="P19" s="231">
        <f>'Current month'!DT18</f>
        <v>0</v>
      </c>
      <c r="Q19" s="231">
        <f>'Current month'!DW18</f>
        <v>0</v>
      </c>
      <c r="R19" s="231">
        <f>'Current month'!DZ18</f>
        <v>0</v>
      </c>
      <c r="S19" s="231">
        <f>'Current month'!EC18</f>
        <v>0</v>
      </c>
      <c r="T19" s="231">
        <f>'Current month'!DH18</f>
        <v>0</v>
      </c>
      <c r="U19" s="299"/>
      <c r="V19" s="299"/>
      <c r="W19" s="300"/>
      <c r="X19" s="272">
        <f t="shared" si="10"/>
        <v>0</v>
      </c>
      <c r="Y19" s="273">
        <f t="shared" si="0"/>
        <v>0</v>
      </c>
      <c r="Z19" s="273">
        <f t="shared" si="1"/>
        <v>0</v>
      </c>
      <c r="AA19" s="277">
        <f t="shared" si="11"/>
        <v>0</v>
      </c>
      <c r="AB19" s="273">
        <f t="shared" si="57"/>
        <v>0</v>
      </c>
      <c r="AC19" s="276">
        <f t="shared" si="2"/>
        <v>0</v>
      </c>
      <c r="AD19" s="273">
        <f t="shared" si="3"/>
        <v>0</v>
      </c>
      <c r="AE19" s="277">
        <f t="shared" si="4"/>
        <v>0</v>
      </c>
      <c r="AF19" s="277">
        <f t="shared" si="5"/>
        <v>0</v>
      </c>
      <c r="AG19" s="273">
        <f t="shared" si="42"/>
        <v>0</v>
      </c>
      <c r="AH19" s="276">
        <f t="shared" si="12"/>
        <v>0</v>
      </c>
      <c r="AI19" s="273">
        <f t="shared" si="6"/>
        <v>0</v>
      </c>
      <c r="AJ19" s="277">
        <f t="shared" si="7"/>
        <v>0</v>
      </c>
      <c r="AK19" s="277">
        <f t="shared" si="13"/>
        <v>0</v>
      </c>
      <c r="AL19" s="273">
        <f t="shared" si="14"/>
        <v>0</v>
      </c>
      <c r="AM19" s="278">
        <f t="shared" si="8"/>
        <v>0</v>
      </c>
      <c r="AN19" s="273">
        <f t="shared" si="43"/>
        <v>0</v>
      </c>
      <c r="AO19" s="279">
        <f t="shared" si="15"/>
        <v>0</v>
      </c>
      <c r="AP19" s="279">
        <f t="shared" si="16"/>
        <v>0</v>
      </c>
      <c r="AQ19" s="280">
        <f t="shared" si="17"/>
        <v>0</v>
      </c>
      <c r="AR19" s="273">
        <f t="shared" si="44"/>
        <v>0</v>
      </c>
      <c r="AS19" s="277">
        <f t="shared" si="18"/>
        <v>0</v>
      </c>
      <c r="AT19" s="276">
        <f t="shared" si="9"/>
        <v>0</v>
      </c>
      <c r="AU19" s="273">
        <f t="shared" si="45"/>
        <v>0</v>
      </c>
      <c r="AV19" s="277">
        <f t="shared" si="19"/>
        <v>0</v>
      </c>
      <c r="AW19" s="276">
        <f t="shared" si="20"/>
        <v>0</v>
      </c>
      <c r="AX19" s="273">
        <f t="shared" si="46"/>
        <v>0</v>
      </c>
      <c r="AY19" s="277">
        <f t="shared" si="21"/>
        <v>0</v>
      </c>
      <c r="AZ19" s="276">
        <f t="shared" si="22"/>
        <v>0</v>
      </c>
      <c r="BA19" s="273">
        <f t="shared" si="47"/>
        <v>0</v>
      </c>
      <c r="BB19" s="277">
        <f t="shared" si="23"/>
        <v>0</v>
      </c>
      <c r="BC19" s="276">
        <f t="shared" si="24"/>
        <v>0</v>
      </c>
      <c r="BD19" s="273">
        <f t="shared" si="48"/>
        <v>0</v>
      </c>
      <c r="BE19" s="277">
        <f t="shared" si="25"/>
        <v>0</v>
      </c>
      <c r="BF19" s="280">
        <f t="shared" si="26"/>
        <v>0</v>
      </c>
      <c r="BG19" s="273">
        <f t="shared" si="49"/>
        <v>0</v>
      </c>
      <c r="BH19" s="277">
        <f t="shared" si="27"/>
        <v>0</v>
      </c>
      <c r="BI19" s="276">
        <f t="shared" si="28"/>
        <v>0</v>
      </c>
      <c r="BJ19" s="273">
        <f t="shared" si="50"/>
        <v>0</v>
      </c>
      <c r="BK19" s="277">
        <f t="shared" si="29"/>
        <v>0</v>
      </c>
      <c r="BL19" s="276">
        <f t="shared" si="30"/>
        <v>0</v>
      </c>
      <c r="BM19" s="273">
        <f t="shared" si="51"/>
        <v>0</v>
      </c>
      <c r="BN19" s="277">
        <f t="shared" si="31"/>
        <v>0</v>
      </c>
      <c r="BO19" s="280">
        <f t="shared" si="32"/>
        <v>0</v>
      </c>
      <c r="BP19" s="273">
        <f t="shared" si="52"/>
        <v>0</v>
      </c>
      <c r="BQ19" s="277">
        <f t="shared" si="33"/>
        <v>0</v>
      </c>
      <c r="BR19" s="276">
        <f t="shared" si="34"/>
        <v>0</v>
      </c>
      <c r="BS19" s="273">
        <f t="shared" si="53"/>
        <v>0</v>
      </c>
      <c r="BT19" s="277">
        <f t="shared" si="35"/>
        <v>0</v>
      </c>
      <c r="BU19" s="276">
        <f t="shared" si="36"/>
        <v>0</v>
      </c>
      <c r="BV19" s="273">
        <f t="shared" si="54"/>
        <v>0</v>
      </c>
      <c r="BW19" s="277">
        <f t="shared" si="37"/>
        <v>0</v>
      </c>
      <c r="BX19" s="280">
        <f t="shared" si="38"/>
        <v>0</v>
      </c>
      <c r="BY19" s="273">
        <f t="shared" si="55"/>
        <v>0</v>
      </c>
      <c r="BZ19" s="277">
        <f t="shared" si="39"/>
        <v>0</v>
      </c>
      <c r="CA19" s="276">
        <f t="shared" si="40"/>
        <v>0</v>
      </c>
      <c r="CB19" s="273">
        <f t="shared" si="56"/>
        <v>0</v>
      </c>
      <c r="CC19" s="277">
        <f t="shared" si="41"/>
        <v>0</v>
      </c>
    </row>
    <row r="20" spans="1:81" ht="18" customHeight="1" thickBot="1">
      <c r="A20" s="281">
        <f>'Current month'!A19</f>
        <v>44789</v>
      </c>
      <c r="B20" s="231">
        <f>'Current month'!CM19</f>
        <v>0</v>
      </c>
      <c r="C20" s="231">
        <f>'Current month'!CO19</f>
        <v>0</v>
      </c>
      <c r="D20" s="231">
        <f>'Current month'!CQ19</f>
        <v>0</v>
      </c>
      <c r="E20" s="231">
        <f>'Current month'!CJ19</f>
        <v>0</v>
      </c>
      <c r="F20" s="231">
        <f>'Current month'!CV19</f>
        <v>0</v>
      </c>
      <c r="G20" s="231">
        <f>'Current month'!DB19</f>
        <v>0</v>
      </c>
      <c r="H20" s="231">
        <f>'Current month'!CY19</f>
        <v>0</v>
      </c>
      <c r="I20" s="271"/>
      <c r="J20" s="271"/>
      <c r="K20" s="271"/>
      <c r="L20" s="271">
        <f>'Current month'!DE19</f>
        <v>0</v>
      </c>
      <c r="M20" s="231">
        <f>'Current month'!DK19</f>
        <v>0</v>
      </c>
      <c r="N20" s="231">
        <f>'Current month'!DN19</f>
        <v>0</v>
      </c>
      <c r="O20" s="231">
        <f>'Current month'!DQ19</f>
        <v>0</v>
      </c>
      <c r="P20" s="231">
        <f>'Current month'!DT19</f>
        <v>0</v>
      </c>
      <c r="Q20" s="231">
        <f>'Current month'!DW19</f>
        <v>0</v>
      </c>
      <c r="R20" s="231">
        <f>'Current month'!DZ19</f>
        <v>0</v>
      </c>
      <c r="S20" s="231">
        <f>'Current month'!EC19</f>
        <v>0</v>
      </c>
      <c r="T20" s="231">
        <f>'Current month'!DH19</f>
        <v>0</v>
      </c>
      <c r="U20" s="299"/>
      <c r="V20" s="299"/>
      <c r="W20" s="300"/>
      <c r="X20" s="272">
        <f t="shared" si="10"/>
        <v>0</v>
      </c>
      <c r="Y20" s="273">
        <f t="shared" si="0"/>
        <v>0</v>
      </c>
      <c r="Z20" s="273">
        <f t="shared" si="1"/>
        <v>0</v>
      </c>
      <c r="AA20" s="277">
        <f t="shared" si="11"/>
        <v>0</v>
      </c>
      <c r="AB20" s="273">
        <f t="shared" si="57"/>
        <v>0</v>
      </c>
      <c r="AC20" s="276">
        <f t="shared" si="2"/>
        <v>0</v>
      </c>
      <c r="AD20" s="273">
        <f t="shared" si="3"/>
        <v>0</v>
      </c>
      <c r="AE20" s="277">
        <f t="shared" si="4"/>
        <v>0</v>
      </c>
      <c r="AF20" s="277">
        <f t="shared" si="5"/>
        <v>0</v>
      </c>
      <c r="AG20" s="273">
        <f t="shared" si="42"/>
        <v>0</v>
      </c>
      <c r="AH20" s="276">
        <f t="shared" si="12"/>
        <v>0</v>
      </c>
      <c r="AI20" s="273">
        <f t="shared" si="6"/>
        <v>0</v>
      </c>
      <c r="AJ20" s="277">
        <f t="shared" si="7"/>
        <v>0</v>
      </c>
      <c r="AK20" s="277">
        <f t="shared" si="13"/>
        <v>0</v>
      </c>
      <c r="AL20" s="273">
        <f t="shared" si="14"/>
        <v>0</v>
      </c>
      <c r="AM20" s="278">
        <f t="shared" si="8"/>
        <v>0</v>
      </c>
      <c r="AN20" s="273">
        <f t="shared" si="43"/>
        <v>0</v>
      </c>
      <c r="AO20" s="279">
        <f t="shared" si="15"/>
        <v>0</v>
      </c>
      <c r="AP20" s="279">
        <f t="shared" si="16"/>
        <v>0</v>
      </c>
      <c r="AQ20" s="280">
        <f t="shared" si="17"/>
        <v>0</v>
      </c>
      <c r="AR20" s="273">
        <f t="shared" si="44"/>
        <v>0</v>
      </c>
      <c r="AS20" s="277">
        <f t="shared" si="18"/>
        <v>0</v>
      </c>
      <c r="AT20" s="276">
        <f t="shared" si="9"/>
        <v>0</v>
      </c>
      <c r="AU20" s="273">
        <f t="shared" si="45"/>
        <v>0</v>
      </c>
      <c r="AV20" s="277">
        <f t="shared" si="19"/>
        <v>0</v>
      </c>
      <c r="AW20" s="276">
        <f t="shared" si="20"/>
        <v>0</v>
      </c>
      <c r="AX20" s="273">
        <f t="shared" si="46"/>
        <v>0</v>
      </c>
      <c r="AY20" s="277">
        <f t="shared" si="21"/>
        <v>0</v>
      </c>
      <c r="AZ20" s="276">
        <f t="shared" si="22"/>
        <v>0</v>
      </c>
      <c r="BA20" s="273">
        <f t="shared" si="47"/>
        <v>0</v>
      </c>
      <c r="BB20" s="277">
        <f t="shared" si="23"/>
        <v>0</v>
      </c>
      <c r="BC20" s="276">
        <f t="shared" si="24"/>
        <v>0</v>
      </c>
      <c r="BD20" s="273">
        <f t="shared" si="48"/>
        <v>0</v>
      </c>
      <c r="BE20" s="277">
        <f t="shared" si="25"/>
        <v>0</v>
      </c>
      <c r="BF20" s="280">
        <f t="shared" si="26"/>
        <v>0</v>
      </c>
      <c r="BG20" s="273">
        <f t="shared" si="49"/>
        <v>0</v>
      </c>
      <c r="BH20" s="277">
        <f t="shared" si="27"/>
        <v>0</v>
      </c>
      <c r="BI20" s="276">
        <f t="shared" si="28"/>
        <v>0</v>
      </c>
      <c r="BJ20" s="273">
        <f t="shared" si="50"/>
        <v>0</v>
      </c>
      <c r="BK20" s="277">
        <f t="shared" si="29"/>
        <v>0</v>
      </c>
      <c r="BL20" s="276">
        <f t="shared" si="30"/>
        <v>0</v>
      </c>
      <c r="BM20" s="273">
        <f t="shared" si="51"/>
        <v>0</v>
      </c>
      <c r="BN20" s="277">
        <f t="shared" si="31"/>
        <v>0</v>
      </c>
      <c r="BO20" s="280">
        <f t="shared" si="32"/>
        <v>0</v>
      </c>
      <c r="BP20" s="273">
        <f t="shared" si="52"/>
        <v>0</v>
      </c>
      <c r="BQ20" s="277">
        <f t="shared" si="33"/>
        <v>0</v>
      </c>
      <c r="BR20" s="276">
        <f t="shared" si="34"/>
        <v>0</v>
      </c>
      <c r="BS20" s="273">
        <f t="shared" si="53"/>
        <v>0</v>
      </c>
      <c r="BT20" s="277">
        <f t="shared" si="35"/>
        <v>0</v>
      </c>
      <c r="BU20" s="276">
        <f t="shared" si="36"/>
        <v>0</v>
      </c>
      <c r="BV20" s="273">
        <f t="shared" si="54"/>
        <v>0</v>
      </c>
      <c r="BW20" s="277">
        <f t="shared" si="37"/>
        <v>0</v>
      </c>
      <c r="BX20" s="280">
        <f t="shared" si="38"/>
        <v>0</v>
      </c>
      <c r="BY20" s="273">
        <f t="shared" si="55"/>
        <v>0</v>
      </c>
      <c r="BZ20" s="277">
        <f t="shared" si="39"/>
        <v>0</v>
      </c>
      <c r="CA20" s="276">
        <f t="shared" si="40"/>
        <v>0</v>
      </c>
      <c r="CB20" s="273">
        <f t="shared" si="56"/>
        <v>0</v>
      </c>
      <c r="CC20" s="277">
        <f t="shared" si="41"/>
        <v>0</v>
      </c>
    </row>
    <row r="21" spans="1:81" ht="18" customHeight="1" thickBot="1">
      <c r="A21" s="281">
        <f>'Current month'!A20</f>
        <v>44790</v>
      </c>
      <c r="B21" s="231">
        <f>'Current month'!CM20</f>
        <v>0</v>
      </c>
      <c r="C21" s="231">
        <f>'Current month'!CO20</f>
        <v>0</v>
      </c>
      <c r="D21" s="231">
        <f>'Current month'!CQ20</f>
        <v>0</v>
      </c>
      <c r="E21" s="231">
        <f>'Current month'!CJ20</f>
        <v>0</v>
      </c>
      <c r="F21" s="231">
        <f>'Current month'!CV20</f>
        <v>0</v>
      </c>
      <c r="G21" s="231">
        <f>'Current month'!DB20</f>
        <v>0</v>
      </c>
      <c r="H21" s="231">
        <f>'Current month'!CY20</f>
        <v>0</v>
      </c>
      <c r="I21" s="271"/>
      <c r="J21" s="271"/>
      <c r="K21" s="271"/>
      <c r="L21" s="271">
        <f>'Current month'!DE20</f>
        <v>0</v>
      </c>
      <c r="M21" s="231">
        <f>'Current month'!DK20</f>
        <v>0</v>
      </c>
      <c r="N21" s="231">
        <f>'Current month'!DN20</f>
        <v>0</v>
      </c>
      <c r="O21" s="231" t="e">
        <f>'Current month'!#REF!</f>
        <v>#REF!</v>
      </c>
      <c r="P21" s="231">
        <f>'Current month'!DT20</f>
        <v>0</v>
      </c>
      <c r="Q21" s="231">
        <f>'Current month'!DW20</f>
        <v>0</v>
      </c>
      <c r="R21" s="231">
        <f>'Current month'!DZ20</f>
        <v>0</v>
      </c>
      <c r="S21" s="231">
        <f>'Current month'!EC20</f>
        <v>0</v>
      </c>
      <c r="T21" s="231">
        <f>'Current month'!DH20</f>
        <v>0</v>
      </c>
      <c r="U21" s="299"/>
      <c r="V21" s="299"/>
      <c r="W21" s="300"/>
      <c r="X21" s="272">
        <f t="shared" si="10"/>
        <v>0</v>
      </c>
      <c r="Y21" s="273">
        <f t="shared" si="0"/>
        <v>0</v>
      </c>
      <c r="Z21" s="273">
        <f t="shared" si="1"/>
        <v>0</v>
      </c>
      <c r="AA21" s="277">
        <f t="shared" si="11"/>
        <v>0</v>
      </c>
      <c r="AB21" s="273">
        <f t="shared" si="57"/>
        <v>0</v>
      </c>
      <c r="AC21" s="276">
        <f t="shared" si="2"/>
        <v>0</v>
      </c>
      <c r="AD21" s="273">
        <f t="shared" si="3"/>
        <v>0</v>
      </c>
      <c r="AE21" s="277">
        <f t="shared" si="4"/>
        <v>0</v>
      </c>
      <c r="AF21" s="277">
        <f t="shared" si="5"/>
        <v>0</v>
      </c>
      <c r="AG21" s="273">
        <f t="shared" si="42"/>
        <v>0</v>
      </c>
      <c r="AH21" s="276">
        <f t="shared" si="12"/>
        <v>0</v>
      </c>
      <c r="AI21" s="273">
        <f t="shared" si="6"/>
        <v>0</v>
      </c>
      <c r="AJ21" s="277">
        <f t="shared" si="7"/>
        <v>0</v>
      </c>
      <c r="AK21" s="277">
        <f t="shared" si="13"/>
        <v>0</v>
      </c>
      <c r="AL21" s="273">
        <f t="shared" si="14"/>
        <v>0</v>
      </c>
      <c r="AM21" s="278">
        <f t="shared" si="8"/>
        <v>0</v>
      </c>
      <c r="AN21" s="273">
        <f t="shared" si="43"/>
        <v>0</v>
      </c>
      <c r="AO21" s="279">
        <f t="shared" si="15"/>
        <v>0</v>
      </c>
      <c r="AP21" s="279">
        <f t="shared" si="16"/>
        <v>0</v>
      </c>
      <c r="AQ21" s="280">
        <f t="shared" si="17"/>
        <v>0</v>
      </c>
      <c r="AR21" s="273">
        <f t="shared" si="44"/>
        <v>0</v>
      </c>
      <c r="AS21" s="277">
        <f t="shared" si="18"/>
        <v>0</v>
      </c>
      <c r="AT21" s="276">
        <f t="shared" si="9"/>
        <v>0</v>
      </c>
      <c r="AU21" s="273">
        <f t="shared" si="45"/>
        <v>0</v>
      </c>
      <c r="AV21" s="277">
        <f t="shared" si="19"/>
        <v>0</v>
      </c>
      <c r="AW21" s="276">
        <f t="shared" si="20"/>
        <v>0</v>
      </c>
      <c r="AX21" s="273">
        <f t="shared" si="46"/>
        <v>0</v>
      </c>
      <c r="AY21" s="277">
        <f t="shared" si="21"/>
        <v>0</v>
      </c>
      <c r="AZ21" s="276">
        <f t="shared" si="22"/>
        <v>0</v>
      </c>
      <c r="BA21" s="273">
        <f t="shared" si="47"/>
        <v>0</v>
      </c>
      <c r="BB21" s="277">
        <f t="shared" si="23"/>
        <v>0</v>
      </c>
      <c r="BC21" s="276">
        <f t="shared" si="24"/>
        <v>0</v>
      </c>
      <c r="BD21" s="273">
        <f t="shared" si="48"/>
        <v>0</v>
      </c>
      <c r="BE21" s="277">
        <f t="shared" si="25"/>
        <v>0</v>
      </c>
      <c r="BF21" s="280">
        <f t="shared" si="26"/>
        <v>0</v>
      </c>
      <c r="BG21" s="273">
        <f t="shared" si="49"/>
        <v>0</v>
      </c>
      <c r="BH21" s="277">
        <f t="shared" si="27"/>
        <v>0</v>
      </c>
      <c r="BI21" s="276">
        <f t="shared" si="28"/>
        <v>0</v>
      </c>
      <c r="BJ21" s="273">
        <f t="shared" si="50"/>
        <v>0</v>
      </c>
      <c r="BK21" s="277">
        <f t="shared" si="29"/>
        <v>0</v>
      </c>
      <c r="BL21" s="276" t="e">
        <f t="shared" si="30"/>
        <v>#REF!</v>
      </c>
      <c r="BM21" s="273" t="e">
        <f t="shared" si="51"/>
        <v>#REF!</v>
      </c>
      <c r="BN21" s="277" t="e">
        <f t="shared" si="31"/>
        <v>#REF!</v>
      </c>
      <c r="BO21" s="280">
        <f t="shared" si="32"/>
        <v>0</v>
      </c>
      <c r="BP21" s="273">
        <f t="shared" si="52"/>
        <v>0</v>
      </c>
      <c r="BQ21" s="277">
        <f t="shared" si="33"/>
        <v>0</v>
      </c>
      <c r="BR21" s="276">
        <f t="shared" si="34"/>
        <v>0</v>
      </c>
      <c r="BS21" s="273">
        <f t="shared" si="53"/>
        <v>0</v>
      </c>
      <c r="BT21" s="277">
        <f t="shared" si="35"/>
        <v>0</v>
      </c>
      <c r="BU21" s="276">
        <f t="shared" si="36"/>
        <v>0</v>
      </c>
      <c r="BV21" s="273">
        <f t="shared" si="54"/>
        <v>0</v>
      </c>
      <c r="BW21" s="277">
        <f t="shared" si="37"/>
        <v>0</v>
      </c>
      <c r="BX21" s="280">
        <f t="shared" si="38"/>
        <v>0</v>
      </c>
      <c r="BY21" s="273">
        <f t="shared" si="55"/>
        <v>0</v>
      </c>
      <c r="BZ21" s="277">
        <f t="shared" si="39"/>
        <v>0</v>
      </c>
      <c r="CA21" s="276">
        <f t="shared" si="40"/>
        <v>0</v>
      </c>
      <c r="CB21" s="273">
        <f t="shared" si="56"/>
        <v>0</v>
      </c>
      <c r="CC21" s="277">
        <f t="shared" si="41"/>
        <v>0</v>
      </c>
    </row>
    <row r="22" spans="1:81" ht="18" customHeight="1" thickBot="1">
      <c r="A22" s="281">
        <f>'Current month'!A21</f>
        <v>44791</v>
      </c>
      <c r="B22" s="231">
        <f>'Current month'!CM21</f>
        <v>0</v>
      </c>
      <c r="C22" s="231">
        <f>'Current month'!CO21</f>
        <v>0</v>
      </c>
      <c r="D22" s="231">
        <f>'Current month'!CQ21</f>
        <v>0</v>
      </c>
      <c r="E22" s="231">
        <f>'Current month'!CJ21</f>
        <v>0</v>
      </c>
      <c r="F22" s="231">
        <f>'Current month'!CV21</f>
        <v>0</v>
      </c>
      <c r="G22" s="231">
        <f>'Current month'!DB21</f>
        <v>0</v>
      </c>
      <c r="H22" s="231">
        <f>'Current month'!CY21</f>
        <v>0</v>
      </c>
      <c r="I22" s="271"/>
      <c r="J22" s="271"/>
      <c r="K22" s="271"/>
      <c r="L22" s="271">
        <f>'Current month'!DE21</f>
        <v>0</v>
      </c>
      <c r="M22" s="231">
        <f>'Current month'!DK21</f>
        <v>0</v>
      </c>
      <c r="N22" s="231">
        <f>'Current month'!DN21</f>
        <v>0</v>
      </c>
      <c r="O22" s="231">
        <f>'Current month'!DQ21</f>
        <v>0</v>
      </c>
      <c r="P22" s="231">
        <f>'Current month'!DT21</f>
        <v>0</v>
      </c>
      <c r="Q22" s="231">
        <f>'Current month'!DW21</f>
        <v>0</v>
      </c>
      <c r="R22" s="231">
        <f>'Current month'!DZ23</f>
        <v>0</v>
      </c>
      <c r="S22" s="231">
        <f>'Current month'!EC21</f>
        <v>0</v>
      </c>
      <c r="T22" s="231">
        <f>'Current month'!DH21</f>
        <v>0</v>
      </c>
      <c r="U22" s="301"/>
      <c r="V22" s="301"/>
      <c r="W22" s="302"/>
      <c r="X22" s="272">
        <f t="shared" si="10"/>
        <v>0</v>
      </c>
      <c r="Y22" s="273">
        <f t="shared" si="0"/>
        <v>0</v>
      </c>
      <c r="Z22" s="273">
        <f t="shared" si="1"/>
        <v>0</v>
      </c>
      <c r="AA22" s="277">
        <f t="shared" si="11"/>
        <v>0</v>
      </c>
      <c r="AB22" s="273">
        <f t="shared" si="57"/>
        <v>0</v>
      </c>
      <c r="AC22" s="276">
        <f t="shared" si="2"/>
        <v>0</v>
      </c>
      <c r="AD22" s="273">
        <f t="shared" si="3"/>
        <v>0</v>
      </c>
      <c r="AE22" s="277">
        <f t="shared" si="4"/>
        <v>0</v>
      </c>
      <c r="AF22" s="277">
        <f t="shared" si="5"/>
        <v>0</v>
      </c>
      <c r="AG22" s="273">
        <f t="shared" si="42"/>
        <v>0</v>
      </c>
      <c r="AH22" s="276">
        <f t="shared" si="12"/>
        <v>0</v>
      </c>
      <c r="AI22" s="273">
        <f t="shared" si="6"/>
        <v>0</v>
      </c>
      <c r="AJ22" s="277">
        <f t="shared" si="7"/>
        <v>0</v>
      </c>
      <c r="AK22" s="277">
        <f t="shared" si="13"/>
        <v>0</v>
      </c>
      <c r="AL22" s="273">
        <f t="shared" si="14"/>
        <v>0</v>
      </c>
      <c r="AM22" s="278">
        <f t="shared" si="8"/>
        <v>0</v>
      </c>
      <c r="AN22" s="273">
        <f t="shared" si="43"/>
        <v>0</v>
      </c>
      <c r="AO22" s="279">
        <f t="shared" si="15"/>
        <v>0</v>
      </c>
      <c r="AP22" s="279">
        <f t="shared" si="16"/>
        <v>0</v>
      </c>
      <c r="AQ22" s="280">
        <f t="shared" si="17"/>
        <v>0</v>
      </c>
      <c r="AR22" s="273">
        <f t="shared" si="44"/>
        <v>0</v>
      </c>
      <c r="AS22" s="277">
        <f t="shared" si="18"/>
        <v>0</v>
      </c>
      <c r="AT22" s="276">
        <f t="shared" si="9"/>
        <v>0</v>
      </c>
      <c r="AU22" s="273">
        <f t="shared" si="45"/>
        <v>0</v>
      </c>
      <c r="AV22" s="277">
        <f t="shared" si="19"/>
        <v>0</v>
      </c>
      <c r="AW22" s="276">
        <f t="shared" si="20"/>
        <v>0</v>
      </c>
      <c r="AX22" s="273">
        <f t="shared" si="46"/>
        <v>0</v>
      </c>
      <c r="AY22" s="277">
        <f t="shared" si="21"/>
        <v>0</v>
      </c>
      <c r="AZ22" s="276">
        <f t="shared" si="22"/>
        <v>0</v>
      </c>
      <c r="BA22" s="273">
        <f t="shared" si="47"/>
        <v>0</v>
      </c>
      <c r="BB22" s="277">
        <f t="shared" si="23"/>
        <v>0</v>
      </c>
      <c r="BC22" s="276">
        <f t="shared" si="24"/>
        <v>0</v>
      </c>
      <c r="BD22" s="273">
        <f t="shared" si="48"/>
        <v>0</v>
      </c>
      <c r="BE22" s="277">
        <f t="shared" si="25"/>
        <v>0</v>
      </c>
      <c r="BF22" s="280">
        <f t="shared" si="26"/>
        <v>0</v>
      </c>
      <c r="BG22" s="273">
        <f t="shared" si="49"/>
        <v>0</v>
      </c>
      <c r="BH22" s="277">
        <f t="shared" si="27"/>
        <v>0</v>
      </c>
      <c r="BI22" s="276">
        <f t="shared" si="28"/>
        <v>0</v>
      </c>
      <c r="BJ22" s="273">
        <f t="shared" si="50"/>
        <v>0</v>
      </c>
      <c r="BK22" s="277">
        <f t="shared" si="29"/>
        <v>0</v>
      </c>
      <c r="BL22" s="276">
        <f t="shared" si="30"/>
        <v>0</v>
      </c>
      <c r="BM22" s="273" t="e">
        <f t="shared" si="51"/>
        <v>#REF!</v>
      </c>
      <c r="BN22" s="277" t="e">
        <f t="shared" si="31"/>
        <v>#REF!</v>
      </c>
      <c r="BO22" s="280">
        <f t="shared" si="32"/>
        <v>0</v>
      </c>
      <c r="BP22" s="273">
        <f t="shared" si="52"/>
        <v>0</v>
      </c>
      <c r="BQ22" s="277">
        <f t="shared" si="33"/>
        <v>0</v>
      </c>
      <c r="BR22" s="276">
        <f t="shared" si="34"/>
        <v>0</v>
      </c>
      <c r="BS22" s="273">
        <f t="shared" si="53"/>
        <v>0</v>
      </c>
      <c r="BT22" s="277">
        <f t="shared" si="35"/>
        <v>0</v>
      </c>
      <c r="BU22" s="276">
        <f t="shared" si="36"/>
        <v>0</v>
      </c>
      <c r="BV22" s="273">
        <f t="shared" si="54"/>
        <v>0</v>
      </c>
      <c r="BW22" s="277">
        <f t="shared" si="37"/>
        <v>0</v>
      </c>
      <c r="BX22" s="280">
        <f t="shared" si="38"/>
        <v>0</v>
      </c>
      <c r="BY22" s="273">
        <f t="shared" si="55"/>
        <v>0</v>
      </c>
      <c r="BZ22" s="277">
        <f t="shared" si="39"/>
        <v>0</v>
      </c>
      <c r="CA22" s="276">
        <f t="shared" si="40"/>
        <v>0</v>
      </c>
      <c r="CB22" s="273">
        <f t="shared" si="56"/>
        <v>0</v>
      </c>
      <c r="CC22" s="277">
        <f t="shared" si="41"/>
        <v>0</v>
      </c>
    </row>
    <row r="23" spans="1:81" ht="18" customHeight="1" thickBot="1">
      <c r="A23" s="281">
        <f>'Current month'!A22</f>
        <v>44792</v>
      </c>
      <c r="B23" s="231">
        <f>'Current month'!CM22</f>
        <v>0</v>
      </c>
      <c r="C23" s="231">
        <f>'Current month'!CO22</f>
        <v>0</v>
      </c>
      <c r="D23" s="231">
        <f>'Current month'!CQ22</f>
        <v>0</v>
      </c>
      <c r="E23" s="231">
        <f>'Current month'!CJ22</f>
        <v>0</v>
      </c>
      <c r="F23" s="231">
        <f>'Current month'!CV22</f>
        <v>0</v>
      </c>
      <c r="G23" s="231">
        <f>'Current month'!DB22</f>
        <v>0</v>
      </c>
      <c r="H23" s="231">
        <f>'Current month'!CY22</f>
        <v>0</v>
      </c>
      <c r="I23" s="271"/>
      <c r="J23" s="271"/>
      <c r="K23" s="271"/>
      <c r="L23" s="271">
        <f>'Current month'!DE22</f>
        <v>0</v>
      </c>
      <c r="M23" s="231">
        <f>'Current month'!DK22</f>
        <v>0</v>
      </c>
      <c r="N23" s="231">
        <f>'Current month'!DN22</f>
        <v>0</v>
      </c>
      <c r="O23" s="231">
        <f>'Current month'!DQ22</f>
        <v>0</v>
      </c>
      <c r="P23" s="231">
        <f>'Current month'!DT22</f>
        <v>0</v>
      </c>
      <c r="Q23" s="231">
        <f>'Current month'!DW22</f>
        <v>0</v>
      </c>
      <c r="R23" s="231">
        <f>'Current month'!DZ22</f>
        <v>0</v>
      </c>
      <c r="S23" s="231">
        <f>'Current month'!EC22</f>
        <v>0</v>
      </c>
      <c r="T23" s="231">
        <f>'Current month'!DH22</f>
        <v>0</v>
      </c>
      <c r="U23" s="299"/>
      <c r="V23" s="299"/>
      <c r="W23" s="300"/>
      <c r="X23" s="272">
        <f t="shared" si="10"/>
        <v>0</v>
      </c>
      <c r="Y23" s="273">
        <f t="shared" si="0"/>
        <v>0</v>
      </c>
      <c r="Z23" s="273">
        <f t="shared" si="1"/>
        <v>0</v>
      </c>
      <c r="AA23" s="277">
        <f t="shared" si="11"/>
        <v>0</v>
      </c>
      <c r="AB23" s="273">
        <f t="shared" si="57"/>
        <v>0</v>
      </c>
      <c r="AC23" s="276">
        <f t="shared" si="2"/>
        <v>0</v>
      </c>
      <c r="AD23" s="273">
        <f t="shared" si="3"/>
        <v>0</v>
      </c>
      <c r="AE23" s="277">
        <f t="shared" si="4"/>
        <v>0</v>
      </c>
      <c r="AF23" s="277">
        <f t="shared" si="5"/>
        <v>0</v>
      </c>
      <c r="AG23" s="273">
        <f t="shared" si="42"/>
        <v>0</v>
      </c>
      <c r="AH23" s="276">
        <f t="shared" si="12"/>
        <v>0</v>
      </c>
      <c r="AI23" s="273">
        <f t="shared" si="6"/>
        <v>0</v>
      </c>
      <c r="AJ23" s="277">
        <f t="shared" si="7"/>
        <v>0</v>
      </c>
      <c r="AK23" s="277">
        <f t="shared" si="13"/>
        <v>0</v>
      </c>
      <c r="AL23" s="273">
        <f t="shared" si="14"/>
        <v>0</v>
      </c>
      <c r="AM23" s="278">
        <f t="shared" si="8"/>
        <v>0</v>
      </c>
      <c r="AN23" s="273">
        <f t="shared" si="43"/>
        <v>0</v>
      </c>
      <c r="AO23" s="279">
        <f t="shared" si="15"/>
        <v>0</v>
      </c>
      <c r="AP23" s="279">
        <f t="shared" si="16"/>
        <v>0</v>
      </c>
      <c r="AQ23" s="280">
        <f t="shared" si="17"/>
        <v>0</v>
      </c>
      <c r="AR23" s="273">
        <f t="shared" si="44"/>
        <v>0</v>
      </c>
      <c r="AS23" s="277">
        <f t="shared" si="18"/>
        <v>0</v>
      </c>
      <c r="AT23" s="276">
        <f t="shared" si="9"/>
        <v>0</v>
      </c>
      <c r="AU23" s="273">
        <f t="shared" si="45"/>
        <v>0</v>
      </c>
      <c r="AV23" s="277">
        <f t="shared" si="19"/>
        <v>0</v>
      </c>
      <c r="AW23" s="276">
        <f t="shared" si="20"/>
        <v>0</v>
      </c>
      <c r="AX23" s="273">
        <f t="shared" si="46"/>
        <v>0</v>
      </c>
      <c r="AY23" s="277">
        <f t="shared" si="21"/>
        <v>0</v>
      </c>
      <c r="AZ23" s="276">
        <f t="shared" si="22"/>
        <v>0</v>
      </c>
      <c r="BA23" s="273">
        <f t="shared" si="47"/>
        <v>0</v>
      </c>
      <c r="BB23" s="277">
        <f t="shared" si="23"/>
        <v>0</v>
      </c>
      <c r="BC23" s="276">
        <f t="shared" si="24"/>
        <v>0</v>
      </c>
      <c r="BD23" s="273">
        <f t="shared" si="48"/>
        <v>0</v>
      </c>
      <c r="BE23" s="277">
        <f t="shared" si="25"/>
        <v>0</v>
      </c>
      <c r="BF23" s="280">
        <f t="shared" si="26"/>
        <v>0</v>
      </c>
      <c r="BG23" s="273">
        <f t="shared" si="49"/>
        <v>0</v>
      </c>
      <c r="BH23" s="277">
        <f t="shared" si="27"/>
        <v>0</v>
      </c>
      <c r="BI23" s="276">
        <f t="shared" si="28"/>
        <v>0</v>
      </c>
      <c r="BJ23" s="273">
        <f t="shared" si="50"/>
        <v>0</v>
      </c>
      <c r="BK23" s="277">
        <f t="shared" si="29"/>
        <v>0</v>
      </c>
      <c r="BL23" s="276">
        <f t="shared" si="30"/>
        <v>0</v>
      </c>
      <c r="BM23" s="273">
        <f t="shared" si="51"/>
        <v>0</v>
      </c>
      <c r="BN23" s="277">
        <f t="shared" si="31"/>
        <v>0</v>
      </c>
      <c r="BO23" s="280">
        <f t="shared" si="32"/>
        <v>0</v>
      </c>
      <c r="BP23" s="273">
        <f t="shared" si="52"/>
        <v>0</v>
      </c>
      <c r="BQ23" s="277">
        <f t="shared" si="33"/>
        <v>0</v>
      </c>
      <c r="BR23" s="276">
        <f t="shared" si="34"/>
        <v>0</v>
      </c>
      <c r="BS23" s="273">
        <f t="shared" si="53"/>
        <v>0</v>
      </c>
      <c r="BT23" s="277">
        <f t="shared" si="35"/>
        <v>0</v>
      </c>
      <c r="BU23" s="276">
        <f t="shared" si="36"/>
        <v>0</v>
      </c>
      <c r="BV23" s="273">
        <f t="shared" si="54"/>
        <v>0</v>
      </c>
      <c r="BW23" s="277">
        <f t="shared" si="37"/>
        <v>0</v>
      </c>
      <c r="BX23" s="280">
        <f t="shared" si="38"/>
        <v>0</v>
      </c>
      <c r="BY23" s="273">
        <f t="shared" si="55"/>
        <v>0</v>
      </c>
      <c r="BZ23" s="277">
        <f t="shared" si="39"/>
        <v>0</v>
      </c>
      <c r="CA23" s="276">
        <f t="shared" si="40"/>
        <v>0</v>
      </c>
      <c r="CB23" s="273">
        <f t="shared" si="56"/>
        <v>0</v>
      </c>
      <c r="CC23" s="277">
        <f t="shared" si="41"/>
        <v>0</v>
      </c>
    </row>
    <row r="24" spans="1:81" ht="18" customHeight="1" thickBot="1">
      <c r="A24" s="281">
        <f>'Current month'!A23</f>
        <v>44793</v>
      </c>
      <c r="B24" s="231">
        <f>'Current month'!CM23</f>
        <v>0</v>
      </c>
      <c r="C24" s="231">
        <f>'Current month'!CO23</f>
        <v>0</v>
      </c>
      <c r="D24" s="231">
        <f>'Current month'!CQ23</f>
        <v>0</v>
      </c>
      <c r="E24" s="231">
        <f>'Current month'!CJ23</f>
        <v>0</v>
      </c>
      <c r="F24" s="231">
        <f>'Current month'!CV23</f>
        <v>0</v>
      </c>
      <c r="G24" s="231">
        <f>'Current month'!DB23</f>
        <v>0</v>
      </c>
      <c r="H24" s="231">
        <f>'Current month'!CY23</f>
        <v>0</v>
      </c>
      <c r="I24" s="271"/>
      <c r="J24" s="271"/>
      <c r="K24" s="271"/>
      <c r="L24" s="271">
        <f>'Current month'!DE23</f>
        <v>0</v>
      </c>
      <c r="M24" s="231">
        <f>'Current month'!DK23</f>
        <v>0</v>
      </c>
      <c r="N24" s="231">
        <f>'Current month'!DN23</f>
        <v>0</v>
      </c>
      <c r="O24" s="231">
        <f>'Current month'!DQ23</f>
        <v>0</v>
      </c>
      <c r="P24" s="231">
        <f>'Current month'!DT23</f>
        <v>0</v>
      </c>
      <c r="Q24" s="231">
        <f>'Current month'!DW23</f>
        <v>0</v>
      </c>
      <c r="R24" s="231" t="e">
        <f>'Current month'!#REF!</f>
        <v>#REF!</v>
      </c>
      <c r="S24" s="231">
        <f>'Current month'!EC23</f>
        <v>0</v>
      </c>
      <c r="T24" s="231">
        <f>'Current month'!DH23</f>
        <v>0</v>
      </c>
      <c r="U24" s="299"/>
      <c r="V24" s="299"/>
      <c r="W24" s="300"/>
      <c r="X24" s="272">
        <f t="shared" si="10"/>
        <v>0</v>
      </c>
      <c r="Y24" s="273">
        <f>(X24*19075)/100</f>
        <v>0</v>
      </c>
      <c r="Z24" s="273">
        <f t="shared" si="1"/>
        <v>0</v>
      </c>
      <c r="AA24" s="277">
        <f t="shared" si="11"/>
        <v>0</v>
      </c>
      <c r="AB24" s="273">
        <f t="shared" si="57"/>
        <v>0</v>
      </c>
      <c r="AC24" s="276">
        <f t="shared" si="2"/>
        <v>0</v>
      </c>
      <c r="AD24" s="273">
        <f>(AC24*19075)/100</f>
        <v>0</v>
      </c>
      <c r="AE24" s="277">
        <f t="shared" si="4"/>
        <v>0</v>
      </c>
      <c r="AF24" s="277">
        <f t="shared" si="5"/>
        <v>0</v>
      </c>
      <c r="AG24" s="273">
        <f t="shared" si="42"/>
        <v>0</v>
      </c>
      <c r="AH24" s="276">
        <f t="shared" si="12"/>
        <v>0</v>
      </c>
      <c r="AI24" s="273">
        <f>(AH24*19075)/100</f>
        <v>0</v>
      </c>
      <c r="AJ24" s="277">
        <f t="shared" si="7"/>
        <v>0</v>
      </c>
      <c r="AK24" s="277">
        <f t="shared" si="13"/>
        <v>0</v>
      </c>
      <c r="AL24" s="273">
        <f t="shared" si="14"/>
        <v>0</v>
      </c>
      <c r="AM24" s="278">
        <f t="shared" si="8"/>
        <v>0</v>
      </c>
      <c r="AN24" s="273">
        <f t="shared" si="43"/>
        <v>0</v>
      </c>
      <c r="AO24" s="279">
        <f t="shared" si="15"/>
        <v>0</v>
      </c>
      <c r="AP24" s="279">
        <f t="shared" si="16"/>
        <v>0</v>
      </c>
      <c r="AQ24" s="280">
        <f t="shared" si="17"/>
        <v>0</v>
      </c>
      <c r="AR24" s="273">
        <f t="shared" si="44"/>
        <v>0</v>
      </c>
      <c r="AS24" s="277">
        <f t="shared" si="18"/>
        <v>0</v>
      </c>
      <c r="AT24" s="276">
        <f t="shared" si="9"/>
        <v>0</v>
      </c>
      <c r="AU24" s="273">
        <f t="shared" si="45"/>
        <v>0</v>
      </c>
      <c r="AV24" s="277">
        <f t="shared" si="19"/>
        <v>0</v>
      </c>
      <c r="AW24" s="276">
        <f t="shared" si="20"/>
        <v>0</v>
      </c>
      <c r="AX24" s="273">
        <f t="shared" si="46"/>
        <v>0</v>
      </c>
      <c r="AY24" s="277">
        <f t="shared" si="21"/>
        <v>0</v>
      </c>
      <c r="AZ24" s="276">
        <f t="shared" si="22"/>
        <v>0</v>
      </c>
      <c r="BA24" s="273">
        <f t="shared" si="47"/>
        <v>0</v>
      </c>
      <c r="BB24" s="277">
        <f t="shared" si="23"/>
        <v>0</v>
      </c>
      <c r="BC24" s="276">
        <f t="shared" si="24"/>
        <v>0</v>
      </c>
      <c r="BD24" s="273">
        <f t="shared" si="48"/>
        <v>0</v>
      </c>
      <c r="BE24" s="277">
        <f t="shared" si="25"/>
        <v>0</v>
      </c>
      <c r="BF24" s="280">
        <f t="shared" si="26"/>
        <v>0</v>
      </c>
      <c r="BG24" s="273">
        <f t="shared" si="49"/>
        <v>0</v>
      </c>
      <c r="BH24" s="277">
        <f t="shared" si="27"/>
        <v>0</v>
      </c>
      <c r="BI24" s="276">
        <f t="shared" si="28"/>
        <v>0</v>
      </c>
      <c r="BJ24" s="273">
        <f t="shared" si="50"/>
        <v>0</v>
      </c>
      <c r="BK24" s="277">
        <f t="shared" si="29"/>
        <v>0</v>
      </c>
      <c r="BL24" s="276">
        <f t="shared" si="30"/>
        <v>0</v>
      </c>
      <c r="BM24" s="273">
        <f t="shared" si="51"/>
        <v>0</v>
      </c>
      <c r="BN24" s="277">
        <f t="shared" si="31"/>
        <v>0</v>
      </c>
      <c r="BO24" s="280">
        <f t="shared" si="32"/>
        <v>0</v>
      </c>
      <c r="BP24" s="273">
        <f t="shared" si="52"/>
        <v>0</v>
      </c>
      <c r="BQ24" s="277">
        <f t="shared" si="33"/>
        <v>0</v>
      </c>
      <c r="BR24" s="276">
        <f t="shared" si="34"/>
        <v>0</v>
      </c>
      <c r="BS24" s="273">
        <f t="shared" si="53"/>
        <v>0</v>
      </c>
      <c r="BT24" s="277">
        <f t="shared" si="35"/>
        <v>0</v>
      </c>
      <c r="BU24" s="276" t="e">
        <f t="shared" si="36"/>
        <v>#REF!</v>
      </c>
      <c r="BV24" s="273" t="e">
        <f t="shared" si="54"/>
        <v>#REF!</v>
      </c>
      <c r="BW24" s="277" t="e">
        <f t="shared" si="37"/>
        <v>#REF!</v>
      </c>
      <c r="BX24" s="280">
        <f t="shared" si="38"/>
        <v>0</v>
      </c>
      <c r="BY24" s="273">
        <f t="shared" si="55"/>
        <v>0</v>
      </c>
      <c r="BZ24" s="277">
        <f t="shared" si="39"/>
        <v>0</v>
      </c>
      <c r="CA24" s="276">
        <f t="shared" si="40"/>
        <v>0</v>
      </c>
      <c r="CB24" s="273">
        <f t="shared" si="56"/>
        <v>0</v>
      </c>
      <c r="CC24" s="277">
        <f t="shared" si="41"/>
        <v>0</v>
      </c>
    </row>
    <row r="25" spans="1:81" ht="18" customHeight="1" thickBot="1">
      <c r="A25" s="281">
        <f>'Current month'!A24</f>
        <v>44794</v>
      </c>
      <c r="B25" s="231">
        <f>'Current month'!CM24</f>
        <v>0</v>
      </c>
      <c r="C25" s="231">
        <f>'Current month'!CO24</f>
        <v>0</v>
      </c>
      <c r="D25" s="231">
        <f>'Current month'!CQ24</f>
        <v>0</v>
      </c>
      <c r="E25" s="231">
        <f>'Current month'!CJ24</f>
        <v>0</v>
      </c>
      <c r="F25" s="231">
        <f>'Current month'!CV24</f>
        <v>0</v>
      </c>
      <c r="G25" s="231">
        <f>'Current month'!DB24</f>
        <v>0</v>
      </c>
      <c r="H25" s="231">
        <f>'Current month'!CY24</f>
        <v>0</v>
      </c>
      <c r="I25" s="271"/>
      <c r="J25" s="271"/>
      <c r="K25" s="271"/>
      <c r="L25" s="271">
        <f>'Current month'!DE24</f>
        <v>0</v>
      </c>
      <c r="M25" s="231">
        <f>'Current month'!DK24</f>
        <v>0</v>
      </c>
      <c r="N25" s="231">
        <f>'Current month'!DN24</f>
        <v>0</v>
      </c>
      <c r="O25" s="231">
        <f>'Current month'!DQ24</f>
        <v>0</v>
      </c>
      <c r="P25" s="231">
        <f>'Current month'!DT24</f>
        <v>0</v>
      </c>
      <c r="Q25" s="231">
        <f>'Current month'!DW24</f>
        <v>0</v>
      </c>
      <c r="R25" s="231">
        <f>'Current month'!DZ24</f>
        <v>0</v>
      </c>
      <c r="S25" s="231">
        <f>'Current month'!EC24</f>
        <v>0</v>
      </c>
      <c r="T25" s="231">
        <f>'Current month'!DH24</f>
        <v>0</v>
      </c>
      <c r="U25" s="299"/>
      <c r="V25" s="299"/>
      <c r="W25" s="300"/>
      <c r="X25" s="272">
        <f t="shared" si="10"/>
        <v>0</v>
      </c>
      <c r="Y25" s="273">
        <f t="shared" ref="Y25:Y36" si="58">(X25*19075)/100</f>
        <v>0</v>
      </c>
      <c r="Z25" s="273">
        <f t="shared" si="1"/>
        <v>0</v>
      </c>
      <c r="AA25" s="277">
        <f t="shared" si="11"/>
        <v>0</v>
      </c>
      <c r="AB25" s="273">
        <f t="shared" si="57"/>
        <v>0</v>
      </c>
      <c r="AC25" s="276">
        <f t="shared" si="2"/>
        <v>0</v>
      </c>
      <c r="AD25" s="273">
        <f t="shared" ref="AD25:AD36" si="59">(AC25*19075)/100</f>
        <v>0</v>
      </c>
      <c r="AE25" s="277">
        <f t="shared" si="4"/>
        <v>0</v>
      </c>
      <c r="AF25" s="277">
        <f t="shared" si="5"/>
        <v>0</v>
      </c>
      <c r="AG25" s="273">
        <f t="shared" si="42"/>
        <v>0</v>
      </c>
      <c r="AH25" s="276">
        <f t="shared" si="12"/>
        <v>0</v>
      </c>
      <c r="AI25" s="273">
        <f t="shared" ref="AI25:AI36" si="60">(AH25*19075)/100</f>
        <v>0</v>
      </c>
      <c r="AJ25" s="277">
        <f t="shared" si="7"/>
        <v>0</v>
      </c>
      <c r="AK25" s="277">
        <f t="shared" si="13"/>
        <v>0</v>
      </c>
      <c r="AL25" s="273">
        <f t="shared" si="14"/>
        <v>0</v>
      </c>
      <c r="AM25" s="278">
        <f t="shared" si="8"/>
        <v>0</v>
      </c>
      <c r="AN25" s="273">
        <f t="shared" si="43"/>
        <v>0</v>
      </c>
      <c r="AO25" s="279">
        <f t="shared" si="15"/>
        <v>0</v>
      </c>
      <c r="AP25" s="279">
        <f t="shared" si="16"/>
        <v>0</v>
      </c>
      <c r="AQ25" s="280">
        <f t="shared" si="17"/>
        <v>0</v>
      </c>
      <c r="AR25" s="273">
        <f t="shared" si="44"/>
        <v>0</v>
      </c>
      <c r="AS25" s="277">
        <f t="shared" si="18"/>
        <v>0</v>
      </c>
      <c r="AT25" s="276">
        <f t="shared" si="9"/>
        <v>0</v>
      </c>
      <c r="AU25" s="273">
        <f t="shared" si="45"/>
        <v>0</v>
      </c>
      <c r="AV25" s="277">
        <f t="shared" si="19"/>
        <v>0</v>
      </c>
      <c r="AW25" s="276">
        <f t="shared" si="20"/>
        <v>0</v>
      </c>
      <c r="AX25" s="273">
        <f t="shared" si="46"/>
        <v>0</v>
      </c>
      <c r="AY25" s="277">
        <f t="shared" si="21"/>
        <v>0</v>
      </c>
      <c r="AZ25" s="276">
        <f t="shared" si="22"/>
        <v>0</v>
      </c>
      <c r="BA25" s="273">
        <f t="shared" si="47"/>
        <v>0</v>
      </c>
      <c r="BB25" s="277">
        <f t="shared" si="23"/>
        <v>0</v>
      </c>
      <c r="BC25" s="276">
        <f t="shared" si="24"/>
        <v>0</v>
      </c>
      <c r="BD25" s="273">
        <f t="shared" si="48"/>
        <v>0</v>
      </c>
      <c r="BE25" s="277">
        <f t="shared" si="25"/>
        <v>0</v>
      </c>
      <c r="BF25" s="280">
        <f t="shared" si="26"/>
        <v>0</v>
      </c>
      <c r="BG25" s="273">
        <f t="shared" si="49"/>
        <v>0</v>
      </c>
      <c r="BH25" s="277">
        <f t="shared" si="27"/>
        <v>0</v>
      </c>
      <c r="BI25" s="276">
        <f t="shared" si="28"/>
        <v>0</v>
      </c>
      <c r="BJ25" s="273">
        <f t="shared" si="50"/>
        <v>0</v>
      </c>
      <c r="BK25" s="277">
        <f t="shared" si="29"/>
        <v>0</v>
      </c>
      <c r="BL25" s="276">
        <f t="shared" si="30"/>
        <v>0</v>
      </c>
      <c r="BM25" s="273">
        <f t="shared" si="51"/>
        <v>0</v>
      </c>
      <c r="BN25" s="277">
        <f t="shared" si="31"/>
        <v>0</v>
      </c>
      <c r="BO25" s="280">
        <f t="shared" si="32"/>
        <v>0</v>
      </c>
      <c r="BP25" s="273">
        <f t="shared" si="52"/>
        <v>0</v>
      </c>
      <c r="BQ25" s="277">
        <f t="shared" si="33"/>
        <v>0</v>
      </c>
      <c r="BR25" s="276">
        <f t="shared" si="34"/>
        <v>0</v>
      </c>
      <c r="BS25" s="273">
        <f t="shared" si="53"/>
        <v>0</v>
      </c>
      <c r="BT25" s="277">
        <f t="shared" si="35"/>
        <v>0</v>
      </c>
      <c r="BU25" s="276">
        <f t="shared" si="36"/>
        <v>0</v>
      </c>
      <c r="BV25" s="273" t="e">
        <f t="shared" si="54"/>
        <v>#REF!</v>
      </c>
      <c r="BW25" s="277" t="e">
        <f t="shared" si="37"/>
        <v>#REF!</v>
      </c>
      <c r="BX25" s="280">
        <f t="shared" si="38"/>
        <v>0</v>
      </c>
      <c r="BY25" s="273">
        <f t="shared" si="55"/>
        <v>0</v>
      </c>
      <c r="BZ25" s="277">
        <f t="shared" si="39"/>
        <v>0</v>
      </c>
      <c r="CA25" s="276">
        <f t="shared" si="40"/>
        <v>0</v>
      </c>
      <c r="CB25" s="273">
        <f t="shared" si="56"/>
        <v>0</v>
      </c>
      <c r="CC25" s="277">
        <f t="shared" si="41"/>
        <v>0</v>
      </c>
    </row>
    <row r="26" spans="1:81" ht="18" customHeight="1" thickBot="1">
      <c r="A26" s="281">
        <f>'Current month'!A25</f>
        <v>44795</v>
      </c>
      <c r="B26" s="231">
        <f>'Current month'!CM25</f>
        <v>0</v>
      </c>
      <c r="C26" s="231">
        <f>'Current month'!CO25</f>
        <v>0</v>
      </c>
      <c r="D26" s="231">
        <f>'Current month'!CQ25</f>
        <v>0</v>
      </c>
      <c r="E26" s="231">
        <f>'Current month'!CJ25</f>
        <v>0</v>
      </c>
      <c r="F26" s="231">
        <f>'Current month'!CV25</f>
        <v>0</v>
      </c>
      <c r="G26" s="231">
        <f>'Current month'!DB25</f>
        <v>0</v>
      </c>
      <c r="H26" s="231">
        <f>'Current month'!CY25</f>
        <v>0</v>
      </c>
      <c r="I26" s="271"/>
      <c r="J26" s="271"/>
      <c r="K26" s="271"/>
      <c r="L26" s="271">
        <f>'Current month'!DE25</f>
        <v>0</v>
      </c>
      <c r="M26" s="231">
        <f>'Current month'!DK25</f>
        <v>0</v>
      </c>
      <c r="N26" s="231">
        <f>'Current month'!DN25</f>
        <v>0</v>
      </c>
      <c r="O26" s="231">
        <f>'Current month'!DQ25</f>
        <v>0</v>
      </c>
      <c r="P26" s="231">
        <f>'Current month'!DT25</f>
        <v>0</v>
      </c>
      <c r="Q26" s="231">
        <f>'Current month'!DW25</f>
        <v>0</v>
      </c>
      <c r="R26" s="231">
        <f>'Current month'!DZ25</f>
        <v>0</v>
      </c>
      <c r="S26" s="231">
        <f>'Current month'!EC25</f>
        <v>0</v>
      </c>
      <c r="T26" s="231">
        <f>'Current month'!DH25</f>
        <v>0</v>
      </c>
      <c r="U26" s="299"/>
      <c r="V26" s="299"/>
      <c r="W26" s="300"/>
      <c r="X26" s="272">
        <f t="shared" si="10"/>
        <v>0</v>
      </c>
      <c r="Y26" s="273">
        <f t="shared" si="58"/>
        <v>0</v>
      </c>
      <c r="Z26" s="273">
        <f t="shared" si="1"/>
        <v>0</v>
      </c>
      <c r="AA26" s="277">
        <f t="shared" si="11"/>
        <v>0</v>
      </c>
      <c r="AB26" s="273">
        <f t="shared" si="57"/>
        <v>0</v>
      </c>
      <c r="AC26" s="276">
        <f t="shared" si="2"/>
        <v>0</v>
      </c>
      <c r="AD26" s="273">
        <f t="shared" si="59"/>
        <v>0</v>
      </c>
      <c r="AE26" s="277">
        <f t="shared" si="4"/>
        <v>0</v>
      </c>
      <c r="AF26" s="277">
        <f t="shared" si="5"/>
        <v>0</v>
      </c>
      <c r="AG26" s="273">
        <f t="shared" si="42"/>
        <v>0</v>
      </c>
      <c r="AH26" s="276">
        <f t="shared" si="12"/>
        <v>0</v>
      </c>
      <c r="AI26" s="273">
        <f t="shared" si="60"/>
        <v>0</v>
      </c>
      <c r="AJ26" s="277">
        <f t="shared" si="7"/>
        <v>0</v>
      </c>
      <c r="AK26" s="277">
        <f t="shared" si="13"/>
        <v>0</v>
      </c>
      <c r="AL26" s="273">
        <f t="shared" si="14"/>
        <v>0</v>
      </c>
      <c r="AM26" s="278">
        <f t="shared" si="8"/>
        <v>0</v>
      </c>
      <c r="AN26" s="273">
        <f t="shared" si="43"/>
        <v>0</v>
      </c>
      <c r="AO26" s="279">
        <f t="shared" si="15"/>
        <v>0</v>
      </c>
      <c r="AP26" s="279">
        <f t="shared" si="16"/>
        <v>0</v>
      </c>
      <c r="AQ26" s="280">
        <f t="shared" si="17"/>
        <v>0</v>
      </c>
      <c r="AR26" s="273">
        <f t="shared" si="44"/>
        <v>0</v>
      </c>
      <c r="AS26" s="277">
        <f t="shared" si="18"/>
        <v>0</v>
      </c>
      <c r="AT26" s="276">
        <f t="shared" si="9"/>
        <v>0</v>
      </c>
      <c r="AU26" s="273">
        <f t="shared" si="45"/>
        <v>0</v>
      </c>
      <c r="AV26" s="277">
        <f t="shared" si="19"/>
        <v>0</v>
      </c>
      <c r="AW26" s="276">
        <f t="shared" si="20"/>
        <v>0</v>
      </c>
      <c r="AX26" s="273">
        <f t="shared" si="46"/>
        <v>0</v>
      </c>
      <c r="AY26" s="277">
        <f t="shared" si="21"/>
        <v>0</v>
      </c>
      <c r="AZ26" s="276">
        <f t="shared" si="22"/>
        <v>0</v>
      </c>
      <c r="BA26" s="273">
        <f t="shared" si="47"/>
        <v>0</v>
      </c>
      <c r="BB26" s="277">
        <f t="shared" si="23"/>
        <v>0</v>
      </c>
      <c r="BC26" s="276">
        <f t="shared" si="24"/>
        <v>0</v>
      </c>
      <c r="BD26" s="273">
        <f t="shared" si="48"/>
        <v>0</v>
      </c>
      <c r="BE26" s="277">
        <f t="shared" si="25"/>
        <v>0</v>
      </c>
      <c r="BF26" s="280">
        <f t="shared" si="26"/>
        <v>0</v>
      </c>
      <c r="BG26" s="273">
        <f t="shared" si="49"/>
        <v>0</v>
      </c>
      <c r="BH26" s="277">
        <f t="shared" si="27"/>
        <v>0</v>
      </c>
      <c r="BI26" s="276">
        <f t="shared" si="28"/>
        <v>0</v>
      </c>
      <c r="BJ26" s="273">
        <f t="shared" si="50"/>
        <v>0</v>
      </c>
      <c r="BK26" s="277">
        <f t="shared" si="29"/>
        <v>0</v>
      </c>
      <c r="BL26" s="276">
        <f t="shared" si="30"/>
        <v>0</v>
      </c>
      <c r="BM26" s="273">
        <f t="shared" si="51"/>
        <v>0</v>
      </c>
      <c r="BN26" s="277">
        <f t="shared" si="31"/>
        <v>0</v>
      </c>
      <c r="BO26" s="280">
        <f t="shared" si="32"/>
        <v>0</v>
      </c>
      <c r="BP26" s="273">
        <f t="shared" si="52"/>
        <v>0</v>
      </c>
      <c r="BQ26" s="277">
        <f t="shared" si="33"/>
        <v>0</v>
      </c>
      <c r="BR26" s="276">
        <f t="shared" si="34"/>
        <v>0</v>
      </c>
      <c r="BS26" s="273">
        <f t="shared" si="53"/>
        <v>0</v>
      </c>
      <c r="BT26" s="277">
        <f t="shared" si="35"/>
        <v>0</v>
      </c>
      <c r="BU26" s="276">
        <f t="shared" si="36"/>
        <v>0</v>
      </c>
      <c r="BV26" s="273">
        <f t="shared" si="54"/>
        <v>0</v>
      </c>
      <c r="BW26" s="277">
        <f t="shared" si="37"/>
        <v>0</v>
      </c>
      <c r="BX26" s="280">
        <f t="shared" si="38"/>
        <v>0</v>
      </c>
      <c r="BY26" s="273">
        <f t="shared" si="55"/>
        <v>0</v>
      </c>
      <c r="BZ26" s="277">
        <f t="shared" si="39"/>
        <v>0</v>
      </c>
      <c r="CA26" s="276">
        <f t="shared" si="40"/>
        <v>0</v>
      </c>
      <c r="CB26" s="273">
        <f t="shared" si="56"/>
        <v>0</v>
      </c>
      <c r="CC26" s="277">
        <f t="shared" si="41"/>
        <v>0</v>
      </c>
    </row>
    <row r="27" spans="1:81" ht="18" customHeight="1" thickBot="1">
      <c r="A27" s="281">
        <f>'Current month'!A26</f>
        <v>44796</v>
      </c>
      <c r="B27" s="231">
        <f>'Current month'!CM26</f>
        <v>0</v>
      </c>
      <c r="C27" s="231">
        <f>'Current month'!CO26</f>
        <v>0</v>
      </c>
      <c r="D27" s="231">
        <f>'Current month'!CQ26</f>
        <v>0</v>
      </c>
      <c r="E27" s="231">
        <f>'Current month'!CJ26</f>
        <v>0</v>
      </c>
      <c r="F27" s="231">
        <f>'Current month'!CV26</f>
        <v>0</v>
      </c>
      <c r="G27" s="231">
        <f>'Current month'!DB26</f>
        <v>0</v>
      </c>
      <c r="H27" s="231">
        <f>'Current month'!CY26</f>
        <v>0</v>
      </c>
      <c r="I27" s="271"/>
      <c r="J27" s="271"/>
      <c r="K27" s="271"/>
      <c r="L27" s="271">
        <f>'Current month'!DE26</f>
        <v>0</v>
      </c>
      <c r="M27" s="231">
        <f>'Current month'!DK26</f>
        <v>0</v>
      </c>
      <c r="N27" s="231">
        <f>'Current month'!DN26</f>
        <v>0</v>
      </c>
      <c r="O27" s="231">
        <f>'Current month'!DQ26</f>
        <v>0</v>
      </c>
      <c r="P27" s="231">
        <f>'Current month'!DT26</f>
        <v>0</v>
      </c>
      <c r="Q27" s="231">
        <f>'Current month'!DW26</f>
        <v>0</v>
      </c>
      <c r="R27" s="231">
        <f>'Current month'!DZ26</f>
        <v>0</v>
      </c>
      <c r="S27" s="231">
        <f>'Current month'!EC26</f>
        <v>0</v>
      </c>
      <c r="T27" s="231">
        <f>'Current month'!DH26</f>
        <v>0</v>
      </c>
      <c r="U27" s="299"/>
      <c r="V27" s="299"/>
      <c r="W27" s="300"/>
      <c r="X27" s="272">
        <f t="shared" si="10"/>
        <v>0</v>
      </c>
      <c r="Y27" s="273">
        <f t="shared" si="58"/>
        <v>0</v>
      </c>
      <c r="Z27" s="273">
        <f t="shared" si="1"/>
        <v>0</v>
      </c>
      <c r="AA27" s="277">
        <f t="shared" si="11"/>
        <v>0</v>
      </c>
      <c r="AB27" s="273">
        <f t="shared" si="57"/>
        <v>0</v>
      </c>
      <c r="AC27" s="276">
        <f t="shared" si="2"/>
        <v>0</v>
      </c>
      <c r="AD27" s="273">
        <f t="shared" si="59"/>
        <v>0</v>
      </c>
      <c r="AE27" s="277">
        <f t="shared" si="4"/>
        <v>0</v>
      </c>
      <c r="AF27" s="277">
        <f t="shared" si="5"/>
        <v>0</v>
      </c>
      <c r="AG27" s="273">
        <f t="shared" si="42"/>
        <v>0</v>
      </c>
      <c r="AH27" s="276">
        <f t="shared" si="12"/>
        <v>0</v>
      </c>
      <c r="AI27" s="273">
        <f t="shared" si="60"/>
        <v>0</v>
      </c>
      <c r="AJ27" s="277">
        <f t="shared" si="7"/>
        <v>0</v>
      </c>
      <c r="AK27" s="277">
        <f t="shared" si="13"/>
        <v>0</v>
      </c>
      <c r="AL27" s="273">
        <f t="shared" si="14"/>
        <v>0</v>
      </c>
      <c r="AM27" s="278">
        <f t="shared" si="8"/>
        <v>0</v>
      </c>
      <c r="AN27" s="273">
        <f t="shared" si="43"/>
        <v>0</v>
      </c>
      <c r="AO27" s="279">
        <f t="shared" si="15"/>
        <v>0</v>
      </c>
      <c r="AP27" s="279">
        <f t="shared" si="16"/>
        <v>0</v>
      </c>
      <c r="AQ27" s="280">
        <f t="shared" si="17"/>
        <v>0</v>
      </c>
      <c r="AR27" s="273">
        <f t="shared" si="44"/>
        <v>0</v>
      </c>
      <c r="AS27" s="277">
        <f t="shared" si="18"/>
        <v>0</v>
      </c>
      <c r="AT27" s="276">
        <f t="shared" si="9"/>
        <v>0</v>
      </c>
      <c r="AU27" s="273">
        <f t="shared" si="45"/>
        <v>0</v>
      </c>
      <c r="AV27" s="277">
        <f t="shared" si="19"/>
        <v>0</v>
      </c>
      <c r="AW27" s="276">
        <f t="shared" si="20"/>
        <v>0</v>
      </c>
      <c r="AX27" s="273">
        <f t="shared" si="46"/>
        <v>0</v>
      </c>
      <c r="AY27" s="277">
        <f t="shared" si="21"/>
        <v>0</v>
      </c>
      <c r="AZ27" s="276">
        <f t="shared" si="22"/>
        <v>0</v>
      </c>
      <c r="BA27" s="273">
        <f t="shared" si="47"/>
        <v>0</v>
      </c>
      <c r="BB27" s="277">
        <f t="shared" si="23"/>
        <v>0</v>
      </c>
      <c r="BC27" s="276">
        <f t="shared" si="24"/>
        <v>0</v>
      </c>
      <c r="BD27" s="273">
        <f t="shared" si="48"/>
        <v>0</v>
      </c>
      <c r="BE27" s="277">
        <f t="shared" si="25"/>
        <v>0</v>
      </c>
      <c r="BF27" s="280">
        <f t="shared" si="26"/>
        <v>0</v>
      </c>
      <c r="BG27" s="273">
        <f t="shared" si="49"/>
        <v>0</v>
      </c>
      <c r="BH27" s="277">
        <f t="shared" si="27"/>
        <v>0</v>
      </c>
      <c r="BI27" s="276">
        <f t="shared" si="28"/>
        <v>0</v>
      </c>
      <c r="BJ27" s="273">
        <f t="shared" si="50"/>
        <v>0</v>
      </c>
      <c r="BK27" s="277">
        <f t="shared" si="29"/>
        <v>0</v>
      </c>
      <c r="BL27" s="276">
        <f t="shared" si="30"/>
        <v>0</v>
      </c>
      <c r="BM27" s="273">
        <f t="shared" si="51"/>
        <v>0</v>
      </c>
      <c r="BN27" s="277">
        <f t="shared" si="31"/>
        <v>0</v>
      </c>
      <c r="BO27" s="280">
        <f t="shared" si="32"/>
        <v>0</v>
      </c>
      <c r="BP27" s="273">
        <f t="shared" si="52"/>
        <v>0</v>
      </c>
      <c r="BQ27" s="277">
        <f t="shared" si="33"/>
        <v>0</v>
      </c>
      <c r="BR27" s="276">
        <f t="shared" si="34"/>
        <v>0</v>
      </c>
      <c r="BS27" s="273">
        <f t="shared" si="53"/>
        <v>0</v>
      </c>
      <c r="BT27" s="277">
        <f t="shared" si="35"/>
        <v>0</v>
      </c>
      <c r="BU27" s="276">
        <f t="shared" si="36"/>
        <v>0</v>
      </c>
      <c r="BV27" s="273">
        <f t="shared" si="54"/>
        <v>0</v>
      </c>
      <c r="BW27" s="277">
        <f t="shared" si="37"/>
        <v>0</v>
      </c>
      <c r="BX27" s="280">
        <f t="shared" si="38"/>
        <v>0</v>
      </c>
      <c r="BY27" s="273">
        <f t="shared" si="55"/>
        <v>0</v>
      </c>
      <c r="BZ27" s="277">
        <f t="shared" si="39"/>
        <v>0</v>
      </c>
      <c r="CA27" s="276">
        <f t="shared" si="40"/>
        <v>0</v>
      </c>
      <c r="CB27" s="273">
        <f t="shared" si="56"/>
        <v>0</v>
      </c>
      <c r="CC27" s="277">
        <f t="shared" si="41"/>
        <v>0</v>
      </c>
    </row>
    <row r="28" spans="1:81" ht="18" customHeight="1" thickBot="1">
      <c r="A28" s="281">
        <f>'Current month'!A27</f>
        <v>44797</v>
      </c>
      <c r="B28" s="231">
        <f>'Current month'!CM27</f>
        <v>0</v>
      </c>
      <c r="C28" s="231">
        <f>'Current month'!CO27</f>
        <v>0</v>
      </c>
      <c r="D28" s="231">
        <f>'Current month'!CQ27</f>
        <v>0</v>
      </c>
      <c r="E28" s="231">
        <f>'Current month'!CJ27</f>
        <v>0</v>
      </c>
      <c r="F28" s="231">
        <f>'Current month'!CV27</f>
        <v>0</v>
      </c>
      <c r="G28" s="231">
        <f>'Current month'!DB27</f>
        <v>0</v>
      </c>
      <c r="H28" s="231">
        <f>'Current month'!CY27</f>
        <v>0</v>
      </c>
      <c r="I28" s="271"/>
      <c r="J28" s="271"/>
      <c r="K28" s="271"/>
      <c r="L28" s="271">
        <f>'Current month'!DE27</f>
        <v>0</v>
      </c>
      <c r="M28" s="231">
        <f>'Current month'!DK27</f>
        <v>0</v>
      </c>
      <c r="N28" s="231">
        <f>'Current month'!DN27</f>
        <v>0</v>
      </c>
      <c r="O28" s="231">
        <f>'Current month'!DQ27</f>
        <v>0</v>
      </c>
      <c r="P28" s="231">
        <f>'Current month'!DT27</f>
        <v>0</v>
      </c>
      <c r="Q28" s="231">
        <f>'Current month'!DW27</f>
        <v>0</v>
      </c>
      <c r="R28" s="231">
        <f>'Current month'!DZ27</f>
        <v>0</v>
      </c>
      <c r="S28" s="231">
        <f>'Current month'!EC27</f>
        <v>0</v>
      </c>
      <c r="T28" s="231">
        <f>'Current month'!DH27</f>
        <v>0</v>
      </c>
      <c r="U28" s="299"/>
      <c r="V28" s="299"/>
      <c r="W28" s="300"/>
      <c r="X28" s="272">
        <f t="shared" si="10"/>
        <v>0</v>
      </c>
      <c r="Y28" s="273">
        <f t="shared" si="58"/>
        <v>0</v>
      </c>
      <c r="Z28" s="273">
        <f t="shared" si="1"/>
        <v>0</v>
      </c>
      <c r="AA28" s="277">
        <f t="shared" si="11"/>
        <v>0</v>
      </c>
      <c r="AB28" s="273">
        <f t="shared" si="57"/>
        <v>0</v>
      </c>
      <c r="AC28" s="276">
        <f t="shared" si="2"/>
        <v>0</v>
      </c>
      <c r="AD28" s="273">
        <f t="shared" si="59"/>
        <v>0</v>
      </c>
      <c r="AE28" s="277">
        <f t="shared" si="4"/>
        <v>0</v>
      </c>
      <c r="AF28" s="277">
        <f t="shared" si="5"/>
        <v>0</v>
      </c>
      <c r="AG28" s="273">
        <f t="shared" si="42"/>
        <v>0</v>
      </c>
      <c r="AH28" s="276">
        <f t="shared" si="12"/>
        <v>0</v>
      </c>
      <c r="AI28" s="273">
        <f t="shared" si="60"/>
        <v>0</v>
      </c>
      <c r="AJ28" s="277">
        <f t="shared" si="7"/>
        <v>0</v>
      </c>
      <c r="AK28" s="277">
        <f t="shared" si="13"/>
        <v>0</v>
      </c>
      <c r="AL28" s="273">
        <f t="shared" si="14"/>
        <v>0</v>
      </c>
      <c r="AM28" s="278">
        <f t="shared" si="8"/>
        <v>0</v>
      </c>
      <c r="AN28" s="273">
        <f t="shared" si="43"/>
        <v>0</v>
      </c>
      <c r="AO28" s="279">
        <f t="shared" si="15"/>
        <v>0</v>
      </c>
      <c r="AP28" s="279">
        <f t="shared" si="16"/>
        <v>0</v>
      </c>
      <c r="AQ28" s="280">
        <f t="shared" si="17"/>
        <v>0</v>
      </c>
      <c r="AR28" s="273">
        <f t="shared" si="44"/>
        <v>0</v>
      </c>
      <c r="AS28" s="277">
        <f t="shared" si="18"/>
        <v>0</v>
      </c>
      <c r="AT28" s="276">
        <f t="shared" si="9"/>
        <v>0</v>
      </c>
      <c r="AU28" s="273">
        <f t="shared" si="45"/>
        <v>0</v>
      </c>
      <c r="AV28" s="277">
        <f t="shared" si="19"/>
        <v>0</v>
      </c>
      <c r="AW28" s="276">
        <f t="shared" si="20"/>
        <v>0</v>
      </c>
      <c r="AX28" s="273">
        <f t="shared" si="46"/>
        <v>0</v>
      </c>
      <c r="AY28" s="277">
        <f t="shared" si="21"/>
        <v>0</v>
      </c>
      <c r="AZ28" s="276">
        <f t="shared" si="22"/>
        <v>0</v>
      </c>
      <c r="BA28" s="273">
        <f t="shared" si="47"/>
        <v>0</v>
      </c>
      <c r="BB28" s="277">
        <f t="shared" si="23"/>
        <v>0</v>
      </c>
      <c r="BC28" s="276">
        <f t="shared" si="24"/>
        <v>0</v>
      </c>
      <c r="BD28" s="273">
        <f t="shared" si="48"/>
        <v>0</v>
      </c>
      <c r="BE28" s="277">
        <f t="shared" si="25"/>
        <v>0</v>
      </c>
      <c r="BF28" s="280">
        <f t="shared" si="26"/>
        <v>0</v>
      </c>
      <c r="BG28" s="273">
        <f t="shared" si="49"/>
        <v>0</v>
      </c>
      <c r="BH28" s="277">
        <f t="shared" si="27"/>
        <v>0</v>
      </c>
      <c r="BI28" s="276">
        <f t="shared" si="28"/>
        <v>0</v>
      </c>
      <c r="BJ28" s="273">
        <f t="shared" si="50"/>
        <v>0</v>
      </c>
      <c r="BK28" s="277">
        <f t="shared" si="29"/>
        <v>0</v>
      </c>
      <c r="BL28" s="276">
        <f t="shared" si="30"/>
        <v>0</v>
      </c>
      <c r="BM28" s="273">
        <f t="shared" si="51"/>
        <v>0</v>
      </c>
      <c r="BN28" s="277">
        <f t="shared" si="31"/>
        <v>0</v>
      </c>
      <c r="BO28" s="280">
        <f t="shared" si="32"/>
        <v>0</v>
      </c>
      <c r="BP28" s="273">
        <f t="shared" si="52"/>
        <v>0</v>
      </c>
      <c r="BQ28" s="277">
        <f t="shared" si="33"/>
        <v>0</v>
      </c>
      <c r="BR28" s="276">
        <f t="shared" si="34"/>
        <v>0</v>
      </c>
      <c r="BS28" s="273">
        <f t="shared" si="53"/>
        <v>0</v>
      </c>
      <c r="BT28" s="277">
        <f t="shared" si="35"/>
        <v>0</v>
      </c>
      <c r="BU28" s="276">
        <f t="shared" si="36"/>
        <v>0</v>
      </c>
      <c r="BV28" s="273">
        <f t="shared" si="54"/>
        <v>0</v>
      </c>
      <c r="BW28" s="277">
        <f t="shared" si="37"/>
        <v>0</v>
      </c>
      <c r="BX28" s="280">
        <f t="shared" si="38"/>
        <v>0</v>
      </c>
      <c r="BY28" s="273">
        <f t="shared" si="55"/>
        <v>0</v>
      </c>
      <c r="BZ28" s="277">
        <f t="shared" si="39"/>
        <v>0</v>
      </c>
      <c r="CA28" s="276">
        <f t="shared" si="40"/>
        <v>0</v>
      </c>
      <c r="CB28" s="273">
        <f t="shared" si="56"/>
        <v>0</v>
      </c>
      <c r="CC28" s="277">
        <f t="shared" si="41"/>
        <v>0</v>
      </c>
    </row>
    <row r="29" spans="1:81" ht="18" customHeight="1" thickBot="1">
      <c r="A29" s="281">
        <f>'Current month'!A28</f>
        <v>44798</v>
      </c>
      <c r="B29" s="231">
        <f>'Current month'!CM28</f>
        <v>0</v>
      </c>
      <c r="C29" s="231">
        <f>'Current month'!CO28</f>
        <v>0</v>
      </c>
      <c r="D29" s="231">
        <f>'Current month'!CQ28</f>
        <v>0</v>
      </c>
      <c r="E29" s="231">
        <f>'Current month'!CJ28</f>
        <v>0</v>
      </c>
      <c r="F29" s="231">
        <f>'Current month'!CV28</f>
        <v>0</v>
      </c>
      <c r="G29" s="231">
        <f>'Current month'!DB28</f>
        <v>0</v>
      </c>
      <c r="H29" s="231">
        <f>'Current month'!CY28</f>
        <v>0</v>
      </c>
      <c r="I29" s="271"/>
      <c r="J29" s="271"/>
      <c r="K29" s="271"/>
      <c r="L29" s="271">
        <f>'Current month'!DE28</f>
        <v>0</v>
      </c>
      <c r="M29" s="231">
        <f>'Current month'!DK28</f>
        <v>0</v>
      </c>
      <c r="N29" s="231">
        <f>'Current month'!DN28</f>
        <v>0</v>
      </c>
      <c r="O29" s="231">
        <f>'Current month'!DQ28</f>
        <v>0</v>
      </c>
      <c r="P29" s="231">
        <f>'Current month'!DT28</f>
        <v>0</v>
      </c>
      <c r="Q29" s="231">
        <f>'Current month'!DW28</f>
        <v>0</v>
      </c>
      <c r="R29" s="231">
        <f>'Current month'!DZ28</f>
        <v>0</v>
      </c>
      <c r="S29" s="231">
        <f>'Current month'!EC28</f>
        <v>0</v>
      </c>
      <c r="T29" s="231">
        <f>'Current month'!DH28</f>
        <v>0</v>
      </c>
      <c r="U29" s="301"/>
      <c r="V29" s="301"/>
      <c r="W29" s="302"/>
      <c r="X29" s="272">
        <f t="shared" si="10"/>
        <v>0</v>
      </c>
      <c r="Y29" s="273">
        <f t="shared" si="58"/>
        <v>0</v>
      </c>
      <c r="Z29" s="273">
        <f t="shared" si="1"/>
        <v>0</v>
      </c>
      <c r="AA29" s="277">
        <f t="shared" si="11"/>
        <v>0</v>
      </c>
      <c r="AB29" s="273">
        <f t="shared" si="57"/>
        <v>0</v>
      </c>
      <c r="AC29" s="276">
        <f t="shared" si="2"/>
        <v>0</v>
      </c>
      <c r="AD29" s="273">
        <f t="shared" si="59"/>
        <v>0</v>
      </c>
      <c r="AE29" s="277">
        <f t="shared" si="4"/>
        <v>0</v>
      </c>
      <c r="AF29" s="277">
        <f t="shared" si="5"/>
        <v>0</v>
      </c>
      <c r="AG29" s="273">
        <f t="shared" si="42"/>
        <v>0</v>
      </c>
      <c r="AH29" s="276">
        <f t="shared" si="12"/>
        <v>0</v>
      </c>
      <c r="AI29" s="273">
        <f t="shared" si="60"/>
        <v>0</v>
      </c>
      <c r="AJ29" s="277">
        <f t="shared" si="7"/>
        <v>0</v>
      </c>
      <c r="AK29" s="277">
        <f t="shared" si="13"/>
        <v>0</v>
      </c>
      <c r="AL29" s="273">
        <f t="shared" si="14"/>
        <v>0</v>
      </c>
      <c r="AM29" s="278">
        <f t="shared" si="8"/>
        <v>0</v>
      </c>
      <c r="AN29" s="273">
        <f t="shared" si="43"/>
        <v>0</v>
      </c>
      <c r="AO29" s="279">
        <f t="shared" si="15"/>
        <v>0</v>
      </c>
      <c r="AP29" s="279">
        <f t="shared" si="16"/>
        <v>0</v>
      </c>
      <c r="AQ29" s="280">
        <f t="shared" si="17"/>
        <v>0</v>
      </c>
      <c r="AR29" s="273">
        <f t="shared" si="44"/>
        <v>0</v>
      </c>
      <c r="AS29" s="277">
        <f t="shared" si="18"/>
        <v>0</v>
      </c>
      <c r="AT29" s="276">
        <f t="shared" si="9"/>
        <v>0</v>
      </c>
      <c r="AU29" s="273">
        <f t="shared" si="45"/>
        <v>0</v>
      </c>
      <c r="AV29" s="277">
        <f t="shared" si="19"/>
        <v>0</v>
      </c>
      <c r="AW29" s="276">
        <f t="shared" si="20"/>
        <v>0</v>
      </c>
      <c r="AX29" s="273">
        <f t="shared" si="46"/>
        <v>0</v>
      </c>
      <c r="AY29" s="277">
        <f t="shared" si="21"/>
        <v>0</v>
      </c>
      <c r="AZ29" s="276">
        <f t="shared" si="22"/>
        <v>0</v>
      </c>
      <c r="BA29" s="273">
        <f t="shared" si="47"/>
        <v>0</v>
      </c>
      <c r="BB29" s="277">
        <f t="shared" si="23"/>
        <v>0</v>
      </c>
      <c r="BC29" s="276">
        <f t="shared" si="24"/>
        <v>0</v>
      </c>
      <c r="BD29" s="273">
        <f t="shared" si="48"/>
        <v>0</v>
      </c>
      <c r="BE29" s="277">
        <f t="shared" si="25"/>
        <v>0</v>
      </c>
      <c r="BF29" s="280">
        <f t="shared" si="26"/>
        <v>0</v>
      </c>
      <c r="BG29" s="273">
        <f t="shared" si="49"/>
        <v>0</v>
      </c>
      <c r="BH29" s="277">
        <f t="shared" si="27"/>
        <v>0</v>
      </c>
      <c r="BI29" s="276">
        <f t="shared" si="28"/>
        <v>0</v>
      </c>
      <c r="BJ29" s="273">
        <f t="shared" si="50"/>
        <v>0</v>
      </c>
      <c r="BK29" s="277">
        <f t="shared" si="29"/>
        <v>0</v>
      </c>
      <c r="BL29" s="276">
        <f t="shared" si="30"/>
        <v>0</v>
      </c>
      <c r="BM29" s="273">
        <f t="shared" si="51"/>
        <v>0</v>
      </c>
      <c r="BN29" s="277">
        <f t="shared" si="31"/>
        <v>0</v>
      </c>
      <c r="BO29" s="280">
        <f t="shared" si="32"/>
        <v>0</v>
      </c>
      <c r="BP29" s="273">
        <f t="shared" si="52"/>
        <v>0</v>
      </c>
      <c r="BQ29" s="277">
        <f t="shared" si="33"/>
        <v>0</v>
      </c>
      <c r="BR29" s="276">
        <f t="shared" si="34"/>
        <v>0</v>
      </c>
      <c r="BS29" s="273">
        <f t="shared" si="53"/>
        <v>0</v>
      </c>
      <c r="BT29" s="277">
        <f t="shared" si="35"/>
        <v>0</v>
      </c>
      <c r="BU29" s="276">
        <f t="shared" si="36"/>
        <v>0</v>
      </c>
      <c r="BV29" s="273">
        <f t="shared" si="54"/>
        <v>0</v>
      </c>
      <c r="BW29" s="277">
        <f t="shared" si="37"/>
        <v>0</v>
      </c>
      <c r="BX29" s="280">
        <f t="shared" si="38"/>
        <v>0</v>
      </c>
      <c r="BY29" s="273">
        <f t="shared" si="55"/>
        <v>0</v>
      </c>
      <c r="BZ29" s="277">
        <f t="shared" si="39"/>
        <v>0</v>
      </c>
      <c r="CA29" s="276">
        <f t="shared" si="40"/>
        <v>0</v>
      </c>
      <c r="CB29" s="273">
        <f t="shared" si="56"/>
        <v>0</v>
      </c>
      <c r="CC29" s="277">
        <f t="shared" si="41"/>
        <v>0</v>
      </c>
    </row>
    <row r="30" spans="1:81" ht="18" customHeight="1" thickBot="1">
      <c r="A30" s="281">
        <f>'Current month'!A29</f>
        <v>44799</v>
      </c>
      <c r="B30" s="231">
        <f>'Current month'!CM29</f>
        <v>0</v>
      </c>
      <c r="C30" s="231">
        <f>'Current month'!CO29</f>
        <v>0</v>
      </c>
      <c r="D30" s="231">
        <f>'Current month'!CQ29</f>
        <v>0</v>
      </c>
      <c r="E30" s="231">
        <f>'Current month'!CJ29</f>
        <v>0</v>
      </c>
      <c r="F30" s="231">
        <f>'Current month'!CV29</f>
        <v>0</v>
      </c>
      <c r="G30" s="231">
        <f>'Current month'!DB29</f>
        <v>0</v>
      </c>
      <c r="H30" s="231">
        <f>'Current month'!CY29</f>
        <v>0</v>
      </c>
      <c r="I30" s="271"/>
      <c r="J30" s="271"/>
      <c r="K30" s="271"/>
      <c r="L30" s="271">
        <f>'Current month'!DE29</f>
        <v>0</v>
      </c>
      <c r="M30" s="231">
        <f>'Current month'!DK29</f>
        <v>0</v>
      </c>
      <c r="N30" s="231">
        <f>'Current month'!DN29</f>
        <v>0</v>
      </c>
      <c r="O30" s="231">
        <f>'Current month'!DQ29</f>
        <v>0</v>
      </c>
      <c r="P30" s="231">
        <f>'Current month'!DT29</f>
        <v>0</v>
      </c>
      <c r="Q30" s="231">
        <f>'Current month'!DW29</f>
        <v>0</v>
      </c>
      <c r="R30" s="231">
        <f>'Current month'!DZ29</f>
        <v>0</v>
      </c>
      <c r="S30" s="231">
        <f>'Current month'!EC29</f>
        <v>0</v>
      </c>
      <c r="T30" s="231">
        <f>'Current month'!DH29</f>
        <v>0</v>
      </c>
      <c r="U30" s="300"/>
      <c r="V30" s="300"/>
      <c r="W30" s="300"/>
      <c r="X30" s="272">
        <f t="shared" si="10"/>
        <v>0</v>
      </c>
      <c r="Y30" s="273">
        <f t="shared" si="58"/>
        <v>0</v>
      </c>
      <c r="Z30" s="273">
        <f t="shared" si="1"/>
        <v>0</v>
      </c>
      <c r="AA30" s="277">
        <f t="shared" si="11"/>
        <v>0</v>
      </c>
      <c r="AB30" s="273">
        <f t="shared" si="57"/>
        <v>0</v>
      </c>
      <c r="AC30" s="276">
        <f t="shared" si="2"/>
        <v>0</v>
      </c>
      <c r="AD30" s="273">
        <f t="shared" si="59"/>
        <v>0</v>
      </c>
      <c r="AE30" s="277">
        <f t="shared" si="4"/>
        <v>0</v>
      </c>
      <c r="AF30" s="277">
        <f t="shared" si="5"/>
        <v>0</v>
      </c>
      <c r="AG30" s="273">
        <f t="shared" si="42"/>
        <v>0</v>
      </c>
      <c r="AH30" s="276">
        <f t="shared" si="12"/>
        <v>0</v>
      </c>
      <c r="AI30" s="273">
        <f t="shared" si="60"/>
        <v>0</v>
      </c>
      <c r="AJ30" s="277">
        <f t="shared" si="7"/>
        <v>0</v>
      </c>
      <c r="AK30" s="277">
        <f t="shared" si="13"/>
        <v>0</v>
      </c>
      <c r="AL30" s="273">
        <f t="shared" si="14"/>
        <v>0</v>
      </c>
      <c r="AM30" s="278">
        <f t="shared" si="8"/>
        <v>0</v>
      </c>
      <c r="AN30" s="273">
        <f t="shared" si="43"/>
        <v>0</v>
      </c>
      <c r="AO30" s="279">
        <f t="shared" si="15"/>
        <v>0</v>
      </c>
      <c r="AP30" s="279">
        <f t="shared" si="16"/>
        <v>0</v>
      </c>
      <c r="AQ30" s="280">
        <f t="shared" si="17"/>
        <v>0</v>
      </c>
      <c r="AR30" s="273">
        <f t="shared" si="44"/>
        <v>0</v>
      </c>
      <c r="AS30" s="277">
        <f t="shared" si="18"/>
        <v>0</v>
      </c>
      <c r="AT30" s="276">
        <f t="shared" si="9"/>
        <v>0</v>
      </c>
      <c r="AU30" s="273">
        <f t="shared" si="45"/>
        <v>0</v>
      </c>
      <c r="AV30" s="277">
        <f t="shared" si="19"/>
        <v>0</v>
      </c>
      <c r="AW30" s="276">
        <f t="shared" si="20"/>
        <v>0</v>
      </c>
      <c r="AX30" s="273">
        <f t="shared" si="46"/>
        <v>0</v>
      </c>
      <c r="AY30" s="277">
        <f t="shared" si="21"/>
        <v>0</v>
      </c>
      <c r="AZ30" s="276">
        <f t="shared" si="22"/>
        <v>0</v>
      </c>
      <c r="BA30" s="273">
        <f t="shared" si="47"/>
        <v>0</v>
      </c>
      <c r="BB30" s="277">
        <f t="shared" si="23"/>
        <v>0</v>
      </c>
      <c r="BC30" s="276">
        <f t="shared" si="24"/>
        <v>0</v>
      </c>
      <c r="BD30" s="273">
        <f t="shared" si="48"/>
        <v>0</v>
      </c>
      <c r="BE30" s="277">
        <f t="shared" si="25"/>
        <v>0</v>
      </c>
      <c r="BF30" s="280">
        <f t="shared" si="26"/>
        <v>0</v>
      </c>
      <c r="BG30" s="273">
        <f t="shared" si="49"/>
        <v>0</v>
      </c>
      <c r="BH30" s="277">
        <f t="shared" si="27"/>
        <v>0</v>
      </c>
      <c r="BI30" s="276">
        <f t="shared" si="28"/>
        <v>0</v>
      </c>
      <c r="BJ30" s="273">
        <f t="shared" si="50"/>
        <v>0</v>
      </c>
      <c r="BK30" s="277">
        <f t="shared" si="29"/>
        <v>0</v>
      </c>
      <c r="BL30" s="276">
        <f t="shared" si="30"/>
        <v>0</v>
      </c>
      <c r="BM30" s="273">
        <f t="shared" si="51"/>
        <v>0</v>
      </c>
      <c r="BN30" s="277">
        <f t="shared" si="31"/>
        <v>0</v>
      </c>
      <c r="BO30" s="280">
        <f t="shared" si="32"/>
        <v>0</v>
      </c>
      <c r="BP30" s="273">
        <f t="shared" si="52"/>
        <v>0</v>
      </c>
      <c r="BQ30" s="277">
        <f t="shared" si="33"/>
        <v>0</v>
      </c>
      <c r="BR30" s="276">
        <f t="shared" si="34"/>
        <v>0</v>
      </c>
      <c r="BS30" s="273">
        <f t="shared" si="53"/>
        <v>0</v>
      </c>
      <c r="BT30" s="277">
        <f t="shared" si="35"/>
        <v>0</v>
      </c>
      <c r="BU30" s="276">
        <f t="shared" si="36"/>
        <v>0</v>
      </c>
      <c r="BV30" s="273">
        <f t="shared" si="54"/>
        <v>0</v>
      </c>
      <c r="BW30" s="277">
        <f t="shared" si="37"/>
        <v>0</v>
      </c>
      <c r="BX30" s="280">
        <f t="shared" si="38"/>
        <v>0</v>
      </c>
      <c r="BY30" s="273">
        <f t="shared" si="55"/>
        <v>0</v>
      </c>
      <c r="BZ30" s="277">
        <f t="shared" si="39"/>
        <v>0</v>
      </c>
      <c r="CA30" s="276">
        <f t="shared" si="40"/>
        <v>0</v>
      </c>
      <c r="CB30" s="273">
        <f t="shared" si="56"/>
        <v>0</v>
      </c>
      <c r="CC30" s="277">
        <f t="shared" si="41"/>
        <v>0</v>
      </c>
    </row>
    <row r="31" spans="1:81" ht="18" customHeight="1" thickBot="1">
      <c r="A31" s="281">
        <f>'Current month'!A30</f>
        <v>44800</v>
      </c>
      <c r="B31" s="231">
        <f>'Current month'!CM30</f>
        <v>0</v>
      </c>
      <c r="C31" s="231">
        <f>'Current month'!CO30</f>
        <v>0</v>
      </c>
      <c r="D31" s="231">
        <f>'Current month'!CQ30</f>
        <v>0</v>
      </c>
      <c r="E31" s="231">
        <f>'Current month'!CJ30</f>
        <v>0</v>
      </c>
      <c r="F31" s="231">
        <f>'Current month'!CV30</f>
        <v>0</v>
      </c>
      <c r="G31" s="231">
        <f>'Current month'!DB30</f>
        <v>0</v>
      </c>
      <c r="H31" s="231">
        <f>'Current month'!CY30</f>
        <v>0</v>
      </c>
      <c r="I31" s="271"/>
      <c r="J31" s="271"/>
      <c r="K31" s="271"/>
      <c r="L31" s="271">
        <f>'Current month'!DE30</f>
        <v>0</v>
      </c>
      <c r="M31" s="231">
        <f>'Current month'!DK30</f>
        <v>0</v>
      </c>
      <c r="N31" s="231">
        <f>'Current month'!DN30</f>
        <v>0</v>
      </c>
      <c r="O31" s="231">
        <f>'Current month'!DQ30</f>
        <v>0</v>
      </c>
      <c r="P31" s="231">
        <f>'Current month'!DT30</f>
        <v>0</v>
      </c>
      <c r="Q31" s="231">
        <f>'Current month'!DW30</f>
        <v>0</v>
      </c>
      <c r="R31" s="231">
        <f>'Current month'!DZ30</f>
        <v>0</v>
      </c>
      <c r="S31" s="231">
        <f>'Current month'!EC30</f>
        <v>0</v>
      </c>
      <c r="T31" s="231">
        <f>'Current month'!DH30</f>
        <v>0</v>
      </c>
      <c r="U31" s="300"/>
      <c r="V31" s="300"/>
      <c r="W31" s="300"/>
      <c r="X31" s="272">
        <f t="shared" si="10"/>
        <v>0</v>
      </c>
      <c r="Y31" s="273">
        <f t="shared" si="58"/>
        <v>0</v>
      </c>
      <c r="Z31" s="273">
        <f t="shared" si="1"/>
        <v>0</v>
      </c>
      <c r="AA31" s="277">
        <f t="shared" si="11"/>
        <v>0</v>
      </c>
      <c r="AB31" s="273">
        <f t="shared" si="57"/>
        <v>0</v>
      </c>
      <c r="AC31" s="276">
        <f t="shared" si="2"/>
        <v>0</v>
      </c>
      <c r="AD31" s="273">
        <f t="shared" si="59"/>
        <v>0</v>
      </c>
      <c r="AE31" s="277">
        <f t="shared" si="4"/>
        <v>0</v>
      </c>
      <c r="AF31" s="277">
        <f t="shared" si="5"/>
        <v>0</v>
      </c>
      <c r="AG31" s="273">
        <f t="shared" si="42"/>
        <v>0</v>
      </c>
      <c r="AH31" s="276">
        <f t="shared" si="12"/>
        <v>0</v>
      </c>
      <c r="AI31" s="273">
        <f t="shared" si="60"/>
        <v>0</v>
      </c>
      <c r="AJ31" s="277">
        <f t="shared" si="7"/>
        <v>0</v>
      </c>
      <c r="AK31" s="277">
        <f t="shared" si="13"/>
        <v>0</v>
      </c>
      <c r="AL31" s="273">
        <f t="shared" si="14"/>
        <v>0</v>
      </c>
      <c r="AM31" s="278">
        <f t="shared" si="8"/>
        <v>0</v>
      </c>
      <c r="AN31" s="273">
        <f t="shared" si="43"/>
        <v>0</v>
      </c>
      <c r="AO31" s="279">
        <f t="shared" si="15"/>
        <v>0</v>
      </c>
      <c r="AP31" s="279">
        <f t="shared" si="16"/>
        <v>0</v>
      </c>
      <c r="AQ31" s="280">
        <f t="shared" si="17"/>
        <v>0</v>
      </c>
      <c r="AR31" s="273">
        <f t="shared" si="44"/>
        <v>0</v>
      </c>
      <c r="AS31" s="277">
        <f t="shared" si="18"/>
        <v>0</v>
      </c>
      <c r="AT31" s="276">
        <f t="shared" si="9"/>
        <v>0</v>
      </c>
      <c r="AU31" s="273">
        <f t="shared" si="45"/>
        <v>0</v>
      </c>
      <c r="AV31" s="277">
        <f t="shared" si="19"/>
        <v>0</v>
      </c>
      <c r="AW31" s="276">
        <f t="shared" si="20"/>
        <v>0</v>
      </c>
      <c r="AX31" s="273">
        <f t="shared" si="46"/>
        <v>0</v>
      </c>
      <c r="AY31" s="277">
        <f t="shared" si="21"/>
        <v>0</v>
      </c>
      <c r="AZ31" s="276">
        <f t="shared" si="22"/>
        <v>0</v>
      </c>
      <c r="BA31" s="273">
        <f t="shared" si="47"/>
        <v>0</v>
      </c>
      <c r="BB31" s="277">
        <f t="shared" si="23"/>
        <v>0</v>
      </c>
      <c r="BC31" s="276">
        <f t="shared" si="24"/>
        <v>0</v>
      </c>
      <c r="BD31" s="273">
        <f t="shared" si="48"/>
        <v>0</v>
      </c>
      <c r="BE31" s="277">
        <f t="shared" si="25"/>
        <v>0</v>
      </c>
      <c r="BF31" s="280">
        <f t="shared" si="26"/>
        <v>0</v>
      </c>
      <c r="BG31" s="273">
        <f t="shared" si="49"/>
        <v>0</v>
      </c>
      <c r="BH31" s="277">
        <f t="shared" si="27"/>
        <v>0</v>
      </c>
      <c r="BI31" s="276">
        <f t="shared" si="28"/>
        <v>0</v>
      </c>
      <c r="BJ31" s="273">
        <f t="shared" si="50"/>
        <v>0</v>
      </c>
      <c r="BK31" s="277">
        <f t="shared" si="29"/>
        <v>0</v>
      </c>
      <c r="BL31" s="276">
        <f t="shared" si="30"/>
        <v>0</v>
      </c>
      <c r="BM31" s="273">
        <f t="shared" si="51"/>
        <v>0</v>
      </c>
      <c r="BN31" s="277">
        <f t="shared" si="31"/>
        <v>0</v>
      </c>
      <c r="BO31" s="280">
        <f t="shared" si="32"/>
        <v>0</v>
      </c>
      <c r="BP31" s="273">
        <f t="shared" si="52"/>
        <v>0</v>
      </c>
      <c r="BQ31" s="277">
        <f t="shared" si="33"/>
        <v>0</v>
      </c>
      <c r="BR31" s="276">
        <f t="shared" si="34"/>
        <v>0</v>
      </c>
      <c r="BS31" s="273">
        <f t="shared" si="53"/>
        <v>0</v>
      </c>
      <c r="BT31" s="277">
        <f t="shared" si="35"/>
        <v>0</v>
      </c>
      <c r="BU31" s="276">
        <f t="shared" si="36"/>
        <v>0</v>
      </c>
      <c r="BV31" s="273">
        <f t="shared" si="54"/>
        <v>0</v>
      </c>
      <c r="BW31" s="277">
        <f t="shared" si="37"/>
        <v>0</v>
      </c>
      <c r="BX31" s="280">
        <f t="shared" si="38"/>
        <v>0</v>
      </c>
      <c r="BY31" s="273">
        <f t="shared" si="55"/>
        <v>0</v>
      </c>
      <c r="BZ31" s="277">
        <f t="shared" si="39"/>
        <v>0</v>
      </c>
      <c r="CA31" s="276">
        <f t="shared" si="40"/>
        <v>0</v>
      </c>
      <c r="CB31" s="273">
        <f t="shared" si="56"/>
        <v>0</v>
      </c>
      <c r="CC31" s="277">
        <f t="shared" si="41"/>
        <v>0</v>
      </c>
    </row>
    <row r="32" spans="1:81" ht="18" customHeight="1" thickBot="1">
      <c r="A32" s="281">
        <f>'Current month'!A31</f>
        <v>44801</v>
      </c>
      <c r="B32" s="231">
        <f>'Current month'!CM31</f>
        <v>0</v>
      </c>
      <c r="C32" s="231">
        <f>'Current month'!CO31</f>
        <v>0</v>
      </c>
      <c r="D32" s="231">
        <f>'Current month'!CQ31</f>
        <v>0</v>
      </c>
      <c r="E32" s="231">
        <f>'Current month'!CJ31</f>
        <v>0</v>
      </c>
      <c r="F32" s="231">
        <f>'Current month'!CV31</f>
        <v>0</v>
      </c>
      <c r="G32" s="231">
        <f>'Current month'!DB31</f>
        <v>0</v>
      </c>
      <c r="H32" s="231">
        <f>'Current month'!CY31</f>
        <v>0</v>
      </c>
      <c r="I32" s="271"/>
      <c r="J32" s="271"/>
      <c r="K32" s="271"/>
      <c r="L32" s="271">
        <f>'Current month'!DE31</f>
        <v>0</v>
      </c>
      <c r="M32" s="231">
        <f>'Current month'!DK31</f>
        <v>0</v>
      </c>
      <c r="N32" s="231">
        <f>'Current month'!DN31</f>
        <v>0</v>
      </c>
      <c r="O32" s="231">
        <f>'Current month'!DQ31</f>
        <v>0</v>
      </c>
      <c r="P32" s="231">
        <f>'Current month'!DT31</f>
        <v>0</v>
      </c>
      <c r="Q32" s="231">
        <f>'Current month'!DW31</f>
        <v>0</v>
      </c>
      <c r="R32" s="231">
        <f>'Current month'!DZ31</f>
        <v>0</v>
      </c>
      <c r="S32" s="231">
        <f>'Current month'!EC31</f>
        <v>0</v>
      </c>
      <c r="T32" s="231">
        <f>'Current month'!DH31</f>
        <v>0</v>
      </c>
      <c r="U32" s="300"/>
      <c r="V32" s="300"/>
      <c r="W32" s="300"/>
      <c r="X32" s="272">
        <f t="shared" si="10"/>
        <v>0</v>
      </c>
      <c r="Y32" s="273">
        <f t="shared" si="58"/>
        <v>0</v>
      </c>
      <c r="Z32" s="273">
        <f t="shared" si="1"/>
        <v>0</v>
      </c>
      <c r="AA32" s="277">
        <f t="shared" si="11"/>
        <v>0</v>
      </c>
      <c r="AB32" s="273">
        <f t="shared" si="57"/>
        <v>0</v>
      </c>
      <c r="AC32" s="276">
        <f t="shared" si="2"/>
        <v>0</v>
      </c>
      <c r="AD32" s="273">
        <f t="shared" si="59"/>
        <v>0</v>
      </c>
      <c r="AE32" s="277">
        <f t="shared" si="4"/>
        <v>0</v>
      </c>
      <c r="AF32" s="277">
        <f t="shared" si="5"/>
        <v>0</v>
      </c>
      <c r="AG32" s="273">
        <f t="shared" si="42"/>
        <v>0</v>
      </c>
      <c r="AH32" s="276">
        <f t="shared" si="12"/>
        <v>0</v>
      </c>
      <c r="AI32" s="273">
        <f t="shared" si="60"/>
        <v>0</v>
      </c>
      <c r="AJ32" s="277">
        <f t="shared" si="7"/>
        <v>0</v>
      </c>
      <c r="AK32" s="277">
        <f t="shared" si="13"/>
        <v>0</v>
      </c>
      <c r="AL32" s="273">
        <f t="shared" si="14"/>
        <v>0</v>
      </c>
      <c r="AM32" s="278">
        <f t="shared" si="8"/>
        <v>0</v>
      </c>
      <c r="AN32" s="273">
        <f t="shared" si="43"/>
        <v>0</v>
      </c>
      <c r="AO32" s="279">
        <f t="shared" si="15"/>
        <v>0</v>
      </c>
      <c r="AP32" s="279">
        <f t="shared" si="16"/>
        <v>0</v>
      </c>
      <c r="AQ32" s="280">
        <f t="shared" si="17"/>
        <v>0</v>
      </c>
      <c r="AR32" s="273">
        <f t="shared" si="44"/>
        <v>0</v>
      </c>
      <c r="AS32" s="277">
        <f t="shared" si="18"/>
        <v>0</v>
      </c>
      <c r="AT32" s="276">
        <f t="shared" si="9"/>
        <v>0</v>
      </c>
      <c r="AU32" s="273">
        <f t="shared" si="45"/>
        <v>0</v>
      </c>
      <c r="AV32" s="277">
        <f t="shared" si="19"/>
        <v>0</v>
      </c>
      <c r="AW32" s="276">
        <f t="shared" si="20"/>
        <v>0</v>
      </c>
      <c r="AX32" s="273">
        <f t="shared" si="46"/>
        <v>0</v>
      </c>
      <c r="AY32" s="277">
        <f t="shared" si="21"/>
        <v>0</v>
      </c>
      <c r="AZ32" s="276">
        <f t="shared" si="22"/>
        <v>0</v>
      </c>
      <c r="BA32" s="273">
        <f t="shared" si="47"/>
        <v>0</v>
      </c>
      <c r="BB32" s="277">
        <f t="shared" si="23"/>
        <v>0</v>
      </c>
      <c r="BC32" s="276">
        <f t="shared" si="24"/>
        <v>0</v>
      </c>
      <c r="BD32" s="273">
        <f t="shared" si="48"/>
        <v>0</v>
      </c>
      <c r="BE32" s="277">
        <f t="shared" si="25"/>
        <v>0</v>
      </c>
      <c r="BF32" s="280">
        <f t="shared" si="26"/>
        <v>0</v>
      </c>
      <c r="BG32" s="273">
        <f t="shared" si="49"/>
        <v>0</v>
      </c>
      <c r="BH32" s="277">
        <f t="shared" si="27"/>
        <v>0</v>
      </c>
      <c r="BI32" s="276">
        <f t="shared" si="28"/>
        <v>0</v>
      </c>
      <c r="BJ32" s="273">
        <f t="shared" si="50"/>
        <v>0</v>
      </c>
      <c r="BK32" s="277">
        <f t="shared" si="29"/>
        <v>0</v>
      </c>
      <c r="BL32" s="276">
        <f t="shared" si="30"/>
        <v>0</v>
      </c>
      <c r="BM32" s="273">
        <f t="shared" si="51"/>
        <v>0</v>
      </c>
      <c r="BN32" s="277">
        <f t="shared" si="31"/>
        <v>0</v>
      </c>
      <c r="BO32" s="280">
        <f t="shared" si="32"/>
        <v>0</v>
      </c>
      <c r="BP32" s="273">
        <f t="shared" si="52"/>
        <v>0</v>
      </c>
      <c r="BQ32" s="277">
        <f t="shared" si="33"/>
        <v>0</v>
      </c>
      <c r="BR32" s="276">
        <f t="shared" si="34"/>
        <v>0</v>
      </c>
      <c r="BS32" s="273">
        <f t="shared" si="53"/>
        <v>0</v>
      </c>
      <c r="BT32" s="277">
        <f t="shared" si="35"/>
        <v>0</v>
      </c>
      <c r="BU32" s="276">
        <f t="shared" si="36"/>
        <v>0</v>
      </c>
      <c r="BV32" s="273">
        <f t="shared" si="54"/>
        <v>0</v>
      </c>
      <c r="BW32" s="277">
        <f t="shared" si="37"/>
        <v>0</v>
      </c>
      <c r="BX32" s="280">
        <f t="shared" si="38"/>
        <v>0</v>
      </c>
      <c r="BY32" s="273">
        <f t="shared" si="55"/>
        <v>0</v>
      </c>
      <c r="BZ32" s="277">
        <f t="shared" si="39"/>
        <v>0</v>
      </c>
      <c r="CA32" s="276">
        <f t="shared" si="40"/>
        <v>0</v>
      </c>
      <c r="CB32" s="273">
        <f t="shared" si="56"/>
        <v>0</v>
      </c>
      <c r="CC32" s="277">
        <f t="shared" si="41"/>
        <v>0</v>
      </c>
    </row>
    <row r="33" spans="1:81" ht="18" customHeight="1" thickBot="1">
      <c r="A33" s="281">
        <f>'Current month'!A32</f>
        <v>44802</v>
      </c>
      <c r="B33" s="231">
        <f>'Current month'!CM32</f>
        <v>0</v>
      </c>
      <c r="C33" s="231">
        <f>'Current month'!CO32</f>
        <v>0</v>
      </c>
      <c r="D33" s="231">
        <f>'Current month'!CQ32</f>
        <v>0</v>
      </c>
      <c r="E33" s="231">
        <f>'Current month'!CJ32</f>
        <v>0</v>
      </c>
      <c r="F33" s="231">
        <f>'Current month'!CV32</f>
        <v>0</v>
      </c>
      <c r="G33" s="231">
        <f>'Current month'!DB32</f>
        <v>0</v>
      </c>
      <c r="H33" s="231" t="e">
        <f>'Current month'!#REF!</f>
        <v>#REF!</v>
      </c>
      <c r="I33" s="271"/>
      <c r="J33" s="271"/>
      <c r="K33" s="271"/>
      <c r="L33" s="271">
        <f>'Current month'!DE32</f>
        <v>0</v>
      </c>
      <c r="M33" s="231">
        <f>'Current month'!DK32</f>
        <v>0</v>
      </c>
      <c r="N33" s="231">
        <f>'Current month'!DN32</f>
        <v>0</v>
      </c>
      <c r="O33" s="231">
        <f>'Current month'!DQ32</f>
        <v>0</v>
      </c>
      <c r="P33" s="231">
        <f>'Current month'!DT32</f>
        <v>0</v>
      </c>
      <c r="Q33" s="231">
        <f>'Current month'!DW32</f>
        <v>0</v>
      </c>
      <c r="R33" s="231">
        <f>'Current month'!DZ32</f>
        <v>0</v>
      </c>
      <c r="S33" s="231">
        <f>'Current month'!EC32</f>
        <v>0</v>
      </c>
      <c r="T33" s="231">
        <f>'Current month'!DH32</f>
        <v>0</v>
      </c>
      <c r="U33" s="299"/>
      <c r="V33" s="299"/>
      <c r="W33" s="299"/>
      <c r="X33" s="272">
        <f t="shared" si="10"/>
        <v>0</v>
      </c>
      <c r="Y33" s="273">
        <f t="shared" si="58"/>
        <v>0</v>
      </c>
      <c r="Z33" s="273">
        <f t="shared" si="1"/>
        <v>0</v>
      </c>
      <c r="AA33" s="277">
        <f t="shared" si="11"/>
        <v>0</v>
      </c>
      <c r="AB33" s="273">
        <f t="shared" si="57"/>
        <v>0</v>
      </c>
      <c r="AC33" s="276">
        <f t="shared" si="2"/>
        <v>0</v>
      </c>
      <c r="AD33" s="273">
        <f t="shared" si="59"/>
        <v>0</v>
      </c>
      <c r="AE33" s="277">
        <f t="shared" si="4"/>
        <v>0</v>
      </c>
      <c r="AF33" s="277">
        <f t="shared" si="5"/>
        <v>0</v>
      </c>
      <c r="AG33" s="273">
        <f t="shared" si="42"/>
        <v>0</v>
      </c>
      <c r="AH33" s="276">
        <f t="shared" si="12"/>
        <v>0</v>
      </c>
      <c r="AI33" s="273">
        <f t="shared" si="60"/>
        <v>0</v>
      </c>
      <c r="AJ33" s="277">
        <f t="shared" si="7"/>
        <v>0</v>
      </c>
      <c r="AK33" s="277">
        <f t="shared" si="13"/>
        <v>0</v>
      </c>
      <c r="AL33" s="273">
        <f t="shared" si="14"/>
        <v>0</v>
      </c>
      <c r="AM33" s="278">
        <f t="shared" si="8"/>
        <v>0</v>
      </c>
      <c r="AN33" s="273">
        <f t="shared" si="43"/>
        <v>0</v>
      </c>
      <c r="AO33" s="279">
        <f t="shared" si="15"/>
        <v>0</v>
      </c>
      <c r="AP33" s="279">
        <f t="shared" si="16"/>
        <v>0</v>
      </c>
      <c r="AQ33" s="280">
        <f t="shared" si="17"/>
        <v>0</v>
      </c>
      <c r="AR33" s="273">
        <f t="shared" si="44"/>
        <v>0</v>
      </c>
      <c r="AS33" s="277">
        <f t="shared" si="18"/>
        <v>0</v>
      </c>
      <c r="AT33" s="276">
        <f t="shared" si="9"/>
        <v>0</v>
      </c>
      <c r="AU33" s="273">
        <f t="shared" si="45"/>
        <v>0</v>
      </c>
      <c r="AV33" s="277">
        <f t="shared" si="19"/>
        <v>0</v>
      </c>
      <c r="AW33" s="276">
        <f t="shared" si="20"/>
        <v>0</v>
      </c>
      <c r="AX33" s="273">
        <f t="shared" si="46"/>
        <v>0</v>
      </c>
      <c r="AY33" s="277">
        <f t="shared" si="21"/>
        <v>0</v>
      </c>
      <c r="AZ33" s="276" t="e">
        <f t="shared" si="22"/>
        <v>#REF!</v>
      </c>
      <c r="BA33" s="273" t="e">
        <f t="shared" si="47"/>
        <v>#REF!</v>
      </c>
      <c r="BB33" s="277" t="e">
        <f t="shared" si="23"/>
        <v>#REF!</v>
      </c>
      <c r="BC33" s="276">
        <f t="shared" si="24"/>
        <v>0</v>
      </c>
      <c r="BD33" s="273">
        <f t="shared" si="48"/>
        <v>0</v>
      </c>
      <c r="BE33" s="277">
        <f t="shared" si="25"/>
        <v>0</v>
      </c>
      <c r="BF33" s="280">
        <f t="shared" si="26"/>
        <v>0</v>
      </c>
      <c r="BG33" s="273">
        <f t="shared" si="49"/>
        <v>0</v>
      </c>
      <c r="BH33" s="277">
        <f t="shared" si="27"/>
        <v>0</v>
      </c>
      <c r="BI33" s="276">
        <f t="shared" si="28"/>
        <v>0</v>
      </c>
      <c r="BJ33" s="273">
        <f t="shared" si="50"/>
        <v>0</v>
      </c>
      <c r="BK33" s="277">
        <f t="shared" si="29"/>
        <v>0</v>
      </c>
      <c r="BL33" s="276">
        <f t="shared" si="30"/>
        <v>0</v>
      </c>
      <c r="BM33" s="273">
        <f t="shared" si="51"/>
        <v>0</v>
      </c>
      <c r="BN33" s="277">
        <f t="shared" si="31"/>
        <v>0</v>
      </c>
      <c r="BO33" s="280">
        <f t="shared" si="32"/>
        <v>0</v>
      </c>
      <c r="BP33" s="273">
        <f t="shared" si="52"/>
        <v>0</v>
      </c>
      <c r="BQ33" s="277">
        <f t="shared" si="33"/>
        <v>0</v>
      </c>
      <c r="BR33" s="276">
        <f t="shared" si="34"/>
        <v>0</v>
      </c>
      <c r="BS33" s="273">
        <f t="shared" si="53"/>
        <v>0</v>
      </c>
      <c r="BT33" s="277">
        <f t="shared" si="35"/>
        <v>0</v>
      </c>
      <c r="BU33" s="276">
        <f t="shared" si="36"/>
        <v>0</v>
      </c>
      <c r="BV33" s="273">
        <f t="shared" si="54"/>
        <v>0</v>
      </c>
      <c r="BW33" s="277">
        <f t="shared" si="37"/>
        <v>0</v>
      </c>
      <c r="BX33" s="280">
        <f t="shared" si="38"/>
        <v>0</v>
      </c>
      <c r="BY33" s="273">
        <f t="shared" si="55"/>
        <v>0</v>
      </c>
      <c r="BZ33" s="277">
        <f t="shared" si="39"/>
        <v>0</v>
      </c>
      <c r="CA33" s="276">
        <f t="shared" si="40"/>
        <v>0</v>
      </c>
      <c r="CB33" s="273">
        <f t="shared" si="56"/>
        <v>0</v>
      </c>
      <c r="CC33" s="277">
        <f t="shared" si="41"/>
        <v>0</v>
      </c>
    </row>
    <row r="34" spans="1:81" ht="18" customHeight="1" thickBot="1">
      <c r="A34" s="281">
        <f>'Current month'!A33</f>
        <v>44803</v>
      </c>
      <c r="B34" s="231">
        <f>'Current month'!CM33</f>
        <v>0</v>
      </c>
      <c r="C34" s="231">
        <f>'Current month'!CO33</f>
        <v>0</v>
      </c>
      <c r="D34" s="231">
        <f>'Current month'!CQ33</f>
        <v>0</v>
      </c>
      <c r="E34" s="231">
        <f>'Current month'!CJ33</f>
        <v>0</v>
      </c>
      <c r="F34" s="231">
        <f>'Current month'!CV33</f>
        <v>0</v>
      </c>
      <c r="G34" s="231">
        <f>'Current month'!DB33</f>
        <v>0</v>
      </c>
      <c r="H34" s="231">
        <f>'Current month'!CY33</f>
        <v>0</v>
      </c>
      <c r="I34" s="271"/>
      <c r="J34" s="271"/>
      <c r="K34" s="271"/>
      <c r="L34" s="271">
        <f>'Current month'!DE33</f>
        <v>0</v>
      </c>
      <c r="M34" s="231">
        <f>'Current month'!DK33</f>
        <v>0</v>
      </c>
      <c r="N34" s="231">
        <f>'Current month'!DN33</f>
        <v>0</v>
      </c>
      <c r="O34" s="231">
        <f>'Current month'!DQ33</f>
        <v>0</v>
      </c>
      <c r="P34" s="231">
        <f>'Current month'!DT33</f>
        <v>0</v>
      </c>
      <c r="Q34" s="231">
        <f>'Current month'!DW33</f>
        <v>0</v>
      </c>
      <c r="R34" s="231">
        <f>'Current month'!DZ33</f>
        <v>0</v>
      </c>
      <c r="S34" s="231">
        <f>'Current month'!EC33</f>
        <v>0</v>
      </c>
      <c r="T34" s="231">
        <f>'Current month'!DH33</f>
        <v>0</v>
      </c>
      <c r="U34" s="300"/>
      <c r="V34" s="300"/>
      <c r="W34" s="300"/>
      <c r="X34" s="272">
        <f t="shared" si="10"/>
        <v>0</v>
      </c>
      <c r="Y34" s="273">
        <f t="shared" si="58"/>
        <v>0</v>
      </c>
      <c r="Z34" s="273">
        <f t="shared" si="1"/>
        <v>0</v>
      </c>
      <c r="AA34" s="277">
        <f t="shared" si="11"/>
        <v>0</v>
      </c>
      <c r="AB34" s="273">
        <f t="shared" si="57"/>
        <v>0</v>
      </c>
      <c r="AC34" s="276">
        <f t="shared" si="2"/>
        <v>0</v>
      </c>
      <c r="AD34" s="273">
        <f t="shared" si="59"/>
        <v>0</v>
      </c>
      <c r="AE34" s="277">
        <f t="shared" si="4"/>
        <v>0</v>
      </c>
      <c r="AF34" s="277">
        <f t="shared" si="5"/>
        <v>0</v>
      </c>
      <c r="AG34" s="273">
        <f t="shared" si="42"/>
        <v>0</v>
      </c>
      <c r="AH34" s="276">
        <f t="shared" si="12"/>
        <v>0</v>
      </c>
      <c r="AI34" s="273">
        <f t="shared" si="60"/>
        <v>0</v>
      </c>
      <c r="AJ34" s="277">
        <f t="shared" si="7"/>
        <v>0</v>
      </c>
      <c r="AK34" s="277">
        <f t="shared" si="13"/>
        <v>0</v>
      </c>
      <c r="AL34" s="273">
        <f t="shared" si="14"/>
        <v>0</v>
      </c>
      <c r="AM34" s="278">
        <f t="shared" si="8"/>
        <v>0</v>
      </c>
      <c r="AN34" s="273">
        <f t="shared" si="43"/>
        <v>0</v>
      </c>
      <c r="AO34" s="279">
        <f t="shared" si="15"/>
        <v>0</v>
      </c>
      <c r="AP34" s="279">
        <f t="shared" si="16"/>
        <v>0</v>
      </c>
      <c r="AQ34" s="280">
        <f t="shared" si="17"/>
        <v>0</v>
      </c>
      <c r="AR34" s="273">
        <f t="shared" si="44"/>
        <v>0</v>
      </c>
      <c r="AS34" s="277">
        <f t="shared" si="18"/>
        <v>0</v>
      </c>
      <c r="AT34" s="276">
        <f t="shared" si="9"/>
        <v>0</v>
      </c>
      <c r="AU34" s="273">
        <f t="shared" si="45"/>
        <v>0</v>
      </c>
      <c r="AV34" s="277">
        <f t="shared" si="19"/>
        <v>0</v>
      </c>
      <c r="AW34" s="276">
        <f t="shared" si="20"/>
        <v>0</v>
      </c>
      <c r="AX34" s="273">
        <f t="shared" si="46"/>
        <v>0</v>
      </c>
      <c r="AY34" s="277">
        <f t="shared" si="21"/>
        <v>0</v>
      </c>
      <c r="AZ34" s="276">
        <f t="shared" si="22"/>
        <v>0</v>
      </c>
      <c r="BA34" s="273" t="e">
        <f t="shared" si="47"/>
        <v>#REF!</v>
      </c>
      <c r="BB34" s="277" t="e">
        <f t="shared" si="23"/>
        <v>#REF!</v>
      </c>
      <c r="BC34" s="276">
        <f t="shared" si="24"/>
        <v>0</v>
      </c>
      <c r="BD34" s="273">
        <f t="shared" si="48"/>
        <v>0</v>
      </c>
      <c r="BE34" s="277">
        <f t="shared" si="25"/>
        <v>0</v>
      </c>
      <c r="BF34" s="280">
        <f t="shared" si="26"/>
        <v>0</v>
      </c>
      <c r="BG34" s="273">
        <f t="shared" si="49"/>
        <v>0</v>
      </c>
      <c r="BH34" s="277">
        <f t="shared" si="27"/>
        <v>0</v>
      </c>
      <c r="BI34" s="276">
        <f t="shared" si="28"/>
        <v>0</v>
      </c>
      <c r="BJ34" s="273">
        <f t="shared" si="50"/>
        <v>0</v>
      </c>
      <c r="BK34" s="277">
        <f t="shared" si="29"/>
        <v>0</v>
      </c>
      <c r="BL34" s="276">
        <f t="shared" si="30"/>
        <v>0</v>
      </c>
      <c r="BM34" s="273">
        <f t="shared" si="51"/>
        <v>0</v>
      </c>
      <c r="BN34" s="277">
        <f t="shared" si="31"/>
        <v>0</v>
      </c>
      <c r="BO34" s="280">
        <f t="shared" si="32"/>
        <v>0</v>
      </c>
      <c r="BP34" s="273">
        <f t="shared" si="52"/>
        <v>0</v>
      </c>
      <c r="BQ34" s="277">
        <f t="shared" si="33"/>
        <v>0</v>
      </c>
      <c r="BR34" s="276">
        <f t="shared" si="34"/>
        <v>0</v>
      </c>
      <c r="BS34" s="273">
        <f t="shared" si="53"/>
        <v>0</v>
      </c>
      <c r="BT34" s="277">
        <f t="shared" si="35"/>
        <v>0</v>
      </c>
      <c r="BU34" s="276">
        <f t="shared" si="36"/>
        <v>0</v>
      </c>
      <c r="BV34" s="273">
        <f t="shared" si="54"/>
        <v>0</v>
      </c>
      <c r="BW34" s="277">
        <f t="shared" si="37"/>
        <v>0</v>
      </c>
      <c r="BX34" s="280">
        <f t="shared" si="38"/>
        <v>0</v>
      </c>
      <c r="BY34" s="273">
        <f t="shared" si="55"/>
        <v>0</v>
      </c>
      <c r="BZ34" s="277">
        <f t="shared" si="39"/>
        <v>0</v>
      </c>
      <c r="CA34" s="276">
        <f t="shared" si="40"/>
        <v>0</v>
      </c>
      <c r="CB34" s="273">
        <f t="shared" si="56"/>
        <v>0</v>
      </c>
      <c r="CC34" s="277">
        <f t="shared" si="41"/>
        <v>0</v>
      </c>
    </row>
    <row r="35" spans="1:81" ht="18" customHeight="1" thickBot="1">
      <c r="A35" s="281" t="e">
        <f>'Current month'!#REF!</f>
        <v>#REF!</v>
      </c>
      <c r="B35" s="231" t="e">
        <f>'Current month'!#REF!</f>
        <v>#REF!</v>
      </c>
      <c r="C35" s="231" t="e">
        <f>'Current month'!#REF!</f>
        <v>#REF!</v>
      </c>
      <c r="D35" s="231" t="e">
        <f>'Current month'!#REF!</f>
        <v>#REF!</v>
      </c>
      <c r="E35" s="231" t="e">
        <f>'Current month'!#REF!</f>
        <v>#REF!</v>
      </c>
      <c r="F35" s="231" t="e">
        <f>'Current month'!#REF!</f>
        <v>#REF!</v>
      </c>
      <c r="G35" s="231" t="e">
        <f>'Current month'!#REF!</f>
        <v>#REF!</v>
      </c>
      <c r="H35" s="231" t="e">
        <f>'Current month'!#REF!</f>
        <v>#REF!</v>
      </c>
      <c r="I35" s="271"/>
      <c r="J35" s="271"/>
      <c r="K35" s="271"/>
      <c r="L35" s="271" t="e">
        <f>'Current month'!#REF!</f>
        <v>#REF!</v>
      </c>
      <c r="M35" s="231" t="e">
        <f>'Current month'!#REF!</f>
        <v>#REF!</v>
      </c>
      <c r="N35" s="231" t="e">
        <f>'Current month'!#REF!</f>
        <v>#REF!</v>
      </c>
      <c r="O35" s="231" t="e">
        <f>'Current month'!#REF!</f>
        <v>#REF!</v>
      </c>
      <c r="P35" s="231" t="e">
        <f>'Current month'!#REF!</f>
        <v>#REF!</v>
      </c>
      <c r="Q35" s="231" t="e">
        <f>'Current month'!#REF!</f>
        <v>#REF!</v>
      </c>
      <c r="R35" s="231" t="e">
        <f>'Current month'!#REF!</f>
        <v>#REF!</v>
      </c>
      <c r="S35" s="231" t="e">
        <f>'Current month'!#REF!</f>
        <v>#REF!</v>
      </c>
      <c r="T35" s="231" t="e">
        <f>'Current month'!#REF!</f>
        <v>#REF!</v>
      </c>
      <c r="U35" s="300"/>
      <c r="V35" s="300"/>
      <c r="W35" s="300"/>
      <c r="X35" s="272" t="e">
        <f t="shared" si="10"/>
        <v>#REF!</v>
      </c>
      <c r="Y35" s="273" t="e">
        <f t="shared" si="58"/>
        <v>#REF!</v>
      </c>
      <c r="Z35" s="273" t="e">
        <f t="shared" si="1"/>
        <v>#REF!</v>
      </c>
      <c r="AA35" s="277">
        <f t="shared" si="11"/>
        <v>0</v>
      </c>
      <c r="AB35" s="273" t="e">
        <f t="shared" si="57"/>
        <v>#REF!</v>
      </c>
      <c r="AC35" s="276" t="e">
        <f t="shared" si="2"/>
        <v>#REF!</v>
      </c>
      <c r="AD35" s="273" t="e">
        <f t="shared" si="59"/>
        <v>#REF!</v>
      </c>
      <c r="AE35" s="277" t="e">
        <f t="shared" si="4"/>
        <v>#REF!</v>
      </c>
      <c r="AF35" s="277">
        <f t="shared" si="5"/>
        <v>0</v>
      </c>
      <c r="AG35" s="273" t="e">
        <f t="shared" si="42"/>
        <v>#REF!</v>
      </c>
      <c r="AH35" s="276" t="e">
        <f t="shared" si="12"/>
        <v>#REF!</v>
      </c>
      <c r="AI35" s="273" t="e">
        <f t="shared" si="60"/>
        <v>#REF!</v>
      </c>
      <c r="AJ35" s="277" t="e">
        <f t="shared" si="7"/>
        <v>#REF!</v>
      </c>
      <c r="AK35" s="277">
        <f t="shared" si="13"/>
        <v>0</v>
      </c>
      <c r="AL35" s="273" t="e">
        <f t="shared" si="14"/>
        <v>#REF!</v>
      </c>
      <c r="AM35" s="278" t="e">
        <f t="shared" si="8"/>
        <v>#REF!</v>
      </c>
      <c r="AN35" s="273" t="e">
        <f t="shared" si="43"/>
        <v>#REF!</v>
      </c>
      <c r="AO35" s="279">
        <f t="shared" si="15"/>
        <v>0</v>
      </c>
      <c r="AP35" s="279" t="e">
        <f t="shared" si="16"/>
        <v>#REF!</v>
      </c>
      <c r="AQ35" s="280" t="e">
        <f t="shared" si="17"/>
        <v>#REF!</v>
      </c>
      <c r="AR35" s="273" t="e">
        <f>AQ35-AQ34</f>
        <v>#REF!</v>
      </c>
      <c r="AS35" s="277" t="e">
        <f t="shared" si="18"/>
        <v>#REF!</v>
      </c>
      <c r="AT35" s="276" t="e">
        <f t="shared" si="9"/>
        <v>#REF!</v>
      </c>
      <c r="AU35" s="273" t="e">
        <f t="shared" si="45"/>
        <v>#REF!</v>
      </c>
      <c r="AV35" s="277" t="e">
        <f t="shared" si="19"/>
        <v>#REF!</v>
      </c>
      <c r="AW35" s="276" t="e">
        <f t="shared" si="20"/>
        <v>#REF!</v>
      </c>
      <c r="AX35" s="273" t="e">
        <f t="shared" si="46"/>
        <v>#REF!</v>
      </c>
      <c r="AY35" s="277" t="e">
        <f t="shared" si="21"/>
        <v>#REF!</v>
      </c>
      <c r="AZ35" s="276" t="e">
        <f t="shared" si="22"/>
        <v>#REF!</v>
      </c>
      <c r="BA35" s="273" t="e">
        <f t="shared" si="47"/>
        <v>#REF!</v>
      </c>
      <c r="BB35" s="277" t="e">
        <f t="shared" si="23"/>
        <v>#REF!</v>
      </c>
      <c r="BC35" s="276" t="e">
        <f t="shared" si="24"/>
        <v>#REF!</v>
      </c>
      <c r="BD35" s="273" t="e">
        <f t="shared" si="48"/>
        <v>#REF!</v>
      </c>
      <c r="BE35" s="277" t="e">
        <f t="shared" si="25"/>
        <v>#REF!</v>
      </c>
      <c r="BF35" s="280" t="e">
        <f t="shared" si="26"/>
        <v>#REF!</v>
      </c>
      <c r="BG35" s="273" t="e">
        <f t="shared" si="49"/>
        <v>#REF!</v>
      </c>
      <c r="BH35" s="277" t="e">
        <f t="shared" si="27"/>
        <v>#REF!</v>
      </c>
      <c r="BI35" s="276" t="e">
        <f t="shared" si="28"/>
        <v>#REF!</v>
      </c>
      <c r="BJ35" s="273" t="e">
        <f t="shared" si="50"/>
        <v>#REF!</v>
      </c>
      <c r="BK35" s="277" t="e">
        <f t="shared" si="29"/>
        <v>#REF!</v>
      </c>
      <c r="BL35" s="276" t="e">
        <f t="shared" si="30"/>
        <v>#REF!</v>
      </c>
      <c r="BM35" s="273" t="e">
        <f t="shared" si="51"/>
        <v>#REF!</v>
      </c>
      <c r="BN35" s="277" t="e">
        <f t="shared" si="31"/>
        <v>#REF!</v>
      </c>
      <c r="BO35" s="280" t="e">
        <f t="shared" si="32"/>
        <v>#REF!</v>
      </c>
      <c r="BP35" s="273" t="e">
        <f t="shared" si="52"/>
        <v>#REF!</v>
      </c>
      <c r="BQ35" s="277" t="e">
        <f t="shared" si="33"/>
        <v>#REF!</v>
      </c>
      <c r="BR35" s="276" t="e">
        <f t="shared" si="34"/>
        <v>#REF!</v>
      </c>
      <c r="BS35" s="273" t="e">
        <f t="shared" si="53"/>
        <v>#REF!</v>
      </c>
      <c r="BT35" s="277" t="e">
        <f t="shared" si="35"/>
        <v>#REF!</v>
      </c>
      <c r="BU35" s="276" t="e">
        <f t="shared" si="36"/>
        <v>#REF!</v>
      </c>
      <c r="BV35" s="273" t="e">
        <f t="shared" si="54"/>
        <v>#REF!</v>
      </c>
      <c r="BW35" s="277" t="e">
        <f t="shared" si="37"/>
        <v>#REF!</v>
      </c>
      <c r="BX35" s="280" t="e">
        <f t="shared" si="38"/>
        <v>#REF!</v>
      </c>
      <c r="BY35" s="273" t="e">
        <f t="shared" si="55"/>
        <v>#REF!</v>
      </c>
      <c r="BZ35" s="277" t="e">
        <f t="shared" si="39"/>
        <v>#REF!</v>
      </c>
      <c r="CA35" s="276" t="e">
        <f t="shared" si="40"/>
        <v>#REF!</v>
      </c>
      <c r="CB35" s="273" t="e">
        <f t="shared" si="56"/>
        <v>#REF!</v>
      </c>
      <c r="CC35" s="277" t="e">
        <f t="shared" si="41"/>
        <v>#REF!</v>
      </c>
    </row>
    <row r="36" spans="1:81" ht="18" customHeight="1" thickBot="1">
      <c r="A36" s="281"/>
      <c r="B36" s="271"/>
      <c r="C36" s="271"/>
      <c r="D36" s="271"/>
      <c r="E36" s="271"/>
      <c r="F36" s="271"/>
      <c r="G36" s="271"/>
      <c r="H36" s="271"/>
      <c r="I36" s="271"/>
      <c r="J36" s="271"/>
      <c r="K36" s="271"/>
      <c r="L36" s="271"/>
      <c r="M36" s="271"/>
      <c r="N36" s="271"/>
      <c r="O36" s="271"/>
      <c r="P36" s="271"/>
      <c r="Q36" s="271"/>
      <c r="R36" s="271"/>
      <c r="S36" s="271"/>
      <c r="T36" s="271"/>
      <c r="U36" s="275"/>
      <c r="V36" s="275"/>
      <c r="W36" s="275"/>
      <c r="X36" s="284">
        <f t="shared" si="10"/>
        <v>0</v>
      </c>
      <c r="Y36" s="273">
        <f t="shared" si="58"/>
        <v>0</v>
      </c>
      <c r="Z36" s="273">
        <f t="shared" si="1"/>
        <v>0</v>
      </c>
      <c r="AA36" s="277">
        <f t="shared" si="11"/>
        <v>0</v>
      </c>
      <c r="AB36" s="273" t="e">
        <f t="shared" si="57"/>
        <v>#REF!</v>
      </c>
      <c r="AC36" s="276">
        <f t="shared" si="2"/>
        <v>0</v>
      </c>
      <c r="AD36" s="273">
        <f t="shared" si="59"/>
        <v>0</v>
      </c>
      <c r="AE36" s="277">
        <f t="shared" si="4"/>
        <v>0</v>
      </c>
      <c r="AF36" s="277">
        <f t="shared" si="5"/>
        <v>0</v>
      </c>
      <c r="AG36" s="273" t="e">
        <f t="shared" si="42"/>
        <v>#REF!</v>
      </c>
      <c r="AH36" s="276">
        <f t="shared" si="12"/>
        <v>0</v>
      </c>
      <c r="AI36" s="273">
        <f t="shared" si="60"/>
        <v>0</v>
      </c>
      <c r="AJ36" s="277">
        <f t="shared" si="7"/>
        <v>0</v>
      </c>
      <c r="AK36" s="277">
        <f t="shared" si="13"/>
        <v>0</v>
      </c>
      <c r="AL36" s="273" t="e">
        <f t="shared" si="14"/>
        <v>#REF!</v>
      </c>
      <c r="AM36" s="278" t="e">
        <f t="shared" si="8"/>
        <v>#REF!</v>
      </c>
      <c r="AN36" s="273">
        <f t="shared" si="43"/>
        <v>0</v>
      </c>
      <c r="AO36" s="279">
        <f t="shared" si="15"/>
        <v>0</v>
      </c>
      <c r="AP36" s="279" t="e">
        <f t="shared" si="16"/>
        <v>#REF!</v>
      </c>
      <c r="AQ36" s="276">
        <f t="shared" si="17"/>
        <v>0</v>
      </c>
      <c r="AR36" s="273"/>
      <c r="AS36" s="277">
        <f t="shared" si="18"/>
        <v>0</v>
      </c>
      <c r="AT36" s="276">
        <f t="shared" si="9"/>
        <v>0</v>
      </c>
      <c r="AU36" s="273"/>
      <c r="AV36" s="277">
        <f t="shared" si="19"/>
        <v>0</v>
      </c>
      <c r="AW36" s="276">
        <f t="shared" si="20"/>
        <v>0</v>
      </c>
      <c r="AX36" s="273"/>
      <c r="AY36" s="277">
        <f t="shared" si="21"/>
        <v>0</v>
      </c>
      <c r="AZ36" s="276">
        <f t="shared" si="22"/>
        <v>0</v>
      </c>
      <c r="BA36" s="273"/>
      <c r="BB36" s="277">
        <f t="shared" si="23"/>
        <v>0</v>
      </c>
      <c r="BC36" s="276">
        <f t="shared" si="24"/>
        <v>0</v>
      </c>
      <c r="BD36" s="273"/>
      <c r="BE36" s="277">
        <f t="shared" si="25"/>
        <v>0</v>
      </c>
      <c r="BF36" s="276">
        <f t="shared" si="26"/>
        <v>0</v>
      </c>
      <c r="BG36" s="273"/>
      <c r="BH36" s="277">
        <f t="shared" si="27"/>
        <v>0</v>
      </c>
      <c r="BI36" s="285">
        <f t="shared" si="28"/>
        <v>0</v>
      </c>
      <c r="BJ36" s="273"/>
      <c r="BK36" s="277">
        <f t="shared" si="29"/>
        <v>0</v>
      </c>
      <c r="BL36" s="284">
        <f t="shared" si="30"/>
        <v>0</v>
      </c>
      <c r="BM36" s="273"/>
      <c r="BN36" s="277">
        <f t="shared" si="31"/>
        <v>0</v>
      </c>
      <c r="BO36" s="276">
        <f t="shared" si="32"/>
        <v>0</v>
      </c>
      <c r="BP36" s="273"/>
      <c r="BQ36" s="277">
        <f t="shared" si="33"/>
        <v>0</v>
      </c>
      <c r="BR36" s="285">
        <f t="shared" si="34"/>
        <v>0</v>
      </c>
      <c r="BS36" s="273"/>
      <c r="BT36" s="277">
        <f t="shared" si="35"/>
        <v>0</v>
      </c>
      <c r="BU36" s="284">
        <f t="shared" si="36"/>
        <v>0</v>
      </c>
      <c r="BV36" s="273"/>
      <c r="BW36" s="277">
        <f t="shared" si="37"/>
        <v>0</v>
      </c>
      <c r="BX36" s="276">
        <f t="shared" si="38"/>
        <v>0</v>
      </c>
      <c r="BY36" s="273"/>
      <c r="BZ36" s="277">
        <f t="shared" si="39"/>
        <v>0</v>
      </c>
      <c r="CA36" s="285">
        <f t="shared" si="40"/>
        <v>0</v>
      </c>
      <c r="CB36" s="273"/>
      <c r="CC36" s="277">
        <f t="shared" si="41"/>
        <v>0</v>
      </c>
    </row>
    <row r="37" spans="1:81" ht="18" customHeight="1">
      <c r="A37" s="286"/>
      <c r="B37" s="287"/>
      <c r="C37" s="287"/>
      <c r="D37" s="287"/>
      <c r="E37" s="287"/>
      <c r="F37" s="287"/>
      <c r="G37" s="287"/>
      <c r="H37" s="287"/>
      <c r="I37" s="287"/>
      <c r="J37" s="287"/>
      <c r="K37" s="287"/>
      <c r="L37" s="287"/>
      <c r="M37" s="287"/>
      <c r="N37" s="287"/>
      <c r="O37" s="287"/>
      <c r="P37" s="287"/>
      <c r="Q37" s="287"/>
      <c r="R37" s="287"/>
      <c r="S37" s="287"/>
      <c r="T37" s="287"/>
      <c r="U37" s="288"/>
      <c r="V37" s="288"/>
      <c r="W37" s="288"/>
      <c r="X37" s="217"/>
      <c r="Y37" s="289"/>
      <c r="Z37" s="289"/>
      <c r="AA37" s="288"/>
      <c r="AB37" s="290"/>
      <c r="AD37" s="289"/>
      <c r="AF37" s="288"/>
      <c r="AG37" s="291"/>
      <c r="AI37" s="289"/>
      <c r="AK37" s="288"/>
      <c r="AL37" s="288"/>
      <c r="AM37" s="289"/>
      <c r="AN37" s="289"/>
      <c r="AO37" s="289"/>
      <c r="AP37" s="289"/>
    </row>
    <row r="38" spans="1:81" ht="18" customHeight="1">
      <c r="B38" s="273" t="s">
        <v>459</v>
      </c>
      <c r="C38" s="283" t="e">
        <f>AV38</f>
        <v>#REF!</v>
      </c>
      <c r="D38" s="293"/>
      <c r="E38" s="294" t="s">
        <v>27</v>
      </c>
      <c r="U38" s="290">
        <f>SUM(U5:U36)</f>
        <v>0</v>
      </c>
      <c r="V38" s="290">
        <f>SUM(V5:V36)</f>
        <v>0</v>
      </c>
      <c r="W38" s="290">
        <f>SUM(W5:W36)</f>
        <v>0</v>
      </c>
      <c r="AA38" s="290">
        <f>SUM(AA5:AA36)</f>
        <v>0</v>
      </c>
      <c r="AB38" s="290">
        <f>SUM(AB5:AB34)</f>
        <v>6897.5199999999995</v>
      </c>
      <c r="AC38" s="289"/>
      <c r="AD38" s="289"/>
      <c r="AE38" s="289"/>
      <c r="AF38" s="290">
        <f>SUM(AF5:AF36)</f>
        <v>0</v>
      </c>
      <c r="AG38" s="290">
        <f>SUM(AG5:AG34)</f>
        <v>7005.2937499999989</v>
      </c>
      <c r="AH38" s="289"/>
      <c r="AI38" s="289"/>
      <c r="AJ38" s="289"/>
      <c r="AK38" s="290">
        <f>SUM(AK5:AK36)</f>
        <v>0</v>
      </c>
      <c r="AL38" s="290">
        <f>SUM(AL5:AL34)</f>
        <v>7005.2937499999989</v>
      </c>
      <c r="AN38" s="289"/>
      <c r="AO38" s="290">
        <f>SUM(AO5:AO36)</f>
        <v>0</v>
      </c>
      <c r="AP38" s="290" t="e">
        <f>SUM(AP5:AP36)</f>
        <v>#REF!</v>
      </c>
      <c r="AS38" s="290" t="e">
        <f>SUM(AS5:AS36)</f>
        <v>#REF!</v>
      </c>
      <c r="AV38" s="290" t="e">
        <f>SUM(AV5:AV36)</f>
        <v>#REF!</v>
      </c>
      <c r="AY38" s="290" t="e">
        <f>SUM(AY5:AY36)</f>
        <v>#REF!</v>
      </c>
      <c r="BB38" s="290" t="e">
        <f>SUM(BB5:BB36)</f>
        <v>#REF!</v>
      </c>
      <c r="BE38" s="290" t="e">
        <f>SUM(BE5:BE36)</f>
        <v>#REF!</v>
      </c>
      <c r="BH38" s="290" t="e">
        <f>SUM(BH5:BH36)</f>
        <v>#REF!</v>
      </c>
      <c r="BK38" s="290" t="e">
        <f>SUM(BK5:BK36)</f>
        <v>#REF!</v>
      </c>
      <c r="BN38" s="290" t="e">
        <f>SUM(BN5:BN36)</f>
        <v>#REF!</v>
      </c>
      <c r="BQ38" s="290" t="e">
        <f>SUM(BQ5:BQ36)</f>
        <v>#REF!</v>
      </c>
      <c r="BT38" s="290" t="e">
        <f>SUM(BT5:BT36)</f>
        <v>#REF!</v>
      </c>
      <c r="BW38" s="290" t="e">
        <f>SUM(BW5:BW36)</f>
        <v>#REF!</v>
      </c>
      <c r="BZ38" s="290" t="e">
        <f>SUM(BZ5:BZ36)</f>
        <v>#REF!</v>
      </c>
      <c r="CC38" s="290" t="e">
        <f>SUM(CC5:CC36)</f>
        <v>#REF!</v>
      </c>
    </row>
    <row r="39" spans="1:81" ht="18" customHeight="1">
      <c r="B39" s="273" t="s">
        <v>421</v>
      </c>
      <c r="C39" s="283" t="e">
        <f>AY38</f>
        <v>#REF!</v>
      </c>
      <c r="D39" s="293"/>
      <c r="E39" s="294"/>
      <c r="AN39" s="289">
        <f>AN4</f>
        <v>20908.107499999998</v>
      </c>
      <c r="AO39" s="289"/>
      <c r="AP39" s="289"/>
    </row>
    <row r="40" spans="1:81" ht="18" customHeight="1">
      <c r="B40" s="273" t="s">
        <v>102</v>
      </c>
      <c r="C40" s="283" t="e">
        <f>BB38</f>
        <v>#REF!</v>
      </c>
      <c r="D40" s="293"/>
      <c r="E40" s="294"/>
      <c r="AN40" s="289" t="e">
        <f>AN35</f>
        <v>#REF!</v>
      </c>
      <c r="AO40" s="289"/>
      <c r="AP40" s="289"/>
    </row>
    <row r="41" spans="1:81" ht="18" customHeight="1">
      <c r="B41" s="230" t="s">
        <v>458</v>
      </c>
      <c r="C41" s="283">
        <f>AB38+AG38+AL38</f>
        <v>20908.107499999998</v>
      </c>
      <c r="D41" s="293"/>
      <c r="E41" s="296"/>
      <c r="U41" s="292" t="s">
        <v>27</v>
      </c>
      <c r="Z41" s="289"/>
    </row>
    <row r="42" spans="1:81" ht="18" customHeight="1">
      <c r="B42" s="230" t="s">
        <v>637</v>
      </c>
      <c r="C42" s="283">
        <f>AA38+AF38+AK38</f>
        <v>0</v>
      </c>
      <c r="D42" s="287"/>
    </row>
    <row r="43" spans="1:81" ht="18" hidden="1" customHeight="1">
      <c r="B43" s="230" t="s">
        <v>511</v>
      </c>
      <c r="C43" s="282">
        <f>BB36</f>
        <v>0</v>
      </c>
      <c r="D43" s="287"/>
    </row>
    <row r="44" spans="1:81" ht="18" hidden="1" customHeight="1">
      <c r="B44" s="230" t="s">
        <v>512</v>
      </c>
      <c r="C44" s="282">
        <f>BE36</f>
        <v>0</v>
      </c>
      <c r="D44" s="287"/>
    </row>
    <row r="45" spans="1:81" ht="18" hidden="1" customHeight="1">
      <c r="B45" s="273" t="s">
        <v>139</v>
      </c>
      <c r="C45" s="282">
        <f>BE36</f>
        <v>0</v>
      </c>
    </row>
    <row r="46" spans="1:81" ht="18" customHeight="1">
      <c r="B46" s="273" t="s">
        <v>625</v>
      </c>
      <c r="C46" s="283" t="e">
        <f>BH38</f>
        <v>#REF!</v>
      </c>
    </row>
    <row r="47" spans="1:81" ht="18" customHeight="1">
      <c r="B47" s="273" t="s">
        <v>56</v>
      </c>
      <c r="C47" s="283" t="e">
        <f>BK38</f>
        <v>#REF!</v>
      </c>
    </row>
    <row r="48" spans="1:81" ht="18" customHeight="1">
      <c r="B48" s="273" t="s">
        <v>61</v>
      </c>
      <c r="C48" s="283" t="e">
        <f>BN38</f>
        <v>#REF!</v>
      </c>
    </row>
    <row r="49" spans="2:3" ht="18" customHeight="1">
      <c r="B49" s="273" t="s">
        <v>63</v>
      </c>
      <c r="C49" s="283" t="e">
        <f>BQ38</f>
        <v>#REF!</v>
      </c>
    </row>
    <row r="50" spans="2:3" ht="18" customHeight="1">
      <c r="B50" s="273" t="s">
        <v>67</v>
      </c>
      <c r="C50" s="283" t="e">
        <f>BT38</f>
        <v>#REF!</v>
      </c>
    </row>
    <row r="51" spans="2:3" ht="18" customHeight="1">
      <c r="B51" s="273" t="s">
        <v>70</v>
      </c>
      <c r="C51" s="283" t="e">
        <f>BW38</f>
        <v>#REF!</v>
      </c>
    </row>
    <row r="52" spans="2:3" ht="18" customHeight="1">
      <c r="B52" s="273" t="s">
        <v>73</v>
      </c>
      <c r="C52" s="283" t="e">
        <f>BZ38</f>
        <v>#REF!</v>
      </c>
    </row>
    <row r="53" spans="2:3" ht="18" customHeight="1">
      <c r="B53" s="273" t="s">
        <v>108</v>
      </c>
      <c r="C53" s="283" t="e">
        <f>CC38</f>
        <v>#REF!</v>
      </c>
    </row>
    <row r="91" spans="29:29" ht="18" customHeight="1">
      <c r="AC91" s="297"/>
    </row>
  </sheetData>
  <sheetProtection sheet="1" objects="1" scenarios="1"/>
  <mergeCells count="17">
    <mergeCell ref="BL2:BN2"/>
    <mergeCell ref="U2:V2"/>
    <mergeCell ref="X2:AB2"/>
    <mergeCell ref="AC2:AG2"/>
    <mergeCell ref="AH2:AM2"/>
    <mergeCell ref="AQ2:AS2"/>
    <mergeCell ref="AT2:AV2"/>
    <mergeCell ref="AW2:AY2"/>
    <mergeCell ref="AZ2:BB2"/>
    <mergeCell ref="BC2:BE2"/>
    <mergeCell ref="BF2:BH2"/>
    <mergeCell ref="BI2:BK2"/>
    <mergeCell ref="BO2:BQ2"/>
    <mergeCell ref="BR2:BT2"/>
    <mergeCell ref="BU2:BW2"/>
    <mergeCell ref="BX2:BZ2"/>
    <mergeCell ref="CA2:CC2"/>
  </mergeCells>
  <conditionalFormatting sqref="B5:D11 A5:A37">
    <cfRule type="cellIs" dxfId="179" priority="178" stopIfTrue="1" operator="between">
      <formula>1</formula>
      <formula>30</formula>
    </cfRule>
    <cfRule type="cellIs" dxfId="178" priority="179" stopIfTrue="1" operator="between">
      <formula>30</formula>
      <formula>1</formula>
    </cfRule>
    <cfRule type="cellIs" dxfId="177" priority="180" stopIfTrue="1" operator="lessThan">
      <formula>30</formula>
    </cfRule>
  </conditionalFormatting>
  <conditionalFormatting sqref="B4:T37">
    <cfRule type="cellIs" dxfId="176" priority="177" operator="lessThan">
      <formula>0</formula>
    </cfRule>
  </conditionalFormatting>
  <conditionalFormatting sqref="E4:E35">
    <cfRule type="cellIs" dxfId="175" priority="176" operator="lessThan">
      <formula>0</formula>
    </cfRule>
  </conditionalFormatting>
  <conditionalFormatting sqref="B4:B35">
    <cfRule type="cellIs" dxfId="174" priority="175" operator="lessThan">
      <formula>0</formula>
    </cfRule>
  </conditionalFormatting>
  <conditionalFormatting sqref="C4:C35">
    <cfRule type="cellIs" dxfId="173" priority="174" operator="lessThan">
      <formula>0</formula>
    </cfRule>
  </conditionalFormatting>
  <conditionalFormatting sqref="D4:D35">
    <cfRule type="cellIs" dxfId="172" priority="173" operator="lessThan">
      <formula>0</formula>
    </cfRule>
  </conditionalFormatting>
  <conditionalFormatting sqref="F4:F35">
    <cfRule type="cellIs" dxfId="171" priority="172" operator="lessThan">
      <formula>0</formula>
    </cfRule>
  </conditionalFormatting>
  <conditionalFormatting sqref="H4:H35">
    <cfRule type="cellIs" dxfId="170" priority="171" operator="lessThan">
      <formula>0</formula>
    </cfRule>
  </conditionalFormatting>
  <conditionalFormatting sqref="G4:G35">
    <cfRule type="cellIs" dxfId="169" priority="170" operator="lessThan">
      <formula>0</formula>
    </cfRule>
  </conditionalFormatting>
  <conditionalFormatting sqref="M4:M35">
    <cfRule type="cellIs" dxfId="168" priority="169" operator="lessThan">
      <formula>0</formula>
    </cfRule>
  </conditionalFormatting>
  <conditionalFormatting sqref="N4:N35">
    <cfRule type="cellIs" dxfId="167" priority="168" operator="lessThan">
      <formula>0</formula>
    </cfRule>
  </conditionalFormatting>
  <conditionalFormatting sqref="O4:O35">
    <cfRule type="cellIs" dxfId="166" priority="167" operator="lessThan">
      <formula>0</formula>
    </cfRule>
  </conditionalFormatting>
  <conditionalFormatting sqref="P4:P35">
    <cfRule type="cellIs" dxfId="165" priority="166" operator="lessThan">
      <formula>0</formula>
    </cfRule>
  </conditionalFormatting>
  <conditionalFormatting sqref="Q4:Q35">
    <cfRule type="cellIs" dxfId="164" priority="165" operator="lessThan">
      <formula>0</formula>
    </cfRule>
  </conditionalFormatting>
  <conditionalFormatting sqref="R4:R35">
    <cfRule type="cellIs" dxfId="163" priority="164" operator="lessThan">
      <formula>0</formula>
    </cfRule>
  </conditionalFormatting>
  <conditionalFormatting sqref="S4:S35">
    <cfRule type="cellIs" dxfId="162" priority="163" operator="lessThan">
      <formula>0</formula>
    </cfRule>
  </conditionalFormatting>
  <conditionalFormatting sqref="T4:T35">
    <cfRule type="cellIs" dxfId="161" priority="162" operator="lessThan">
      <formula>0</formula>
    </cfRule>
  </conditionalFormatting>
  <conditionalFormatting sqref="B4:B35">
    <cfRule type="cellIs" dxfId="160" priority="161" operator="lessThan">
      <formula>0</formula>
    </cfRule>
  </conditionalFormatting>
  <conditionalFormatting sqref="C4:C35">
    <cfRule type="cellIs" dxfId="159" priority="160" operator="lessThan">
      <formula>0</formula>
    </cfRule>
  </conditionalFormatting>
  <conditionalFormatting sqref="D4:D35">
    <cfRule type="cellIs" dxfId="158" priority="159" operator="lessThan">
      <formula>0</formula>
    </cfRule>
  </conditionalFormatting>
  <conditionalFormatting sqref="E4:E35">
    <cfRule type="cellIs" dxfId="157" priority="158" operator="lessThan">
      <formula>0</formula>
    </cfRule>
  </conditionalFormatting>
  <conditionalFormatting sqref="F4:F35">
    <cfRule type="cellIs" dxfId="156" priority="157" operator="lessThan">
      <formula>0</formula>
    </cfRule>
  </conditionalFormatting>
  <conditionalFormatting sqref="G4:G35">
    <cfRule type="cellIs" dxfId="155" priority="156" operator="lessThan">
      <formula>0</formula>
    </cfRule>
  </conditionalFormatting>
  <conditionalFormatting sqref="H4:H35">
    <cfRule type="cellIs" dxfId="154" priority="155" operator="lessThan">
      <formula>0</formula>
    </cfRule>
  </conditionalFormatting>
  <conditionalFormatting sqref="M4:M35">
    <cfRule type="cellIs" dxfId="153" priority="154" operator="lessThan">
      <formula>0</formula>
    </cfRule>
  </conditionalFormatting>
  <conditionalFormatting sqref="N4:N35">
    <cfRule type="cellIs" dxfId="152" priority="153" operator="lessThan">
      <formula>0</formula>
    </cfRule>
  </conditionalFormatting>
  <conditionalFormatting sqref="O4:O35">
    <cfRule type="cellIs" dxfId="151" priority="152" operator="lessThan">
      <formula>0</formula>
    </cfRule>
  </conditionalFormatting>
  <conditionalFormatting sqref="P4:P35">
    <cfRule type="cellIs" dxfId="150" priority="151" operator="lessThan">
      <formula>0</formula>
    </cfRule>
  </conditionalFormatting>
  <conditionalFormatting sqref="Q4:Q35">
    <cfRule type="cellIs" dxfId="149" priority="150" operator="lessThan">
      <formula>0</formula>
    </cfRule>
  </conditionalFormatting>
  <conditionalFormatting sqref="R4:R35">
    <cfRule type="cellIs" dxfId="148" priority="149" operator="lessThan">
      <formula>0</formula>
    </cfRule>
  </conditionalFormatting>
  <conditionalFormatting sqref="S4:S35">
    <cfRule type="cellIs" dxfId="147" priority="148" operator="lessThan">
      <formula>0</formula>
    </cfRule>
  </conditionalFormatting>
  <conditionalFormatting sqref="T4:T35">
    <cfRule type="cellIs" dxfId="146" priority="147" operator="lessThan">
      <formula>0</formula>
    </cfRule>
  </conditionalFormatting>
  <conditionalFormatting sqref="E4:E35">
    <cfRule type="cellIs" dxfId="145" priority="146" operator="lessThan">
      <formula>0</formula>
    </cfRule>
  </conditionalFormatting>
  <conditionalFormatting sqref="B4:B35">
    <cfRule type="cellIs" dxfId="144" priority="145" operator="lessThan">
      <formula>0</formula>
    </cfRule>
  </conditionalFormatting>
  <conditionalFormatting sqref="C4:C35">
    <cfRule type="cellIs" dxfId="143" priority="144" operator="lessThan">
      <formula>0</formula>
    </cfRule>
  </conditionalFormatting>
  <conditionalFormatting sqref="D4:D35">
    <cfRule type="cellIs" dxfId="142" priority="143" operator="lessThan">
      <formula>0</formula>
    </cfRule>
  </conditionalFormatting>
  <conditionalFormatting sqref="F4:F35">
    <cfRule type="cellIs" dxfId="141" priority="142" operator="lessThan">
      <formula>0</formula>
    </cfRule>
  </conditionalFormatting>
  <conditionalFormatting sqref="H4:H35">
    <cfRule type="cellIs" dxfId="140" priority="141" operator="lessThan">
      <formula>0</formula>
    </cfRule>
  </conditionalFormatting>
  <conditionalFormatting sqref="G4:G35">
    <cfRule type="cellIs" dxfId="139" priority="140" operator="lessThan">
      <formula>0</formula>
    </cfRule>
  </conditionalFormatting>
  <conditionalFormatting sqref="L4:L35">
    <cfRule type="cellIs" dxfId="138" priority="139" operator="lessThan">
      <formula>0</formula>
    </cfRule>
  </conditionalFormatting>
  <conditionalFormatting sqref="M4:M35">
    <cfRule type="cellIs" dxfId="137" priority="138" operator="lessThan">
      <formula>0</formula>
    </cfRule>
  </conditionalFormatting>
  <conditionalFormatting sqref="N4:N35">
    <cfRule type="cellIs" dxfId="136" priority="137" operator="lessThan">
      <formula>0</formula>
    </cfRule>
  </conditionalFormatting>
  <conditionalFormatting sqref="O4:O35">
    <cfRule type="cellIs" dxfId="135" priority="136" operator="lessThan">
      <formula>0</formula>
    </cfRule>
  </conditionalFormatting>
  <conditionalFormatting sqref="P4:P35">
    <cfRule type="cellIs" dxfId="134" priority="135" operator="lessThan">
      <formula>0</formula>
    </cfRule>
  </conditionalFormatting>
  <conditionalFormatting sqref="Q4:Q35">
    <cfRule type="cellIs" dxfId="133" priority="134" operator="lessThan">
      <formula>0</formula>
    </cfRule>
  </conditionalFormatting>
  <conditionalFormatting sqref="R4:R35">
    <cfRule type="cellIs" dxfId="132" priority="133" operator="lessThan">
      <formula>0</formula>
    </cfRule>
  </conditionalFormatting>
  <conditionalFormatting sqref="S4:S35">
    <cfRule type="cellIs" dxfId="131" priority="132" operator="lessThan">
      <formula>0</formula>
    </cfRule>
  </conditionalFormatting>
  <conditionalFormatting sqref="T4:T35">
    <cfRule type="cellIs" dxfId="130" priority="131" operator="lessThan">
      <formula>0</formula>
    </cfRule>
  </conditionalFormatting>
  <conditionalFormatting sqref="E30:E35">
    <cfRule type="cellIs" dxfId="129" priority="130" operator="lessThan">
      <formula>0</formula>
    </cfRule>
  </conditionalFormatting>
  <conditionalFormatting sqref="E31:E35">
    <cfRule type="cellIs" dxfId="128" priority="129" operator="lessThan">
      <formula>0</formula>
    </cfRule>
  </conditionalFormatting>
  <conditionalFormatting sqref="B30:B35">
    <cfRule type="cellIs" dxfId="127" priority="128" operator="lessThan">
      <formula>0</formula>
    </cfRule>
  </conditionalFormatting>
  <conditionalFormatting sqref="B31:B35">
    <cfRule type="cellIs" dxfId="126" priority="127" operator="lessThan">
      <formula>0</formula>
    </cfRule>
  </conditionalFormatting>
  <conditionalFormatting sqref="C30:C35">
    <cfRule type="cellIs" dxfId="125" priority="126" operator="lessThan">
      <formula>0</formula>
    </cfRule>
  </conditionalFormatting>
  <conditionalFormatting sqref="C31:C35">
    <cfRule type="cellIs" dxfId="124" priority="125" operator="lessThan">
      <formula>0</formula>
    </cfRule>
  </conditionalFormatting>
  <conditionalFormatting sqref="D30:D35">
    <cfRule type="cellIs" dxfId="123" priority="124" operator="lessThan">
      <formula>0</formula>
    </cfRule>
  </conditionalFormatting>
  <conditionalFormatting sqref="D31:D35">
    <cfRule type="cellIs" dxfId="122" priority="123" operator="lessThan">
      <formula>0</formula>
    </cfRule>
  </conditionalFormatting>
  <conditionalFormatting sqref="F30:F35">
    <cfRule type="cellIs" dxfId="121" priority="122" operator="lessThan">
      <formula>0</formula>
    </cfRule>
  </conditionalFormatting>
  <conditionalFormatting sqref="H30:H35">
    <cfRule type="cellIs" dxfId="120" priority="121" operator="lessThan">
      <formula>0</formula>
    </cfRule>
  </conditionalFormatting>
  <conditionalFormatting sqref="G30:G35">
    <cfRule type="cellIs" dxfId="119" priority="120" operator="lessThan">
      <formula>0</formula>
    </cfRule>
  </conditionalFormatting>
  <conditionalFormatting sqref="L30:L35">
    <cfRule type="cellIs" dxfId="118" priority="119" operator="lessThan">
      <formula>0</formula>
    </cfRule>
  </conditionalFormatting>
  <conditionalFormatting sqref="M30:M35">
    <cfRule type="cellIs" dxfId="117" priority="118" operator="lessThan">
      <formula>0</formula>
    </cfRule>
  </conditionalFormatting>
  <conditionalFormatting sqref="N30:N35">
    <cfRule type="cellIs" dxfId="116" priority="117" operator="lessThan">
      <formula>0</formula>
    </cfRule>
  </conditionalFormatting>
  <conditionalFormatting sqref="O30:O35">
    <cfRule type="cellIs" dxfId="115" priority="116" operator="lessThan">
      <formula>0</formula>
    </cfRule>
  </conditionalFormatting>
  <conditionalFormatting sqref="P30:P35">
    <cfRule type="cellIs" dxfId="114" priority="115" operator="lessThan">
      <formula>0</formula>
    </cfRule>
  </conditionalFormatting>
  <conditionalFormatting sqref="Q30:Q35">
    <cfRule type="cellIs" dxfId="113" priority="114" operator="lessThan">
      <formula>0</formula>
    </cfRule>
  </conditionalFormatting>
  <conditionalFormatting sqref="R30:R35">
    <cfRule type="cellIs" dxfId="112" priority="113" operator="lessThan">
      <formula>0</formula>
    </cfRule>
  </conditionalFormatting>
  <conditionalFormatting sqref="S30:S35">
    <cfRule type="cellIs" dxfId="111" priority="112" operator="lessThan">
      <formula>0</formula>
    </cfRule>
  </conditionalFormatting>
  <conditionalFormatting sqref="T30:T35">
    <cfRule type="cellIs" dxfId="110" priority="111" operator="lessThan">
      <formula>0</formula>
    </cfRule>
  </conditionalFormatting>
  <conditionalFormatting sqref="E6:E29">
    <cfRule type="cellIs" dxfId="109" priority="110" operator="lessThan">
      <formula>0</formula>
    </cfRule>
  </conditionalFormatting>
  <conditionalFormatting sqref="B6:B29">
    <cfRule type="cellIs" dxfId="108" priority="109" operator="lessThan">
      <formula>0</formula>
    </cfRule>
  </conditionalFormatting>
  <conditionalFormatting sqref="C6:C29">
    <cfRule type="cellIs" dxfId="107" priority="108" operator="lessThan">
      <formula>0</formula>
    </cfRule>
  </conditionalFormatting>
  <conditionalFormatting sqref="D6:D29">
    <cfRule type="cellIs" dxfId="106" priority="107" operator="lessThan">
      <formula>0</formula>
    </cfRule>
  </conditionalFormatting>
  <conditionalFormatting sqref="F6:F29">
    <cfRule type="cellIs" dxfId="105" priority="106" operator="lessThan">
      <formula>0</formula>
    </cfRule>
  </conditionalFormatting>
  <conditionalFormatting sqref="H6:H29">
    <cfRule type="cellIs" dxfId="104" priority="105" operator="lessThan">
      <formula>0</formula>
    </cfRule>
  </conditionalFormatting>
  <conditionalFormatting sqref="G6:G29">
    <cfRule type="cellIs" dxfId="103" priority="104" operator="lessThan">
      <formula>0</formula>
    </cfRule>
  </conditionalFormatting>
  <conditionalFormatting sqref="T6:T29">
    <cfRule type="cellIs" dxfId="102" priority="103" operator="lessThan">
      <formula>0</formula>
    </cfRule>
  </conditionalFormatting>
  <conditionalFormatting sqref="M6:M29">
    <cfRule type="cellIs" dxfId="101" priority="102" operator="lessThan">
      <formula>0</formula>
    </cfRule>
  </conditionalFormatting>
  <conditionalFormatting sqref="N6:N29">
    <cfRule type="cellIs" dxfId="100" priority="101" operator="lessThan">
      <formula>0</formula>
    </cfRule>
  </conditionalFormatting>
  <conditionalFormatting sqref="O6:O29">
    <cfRule type="cellIs" dxfId="99" priority="100" operator="lessThan">
      <formula>0</formula>
    </cfRule>
  </conditionalFormatting>
  <conditionalFormatting sqref="P6:P29">
    <cfRule type="cellIs" dxfId="98" priority="99" operator="lessThan">
      <formula>0</formula>
    </cfRule>
  </conditionalFormatting>
  <conditionalFormatting sqref="Q6:Q29">
    <cfRule type="cellIs" dxfId="97" priority="98" operator="lessThan">
      <formula>0</formula>
    </cfRule>
  </conditionalFormatting>
  <conditionalFormatting sqref="R6:R29">
    <cfRule type="cellIs" dxfId="96" priority="97" operator="lessThan">
      <formula>0</formula>
    </cfRule>
  </conditionalFormatting>
  <conditionalFormatting sqref="S6:S29">
    <cfRule type="cellIs" dxfId="95" priority="96" operator="lessThan">
      <formula>0</formula>
    </cfRule>
  </conditionalFormatting>
  <conditionalFormatting sqref="E4:E35">
    <cfRule type="cellIs" dxfId="94" priority="95" operator="lessThan">
      <formula>0</formula>
    </cfRule>
  </conditionalFormatting>
  <conditionalFormatting sqref="E9:E10">
    <cfRule type="cellIs" dxfId="93" priority="94" operator="lessThan">
      <formula>0</formula>
    </cfRule>
  </conditionalFormatting>
  <conditionalFormatting sqref="E9:E10">
    <cfRule type="cellIs" dxfId="92" priority="93" operator="lessThan">
      <formula>0</formula>
    </cfRule>
  </conditionalFormatting>
  <conditionalFormatting sqref="E9:E10">
    <cfRule type="cellIs" dxfId="91" priority="92" operator="lessThan">
      <formula>0</formula>
    </cfRule>
  </conditionalFormatting>
  <conditionalFormatting sqref="E9:E10">
    <cfRule type="cellIs" dxfId="90" priority="91" operator="lessThan">
      <formula>0</formula>
    </cfRule>
  </conditionalFormatting>
  <conditionalFormatting sqref="E9:E10">
    <cfRule type="cellIs" dxfId="89" priority="90" operator="lessThan">
      <formula>0</formula>
    </cfRule>
  </conditionalFormatting>
  <conditionalFormatting sqref="B4:B35">
    <cfRule type="cellIs" dxfId="88" priority="89" operator="lessThan">
      <formula>0</formula>
    </cfRule>
  </conditionalFormatting>
  <conditionalFormatting sqref="C4:C35">
    <cfRule type="cellIs" dxfId="87" priority="88" operator="lessThan">
      <formula>0</formula>
    </cfRule>
  </conditionalFormatting>
  <conditionalFormatting sqref="D4:D35">
    <cfRule type="cellIs" dxfId="86" priority="87" operator="lessThan">
      <formula>0</formula>
    </cfRule>
  </conditionalFormatting>
  <conditionalFormatting sqref="F4:F35">
    <cfRule type="cellIs" dxfId="85" priority="86" operator="lessThan">
      <formula>0</formula>
    </cfRule>
  </conditionalFormatting>
  <conditionalFormatting sqref="F9:F10">
    <cfRule type="cellIs" dxfId="84" priority="85" operator="lessThan">
      <formula>0</formula>
    </cfRule>
  </conditionalFormatting>
  <conditionalFormatting sqref="F9:F10">
    <cfRule type="cellIs" dxfId="83" priority="84" operator="lessThan">
      <formula>0</formula>
    </cfRule>
  </conditionalFormatting>
  <conditionalFormatting sqref="F9:F10">
    <cfRule type="cellIs" dxfId="82" priority="83" operator="lessThan">
      <formula>0</formula>
    </cfRule>
  </conditionalFormatting>
  <conditionalFormatting sqref="F9:F10">
    <cfRule type="cellIs" dxfId="81" priority="82" operator="lessThan">
      <formula>0</formula>
    </cfRule>
  </conditionalFormatting>
  <conditionalFormatting sqref="F9:F10">
    <cfRule type="cellIs" dxfId="80" priority="81" operator="lessThan">
      <formula>0</formula>
    </cfRule>
  </conditionalFormatting>
  <conditionalFormatting sqref="H4:H35">
    <cfRule type="cellIs" dxfId="79" priority="80" operator="lessThan">
      <formula>0</formula>
    </cfRule>
  </conditionalFormatting>
  <conditionalFormatting sqref="H9:H10">
    <cfRule type="cellIs" dxfId="78" priority="79" operator="lessThan">
      <formula>0</formula>
    </cfRule>
  </conditionalFormatting>
  <conditionalFormatting sqref="H9:H10">
    <cfRule type="cellIs" dxfId="77" priority="78" operator="lessThan">
      <formula>0</formula>
    </cfRule>
  </conditionalFormatting>
  <conditionalFormatting sqref="H9:H10">
    <cfRule type="cellIs" dxfId="76" priority="77" operator="lessThan">
      <formula>0</formula>
    </cfRule>
  </conditionalFormatting>
  <conditionalFormatting sqref="H9:H10">
    <cfRule type="cellIs" dxfId="75" priority="76" operator="lessThan">
      <formula>0</formula>
    </cfRule>
  </conditionalFormatting>
  <conditionalFormatting sqref="H9:H10">
    <cfRule type="cellIs" dxfId="74" priority="75" operator="lessThan">
      <formula>0</formula>
    </cfRule>
  </conditionalFormatting>
  <conditionalFormatting sqref="G4:G35">
    <cfRule type="cellIs" dxfId="73" priority="74" operator="lessThan">
      <formula>0</formula>
    </cfRule>
  </conditionalFormatting>
  <conditionalFormatting sqref="G9:G10">
    <cfRule type="cellIs" dxfId="72" priority="73" operator="lessThan">
      <formula>0</formula>
    </cfRule>
  </conditionalFormatting>
  <conditionalFormatting sqref="G9:G10">
    <cfRule type="cellIs" dxfId="71" priority="72" operator="lessThan">
      <formula>0</formula>
    </cfRule>
  </conditionalFormatting>
  <conditionalFormatting sqref="G9:G10">
    <cfRule type="cellIs" dxfId="70" priority="71" operator="lessThan">
      <formula>0</formula>
    </cfRule>
  </conditionalFormatting>
  <conditionalFormatting sqref="G9:G10">
    <cfRule type="cellIs" dxfId="69" priority="70" operator="lessThan">
      <formula>0</formula>
    </cfRule>
  </conditionalFormatting>
  <conditionalFormatting sqref="G9:G10">
    <cfRule type="cellIs" dxfId="68" priority="69" operator="lessThan">
      <formula>0</formula>
    </cfRule>
  </conditionalFormatting>
  <conditionalFormatting sqref="L4:L35">
    <cfRule type="cellIs" dxfId="67" priority="68" operator="lessThan">
      <formula>0</formula>
    </cfRule>
  </conditionalFormatting>
  <conditionalFormatting sqref="L4:L35">
    <cfRule type="cellIs" dxfId="66" priority="67" operator="lessThan">
      <formula>0</formula>
    </cfRule>
  </conditionalFormatting>
  <conditionalFormatting sqref="L4:L35">
    <cfRule type="cellIs" dxfId="65" priority="66" operator="lessThan">
      <formula>0</formula>
    </cfRule>
  </conditionalFormatting>
  <conditionalFormatting sqref="T4:T35">
    <cfRule type="cellIs" dxfId="64" priority="65" operator="lessThan">
      <formula>0</formula>
    </cfRule>
  </conditionalFormatting>
  <conditionalFormatting sqref="T9:T10">
    <cfRule type="cellIs" dxfId="63" priority="64" operator="lessThan">
      <formula>0</formula>
    </cfRule>
  </conditionalFormatting>
  <conditionalFormatting sqref="T9:T10">
    <cfRule type="cellIs" dxfId="62" priority="63" operator="lessThan">
      <formula>0</formula>
    </cfRule>
  </conditionalFormatting>
  <conditionalFormatting sqref="T9:T10">
    <cfRule type="cellIs" dxfId="61" priority="62" operator="lessThan">
      <formula>0</formula>
    </cfRule>
  </conditionalFormatting>
  <conditionalFormatting sqref="T9:T10">
    <cfRule type="cellIs" dxfId="60" priority="61" operator="lessThan">
      <formula>0</formula>
    </cfRule>
  </conditionalFormatting>
  <conditionalFormatting sqref="T9:T10">
    <cfRule type="cellIs" dxfId="59" priority="60" operator="lessThan">
      <formula>0</formula>
    </cfRule>
  </conditionalFormatting>
  <conditionalFormatting sqref="M4:M35">
    <cfRule type="cellIs" dxfId="58" priority="59" operator="lessThan">
      <formula>0</formula>
    </cfRule>
  </conditionalFormatting>
  <conditionalFormatting sqref="M9:M10">
    <cfRule type="cellIs" dxfId="57" priority="58" operator="lessThan">
      <formula>0</formula>
    </cfRule>
  </conditionalFormatting>
  <conditionalFormatting sqref="M9:M10">
    <cfRule type="cellIs" dxfId="56" priority="57" operator="lessThan">
      <formula>0</formula>
    </cfRule>
  </conditionalFormatting>
  <conditionalFormatting sqref="M9:M10">
    <cfRule type="cellIs" dxfId="55" priority="56" operator="lessThan">
      <formula>0</formula>
    </cfRule>
  </conditionalFormatting>
  <conditionalFormatting sqref="M9:M10">
    <cfRule type="cellIs" dxfId="54" priority="55" operator="lessThan">
      <formula>0</formula>
    </cfRule>
  </conditionalFormatting>
  <conditionalFormatting sqref="M9:M10">
    <cfRule type="cellIs" dxfId="53" priority="54" operator="lessThan">
      <formula>0</formula>
    </cfRule>
  </conditionalFormatting>
  <conditionalFormatting sqref="N4:N35">
    <cfRule type="cellIs" dxfId="52" priority="53" operator="lessThan">
      <formula>0</formula>
    </cfRule>
  </conditionalFormatting>
  <conditionalFormatting sqref="N9:N10">
    <cfRule type="cellIs" dxfId="51" priority="52" operator="lessThan">
      <formula>0</formula>
    </cfRule>
  </conditionalFormatting>
  <conditionalFormatting sqref="N9:N10">
    <cfRule type="cellIs" dxfId="50" priority="51" operator="lessThan">
      <formula>0</formula>
    </cfRule>
  </conditionalFormatting>
  <conditionalFormatting sqref="N9:N10">
    <cfRule type="cellIs" dxfId="49" priority="50" operator="lessThan">
      <formula>0</formula>
    </cfRule>
  </conditionalFormatting>
  <conditionalFormatting sqref="N9:N10">
    <cfRule type="cellIs" dxfId="48" priority="49" operator="lessThan">
      <formula>0</formula>
    </cfRule>
  </conditionalFormatting>
  <conditionalFormatting sqref="N9:N10">
    <cfRule type="cellIs" dxfId="47" priority="48" operator="lessThan">
      <formula>0</formula>
    </cfRule>
  </conditionalFormatting>
  <conditionalFormatting sqref="O4:O35">
    <cfRule type="cellIs" dxfId="46" priority="47" operator="lessThan">
      <formula>0</formula>
    </cfRule>
  </conditionalFormatting>
  <conditionalFormatting sqref="O9:O10">
    <cfRule type="cellIs" dxfId="45" priority="46" operator="lessThan">
      <formula>0</formula>
    </cfRule>
  </conditionalFormatting>
  <conditionalFormatting sqref="O9:O10">
    <cfRule type="cellIs" dxfId="44" priority="45" operator="lessThan">
      <formula>0</formula>
    </cfRule>
  </conditionalFormatting>
  <conditionalFormatting sqref="O9:O10">
    <cfRule type="cellIs" dxfId="43" priority="44" operator="lessThan">
      <formula>0</formula>
    </cfRule>
  </conditionalFormatting>
  <conditionalFormatting sqref="O9:O10">
    <cfRule type="cellIs" dxfId="42" priority="43" operator="lessThan">
      <formula>0</formula>
    </cfRule>
  </conditionalFormatting>
  <conditionalFormatting sqref="O9:O10">
    <cfRule type="cellIs" dxfId="41" priority="42" operator="lessThan">
      <formula>0</formula>
    </cfRule>
  </conditionalFormatting>
  <conditionalFormatting sqref="P4:P35">
    <cfRule type="cellIs" dxfId="40" priority="41" operator="lessThan">
      <formula>0</formula>
    </cfRule>
  </conditionalFormatting>
  <conditionalFormatting sqref="P9:P10">
    <cfRule type="cellIs" dxfId="39" priority="40" operator="lessThan">
      <formula>0</formula>
    </cfRule>
  </conditionalFormatting>
  <conditionalFormatting sqref="P9:P10">
    <cfRule type="cellIs" dxfId="38" priority="39" operator="lessThan">
      <formula>0</formula>
    </cfRule>
  </conditionalFormatting>
  <conditionalFormatting sqref="P9:P10">
    <cfRule type="cellIs" dxfId="37" priority="38" operator="lessThan">
      <formula>0</formula>
    </cfRule>
  </conditionalFormatting>
  <conditionalFormatting sqref="P9:P10">
    <cfRule type="cellIs" dxfId="36" priority="37" operator="lessThan">
      <formula>0</formula>
    </cfRule>
  </conditionalFormatting>
  <conditionalFormatting sqref="P9:P10">
    <cfRule type="cellIs" dxfId="35" priority="36" operator="lessThan">
      <formula>0</formula>
    </cfRule>
  </conditionalFormatting>
  <conditionalFormatting sqref="Q4:Q35">
    <cfRule type="cellIs" dxfId="34" priority="35" operator="lessThan">
      <formula>0</formula>
    </cfRule>
  </conditionalFormatting>
  <conditionalFormatting sqref="Q9:Q10">
    <cfRule type="cellIs" dxfId="33" priority="34" operator="lessThan">
      <formula>0</formula>
    </cfRule>
  </conditionalFormatting>
  <conditionalFormatting sqref="Q9:Q10">
    <cfRule type="cellIs" dxfId="32" priority="33" operator="lessThan">
      <formula>0</formula>
    </cfRule>
  </conditionalFormatting>
  <conditionalFormatting sqref="Q9:Q10">
    <cfRule type="cellIs" dxfId="31" priority="32" operator="lessThan">
      <formula>0</formula>
    </cfRule>
  </conditionalFormatting>
  <conditionalFormatting sqref="Q9:Q10">
    <cfRule type="cellIs" dxfId="30" priority="31" operator="lessThan">
      <formula>0</formula>
    </cfRule>
  </conditionalFormatting>
  <conditionalFormatting sqref="Q9:Q10">
    <cfRule type="cellIs" dxfId="29" priority="30" operator="lessThan">
      <formula>0</formula>
    </cfRule>
  </conditionalFormatting>
  <conditionalFormatting sqref="R4:R35">
    <cfRule type="cellIs" dxfId="28" priority="29" operator="lessThan">
      <formula>0</formula>
    </cfRule>
  </conditionalFormatting>
  <conditionalFormatting sqref="R9:R10">
    <cfRule type="cellIs" dxfId="27" priority="28" operator="lessThan">
      <formula>0</formula>
    </cfRule>
  </conditionalFormatting>
  <conditionalFormatting sqref="R9:R10">
    <cfRule type="cellIs" dxfId="26" priority="27" operator="lessThan">
      <formula>0</formula>
    </cfRule>
  </conditionalFormatting>
  <conditionalFormatting sqref="R9:R10">
    <cfRule type="cellIs" dxfId="25" priority="26" operator="lessThan">
      <formula>0</formula>
    </cfRule>
  </conditionalFormatting>
  <conditionalFormatting sqref="R9:R10">
    <cfRule type="cellIs" dxfId="24" priority="25" operator="lessThan">
      <formula>0</formula>
    </cfRule>
  </conditionalFormatting>
  <conditionalFormatting sqref="R9:R10">
    <cfRule type="cellIs" dxfId="23" priority="24" operator="lessThan">
      <formula>0</formula>
    </cfRule>
  </conditionalFormatting>
  <conditionalFormatting sqref="S4:S35">
    <cfRule type="cellIs" dxfId="22" priority="23" operator="lessThan">
      <formula>0</formula>
    </cfRule>
  </conditionalFormatting>
  <conditionalFormatting sqref="S9:S10">
    <cfRule type="cellIs" dxfId="21" priority="22" operator="lessThan">
      <formula>0</formula>
    </cfRule>
  </conditionalFormatting>
  <conditionalFormatting sqref="S9:S10">
    <cfRule type="cellIs" dxfId="20" priority="21" operator="lessThan">
      <formula>0</formula>
    </cfRule>
  </conditionalFormatting>
  <conditionalFormatting sqref="S9:S10">
    <cfRule type="cellIs" dxfId="19" priority="20" operator="lessThan">
      <formula>0</formula>
    </cfRule>
  </conditionalFormatting>
  <conditionalFormatting sqref="S9:S10">
    <cfRule type="cellIs" dxfId="18" priority="19" operator="lessThan">
      <formula>0</formula>
    </cfRule>
  </conditionalFormatting>
  <conditionalFormatting sqref="S9:S10">
    <cfRule type="cellIs" dxfId="17" priority="18" operator="lessThan">
      <formula>0</formula>
    </cfRule>
  </conditionalFormatting>
  <conditionalFormatting sqref="E26:E33">
    <cfRule type="cellIs" dxfId="16" priority="17" operator="lessThan">
      <formula>0</formula>
    </cfRule>
  </conditionalFormatting>
  <conditionalFormatting sqref="B26:B33">
    <cfRule type="cellIs" dxfId="15" priority="16" operator="lessThan">
      <formula>0</formula>
    </cfRule>
  </conditionalFormatting>
  <conditionalFormatting sqref="C26:C33">
    <cfRule type="cellIs" dxfId="14" priority="15" operator="lessThan">
      <formula>0</formula>
    </cfRule>
  </conditionalFormatting>
  <conditionalFormatting sqref="D26:D33">
    <cfRule type="cellIs" dxfId="13" priority="14" operator="lessThan">
      <formula>0</formula>
    </cfRule>
  </conditionalFormatting>
  <conditionalFormatting sqref="F26:F33">
    <cfRule type="cellIs" dxfId="12" priority="13" operator="lessThan">
      <formula>0</formula>
    </cfRule>
  </conditionalFormatting>
  <conditionalFormatting sqref="H26:H33">
    <cfRule type="cellIs" dxfId="11" priority="12" operator="lessThan">
      <formula>0</formula>
    </cfRule>
  </conditionalFormatting>
  <conditionalFormatting sqref="L26:L33">
    <cfRule type="cellIs" dxfId="10" priority="11" operator="lessThan">
      <formula>0</formula>
    </cfRule>
  </conditionalFormatting>
  <conditionalFormatting sqref="G26:G33">
    <cfRule type="cellIs" dxfId="9" priority="10" operator="lessThan">
      <formula>0</formula>
    </cfRule>
  </conditionalFormatting>
  <conditionalFormatting sqref="L26:L33">
    <cfRule type="cellIs" dxfId="8" priority="9" operator="lessThan">
      <formula>0</formula>
    </cfRule>
  </conditionalFormatting>
  <conditionalFormatting sqref="T26:T33">
    <cfRule type="cellIs" dxfId="7" priority="8" operator="lessThan">
      <formula>0</formula>
    </cfRule>
  </conditionalFormatting>
  <conditionalFormatting sqref="M26:M33">
    <cfRule type="cellIs" dxfId="6" priority="7" operator="lessThan">
      <formula>0</formula>
    </cfRule>
  </conditionalFormatting>
  <conditionalFormatting sqref="N26:N33">
    <cfRule type="cellIs" dxfId="5" priority="6" operator="lessThan">
      <formula>0</formula>
    </cfRule>
  </conditionalFormatting>
  <conditionalFormatting sqref="O26:O33">
    <cfRule type="cellIs" dxfId="4" priority="5" operator="lessThan">
      <formula>0</formula>
    </cfRule>
  </conditionalFormatting>
  <conditionalFormatting sqref="P26:P33">
    <cfRule type="cellIs" dxfId="3" priority="4" operator="lessThan">
      <formula>0</formula>
    </cfRule>
  </conditionalFormatting>
  <conditionalFormatting sqref="Q26:Q33">
    <cfRule type="cellIs" dxfId="2" priority="3" operator="lessThan">
      <formula>0</formula>
    </cfRule>
  </conditionalFormatting>
  <conditionalFormatting sqref="R26:R33">
    <cfRule type="cellIs" dxfId="1" priority="2" operator="lessThan">
      <formula>0</formula>
    </cfRule>
  </conditionalFormatting>
  <conditionalFormatting sqref="S26:S33">
    <cfRule type="cellIs" dxfId="0" priority="1" operator="less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9B550C6B4253478BA7B5E4E15C0DFD" ma:contentTypeVersion="14" ma:contentTypeDescription="Create a new document." ma:contentTypeScope="" ma:versionID="3ebebde4c9a4d5f773acfdcc72aaa058">
  <xsd:schema xmlns:xsd="http://www.w3.org/2001/XMLSchema" xmlns:xs="http://www.w3.org/2001/XMLSchema" xmlns:p="http://schemas.microsoft.com/office/2006/metadata/properties" xmlns:ns3="c88c89d1-f62c-4afb-9a97-b09dccb358e6" xmlns:ns4="3ffce027-4b8e-442e-8959-ffe70404d785" targetNamespace="http://schemas.microsoft.com/office/2006/metadata/properties" ma:root="true" ma:fieldsID="b94d63006bee4142f7e806ca80f67d98" ns3:_="" ns4:_="">
    <xsd:import namespace="c88c89d1-f62c-4afb-9a97-b09dccb358e6"/>
    <xsd:import namespace="3ffce027-4b8e-442e-8959-ffe70404d78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8c89d1-f62c-4afb-9a97-b09dccb358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fce027-4b8e-442e-8959-ffe70404d78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1B4EAA-C9E1-43B1-96EE-C098D11CE475}"/>
</file>

<file path=customXml/itemProps2.xml><?xml version="1.0" encoding="utf-8"?>
<ds:datastoreItem xmlns:ds="http://schemas.openxmlformats.org/officeDocument/2006/customXml" ds:itemID="{4578582C-6887-433A-BCA5-1475E63B481E}"/>
</file>

<file path=customXml/itemProps3.xml><?xml version="1.0" encoding="utf-8"?>
<ds:datastoreItem xmlns:ds="http://schemas.openxmlformats.org/officeDocument/2006/customXml" ds:itemID="{C4C3A0F4-4449-4BDA-8EDB-07100743BB10}"/>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Michael.Furlong</dc:creator>
  <cp:keywords/>
  <dc:description/>
  <cp:lastModifiedBy/>
  <cp:revision/>
  <dcterms:created xsi:type="dcterms:W3CDTF">2019-10-01T08:40:16Z</dcterms:created>
  <dcterms:modified xsi:type="dcterms:W3CDTF">2022-08-04T08:11:42Z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0x0101009C9B550C6B4253478BA7B5E4E15C0DFD</vt:lpwstr>
  </property>
</Properties>
</file>