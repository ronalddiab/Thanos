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ALL\秘书\FS Shenzhen_HEP_Daily\"/>
    </mc:Choice>
  </mc:AlternateContent>
  <xr:revisionPtr revIDLastSave="0" documentId="13_ncr:1_{3EEB2ED9-4129-42C1-80FE-B96AB8F44BF8}" xr6:coauthVersionLast="47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Shenzhen Daily" sheetId="119" r:id="rId2"/>
  </sheets>
  <calcPr calcId="191029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/>
  <c r="F16" i="119"/>
  <c r="G13" i="117"/>
  <c r="F22" i="119"/>
  <c r="G19" i="117"/>
  <c r="F24" i="119"/>
  <c r="G21" i="117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/>
  <c r="F31" i="119"/>
  <c r="G28" i="117"/>
  <c r="D31" i="119"/>
  <c r="H30" i="119"/>
  <c r="I27" i="117"/>
  <c r="F30" i="119"/>
  <c r="G27" i="117"/>
  <c r="D30" i="119"/>
  <c r="H29" i="119"/>
  <c r="I26" i="117"/>
  <c r="F29" i="119"/>
  <c r="G26" i="117"/>
  <c r="D29" i="119"/>
  <c r="H28" i="119"/>
  <c r="I25" i="117"/>
  <c r="F28" i="119"/>
  <c r="G25" i="117"/>
  <c r="D28" i="119"/>
  <c r="H27" i="119"/>
  <c r="I24" i="117"/>
  <c r="F27" i="119"/>
  <c r="G24" i="117"/>
  <c r="D27" i="119"/>
  <c r="H26" i="119"/>
  <c r="I23" i="117"/>
  <c r="F26" i="119"/>
  <c r="H25" i="119"/>
  <c r="I22" i="117"/>
  <c r="F25" i="119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/>
  <c r="F19" i="119"/>
  <c r="G16" i="117"/>
  <c r="D19" i="119"/>
  <c r="H18" i="119"/>
  <c r="I15" i="117"/>
  <c r="F18" i="119"/>
  <c r="G15" i="117"/>
  <c r="H17" i="119"/>
  <c r="I14" i="117"/>
  <c r="F17" i="119"/>
  <c r="G14" i="117"/>
  <c r="D17" i="119"/>
  <c r="H16" i="119"/>
  <c r="I13" i="117"/>
  <c r="D16" i="119"/>
  <c r="H15" i="119"/>
  <c r="I12" i="117"/>
  <c r="F15" i="119"/>
  <c r="G12" i="117"/>
  <c r="D15" i="119"/>
  <c r="H14" i="119"/>
  <c r="I11" i="117"/>
  <c r="D14" i="119"/>
  <c r="H13" i="119"/>
  <c r="I10" i="117"/>
  <c r="F13" i="119"/>
  <c r="G10" i="117"/>
  <c r="D13" i="119"/>
  <c r="H12" i="119"/>
  <c r="I9" i="117"/>
  <c r="F12" i="119"/>
  <c r="G9" i="117"/>
  <c r="D12" i="119"/>
  <c r="H11" i="119"/>
  <c r="I8" i="117"/>
  <c r="F11" i="119"/>
  <c r="G8" i="117"/>
  <c r="D11" i="119"/>
  <c r="H10" i="119"/>
  <c r="I7" i="117"/>
  <c r="F10" i="119"/>
  <c r="G7" i="117"/>
  <c r="D10" i="119"/>
  <c r="H9" i="119"/>
  <c r="I6" i="117"/>
  <c r="F9" i="119"/>
  <c r="G6" i="117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/>
  <c r="F6" i="119"/>
  <c r="G3" i="117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<sst xmlns="http://schemas.openxmlformats.org/spreadsheetml/2006/main" count="55" uniqueCount="25">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</sst>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&quot;$&quot;* #,##0.00_);_(&quot;$&quot;* \(#,##0.00\);_(&quot;$&quot;* &quot;-&quot;??_);_(@_)"/>
    <numFmt numFmtId="166" formatCode="_(* #,##0.00_);_(* \(#,##0.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5000000}"/>
    <cellStyle name="Normal 3" xfId="7" xr:uid="{00000000-0005-0000-0000-000006000000}"/>
    <cellStyle name="Normal 4" xfId="11" xr:uid="{00000000-0005-0000-0000-000007000000}"/>
    <cellStyle name="Percent 2" xfId="8" xr:uid="{00000000-0005-0000-0000-000008000000}"/>
    <cellStyle name="Percent 3" xfId="9" xr:uid="{00000000-0005-0000-0000-000009000000}"/>
    <cellStyle name="Percent 4" xfId="10" xr:uid="{00000000-0005-0000-0000-00000A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I2" sqref="I2:I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6</v>
      </c>
      <c r="D2" s="7">
        <v>2022</v>
      </c>
      <c r="E2" s="9">
        <v>35051.999999999745</v>
      </c>
      <c r="F2" s="30">
        <v>0.93</v>
      </c>
      <c r="G2" s="9">
        <f>'Shenzhen Daily'!F5</f>
        <v>1457</v>
      </c>
      <c r="H2" s="30">
        <v>4.3899999999999997</v>
      </c>
      <c r="I2" s="9">
        <f>'Shenzhen Daily'!H5</f>
        <v>514</v>
      </c>
      <c r="J2" s="30">
        <v>1.72</v>
      </c>
      <c r="K2" s="9">
        <f>'Shenzhen Daily'!I5</f>
        <v>166.88839999999999</v>
      </c>
      <c r="L2" s="9">
        <f>'Shenzhen Daily'!J5</f>
        <v>591</v>
      </c>
    </row>
    <row r="3" spans="1:12" ht="15" x14ac:dyDescent="0.25">
      <c r="A3" s="6" t="s">
        <v>23</v>
      </c>
      <c r="B3" s="7">
        <f>B2+1</f>
        <v>2</v>
      </c>
      <c r="C3" s="8">
        <v>6</v>
      </c>
      <c r="D3" s="7">
        <v>2022</v>
      </c>
      <c r="E3" s="9">
        <v>35066.000000001106</v>
      </c>
      <c r="F3" s="30">
        <v>0.93</v>
      </c>
      <c r="G3" s="9">
        <f>'Shenzhen Daily'!F6</f>
        <v>1350</v>
      </c>
      <c r="H3" s="30">
        <v>4.3899999999999997</v>
      </c>
      <c r="I3" s="9">
        <f>'Shenzhen Daily'!H6</f>
        <v>515</v>
      </c>
      <c r="J3" s="30">
        <v>1.72</v>
      </c>
      <c r="K3" s="9">
        <f>'Shenzhen Daily'!I6</f>
        <v>181.03960000000001</v>
      </c>
      <c r="L3" s="9">
        <f>'Shenzhen Daily'!J6</f>
        <v>367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6</v>
      </c>
      <c r="D4" s="7">
        <v>2022</v>
      </c>
      <c r="E4" s="9">
        <v>34513.99999999888</v>
      </c>
      <c r="F4" s="30">
        <v>0.93</v>
      </c>
      <c r="G4" s="9">
        <f>'Shenzhen Daily'!F7</f>
        <v>1403</v>
      </c>
      <c r="H4" s="30">
        <v>4.3899999999999997</v>
      </c>
      <c r="I4" s="9">
        <f>'Shenzhen Daily'!H7</f>
        <v>497</v>
      </c>
      <c r="J4" s="30">
        <v>1.72</v>
      </c>
      <c r="K4" s="9">
        <f>'Shenzhen Daily'!I7</f>
        <v>165.8776</v>
      </c>
      <c r="L4" s="9">
        <f>'Shenzhen Daily'!J7</f>
        <v>457</v>
      </c>
    </row>
    <row r="5" spans="1:12" ht="15" x14ac:dyDescent="0.25">
      <c r="A5" s="6" t="s">
        <v>23</v>
      </c>
      <c r="B5" s="7">
        <f t="shared" si="0"/>
        <v>4</v>
      </c>
      <c r="C5" s="8">
        <v>6</v>
      </c>
      <c r="D5" s="7">
        <v>2022</v>
      </c>
      <c r="E5" s="9">
        <v>36587.000000001863</v>
      </c>
      <c r="F5" s="30">
        <v>0.93</v>
      </c>
      <c r="G5" s="9">
        <f>'Shenzhen Daily'!F8</f>
        <v>1360</v>
      </c>
      <c r="H5" s="30">
        <v>4.3899999999999997</v>
      </c>
      <c r="I5" s="9">
        <f>'Shenzhen Daily'!H8</f>
        <v>531</v>
      </c>
      <c r="J5" s="30">
        <v>1.72</v>
      </c>
      <c r="K5" s="9">
        <f>'Shenzhen Daily'!I8</f>
        <v>198.11680000000001</v>
      </c>
      <c r="L5" s="9">
        <f>'Shenzhen Daily'!J8</f>
        <v>490</v>
      </c>
    </row>
    <row r="6" spans="1:12" ht="15" x14ac:dyDescent="0.25">
      <c r="A6" s="6" t="s">
        <v>23</v>
      </c>
      <c r="B6" s="7">
        <f t="shared" si="0"/>
        <v>5</v>
      </c>
      <c r="C6" s="8">
        <v>6</v>
      </c>
      <c r="D6" s="7">
        <v>2022</v>
      </c>
      <c r="E6" s="9">
        <v>36048.999999998734</v>
      </c>
      <c r="F6" s="30">
        <v>0.93</v>
      </c>
      <c r="G6" s="9">
        <f>'Shenzhen Daily'!F9</f>
        <v>1412</v>
      </c>
      <c r="H6" s="30">
        <v>4.3899999999999997</v>
      </c>
      <c r="I6" s="9">
        <f>'Shenzhen Daily'!H9</f>
        <v>505</v>
      </c>
      <c r="J6" s="30">
        <v>1.72</v>
      </c>
      <c r="K6" s="9">
        <f>'Shenzhen Daily'!I9</f>
        <v>226.5522</v>
      </c>
      <c r="L6" s="9">
        <f>'Shenzhen Daily'!J9</f>
        <v>366</v>
      </c>
    </row>
    <row r="7" spans="1:12" ht="15" x14ac:dyDescent="0.25">
      <c r="A7" s="6" t="s">
        <v>23</v>
      </c>
      <c r="B7" s="7">
        <f t="shared" si="0"/>
        <v>6</v>
      </c>
      <c r="C7" s="8">
        <v>6</v>
      </c>
      <c r="D7" s="7">
        <v>2022</v>
      </c>
      <c r="E7" s="9">
        <v>34184.000000000058</v>
      </c>
      <c r="F7" s="30">
        <v>0.93</v>
      </c>
      <c r="G7" s="9">
        <f>'Shenzhen Daily'!F10</f>
        <v>1261</v>
      </c>
      <c r="H7" s="30">
        <v>4.3899999999999997</v>
      </c>
      <c r="I7" s="9">
        <f>'Shenzhen Daily'!H10</f>
        <v>542</v>
      </c>
      <c r="J7" s="30">
        <v>1.72</v>
      </c>
      <c r="K7" s="9">
        <f>'Shenzhen Daily'!I10</f>
        <v>128.95680000000002</v>
      </c>
      <c r="L7" s="9">
        <f>'Shenzhen Daily'!J10</f>
        <v>282</v>
      </c>
    </row>
    <row r="8" spans="1:12" ht="15" x14ac:dyDescent="0.25">
      <c r="A8" s="6" t="s">
        <v>23</v>
      </c>
      <c r="B8" s="7">
        <f t="shared" si="0"/>
        <v>7</v>
      </c>
      <c r="C8" s="8">
        <v>6</v>
      </c>
      <c r="D8" s="7">
        <v>2022</v>
      </c>
      <c r="E8" s="9">
        <v>35044.000000000087</v>
      </c>
      <c r="F8" s="30">
        <v>0.93</v>
      </c>
      <c r="G8" s="9">
        <f>'Shenzhen Daily'!F11</f>
        <v>1353</v>
      </c>
      <c r="H8" s="30">
        <v>4.3899999999999997</v>
      </c>
      <c r="I8" s="9">
        <f>'Shenzhen Daily'!H11</f>
        <v>458</v>
      </c>
      <c r="J8" s="30">
        <v>1.72</v>
      </c>
      <c r="K8" s="9">
        <f>'Shenzhen Daily'!I11</f>
        <v>154.73220000000001</v>
      </c>
      <c r="L8" s="9">
        <f>'Shenzhen Daily'!J11</f>
        <v>307</v>
      </c>
    </row>
    <row r="9" spans="1:12" ht="15" x14ac:dyDescent="0.25">
      <c r="A9" s="6" t="s">
        <v>23</v>
      </c>
      <c r="B9" s="7">
        <f t="shared" si="0"/>
        <v>8</v>
      </c>
      <c r="C9" s="8">
        <v>6</v>
      </c>
      <c r="D9" s="7">
        <v>2022</v>
      </c>
      <c r="E9" s="9">
        <v>31560.000000000506</v>
      </c>
      <c r="F9" s="30">
        <v>0.93</v>
      </c>
      <c r="G9" s="9">
        <f>'Shenzhen Daily'!F12</f>
        <v>1345</v>
      </c>
      <c r="H9" s="30">
        <v>4.3899999999999997</v>
      </c>
      <c r="I9" s="9">
        <f>'Shenzhen Daily'!H12</f>
        <v>440</v>
      </c>
      <c r="J9" s="30">
        <v>1.72</v>
      </c>
      <c r="K9" s="9">
        <f>'Shenzhen Daily'!I12</f>
        <v>201.52160000000001</v>
      </c>
      <c r="L9" s="9">
        <f>'Shenzhen Daily'!J12</f>
        <v>412</v>
      </c>
    </row>
    <row r="10" spans="1:12" ht="15" x14ac:dyDescent="0.25">
      <c r="A10" s="6" t="s">
        <v>23</v>
      </c>
      <c r="B10" s="7">
        <f t="shared" si="0"/>
        <v>9</v>
      </c>
      <c r="C10" s="8">
        <v>6</v>
      </c>
      <c r="D10" s="7">
        <v>2022</v>
      </c>
      <c r="E10" s="9">
        <v>33598.999999999498</v>
      </c>
      <c r="F10" s="30">
        <v>0.93</v>
      </c>
      <c r="G10" s="9">
        <f>'Shenzhen Daily'!F13</f>
        <v>1427</v>
      </c>
      <c r="H10" s="30">
        <v>4.3899999999999997</v>
      </c>
      <c r="I10" s="9">
        <f>'Shenzhen Daily'!H13</f>
        <v>504</v>
      </c>
      <c r="J10" s="30">
        <v>1.72</v>
      </c>
      <c r="K10" s="9">
        <f>'Shenzhen Daily'!I13</f>
        <v>222.6686</v>
      </c>
      <c r="L10" s="9">
        <f>'Shenzhen Daily'!J13</f>
        <v>409</v>
      </c>
    </row>
    <row r="11" spans="1:12" ht="15" x14ac:dyDescent="0.25">
      <c r="A11" s="6" t="s">
        <v>23</v>
      </c>
      <c r="B11" s="7">
        <f t="shared" si="0"/>
        <v>10</v>
      </c>
      <c r="C11" s="8">
        <v>6</v>
      </c>
      <c r="D11" s="7">
        <v>2022</v>
      </c>
      <c r="E11" s="9">
        <v>32987.999999999927</v>
      </c>
      <c r="F11" s="30">
        <v>0.93</v>
      </c>
      <c r="G11" s="9">
        <f>'Shenzhen Daily'!F14</f>
        <v>1457</v>
      </c>
      <c r="H11" s="30">
        <v>4.3899999999999997</v>
      </c>
      <c r="I11" s="9">
        <f>'Shenzhen Daily'!H14</f>
        <v>518</v>
      </c>
      <c r="J11" s="30">
        <v>1.72</v>
      </c>
      <c r="K11" s="9">
        <f>'Shenzhen Daily'!I14</f>
        <v>235.7824</v>
      </c>
      <c r="L11" s="9">
        <f>'Shenzhen Daily'!J14</f>
        <v>393</v>
      </c>
    </row>
    <row r="12" spans="1:12" ht="15" x14ac:dyDescent="0.25">
      <c r="A12" s="6" t="s">
        <v>23</v>
      </c>
      <c r="B12" s="7">
        <f t="shared" si="0"/>
        <v>11</v>
      </c>
      <c r="C12" s="8">
        <v>6</v>
      </c>
      <c r="D12" s="7">
        <v>2022</v>
      </c>
      <c r="E12" s="9">
        <v>33634.999999999956</v>
      </c>
      <c r="F12" s="30">
        <v>0.93</v>
      </c>
      <c r="G12" s="9">
        <f>'Shenzhen Daily'!F15</f>
        <v>1365</v>
      </c>
      <c r="H12" s="30">
        <v>4.3899999999999997</v>
      </c>
      <c r="I12" s="9">
        <f>'Shenzhen Daily'!H15</f>
        <v>454</v>
      </c>
      <c r="J12" s="30">
        <v>1.72</v>
      </c>
      <c r="K12" s="9">
        <f>'Shenzhen Daily'!I15</f>
        <v>202.5324</v>
      </c>
      <c r="L12" s="9">
        <f>'Shenzhen Daily'!J15</f>
        <v>407</v>
      </c>
    </row>
    <row r="13" spans="1:12" ht="15" x14ac:dyDescent="0.25">
      <c r="A13" s="6" t="s">
        <v>23</v>
      </c>
      <c r="B13" s="7">
        <f t="shared" si="0"/>
        <v>12</v>
      </c>
      <c r="C13" s="8">
        <v>6</v>
      </c>
      <c r="D13" s="7">
        <v>2022</v>
      </c>
      <c r="E13" s="9">
        <v>31920.999999999742</v>
      </c>
      <c r="F13" s="30">
        <v>0.93</v>
      </c>
      <c r="G13" s="9">
        <f>'Shenzhen Daily'!F16</f>
        <v>1378</v>
      </c>
      <c r="H13" s="30">
        <v>4.3899999999999997</v>
      </c>
      <c r="I13" s="9">
        <f>'Shenzhen Daily'!H16</f>
        <v>460</v>
      </c>
      <c r="J13" s="30">
        <v>1.72</v>
      </c>
      <c r="K13" s="9">
        <f>'Shenzhen Daily'!I16</f>
        <v>174.3098</v>
      </c>
      <c r="L13" s="9">
        <f>'Shenzhen Daily'!J16</f>
        <v>387</v>
      </c>
    </row>
    <row r="14" spans="1:12" ht="15" x14ac:dyDescent="0.25">
      <c r="A14" s="6" t="s">
        <v>23</v>
      </c>
      <c r="B14" s="7">
        <f t="shared" si="0"/>
        <v>13</v>
      </c>
      <c r="C14" s="8">
        <v>6</v>
      </c>
      <c r="D14" s="7">
        <v>2022</v>
      </c>
      <c r="E14" s="9">
        <v>32270.000000000255</v>
      </c>
      <c r="F14" s="30">
        <v>0.93</v>
      </c>
      <c r="G14" s="9">
        <f>'Shenzhen Daily'!F17</f>
        <v>1312</v>
      </c>
      <c r="H14" s="30">
        <v>4.3899999999999997</v>
      </c>
      <c r="I14" s="9">
        <f>'Shenzhen Daily'!H17</f>
        <v>383</v>
      </c>
      <c r="J14" s="30">
        <v>1.72</v>
      </c>
      <c r="K14" s="9">
        <f>'Shenzhen Daily'!I17</f>
        <v>134.01080000000002</v>
      </c>
      <c r="L14" s="9">
        <f>'Shenzhen Daily'!J17</f>
        <v>261</v>
      </c>
    </row>
    <row r="15" spans="1:12" ht="15" x14ac:dyDescent="0.25">
      <c r="A15" s="6" t="s">
        <v>23</v>
      </c>
      <c r="B15" s="7">
        <f t="shared" si="0"/>
        <v>14</v>
      </c>
      <c r="C15" s="8">
        <v>6</v>
      </c>
      <c r="D15" s="7">
        <v>2022</v>
      </c>
      <c r="E15" s="9">
        <v>30488.000000000877</v>
      </c>
      <c r="F15" s="30">
        <v>0.93</v>
      </c>
      <c r="G15" s="9">
        <f>'Shenzhen Daily'!F18</f>
        <v>1312</v>
      </c>
      <c r="H15" s="30">
        <v>4.3899999999999997</v>
      </c>
      <c r="I15" s="9">
        <f>'Shenzhen Daily'!H18</f>
        <v>543</v>
      </c>
      <c r="J15" s="30">
        <v>1.72</v>
      </c>
      <c r="K15" s="9">
        <f>'Shenzhen Daily'!I18</f>
        <v>126.9618</v>
      </c>
      <c r="L15" s="9">
        <f>'Shenzhen Daily'!J18</f>
        <v>330</v>
      </c>
    </row>
    <row r="16" spans="1:12" ht="15" x14ac:dyDescent="0.25">
      <c r="A16" s="6" t="s">
        <v>23</v>
      </c>
      <c r="B16" s="7">
        <f t="shared" si="0"/>
        <v>15</v>
      </c>
      <c r="C16" s="8">
        <v>6</v>
      </c>
      <c r="D16" s="7">
        <v>2022</v>
      </c>
      <c r="E16" s="9">
        <v>32419.99999999888</v>
      </c>
      <c r="F16" s="30">
        <v>0.93</v>
      </c>
      <c r="G16" s="9">
        <f>'Shenzhen Daily'!F19</f>
        <v>1333</v>
      </c>
      <c r="H16" s="30">
        <v>4.3899999999999997</v>
      </c>
      <c r="I16" s="9">
        <f>'Shenzhen Daily'!H19</f>
        <v>449</v>
      </c>
      <c r="J16" s="30">
        <v>1.72</v>
      </c>
      <c r="K16" s="9">
        <f>'Shenzhen Daily'!I19</f>
        <v>157.17939999999999</v>
      </c>
      <c r="L16" s="9">
        <f>'Shenzhen Daily'!J19</f>
        <v>352</v>
      </c>
    </row>
    <row r="17" spans="1:12" ht="15" x14ac:dyDescent="0.25">
      <c r="A17" s="6" t="s">
        <v>23</v>
      </c>
      <c r="B17" s="7">
        <f t="shared" si="0"/>
        <v>16</v>
      </c>
      <c r="C17" s="8">
        <v>6</v>
      </c>
      <c r="D17" s="7">
        <v>2022</v>
      </c>
      <c r="E17" s="9">
        <v>32210.000000001179</v>
      </c>
      <c r="F17" s="30">
        <v>0.93</v>
      </c>
      <c r="G17" s="9">
        <f>'Shenzhen Daily'!F20</f>
        <v>1348</v>
      </c>
      <c r="H17" s="30">
        <v>4.3899999999999997</v>
      </c>
      <c r="I17" s="9">
        <f>'Shenzhen Daily'!H20</f>
        <v>621</v>
      </c>
      <c r="J17" s="30">
        <v>1.72</v>
      </c>
      <c r="K17" s="9">
        <f>'Shenzhen Daily'!I20</f>
        <v>171.2774</v>
      </c>
      <c r="L17" s="9">
        <f>'Shenzhen Daily'!J20</f>
        <v>308</v>
      </c>
    </row>
    <row r="18" spans="1:12" ht="15" x14ac:dyDescent="0.25">
      <c r="A18" s="6" t="s">
        <v>23</v>
      </c>
      <c r="B18" s="7">
        <f t="shared" si="0"/>
        <v>17</v>
      </c>
      <c r="C18" s="8">
        <v>6</v>
      </c>
      <c r="D18" s="7">
        <v>2022</v>
      </c>
      <c r="E18" s="9">
        <v>32415.999999998585</v>
      </c>
      <c r="F18" s="30">
        <v>0.93</v>
      </c>
      <c r="G18" s="9">
        <f>'Shenzhen Daily'!F21</f>
        <v>1318</v>
      </c>
      <c r="H18" s="30">
        <v>4.3899999999999997</v>
      </c>
      <c r="I18" s="9">
        <f>'Shenzhen Daily'!H21</f>
        <v>503</v>
      </c>
      <c r="J18" s="30">
        <v>1.72</v>
      </c>
      <c r="K18" s="9">
        <f>'Shenzhen Daily'!I21</f>
        <v>165.23919999999998</v>
      </c>
      <c r="L18" s="9">
        <f>'Shenzhen Daily'!J21</f>
        <v>346</v>
      </c>
    </row>
    <row r="19" spans="1:12" ht="15" x14ac:dyDescent="0.25">
      <c r="A19" s="6" t="s">
        <v>23</v>
      </c>
      <c r="B19" s="7">
        <f t="shared" si="0"/>
        <v>18</v>
      </c>
      <c r="C19" s="8">
        <v>6</v>
      </c>
      <c r="D19" s="7">
        <v>2022</v>
      </c>
      <c r="E19" s="9">
        <v>35105.000000000829</v>
      </c>
      <c r="F19" s="30">
        <v>0.93</v>
      </c>
      <c r="G19" s="9">
        <f>'Shenzhen Daily'!F22</f>
        <v>1394</v>
      </c>
      <c r="H19" s="30">
        <v>4.3899999999999997</v>
      </c>
      <c r="I19" s="9">
        <f>'Shenzhen Daily'!H22</f>
        <v>509</v>
      </c>
      <c r="J19" s="30">
        <v>1.72</v>
      </c>
      <c r="K19" s="9">
        <f>'Shenzhen Daily'!I22</f>
        <v>177.34219999999999</v>
      </c>
      <c r="L19" s="9">
        <f>'Shenzhen Daily'!J22</f>
        <v>285</v>
      </c>
    </row>
    <row r="20" spans="1:12" ht="15" x14ac:dyDescent="0.25">
      <c r="A20" s="6" t="s">
        <v>23</v>
      </c>
      <c r="B20" s="7">
        <f t="shared" si="0"/>
        <v>19</v>
      </c>
      <c r="C20" s="8">
        <v>6</v>
      </c>
      <c r="D20" s="7">
        <v>2022</v>
      </c>
      <c r="E20" s="9">
        <v>32935.999999999287</v>
      </c>
      <c r="F20" s="30">
        <v>0.93</v>
      </c>
      <c r="G20" s="9">
        <f>'Shenzhen Daily'!F23</f>
        <v>1359</v>
      </c>
      <c r="H20" s="30">
        <v>4.3899999999999997</v>
      </c>
      <c r="I20" s="9">
        <f>'Shenzhen Daily'!H23</f>
        <v>425</v>
      </c>
      <c r="J20" s="30">
        <v>1.72</v>
      </c>
      <c r="K20" s="9">
        <f>'Shenzhen Daily'!I23</f>
        <v>172.28820000000002</v>
      </c>
      <c r="L20" s="9">
        <f>'Shenzhen Daily'!J23</f>
        <v>399</v>
      </c>
    </row>
    <row r="21" spans="1:12" ht="15" x14ac:dyDescent="0.25">
      <c r="A21" s="6" t="s">
        <v>23</v>
      </c>
      <c r="B21" s="7">
        <f t="shared" si="0"/>
        <v>20</v>
      </c>
      <c r="C21" s="8">
        <v>6</v>
      </c>
      <c r="D21" s="7">
        <v>2022</v>
      </c>
      <c r="E21" s="9">
        <v>32928.000000001193</v>
      </c>
      <c r="F21" s="30">
        <v>0.93</v>
      </c>
      <c r="G21" s="9">
        <f>'Shenzhen Daily'!F24</f>
        <v>1152</v>
      </c>
      <c r="H21" s="30">
        <v>4.3899999999999997</v>
      </c>
      <c r="I21" s="9">
        <f>'Shenzhen Daily'!H24</f>
        <v>439</v>
      </c>
      <c r="J21" s="30">
        <v>1.72</v>
      </c>
      <c r="K21" s="9">
        <f>'Shenzhen Daily'!I24</f>
        <v>89.668599999999998</v>
      </c>
      <c r="L21" s="9">
        <f>'Shenzhen Daily'!J24</f>
        <v>157</v>
      </c>
    </row>
    <row r="22" spans="1:12" ht="15" x14ac:dyDescent="0.25">
      <c r="A22" s="6" t="s">
        <v>23</v>
      </c>
      <c r="B22" s="7">
        <f t="shared" si="0"/>
        <v>21</v>
      </c>
      <c r="C22" s="8">
        <v>6</v>
      </c>
      <c r="D22" s="7">
        <v>2022</v>
      </c>
      <c r="E22" s="9">
        <v>30859.999999999258</v>
      </c>
      <c r="F22" s="30">
        <v>0.93</v>
      </c>
      <c r="G22" s="9">
        <v>1600</v>
      </c>
      <c r="H22" s="30">
        <v>4.3899999999999997</v>
      </c>
      <c r="I22" s="9">
        <f>'Shenzhen Daily'!H25</f>
        <v>386</v>
      </c>
      <c r="J22" s="30">
        <v>1.72</v>
      </c>
      <c r="K22" s="9">
        <f>'Shenzhen Daily'!I25</f>
        <v>89.668599999999998</v>
      </c>
      <c r="L22" s="9">
        <f>'Shenzhen Daily'!J25</f>
        <v>193</v>
      </c>
    </row>
    <row r="23" spans="1:12" ht="15" x14ac:dyDescent="0.25">
      <c r="A23" s="6" t="s">
        <v>23</v>
      </c>
      <c r="B23" s="7">
        <f t="shared" si="0"/>
        <v>22</v>
      </c>
      <c r="C23" s="8">
        <v>6</v>
      </c>
      <c r="D23" s="7">
        <v>2022</v>
      </c>
      <c r="E23" s="9">
        <v>30798.000000000418</v>
      </c>
      <c r="F23" s="30">
        <v>0.93</v>
      </c>
      <c r="G23" s="9">
        <v>1521</v>
      </c>
      <c r="H23" s="30">
        <v>4.3899999999999997</v>
      </c>
      <c r="I23" s="9">
        <f>'Shenzhen Daily'!H26</f>
        <v>374</v>
      </c>
      <c r="J23" s="30">
        <v>1.72</v>
      </c>
      <c r="K23" s="9">
        <f>'Shenzhen Daily'!I26</f>
        <v>133</v>
      </c>
      <c r="L23" s="9">
        <f>'Shenzhen Daily'!J26</f>
        <v>262</v>
      </c>
    </row>
    <row r="24" spans="1:12" ht="15" x14ac:dyDescent="0.25">
      <c r="A24" s="6" t="s">
        <v>23</v>
      </c>
      <c r="B24" s="7">
        <f t="shared" si="0"/>
        <v>23</v>
      </c>
      <c r="C24" s="8">
        <v>6</v>
      </c>
      <c r="D24" s="7">
        <v>2022</v>
      </c>
      <c r="E24" s="9">
        <v>31605.000000000291</v>
      </c>
      <c r="F24" s="30">
        <v>0.93</v>
      </c>
      <c r="G24" s="9">
        <f>'Shenzhen Daily'!F27</f>
        <v>1094</v>
      </c>
      <c r="H24" s="30">
        <v>4.3899999999999997</v>
      </c>
      <c r="I24" s="9">
        <f>'Shenzhen Daily'!H27</f>
        <v>402</v>
      </c>
      <c r="J24" s="30">
        <v>1.72</v>
      </c>
      <c r="K24" s="9">
        <f>'Shenzhen Daily'!I27</f>
        <v>90.679400000000001</v>
      </c>
      <c r="L24" s="9">
        <f>'Shenzhen Daily'!J27</f>
        <v>225</v>
      </c>
    </row>
    <row r="25" spans="1:12" ht="15" x14ac:dyDescent="0.25">
      <c r="A25" s="6" t="s">
        <v>23</v>
      </c>
      <c r="B25" s="7">
        <f t="shared" si="0"/>
        <v>24</v>
      </c>
      <c r="C25" s="8">
        <v>6</v>
      </c>
      <c r="D25" s="7">
        <v>2022</v>
      </c>
      <c r="E25" s="9">
        <v>32635.999999998974</v>
      </c>
      <c r="F25" s="30">
        <v>0.93</v>
      </c>
      <c r="G25" s="9">
        <f>'Shenzhen Daily'!F28</f>
        <v>1089</v>
      </c>
      <c r="H25" s="30">
        <v>4.3899999999999997</v>
      </c>
      <c r="I25" s="9">
        <f>'Shenzhen Daily'!H28</f>
        <v>400</v>
      </c>
      <c r="J25" s="30">
        <v>1.72</v>
      </c>
      <c r="K25" s="9">
        <f>'Shenzhen Daily'!I28</f>
        <v>83.630400000000009</v>
      </c>
      <c r="L25" s="9">
        <f>'Shenzhen Daily'!J28</f>
        <v>257</v>
      </c>
    </row>
    <row r="26" spans="1:12" ht="15" x14ac:dyDescent="0.25">
      <c r="A26" s="6" t="s">
        <v>23</v>
      </c>
      <c r="B26" s="7">
        <f>B25+1</f>
        <v>25</v>
      </c>
      <c r="C26" s="8">
        <v>6</v>
      </c>
      <c r="D26" s="7">
        <v>2022</v>
      </c>
      <c r="E26" s="9">
        <v>31315.000000000389</v>
      </c>
      <c r="F26" s="30">
        <v>0.93</v>
      </c>
      <c r="G26" s="9">
        <f>'Shenzhen Daily'!F29</f>
        <v>1130</v>
      </c>
      <c r="H26" s="30">
        <v>4.3899999999999997</v>
      </c>
      <c r="I26" s="9">
        <f>'Shenzhen Daily'!H29</f>
        <v>401</v>
      </c>
      <c r="J26" s="30">
        <v>1.72</v>
      </c>
      <c r="K26" s="9">
        <f>'Shenzhen Daily'!I29</f>
        <v>77.592200000000005</v>
      </c>
      <c r="L26" s="9">
        <f>'Shenzhen Daily'!J29</f>
        <v>224</v>
      </c>
    </row>
    <row r="27" spans="1:12" ht="15" x14ac:dyDescent="0.25">
      <c r="A27" s="6" t="s">
        <v>23</v>
      </c>
      <c r="B27" s="7">
        <f t="shared" si="0"/>
        <v>26</v>
      </c>
      <c r="C27" s="8">
        <v>6</v>
      </c>
      <c r="D27" s="7">
        <v>2022</v>
      </c>
      <c r="E27" s="9">
        <v>28051.000000001182</v>
      </c>
      <c r="F27" s="30">
        <v>0.93</v>
      </c>
      <c r="G27" s="9">
        <f>'Shenzhen Daily'!F30</f>
        <v>1056</v>
      </c>
      <c r="H27" s="30">
        <v>4.3899999999999997</v>
      </c>
      <c r="I27" s="9">
        <f>'Shenzhen Daily'!H30</f>
        <v>354</v>
      </c>
      <c r="J27" s="30">
        <v>1.72</v>
      </c>
      <c r="K27" s="9">
        <f>'Shenzhen Daily'!I30</f>
        <v>61.4726</v>
      </c>
      <c r="L27" s="9">
        <f>'Shenzhen Daily'!J30</f>
        <v>154</v>
      </c>
    </row>
    <row r="28" spans="1:12" ht="15" x14ac:dyDescent="0.25">
      <c r="A28" s="6" t="s">
        <v>23</v>
      </c>
      <c r="B28" s="7">
        <f t="shared" si="0"/>
        <v>27</v>
      </c>
      <c r="C28" s="8">
        <v>6</v>
      </c>
      <c r="D28" s="7">
        <v>2022</v>
      </c>
      <c r="E28" s="9">
        <v>27610.999999998614</v>
      </c>
      <c r="F28" s="30">
        <v>0.93</v>
      </c>
      <c r="G28" s="9">
        <f>'Shenzhen Daily'!F31</f>
        <v>929</v>
      </c>
      <c r="H28" s="30">
        <v>4.3899999999999997</v>
      </c>
      <c r="I28" s="9">
        <f>'Shenzhen Daily'!H31</f>
        <v>275</v>
      </c>
      <c r="J28" s="30">
        <v>1.72</v>
      </c>
      <c r="K28" s="9">
        <f>'Shenzhen Daily'!I31</f>
        <v>40.298999999999999</v>
      </c>
      <c r="L28" s="9">
        <f>'Shenzhen Daily'!J31</f>
        <v>98</v>
      </c>
    </row>
    <row r="29" spans="1:12" ht="15" x14ac:dyDescent="0.25">
      <c r="A29" s="6" t="s">
        <v>23</v>
      </c>
      <c r="B29" s="7">
        <f t="shared" si="0"/>
        <v>28</v>
      </c>
      <c r="C29" s="8">
        <v>6</v>
      </c>
      <c r="D29" s="7">
        <v>2022</v>
      </c>
      <c r="E29" s="9">
        <v>28638.000000001215</v>
      </c>
      <c r="F29" s="30">
        <v>0.93</v>
      </c>
      <c r="G29" s="9">
        <f>'Shenzhen Daily'!F32</f>
        <v>940</v>
      </c>
      <c r="H29" s="30">
        <v>4.3899999999999997</v>
      </c>
      <c r="I29" s="9">
        <f>'Shenzhen Daily'!H32</f>
        <v>305</v>
      </c>
      <c r="J29" s="30">
        <v>1.72</v>
      </c>
      <c r="K29" s="9">
        <f>'Shenzhen Daily'!I32</f>
        <v>39.288199999999996</v>
      </c>
      <c r="L29" s="9">
        <f>'Shenzhen Daily'!J32</f>
        <v>76</v>
      </c>
    </row>
    <row r="30" spans="1:12" ht="15" x14ac:dyDescent="0.25">
      <c r="A30" s="6" t="s">
        <v>23</v>
      </c>
      <c r="B30" s="7">
        <f t="shared" si="0"/>
        <v>29</v>
      </c>
      <c r="C30" s="8">
        <v>6</v>
      </c>
      <c r="D30" s="7">
        <v>2022</v>
      </c>
      <c r="E30" s="9">
        <v>27718.999999997861</v>
      </c>
      <c r="F30" s="30">
        <v>0.93</v>
      </c>
      <c r="G30" s="9">
        <f>'Shenzhen Daily'!F33</f>
        <v>903</v>
      </c>
      <c r="H30" s="30">
        <v>4.3899999999999997</v>
      </c>
      <c r="I30" s="9">
        <f>'Shenzhen Daily'!H33</f>
        <v>306</v>
      </c>
      <c r="J30" s="30">
        <v>1.72</v>
      </c>
      <c r="K30" s="9">
        <f>'Shenzhen Daily'!I33</f>
        <v>26.201000000000001</v>
      </c>
      <c r="L30" s="9">
        <f>'Shenzhen Daily'!J33</f>
        <v>69</v>
      </c>
    </row>
    <row r="31" spans="1:12" ht="15" x14ac:dyDescent="0.25">
      <c r="A31" s="6" t="s">
        <v>23</v>
      </c>
      <c r="B31" s="7">
        <f t="shared" si="0"/>
        <v>30</v>
      </c>
      <c r="C31" s="8">
        <v>6</v>
      </c>
      <c r="D31" s="7">
        <v>2022</v>
      </c>
      <c r="E31" s="9">
        <v>26902.000000001168</v>
      </c>
      <c r="F31" s="30">
        <v>0.93</v>
      </c>
      <c r="G31" s="9">
        <f>'Shenzhen Daily'!F34</f>
        <v>830</v>
      </c>
      <c r="H31" s="30">
        <v>4.3899999999999997</v>
      </c>
      <c r="I31" s="9">
        <f>'Shenzhen Daily'!H34</f>
        <v>219</v>
      </c>
      <c r="J31" s="30">
        <v>1.72</v>
      </c>
      <c r="K31" s="9">
        <f>'Shenzhen Daily'!I34</f>
        <v>29.206799999999998</v>
      </c>
      <c r="L31" s="9">
        <f>'Shenzhen Daily'!J34</f>
        <v>64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34"/>
  <sheetViews>
    <sheetView topLeftCell="A22" zoomScale="85" zoomScaleNormal="85" workbookViewId="0">
      <pane xSplit="1" topLeftCell="B1" activePane="topRight" state="frozen"/>
      <selection pane="topRight" activeCell="Q10" sqref="Q10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3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2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5">
      <c r="A4" s="21">
        <v>44712</v>
      </c>
      <c r="B4" s="51"/>
      <c r="C4" s="40">
        <v>29879.47</v>
      </c>
      <c r="D4" s="41"/>
      <c r="E4" s="40">
        <v>3193192</v>
      </c>
      <c r="F4" s="44"/>
      <c r="G4" s="40">
        <v>595452</v>
      </c>
      <c r="H4" s="46"/>
      <c r="I4" s="23">
        <v>138</v>
      </c>
      <c r="J4" s="23">
        <v>405</v>
      </c>
    </row>
    <row r="5" spans="1:10" ht="33" customHeight="1" x14ac:dyDescent="0.25">
      <c r="A5" s="24">
        <v>44713</v>
      </c>
      <c r="B5" s="51"/>
      <c r="C5" s="40">
        <v>29910.879999999997</v>
      </c>
      <c r="D5" s="42">
        <f t="shared" ref="D5:D22" si="0">IF((C5-C4&lt;0), "0",C5-C4)</f>
        <v>31.409999999996217</v>
      </c>
      <c r="E5" s="40">
        <v>3194649</v>
      </c>
      <c r="F5" s="42">
        <f>IF((E5-E4&lt;0), "0",E5-E4)</f>
        <v>1457</v>
      </c>
      <c r="G5" s="40">
        <v>595966</v>
      </c>
      <c r="H5" s="38">
        <f>IF((G5-G4&lt;0), "0",G5-G4)</f>
        <v>514</v>
      </c>
      <c r="I5" s="26">
        <v>166.88839999999999</v>
      </c>
      <c r="J5" s="26">
        <v>591</v>
      </c>
    </row>
    <row r="6" spans="1:10" ht="45" customHeight="1" x14ac:dyDescent="0.25">
      <c r="A6" s="24">
        <v>44714</v>
      </c>
      <c r="B6" s="51"/>
      <c r="C6" s="40">
        <v>29939.5</v>
      </c>
      <c r="D6" s="42">
        <f t="shared" si="0"/>
        <v>28.620000000002619</v>
      </c>
      <c r="E6" s="40">
        <v>3195999</v>
      </c>
      <c r="F6" s="42">
        <f t="shared" ref="F6:F34" si="1">IF((E6-E5&lt;0), "0",E6-E5)</f>
        <v>1350</v>
      </c>
      <c r="G6" s="40">
        <v>596481</v>
      </c>
      <c r="H6" s="47">
        <f t="shared" ref="H6:H34" si="2">IF((G6-G5&lt;0), "0",G6-G5)</f>
        <v>515</v>
      </c>
      <c r="I6" s="12">
        <v>181.03960000000001</v>
      </c>
      <c r="J6" s="37">
        <v>367</v>
      </c>
    </row>
    <row r="7" spans="1:10" ht="45" customHeight="1" x14ac:dyDescent="0.25">
      <c r="A7" s="24">
        <v>44715</v>
      </c>
      <c r="B7" s="51"/>
      <c r="C7" s="40">
        <v>29968.529999999995</v>
      </c>
      <c r="D7" s="42">
        <f t="shared" si="0"/>
        <v>29.029999999995198</v>
      </c>
      <c r="E7" s="40">
        <v>3197402</v>
      </c>
      <c r="F7" s="42">
        <f t="shared" si="1"/>
        <v>1403</v>
      </c>
      <c r="G7" s="40">
        <v>596978</v>
      </c>
      <c r="H7" s="38">
        <f t="shared" si="2"/>
        <v>497</v>
      </c>
      <c r="I7" s="12">
        <v>165.8776</v>
      </c>
      <c r="J7" s="12">
        <v>457</v>
      </c>
    </row>
    <row r="8" spans="1:10" ht="45" customHeight="1" x14ac:dyDescent="0.25">
      <c r="A8" s="24">
        <v>44716</v>
      </c>
      <c r="B8" s="50"/>
      <c r="C8" s="31">
        <v>29998.589999999997</v>
      </c>
      <c r="D8" s="36">
        <f t="shared" si="0"/>
        <v>30.06000000000131</v>
      </c>
      <c r="E8" s="31">
        <v>3198762</v>
      </c>
      <c r="F8" s="45">
        <f t="shared" si="1"/>
        <v>1360</v>
      </c>
      <c r="G8" s="40">
        <v>597509</v>
      </c>
      <c r="H8" s="38">
        <f t="shared" si="2"/>
        <v>531</v>
      </c>
      <c r="I8" s="12">
        <v>198.11680000000001</v>
      </c>
      <c r="J8" s="12">
        <v>490</v>
      </c>
    </row>
    <row r="9" spans="1:10" ht="45" customHeight="1" x14ac:dyDescent="0.25">
      <c r="A9" s="24">
        <v>44717</v>
      </c>
      <c r="B9" s="50"/>
      <c r="C9" s="31">
        <v>30028.890000000003</v>
      </c>
      <c r="D9" s="25">
        <f t="shared" si="0"/>
        <v>30.300000000006548</v>
      </c>
      <c r="E9" s="31">
        <v>3200174</v>
      </c>
      <c r="F9" s="25">
        <f t="shared" si="1"/>
        <v>1412</v>
      </c>
      <c r="G9" s="31">
        <v>598014</v>
      </c>
      <c r="H9" s="25">
        <f t="shared" si="2"/>
        <v>505</v>
      </c>
      <c r="I9" s="12">
        <v>226.5522</v>
      </c>
      <c r="J9" s="12">
        <v>366</v>
      </c>
    </row>
    <row r="10" spans="1:10" ht="45" customHeight="1" x14ac:dyDescent="0.25">
      <c r="A10" s="24">
        <v>44718</v>
      </c>
      <c r="B10" s="50"/>
      <c r="C10" s="31">
        <v>30057.699999999997</v>
      </c>
      <c r="D10" s="25">
        <f t="shared" si="0"/>
        <v>28.809999999994034</v>
      </c>
      <c r="E10" s="31">
        <v>3201435</v>
      </c>
      <c r="F10" s="25">
        <f t="shared" si="1"/>
        <v>1261</v>
      </c>
      <c r="G10" s="31">
        <v>598556</v>
      </c>
      <c r="H10" s="25">
        <f t="shared" si="2"/>
        <v>542</v>
      </c>
      <c r="I10" s="12">
        <v>128.95680000000002</v>
      </c>
      <c r="J10" s="12">
        <v>282</v>
      </c>
    </row>
    <row r="11" spans="1:10" ht="45" customHeight="1" x14ac:dyDescent="0.25">
      <c r="A11" s="24">
        <v>44719</v>
      </c>
      <c r="B11" s="50"/>
      <c r="C11" s="31">
        <v>30085.759999999998</v>
      </c>
      <c r="D11" s="25">
        <f t="shared" si="0"/>
        <v>28.06000000000131</v>
      </c>
      <c r="E11" s="31">
        <v>3202788</v>
      </c>
      <c r="F11" s="25">
        <f t="shared" si="1"/>
        <v>1353</v>
      </c>
      <c r="G11" s="31">
        <v>599014</v>
      </c>
      <c r="H11" s="25">
        <f t="shared" si="2"/>
        <v>458</v>
      </c>
      <c r="I11" s="12">
        <v>154.73220000000001</v>
      </c>
      <c r="J11" s="12">
        <v>307</v>
      </c>
    </row>
    <row r="12" spans="1:10" ht="45" customHeight="1" x14ac:dyDescent="0.25">
      <c r="A12" s="24">
        <v>44720</v>
      </c>
      <c r="B12" s="50"/>
      <c r="C12" s="31">
        <v>30112.229999999996</v>
      </c>
      <c r="D12" s="25">
        <f t="shared" si="0"/>
        <v>26.469999999997526</v>
      </c>
      <c r="E12" s="31">
        <v>3204133</v>
      </c>
      <c r="F12" s="25">
        <f t="shared" si="1"/>
        <v>1345</v>
      </c>
      <c r="G12" s="31">
        <v>599454</v>
      </c>
      <c r="H12" s="25">
        <f t="shared" si="2"/>
        <v>440</v>
      </c>
      <c r="I12" s="12">
        <v>201.52160000000001</v>
      </c>
      <c r="J12" s="12">
        <v>412</v>
      </c>
    </row>
    <row r="13" spans="1:10" ht="45" customHeight="1" x14ac:dyDescent="0.25">
      <c r="A13" s="24">
        <v>44721</v>
      </c>
      <c r="B13" s="50"/>
      <c r="C13" s="31">
        <v>30139.66</v>
      </c>
      <c r="D13" s="25">
        <f t="shared" si="0"/>
        <v>27.430000000003929</v>
      </c>
      <c r="E13" s="31">
        <v>3205560</v>
      </c>
      <c r="F13" s="25">
        <f t="shared" si="1"/>
        <v>1427</v>
      </c>
      <c r="G13" s="31">
        <v>599958</v>
      </c>
      <c r="H13" s="25">
        <f t="shared" si="2"/>
        <v>504</v>
      </c>
      <c r="I13" s="12">
        <v>222.6686</v>
      </c>
      <c r="J13" s="12">
        <v>409</v>
      </c>
    </row>
    <row r="14" spans="1:10" ht="45" customHeight="1" x14ac:dyDescent="0.25">
      <c r="A14" s="24">
        <v>44722</v>
      </c>
      <c r="B14" s="50"/>
      <c r="C14" s="31">
        <v>30167.199999999997</v>
      </c>
      <c r="D14" s="25">
        <f t="shared" si="0"/>
        <v>27.539999999997235</v>
      </c>
      <c r="E14" s="31">
        <v>3207017</v>
      </c>
      <c r="F14" s="25">
        <f t="shared" si="1"/>
        <v>1457</v>
      </c>
      <c r="G14" s="31">
        <v>600476</v>
      </c>
      <c r="H14" s="25">
        <f t="shared" si="2"/>
        <v>518</v>
      </c>
      <c r="I14" s="12">
        <v>235.7824</v>
      </c>
      <c r="J14" s="12">
        <v>393</v>
      </c>
    </row>
    <row r="15" spans="1:10" ht="45" customHeight="1" x14ac:dyDescent="0.25">
      <c r="A15" s="24">
        <v>44723</v>
      </c>
      <c r="B15" s="50"/>
      <c r="C15" s="31">
        <v>30196.050000000003</v>
      </c>
      <c r="D15" s="25">
        <f t="shared" si="0"/>
        <v>28.850000000005821</v>
      </c>
      <c r="E15" s="31">
        <v>3208382</v>
      </c>
      <c r="F15" s="25">
        <f t="shared" si="1"/>
        <v>1365</v>
      </c>
      <c r="G15" s="31">
        <v>600930</v>
      </c>
      <c r="H15" s="25">
        <f t="shared" si="2"/>
        <v>454</v>
      </c>
      <c r="I15" s="12">
        <v>202.5324</v>
      </c>
      <c r="J15" s="12">
        <v>407</v>
      </c>
    </row>
    <row r="16" spans="1:10" ht="45" customHeight="1" x14ac:dyDescent="0.25">
      <c r="A16" s="24">
        <v>44724</v>
      </c>
      <c r="B16" s="50"/>
      <c r="C16" s="31">
        <v>30224.58</v>
      </c>
      <c r="D16" s="25">
        <f t="shared" si="0"/>
        <v>28.529999999998836</v>
      </c>
      <c r="E16" s="31">
        <v>3209760</v>
      </c>
      <c r="F16" s="25">
        <f t="shared" si="1"/>
        <v>1378</v>
      </c>
      <c r="G16" s="31">
        <v>601390</v>
      </c>
      <c r="H16" s="25">
        <f t="shared" si="2"/>
        <v>460</v>
      </c>
      <c r="I16" s="12">
        <v>174.3098</v>
      </c>
      <c r="J16" s="12">
        <v>387</v>
      </c>
    </row>
    <row r="17" spans="1:15" ht="45" customHeight="1" x14ac:dyDescent="0.25">
      <c r="A17" s="24">
        <v>44725</v>
      </c>
      <c r="B17" s="50"/>
      <c r="C17" s="31">
        <v>30251.779999999995</v>
      </c>
      <c r="D17" s="25">
        <f t="shared" si="0"/>
        <v>27.199999999993452</v>
      </c>
      <c r="E17" s="31">
        <v>3211072</v>
      </c>
      <c r="F17" s="25">
        <f t="shared" si="1"/>
        <v>1312</v>
      </c>
      <c r="G17" s="31">
        <v>601773</v>
      </c>
      <c r="H17" s="25">
        <f t="shared" si="2"/>
        <v>383</v>
      </c>
      <c r="I17" s="12">
        <v>134.01080000000002</v>
      </c>
      <c r="J17" s="12">
        <v>261</v>
      </c>
    </row>
    <row r="18" spans="1:15" ht="45" customHeight="1" x14ac:dyDescent="0.25">
      <c r="A18" s="24">
        <v>44726</v>
      </c>
      <c r="B18" s="50"/>
      <c r="C18" s="31">
        <v>30277.360000000001</v>
      </c>
      <c r="D18" s="25">
        <f t="shared" si="0"/>
        <v>25.580000000005384</v>
      </c>
      <c r="E18" s="31">
        <v>3212384</v>
      </c>
      <c r="F18" s="25">
        <f t="shared" si="1"/>
        <v>1312</v>
      </c>
      <c r="G18" s="31">
        <v>602316</v>
      </c>
      <c r="H18" s="25">
        <f t="shared" si="2"/>
        <v>543</v>
      </c>
      <c r="I18" s="12">
        <v>126.9618</v>
      </c>
      <c r="J18" s="12">
        <v>330</v>
      </c>
    </row>
    <row r="19" spans="1:15" ht="45" customHeight="1" x14ac:dyDescent="0.25">
      <c r="A19" s="24">
        <v>44727</v>
      </c>
      <c r="B19" s="50"/>
      <c r="C19" s="31">
        <v>30304.25</v>
      </c>
      <c r="D19" s="25">
        <f t="shared" si="0"/>
        <v>26.889999999999418</v>
      </c>
      <c r="E19" s="31">
        <v>3213717</v>
      </c>
      <c r="F19" s="25">
        <f t="shared" si="1"/>
        <v>1333</v>
      </c>
      <c r="G19" s="31">
        <v>602765</v>
      </c>
      <c r="H19" s="25">
        <f t="shared" si="2"/>
        <v>449</v>
      </c>
      <c r="I19" s="12">
        <v>157.17939999999999</v>
      </c>
      <c r="J19" s="12">
        <v>352</v>
      </c>
    </row>
    <row r="20" spans="1:15" ht="45" customHeight="1" x14ac:dyDescent="0.25">
      <c r="A20" s="24">
        <v>44728</v>
      </c>
      <c r="B20" s="50"/>
      <c r="C20" s="31">
        <v>30331.32</v>
      </c>
      <c r="D20" s="25">
        <f t="shared" si="0"/>
        <v>27.069999999999709</v>
      </c>
      <c r="E20" s="31">
        <v>3215065</v>
      </c>
      <c r="F20" s="25">
        <f t="shared" si="1"/>
        <v>1348</v>
      </c>
      <c r="G20" s="31">
        <v>603386</v>
      </c>
      <c r="H20" s="25">
        <f t="shared" si="2"/>
        <v>621</v>
      </c>
      <c r="I20" s="12">
        <v>171.2774</v>
      </c>
      <c r="J20" s="12">
        <v>308</v>
      </c>
    </row>
    <row r="21" spans="1:15" ht="45" customHeight="1" x14ac:dyDescent="0.25">
      <c r="A21" s="24">
        <v>44729</v>
      </c>
      <c r="B21" s="50"/>
      <c r="C21" s="31">
        <v>30358.879999999997</v>
      </c>
      <c r="D21" s="25">
        <f t="shared" si="0"/>
        <v>27.559999999997672</v>
      </c>
      <c r="E21" s="31">
        <v>3216383</v>
      </c>
      <c r="F21" s="25">
        <f t="shared" si="1"/>
        <v>1318</v>
      </c>
      <c r="G21" s="31">
        <v>603889</v>
      </c>
      <c r="H21" s="25">
        <f t="shared" si="2"/>
        <v>503</v>
      </c>
      <c r="I21" s="12">
        <v>165.23919999999998</v>
      </c>
      <c r="J21" s="12">
        <v>346</v>
      </c>
    </row>
    <row r="22" spans="1:15" ht="45" customHeight="1" x14ac:dyDescent="0.25">
      <c r="A22" s="24">
        <v>44730</v>
      </c>
      <c r="B22" s="50"/>
      <c r="C22" s="31">
        <v>30388.969999999998</v>
      </c>
      <c r="D22" s="25">
        <f t="shared" si="0"/>
        <v>30.090000000000146</v>
      </c>
      <c r="E22" s="31">
        <v>3217777</v>
      </c>
      <c r="F22" s="25">
        <f t="shared" si="1"/>
        <v>1394</v>
      </c>
      <c r="G22" s="31">
        <v>604398</v>
      </c>
      <c r="H22" s="25">
        <f t="shared" si="2"/>
        <v>509</v>
      </c>
      <c r="I22" s="12">
        <v>177.34219999999999</v>
      </c>
      <c r="J22" s="12">
        <v>285</v>
      </c>
    </row>
    <row r="23" spans="1:15" ht="45" customHeight="1" x14ac:dyDescent="0.25">
      <c r="A23" s="24">
        <v>44731</v>
      </c>
      <c r="B23" s="50"/>
      <c r="C23" s="31">
        <v>30417.219999999998</v>
      </c>
      <c r="D23" s="25">
        <f>IF((C23-C22&lt;0), "0",C23-C22)</f>
        <v>28.25</v>
      </c>
      <c r="E23" s="31">
        <v>3219136</v>
      </c>
      <c r="F23" s="25">
        <f t="shared" si="1"/>
        <v>1359</v>
      </c>
      <c r="G23" s="31">
        <v>604823</v>
      </c>
      <c r="H23" s="25">
        <f t="shared" si="2"/>
        <v>425</v>
      </c>
      <c r="I23" s="12">
        <v>172.28820000000002</v>
      </c>
      <c r="J23" s="12">
        <v>399</v>
      </c>
    </row>
    <row r="24" spans="1:15" ht="45" customHeight="1" x14ac:dyDescent="0.25">
      <c r="A24" s="24">
        <v>44732</v>
      </c>
      <c r="B24" s="50"/>
      <c r="C24" s="31">
        <v>30444.13</v>
      </c>
      <c r="D24" s="25">
        <f t="shared" ref="D24:D34" si="3">IF((C24-C23&lt;0), "0",C24-C23)</f>
        <v>26.910000000003492</v>
      </c>
      <c r="E24" s="31">
        <v>3220288</v>
      </c>
      <c r="F24" s="25">
        <f t="shared" si="1"/>
        <v>1152</v>
      </c>
      <c r="G24" s="31">
        <v>605262</v>
      </c>
      <c r="H24" s="25">
        <f t="shared" si="2"/>
        <v>439</v>
      </c>
      <c r="I24" s="12">
        <v>89.668599999999998</v>
      </c>
      <c r="J24" s="12">
        <v>157</v>
      </c>
    </row>
    <row r="25" spans="1:15" ht="45" customHeight="1" x14ac:dyDescent="0.25">
      <c r="A25" s="24">
        <v>44733</v>
      </c>
      <c r="B25" s="50"/>
      <c r="C25" s="31">
        <v>30469.920000000002</v>
      </c>
      <c r="D25" s="25">
        <f t="shared" si="3"/>
        <v>25.790000000000873</v>
      </c>
      <c r="E25" s="31">
        <v>3219395</v>
      </c>
      <c r="F25" s="25" t="str">
        <f t="shared" si="1"/>
        <v>0</v>
      </c>
      <c r="G25" s="31">
        <v>605648</v>
      </c>
      <c r="H25" s="25">
        <f t="shared" si="2"/>
        <v>386</v>
      </c>
      <c r="I25" s="12">
        <v>89.668599999999998</v>
      </c>
      <c r="J25" s="12">
        <v>193</v>
      </c>
    </row>
    <row r="26" spans="1:15" ht="45" customHeight="1" x14ac:dyDescent="0.25">
      <c r="A26" s="24">
        <v>44734</v>
      </c>
      <c r="B26" s="50"/>
      <c r="C26" s="31">
        <v>30495.38</v>
      </c>
      <c r="D26" s="25">
        <f t="shared" si="3"/>
        <v>25.459999999999127</v>
      </c>
      <c r="E26" s="31">
        <v>3222516</v>
      </c>
      <c r="F26" s="25">
        <f t="shared" si="1"/>
        <v>3121</v>
      </c>
      <c r="G26" s="31">
        <v>606022</v>
      </c>
      <c r="H26" s="25">
        <f t="shared" si="2"/>
        <v>374</v>
      </c>
      <c r="I26" s="12">
        <v>133</v>
      </c>
      <c r="J26" s="12">
        <v>262</v>
      </c>
    </row>
    <row r="27" spans="1:15" ht="45" customHeight="1" x14ac:dyDescent="0.25">
      <c r="A27" s="24">
        <v>44735</v>
      </c>
      <c r="B27" s="50"/>
      <c r="C27" s="31">
        <v>30521.29</v>
      </c>
      <c r="D27" s="25">
        <f t="shared" si="3"/>
        <v>25.909999999999854</v>
      </c>
      <c r="E27" s="31">
        <v>3223610</v>
      </c>
      <c r="F27" s="25">
        <f t="shared" si="1"/>
        <v>1094</v>
      </c>
      <c r="G27" s="31">
        <v>606424</v>
      </c>
      <c r="H27" s="25">
        <f t="shared" si="2"/>
        <v>402</v>
      </c>
      <c r="I27" s="12">
        <v>90.679400000000001</v>
      </c>
      <c r="J27" s="12">
        <v>225</v>
      </c>
    </row>
    <row r="28" spans="1:15" ht="45" customHeight="1" x14ac:dyDescent="0.25">
      <c r="A28" s="24">
        <v>44736</v>
      </c>
      <c r="B28" s="50"/>
      <c r="C28" s="31">
        <v>30548.780000000006</v>
      </c>
      <c r="D28" s="25">
        <f t="shared" si="3"/>
        <v>27.490000000005239</v>
      </c>
      <c r="E28" s="31">
        <v>3224699</v>
      </c>
      <c r="F28" s="25">
        <f t="shared" si="1"/>
        <v>1089</v>
      </c>
      <c r="G28" s="31">
        <v>606824</v>
      </c>
      <c r="H28" s="25">
        <f t="shared" si="2"/>
        <v>400</v>
      </c>
      <c r="I28" s="12">
        <v>83.630400000000009</v>
      </c>
      <c r="J28" s="12">
        <v>257</v>
      </c>
    </row>
    <row r="29" spans="1:15" ht="45" customHeight="1" x14ac:dyDescent="0.25">
      <c r="A29" s="24">
        <v>44737</v>
      </c>
      <c r="B29" s="50"/>
      <c r="C29" s="31">
        <v>30580.68</v>
      </c>
      <c r="D29" s="25">
        <f t="shared" si="3"/>
        <v>31.899999999994179</v>
      </c>
      <c r="E29" s="31">
        <v>3225829</v>
      </c>
      <c r="F29" s="25">
        <f t="shared" si="1"/>
        <v>1130</v>
      </c>
      <c r="G29" s="31">
        <v>607225</v>
      </c>
      <c r="H29" s="25">
        <f t="shared" si="2"/>
        <v>401</v>
      </c>
      <c r="I29" s="12">
        <v>77.592200000000005</v>
      </c>
      <c r="J29" s="12">
        <v>224</v>
      </c>
    </row>
    <row r="30" spans="1:15" ht="45" customHeight="1" x14ac:dyDescent="0.25">
      <c r="A30" s="24">
        <v>44738</v>
      </c>
      <c r="B30" s="50"/>
      <c r="C30" s="31">
        <v>30595.600000000002</v>
      </c>
      <c r="D30" s="25">
        <f t="shared" si="3"/>
        <v>14.920000000001892</v>
      </c>
      <c r="E30" s="31">
        <v>3226885</v>
      </c>
      <c r="F30" s="25">
        <f t="shared" si="1"/>
        <v>1056</v>
      </c>
      <c r="G30" s="31">
        <v>607579</v>
      </c>
      <c r="H30" s="25">
        <f t="shared" si="2"/>
        <v>354</v>
      </c>
      <c r="I30" s="12">
        <v>61.4726</v>
      </c>
      <c r="J30" s="12">
        <v>154</v>
      </c>
      <c r="O30" s="34"/>
    </row>
    <row r="31" spans="1:15" ht="45" customHeight="1" x14ac:dyDescent="0.25">
      <c r="A31" s="24">
        <v>44739</v>
      </c>
      <c r="B31" s="50"/>
      <c r="C31" s="31">
        <v>30614.71</v>
      </c>
      <c r="D31" s="25">
        <f t="shared" si="3"/>
        <v>19.109999999996944</v>
      </c>
      <c r="E31" s="31">
        <v>3227814</v>
      </c>
      <c r="F31" s="25">
        <f t="shared" si="1"/>
        <v>929</v>
      </c>
      <c r="G31" s="31">
        <v>607854</v>
      </c>
      <c r="H31" s="25">
        <f t="shared" si="2"/>
        <v>275</v>
      </c>
      <c r="I31" s="12">
        <v>40.298999999999999</v>
      </c>
      <c r="J31" s="12">
        <v>98</v>
      </c>
    </row>
    <row r="32" spans="1:15" ht="45" customHeight="1" x14ac:dyDescent="0.25">
      <c r="A32" s="24">
        <v>44740</v>
      </c>
      <c r="B32" s="50"/>
      <c r="C32" s="31">
        <v>30635.29</v>
      </c>
      <c r="D32" s="25">
        <f t="shared" si="3"/>
        <v>20.580000000001746</v>
      </c>
      <c r="E32" s="31">
        <v>3228754</v>
      </c>
      <c r="F32" s="25">
        <f t="shared" si="1"/>
        <v>940</v>
      </c>
      <c r="G32" s="31">
        <v>608159</v>
      </c>
      <c r="H32" s="25">
        <f t="shared" si="2"/>
        <v>305</v>
      </c>
      <c r="I32" s="12">
        <v>39.288199999999996</v>
      </c>
      <c r="J32" s="12">
        <v>76</v>
      </c>
    </row>
    <row r="33" spans="1:10" ht="36" customHeight="1" x14ac:dyDescent="0.25">
      <c r="A33" s="24">
        <v>44741</v>
      </c>
      <c r="B33" s="35"/>
      <c r="C33" s="31">
        <v>30655.489999999998</v>
      </c>
      <c r="D33" s="25">
        <f t="shared" si="3"/>
        <v>20.19999999999709</v>
      </c>
      <c r="E33" s="31">
        <v>3229657</v>
      </c>
      <c r="F33" s="25">
        <f t="shared" si="1"/>
        <v>903</v>
      </c>
      <c r="G33" s="31">
        <v>608465</v>
      </c>
      <c r="H33" s="25">
        <f t="shared" si="2"/>
        <v>306</v>
      </c>
      <c r="I33" s="12">
        <v>26.201000000000001</v>
      </c>
      <c r="J33" s="12">
        <v>69</v>
      </c>
    </row>
    <row r="34" spans="1:10" ht="45.6" customHeight="1" x14ac:dyDescent="0.25">
      <c r="A34" s="24">
        <v>44742</v>
      </c>
      <c r="B34" s="48"/>
      <c r="C34" s="40">
        <v>30674.980000000003</v>
      </c>
      <c r="D34" s="49">
        <f t="shared" si="3"/>
        <v>19.490000000005239</v>
      </c>
      <c r="E34" s="31">
        <v>3230487</v>
      </c>
      <c r="F34" s="32">
        <f t="shared" si="1"/>
        <v>830</v>
      </c>
      <c r="G34" s="31">
        <v>608684</v>
      </c>
      <c r="H34" s="25">
        <f t="shared" si="2"/>
        <v>219</v>
      </c>
      <c r="I34" s="12">
        <v>29.206799999999998</v>
      </c>
      <c r="J34" s="33">
        <v>64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Jeff Chen </cp:lastModifiedBy>
  <cp:lastPrinted>2020-10-01T03:34:29Z</cp:lastPrinted>
  <dcterms:created xsi:type="dcterms:W3CDTF">2009-02-11T09:03:59Z</dcterms:created>
  <dcterms:modified xsi:type="dcterms:W3CDTF">2023-03-07T06:16:11Z</dcterms:modified>
</cp:coreProperties>
</file>