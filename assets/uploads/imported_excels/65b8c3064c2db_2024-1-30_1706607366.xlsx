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1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1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3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32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33.xml.rels" ContentType="application/vnd.openxmlformats-package.relationships+xml"/>
  <Override PartName="/xl/worksheets/_rels/sheet11.xml.rels" ContentType="application/vnd.openxmlformats-package.relationships+xml"/>
  <Override PartName="/xl/worksheets/_rels/sheet34.xml.rels" ContentType="application/vnd.openxmlformats-package.relationships+xml"/>
  <Override PartName="/xl/worksheets/_rels/sheet12.xml.rels" ContentType="application/vnd.openxmlformats-package.relationships+xml"/>
  <Override PartName="/xl/worksheets/_rels/sheet35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29.xml.rels" ContentType="application/vnd.openxmlformats-package.relationships+xml"/>
  <Override PartName="/xl/worksheets/_rels/sheet30.xml.rels" ContentType="application/vnd.openxmlformats-package.relationships+xml"/>
  <Override PartName="/xl/worksheets/_rels/sheet3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vmlDrawing1.vml" ContentType="application/vnd.openxmlformats-officedocument.vmlDrawing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drawings/_rels/drawing10.xml.rels" ContentType="application/vnd.openxmlformats-package.relationships+xml"/>
  <Override PartName="/xl/drawings/_rels/drawing11.xml.rels" ContentType="application/vnd.openxmlformats-package.relationships+xml"/>
  <Override PartName="/xl/drawings/_rels/drawing12.xml.rels" ContentType="application/vnd.openxmlformats-package.relationships+xml"/>
  <Override PartName="/xl/drawings/_rels/drawing13.xml.rels" ContentType="application/vnd.openxmlformats-package.relationships+xml"/>
  <Override PartName="/xl/drawings/_rels/drawing14.xml.rels" ContentType="application/vnd.openxmlformats-package.relationships+xml"/>
  <Override PartName="/xl/drawings/_rels/drawing15.xml.rels" ContentType="application/vnd.openxmlformats-package.relationships+xml"/>
  <Override PartName="/xl/drawings/_rels/drawing16.xml.rels" ContentType="application/vnd.openxmlformats-package.relationships+xml"/>
  <Override PartName="/xl/drawings/_rels/drawing17.xml.rels" ContentType="application/vnd.openxmlformats-package.relationships+xml"/>
  <Override PartName="/xl/drawings/_rels/drawing18.xml.rels" ContentType="application/vnd.openxmlformats-package.relationships+xml"/>
  <Override PartName="/xl/drawings/_rels/drawing19.xml.rels" ContentType="application/vnd.openxmlformats-package.relationships+xml"/>
  <Override PartName="/xl/drawings/_rels/drawing20.xml.rels" ContentType="application/vnd.openxmlformats-package.relationships+xml"/>
  <Override PartName="/xl/drawings/_rels/drawing21.xml.rels" ContentType="application/vnd.openxmlformats-package.relationships+xml"/>
  <Override PartName="/xl/drawings/_rels/drawing22.xml.rels" ContentType="application/vnd.openxmlformats-package.relationships+xml"/>
  <Override PartName="/xl/drawings/_rels/drawing23.xml.rels" ContentType="application/vnd.openxmlformats-package.relationships+xml"/>
  <Override PartName="/xl/drawings/_rels/drawing24.xml.rels" ContentType="application/vnd.openxmlformats-package.relationships+xml"/>
  <Override PartName="/xl/drawings/_rels/drawing25.xml.rels" ContentType="application/vnd.openxmlformats-package.relationships+xml"/>
  <Override PartName="/xl/drawings/_rels/drawing26.xml.rels" ContentType="application/vnd.openxmlformats-package.relationships+xml"/>
  <Override PartName="/xl/drawings/_rels/drawing27.xml.rels" ContentType="application/vnd.openxmlformats-package.relationships+xml"/>
  <Override PartName="/xl/drawings/_rels/drawing28.xml.rels" ContentType="application/vnd.openxmlformats-package.relationships+xml"/>
  <Override PartName="/xl/drawings/_rels/drawing29.xml.rels" ContentType="application/vnd.openxmlformats-package.relationships+xml"/>
  <Override PartName="/xl/drawings/_rels/drawing30.xml.rels" ContentType="application/vnd.openxmlformats-package.relationships+xml"/>
  <Override PartName="/xl/drawings/_rels/drawing31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comments35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" sheetId="1" state="visible" r:id="rId2"/>
    <sheet name="Submetering" sheetId="2" state="visible" r:id="rId3"/>
    <sheet name="Daily Meter" sheetId="3" state="visible" r:id="rId4"/>
    <sheet name="1" sheetId="4" state="visible" r:id="rId5"/>
    <sheet name="2" sheetId="5" state="visible" r:id="rId6"/>
    <sheet name="3" sheetId="6" state="visible" r:id="rId7"/>
    <sheet name="4" sheetId="7" state="visible" r:id="rId8"/>
    <sheet name="5" sheetId="8" state="visible" r:id="rId9"/>
    <sheet name="6" sheetId="9" state="visible" r:id="rId10"/>
    <sheet name="7" sheetId="10" state="visible" r:id="rId11"/>
    <sheet name="8" sheetId="11" state="visible" r:id="rId12"/>
    <sheet name="9" sheetId="12" state="visible" r:id="rId13"/>
    <sheet name="10" sheetId="13" state="visible" r:id="rId14"/>
    <sheet name="11" sheetId="14" state="visible" r:id="rId15"/>
    <sheet name="12" sheetId="15" state="visible" r:id="rId16"/>
    <sheet name="13" sheetId="16" state="visible" r:id="rId17"/>
    <sheet name="14" sheetId="17" state="visible" r:id="rId18"/>
    <sheet name="15" sheetId="18" state="visible" r:id="rId19"/>
    <sheet name="16" sheetId="19" state="visible" r:id="rId20"/>
    <sheet name="17" sheetId="20" state="visible" r:id="rId21"/>
    <sheet name="18" sheetId="21" state="visible" r:id="rId22"/>
    <sheet name="19" sheetId="22" state="visible" r:id="rId23"/>
    <sheet name="20" sheetId="23" state="visible" r:id="rId24"/>
    <sheet name="21" sheetId="24" state="visible" r:id="rId25"/>
    <sheet name="22" sheetId="25" state="visible" r:id="rId26"/>
    <sheet name="23" sheetId="26" state="visible" r:id="rId27"/>
    <sheet name="24" sheetId="27" state="visible" r:id="rId28"/>
    <sheet name="25" sheetId="28" state="visible" r:id="rId29"/>
    <sheet name="26" sheetId="29" state="visible" r:id="rId30"/>
    <sheet name="27" sheetId="30" state="visible" r:id="rId31"/>
    <sheet name="28" sheetId="31" state="visible" r:id="rId32"/>
    <sheet name="29" sheetId="32" state="visible" r:id="rId33"/>
    <sheet name="30" sheetId="33" state="visible" r:id="rId34"/>
    <sheet name="31" sheetId="34" state="visible" r:id="rId35"/>
    <sheet name="nov. 19 to dec. " sheetId="35" state="visible" r:id="rId36"/>
    <sheet name="dec. 1 to 31" sheetId="36" state="visible" r:id="rId37"/>
    <sheet name="board 1 - 31" sheetId="37" state="visible" r:id="rId38"/>
    <sheet name="DAILY PRINTING" sheetId="38" state="visible" r:id="rId39"/>
    <sheet name="DAILY PRINTING (2)" sheetId="39" state="visible" r:id="rId40"/>
    <sheet name="Sheet1" sheetId="40" state="visible" r:id="rId41"/>
  </sheets>
  <definedNames>
    <definedName function="false" hidden="false" localSheetId="36" name="_xlnm.Print_Area" vbProcedure="false">'board 1 - 31'!$B$5:$AF$11</definedName>
    <definedName function="false" hidden="false" localSheetId="2" name="_xlnm.Print_Area" vbProcedure="false">'Daily Meter'!$A$1:$O$38</definedName>
    <definedName function="false" hidden="false" localSheetId="37" name="_xlnm.Print_Area" vbProcedure="false">'DAILY PRINTING'!$A$1:$D$11</definedName>
    <definedName function="false" hidden="false" localSheetId="38" name="_xlnm.Print_Area" vbProcedure="false">'DAILY PRINTING (2)'!$F$2:$G$6</definedName>
    <definedName function="false" hidden="false" localSheetId="35" name="_xlnm.Print_Area" vbProcedure="false">'dec. 1 to 31'!$A$1:$G$50</definedName>
    <definedName function="false" hidden="false" localSheetId="34" name="_xlnm.Print_Area" vbProcedure="false">'nov. 19 to dec. '!$A$1:$H$50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3" authorId="0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<sst xmlns="http://schemas.openxmlformats.org/spreadsheetml/2006/main" count="2279" uniqueCount="179">
  <si>
    <t xml:space="preserve">Site Name</t>
  </si>
  <si>
    <t xml:space="preserve">Day</t>
  </si>
  <si>
    <t xml:space="preserve">Month</t>
  </si>
  <si>
    <t xml:space="preserve">Year</t>
  </si>
  <si>
    <t xml:space="preserve">Total Electricity Kwh</t>
  </si>
  <si>
    <t xml:space="preserve">Electricity Tariff ($/Kwh)</t>
  </si>
  <si>
    <t xml:space="preserve">LPG (Liters) </t>
  </si>
  <si>
    <t xml:space="preserve">LPG $/Liters</t>
  </si>
  <si>
    <t xml:space="preserve">Water Utility Supply (IG) IG</t>
  </si>
  <si>
    <t xml:space="preserve">Water Utility Supply (IG) IG/m3</t>
  </si>
  <si>
    <t xml:space="preserve">Room Nights </t>
  </si>
  <si>
    <t xml:space="preserve">Total Guests </t>
  </si>
  <si>
    <t xml:space="preserve">25hours Dubai One Central</t>
  </si>
  <si>
    <t xml:space="preserve"> </t>
  </si>
  <si>
    <t xml:space="preserve">Meter 1 - 06065253</t>
  </si>
  <si>
    <t xml:space="preserve">Meter 2 - 06065255</t>
  </si>
  <si>
    <t xml:space="preserve">Meter 3 - 06065259</t>
  </si>
  <si>
    <t xml:space="preserve">Meter 4 - 06065262</t>
  </si>
  <si>
    <t xml:space="preserve">Meter 6 - 06065269</t>
  </si>
  <si>
    <t xml:space="preserve">Meter 7 - 06065283</t>
  </si>
  <si>
    <t xml:space="preserve">District Cooling</t>
  </si>
  <si>
    <t xml:space="preserve">Water</t>
  </si>
  <si>
    <t xml:space="preserve">Gas</t>
  </si>
  <si>
    <t xml:space="preserve">JANUARY 2024 UTILITY READING</t>
  </si>
  <si>
    <t xml:space="preserve">1st</t>
  </si>
  <si>
    <t xml:space="preserve">CHILLED WATER</t>
  </si>
  <si>
    <t xml:space="preserve">WATER</t>
  </si>
  <si>
    <t xml:space="preserve">ELECTRICITY</t>
  </si>
  <si>
    <t xml:space="preserve">GAS</t>
  </si>
  <si>
    <t xml:space="preserve">OCC.</t>
  </si>
  <si>
    <t xml:space="preserve">Date</t>
  </si>
  <si>
    <t xml:space="preserve">BTU Meter</t>
  </si>
  <si>
    <t xml:space="preserve">Meter 1</t>
  </si>
  <si>
    <t xml:space="preserve">Meter 2</t>
  </si>
  <si>
    <t xml:space="preserve">Meter 3</t>
  </si>
  <si>
    <t xml:space="preserve">Meter 4</t>
  </si>
  <si>
    <t xml:space="preserve">Meter 6</t>
  </si>
  <si>
    <t xml:space="preserve">Meter 7</t>
  </si>
  <si>
    <t xml:space="preserve">P103FF043BC</t>
  </si>
  <si>
    <t xml:space="preserve">18E0300032</t>
  </si>
  <si>
    <t xml:space="preserve">18E0300060</t>
  </si>
  <si>
    <t xml:space="preserve">18E0300057</t>
  </si>
  <si>
    <t xml:space="preserve">77092321/2019</t>
  </si>
  <si>
    <t xml:space="preserve">%</t>
  </si>
  <si>
    <t xml:space="preserve">4am</t>
  </si>
  <si>
    <t xml:space="preserve">DAILY</t>
  </si>
  <si>
    <t xml:space="preserve">engr123.</t>
  </si>
  <si>
    <t xml:space="preserve">ENGINEERING DEPARTMENT</t>
  </si>
  <si>
    <t xml:space="preserve">daily reading</t>
  </si>
  <si>
    <t xml:space="preserve">UTILITY CONSUMPTION  SHEET</t>
  </si>
  <si>
    <t xml:space="preserve">JANUARY 2024</t>
  </si>
  <si>
    <t xml:space="preserve">% OCCUPANCY:</t>
  </si>
  <si>
    <t xml:space="preserve">SR.NO</t>
  </si>
  <si>
    <t xml:space="preserve">ITEM MEASURED</t>
  </si>
  <si>
    <t xml:space="preserve">Previous Reading</t>
  </si>
  <si>
    <t xml:space="preserve">4 AM Reading</t>
  </si>
  <si>
    <t xml:space="preserve"> 24hrs CONSUMPTION</t>
  </si>
  <si>
    <t xml:space="preserve">Cost</t>
  </si>
  <si>
    <t xml:space="preserve">DECEMBER 31</t>
  </si>
  <si>
    <t xml:space="preserve">DISTRICT COOLING PLANT</t>
  </si>
  <si>
    <t xml:space="preserve">Chilled Water</t>
  </si>
  <si>
    <t xml:space="preserve">MWH</t>
  </si>
  <si>
    <t xml:space="preserve">TR</t>
  </si>
  <si>
    <t xml:space="preserve">III</t>
  </si>
  <si>
    <t xml:space="preserve">WATER METERS</t>
  </si>
  <si>
    <t xml:space="preserve">Main DEWA Meter</t>
  </si>
  <si>
    <t xml:space="preserve">m3</t>
  </si>
  <si>
    <r>
      <rPr>
        <sz val="11"/>
        <rFont val="Arial"/>
        <family val="2"/>
        <charset val="1"/>
      </rPr>
      <t xml:space="preserve">Imperial Gallon = m</t>
    </r>
    <r>
      <rPr>
        <sz val="11"/>
        <rFont val="Calibri"/>
        <family val="2"/>
        <charset val="1"/>
      </rPr>
      <t xml:space="preserve">³</t>
    </r>
    <r>
      <rPr>
        <sz val="11"/>
        <rFont val="Arial"/>
        <family val="2"/>
        <charset val="1"/>
      </rPr>
      <t xml:space="preserve"> x 219.969</t>
    </r>
  </si>
  <si>
    <t xml:space="preserve">IG</t>
  </si>
  <si>
    <t xml:space="preserve">IV</t>
  </si>
  <si>
    <t xml:space="preserve">ELECTRICAL METERS</t>
  </si>
  <si>
    <t xml:space="preserve">kW x 480</t>
  </si>
  <si>
    <t xml:space="preserve">TOTAL ELECTRICAL CONS.(kWh)</t>
  </si>
  <si>
    <t xml:space="preserve">V</t>
  </si>
  <si>
    <t xml:space="preserve">GAS CONSUMPTION</t>
  </si>
  <si>
    <t xml:space="preserve">MAIN LPG METER</t>
  </si>
  <si>
    <t xml:space="preserve">M3</t>
  </si>
  <si>
    <t xml:space="preserve">L = m³ x 3.70</t>
  </si>
  <si>
    <t xml:space="preserve">L</t>
  </si>
  <si>
    <t xml:space="preserve">Summary of Daily Hotel consumption</t>
  </si>
  <si>
    <t xml:space="preserve">Item measured</t>
  </si>
  <si>
    <t xml:space="preserve">Units</t>
  </si>
  <si>
    <t xml:space="preserve">Consumption</t>
  </si>
  <si>
    <t xml:space="preserve">AED</t>
  </si>
  <si>
    <t xml:space="preserve">Chilled water</t>
  </si>
  <si>
    <t xml:space="preserve">DEWA Water</t>
  </si>
  <si>
    <t xml:space="preserve">imp. Gallon</t>
  </si>
  <si>
    <t xml:space="preserve">Electricity</t>
  </si>
  <si>
    <t xml:space="preserve">kwh</t>
  </si>
  <si>
    <t xml:space="preserve">Gas </t>
  </si>
  <si>
    <t xml:space="preserve">Total cost</t>
  </si>
  <si>
    <t xml:space="preserve">Date: November 19 to December , 2023</t>
  </si>
  <si>
    <t xml:space="preserve">%Occupancy:</t>
  </si>
  <si>
    <t xml:space="preserve">Rooms:</t>
  </si>
  <si>
    <t xml:space="preserve">Previous Reading </t>
  </si>
  <si>
    <t xml:space="preserve">Current Month Reading</t>
  </si>
  <si>
    <t xml:space="preserve">ACTUAL TOTAL CONSUMPTION</t>
  </si>
  <si>
    <t xml:space="preserve">vs. MONTHLY TARGET</t>
  </si>
  <si>
    <t xml:space="preserve">ACTUAL EMPOWER BILL</t>
  </si>
  <si>
    <t xml:space="preserve">November 19</t>
  </si>
  <si>
    <t xml:space="preserve">December 16</t>
  </si>
  <si>
    <t xml:space="preserve">RTH (MWH X 284.35)</t>
  </si>
  <si>
    <t xml:space="preserve">Cost (Consumption Charges: 0.568 aed)</t>
  </si>
  <si>
    <t xml:space="preserve">Cost (Fuel Charges: 0.075 aed)</t>
  </si>
  <si>
    <t xml:space="preserve">Total Cost</t>
  </si>
  <si>
    <t xml:space="preserve">plus contracted load (aed 3,082.2per mo.)</t>
  </si>
  <si>
    <t xml:space="preserve">difference:</t>
  </si>
  <si>
    <t xml:space="preserve">empower bill is lower</t>
  </si>
  <si>
    <t xml:space="preserve">Imperial Gallon (M: m3 x 219.969)</t>
  </si>
  <si>
    <t xml:space="preserve">Cost (first 10,000: .0350 aed)</t>
  </si>
  <si>
    <t xml:space="preserve">Cost (second 10,000: .040 aed)</t>
  </si>
  <si>
    <t xml:space="preserve">Cost (above 20,000: .046 aed)</t>
  </si>
  <si>
    <t xml:space="preserve">Cost (Fuel Charges: 0.005 aed)</t>
  </si>
  <si>
    <t xml:space="preserve">Cost (Sewerage Fee: 0.010 aed)</t>
  </si>
  <si>
    <t xml:space="preserve">TOTAL ELECTRICAL CONS. (kWh)</t>
  </si>
  <si>
    <t xml:space="preserve">Cost (first 2,000: 0.23 aed)</t>
  </si>
  <si>
    <t xml:space="preserve">Cost (second 2,000: 0.28 aed)</t>
  </si>
  <si>
    <t xml:space="preserve">Cost (third 2,000: 0.32 aed)</t>
  </si>
  <si>
    <t xml:space="preserve">Cost (above 6,000: 0.38 aed)</t>
  </si>
  <si>
    <t xml:space="preserve">Cost (Fuel Charges: 0.065 aed)</t>
  </si>
  <si>
    <t xml:space="preserve">m³</t>
  </si>
  <si>
    <r>
      <rPr>
        <sz val="10"/>
        <rFont val="Arial Rounded MT Bold"/>
        <family val="2"/>
        <charset val="1"/>
      </rPr>
      <t xml:space="preserve">Liters (m</t>
    </r>
    <r>
      <rPr>
        <sz val="10"/>
        <rFont val="Calibri"/>
        <family val="2"/>
        <charset val="1"/>
      </rPr>
      <t xml:space="preserve">³</t>
    </r>
    <r>
      <rPr>
        <sz val="10"/>
        <rFont val="Arial Rounded MT Bold"/>
        <family val="2"/>
        <charset val="1"/>
      </rPr>
      <t xml:space="preserve"> X 3.70)</t>
    </r>
  </si>
  <si>
    <t xml:space="preserve">Cost (Consumption Charges: 2.50 aed)</t>
  </si>
  <si>
    <t xml:space="preserve">AED (w/o VAT)</t>
  </si>
  <si>
    <t xml:space="preserve">Imperial Gallon</t>
  </si>
  <si>
    <t xml:space="preserve">kWh</t>
  </si>
  <si>
    <t xml:space="preserve">Total Cost:</t>
  </si>
  <si>
    <t xml:space="preserve">Date: December 1 - 31, 2023</t>
  </si>
  <si>
    <t xml:space="preserve">Total Occ. Rooms: </t>
  </si>
  <si>
    <t xml:space="preserve">TOTAL CONSUMPTION</t>
  </si>
  <si>
    <t xml:space="preserve">Nov. 30</t>
  </si>
  <si>
    <t xml:space="preserve">Dec. 31</t>
  </si>
  <si>
    <t xml:space="preserve">plus contracted load (aed 3,082.2 per mo.)</t>
  </si>
  <si>
    <t xml:space="preserve">Imperial Gallon (M: m3 X 219.969)</t>
  </si>
  <si>
    <t xml:space="preserve">Meter 1 - 06065253 -- 3004260732</t>
  </si>
  <si>
    <t xml:space="preserve">Meter 2 - 06065255 -- 3004260743</t>
  </si>
  <si>
    <t xml:space="preserve">Meter 3 - 06065259 -- 3004260754</t>
  </si>
  <si>
    <t xml:space="preserve">Meter 4 - 06065262 -- 3004260765</t>
  </si>
  <si>
    <t xml:space="preserve">Meter 6 - 06065269 -- 3004260776</t>
  </si>
  <si>
    <t xml:space="preserve">Meter 7 - 06065283 -- 3004260787</t>
  </si>
  <si>
    <t xml:space="preserve">DECEMBER 2023</t>
  </si>
  <si>
    <t xml:space="preserve">% OCCUPANCY</t>
  </si>
  <si>
    <t xml:space="preserve">METER 1: 6065253</t>
  </si>
  <si>
    <t xml:space="preserve">METER 2: 6065255</t>
  </si>
  <si>
    <t xml:space="preserve">METER 3: 6065259</t>
  </si>
  <si>
    <t xml:space="preserve">METER 4: 6065262</t>
  </si>
  <si>
    <t xml:space="preserve">METER 6: 6065269</t>
  </si>
  <si>
    <t xml:space="preserve">METER 7: 6065283</t>
  </si>
  <si>
    <t xml:space="preserve">total electricty:</t>
  </si>
  <si>
    <t xml:space="preserve">METER: 18E0300032</t>
  </si>
  <si>
    <t xml:space="preserve">EMPOWER</t>
  </si>
  <si>
    <t xml:space="preserve">RTH</t>
  </si>
  <si>
    <t xml:space="preserve">BTU METER: P103FF043BC</t>
  </si>
  <si>
    <t xml:space="preserve">LPG</t>
  </si>
  <si>
    <t xml:space="preserve">LITRES</t>
  </si>
  <si>
    <t xml:space="preserve">METER: 77192321/2019</t>
  </si>
  <si>
    <t xml:space="preserve">ELECTRICITY (kWh)</t>
  </si>
  <si>
    <t xml:space="preserve">WATER (IG)</t>
  </si>
  <si>
    <t xml:space="preserve">EMPOWER / COOLING (RTH)</t>
  </si>
  <si>
    <t xml:space="preserve">LPG (LITRES)</t>
  </si>
  <si>
    <t xml:space="preserve">LAST MONTH'S TOTAL:</t>
  </si>
  <si>
    <t xml:space="preserve">%OCCUPANCY:</t>
  </si>
  <si>
    <t xml:space="preserve">76.94%</t>
  </si>
  <si>
    <t xml:space="preserve">WATER (IG):</t>
  </si>
  <si>
    <t xml:space="preserve">ELECTRICITY (kWh):</t>
  </si>
  <si>
    <t xml:space="preserve">COOLING (RTH):</t>
  </si>
  <si>
    <t xml:space="preserve">LPG (LITRES:)</t>
  </si>
  <si>
    <t xml:space="preserve">JANUARY</t>
  </si>
  <si>
    <t xml:space="preserve">JUNE</t>
  </si>
  <si>
    <t xml:space="preserve">FEBRUARY</t>
  </si>
  <si>
    <t xml:space="preserve">JULY</t>
  </si>
  <si>
    <t xml:space="preserve">MARCH</t>
  </si>
  <si>
    <t xml:space="preserve">AUGUST</t>
  </si>
  <si>
    <t xml:space="preserve">APRIL</t>
  </si>
  <si>
    <t xml:space="preserve">SEPTEMBER</t>
  </si>
  <si>
    <t xml:space="preserve">MAY</t>
  </si>
  <si>
    <t xml:space="preserve">OCTOBER</t>
  </si>
  <si>
    <t xml:space="preserve">NOVEMBER </t>
  </si>
  <si>
    <t xml:space="preserve">DECEMBER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</si>
</sst>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0.000"/>
    <numFmt numFmtId="166" formatCode="0"/>
    <numFmt numFmtId="167" formatCode="0.00"/>
    <numFmt numFmtId="168" formatCode="0.000E+00"/>
    <numFmt numFmtId="169" formatCode="0.00E+00"/>
    <numFmt numFmtId="170" formatCode="0.0"/>
    <numFmt numFmtId="171" formatCode="#,##0.0"/>
    <numFmt numFmtId="172" formatCode="@"/>
    <numFmt numFmtId="173" formatCode="_(* #,##0.00_);_(* \(#,##0.00\);_(* \-??_);_(@_)"/>
    <numFmt numFmtId="174" formatCode="#,##0.00"/>
    <numFmt numFmtId="175" formatCode="[$AED]\ #,##0.00_);\([$AED]\ #,##0.00\)"/>
    <numFmt numFmtId="176" formatCode="_(* #,##0.000_);_(* \(#,##0.000\);_(* \-???_);_(@_)"/>
    <numFmt numFmtId="177" formatCode="#,##0.00;\-#,##0.00"/>
    <numFmt numFmtId="178" formatCode="_-* #,##0.00_-;\-* #,##0.00_-;_-* \-??_-;_-@_-"/>
    <numFmt numFmtId="179" formatCode="0.00%"/>
    <numFmt numFmtId="180" formatCode="#,##0"/>
    <numFmt numFmtId="181" formatCode="#,##0.000"/>
    <numFmt numFmtId="182" formatCode="&quot;AED&quot;#,##0.00"/>
  </numFmts>
  <fonts count="4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1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9"/>
      <name val="Arial"/>
      <family val="2"/>
      <charset val="1"/>
    </font>
    <font>
      <i val="true"/>
      <sz val="11"/>
      <name val="Arial"/>
      <family val="2"/>
      <charset val="1"/>
    </font>
    <font>
      <b val="true"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2"/>
      <color rgb="FFFF0000"/>
      <name val="Arial"/>
      <family val="2"/>
      <charset val="1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 val="true"/>
      <sz val="20"/>
      <color rgb="FF000000"/>
      <name val="Trade Gothic LT Std Cn"/>
      <family val="3"/>
      <charset val="1"/>
    </font>
    <font>
      <b val="true"/>
      <u val="single"/>
      <sz val="20"/>
      <color rgb="FF0563C1"/>
      <name val="Trade Gothic LT Std Cn"/>
      <family val="3"/>
      <charset val="1"/>
    </font>
    <font>
      <b val="true"/>
      <u val="single"/>
      <sz val="20"/>
      <color rgb="FF000000"/>
      <name val="Trade Gothic LT Std Cn"/>
      <family val="3"/>
      <charset val="1"/>
    </font>
    <font>
      <b val="true"/>
      <u val="single"/>
      <sz val="12"/>
      <color rgb="FF000000"/>
      <name val="Trade Gothic LT Std Cn"/>
      <family val="3"/>
      <charset val="1"/>
    </font>
    <font>
      <b val="true"/>
      <sz val="40"/>
      <color rgb="FF000000"/>
      <name val="Trade Gothic LT Std Cn"/>
      <family val="3"/>
      <charset val="1"/>
    </font>
    <font>
      <b val="true"/>
      <sz val="46"/>
      <color rgb="FF000000"/>
      <name val="Trade Gothic LT Std Cn"/>
      <family val="3"/>
      <charset val="1"/>
    </font>
    <font>
      <b val="true"/>
      <u val="single"/>
      <sz val="30"/>
      <color rgb="FF000000"/>
      <name val="Trade Gothic LT Std Cn"/>
      <family val="3"/>
      <charset val="1"/>
    </font>
    <font>
      <b val="true"/>
      <u val="single"/>
      <sz val="28"/>
      <color rgb="FF000000"/>
      <name val="Trade Gothic LT Std Cn"/>
      <family val="3"/>
      <charset val="1"/>
    </font>
    <font>
      <b val="true"/>
      <sz val="44"/>
      <color rgb="FF000000"/>
      <name val="Trade Gothic LT Std Cn"/>
      <family val="3"/>
      <charset val="1"/>
    </font>
    <font>
      <b val="true"/>
      <sz val="28"/>
      <color rgb="FF000000"/>
      <name val="Trade Gothic LT Std Cn"/>
      <family val="3"/>
      <charset val="1"/>
    </font>
    <font>
      <b val="true"/>
      <u val="single"/>
      <sz val="35"/>
      <color rgb="FF000000"/>
      <name val="Trade Gothic LT Std Cn"/>
      <family val="3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4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7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8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8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8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9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0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2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8" borderId="8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16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5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5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6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0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4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23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3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8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4" fillId="8" borderId="1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8" fillId="8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8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1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11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8" borderId="14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8" borderId="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8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9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1" fontId="14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9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9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1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1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3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0" borderId="2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11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3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0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0" fillId="0" borderId="18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3" fontId="20" fillId="0" borderId="8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4" fillId="8" borderId="8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3" fontId="23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3" fillId="0" borderId="18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23" fillId="9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9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3" fillId="1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3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4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3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3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8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4" fillId="8" borderId="15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4" fillId="8" borderId="1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8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8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8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8" fillId="8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8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8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9" fillId="9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9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9" fillId="1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1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4" fillId="11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0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0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3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3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9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3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1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3" fillId="1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3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4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5" fillId="9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5" fillId="1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5" fillId="10" borderId="2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4" fillId="10" borderId="2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3" borderId="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0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3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3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39" fillId="1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39" fillId="1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39" fillId="1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3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0" fillId="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2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42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38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42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3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8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9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0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 descr=""/>
        <xdr:cNvPicPr/>
      </xdr:nvPicPr>
      <xdr:blipFill>
        <a:blip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M32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A28" activeCellId="0" sqref="A28:K32"/>
    </sheetView>
  </sheetViews>
  <sheetFormatPr defaultColWidth="11.5234375" defaultRowHeight="14.25" zeroHeight="false" outlineLevelRow="0" outlineLevelCol="0"/>
  <cols>
    <col collapsed="false" customWidth="true" hidden="false" outlineLevel="0" max="1" min="1" style="1" width="23"/>
    <col collapsed="false" customWidth="false" hidden="false" outlineLevel="0" max="2" min="2" style="1" width="11.52"/>
    <col collapsed="false" customWidth="false" hidden="false" outlineLevel="0" max="3" min="3" style="2" width="11.52"/>
    <col collapsed="false" customWidth="true" hidden="false" outlineLevel="0" max="4" min="4" style="1" width="13.47"/>
    <col collapsed="false" customWidth="true" hidden="false" outlineLevel="0" max="5" min="5" style="1" width="12.52"/>
    <col collapsed="false" customWidth="true" hidden="false" outlineLevel="0" max="6" min="6" style="3" width="12.52"/>
    <col collapsed="false" customWidth="false" hidden="false" outlineLevel="0" max="7" min="7" style="1" width="11.52"/>
    <col collapsed="false" customWidth="false" hidden="false" outlineLevel="0" max="8" min="8" style="3" width="11.52"/>
    <col collapsed="false" customWidth="false" hidden="false" outlineLevel="0" max="9" min="9" style="1" width="11.52"/>
    <col collapsed="false" customWidth="false" hidden="false" outlineLevel="0" max="10" min="10" style="4" width="11.52"/>
    <col collapsed="false" customWidth="false" hidden="false" outlineLevel="0" max="11" min="11" style="5" width="11.52"/>
    <col collapsed="false" customWidth="false" hidden="false" outlineLevel="0" max="16384" min="12" style="1" width="11.52"/>
  </cols>
  <sheetData>
    <row r="1" s="6" customFormat="true" ht="42.75" hidden="false" customHeight="false" outlineLevel="0" collapsed="false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9" t="s">
        <v>5</v>
      </c>
      <c r="G1" s="8" t="s">
        <v>6</v>
      </c>
      <c r="H1" s="9" t="s">
        <v>7</v>
      </c>
      <c r="I1" s="8" t="s">
        <v>8</v>
      </c>
      <c r="J1" s="10" t="s">
        <v>9</v>
      </c>
      <c r="K1" s="11" t="s">
        <v>10</v>
      </c>
      <c r="L1" s="8" t="s">
        <v>11</v>
      </c>
    </row>
    <row r="2" customFormat="false" ht="14.25" hidden="false" customHeight="false" outlineLevel="0" collapsed="false">
      <c r="A2" s="1" t="s">
        <v>12</v>
      </c>
      <c r="B2" s="1" t="n">
        <v>1</v>
      </c>
      <c r="C2" s="2" t="n">
        <v>1</v>
      </c>
      <c r="D2" s="1" t="n">
        <v>2024</v>
      </c>
      <c r="E2" s="5" t="n">
        <f aca="false">Submetering!E2+Submetering!F2+Submetering!G2+Submetering!H2+Submetering!I2+Submetering!J2</f>
        <v>16896.0000000001</v>
      </c>
      <c r="F2" s="4" t="n">
        <f aca="false">IF(E2=0,"0",(2000*0.23+2000*0.28+2000*0.32+(E2-6000)*0.38+0.065*E2)/E2)</f>
        <v>0.408304924242425</v>
      </c>
      <c r="G2" s="5" t="n">
        <f aca="false">Submetering!M2</f>
        <v>550.560000000011</v>
      </c>
      <c r="H2" s="12" t="n">
        <v>2.5</v>
      </c>
      <c r="I2" s="5" t="n">
        <f aca="false">Submetering!L2</f>
        <v>48613.149</v>
      </c>
      <c r="J2" s="4" t="n">
        <f aca="false">IF(I2=0,"0",(10000*0.035+10000*0.04+(I2-20000)*0.046+0.005*I2+0.01*I2)/I2)</f>
        <v>0.0575030037449333</v>
      </c>
      <c r="K2" s="5" t="n">
        <f aca="false">INT('Daily Meter'!O6*434/100)</f>
        <v>264</v>
      </c>
      <c r="L2" s="1" t="s">
        <v>13</v>
      </c>
      <c r="M2" s="6"/>
    </row>
    <row r="3" customFormat="false" ht="14.25" hidden="false" customHeight="false" outlineLevel="0" collapsed="false">
      <c r="A3" s="1" t="s">
        <v>12</v>
      </c>
      <c r="B3" s="1" t="n">
        <f aca="false">B2+1</f>
        <v>2</v>
      </c>
      <c r="C3" s="2" t="n">
        <v>1</v>
      </c>
      <c r="D3" s="1" t="n">
        <v>2024</v>
      </c>
      <c r="E3" s="5" t="n">
        <f aca="false">Submetering!E3+Submetering!F3+Submetering!G3+Submetering!H3+Submetering!I3+Submetering!J3</f>
        <v>16223.9999999997</v>
      </c>
      <c r="F3" s="4" t="n">
        <f aca="false">IF(E3=0,"0",(2000*0.23+2000*0.28+2000*0.32+(E3-6000)*0.38+0.065*E3)/E3)</f>
        <v>0.406785009861932</v>
      </c>
      <c r="G3" s="5" t="n">
        <f aca="false">Submetering!M3</f>
        <v>480.260000000011</v>
      </c>
      <c r="H3" s="12" t="n">
        <v>2.5</v>
      </c>
      <c r="I3" s="5" t="n">
        <f aca="false">Submetering!L3</f>
        <v>43113.924</v>
      </c>
      <c r="J3" s="4" t="n">
        <f aca="false">IF(I3=0,"0",(10000*0.035+10000*0.04+(I3-20000)*0.046+0.005*I3+0.01*I3)/I3)</f>
        <v>0.057056958304236</v>
      </c>
      <c r="K3" s="5" t="n">
        <f aca="false">INT('Daily Meter'!O7*434/100)</f>
        <v>239</v>
      </c>
      <c r="L3" s="1" t="s">
        <v>13</v>
      </c>
      <c r="M3" s="6"/>
    </row>
    <row r="4" customFormat="false" ht="14.25" hidden="false" customHeight="false" outlineLevel="0" collapsed="false">
      <c r="A4" s="1" t="s">
        <v>12</v>
      </c>
      <c r="B4" s="1" t="n">
        <f aca="false">B3+1</f>
        <v>3</v>
      </c>
      <c r="C4" s="2" t="n">
        <v>1</v>
      </c>
      <c r="D4" s="1" t="n">
        <v>2024</v>
      </c>
      <c r="E4" s="5" t="n">
        <f aca="false">Submetering!E4+Submetering!F4+Submetering!G4+Submetering!H4+Submetering!I4+Submetering!J4</f>
        <v>15935.9999999999</v>
      </c>
      <c r="F4" s="4" t="n">
        <f aca="false">IF(E4=0,"0",(2000*0.23+2000*0.28+2000*0.32+(E4-6000)*0.38+0.065*E4)/E4)</f>
        <v>0.40609437751004</v>
      </c>
      <c r="G4" s="5" t="n">
        <f aca="false">Submetering!M4</f>
        <v>443.260000000011</v>
      </c>
      <c r="H4" s="12" t="n">
        <v>2.5</v>
      </c>
      <c r="I4" s="5" t="n">
        <f aca="false">Submetering!L4</f>
        <v>36514.854</v>
      </c>
      <c r="J4" s="4" t="n">
        <f aca="false">IF(I4=0,"0",(10000*0.035+10000*0.04+(I4-20000)*0.046+0.005*I4+0.01*I4)/I4)</f>
        <v>0.0563443604074112</v>
      </c>
      <c r="K4" s="5" t="n">
        <f aca="false">INT('Daily Meter'!O8*434/100)</f>
        <v>232</v>
      </c>
      <c r="L4" s="1" t="s">
        <v>13</v>
      </c>
      <c r="M4" s="6"/>
    </row>
    <row r="5" customFormat="false" ht="14.25" hidden="false" customHeight="false" outlineLevel="0" collapsed="false">
      <c r="A5" s="1" t="s">
        <v>12</v>
      </c>
      <c r="B5" s="1" t="n">
        <f aca="false">B4+1</f>
        <v>4</v>
      </c>
      <c r="C5" s="2" t="n">
        <v>1</v>
      </c>
      <c r="D5" s="1" t="n">
        <v>2024</v>
      </c>
      <c r="E5" s="5" t="n">
        <f aca="false">Submetering!E5+Submetering!F5+Submetering!G5+Submetering!H5+Submetering!I5+Submetering!J5</f>
        <v>15408.0000000006</v>
      </c>
      <c r="F5" s="4" t="n">
        <f aca="false">IF(E5=0,"0",(2000*0.23+2000*0.28+2000*0.32+(E5-6000)*0.38+0.065*E5)/E5)</f>
        <v>0.404761163032193</v>
      </c>
      <c r="G5" s="5" t="n">
        <f aca="false">Submetering!M5</f>
        <v>454.729999999979</v>
      </c>
      <c r="H5" s="12" t="n">
        <v>2.5</v>
      </c>
      <c r="I5" s="5" t="n">
        <f aca="false">Submetering!L5</f>
        <v>37614.699</v>
      </c>
      <c r="J5" s="4" t="n">
        <f aca="false">IF(I5=0,"0",(10000*0.035+10000*0.04+(I5-20000)*0.046+0.005*I5+0.01*I5)/I5)</f>
        <v>0.05648049022006</v>
      </c>
      <c r="K5" s="5" t="n">
        <f aca="false">INT('Daily Meter'!O9*434/100)</f>
        <v>233</v>
      </c>
      <c r="L5" s="1" t="s">
        <v>13</v>
      </c>
      <c r="M5" s="6"/>
    </row>
    <row r="6" customFormat="false" ht="14.25" hidden="false" customHeight="false" outlineLevel="0" collapsed="false">
      <c r="A6" s="1" t="s">
        <v>12</v>
      </c>
      <c r="B6" s="1" t="n">
        <f aca="false">B5+1</f>
        <v>5</v>
      </c>
      <c r="C6" s="2" t="n">
        <v>1</v>
      </c>
      <c r="D6" s="1" t="n">
        <v>2024</v>
      </c>
      <c r="E6" s="5" t="n">
        <f aca="false">Submetering!E6+Submetering!F6+Submetering!G6+Submetering!H6+Submetering!I6+Submetering!J6</f>
        <v>15552.0000000003</v>
      </c>
      <c r="F6" s="4" t="n">
        <f aca="false">IF(E6=0,"0",(2000*0.23+2000*0.28+2000*0.32+(E6-6000)*0.38+0.065*E6)/E6)</f>
        <v>0.405133744855968</v>
      </c>
      <c r="G6" s="5" t="n">
        <f aca="false">Submetering!M6</f>
        <v>452.139999999989</v>
      </c>
      <c r="H6" s="12" t="n">
        <v>2.5</v>
      </c>
      <c r="I6" s="5" t="n">
        <f aca="false">Submetering!L6</f>
        <v>26176.311</v>
      </c>
      <c r="J6" s="4" t="n">
        <f aca="false">IF(I6=0,"0",(10000*0.035+10000*0.04+(I6-20000)*0.046+0.005*I6+0.01*I6)/I6)</f>
        <v>0.0545055783834475</v>
      </c>
      <c r="K6" s="5" t="n">
        <f aca="false">INT('Daily Meter'!O10*434/100)</f>
        <v>227</v>
      </c>
      <c r="L6" s="1" t="s">
        <v>13</v>
      </c>
      <c r="M6" s="6"/>
    </row>
    <row r="7" customFormat="false" ht="14.25" hidden="false" customHeight="false" outlineLevel="0" collapsed="false">
      <c r="A7" s="1" t="s">
        <v>12</v>
      </c>
      <c r="B7" s="1" t="n">
        <f aca="false">B6+1</f>
        <v>6</v>
      </c>
      <c r="C7" s="2" t="n">
        <v>1</v>
      </c>
      <c r="D7" s="1" t="n">
        <v>2024</v>
      </c>
      <c r="E7" s="5" t="n">
        <f aca="false">Submetering!E7+Submetering!F7+Submetering!G7+Submetering!H7+Submetering!I7+Submetering!J7</f>
        <v>15791.9999999998</v>
      </c>
      <c r="F7" s="4" t="n">
        <f aca="false">IF(E7=0,"0",(2000*0.23+2000*0.28+2000*0.32+(E7-6000)*0.38+0.065*E7)/E7)</f>
        <v>0.405739614994934</v>
      </c>
      <c r="G7" s="5" t="n">
        <f aca="false">Submetering!M7</f>
        <v>452.140000000043</v>
      </c>
      <c r="H7" s="12" t="n">
        <v>2.5</v>
      </c>
      <c r="I7" s="5" t="n">
        <f aca="false">Submetering!L7</f>
        <v>48393.18</v>
      </c>
      <c r="J7" s="4" t="n">
        <f aca="false">IF(I7=0,"0",(10000*0.035+10000*0.04+(I7-20000)*0.046+0.005*I7+0.01*I7)/I7)</f>
        <v>0.0574871083074103</v>
      </c>
      <c r="K7" s="5" t="n">
        <f aca="false">INT('Daily Meter'!O11*434/100)</f>
        <v>214</v>
      </c>
      <c r="L7" s="1" t="s">
        <v>13</v>
      </c>
    </row>
    <row r="8" customFormat="false" ht="14.25" hidden="false" customHeight="false" outlineLevel="0" collapsed="false">
      <c r="A8" s="1" t="s">
        <v>12</v>
      </c>
      <c r="B8" s="1" t="n">
        <f aca="false">B7+1</f>
        <v>7</v>
      </c>
      <c r="C8" s="2" t="n">
        <v>1</v>
      </c>
      <c r="D8" s="1" t="n">
        <v>2024</v>
      </c>
      <c r="E8" s="5" t="n">
        <f aca="false">Submetering!E8+Submetering!F8+Submetering!G8+Submetering!H8+Submetering!I8+Submetering!J8</f>
        <v>16463.9999999994</v>
      </c>
      <c r="F8" s="4" t="n">
        <f aca="false">IF(E8=0,"0",(2000*0.23+2000*0.28+2000*0.32+(E8-6000)*0.38+0.065*E8)/E8)</f>
        <v>0.407342079689017</v>
      </c>
      <c r="G8" s="5" t="n">
        <f aca="false">Submetering!M8</f>
        <v>441.779999999979</v>
      </c>
      <c r="H8" s="12" t="n">
        <v>2.5</v>
      </c>
      <c r="I8" s="5" t="n">
        <f aca="false">Submetering!L8</f>
        <v>51912.684</v>
      </c>
      <c r="J8" s="4" t="n">
        <f aca="false">IF(I8=0,"0",(10000*0.035+10000*0.04+(I8-20000)*0.046+0.005*I8+0.01*I8)/I8)</f>
        <v>0.0577252704560604</v>
      </c>
      <c r="K8" s="5" t="n">
        <f aca="false">INT('Daily Meter'!O12*434/100)</f>
        <v>171</v>
      </c>
      <c r="L8" s="1" t="s">
        <v>13</v>
      </c>
    </row>
    <row r="9" customFormat="false" ht="14.25" hidden="false" customHeight="false" outlineLevel="0" collapsed="false">
      <c r="A9" s="1" t="s">
        <v>12</v>
      </c>
      <c r="B9" s="1" t="n">
        <f aca="false">B8+1</f>
        <v>8</v>
      </c>
      <c r="C9" s="2" t="n">
        <v>1</v>
      </c>
      <c r="D9" s="1" t="n">
        <v>2024</v>
      </c>
      <c r="E9" s="5" t="n">
        <f aca="false">Submetering!E9+Submetering!F9+Submetering!G9+Submetering!H9+Submetering!I9+Submetering!J9</f>
        <v>15744.0000000005</v>
      </c>
      <c r="F9" s="4" t="n">
        <f aca="false">IF(E9=0,"0",(2000*0.23+2000*0.28+2000*0.32+(E9-6000)*0.38+0.065*E9)/E9)</f>
        <v>0.405619918699188</v>
      </c>
      <c r="G9" s="5" t="n">
        <f aca="false">Submetering!M9</f>
        <v>419.210000000011</v>
      </c>
      <c r="H9" s="12" t="n">
        <v>2.5</v>
      </c>
      <c r="I9" s="5" t="n">
        <f aca="false">Submetering!L9</f>
        <v>35634.978</v>
      </c>
      <c r="J9" s="4" t="n">
        <f aca="false">IF(I9=0,"0",(10000*0.035+10000*0.04+(I9-20000)*0.046+0.005*I9+0.01*I9)/I9)</f>
        <v>0.0562294063433967</v>
      </c>
      <c r="K9" s="5" t="n">
        <f aca="false">INT('Daily Meter'!O13*434/100)</f>
        <v>308</v>
      </c>
      <c r="L9" s="1" t="s">
        <v>13</v>
      </c>
    </row>
    <row r="10" customFormat="false" ht="14.25" hidden="false" customHeight="false" outlineLevel="0" collapsed="false">
      <c r="A10" s="1" t="s">
        <v>12</v>
      </c>
      <c r="B10" s="1" t="n">
        <f aca="false">B9+1</f>
        <v>9</v>
      </c>
      <c r="C10" s="2" t="n">
        <v>1</v>
      </c>
      <c r="D10" s="1" t="n">
        <v>2024</v>
      </c>
      <c r="E10" s="5" t="n">
        <f aca="false">Submetering!E10+Submetering!F10+Submetering!G10+Submetering!H10+Submetering!I10+Submetering!J10</f>
        <v>15983.9999999992</v>
      </c>
      <c r="F10" s="4" t="n">
        <f aca="false">IF(E10=0,"0",(2000*0.23+2000*0.28+2000*0.32+(E10-6000)*0.38+0.065*E10)/E10)</f>
        <v>0.406211211211209</v>
      </c>
      <c r="G10" s="5" t="n">
        <f aca="false">Submetering!M10</f>
        <v>444.739999999989</v>
      </c>
      <c r="H10" s="12" t="n">
        <v>2.5</v>
      </c>
      <c r="I10" s="5" t="n">
        <f aca="false">Submetering!L10</f>
        <v>28815.939</v>
      </c>
      <c r="J10" s="4" t="n">
        <f aca="false">IF(I10=0,"0",(10000*0.035+10000*0.04+(I10-20000)*0.046+0.005*I10+0.01*I10)/I10)</f>
        <v>0.0551004872338188</v>
      </c>
      <c r="K10" s="5" t="n">
        <f aca="false">INT('Daily Meter'!O14*434/100)</f>
        <v>343</v>
      </c>
      <c r="L10" s="1" t="s">
        <v>13</v>
      </c>
    </row>
    <row r="11" customFormat="false" ht="14.25" hidden="false" customHeight="false" outlineLevel="0" collapsed="false">
      <c r="A11" s="1" t="s">
        <v>12</v>
      </c>
      <c r="B11" s="1" t="n">
        <f aca="false">B10+1</f>
        <v>10</v>
      </c>
      <c r="C11" s="2" t="n">
        <v>1</v>
      </c>
      <c r="D11" s="1" t="n">
        <v>2024</v>
      </c>
      <c r="E11" s="5" t="n">
        <f aca="false">Submetering!E11+Submetering!F11+Submetering!G11+Submetering!H11+Submetering!I11+Submetering!J11</f>
        <v>16176.000000001</v>
      </c>
      <c r="F11" s="4" t="n">
        <f aca="false">IF(E11=0,"0",(2000*0.23+2000*0.28+2000*0.32+(E11-6000)*0.38+0.065*E11)/E11)</f>
        <v>0.406671612265086</v>
      </c>
      <c r="G11" s="5" t="n">
        <f aca="false">Submetering!M11</f>
        <v>473.6</v>
      </c>
      <c r="H11" s="12" t="n">
        <v>2.5</v>
      </c>
      <c r="I11" s="5" t="n">
        <f aca="false">Submetering!L11</f>
        <v>49053.087</v>
      </c>
      <c r="J11" s="4" t="n">
        <f aca="false">IF(I11=0,"0",(10000*0.035+10000*0.04+(I11-20000)*0.046+0.005*I11+0.01*I11)/I11)</f>
        <v>0.057534366940046</v>
      </c>
      <c r="K11" s="5" t="n">
        <f aca="false">INT('Daily Meter'!O15*434/100)</f>
        <v>376</v>
      </c>
      <c r="L11" s="1" t="s">
        <v>13</v>
      </c>
    </row>
    <row r="12" customFormat="false" ht="14.25" hidden="false" customHeight="false" outlineLevel="0" collapsed="false">
      <c r="A12" s="1" t="s">
        <v>12</v>
      </c>
      <c r="B12" s="1" t="n">
        <f aca="false">B11+1</f>
        <v>11</v>
      </c>
      <c r="C12" s="2" t="n">
        <v>1</v>
      </c>
      <c r="D12" s="1" t="n">
        <v>2024</v>
      </c>
      <c r="E12" s="5" t="n">
        <f aca="false">Submetering!E12+Submetering!F12+Submetering!G12+Submetering!H12+Submetering!I12+Submetering!J12</f>
        <v>16175.999999999</v>
      </c>
      <c r="F12" s="4" t="n">
        <f aca="false">IF(E12=0,"0",(2000*0.23+2000*0.28+2000*0.32+(E12-6000)*0.38+0.065*E12)/E12)</f>
        <v>0.406671612265082</v>
      </c>
      <c r="G12" s="5" t="n">
        <f aca="false">Submetering!M12</f>
        <v>397.75</v>
      </c>
      <c r="H12" s="12" t="n">
        <v>2.5</v>
      </c>
      <c r="I12" s="5" t="n">
        <f aca="false">Submetering!L12</f>
        <v>18917.334</v>
      </c>
      <c r="J12" s="4" t="n">
        <f aca="false">IF(I12=0,"0",(10000*0.035+10000*0.04+(I12-20000)*0.046+0.005*I12+0.01*I12)/I12)</f>
        <v>0.0520135328794216</v>
      </c>
      <c r="K12" s="5" t="n">
        <f aca="false">INT('Daily Meter'!O16*434/100)</f>
        <v>303</v>
      </c>
      <c r="L12" s="1" t="s">
        <v>13</v>
      </c>
    </row>
    <row r="13" customFormat="false" ht="14.25" hidden="false" customHeight="false" outlineLevel="0" collapsed="false">
      <c r="A13" s="1" t="s">
        <v>12</v>
      </c>
      <c r="B13" s="1" t="n">
        <f aca="false">B12+1</f>
        <v>12</v>
      </c>
      <c r="C13" s="2" t="n">
        <v>1</v>
      </c>
      <c r="D13" s="1" t="n">
        <v>2024</v>
      </c>
      <c r="E13" s="5" t="n">
        <f aca="false">Submetering!E13+Submetering!F13+Submetering!G13+Submetering!H13+Submetering!I13+Submetering!J13</f>
        <v>16512.0000000005</v>
      </c>
      <c r="F13" s="4" t="n">
        <f aca="false">IF(E13=0,"0",(2000*0.23+2000*0.28+2000*0.32+(E13-6000)*0.38+0.065*E13)/E13)</f>
        <v>0.407451550387598</v>
      </c>
      <c r="G13" s="5" t="n">
        <f aca="false">Submetering!M13</f>
        <v>651.939999999989</v>
      </c>
      <c r="H13" s="12" t="n">
        <v>2.5</v>
      </c>
      <c r="I13" s="5" t="n">
        <f aca="false">Submetering!L13</f>
        <v>66870.576</v>
      </c>
      <c r="J13" s="4" t="n">
        <f aca="false">IF(I13=0,"0",(10000*0.035+10000*0.04+(I13-20000)*0.046+0.005*I13+0.01*I13)/I13)</f>
        <v>0.0584577757487837</v>
      </c>
      <c r="K13" s="5" t="n">
        <f aca="false">INT('Daily Meter'!O17*434/100)</f>
        <v>242</v>
      </c>
      <c r="L13" s="1" t="s">
        <v>13</v>
      </c>
    </row>
    <row r="14" customFormat="false" ht="14.25" hidden="false" customHeight="false" outlineLevel="0" collapsed="false">
      <c r="A14" s="1" t="s">
        <v>12</v>
      </c>
      <c r="B14" s="1" t="n">
        <f aca="false">B13+1</f>
        <v>13</v>
      </c>
      <c r="C14" s="2" t="n">
        <v>1</v>
      </c>
      <c r="D14" s="1" t="n">
        <v>2024</v>
      </c>
      <c r="E14" s="5" t="n">
        <f aca="false">Submetering!E14+Submetering!F14+Submetering!G14+Submetering!H14+Submetering!I14+Submetering!J14</f>
        <v>16655.9999999997</v>
      </c>
      <c r="F14" s="4" t="n">
        <f aca="false">IF(E14=0,"0",(2000*0.23+2000*0.28+2000*0.32+(E14-6000)*0.38+0.065*E14)/E14)</f>
        <v>0.407776176753121</v>
      </c>
      <c r="G14" s="5" t="n">
        <f aca="false">Submetering!M14</f>
        <v>589.780000000032</v>
      </c>
      <c r="H14" s="12" t="n">
        <v>2.5</v>
      </c>
      <c r="I14" s="5" t="n">
        <f aca="false">Submetering!L14</f>
        <v>55652.157</v>
      </c>
      <c r="J14" s="4" t="n">
        <f aca="false">IF(I14=0,"0",(10000*0.035+10000*0.04+(I14-20000)*0.046+0.005*I14+0.01*I14)/I14)</f>
        <v>0.0579453115716611</v>
      </c>
      <c r="K14" s="5" t="n">
        <f aca="false">INT('Daily Meter'!O18*434/100)</f>
        <v>192</v>
      </c>
      <c r="L14" s="1" t="s">
        <v>13</v>
      </c>
    </row>
    <row r="15" customFormat="false" ht="14.25" hidden="false" customHeight="false" outlineLevel="0" collapsed="false">
      <c r="A15" s="1" t="s">
        <v>12</v>
      </c>
      <c r="B15" s="1" t="n">
        <f aca="false">B14+1</f>
        <v>14</v>
      </c>
      <c r="C15" s="2" t="n">
        <v>1</v>
      </c>
      <c r="D15" s="1" t="n">
        <v>2024</v>
      </c>
      <c r="E15" s="5" t="n">
        <f aca="false">Submetering!E15+Submetering!F15+Submetering!G15+Submetering!H15+Submetering!I15+Submetering!J15</f>
        <v>15744.0000000007</v>
      </c>
      <c r="F15" s="4" t="n">
        <f aca="false">IF(E15=0,"0",(2000*0.23+2000*0.28+2000*0.32+(E15-6000)*0.38+0.065*E15)/E15)</f>
        <v>0.405619918699189</v>
      </c>
      <c r="G15" s="5" t="n">
        <f aca="false">Submetering!M15</f>
        <v>507.269999999968</v>
      </c>
      <c r="H15" s="12" t="n">
        <v>2.5</v>
      </c>
      <c r="I15" s="5" t="n">
        <f aca="false">Submetering!L15</f>
        <v>42234.048</v>
      </c>
      <c r="J15" s="4" t="n">
        <f aca="false">IF(I15=0,"0",(10000*0.035+10000*0.04+(I15-20000)*0.046+0.005*I15+0.01*I15)/I15)</f>
        <v>0.0569748116022409</v>
      </c>
      <c r="K15" s="5" t="n">
        <f aca="false">INT('Daily Meter'!O19*434/100)</f>
        <v>225</v>
      </c>
      <c r="L15" s="1" t="s">
        <v>13</v>
      </c>
    </row>
    <row r="16" customFormat="false" ht="14.25" hidden="false" customHeight="false" outlineLevel="0" collapsed="false">
      <c r="A16" s="1" t="s">
        <v>12</v>
      </c>
      <c r="B16" s="1" t="n">
        <f aca="false">B15+1</f>
        <v>15</v>
      </c>
      <c r="C16" s="2" t="n">
        <v>1</v>
      </c>
      <c r="D16" s="1" t="n">
        <v>2024</v>
      </c>
      <c r="E16" s="5" t="n">
        <f aca="false">Submetering!E16+Submetering!F16+Submetering!G16+Submetering!H16+Submetering!I16+Submetering!J16</f>
        <v>15143.999999999</v>
      </c>
      <c r="F16" s="4" t="n">
        <f aca="false">IF(E16=0,"0",(2000*0.23+2000*0.28+2000*0.32+(E16-6000)*0.38+0.065*E16)/E16)</f>
        <v>0.404059693608027</v>
      </c>
      <c r="G16" s="5" t="n">
        <f aca="false">Submetering!M16</f>
        <v>423.65</v>
      </c>
      <c r="H16" s="12" t="n">
        <v>2.5</v>
      </c>
      <c r="I16" s="5" t="n">
        <f aca="false">Submetering!L16</f>
        <v>38054.637</v>
      </c>
      <c r="J16" s="4" t="n">
        <f aca="false">IF(I16=0,"0",(10000*0.035+10000*0.04+(I16-20000)*0.046+0.005*I16+0.01*I16)/I16)</f>
        <v>0.0565327388880362</v>
      </c>
      <c r="K16" s="5" t="n">
        <f aca="false">INT('Daily Meter'!O20*434/100)</f>
        <v>359</v>
      </c>
      <c r="L16" s="1" t="s">
        <v>13</v>
      </c>
    </row>
    <row r="17" customFormat="false" ht="14.25" hidden="false" customHeight="false" outlineLevel="0" collapsed="false">
      <c r="A17" s="1" t="s">
        <v>12</v>
      </c>
      <c r="B17" s="1" t="n">
        <f aca="false">B16+1</f>
        <v>16</v>
      </c>
      <c r="C17" s="2" t="n">
        <v>1</v>
      </c>
      <c r="D17" s="1" t="n">
        <v>2024</v>
      </c>
      <c r="E17" s="5" t="n">
        <f aca="false">Submetering!E17+Submetering!F17+Submetering!G17+Submetering!H17+Submetering!I17+Submetering!J17</f>
        <v>14904.0000000003</v>
      </c>
      <c r="F17" s="4" t="n">
        <f aca="false">IF(E17=0,"0",(2000*0.23+2000*0.28+2000*0.32+(E17-6000)*0.38+0.065*E17)/E17)</f>
        <v>0.403400429414923</v>
      </c>
      <c r="G17" s="5" t="n">
        <f aca="false">Submetering!M17</f>
        <v>434.010000000011</v>
      </c>
      <c r="H17" s="12" t="n">
        <v>2.5</v>
      </c>
      <c r="I17" s="5" t="n">
        <f aca="false">Submetering!L17</f>
        <v>37834.668</v>
      </c>
      <c r="J17" s="4" t="n">
        <f aca="false">IF(I17=0,"0",(10000*0.035+10000*0.04+(I17-20000)*0.046+0.005*I17+0.01*I17)/I17)</f>
        <v>0.0565067664397108</v>
      </c>
      <c r="K17" s="5" t="n">
        <f aca="false">INT('Daily Meter'!O21*434/100)</f>
        <v>426</v>
      </c>
      <c r="L17" s="1" t="s">
        <v>13</v>
      </c>
    </row>
    <row r="18" customFormat="false" ht="14.25" hidden="false" customHeight="false" outlineLevel="0" collapsed="false">
      <c r="A18" s="1" t="s">
        <v>12</v>
      </c>
      <c r="B18" s="1" t="n">
        <f aca="false">B17+1</f>
        <v>17</v>
      </c>
      <c r="C18" s="2" t="n">
        <v>1</v>
      </c>
      <c r="D18" s="1" t="n">
        <v>2024</v>
      </c>
      <c r="E18" s="5" t="n">
        <f aca="false">Submetering!E18+Submetering!F18+Submetering!G18+Submetering!H18+Submetering!I18+Submetering!J18</f>
        <v>15072.0000000005</v>
      </c>
      <c r="F18" s="4" t="n">
        <f aca="false">IF(E18=0,"0",(2000*0.23+2000*0.28+2000*0.32+(E18-6000)*0.38+0.065*E18)/E18)</f>
        <v>0.403864118895967</v>
      </c>
      <c r="G18" s="5" t="n">
        <f aca="false">Submetering!M18</f>
        <v>548.339999999989</v>
      </c>
      <c r="H18" s="12" t="n">
        <v>2.5</v>
      </c>
      <c r="I18" s="5" t="n">
        <f aca="false">Submetering!L18</f>
        <v>43993.8</v>
      </c>
      <c r="J18" s="4" t="n">
        <f aca="false">IF(I18=0,"0",(10000*0.035+10000*0.04+(I18-20000)*0.046+0.005*I18+0.01*I18)/I18)</f>
        <v>0.0571358191381513</v>
      </c>
      <c r="K18" s="5" t="n">
        <f aca="false">INT('Daily Meter'!O22*434/100)</f>
        <v>430</v>
      </c>
      <c r="L18" s="1" t="s">
        <v>13</v>
      </c>
    </row>
    <row r="19" customFormat="false" ht="14.25" hidden="false" customHeight="false" outlineLevel="0" collapsed="false">
      <c r="A19" s="1" t="s">
        <v>12</v>
      </c>
      <c r="B19" s="1" t="n">
        <f aca="false">B18+1</f>
        <v>18</v>
      </c>
      <c r="C19" s="2" t="n">
        <v>1</v>
      </c>
      <c r="D19" s="1" t="n">
        <v>2024</v>
      </c>
      <c r="E19" s="5" t="n">
        <f aca="false">Submetering!E19+Submetering!F19+Submetering!G19+Submetering!H19+Submetering!I19+Submetering!J19</f>
        <v>15407.9999999993</v>
      </c>
      <c r="F19" s="4" t="n">
        <f aca="false">IF(E19=0,"0",(2000*0.23+2000*0.28+2000*0.32+(E19-6000)*0.38+0.065*E19)/E19)</f>
        <v>0.404761163032189</v>
      </c>
      <c r="G19" s="5" t="n">
        <f aca="false">Submetering!M19</f>
        <v>545.010000000011</v>
      </c>
      <c r="H19" s="12" t="n">
        <v>2.5</v>
      </c>
      <c r="I19" s="5" t="n">
        <f aca="false">Submetering!L19</f>
        <v>45313.614</v>
      </c>
      <c r="J19" s="4" t="n">
        <f aca="false">IF(I19=0,"0",(10000*0.035+10000*0.04+(I19-20000)*0.046+0.005*I19+0.01*I19)/I19)</f>
        <v>0.0572483680952925</v>
      </c>
      <c r="K19" s="5" t="n">
        <f aca="false">INT('Daily Meter'!O23*434/100)</f>
        <v>376</v>
      </c>
      <c r="L19" s="1" t="s">
        <v>13</v>
      </c>
    </row>
    <row r="20" customFormat="false" ht="14.25" hidden="false" customHeight="false" outlineLevel="0" collapsed="false">
      <c r="A20" s="1" t="s">
        <v>12</v>
      </c>
      <c r="B20" s="1" t="n">
        <f aca="false">B19+1</f>
        <v>19</v>
      </c>
      <c r="C20" s="2" t="n">
        <v>1</v>
      </c>
      <c r="D20" s="1" t="n">
        <v>2024</v>
      </c>
      <c r="E20" s="5" t="n">
        <f aca="false">Submetering!E20+Submetering!F20+Submetering!G20+Submetering!H20+Submetering!I20+Submetering!J20</f>
        <v>15744.0000000001</v>
      </c>
      <c r="F20" s="4" t="n">
        <f aca="false">IF(E20=0,"0",(2000*0.23+2000*0.28+2000*0.32+(E20-6000)*0.38+0.065*E20)/E20)</f>
        <v>0.405619918699187</v>
      </c>
      <c r="G20" s="5" t="n">
        <f aca="false">Submetering!M20</f>
        <v>535.020000000022</v>
      </c>
      <c r="H20" s="12" t="n">
        <v>2.5</v>
      </c>
      <c r="I20" s="5" t="n">
        <f aca="false">Submetering!L20</f>
        <v>42234.048</v>
      </c>
      <c r="J20" s="4" t="n">
        <f aca="false">IF(I20=0,"0",(10000*0.035+10000*0.04+(I20-20000)*0.046+0.005*I20+0.01*I20)/I20)</f>
        <v>0.0569748116022409</v>
      </c>
      <c r="K20" s="5" t="n">
        <f aca="false">INT('Daily Meter'!O24*434/100)</f>
        <v>312</v>
      </c>
      <c r="L20" s="1" t="s">
        <v>13</v>
      </c>
    </row>
    <row r="21" customFormat="false" ht="14.25" hidden="false" customHeight="false" outlineLevel="0" collapsed="false">
      <c r="A21" s="1" t="s">
        <v>12</v>
      </c>
      <c r="B21" s="1" t="n">
        <f aca="false">B20+1</f>
        <v>20</v>
      </c>
      <c r="C21" s="2" t="n">
        <v>1</v>
      </c>
      <c r="D21" s="1" t="n">
        <v>2024</v>
      </c>
      <c r="E21" s="5" t="n">
        <f aca="false">Submetering!E21+Submetering!F21+Submetering!G21+Submetering!H21+Submetering!I21+Submetering!J21</f>
        <v>16560.0000000002</v>
      </c>
      <c r="F21" s="4" t="n">
        <f aca="false">IF(E21=0,"0",(2000*0.23+2000*0.28+2000*0.32+(E21-6000)*0.38+0.065*E21)/E21)</f>
        <v>0.40756038647343</v>
      </c>
      <c r="G21" s="5" t="n">
        <f aca="false">Submetering!M21</f>
        <v>515.409999999957</v>
      </c>
      <c r="H21" s="12" t="n">
        <v>2.5</v>
      </c>
      <c r="I21" s="5" t="n">
        <f aca="false">Submetering!L21</f>
        <v>39814.389</v>
      </c>
      <c r="J21" s="4" t="n">
        <f aca="false">IF(I21=0,"0",(10000*0.035+10000*0.04+(I21-20000)*0.046+0.005*I21+0.01*I21)/I21)</f>
        <v>0.0567301868929848</v>
      </c>
      <c r="K21" s="5" t="n">
        <f aca="false">INT('Daily Meter'!O25*434/100)</f>
        <v>284</v>
      </c>
      <c r="L21" s="1" t="s">
        <v>13</v>
      </c>
    </row>
    <row r="22" customFormat="false" ht="14.25" hidden="false" customHeight="false" outlineLevel="0" collapsed="false">
      <c r="A22" s="1" t="s">
        <v>12</v>
      </c>
      <c r="B22" s="1" t="n">
        <f aca="false">B21+1</f>
        <v>21</v>
      </c>
      <c r="C22" s="2" t="n">
        <v>1</v>
      </c>
      <c r="D22" s="1" t="n">
        <v>2024</v>
      </c>
      <c r="E22" s="5" t="n">
        <f aca="false">Submetering!E22+Submetering!F22+Submetering!G22+Submetering!H22+Submetering!I22+Submetering!J22</f>
        <v>16655.9999999997</v>
      </c>
      <c r="F22" s="4" t="n">
        <f aca="false">IF(E22=0,"0",(2000*0.23+2000*0.28+2000*0.32+(E22-6000)*0.38+0.065*E22)/E22)</f>
        <v>0.407776176753121</v>
      </c>
      <c r="G22" s="5" t="n">
        <f aca="false">Submetering!M22</f>
        <v>492.1</v>
      </c>
      <c r="H22" s="12" t="n">
        <v>2.5</v>
      </c>
      <c r="I22" s="5" t="n">
        <f aca="false">Submetering!L22</f>
        <v>38494.575</v>
      </c>
      <c r="J22" s="4" t="n">
        <f aca="false">IF(I22=0,"0",(10000*0.035+10000*0.04+(I22-20000)*0.046+0.005*I22+0.01*I22)/I22)</f>
        <v>0.0565837933007443</v>
      </c>
      <c r="K22" s="5" t="n">
        <f aca="false">INT('Daily Meter'!O26*434/100)</f>
        <v>293</v>
      </c>
      <c r="L22" s="1" t="s">
        <v>13</v>
      </c>
    </row>
    <row r="23" customFormat="false" ht="14.25" hidden="false" customHeight="false" outlineLevel="0" collapsed="false">
      <c r="A23" s="1" t="s">
        <v>12</v>
      </c>
      <c r="B23" s="1" t="n">
        <f aca="false">B22+1</f>
        <v>22</v>
      </c>
      <c r="C23" s="2" t="n">
        <v>1</v>
      </c>
      <c r="D23" s="1" t="n">
        <v>2024</v>
      </c>
      <c r="E23" s="5" t="n">
        <f aca="false">Submetering!E23+Submetering!F23+Submetering!G23+Submetering!H23+Submetering!I23+Submetering!J23</f>
        <v>16128.0000000004</v>
      </c>
      <c r="F23" s="4" t="n">
        <f aca="false">IF(E23=0,"0",(2000*0.23+2000*0.28+2000*0.32+(E23-6000)*0.38+0.065*E23)/E23)</f>
        <v>0.406557539682541</v>
      </c>
      <c r="G23" s="5" t="n">
        <f aca="false">Submetering!M23</f>
        <v>455.470000000022</v>
      </c>
      <c r="H23" s="12" t="n">
        <v>2.5</v>
      </c>
      <c r="I23" s="5" t="n">
        <f aca="false">Submetering!L23</f>
        <v>26616.249</v>
      </c>
      <c r="J23" s="4" t="n">
        <f aca="false">IF(I23=0,"0",(10000*0.035+10000*0.04+(I23-20000)*0.046+0.005*I23+0.01*I23)/I23)</f>
        <v>0.0546129241952914</v>
      </c>
      <c r="K23" s="5" t="n">
        <f aca="false">INT('Daily Meter'!O27*434/100)</f>
        <v>347</v>
      </c>
      <c r="L23" s="1" t="s">
        <v>13</v>
      </c>
    </row>
    <row r="24" customFormat="false" ht="14.25" hidden="false" customHeight="false" outlineLevel="0" collapsed="false">
      <c r="A24" s="1" t="s">
        <v>12</v>
      </c>
      <c r="B24" s="1" t="n">
        <f aca="false">B23+1</f>
        <v>23</v>
      </c>
      <c r="C24" s="2" t="n">
        <v>1</v>
      </c>
      <c r="D24" s="1" t="n">
        <v>2024</v>
      </c>
      <c r="E24" s="5" t="n">
        <f aca="false">Submetering!E24+Submetering!F24+Submetering!G24+Submetering!H24+Submetering!I24+Submetering!J24</f>
        <v>16559.9999999993</v>
      </c>
      <c r="F24" s="4" t="n">
        <f aca="false">IF(E24=0,"0",(2000*0.23+2000*0.28+2000*0.32+(E24-6000)*0.38+0.065*E24)/E24)</f>
        <v>0.407560386473429</v>
      </c>
      <c r="G24" s="5" t="n">
        <f aca="false">Submetering!M24</f>
        <v>493.210000000011</v>
      </c>
      <c r="H24" s="12" t="n">
        <v>2.5</v>
      </c>
      <c r="I24" s="5" t="n">
        <f aca="false">Submetering!L24</f>
        <v>44433.738</v>
      </c>
      <c r="J24" s="4" t="n">
        <f aca="false">IF(I24=0,"0",(10000*0.035+10000*0.04+(I24-20000)*0.046+0.005*I24+0.01*I24)/I24)</f>
        <v>0.0571740783546052</v>
      </c>
      <c r="K24" s="5" t="n">
        <f aca="false">INT('Daily Meter'!O28*434/100)</f>
        <v>357</v>
      </c>
      <c r="L24" s="1" t="s">
        <v>13</v>
      </c>
    </row>
    <row r="25" customFormat="false" ht="14.25" hidden="false" customHeight="false" outlineLevel="0" collapsed="false">
      <c r="A25" s="1" t="s">
        <v>12</v>
      </c>
      <c r="B25" s="1" t="n">
        <f aca="false">B24+1</f>
        <v>24</v>
      </c>
      <c r="C25" s="2" t="n">
        <v>1</v>
      </c>
      <c r="D25" s="1" t="n">
        <v>2024</v>
      </c>
      <c r="E25" s="5" t="n">
        <f aca="false">Submetering!E25+Submetering!F25+Submetering!G25+Submetering!H25+Submetering!I25+Submetering!J25</f>
        <v>17088.0000000004</v>
      </c>
      <c r="F25" s="4" t="n">
        <f aca="false">IF(E25=0,"0",(2000*0.23+2000*0.28+2000*0.32+(E25-6000)*0.38+0.065*E25)/E25)</f>
        <v>0.40871722846442</v>
      </c>
      <c r="G25" s="5" t="n">
        <f aca="false">Submetering!M25</f>
        <v>504.310000000011</v>
      </c>
      <c r="H25" s="12" t="n">
        <v>2.5</v>
      </c>
      <c r="I25" s="5" t="n">
        <f aca="false">Submetering!L25</f>
        <v>40034.358</v>
      </c>
      <c r="J25" s="4" t="n">
        <f aca="false">IF(I25=0,"0",(10000*0.035+10000*0.04+(I25-20000)*0.046+0.005*I25+0.01*I25)/I25)</f>
        <v>0.0567536474045619</v>
      </c>
      <c r="K25" s="5" t="n">
        <f aca="false">INT('Daily Meter'!O29*434/100)</f>
        <v>366</v>
      </c>
      <c r="L25" s="1" t="s">
        <v>13</v>
      </c>
    </row>
    <row r="26" customFormat="false" ht="14.25" hidden="false" customHeight="false" outlineLevel="0" collapsed="false">
      <c r="A26" s="1" t="s">
        <v>12</v>
      </c>
      <c r="B26" s="1" t="n">
        <f aca="false">B25+1</f>
        <v>25</v>
      </c>
      <c r="C26" s="2" t="n">
        <v>1</v>
      </c>
      <c r="D26" s="1" t="n">
        <v>2024</v>
      </c>
      <c r="E26" s="5" t="n">
        <f aca="false">Submetering!E26+Submetering!F26+Submetering!G26+Submetering!H26+Submetering!I26+Submetering!J26</f>
        <v>16800.0000000004</v>
      </c>
      <c r="F26" s="4" t="n">
        <f aca="false">IF(E26=0,"0",(2000*0.23+2000*0.28+2000*0.32+(E26-6000)*0.38+0.065*E26)/E26)</f>
        <v>0.408095238095239</v>
      </c>
      <c r="G26" s="5" t="n">
        <f aca="false">Submetering!M26</f>
        <v>472.119999999968</v>
      </c>
      <c r="H26" s="12" t="n">
        <v>2.5</v>
      </c>
      <c r="I26" s="5" t="n">
        <f aca="false">Submetering!L26</f>
        <v>37834.668</v>
      </c>
      <c r="J26" s="4" t="n">
        <f aca="false">IF(I26=0,"0",(10000*0.035+10000*0.04+(I26-20000)*0.046+0.005*I26+0.01*I26)/I26)</f>
        <v>0.0565067664397108</v>
      </c>
      <c r="K26" s="5" t="n">
        <f aca="false">INT('Daily Meter'!O30*434/100)</f>
        <v>407</v>
      </c>
      <c r="L26" s="1" t="s">
        <v>13</v>
      </c>
    </row>
    <row r="27" customFormat="false" ht="14.25" hidden="false" customHeight="false" outlineLevel="0" collapsed="false">
      <c r="A27" s="1" t="s">
        <v>12</v>
      </c>
      <c r="B27" s="1" t="n">
        <f aca="false">B26+1</f>
        <v>26</v>
      </c>
      <c r="C27" s="2" t="n">
        <v>1</v>
      </c>
      <c r="D27" s="1" t="n">
        <v>2024</v>
      </c>
      <c r="E27" s="5" t="n">
        <f aca="false">Submetering!E27+Submetering!F27+Submetering!G27+Submetering!H27+Submetering!I27+Submetering!J27</f>
        <v>16703.9999999999</v>
      </c>
      <c r="F27" s="4" t="n">
        <f aca="false">IF(E27=0,"0",(2000*0.23+2000*0.28+2000*0.32+(E27-6000)*0.38+0.065*E27)/E27)</f>
        <v>0.407883141762452</v>
      </c>
      <c r="G27" s="5" t="n">
        <f aca="false">Submetering!M27</f>
        <v>494.320000000022</v>
      </c>
      <c r="H27" s="12" t="n">
        <v>2.5</v>
      </c>
      <c r="I27" s="5" t="n">
        <f aca="false">Submetering!L27</f>
        <v>37174.761</v>
      </c>
      <c r="J27" s="4" t="n">
        <f aca="false">IF(I27=0,"0",(10000*0.035+10000*0.04+(I27-20000)*0.046+0.005*I27+0.01*I27)/I27)</f>
        <v>0.0564270048972205</v>
      </c>
      <c r="K27" s="5" t="n">
        <f aca="false">INT('Daily Meter'!O31*434/100)</f>
        <v>0</v>
      </c>
      <c r="L27" s="1" t="s">
        <v>13</v>
      </c>
    </row>
    <row r="28" customFormat="false" ht="13.8" hidden="false" customHeight="false" outlineLevel="0" collapsed="false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1" t="s">
        <v>13</v>
      </c>
    </row>
    <row r="29" customFormat="false" ht="13.8" hidden="false" customHeight="false" outlineLevel="0" collapsed="false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1" t="s">
        <v>13</v>
      </c>
    </row>
    <row r="30" customFormat="false" ht="13.8" hidden="false" customHeight="false" outlineLevel="0" collapsed="false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1" t="s">
        <v>13</v>
      </c>
    </row>
    <row r="31" customFormat="false" ht="13.8" hidden="false" customHeight="false" outlineLevel="0" collapsed="false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1" t="s">
        <v>13</v>
      </c>
    </row>
    <row r="32" customFormat="false" ht="13.8" hidden="false" customHeight="fals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O3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J16" activeCellId="1" sqref="A28:K32 J16"/>
    </sheetView>
  </sheetViews>
  <sheetFormatPr defaultColWidth="11.5234375" defaultRowHeight="14.25" zeroHeight="false" outlineLevelRow="0" outlineLevelCol="0"/>
  <cols>
    <col collapsed="false" customWidth="true" hidden="false" outlineLevel="0" max="1" min="1" style="1" width="23"/>
    <col collapsed="false" customWidth="false" hidden="false" outlineLevel="0" max="2" min="2" style="1" width="11.52"/>
    <col collapsed="false" customWidth="false" hidden="false" outlineLevel="0" max="3" min="3" style="2" width="11.52"/>
    <col collapsed="false" customWidth="true" hidden="false" outlineLevel="0" max="4" min="4" style="1" width="13.47"/>
    <col collapsed="false" customWidth="true" hidden="false" outlineLevel="0" max="5" min="5" style="1" width="12.52"/>
    <col collapsed="false" customWidth="true" hidden="false" outlineLevel="0" max="6" min="6" style="3" width="12.52"/>
    <col collapsed="false" customWidth="false" hidden="false" outlineLevel="0" max="8" min="7" style="1" width="11.52"/>
    <col collapsed="false" customWidth="false" hidden="false" outlineLevel="0" max="9" min="9" style="3" width="11.52"/>
    <col collapsed="false" customWidth="false" hidden="false" outlineLevel="0" max="13" min="10" style="1" width="11.52"/>
    <col collapsed="false" customWidth="false" hidden="false" outlineLevel="0" max="14" min="14" style="5" width="11.52"/>
    <col collapsed="false" customWidth="false" hidden="false" outlineLevel="0" max="15" min="15" style="1" width="11.52"/>
  </cols>
  <sheetData>
    <row r="1" s="13" customFormat="true" ht="28.5" hidden="false" customHeight="false" outlineLevel="0" collapsed="false">
      <c r="A1" s="6" t="s">
        <v>0</v>
      </c>
      <c r="B1" s="6" t="s">
        <v>1</v>
      </c>
      <c r="C1" s="7" t="s">
        <v>2</v>
      </c>
      <c r="D1" s="6" t="s">
        <v>3</v>
      </c>
      <c r="E1" s="8" t="s">
        <v>14</v>
      </c>
      <c r="F1" s="9" t="s">
        <v>15</v>
      </c>
      <c r="G1" s="8" t="s">
        <v>16</v>
      </c>
      <c r="H1" s="8" t="s">
        <v>17</v>
      </c>
      <c r="I1" s="9" t="s">
        <v>18</v>
      </c>
      <c r="J1" s="8" t="s">
        <v>19</v>
      </c>
      <c r="K1" s="11" t="s">
        <v>20</v>
      </c>
      <c r="L1" s="8" t="s">
        <v>21</v>
      </c>
      <c r="M1" s="8" t="s">
        <v>22</v>
      </c>
      <c r="N1" s="11" t="s">
        <v>10</v>
      </c>
      <c r="O1" s="8" t="s">
        <v>11</v>
      </c>
    </row>
    <row r="2" customFormat="false" ht="14.25" hidden="false" customHeight="false" outlineLevel="0" collapsed="false">
      <c r="A2" s="1" t="s">
        <v>12</v>
      </c>
      <c r="B2" s="1" t="n">
        <v>1</v>
      </c>
      <c r="C2" s="2" t="n">
        <v>1</v>
      </c>
      <c r="D2" s="1" t="n">
        <v>2024</v>
      </c>
      <c r="E2" s="5" t="n">
        <f aca="false">IF(('Daily Meter'!H6-'1'!D13)&lt;0,"0",'Daily Meter'!H6-'1'!D13)*480</f>
        <v>3360</v>
      </c>
      <c r="F2" s="5" t="n">
        <f aca="false">IF(('Daily Meter'!I6-'1'!D14)&lt;0,"0",'Daily Meter'!I6-'1'!D14)*480</f>
        <v>1967.99999999996</v>
      </c>
      <c r="G2" s="5" t="n">
        <f aca="false">IF(('Daily Meter'!J6-'1'!D15)&lt;0,"0",'Daily Meter'!J6-'1'!D15)*480</f>
        <v>2256.00000000035</v>
      </c>
      <c r="H2" s="5" t="n">
        <f aca="false">IF(('Daily Meter'!K6-'1'!D16)&lt;0,"0",'Daily Meter'!K6-'1'!D16)*480</f>
        <v>1440</v>
      </c>
      <c r="I2" s="5" t="n">
        <f aca="false">IF(('Daily Meter'!L6-'1'!D17)&lt;0,"0",'Daily Meter'!L6-'1'!D17)*480</f>
        <v>2208.00000000017</v>
      </c>
      <c r="J2" s="5" t="n">
        <f aca="false">IF(('Daily Meter'!M6-'1'!D18)&lt;0,"0",'Daily Meter'!M6-'1'!D18)*480</f>
        <v>5663.99999999965</v>
      </c>
      <c r="K2" s="5" t="n">
        <f aca="false">IF(('Daily Meter'!B6-'1'!D7)&lt;0,"0",'Daily Meter'!B6-'1'!D7)*284.34</f>
        <v>8672.37</v>
      </c>
      <c r="L2" s="5" t="n">
        <f aca="false">IF(('Daily Meter'!C6-'1'!D10)&lt;0,"0",'Daily Meter'!C6-'1'!D10)*219.969</f>
        <v>48613.149</v>
      </c>
      <c r="M2" s="5" t="n">
        <f aca="false">IF(('Daily Meter'!N6-'1'!D22)&lt;0,"0",'Daily Meter'!N6-'1'!D22)*3.7</f>
        <v>550.560000000011</v>
      </c>
      <c r="N2" s="5" t="n">
        <f aca="false">Total!K2</f>
        <v>264</v>
      </c>
      <c r="O2" s="1" t="s">
        <v>13</v>
      </c>
    </row>
    <row r="3" customFormat="false" ht="14.25" hidden="false" customHeight="false" outlineLevel="0" collapsed="false">
      <c r="A3" s="1" t="s">
        <v>12</v>
      </c>
      <c r="B3" s="1" t="n">
        <f aca="false">B2+1</f>
        <v>2</v>
      </c>
      <c r="C3" s="2" t="n">
        <v>1</v>
      </c>
      <c r="D3" s="1" t="n">
        <v>2024</v>
      </c>
      <c r="E3" s="5" t="n">
        <f aca="false">IF(('Daily Meter'!H7-'Daily Meter'!H6)&lt;0,"0",'Daily Meter'!H7-'Daily Meter'!H6)*480</f>
        <v>3455.99999999991</v>
      </c>
      <c r="F3" s="5" t="n">
        <f aca="false">IF(('Daily Meter'!I7-'Daily Meter'!I6)&lt;0,"0",'Daily Meter'!I7-'Daily Meter'!I6)*480</f>
        <v>1776.00000000013</v>
      </c>
      <c r="G3" s="5" t="n">
        <f aca="false">IF(('Daily Meter'!J7-'Daily Meter'!J6)&lt;0,"0",'Daily Meter'!J7-'Daily Meter'!J6)*480</f>
        <v>2063.99999999965</v>
      </c>
      <c r="H3" s="5" t="n">
        <f aca="false">IF(('Daily Meter'!K7-'Daily Meter'!K6)&lt;0,"0",'Daily Meter'!K7-'Daily Meter'!K6)*480</f>
        <v>1247.99999999996</v>
      </c>
      <c r="I3" s="5" t="n">
        <f aca="false">IF(('Daily Meter'!L7-'Daily Meter'!L6)&lt;0,"0",'Daily Meter'!L7-'Daily Meter'!L6)*480</f>
        <v>2111.99999999983</v>
      </c>
      <c r="J3" s="5" t="n">
        <f aca="false">IF(('Daily Meter'!M7-'Daily Meter'!M6)&lt;0,"0",'Daily Meter'!M7-'Daily Meter'!M6)*480</f>
        <v>5568.00000000018</v>
      </c>
      <c r="K3" s="5" t="n">
        <f aca="false">IF(('Daily Meter'!B7-'Daily Meter'!B6)&lt;0,"0",'Daily Meter'!B7-'Daily Meter'!B6)*284.34</f>
        <v>7933.08599999834</v>
      </c>
      <c r="L3" s="5" t="n">
        <f aca="false">IF(('Daily Meter'!C7-'Daily Meter'!C6)&lt;0,"0",'Daily Meter'!C7-'Daily Meter'!C6)*219.969</f>
        <v>43113.924</v>
      </c>
      <c r="M3" s="5" t="n">
        <f aca="false">IF(('Daily Meter'!N7-'Daily Meter'!N6)&lt;0,"0",'Daily Meter'!N7-'Daily Meter'!N6)*3.7</f>
        <v>480.260000000011</v>
      </c>
      <c r="N3" s="5" t="n">
        <f aca="false">Total!K3</f>
        <v>239</v>
      </c>
      <c r="O3" s="1" t="s">
        <v>13</v>
      </c>
    </row>
    <row r="4" customFormat="false" ht="14.25" hidden="false" customHeight="false" outlineLevel="0" collapsed="false">
      <c r="A4" s="1" t="s">
        <v>12</v>
      </c>
      <c r="B4" s="1" t="n">
        <f aca="false">B3+1</f>
        <v>3</v>
      </c>
      <c r="C4" s="2" t="n">
        <v>1</v>
      </c>
      <c r="D4" s="1" t="n">
        <v>2024</v>
      </c>
      <c r="E4" s="5" t="n">
        <f aca="false">IF(('Daily Meter'!H8-'Daily Meter'!H7)&lt;0,"0",'Daily Meter'!H8-'Daily Meter'!H7)*480</f>
        <v>3311.99999999983</v>
      </c>
      <c r="F4" s="5" t="n">
        <f aca="false">IF(('Daily Meter'!I8-'Daily Meter'!I7)&lt;0,"0",'Daily Meter'!I8-'Daily Meter'!I7)*480</f>
        <v>1823.99999999987</v>
      </c>
      <c r="G4" s="5" t="n">
        <f aca="false">IF(('Daily Meter'!J8-'Daily Meter'!J7)&lt;0,"0",'Daily Meter'!J8-'Daily Meter'!J7)*480</f>
        <v>2016.00000000035</v>
      </c>
      <c r="H4" s="5" t="n">
        <f aca="false">IF(('Daily Meter'!K8-'Daily Meter'!K7)&lt;0,"0",'Daily Meter'!K8-'Daily Meter'!K7)*480</f>
        <v>1247.99999999996</v>
      </c>
      <c r="I4" s="5" t="n">
        <f aca="false">IF(('Daily Meter'!L8-'Daily Meter'!L7)&lt;0,"0",'Daily Meter'!L8-'Daily Meter'!L7)*480</f>
        <v>2112.00000000026</v>
      </c>
      <c r="J4" s="5" t="n">
        <f aca="false">IF(('Daily Meter'!M8-'Daily Meter'!M7)&lt;0,"0",'Daily Meter'!M8-'Daily Meter'!M7)*480</f>
        <v>5423.99999999965</v>
      </c>
      <c r="K4" s="5" t="n">
        <f aca="false">IF(('Daily Meter'!B8-'Daily Meter'!B7)&lt;0,"0",'Daily Meter'!B8-'Daily Meter'!B7)*284.34</f>
        <v>6852.59400000165</v>
      </c>
      <c r="L4" s="5" t="n">
        <f aca="false">IF(('Daily Meter'!C8-'Daily Meter'!C7)&lt;0,"0",'Daily Meter'!C8-'Daily Meter'!C7)*219.969</f>
        <v>36514.854</v>
      </c>
      <c r="M4" s="5" t="n">
        <f aca="false">IF(('Daily Meter'!N8-'Daily Meter'!N7)&lt;0,"0",'Daily Meter'!N8-'Daily Meter'!N7)*3.7</f>
        <v>443.260000000011</v>
      </c>
      <c r="N4" s="5" t="n">
        <f aca="false">Total!K4</f>
        <v>232</v>
      </c>
      <c r="O4" s="1" t="s">
        <v>13</v>
      </c>
    </row>
    <row r="5" customFormat="false" ht="14.25" hidden="false" customHeight="false" outlineLevel="0" collapsed="false">
      <c r="A5" s="1" t="s">
        <v>12</v>
      </c>
      <c r="B5" s="1" t="n">
        <f aca="false">B4+1</f>
        <v>4</v>
      </c>
      <c r="C5" s="2" t="n">
        <v>1</v>
      </c>
      <c r="D5" s="1" t="n">
        <v>2024</v>
      </c>
      <c r="E5" s="5" t="n">
        <f aca="false">IF(('Daily Meter'!H9-'Daily Meter'!H8)&lt;0,"0",'Daily Meter'!H9-'Daily Meter'!H8)*480</f>
        <v>3168.00000000017</v>
      </c>
      <c r="F5" s="5" t="n">
        <f aca="false">IF(('Daily Meter'!I9-'Daily Meter'!I8)&lt;0,"0",'Daily Meter'!I9-'Daily Meter'!I8)*480</f>
        <v>1776.00000000013</v>
      </c>
      <c r="G5" s="5" t="n">
        <f aca="false">IF(('Daily Meter'!J9-'Daily Meter'!J8)&lt;0,"0",'Daily Meter'!J9-'Daily Meter'!J8)*480</f>
        <v>2111.99999999983</v>
      </c>
      <c r="H5" s="5" t="n">
        <f aca="false">IF(('Daily Meter'!K9-'Daily Meter'!K8)&lt;0,"0",'Daily Meter'!K9-'Daily Meter'!K8)*480</f>
        <v>1247.99999999996</v>
      </c>
      <c r="I5" s="5" t="n">
        <f aca="false">IF(('Daily Meter'!L9-'Daily Meter'!L8)&lt;0,"0",'Daily Meter'!L9-'Daily Meter'!L8)*480</f>
        <v>2160</v>
      </c>
      <c r="J5" s="5" t="n">
        <f aca="false">IF(('Daily Meter'!M9-'Daily Meter'!M8)&lt;0,"0",'Daily Meter'!M9-'Daily Meter'!M8)*480</f>
        <v>4944.00000000052</v>
      </c>
      <c r="K5" s="5" t="n">
        <f aca="false">IF(('Daily Meter'!B9-'Daily Meter'!B8)&lt;0,"0",'Daily Meter'!B9-'Daily Meter'!B8)*284.34</f>
        <v>6397.65</v>
      </c>
      <c r="L5" s="5" t="n">
        <f aca="false">IF(('Daily Meter'!C9-'Daily Meter'!C8)&lt;0,"0",'Daily Meter'!C9-'Daily Meter'!C8)*219.969</f>
        <v>37614.699</v>
      </c>
      <c r="M5" s="5" t="n">
        <f aca="false">IF(('Daily Meter'!N9-'Daily Meter'!N8)&lt;0,"0",'Daily Meter'!N9-'Daily Meter'!N8)*3.7</f>
        <v>454.729999999979</v>
      </c>
      <c r="N5" s="5" t="n">
        <f aca="false">Total!K5</f>
        <v>233</v>
      </c>
      <c r="O5" s="1" t="s">
        <v>13</v>
      </c>
    </row>
    <row r="6" customFormat="false" ht="14.25" hidden="false" customHeight="false" outlineLevel="0" collapsed="false">
      <c r="A6" s="1" t="s">
        <v>12</v>
      </c>
      <c r="B6" s="1" t="n">
        <f aca="false">B5+1</f>
        <v>5</v>
      </c>
      <c r="C6" s="2" t="n">
        <v>1</v>
      </c>
      <c r="D6" s="1" t="n">
        <v>2024</v>
      </c>
      <c r="E6" s="5" t="n">
        <f aca="false">IF(('Daily Meter'!H10-'Daily Meter'!H9)&lt;0,"0",'Daily Meter'!H10-'Daily Meter'!H9)*480</f>
        <v>3168.00000000017</v>
      </c>
      <c r="F6" s="5" t="n">
        <f aca="false">IF(('Daily Meter'!I10-'Daily Meter'!I9)&lt;0,"0",'Daily Meter'!I10-'Daily Meter'!I9)*480</f>
        <v>1775.99999999991</v>
      </c>
      <c r="G6" s="5" t="n">
        <f aca="false">IF(('Daily Meter'!J10-'Daily Meter'!J9)&lt;0,"0",'Daily Meter'!J10-'Daily Meter'!J9)*480</f>
        <v>2160</v>
      </c>
      <c r="H6" s="5" t="n">
        <f aca="false">IF(('Daily Meter'!K10-'Daily Meter'!K9)&lt;0,"0",'Daily Meter'!K10-'Daily Meter'!K9)*480</f>
        <v>1248.00000000017</v>
      </c>
      <c r="I6" s="5" t="n">
        <f aca="false">IF(('Daily Meter'!L10-'Daily Meter'!L9)&lt;0,"0",'Daily Meter'!L10-'Daily Meter'!L9)*480</f>
        <v>2111.99999999983</v>
      </c>
      <c r="J6" s="5" t="n">
        <f aca="false">IF(('Daily Meter'!M10-'Daily Meter'!M9)&lt;0,"0",'Daily Meter'!M10-'Daily Meter'!M9)*480</f>
        <v>5088.00000000018</v>
      </c>
      <c r="K6" s="5" t="n">
        <f aca="false">IF(('Daily Meter'!B10-'Daily Meter'!B9)&lt;0,"0",'Daily Meter'!B10-'Daily Meter'!B9)*284.34</f>
        <v>6397.65</v>
      </c>
      <c r="L6" s="5" t="n">
        <f aca="false">IF(('Daily Meter'!C10-'Daily Meter'!C9)&lt;0,"0",'Daily Meter'!C10-'Daily Meter'!C9)*219.969</f>
        <v>26176.311</v>
      </c>
      <c r="M6" s="5" t="n">
        <f aca="false">IF(('Daily Meter'!N10-'Daily Meter'!N9)&lt;0,"0",'Daily Meter'!N10-'Daily Meter'!N9)*3.7</f>
        <v>452.139999999989</v>
      </c>
      <c r="N6" s="5" t="n">
        <f aca="false">Total!K6</f>
        <v>227</v>
      </c>
      <c r="O6" s="1" t="s">
        <v>13</v>
      </c>
    </row>
    <row r="7" customFormat="false" ht="14.25" hidden="false" customHeight="false" outlineLevel="0" collapsed="false">
      <c r="A7" s="1" t="s">
        <v>12</v>
      </c>
      <c r="B7" s="1" t="n">
        <f aca="false">B6+1</f>
        <v>6</v>
      </c>
      <c r="C7" s="2" t="n">
        <v>1</v>
      </c>
      <c r="D7" s="1" t="n">
        <v>2024</v>
      </c>
      <c r="E7" s="5" t="n">
        <f aca="false">IF(('Daily Meter'!H11-'Daily Meter'!H10)&lt;0,"0",'Daily Meter'!H11-'Daily Meter'!H10)*480</f>
        <v>3215.99999999991</v>
      </c>
      <c r="F7" s="5" t="n">
        <f aca="false">IF(('Daily Meter'!I11-'Daily Meter'!I10)&lt;0,"0",'Daily Meter'!I11-'Daily Meter'!I10)*480</f>
        <v>1776.00000000013</v>
      </c>
      <c r="G7" s="5" t="n">
        <f aca="false">IF(('Daily Meter'!J11-'Daily Meter'!J10)&lt;0,"0",'Daily Meter'!J11-'Daily Meter'!J10)*480</f>
        <v>2160</v>
      </c>
      <c r="H7" s="5" t="n">
        <f aca="false">IF(('Daily Meter'!K11-'Daily Meter'!K10)&lt;0,"0",'Daily Meter'!K11-'Daily Meter'!K10)*480</f>
        <v>1247.99999999996</v>
      </c>
      <c r="I7" s="5" t="n">
        <f aca="false">IF(('Daily Meter'!L11-'Daily Meter'!L10)&lt;0,"0",'Daily Meter'!L11-'Daily Meter'!L10)*480</f>
        <v>2111.99999999983</v>
      </c>
      <c r="J7" s="5" t="n">
        <f aca="false">IF(('Daily Meter'!M11-'Daily Meter'!M10)&lt;0,"0",'Daily Meter'!M11-'Daily Meter'!M10)*480</f>
        <v>5280</v>
      </c>
      <c r="K7" s="5" t="n">
        <f aca="false">IF(('Daily Meter'!B11-'Daily Meter'!B10)&lt;0,"0",'Daily Meter'!B11-'Daily Meter'!B10)*284.34</f>
        <v>6028.00799999917</v>
      </c>
      <c r="L7" s="5" t="n">
        <f aca="false">IF(('Daily Meter'!C11-'Daily Meter'!C10)&lt;0,"0",'Daily Meter'!C11-'Daily Meter'!C10)*219.969</f>
        <v>48393.18</v>
      </c>
      <c r="M7" s="5" t="n">
        <f aca="false">IF(('Daily Meter'!N11-'Daily Meter'!N10)&lt;0,"0",'Daily Meter'!N11-'Daily Meter'!N10)*3.7</f>
        <v>452.140000000043</v>
      </c>
      <c r="N7" s="5" t="n">
        <f aca="false">Total!K7</f>
        <v>214</v>
      </c>
      <c r="O7" s="1" t="s">
        <v>13</v>
      </c>
    </row>
    <row r="8" customFormat="false" ht="14.25" hidden="false" customHeight="false" outlineLevel="0" collapsed="false">
      <c r="A8" s="1" t="s">
        <v>12</v>
      </c>
      <c r="B8" s="1" t="n">
        <f aca="false">B7+1</f>
        <v>7</v>
      </c>
      <c r="C8" s="2" t="n">
        <v>1</v>
      </c>
      <c r="D8" s="1" t="n">
        <v>2024</v>
      </c>
      <c r="E8" s="5" t="n">
        <f aca="false">IF(('Daily Meter'!H12-'Daily Meter'!H11)&lt;0,"0",'Daily Meter'!H12-'Daily Meter'!H11)*480</f>
        <v>3215.99999999991</v>
      </c>
      <c r="F8" s="5" t="n">
        <f aca="false">IF(('Daily Meter'!I12-'Daily Meter'!I11)&lt;0,"0",'Daily Meter'!I12-'Daily Meter'!I11)*480</f>
        <v>1727.99999999996</v>
      </c>
      <c r="G8" s="5" t="n">
        <f aca="false">IF(('Daily Meter'!J12-'Daily Meter'!J11)&lt;0,"0",'Daily Meter'!J12-'Daily Meter'!J11)*480</f>
        <v>2255.99999999991</v>
      </c>
      <c r="H8" s="5" t="n">
        <f aca="false">IF(('Daily Meter'!K12-'Daily Meter'!K11)&lt;0,"0",'Daily Meter'!K12-'Daily Meter'!K11)*480</f>
        <v>1440</v>
      </c>
      <c r="I8" s="5" t="n">
        <f aca="false">IF(('Daily Meter'!L12-'Daily Meter'!L11)&lt;0,"0",'Daily Meter'!L12-'Daily Meter'!L11)*480</f>
        <v>2160</v>
      </c>
      <c r="J8" s="5" t="n">
        <f aca="false">IF(('Daily Meter'!M12-'Daily Meter'!M11)&lt;0,"0",'Daily Meter'!M12-'Daily Meter'!M11)*480</f>
        <v>5663.99999999965</v>
      </c>
      <c r="K8" s="5" t="n">
        <f aca="false">IF(('Daily Meter'!B12-'Daily Meter'!B11)&lt;0,"0",'Daily Meter'!B12-'Daily Meter'!B11)*284.34</f>
        <v>6028.00799999917</v>
      </c>
      <c r="L8" s="5" t="n">
        <f aca="false">IF(('Daily Meter'!C12-'Daily Meter'!C11)&lt;0,"0",'Daily Meter'!C12-'Daily Meter'!C11)*219.969</f>
        <v>51912.684</v>
      </c>
      <c r="M8" s="5" t="n">
        <f aca="false">IF(('Daily Meter'!N12-'Daily Meter'!N11)&lt;0,"0",'Daily Meter'!N12-'Daily Meter'!N11)*3.7</f>
        <v>441.779999999979</v>
      </c>
      <c r="N8" s="5" t="n">
        <f aca="false">Total!K8</f>
        <v>171</v>
      </c>
      <c r="O8" s="1" t="s">
        <v>13</v>
      </c>
    </row>
    <row r="9" customFormat="false" ht="14.25" hidden="false" customHeight="false" outlineLevel="0" collapsed="false">
      <c r="A9" s="1" t="s">
        <v>12</v>
      </c>
      <c r="B9" s="1" t="n">
        <f aca="false">B8+1</f>
        <v>8</v>
      </c>
      <c r="C9" s="2" t="n">
        <v>1</v>
      </c>
      <c r="D9" s="1" t="n">
        <v>2024</v>
      </c>
      <c r="E9" s="5" t="n">
        <f aca="false">IF(('Daily Meter'!H13-'Daily Meter'!H12)&lt;0,"0",'Daily Meter'!H13-'Daily Meter'!H12)*480</f>
        <v>3215.99999999991</v>
      </c>
      <c r="F9" s="5" t="n">
        <f aca="false">IF(('Daily Meter'!I13-'Daily Meter'!I12)&lt;0,"0",'Daily Meter'!I13-'Daily Meter'!I12)*480</f>
        <v>1680</v>
      </c>
      <c r="G9" s="5" t="n">
        <f aca="false">IF(('Daily Meter'!J13-'Daily Meter'!J12)&lt;0,"0",'Daily Meter'!J13-'Daily Meter'!J12)*480</f>
        <v>2208.00000000017</v>
      </c>
      <c r="H9" s="5" t="n">
        <f aca="false">IF(('Daily Meter'!K13-'Daily Meter'!K12)&lt;0,"0",'Daily Meter'!K13-'Daily Meter'!K12)*480</f>
        <v>1200</v>
      </c>
      <c r="I9" s="5" t="n">
        <f aca="false">IF(('Daily Meter'!L13-'Daily Meter'!L12)&lt;0,"0",'Daily Meter'!L13-'Daily Meter'!L12)*480</f>
        <v>2064.00000000009</v>
      </c>
      <c r="J9" s="5" t="n">
        <f aca="false">IF(('Daily Meter'!M13-'Daily Meter'!M12)&lt;0,"0",'Daily Meter'!M13-'Daily Meter'!M12)*480</f>
        <v>5376.00000000035</v>
      </c>
      <c r="K9" s="5" t="n">
        <f aca="false">IF(('Daily Meter'!B13-'Daily Meter'!B12)&lt;0,"0",'Daily Meter'!B13-'Daily Meter'!B12)*284.34</f>
        <v>5402.46</v>
      </c>
      <c r="L9" s="5" t="n">
        <f aca="false">IF(('Daily Meter'!C13-'Daily Meter'!C12)&lt;0,"0",'Daily Meter'!C13-'Daily Meter'!C12)*219.969</f>
        <v>35634.978</v>
      </c>
      <c r="M9" s="5" t="n">
        <f aca="false">IF(('Daily Meter'!N13-'Daily Meter'!N12)&lt;0,"0",'Daily Meter'!N13-'Daily Meter'!N12)*3.7</f>
        <v>419.210000000011</v>
      </c>
      <c r="N9" s="5" t="n">
        <f aca="false">Total!K9</f>
        <v>308</v>
      </c>
      <c r="O9" s="1" t="s">
        <v>13</v>
      </c>
    </row>
    <row r="10" customFormat="false" ht="14.25" hidden="false" customHeight="false" outlineLevel="0" collapsed="false">
      <c r="A10" s="1" t="s">
        <v>12</v>
      </c>
      <c r="B10" s="1" t="n">
        <f aca="false">B9+1</f>
        <v>9</v>
      </c>
      <c r="C10" s="2" t="n">
        <v>1</v>
      </c>
      <c r="D10" s="1" t="n">
        <v>2024</v>
      </c>
      <c r="E10" s="5" t="n">
        <f aca="false">IF(('Daily Meter'!H14-'Daily Meter'!H13)&lt;0,"0",'Daily Meter'!H14-'Daily Meter'!H13)*480</f>
        <v>3264.00000000009</v>
      </c>
      <c r="F10" s="5" t="n">
        <f aca="false">IF(('Daily Meter'!I14-'Daily Meter'!I13)&lt;0,"0",'Daily Meter'!I14-'Daily Meter'!I13)*480</f>
        <v>1775.99999999991</v>
      </c>
      <c r="G10" s="5" t="n">
        <f aca="false">IF(('Daily Meter'!J14-'Daily Meter'!J13)&lt;0,"0",'Daily Meter'!J14-'Daily Meter'!J13)*480</f>
        <v>2207.99999999974</v>
      </c>
      <c r="H10" s="5" t="n">
        <f aca="false">IF(('Daily Meter'!K14-'Daily Meter'!K13)&lt;0,"0",'Daily Meter'!K14-'Daily Meter'!K13)*480</f>
        <v>1295.99999999991</v>
      </c>
      <c r="I10" s="5" t="n">
        <f aca="false">IF(('Daily Meter'!L14-'Daily Meter'!L13)&lt;0,"0",'Daily Meter'!L14-'Daily Meter'!L13)*480</f>
        <v>2112.00000000026</v>
      </c>
      <c r="J10" s="5" t="n">
        <f aca="false">IF(('Daily Meter'!M14-'Daily Meter'!M13)&lt;0,"0",'Daily Meter'!M14-'Daily Meter'!M13)*480</f>
        <v>5327.9999999993</v>
      </c>
      <c r="K10" s="5" t="n">
        <f aca="false">IF(('Daily Meter'!B14-'Daily Meter'!B13)&lt;0,"0",'Daily Meter'!B14-'Daily Meter'!B13)*284.34</f>
        <v>5914.27200000083</v>
      </c>
      <c r="L10" s="5" t="n">
        <f aca="false">IF(('Daily Meter'!C14-'Daily Meter'!C13)&lt;0,"0",'Daily Meter'!C14-'Daily Meter'!C13)*219.969</f>
        <v>28815.939</v>
      </c>
      <c r="M10" s="5" t="n">
        <f aca="false">IF(('Daily Meter'!N14-'Daily Meter'!N13)&lt;0,"0",'Daily Meter'!N14-'Daily Meter'!N13)*3.7</f>
        <v>444.739999999989</v>
      </c>
      <c r="N10" s="5" t="n">
        <f aca="false">Total!K10</f>
        <v>343</v>
      </c>
      <c r="O10" s="1" t="s">
        <v>13</v>
      </c>
    </row>
    <row r="11" customFormat="false" ht="14.25" hidden="false" customHeight="false" outlineLevel="0" collapsed="false">
      <c r="A11" s="1" t="s">
        <v>12</v>
      </c>
      <c r="B11" s="1" t="n">
        <f aca="false">B10+1</f>
        <v>10</v>
      </c>
      <c r="C11" s="2" t="n">
        <v>1</v>
      </c>
      <c r="D11" s="1" t="n">
        <v>2024</v>
      </c>
      <c r="E11" s="5" t="n">
        <f aca="false">IF(('Daily Meter'!H15-'Daily Meter'!H14)&lt;0,"0",'Daily Meter'!H15-'Daily Meter'!H14)*480</f>
        <v>3264.00000000009</v>
      </c>
      <c r="F11" s="5" t="n">
        <f aca="false">IF(('Daily Meter'!I15-'Daily Meter'!I14)&lt;0,"0",'Daily Meter'!I15-'Daily Meter'!I14)*480</f>
        <v>1967.99999999996</v>
      </c>
      <c r="G11" s="5" t="n">
        <f aca="false">IF(('Daily Meter'!J15-'Daily Meter'!J14)&lt;0,"0",'Daily Meter'!J15-'Daily Meter'!J14)*480</f>
        <v>2256.00000000035</v>
      </c>
      <c r="H11" s="5" t="n">
        <f aca="false">IF(('Daily Meter'!K15-'Daily Meter'!K14)&lt;0,"0",'Daily Meter'!K15-'Daily Meter'!K14)*480</f>
        <v>1344.00000000009</v>
      </c>
      <c r="I11" s="5" t="n">
        <f aca="false">IF(('Daily Meter'!L15-'Daily Meter'!L14)&lt;0,"0",'Daily Meter'!L15-'Daily Meter'!L14)*480</f>
        <v>2111.99999999983</v>
      </c>
      <c r="J11" s="5" t="n">
        <f aca="false">IF(('Daily Meter'!M15-'Daily Meter'!M14)&lt;0,"0",'Daily Meter'!M15-'Daily Meter'!M14)*480</f>
        <v>5232.0000000007</v>
      </c>
      <c r="K11" s="5" t="n">
        <f aca="false">IF(('Daily Meter'!B15-'Daily Meter'!B14)&lt;0,"0",'Daily Meter'!B15-'Daily Meter'!B14)*284.34</f>
        <v>5942.70600000041</v>
      </c>
      <c r="L11" s="5" t="n">
        <f aca="false">IF(('Daily Meter'!C15-'Daily Meter'!C14)&lt;0,"0",'Daily Meter'!C15-'Daily Meter'!C14)*219.969</f>
        <v>49053.087</v>
      </c>
      <c r="M11" s="5" t="n">
        <f aca="false">IF(('Daily Meter'!N15-'Daily Meter'!N14)&lt;0,"0",'Daily Meter'!N15-'Daily Meter'!N14)*3.7</f>
        <v>473.6</v>
      </c>
      <c r="N11" s="5" t="n">
        <f aca="false">Total!K11</f>
        <v>376</v>
      </c>
      <c r="O11" s="1" t="s">
        <v>13</v>
      </c>
    </row>
    <row r="12" customFormat="false" ht="14.25" hidden="false" customHeight="false" outlineLevel="0" collapsed="false">
      <c r="A12" s="1" t="s">
        <v>12</v>
      </c>
      <c r="B12" s="1" t="n">
        <f aca="false">B11+1</f>
        <v>11</v>
      </c>
      <c r="C12" s="2" t="n">
        <v>1</v>
      </c>
      <c r="D12" s="1" t="n">
        <v>2024</v>
      </c>
      <c r="E12" s="5" t="n">
        <f aca="false">IF(('Daily Meter'!H16-'Daily Meter'!H15)&lt;0,"0",'Daily Meter'!H16-'Daily Meter'!H15)*480</f>
        <v>3264.00000000009</v>
      </c>
      <c r="F12" s="5" t="n">
        <f aca="false">IF(('Daily Meter'!I16-'Daily Meter'!I15)&lt;0,"0",'Daily Meter'!I16-'Daily Meter'!I15)*480</f>
        <v>1920</v>
      </c>
      <c r="G12" s="5" t="n">
        <f aca="false">IF(('Daily Meter'!J16-'Daily Meter'!J15)&lt;0,"0",'Daily Meter'!J16-'Daily Meter'!J15)*480</f>
        <v>2207.99999999974</v>
      </c>
      <c r="H12" s="5" t="n">
        <f aca="false">IF(('Daily Meter'!K16-'Daily Meter'!K15)&lt;0,"0",'Daily Meter'!K16-'Daily Meter'!K15)*480</f>
        <v>1295.99999999991</v>
      </c>
      <c r="I12" s="5" t="n">
        <f aca="false">IF(('Daily Meter'!L16-'Daily Meter'!L15)&lt;0,"0",'Daily Meter'!L16-'Daily Meter'!L15)*480</f>
        <v>2160</v>
      </c>
      <c r="J12" s="5" t="n">
        <f aca="false">IF(('Daily Meter'!M16-'Daily Meter'!M15)&lt;0,"0",'Daily Meter'!M16-'Daily Meter'!M15)*480</f>
        <v>5327.9999999993</v>
      </c>
      <c r="K12" s="5" t="n">
        <f aca="false">IF(('Daily Meter'!B16-'Daily Meter'!B15)&lt;0,"0",'Daily Meter'!B16-'Daily Meter'!B15)*284.34</f>
        <v>5828.97</v>
      </c>
      <c r="L12" s="5" t="n">
        <f aca="false">IF(('Daily Meter'!C16-'Daily Meter'!C15)&lt;0,"0",'Daily Meter'!C16-'Daily Meter'!C15)*219.969</f>
        <v>18917.334</v>
      </c>
      <c r="M12" s="5" t="n">
        <f aca="false">IF(('Daily Meter'!N16-'Daily Meter'!N15)&lt;0,"0",'Daily Meter'!N16-'Daily Meter'!N15)*3.7</f>
        <v>397.75</v>
      </c>
      <c r="N12" s="5" t="n">
        <f aca="false">Total!K12</f>
        <v>303</v>
      </c>
      <c r="O12" s="1" t="s">
        <v>13</v>
      </c>
    </row>
    <row r="13" customFormat="false" ht="14.25" hidden="false" customHeight="false" outlineLevel="0" collapsed="false">
      <c r="A13" s="1" t="s">
        <v>12</v>
      </c>
      <c r="B13" s="1" t="n">
        <f aca="false">B12+1</f>
        <v>12</v>
      </c>
      <c r="C13" s="2" t="n">
        <v>1</v>
      </c>
      <c r="D13" s="1" t="n">
        <v>2024</v>
      </c>
      <c r="E13" s="5" t="n">
        <f aca="false">IF(('Daily Meter'!H17-'Daily Meter'!H16)&lt;0,"0",'Daily Meter'!H17-'Daily Meter'!H16)*480</f>
        <v>3407.99999999974</v>
      </c>
      <c r="F13" s="5" t="n">
        <f aca="false">IF(('Daily Meter'!I17-'Daily Meter'!I16)&lt;0,"0",'Daily Meter'!I17-'Daily Meter'!I16)*480</f>
        <v>1872.00000000004</v>
      </c>
      <c r="G13" s="5" t="n">
        <f aca="false">IF(('Daily Meter'!J17-'Daily Meter'!J16)&lt;0,"0",'Daily Meter'!J17-'Daily Meter'!J16)*480</f>
        <v>2304.00000000009</v>
      </c>
      <c r="H13" s="5" t="n">
        <f aca="false">IF(('Daily Meter'!K17-'Daily Meter'!K16)&lt;0,"0",'Daily Meter'!K17-'Daily Meter'!K16)*480</f>
        <v>1344.00000000009</v>
      </c>
      <c r="I13" s="5" t="n">
        <f aca="false">IF(('Daily Meter'!L17-'Daily Meter'!L16)&lt;0,"0",'Daily Meter'!L17-'Daily Meter'!L16)*480</f>
        <v>2160</v>
      </c>
      <c r="J13" s="5" t="n">
        <f aca="false">IF(('Daily Meter'!M17-'Daily Meter'!M16)&lt;0,"0",'Daily Meter'!M17-'Daily Meter'!M16)*480</f>
        <v>5424.00000000052</v>
      </c>
      <c r="K13" s="5" t="n">
        <f aca="false">IF(('Daily Meter'!B17-'Daily Meter'!B16)&lt;0,"0",'Daily Meter'!B17-'Daily Meter'!B16)*284.34</f>
        <v>5345.59199999876</v>
      </c>
      <c r="L13" s="5" t="n">
        <f aca="false">IF(('Daily Meter'!C17-'Daily Meter'!C16)&lt;0,"0",'Daily Meter'!C17-'Daily Meter'!C16)*219.969</f>
        <v>66870.576</v>
      </c>
      <c r="M13" s="5" t="n">
        <f aca="false">IF(('Daily Meter'!N17-'Daily Meter'!N16)&lt;0,"0",'Daily Meter'!N17-'Daily Meter'!N16)*3.7</f>
        <v>651.939999999989</v>
      </c>
      <c r="N13" s="5" t="n">
        <f aca="false">Total!K13</f>
        <v>242</v>
      </c>
      <c r="O13" s="1" t="s">
        <v>13</v>
      </c>
    </row>
    <row r="14" customFormat="false" ht="14.25" hidden="false" customHeight="false" outlineLevel="0" collapsed="false">
      <c r="A14" s="1" t="s">
        <v>12</v>
      </c>
      <c r="B14" s="1" t="n">
        <f aca="false">B13+1</f>
        <v>13</v>
      </c>
      <c r="C14" s="2" t="n">
        <v>1</v>
      </c>
      <c r="D14" s="1" t="n">
        <v>2024</v>
      </c>
      <c r="E14" s="5" t="n">
        <f aca="false">IF(('Daily Meter'!H18-'Daily Meter'!H17)&lt;0,"0",'Daily Meter'!H18-'Daily Meter'!H17)*480</f>
        <v>3455.99999999991</v>
      </c>
      <c r="F14" s="5" t="n">
        <f aca="false">IF(('Daily Meter'!I18-'Daily Meter'!I17)&lt;0,"0",'Daily Meter'!I18-'Daily Meter'!I17)*480</f>
        <v>1824.00000000009</v>
      </c>
      <c r="G14" s="5" t="n">
        <f aca="false">IF(('Daily Meter'!J18-'Daily Meter'!J17)&lt;0,"0",'Daily Meter'!J18-'Daily Meter'!J17)*480</f>
        <v>2351.99999999983</v>
      </c>
      <c r="H14" s="5" t="n">
        <f aca="false">IF(('Daily Meter'!K18-'Daily Meter'!K17)&lt;0,"0",'Daily Meter'!K18-'Daily Meter'!K17)*480</f>
        <v>1343.99999999987</v>
      </c>
      <c r="I14" s="5" t="n">
        <f aca="false">IF(('Daily Meter'!L18-'Daily Meter'!L17)&lt;0,"0",'Daily Meter'!L18-'Daily Meter'!L17)*480</f>
        <v>2208.00000000017</v>
      </c>
      <c r="J14" s="5" t="n">
        <f aca="false">IF(('Daily Meter'!M18-'Daily Meter'!M17)&lt;0,"0",'Daily Meter'!M18-'Daily Meter'!M17)*480</f>
        <v>5471.99999999983</v>
      </c>
      <c r="K14" s="5" t="n">
        <f aca="false">IF(('Daily Meter'!B18-'Daily Meter'!B17)&lt;0,"0",'Daily Meter'!B18-'Daily Meter'!B17)*284.34</f>
        <v>5288.72400000165</v>
      </c>
      <c r="L14" s="5" t="n">
        <f aca="false">IF(('Daily Meter'!C18-'Daily Meter'!C17)&lt;0,"0",'Daily Meter'!C18-'Daily Meter'!C17)*219.969</f>
        <v>55652.157</v>
      </c>
      <c r="M14" s="5" t="n">
        <f aca="false">IF(('Daily Meter'!N18-'Daily Meter'!N17)&lt;0,"0",'Daily Meter'!N18-'Daily Meter'!N17)*3.7</f>
        <v>589.780000000032</v>
      </c>
      <c r="N14" s="5" t="n">
        <f aca="false">Total!K14</f>
        <v>192</v>
      </c>
      <c r="O14" s="1" t="s">
        <v>13</v>
      </c>
    </row>
    <row r="15" customFormat="false" ht="14.25" hidden="false" customHeight="false" outlineLevel="0" collapsed="false">
      <c r="A15" s="1" t="s">
        <v>12</v>
      </c>
      <c r="B15" s="1" t="n">
        <f aca="false">B14+1</f>
        <v>14</v>
      </c>
      <c r="C15" s="2" t="n">
        <v>1</v>
      </c>
      <c r="D15" s="1" t="n">
        <v>2024</v>
      </c>
      <c r="E15" s="5" t="n">
        <f aca="false">IF(('Daily Meter'!H19-'Daily Meter'!H18)&lt;0,"0",'Daily Meter'!H19-'Daily Meter'!H18)*480</f>
        <v>3312.00000000026</v>
      </c>
      <c r="F15" s="5" t="n">
        <f aca="false">IF(('Daily Meter'!I19-'Daily Meter'!I18)&lt;0,"0",'Daily Meter'!I19-'Daily Meter'!I18)*480</f>
        <v>1680</v>
      </c>
      <c r="G15" s="5" t="n">
        <f aca="false">IF(('Daily Meter'!J19-'Daily Meter'!J18)&lt;0,"0",'Daily Meter'!J19-'Daily Meter'!J18)*480</f>
        <v>2208.00000000017</v>
      </c>
      <c r="H15" s="5" t="n">
        <f aca="false">IF(('Daily Meter'!K19-'Daily Meter'!K18)&lt;0,"0",'Daily Meter'!K19-'Daily Meter'!K18)*480</f>
        <v>1296.00000000013</v>
      </c>
      <c r="I15" s="5" t="n">
        <f aca="false">IF(('Daily Meter'!L19-'Daily Meter'!L18)&lt;0,"0",'Daily Meter'!L19-'Daily Meter'!L18)*480</f>
        <v>2111.99999999983</v>
      </c>
      <c r="J15" s="5" t="n">
        <f aca="false">IF(('Daily Meter'!M19-'Daily Meter'!M18)&lt;0,"0",'Daily Meter'!M19-'Daily Meter'!M18)*480</f>
        <v>5136.00000000035</v>
      </c>
      <c r="K15" s="5" t="n">
        <f aca="false">IF(('Daily Meter'!B19-'Daily Meter'!B18)&lt;0,"0",'Daily Meter'!B19-'Daily Meter'!B18)*284.34</f>
        <v>5260.29</v>
      </c>
      <c r="L15" s="5" t="n">
        <f aca="false">IF(('Daily Meter'!C19-'Daily Meter'!C18)&lt;0,"0",'Daily Meter'!C19-'Daily Meter'!C18)*219.969</f>
        <v>42234.048</v>
      </c>
      <c r="M15" s="5" t="n">
        <f aca="false">IF(('Daily Meter'!N19-'Daily Meter'!N18)&lt;0,"0",'Daily Meter'!N19-'Daily Meter'!N18)*3.7</f>
        <v>507.269999999968</v>
      </c>
      <c r="N15" s="5" t="n">
        <f aca="false">Total!K15</f>
        <v>225</v>
      </c>
      <c r="O15" s="1" t="s">
        <v>13</v>
      </c>
    </row>
    <row r="16" customFormat="false" ht="14.25" hidden="false" customHeight="false" outlineLevel="0" collapsed="false">
      <c r="A16" s="1" t="s">
        <v>12</v>
      </c>
      <c r="B16" s="1" t="n">
        <f aca="false">B15+1</f>
        <v>15</v>
      </c>
      <c r="C16" s="2" t="n">
        <v>1</v>
      </c>
      <c r="D16" s="1" t="n">
        <v>2024</v>
      </c>
      <c r="E16" s="5" t="n">
        <f aca="false">IF(('Daily Meter'!H20-'Daily Meter'!H19)&lt;0,"0",'Daily Meter'!H20-'Daily Meter'!H19)*480</f>
        <v>3215.99999999991</v>
      </c>
      <c r="F16" s="5" t="n">
        <f aca="false">IF(('Daily Meter'!I20-'Daily Meter'!I19)&lt;0,"0",'Daily Meter'!I20-'Daily Meter'!I19)*480</f>
        <v>1895.99999999991</v>
      </c>
      <c r="G16" s="5" t="n">
        <f aca="false">IF(('Daily Meter'!J20-'Daily Meter'!J19)&lt;0,"0",'Daily Meter'!J20-'Daily Meter'!J19)*480</f>
        <v>2064.00000000009</v>
      </c>
      <c r="H16" s="5" t="n">
        <f aca="false">IF(('Daily Meter'!K20-'Daily Meter'!K19)&lt;0,"0",'Daily Meter'!K20-'Daily Meter'!K19)*480</f>
        <v>1247.99999999996</v>
      </c>
      <c r="I16" s="5" t="n">
        <f aca="false">IF(('Daily Meter'!L20-'Daily Meter'!L19)&lt;0,"0",'Daily Meter'!L20-'Daily Meter'!L19)*480</f>
        <v>2111.99999999983</v>
      </c>
      <c r="J16" s="5" t="n">
        <f aca="false">IF(('Daily Meter'!M20-'Daily Meter'!M19)&lt;0,"0",'Daily Meter'!M20-'Daily Meter'!M19)*480</f>
        <v>4607.9999999993</v>
      </c>
      <c r="K16" s="5" t="n">
        <f aca="false">IF(('Daily Meter'!B20-'Daily Meter'!B19)&lt;0,"0",'Daily Meter'!B20-'Daily Meter'!B19)*284.34</f>
        <v>5402.46</v>
      </c>
      <c r="L16" s="5" t="n">
        <f aca="false">IF(('Daily Meter'!C20-'Daily Meter'!C19)&lt;0,"0",'Daily Meter'!C20-'Daily Meter'!C19)*219.969</f>
        <v>38054.637</v>
      </c>
      <c r="M16" s="5" t="n">
        <f aca="false">IF(('Daily Meter'!N20-'Daily Meter'!N19)&lt;0,"0",'Daily Meter'!N20-'Daily Meter'!N19)*3.7</f>
        <v>423.65</v>
      </c>
      <c r="N16" s="5" t="n">
        <f aca="false">Total!K16</f>
        <v>359</v>
      </c>
      <c r="O16" s="1" t="s">
        <v>13</v>
      </c>
    </row>
    <row r="17" customFormat="false" ht="14.25" hidden="false" customHeight="false" outlineLevel="0" collapsed="false">
      <c r="A17" s="1" t="s">
        <v>12</v>
      </c>
      <c r="B17" s="1" t="n">
        <f aca="false">B16+1</f>
        <v>16</v>
      </c>
      <c r="C17" s="2" t="n">
        <v>1</v>
      </c>
      <c r="D17" s="1" t="n">
        <v>2024</v>
      </c>
      <c r="E17" s="5" t="n">
        <f aca="false">IF(('Daily Meter'!H21-'Daily Meter'!H20)&lt;0,"0",'Daily Meter'!H21-'Daily Meter'!H20)*480</f>
        <v>3215.99999999991</v>
      </c>
      <c r="F17" s="5" t="n">
        <f aca="false">IF(('Daily Meter'!I21-'Daily Meter'!I20)&lt;0,"0",'Daily Meter'!I21-'Daily Meter'!I20)*480</f>
        <v>1656.00000000013</v>
      </c>
      <c r="G17" s="5" t="n">
        <f aca="false">IF(('Daily Meter'!J21-'Daily Meter'!J20)&lt;0,"0",'Daily Meter'!J21-'Daily Meter'!J20)*480</f>
        <v>2111.99999999983</v>
      </c>
      <c r="H17" s="5" t="n">
        <f aca="false">IF(('Daily Meter'!K21-'Daily Meter'!K20)&lt;0,"0",'Daily Meter'!K21-'Daily Meter'!K20)*480</f>
        <v>1295.99999999991</v>
      </c>
      <c r="I17" s="5" t="n">
        <f aca="false">IF(('Daily Meter'!L21-'Daily Meter'!L20)&lt;0,"0",'Daily Meter'!L21-'Daily Meter'!L20)*480</f>
        <v>2160</v>
      </c>
      <c r="J17" s="5" t="n">
        <f aca="false">IF(('Daily Meter'!M21-'Daily Meter'!M20)&lt;0,"0",'Daily Meter'!M21-'Daily Meter'!M20)*480</f>
        <v>4464.00000000052</v>
      </c>
      <c r="K17" s="5" t="n">
        <f aca="false">IF(('Daily Meter'!B21-'Daily Meter'!B20)&lt;0,"0",'Daily Meter'!B21-'Daily Meter'!B20)*284.34</f>
        <v>5516.19599999835</v>
      </c>
      <c r="L17" s="5" t="n">
        <f aca="false">IF(('Daily Meter'!C21-'Daily Meter'!C20)&lt;0,"0",'Daily Meter'!C21-'Daily Meter'!C20)*219.969</f>
        <v>37834.668</v>
      </c>
      <c r="M17" s="5" t="n">
        <f aca="false">IF(('Daily Meter'!N21-'Daily Meter'!N20)&lt;0,"0",'Daily Meter'!N21-'Daily Meter'!N20)*3.7</f>
        <v>434.010000000011</v>
      </c>
      <c r="N17" s="5" t="n">
        <f aca="false">Total!K17</f>
        <v>426</v>
      </c>
      <c r="O17" s="1" t="s">
        <v>13</v>
      </c>
    </row>
    <row r="18" customFormat="false" ht="14.25" hidden="false" customHeight="false" outlineLevel="0" collapsed="false">
      <c r="A18" s="1" t="s">
        <v>12</v>
      </c>
      <c r="B18" s="1" t="n">
        <f aca="false">B17+1</f>
        <v>17</v>
      </c>
      <c r="C18" s="2" t="n">
        <v>1</v>
      </c>
      <c r="D18" s="1" t="n">
        <v>2024</v>
      </c>
      <c r="E18" s="5" t="n">
        <f aca="false">IF(('Daily Meter'!H22-'Daily Meter'!H21)&lt;0,"0",'Daily Meter'!H22-'Daily Meter'!H21)*480</f>
        <v>3312.00000000026</v>
      </c>
      <c r="F18" s="5" t="n">
        <f aca="false">IF(('Daily Meter'!I22-'Daily Meter'!I21)&lt;0,"0",'Daily Meter'!I22-'Daily Meter'!I21)*480</f>
        <v>1920</v>
      </c>
      <c r="G18" s="5" t="n">
        <f aca="false">IF(('Daily Meter'!J22-'Daily Meter'!J21)&lt;0,"0",'Daily Meter'!J22-'Daily Meter'!J21)*480</f>
        <v>1968.00000000017</v>
      </c>
      <c r="H18" s="5" t="n">
        <f aca="false">IF(('Daily Meter'!K22-'Daily Meter'!K21)&lt;0,"0",'Daily Meter'!K22-'Daily Meter'!K21)*480</f>
        <v>1392.00000000004</v>
      </c>
      <c r="I18" s="5" t="n">
        <f aca="false">IF(('Daily Meter'!L22-'Daily Meter'!L21)&lt;0,"0",'Daily Meter'!L22-'Daily Meter'!L21)*480</f>
        <v>2160</v>
      </c>
      <c r="J18" s="5" t="n">
        <f aca="false">IF(('Daily Meter'!M22-'Daily Meter'!M21)&lt;0,"0",'Daily Meter'!M22-'Daily Meter'!M21)*480</f>
        <v>4320</v>
      </c>
      <c r="K18" s="5" t="n">
        <f aca="false">IF(('Daily Meter'!B22-'Daily Meter'!B21)&lt;0,"0",'Daily Meter'!B22-'Daily Meter'!B21)*284.34</f>
        <v>6482.95200000083</v>
      </c>
      <c r="L18" s="5" t="n">
        <f aca="false">IF(('Daily Meter'!C22-'Daily Meter'!C21)&lt;0,"0",'Daily Meter'!C22-'Daily Meter'!C21)*219.969</f>
        <v>43993.8</v>
      </c>
      <c r="M18" s="5" t="n">
        <f aca="false">IF(('Daily Meter'!N22-'Daily Meter'!N21)&lt;0,"0",'Daily Meter'!N22-'Daily Meter'!N21)*3.7</f>
        <v>548.339999999989</v>
      </c>
      <c r="N18" s="5" t="n">
        <f aca="false">Total!K18</f>
        <v>430</v>
      </c>
      <c r="O18" s="1" t="s">
        <v>13</v>
      </c>
    </row>
    <row r="19" customFormat="false" ht="14.25" hidden="false" customHeight="false" outlineLevel="0" collapsed="false">
      <c r="A19" s="1" t="s">
        <v>12</v>
      </c>
      <c r="B19" s="1" t="n">
        <f aca="false">B18+1</f>
        <v>18</v>
      </c>
      <c r="C19" s="2" t="n">
        <v>1</v>
      </c>
      <c r="D19" s="1" t="n">
        <v>2024</v>
      </c>
      <c r="E19" s="5" t="n">
        <f aca="false">IF(('Daily Meter'!H23-'Daily Meter'!H22)&lt;0,"0",'Daily Meter'!H23-'Daily Meter'!H22)*480</f>
        <v>3311.99999999983</v>
      </c>
      <c r="F19" s="5" t="n">
        <f aca="false">IF(('Daily Meter'!I23-'Daily Meter'!I22)&lt;0,"0",'Daily Meter'!I23-'Daily Meter'!I22)*480</f>
        <v>1871.99999999983</v>
      </c>
      <c r="G19" s="5" t="n">
        <f aca="false">IF(('Daily Meter'!J23-'Daily Meter'!J22)&lt;0,"0",'Daily Meter'!J23-'Daily Meter'!J22)*480</f>
        <v>2207.99999999974</v>
      </c>
      <c r="H19" s="5" t="n">
        <f aca="false">IF(('Daily Meter'!K23-'Daily Meter'!K22)&lt;0,"0",'Daily Meter'!K23-'Daily Meter'!K22)*480</f>
        <v>1344.00000000009</v>
      </c>
      <c r="I19" s="5" t="n">
        <f aca="false">IF(('Daily Meter'!L23-'Daily Meter'!L22)&lt;0,"0",'Daily Meter'!L23-'Daily Meter'!L22)*480</f>
        <v>2160</v>
      </c>
      <c r="J19" s="5" t="n">
        <f aca="false">IF(('Daily Meter'!M23-'Daily Meter'!M22)&lt;0,"0",'Daily Meter'!M23-'Daily Meter'!M22)*480</f>
        <v>4511.99999999983</v>
      </c>
      <c r="K19" s="5" t="n">
        <f aca="false">IF(('Daily Meter'!B23-'Daily Meter'!B22)&lt;0,"0",'Daily Meter'!B23-'Daily Meter'!B22)*284.34</f>
        <v>6141.74399999959</v>
      </c>
      <c r="L19" s="5" t="n">
        <f aca="false">IF(('Daily Meter'!C23-'Daily Meter'!C22)&lt;0,"0",'Daily Meter'!C23-'Daily Meter'!C22)*219.969</f>
        <v>45313.614</v>
      </c>
      <c r="M19" s="5" t="n">
        <f aca="false">IF(('Daily Meter'!N23-'Daily Meter'!N22)&lt;0,"0",'Daily Meter'!N23-'Daily Meter'!N22)*3.7</f>
        <v>545.010000000011</v>
      </c>
      <c r="N19" s="5" t="n">
        <f aca="false">Total!K19</f>
        <v>376</v>
      </c>
      <c r="O19" s="1" t="s">
        <v>13</v>
      </c>
    </row>
    <row r="20" customFormat="false" ht="14.25" hidden="false" customHeight="false" outlineLevel="0" collapsed="false">
      <c r="A20" s="1" t="s">
        <v>12</v>
      </c>
      <c r="B20" s="1" t="n">
        <f aca="false">B19+1</f>
        <v>19</v>
      </c>
      <c r="C20" s="2" t="n">
        <v>1</v>
      </c>
      <c r="D20" s="1" t="n">
        <v>2024</v>
      </c>
      <c r="E20" s="5" t="n">
        <f aca="false">IF(('Daily Meter'!H24-'Daily Meter'!H23)&lt;0,"0",'Daily Meter'!H24-'Daily Meter'!H23)*480</f>
        <v>3264.00000000009</v>
      </c>
      <c r="F20" s="5" t="n">
        <f aca="false">IF(('Daily Meter'!I24-'Daily Meter'!I23)&lt;0,"0",'Daily Meter'!I24-'Daily Meter'!I23)*480</f>
        <v>1920</v>
      </c>
      <c r="G20" s="5" t="n">
        <f aca="false">IF(('Daily Meter'!J24-'Daily Meter'!J23)&lt;0,"0",'Daily Meter'!J24-'Daily Meter'!J23)*480</f>
        <v>2160</v>
      </c>
      <c r="H20" s="5" t="n">
        <f aca="false">IF(('Daily Meter'!K24-'Daily Meter'!K23)&lt;0,"0",'Daily Meter'!K24-'Daily Meter'!K23)*480</f>
        <v>1440</v>
      </c>
      <c r="I20" s="5" t="n">
        <f aca="false">IF(('Daily Meter'!L24-'Daily Meter'!L23)&lt;0,"0",'Daily Meter'!L24-'Daily Meter'!L23)*480</f>
        <v>2160</v>
      </c>
      <c r="J20" s="5" t="n">
        <f aca="false">IF(('Daily Meter'!M24-'Daily Meter'!M23)&lt;0,"0",'Daily Meter'!M24-'Daily Meter'!M23)*480</f>
        <v>4800</v>
      </c>
      <c r="K20" s="5" t="n">
        <f aca="false">IF(('Daily Meter'!B24-'Daily Meter'!B23)&lt;0,"0",'Daily Meter'!B24-'Daily Meter'!B23)*284.34</f>
        <v>5772.10200000083</v>
      </c>
      <c r="L20" s="5" t="n">
        <f aca="false">IF(('Daily Meter'!C24-'Daily Meter'!C23)&lt;0,"0",'Daily Meter'!C24-'Daily Meter'!C23)*219.969</f>
        <v>42234.048</v>
      </c>
      <c r="M20" s="5" t="n">
        <f aca="false">IF(('Daily Meter'!N24-'Daily Meter'!N23)&lt;0,"0",'Daily Meter'!N24-'Daily Meter'!N23)*3.7</f>
        <v>535.020000000022</v>
      </c>
      <c r="N20" s="5" t="n">
        <f aca="false">Total!K20</f>
        <v>312</v>
      </c>
      <c r="O20" s="1" t="s">
        <v>13</v>
      </c>
    </row>
    <row r="21" customFormat="false" ht="14.25" hidden="false" customHeight="false" outlineLevel="0" collapsed="false">
      <c r="A21" s="1" t="s">
        <v>12</v>
      </c>
      <c r="B21" s="1" t="n">
        <f aca="false">B20+1</f>
        <v>20</v>
      </c>
      <c r="C21" s="2" t="n">
        <v>1</v>
      </c>
      <c r="D21" s="1" t="n">
        <v>2024</v>
      </c>
      <c r="E21" s="5" t="n">
        <f aca="false">IF(('Daily Meter'!H25-'Daily Meter'!H24)&lt;0,"0",'Daily Meter'!H25-'Daily Meter'!H24)*480</f>
        <v>3504.00000000009</v>
      </c>
      <c r="F21" s="5" t="n">
        <f aca="false">IF(('Daily Meter'!I25-'Daily Meter'!I24)&lt;0,"0",'Daily Meter'!I25-'Daily Meter'!I24)*480</f>
        <v>1920</v>
      </c>
      <c r="G21" s="5" t="n">
        <f aca="false">IF(('Daily Meter'!J25-'Daily Meter'!J24)&lt;0,"0",'Daily Meter'!J25-'Daily Meter'!J24)*480</f>
        <v>2112.00000000026</v>
      </c>
      <c r="H21" s="5" t="n">
        <f aca="false">IF(('Daily Meter'!K25-'Daily Meter'!K24)&lt;0,"0",'Daily Meter'!K25-'Daily Meter'!K24)*480</f>
        <v>1343.99999999987</v>
      </c>
      <c r="I21" s="5" t="n">
        <f aca="false">IF(('Daily Meter'!L25-'Daily Meter'!L24)&lt;0,"0",'Daily Meter'!L25-'Daily Meter'!L24)*480</f>
        <v>2160</v>
      </c>
      <c r="J21" s="5" t="n">
        <f aca="false">IF(('Daily Meter'!M25-'Daily Meter'!M24)&lt;0,"0",'Daily Meter'!M25-'Daily Meter'!M24)*480</f>
        <v>5520</v>
      </c>
      <c r="K21" s="5" t="n">
        <f aca="false">IF(('Daily Meter'!B25-'Daily Meter'!B24)&lt;0,"0",'Daily Meter'!B25-'Daily Meter'!B24)*284.34</f>
        <v>5942.70600000041</v>
      </c>
      <c r="L21" s="5" t="n">
        <f aca="false">IF(('Daily Meter'!C25-'Daily Meter'!C24)&lt;0,"0",'Daily Meter'!C25-'Daily Meter'!C24)*219.969</f>
        <v>39814.389</v>
      </c>
      <c r="M21" s="5" t="n">
        <f aca="false">IF(('Daily Meter'!N25-'Daily Meter'!N24)&lt;0,"0",'Daily Meter'!N25-'Daily Meter'!N24)*3.7</f>
        <v>515.409999999957</v>
      </c>
      <c r="N21" s="5" t="n">
        <f aca="false">Total!K21</f>
        <v>284</v>
      </c>
      <c r="O21" s="1" t="s">
        <v>13</v>
      </c>
    </row>
    <row r="22" customFormat="false" ht="14.25" hidden="false" customHeight="false" outlineLevel="0" collapsed="false">
      <c r="A22" s="1" t="s">
        <v>12</v>
      </c>
      <c r="B22" s="1" t="n">
        <f aca="false">B21+1</f>
        <v>21</v>
      </c>
      <c r="C22" s="2" t="n">
        <v>1</v>
      </c>
      <c r="D22" s="1" t="n">
        <v>2024</v>
      </c>
      <c r="E22" s="5" t="n">
        <f aca="false">IF(('Daily Meter'!H26-'Daily Meter'!H25)&lt;0,"0",'Daily Meter'!H26-'Daily Meter'!H25)*480</f>
        <v>3407.99999999974</v>
      </c>
      <c r="F22" s="5" t="n">
        <f aca="false">IF(('Daily Meter'!I26-'Daily Meter'!I25)&lt;0,"0",'Daily Meter'!I26-'Daily Meter'!I25)*480</f>
        <v>1824.00000000009</v>
      </c>
      <c r="G22" s="5" t="n">
        <f aca="false">IF(('Daily Meter'!J26-'Daily Meter'!J25)&lt;0,"0",'Daily Meter'!J26-'Daily Meter'!J25)*480</f>
        <v>2111.99999999983</v>
      </c>
      <c r="H22" s="5" t="n">
        <f aca="false">IF(('Daily Meter'!K26-'Daily Meter'!K25)&lt;0,"0",'Daily Meter'!K26-'Daily Meter'!K25)*480</f>
        <v>1392.00000000004</v>
      </c>
      <c r="I22" s="5" t="n">
        <f aca="false">IF(('Daily Meter'!L26-'Daily Meter'!L25)&lt;0,"0",'Daily Meter'!L26-'Daily Meter'!L25)*480</f>
        <v>2208.00000000017</v>
      </c>
      <c r="J22" s="5" t="n">
        <f aca="false">IF(('Daily Meter'!M26-'Daily Meter'!M25)&lt;0,"0",'Daily Meter'!M26-'Daily Meter'!M25)*480</f>
        <v>5711.99999999983</v>
      </c>
      <c r="K22" s="5" t="n">
        <f aca="false">IF(('Daily Meter'!B26-'Daily Meter'!B25)&lt;0,"0",'Daily Meter'!B26-'Daily Meter'!B25)*284.34</f>
        <v>6028.00799999917</v>
      </c>
      <c r="L22" s="5" t="n">
        <f aca="false">IF(('Daily Meter'!C26-'Daily Meter'!C25)&lt;0,"0",'Daily Meter'!C26-'Daily Meter'!C25)*219.969</f>
        <v>38494.575</v>
      </c>
      <c r="M22" s="5" t="n">
        <f aca="false">IF(('Daily Meter'!N26-'Daily Meter'!N25)&lt;0,"0",'Daily Meter'!N26-'Daily Meter'!N25)*3.7</f>
        <v>492.1</v>
      </c>
      <c r="N22" s="5" t="n">
        <f aca="false">Total!K22</f>
        <v>293</v>
      </c>
      <c r="O22" s="1" t="s">
        <v>13</v>
      </c>
    </row>
    <row r="23" customFormat="false" ht="14.25" hidden="false" customHeight="false" outlineLevel="0" collapsed="false">
      <c r="A23" s="1" t="s">
        <v>12</v>
      </c>
      <c r="B23" s="1" t="n">
        <f aca="false">B22+1</f>
        <v>22</v>
      </c>
      <c r="C23" s="2" t="n">
        <v>1</v>
      </c>
      <c r="D23" s="1" t="n">
        <v>2024</v>
      </c>
      <c r="E23" s="5" t="n">
        <f aca="false">IF(('Daily Meter'!H27-'Daily Meter'!H26)&lt;0,"0",'Daily Meter'!H27-'Daily Meter'!H26)*480</f>
        <v>3264.00000000009</v>
      </c>
      <c r="F23" s="5" t="n">
        <f aca="false">IF(('Daily Meter'!I27-'Daily Meter'!I26)&lt;0,"0",'Daily Meter'!I27-'Daily Meter'!I26)*480</f>
        <v>1824.00000000009</v>
      </c>
      <c r="G23" s="5" t="n">
        <f aca="false">IF(('Daily Meter'!J27-'Daily Meter'!J26)&lt;0,"0",'Daily Meter'!J27-'Daily Meter'!J26)*480</f>
        <v>2112.00000000026</v>
      </c>
      <c r="H23" s="5" t="n">
        <f aca="false">IF(('Daily Meter'!K27-'Daily Meter'!K26)&lt;0,"0",'Daily Meter'!K27-'Daily Meter'!K26)*480</f>
        <v>1296.00000000013</v>
      </c>
      <c r="I23" s="5" t="n">
        <f aca="false">IF(('Daily Meter'!L27-'Daily Meter'!L26)&lt;0,"0",'Daily Meter'!L27-'Daily Meter'!L26)*480</f>
        <v>2111.99999999983</v>
      </c>
      <c r="J23" s="5" t="n">
        <f aca="false">IF(('Daily Meter'!M27-'Daily Meter'!M26)&lt;0,"0",'Daily Meter'!M27-'Daily Meter'!M26)*480</f>
        <v>5520</v>
      </c>
      <c r="K23" s="5" t="n">
        <f aca="false">IF(('Daily Meter'!B27-'Daily Meter'!B26)&lt;0,"0",'Daily Meter'!B27-'Daily Meter'!B26)*284.34</f>
        <v>5658.36600000041</v>
      </c>
      <c r="L23" s="5" t="n">
        <f aca="false">IF(('Daily Meter'!C27-'Daily Meter'!C26)&lt;0,"0",'Daily Meter'!C27-'Daily Meter'!C26)*219.969</f>
        <v>26616.249</v>
      </c>
      <c r="M23" s="5" t="n">
        <f aca="false">IF(('Daily Meter'!N27-'Daily Meter'!N26)&lt;0,"0",'Daily Meter'!N27-'Daily Meter'!N26)*3.7</f>
        <v>455.470000000022</v>
      </c>
      <c r="N23" s="5" t="n">
        <f aca="false">Total!K23</f>
        <v>347</v>
      </c>
      <c r="O23" s="1" t="s">
        <v>13</v>
      </c>
    </row>
    <row r="24" customFormat="false" ht="14.25" hidden="false" customHeight="false" outlineLevel="0" collapsed="false">
      <c r="A24" s="1" t="s">
        <v>12</v>
      </c>
      <c r="B24" s="1" t="n">
        <f aca="false">B23+1</f>
        <v>23</v>
      </c>
      <c r="C24" s="2" t="n">
        <v>1</v>
      </c>
      <c r="D24" s="1" t="n">
        <v>2024</v>
      </c>
      <c r="E24" s="5" t="n">
        <f aca="false">IF(('Daily Meter'!H28-'Daily Meter'!H27)&lt;0,"0",'Daily Meter'!H28-'Daily Meter'!H27)*480</f>
        <v>3360</v>
      </c>
      <c r="F24" s="5" t="n">
        <f aca="false">IF(('Daily Meter'!I28-'Daily Meter'!I27)&lt;0,"0",'Daily Meter'!I28-'Daily Meter'!I27)*480</f>
        <v>1920</v>
      </c>
      <c r="G24" s="5" t="n">
        <f aca="false">IF(('Daily Meter'!J28-'Daily Meter'!J27)&lt;0,"0",'Daily Meter'!J28-'Daily Meter'!J27)*480</f>
        <v>2063.99999999965</v>
      </c>
      <c r="H24" s="5" t="n">
        <f aca="false">IF(('Daily Meter'!K28-'Daily Meter'!K27)&lt;0,"0",'Daily Meter'!K28-'Daily Meter'!K27)*480</f>
        <v>1343.99999999987</v>
      </c>
      <c r="I24" s="5" t="n">
        <f aca="false">IF(('Daily Meter'!L28-'Daily Meter'!L27)&lt;0,"0",'Daily Meter'!L28-'Daily Meter'!L27)*480</f>
        <v>2160</v>
      </c>
      <c r="J24" s="5" t="n">
        <f aca="false">IF(('Daily Meter'!M28-'Daily Meter'!M27)&lt;0,"0",'Daily Meter'!M28-'Daily Meter'!M27)*480</f>
        <v>5711.99999999983</v>
      </c>
      <c r="K24" s="5" t="n">
        <f aca="false">IF(('Daily Meter'!B28-'Daily Meter'!B27)&lt;0,"0",'Daily Meter'!B28-'Daily Meter'!B27)*284.34</f>
        <v>5885.83799999917</v>
      </c>
      <c r="L24" s="5" t="n">
        <f aca="false">IF(('Daily Meter'!C28-'Daily Meter'!C27)&lt;0,"0",'Daily Meter'!C28-'Daily Meter'!C27)*219.969</f>
        <v>44433.738</v>
      </c>
      <c r="M24" s="5" t="n">
        <f aca="false">IF(('Daily Meter'!N28-'Daily Meter'!N27)&lt;0,"0",'Daily Meter'!N28-'Daily Meter'!N27)*3.7</f>
        <v>493.210000000011</v>
      </c>
      <c r="N24" s="5" t="n">
        <f aca="false">Total!K24</f>
        <v>357</v>
      </c>
      <c r="O24" s="1" t="s">
        <v>13</v>
      </c>
    </row>
    <row r="25" customFormat="false" ht="14.25" hidden="false" customHeight="false" outlineLevel="0" collapsed="false">
      <c r="A25" s="1" t="s">
        <v>12</v>
      </c>
      <c r="B25" s="1" t="n">
        <f aca="false">B24+1</f>
        <v>24</v>
      </c>
      <c r="C25" s="2" t="n">
        <v>1</v>
      </c>
      <c r="D25" s="1" t="n">
        <v>2024</v>
      </c>
      <c r="E25" s="5" t="n">
        <f aca="false">IF(('Daily Meter'!H29-'Daily Meter'!H28)&lt;0,"0",'Daily Meter'!H29-'Daily Meter'!H28)*480</f>
        <v>3360</v>
      </c>
      <c r="F25" s="5" t="n">
        <f aca="false">IF(('Daily Meter'!I29-'Daily Meter'!I28)&lt;0,"0",'Daily Meter'!I29-'Daily Meter'!I28)*480</f>
        <v>2015.99999999991</v>
      </c>
      <c r="G25" s="5" t="n">
        <f aca="false">IF(('Daily Meter'!J29-'Daily Meter'!J28)&lt;0,"0",'Daily Meter'!J29-'Daily Meter'!J28)*480</f>
        <v>2160</v>
      </c>
      <c r="H25" s="5" t="n">
        <f aca="false">IF(('Daily Meter'!K29-'Daily Meter'!K28)&lt;0,"0",'Daily Meter'!K29-'Daily Meter'!K28)*480</f>
        <v>1536.00000000013</v>
      </c>
      <c r="I25" s="5" t="n">
        <f aca="false">IF(('Daily Meter'!L29-'Daily Meter'!L28)&lt;0,"0",'Daily Meter'!L29-'Daily Meter'!L28)*480</f>
        <v>2208.00000000017</v>
      </c>
      <c r="J25" s="5" t="n">
        <f aca="false">IF(('Daily Meter'!M29-'Daily Meter'!M28)&lt;0,"0",'Daily Meter'!M29-'Daily Meter'!M28)*480</f>
        <v>5808.00000000018</v>
      </c>
      <c r="K25" s="5" t="n">
        <f aca="false">IF(('Daily Meter'!B29-'Daily Meter'!B28)&lt;0,"0",'Daily Meter'!B29-'Daily Meter'!B28)*284.34</f>
        <v>6141.74399999959</v>
      </c>
      <c r="L25" s="5" t="n">
        <f aca="false">IF(('Daily Meter'!C29-'Daily Meter'!C28)&lt;0,"0",'Daily Meter'!C29-'Daily Meter'!C28)*219.969</f>
        <v>40034.358</v>
      </c>
      <c r="M25" s="5" t="n">
        <f aca="false">IF(('Daily Meter'!N29-'Daily Meter'!N28)&lt;0,"0",'Daily Meter'!N29-'Daily Meter'!N28)*3.7</f>
        <v>504.310000000011</v>
      </c>
      <c r="N25" s="5" t="n">
        <f aca="false">Total!K25</f>
        <v>366</v>
      </c>
      <c r="O25" s="1" t="s">
        <v>13</v>
      </c>
    </row>
    <row r="26" customFormat="false" ht="14.25" hidden="false" customHeight="false" outlineLevel="0" collapsed="false">
      <c r="A26" s="1" t="s">
        <v>12</v>
      </c>
      <c r="B26" s="1" t="n">
        <f aca="false">B25+1</f>
        <v>25</v>
      </c>
      <c r="C26" s="2" t="n">
        <v>1</v>
      </c>
      <c r="D26" s="1" t="n">
        <v>2024</v>
      </c>
      <c r="E26" s="5" t="n">
        <f aca="false">IF(('Daily Meter'!H30-'Daily Meter'!H29)&lt;0,"0",'Daily Meter'!H30-'Daily Meter'!H29)*480</f>
        <v>3360</v>
      </c>
      <c r="F26" s="5" t="n">
        <f aca="false">IF(('Daily Meter'!I30-'Daily Meter'!I29)&lt;0,"0",'Daily Meter'!I30-'Daily Meter'!I29)*480</f>
        <v>2015.99999999991</v>
      </c>
      <c r="G26" s="5" t="n">
        <f aca="false">IF(('Daily Meter'!J30-'Daily Meter'!J29)&lt;0,"0",'Daily Meter'!J30-'Daily Meter'!J29)*480</f>
        <v>2160</v>
      </c>
      <c r="H26" s="5" t="n">
        <f aca="false">IF(('Daily Meter'!K30-'Daily Meter'!K29)&lt;0,"0",'Daily Meter'!K30-'Daily Meter'!K29)*480</f>
        <v>1440</v>
      </c>
      <c r="I26" s="5" t="n">
        <f aca="false">IF(('Daily Meter'!L30-'Daily Meter'!L29)&lt;0,"0",'Daily Meter'!L30-'Daily Meter'!L29)*480</f>
        <v>2160</v>
      </c>
      <c r="J26" s="5" t="n">
        <f aca="false">IF(('Daily Meter'!M30-'Daily Meter'!M29)&lt;0,"0",'Daily Meter'!M30-'Daily Meter'!M29)*480</f>
        <v>5664.00000000052</v>
      </c>
      <c r="K26" s="5" t="n">
        <f aca="false">IF(('Daily Meter'!B30-'Daily Meter'!B29)&lt;0,"0",'Daily Meter'!B30-'Daily Meter'!B29)*284.34</f>
        <v>5430.89400000166</v>
      </c>
      <c r="L26" s="5" t="n">
        <f aca="false">IF(('Daily Meter'!C30-'Daily Meter'!C29)&lt;0,"0",'Daily Meter'!C30-'Daily Meter'!C29)*219.969</f>
        <v>37834.668</v>
      </c>
      <c r="M26" s="5" t="n">
        <f aca="false">IF(('Daily Meter'!N30-'Daily Meter'!N29)&lt;0,"0",'Daily Meter'!N30-'Daily Meter'!N29)*3.7</f>
        <v>472.119999999968</v>
      </c>
      <c r="N26" s="5" t="n">
        <f aca="false">Total!K26</f>
        <v>407</v>
      </c>
      <c r="O26" s="1" t="s">
        <v>13</v>
      </c>
    </row>
    <row r="27" customFormat="false" ht="14.25" hidden="false" customHeight="false" outlineLevel="0" collapsed="false">
      <c r="A27" s="1" t="s">
        <v>12</v>
      </c>
      <c r="B27" s="1" t="n">
        <f aca="false">B26+1</f>
        <v>26</v>
      </c>
      <c r="C27" s="2" t="n">
        <v>1</v>
      </c>
      <c r="D27" s="1" t="n">
        <v>2024</v>
      </c>
      <c r="E27" s="5" t="n">
        <f aca="false">IF(('Daily Meter'!H31-'Daily Meter'!H30)&lt;0,"0",'Daily Meter'!H31-'Daily Meter'!H30)*480</f>
        <v>3311.99999999983</v>
      </c>
      <c r="F27" s="5" t="n">
        <f aca="false">IF(('Daily Meter'!I31-'Daily Meter'!I30)&lt;0,"0",'Daily Meter'!I31-'Daily Meter'!I30)*480</f>
        <v>1968.00000000017</v>
      </c>
      <c r="G27" s="5" t="n">
        <f aca="false">IF(('Daily Meter'!J31-'Daily Meter'!J30)&lt;0,"0",'Daily Meter'!J31-'Daily Meter'!J30)*480</f>
        <v>2112.00000000026</v>
      </c>
      <c r="H27" s="5" t="n">
        <f aca="false">IF(('Daily Meter'!K31-'Daily Meter'!K30)&lt;0,"0",'Daily Meter'!K31-'Daily Meter'!K30)*480</f>
        <v>1487.99999999996</v>
      </c>
      <c r="I27" s="5" t="n">
        <f aca="false">IF(('Daily Meter'!L31-'Daily Meter'!L30)&lt;0,"0",'Daily Meter'!L31-'Daily Meter'!L30)*480</f>
        <v>2160</v>
      </c>
      <c r="J27" s="5" t="n">
        <f aca="false">IF(('Daily Meter'!M31-'Daily Meter'!M30)&lt;0,"0",'Daily Meter'!M31-'Daily Meter'!M30)*480</f>
        <v>5663.99999999965</v>
      </c>
      <c r="K27" s="5" t="n">
        <f aca="false">IF(('Daily Meter'!B31-'Daily Meter'!B30)&lt;0,"0",'Daily Meter'!B31-'Daily Meter'!B30)*284.34</f>
        <v>5772.10199999876</v>
      </c>
      <c r="L27" s="5" t="n">
        <f aca="false">IF(('Daily Meter'!C31-'Daily Meter'!C30)&lt;0,"0",'Daily Meter'!C31-'Daily Meter'!C30)*219.969</f>
        <v>37174.761</v>
      </c>
      <c r="M27" s="5" t="n">
        <f aca="false">IF(('Daily Meter'!N31-'Daily Meter'!N30)&lt;0,"0",'Daily Meter'!N31-'Daily Meter'!N30)*3.7</f>
        <v>494.320000000022</v>
      </c>
      <c r="N27" s="5" t="n">
        <f aca="false">Total!K27</f>
        <v>0</v>
      </c>
      <c r="O27" s="1" t="s">
        <v>13</v>
      </c>
    </row>
    <row r="28" customFormat="false" ht="14.25" hidden="false" customHeight="false" outlineLevel="0" collapsed="false">
      <c r="A28" s="1" t="s">
        <v>12</v>
      </c>
      <c r="B28" s="1" t="n">
        <f aca="false">B27+1</f>
        <v>27</v>
      </c>
      <c r="C28" s="2" t="n">
        <v>1</v>
      </c>
      <c r="D28" s="1" t="n">
        <v>2024</v>
      </c>
      <c r="E28" s="5" t="n">
        <f aca="false">IF(('Daily Meter'!H32-'Daily Meter'!H31)&lt;0,"0",'Daily Meter'!H32-'Daily Meter'!H31)*480</f>
        <v>0</v>
      </c>
      <c r="F28" s="5" t="n">
        <f aca="false">IF(('Daily Meter'!I32-'Daily Meter'!I31)&lt;0,"0",'Daily Meter'!I32-'Daily Meter'!I31)*480</f>
        <v>0</v>
      </c>
      <c r="G28" s="5" t="n">
        <f aca="false">IF(('Daily Meter'!J32-'Daily Meter'!J31)&lt;0,"0",'Daily Meter'!J32-'Daily Meter'!J31)*480</f>
        <v>0</v>
      </c>
      <c r="H28" s="5" t="n">
        <f aca="false">IF(('Daily Meter'!K32-'Daily Meter'!K31)&lt;0,"0",'Daily Meter'!K32-'Daily Meter'!K31)*480</f>
        <v>0</v>
      </c>
      <c r="I28" s="5" t="n">
        <f aca="false">IF(('Daily Meter'!L32-'Daily Meter'!L31)&lt;0,"0",'Daily Meter'!L32-'Daily Meter'!L31)*480</f>
        <v>0</v>
      </c>
      <c r="J28" s="5" t="n">
        <f aca="false">IF(('Daily Meter'!M32-'Daily Meter'!M31)&lt;0,"0",'Daily Meter'!M32-'Daily Meter'!M31)*480</f>
        <v>0</v>
      </c>
      <c r="K28" s="5" t="n">
        <f aca="false">IF(('Daily Meter'!B32-'Daily Meter'!B31)&lt;0,"0",'Daily Meter'!B32-'Daily Meter'!B31)*284.34</f>
        <v>0</v>
      </c>
      <c r="L28" s="5" t="n">
        <f aca="false">IF(('Daily Meter'!C32-'Daily Meter'!C31)&lt;0,"0",'Daily Meter'!C32-'Daily Meter'!C31)*219.969</f>
        <v>0</v>
      </c>
      <c r="M28" s="5" t="n">
        <f aca="false">IF(('Daily Meter'!N32-'Daily Meter'!N31)&lt;0,"0",'Daily Meter'!N32-'Daily Meter'!N31)*3.7</f>
        <v>0</v>
      </c>
      <c r="N28" s="5" t="n">
        <f aca="false">Total!K28</f>
        <v>0</v>
      </c>
      <c r="O28" s="1" t="s">
        <v>13</v>
      </c>
    </row>
    <row r="29" customFormat="false" ht="14.25" hidden="false" customHeight="false" outlineLevel="0" collapsed="false">
      <c r="A29" s="1" t="s">
        <v>12</v>
      </c>
      <c r="B29" s="1" t="n">
        <f aca="false">B28+1</f>
        <v>28</v>
      </c>
      <c r="C29" s="2" t="n">
        <v>1</v>
      </c>
      <c r="D29" s="1" t="n">
        <v>2024</v>
      </c>
      <c r="E29" s="5" t="n">
        <f aca="false">IF(('Daily Meter'!H33-'Daily Meter'!H32)&lt;0,"0",'Daily Meter'!H33-'Daily Meter'!H32)*480</f>
        <v>0</v>
      </c>
      <c r="F29" s="5" t="n">
        <f aca="false">IF(('Daily Meter'!I33-'Daily Meter'!I32)&lt;0,"0",'Daily Meter'!I33-'Daily Meter'!I32)*480</f>
        <v>0</v>
      </c>
      <c r="G29" s="5" t="n">
        <f aca="false">IF(('Daily Meter'!J33-'Daily Meter'!J32)&lt;0,"0",'Daily Meter'!J33-'Daily Meter'!J32)*480</f>
        <v>0</v>
      </c>
      <c r="H29" s="5" t="n">
        <f aca="false">IF(('Daily Meter'!K33-'Daily Meter'!K32)&lt;0,"0",'Daily Meter'!K33-'Daily Meter'!K32)*480</f>
        <v>0</v>
      </c>
      <c r="I29" s="5" t="n">
        <f aca="false">IF(('Daily Meter'!L33-'Daily Meter'!L32)&lt;0,"0",'Daily Meter'!L33-'Daily Meter'!L32)*480</f>
        <v>0</v>
      </c>
      <c r="J29" s="5" t="n">
        <f aca="false">IF(('Daily Meter'!M33-'Daily Meter'!M32)&lt;0,"0",'Daily Meter'!M33-'Daily Meter'!M32)*480</f>
        <v>0</v>
      </c>
      <c r="K29" s="5" t="n">
        <f aca="false">IF(('Daily Meter'!B33-'Daily Meter'!B32)&lt;0,"0",'Daily Meter'!B33-'Daily Meter'!B32)*284.34</f>
        <v>0</v>
      </c>
      <c r="L29" s="5" t="n">
        <f aca="false">IF(('Daily Meter'!C33-'Daily Meter'!C32)&lt;0,"0",'Daily Meter'!C33-'Daily Meter'!C32)*219.969</f>
        <v>0</v>
      </c>
      <c r="M29" s="5" t="n">
        <f aca="false">IF(('Daily Meter'!N33-'Daily Meter'!N32)&lt;0,"0",'Daily Meter'!N33-'Daily Meter'!N32)*3.7</f>
        <v>0</v>
      </c>
      <c r="N29" s="5" t="n">
        <f aca="false">Total!K29</f>
        <v>0</v>
      </c>
      <c r="O29" s="1" t="s">
        <v>13</v>
      </c>
    </row>
    <row r="30" customFormat="false" ht="14.25" hidden="false" customHeight="false" outlineLevel="0" collapsed="false">
      <c r="A30" s="1" t="s">
        <v>12</v>
      </c>
      <c r="B30" s="1" t="n">
        <f aca="false">B29+1</f>
        <v>29</v>
      </c>
      <c r="C30" s="2" t="n">
        <v>1</v>
      </c>
      <c r="D30" s="1" t="n">
        <v>2024</v>
      </c>
      <c r="E30" s="5" t="n">
        <f aca="false">IF(('Daily Meter'!H34-'Daily Meter'!H33)&lt;0,"0",'Daily Meter'!H34-'Daily Meter'!H33)*480</f>
        <v>0</v>
      </c>
      <c r="F30" s="5" t="n">
        <f aca="false">IF(('Daily Meter'!I34-'Daily Meter'!I33)&lt;0,"0",'Daily Meter'!I34-'Daily Meter'!I33)*480</f>
        <v>0</v>
      </c>
      <c r="G30" s="5" t="n">
        <f aca="false">IF(('Daily Meter'!J34-'Daily Meter'!J33)&lt;0,"0",'Daily Meter'!J34-'Daily Meter'!J33)*480</f>
        <v>0</v>
      </c>
      <c r="H30" s="5" t="n">
        <f aca="false">IF(('Daily Meter'!K34-'Daily Meter'!K33)&lt;0,"0",'Daily Meter'!K34-'Daily Meter'!K33)*480</f>
        <v>0</v>
      </c>
      <c r="I30" s="5" t="n">
        <f aca="false">IF(('Daily Meter'!L34-'Daily Meter'!L33)&lt;0,"0",'Daily Meter'!L34-'Daily Meter'!L33)*480</f>
        <v>0</v>
      </c>
      <c r="J30" s="5" t="n">
        <f aca="false">IF(('Daily Meter'!M34-'Daily Meter'!M33)&lt;0,"0",'Daily Meter'!M34-'Daily Meter'!M33)*480</f>
        <v>0</v>
      </c>
      <c r="K30" s="5" t="n">
        <f aca="false">IF(('Daily Meter'!B34-'Daily Meter'!B33)&lt;0,"0",'Daily Meter'!B34-'Daily Meter'!B33)*284.34</f>
        <v>0</v>
      </c>
      <c r="L30" s="5" t="n">
        <f aca="false">IF(('Daily Meter'!C34-'Daily Meter'!C33)&lt;0,"0",'Daily Meter'!C34-'Daily Meter'!C33)*219.969</f>
        <v>0</v>
      </c>
      <c r="M30" s="5" t="n">
        <f aca="false">IF(('Daily Meter'!N34-'Daily Meter'!N33)&lt;0,"0",'Daily Meter'!N34-'Daily Meter'!N33)*3.7</f>
        <v>0</v>
      </c>
      <c r="N30" s="5" t="n">
        <f aca="false">Total!K30</f>
        <v>0</v>
      </c>
      <c r="O30" s="1" t="s">
        <v>13</v>
      </c>
    </row>
    <row r="31" customFormat="false" ht="14.25" hidden="false" customHeight="false" outlineLevel="0" collapsed="false">
      <c r="A31" s="1" t="s">
        <v>12</v>
      </c>
      <c r="B31" s="1" t="n">
        <f aca="false">B30+1</f>
        <v>30</v>
      </c>
      <c r="C31" s="2" t="n">
        <v>1</v>
      </c>
      <c r="D31" s="1" t="n">
        <v>2024</v>
      </c>
      <c r="E31" s="5" t="n">
        <f aca="false">IF(('Daily Meter'!H35-'Daily Meter'!H34)&lt;0,"0",'Daily Meter'!H35-'Daily Meter'!H34)*480</f>
        <v>0</v>
      </c>
      <c r="F31" s="5" t="n">
        <f aca="false">IF(('Daily Meter'!I35-'Daily Meter'!I34)&lt;0,"0",'Daily Meter'!I35-'Daily Meter'!I34)*480</f>
        <v>0</v>
      </c>
      <c r="G31" s="5" t="n">
        <f aca="false">IF(('Daily Meter'!J35-'Daily Meter'!J34)&lt;0,"0",'Daily Meter'!J35-'Daily Meter'!J34)*480</f>
        <v>0</v>
      </c>
      <c r="H31" s="5" t="n">
        <f aca="false">IF(('Daily Meter'!K35-'Daily Meter'!K34)&lt;0,"0",'Daily Meter'!K35-'Daily Meter'!K34)*480</f>
        <v>0</v>
      </c>
      <c r="I31" s="5" t="n">
        <f aca="false">IF(('Daily Meter'!L35-'Daily Meter'!L34)&lt;0,"0",'Daily Meter'!L35-'Daily Meter'!L34)*480</f>
        <v>0</v>
      </c>
      <c r="J31" s="5" t="n">
        <f aca="false">IF(('Daily Meter'!M35-'Daily Meter'!M34)&lt;0,"0",'Daily Meter'!M35-'Daily Meter'!M34)*480</f>
        <v>0</v>
      </c>
      <c r="K31" s="5" t="n">
        <f aca="false">IF(('Daily Meter'!B35-'Daily Meter'!B34)&lt;0,"0",'Daily Meter'!B35-'Daily Meter'!B34)*284.34</f>
        <v>0</v>
      </c>
      <c r="L31" s="5" t="n">
        <f aca="false">IF(('Daily Meter'!C35-'Daily Meter'!C34)&lt;0,"0",'Daily Meter'!C35-'Daily Meter'!C34)*219.969</f>
        <v>0</v>
      </c>
      <c r="M31" s="5" t="n">
        <f aca="false">IF(('Daily Meter'!N35-'Daily Meter'!N34)&lt;0,"0",'Daily Meter'!N35-'Daily Meter'!N34)*3.7</f>
        <v>0</v>
      </c>
      <c r="N31" s="5" t="n">
        <f aca="false">Total!K31</f>
        <v>0</v>
      </c>
      <c r="O31" s="1" t="s">
        <v>13</v>
      </c>
    </row>
    <row r="32" customFormat="false" ht="14.25" hidden="false" customHeight="false" outlineLevel="0" collapsed="false">
      <c r="A32" s="1" t="s">
        <v>12</v>
      </c>
      <c r="B32" s="1" t="n">
        <f aca="false">B31+1</f>
        <v>31</v>
      </c>
      <c r="C32" s="2" t="n">
        <v>1</v>
      </c>
      <c r="D32" s="1" t="n">
        <v>2024</v>
      </c>
      <c r="E32" s="5" t="n">
        <f aca="false">IF(('Daily Meter'!H36-'Daily Meter'!H35)&lt;0,"0",'Daily Meter'!H36-'Daily Meter'!H35)*480</f>
        <v>0</v>
      </c>
      <c r="F32" s="5" t="n">
        <f aca="false">IF(('Daily Meter'!I36-'Daily Meter'!I35)&lt;0,"0",'Daily Meter'!I36-'Daily Meter'!I35)*480</f>
        <v>0</v>
      </c>
      <c r="G32" s="5" t="n">
        <f aca="false">IF(('Daily Meter'!J36-'Daily Meter'!J35)&lt;0,"0",'Daily Meter'!J36-'Daily Meter'!J35)*480</f>
        <v>0</v>
      </c>
      <c r="H32" s="5" t="n">
        <f aca="false">IF(('Daily Meter'!K36-'Daily Meter'!K35)&lt;0,"0",'Daily Meter'!K36-'Daily Meter'!K35)*480</f>
        <v>0</v>
      </c>
      <c r="I32" s="5" t="n">
        <f aca="false">IF(('Daily Meter'!L36-'Daily Meter'!L35)&lt;0,"0",'Daily Meter'!L36-'Daily Meter'!L35)*480</f>
        <v>0</v>
      </c>
      <c r="J32" s="5" t="n">
        <f aca="false">IF(('Daily Meter'!M36-'Daily Meter'!M35)&lt;0,"0",'Daily Meter'!M36-'Daily Meter'!M35)*480</f>
        <v>0</v>
      </c>
      <c r="K32" s="5" t="n">
        <f aca="false">IF(('Daily Meter'!B36-'Daily Meter'!B35)&lt;0,"0",'Daily Meter'!B36-'Daily Meter'!B35)*284.34</f>
        <v>0</v>
      </c>
      <c r="L32" s="5" t="n">
        <f aca="false">IF(('Daily Meter'!C36-'Daily Meter'!C35)&lt;0,"0",'Daily Meter'!C36-'Daily Meter'!C35)*219.969</f>
        <v>0</v>
      </c>
      <c r="M32" s="5" t="n">
        <f aca="false">IF(('Daily Meter'!N36-'Daily Meter'!N35)&lt;0,"0",'Daily Meter'!N36-'Daily Meter'!N35)*3.7</f>
        <v>0</v>
      </c>
      <c r="N32" s="5" t="n">
        <f aca="false">Total!K32</f>
        <v>0</v>
      </c>
      <c r="O32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A1:Q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I12" activeCellId="1" sqref="A28:K32 I1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4" width="9.15"/>
    <col collapsed="false" customWidth="true" hidden="false" outlineLevel="0" max="2" min="2" style="14" width="17.26"/>
    <col collapsed="false" customWidth="true" hidden="false" outlineLevel="0" max="3" min="3" style="15" width="14.68"/>
    <col collapsed="false" customWidth="true" hidden="true" outlineLevel="0" max="4" min="4" style="14" width="8.68"/>
    <col collapsed="false" customWidth="true" hidden="true" outlineLevel="0" max="5" min="5" style="14" width="5.41"/>
    <col collapsed="false" customWidth="true" hidden="true" outlineLevel="0" max="6" min="6" style="14" width="6.58"/>
    <col collapsed="false" customWidth="true" hidden="true" outlineLevel="0" max="7" min="7" style="14" width="6.84"/>
    <col collapsed="false" customWidth="true" hidden="false" outlineLevel="0" max="13" min="8" style="0" width="12.69"/>
    <col collapsed="false" customWidth="true" hidden="false" outlineLevel="0" max="14" min="14" style="1" width="17.15"/>
    <col collapsed="false" customWidth="true" hidden="false" outlineLevel="0" max="15" min="15" style="1" width="10.84"/>
  </cols>
  <sheetData>
    <row r="1" customFormat="false" ht="25.5" hidden="false" customHeight="true" outlineLevel="0" collapsed="false">
      <c r="A1" s="16" t="s">
        <v>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Q1" s="17" t="s">
        <v>24</v>
      </c>
    </row>
    <row r="2" s="13" customFormat="true" ht="14.25" hidden="false" customHeight="false" outlineLevel="0" collapsed="false">
      <c r="A2" s="18"/>
      <c r="B2" s="19" t="s">
        <v>25</v>
      </c>
      <c r="C2" s="20" t="s">
        <v>26</v>
      </c>
      <c r="D2" s="20"/>
      <c r="E2" s="20"/>
      <c r="F2" s="20"/>
      <c r="G2" s="20"/>
      <c r="H2" s="21" t="s">
        <v>27</v>
      </c>
      <c r="I2" s="21"/>
      <c r="J2" s="21"/>
      <c r="K2" s="21"/>
      <c r="L2" s="21"/>
      <c r="M2" s="21"/>
      <c r="N2" s="22" t="s">
        <v>28</v>
      </c>
      <c r="O2" s="23" t="s">
        <v>29</v>
      </c>
    </row>
    <row r="3" s="13" customFormat="true" ht="14.25" hidden="false" customHeight="false" outlineLevel="0" collapsed="false">
      <c r="A3" s="24" t="s">
        <v>30</v>
      </c>
      <c r="B3" s="25" t="s">
        <v>31</v>
      </c>
      <c r="C3" s="26" t="s">
        <v>32</v>
      </c>
      <c r="D3" s="27" t="s">
        <v>33</v>
      </c>
      <c r="E3" s="27"/>
      <c r="F3" s="28" t="s">
        <v>34</v>
      </c>
      <c r="G3" s="28"/>
      <c r="H3" s="29" t="s">
        <v>32</v>
      </c>
      <c r="I3" s="29" t="s">
        <v>33</v>
      </c>
      <c r="J3" s="29" t="s">
        <v>34</v>
      </c>
      <c r="K3" s="29" t="s">
        <v>35</v>
      </c>
      <c r="L3" s="29" t="s">
        <v>36</v>
      </c>
      <c r="M3" s="29" t="s">
        <v>37</v>
      </c>
      <c r="N3" s="22"/>
      <c r="O3" s="23"/>
    </row>
    <row r="4" s="13" customFormat="true" ht="14.25" hidden="false" customHeight="false" outlineLevel="0" collapsed="false">
      <c r="A4" s="24"/>
      <c r="B4" s="25" t="s">
        <v>38</v>
      </c>
      <c r="C4" s="30" t="s">
        <v>39</v>
      </c>
      <c r="D4" s="31" t="s">
        <v>40</v>
      </c>
      <c r="E4" s="31"/>
      <c r="F4" s="32" t="s">
        <v>41</v>
      </c>
      <c r="G4" s="32"/>
      <c r="H4" s="26" t="n">
        <v>6065253</v>
      </c>
      <c r="I4" s="26" t="n">
        <v>6065255</v>
      </c>
      <c r="J4" s="26" t="n">
        <v>6065259</v>
      </c>
      <c r="K4" s="26" t="n">
        <v>6065262</v>
      </c>
      <c r="L4" s="26" t="n">
        <v>6065269</v>
      </c>
      <c r="M4" s="26" t="n">
        <v>6065283</v>
      </c>
      <c r="N4" s="26" t="s">
        <v>42</v>
      </c>
      <c r="O4" s="33" t="s">
        <v>43</v>
      </c>
    </row>
    <row r="5" s="13" customFormat="true" ht="14.25" hidden="false" customHeight="false" outlineLevel="0" collapsed="false">
      <c r="A5" s="24"/>
      <c r="B5" s="34" t="s">
        <v>44</v>
      </c>
      <c r="C5" s="34" t="s">
        <v>44</v>
      </c>
      <c r="D5" s="34" t="s">
        <v>44</v>
      </c>
      <c r="E5" s="34" t="s">
        <v>44</v>
      </c>
      <c r="F5" s="34" t="s">
        <v>44</v>
      </c>
      <c r="G5" s="34" t="s">
        <v>44</v>
      </c>
      <c r="H5" s="34" t="s">
        <v>44</v>
      </c>
      <c r="I5" s="34" t="s">
        <v>44</v>
      </c>
      <c r="J5" s="34" t="s">
        <v>44</v>
      </c>
      <c r="K5" s="34" t="s">
        <v>44</v>
      </c>
      <c r="L5" s="34" t="s">
        <v>44</v>
      </c>
      <c r="M5" s="34" t="s">
        <v>44</v>
      </c>
      <c r="N5" s="34" t="s">
        <v>44</v>
      </c>
      <c r="O5" s="35" t="s">
        <v>45</v>
      </c>
    </row>
    <row r="6" customFormat="false" ht="14.25" hidden="false" customHeight="false" outlineLevel="0" collapsed="false">
      <c r="A6" s="36" t="n">
        <v>1</v>
      </c>
      <c r="B6" s="37" t="n">
        <v>53476.8</v>
      </c>
      <c r="C6" s="38" t="n">
        <v>203658</v>
      </c>
      <c r="D6" s="39"/>
      <c r="E6" s="39"/>
      <c r="F6" s="39"/>
      <c r="G6" s="40"/>
      <c r="H6" s="37" t="n">
        <v>6566.3</v>
      </c>
      <c r="I6" s="37" t="n">
        <v>3970.2</v>
      </c>
      <c r="J6" s="41" t="n">
        <v>4233.6</v>
      </c>
      <c r="K6" s="37" t="n">
        <v>2361.9</v>
      </c>
      <c r="L6" s="37" t="n">
        <v>5573.8</v>
      </c>
      <c r="M6" s="37" t="n">
        <v>15022.4</v>
      </c>
      <c r="N6" s="37" t="n">
        <v>90136.2</v>
      </c>
      <c r="O6" s="42" t="n">
        <v>60.83</v>
      </c>
    </row>
    <row r="7" customFormat="false" ht="14.25" hidden="false" customHeight="false" outlineLevel="0" collapsed="false">
      <c r="A7" s="43" t="n">
        <v>2</v>
      </c>
      <c r="B7" s="41" t="n">
        <v>53504.7</v>
      </c>
      <c r="C7" s="44" t="n">
        <v>203854</v>
      </c>
      <c r="D7" s="45"/>
      <c r="E7" s="45"/>
      <c r="F7" s="45"/>
      <c r="G7" s="46"/>
      <c r="H7" s="41" t="n">
        <v>6573.5</v>
      </c>
      <c r="I7" s="41" t="n">
        <v>3973.9</v>
      </c>
      <c r="J7" s="41" t="n">
        <v>4237.9</v>
      </c>
      <c r="K7" s="41" t="n">
        <v>2364.5</v>
      </c>
      <c r="L7" s="41" t="n">
        <v>5578.2</v>
      </c>
      <c r="M7" s="41" t="n">
        <v>15034</v>
      </c>
      <c r="N7" s="41" t="n">
        <v>90266</v>
      </c>
      <c r="O7" s="47" t="n">
        <v>55.07</v>
      </c>
    </row>
    <row r="8" customFormat="false" ht="14.25" hidden="false" customHeight="false" outlineLevel="0" collapsed="false">
      <c r="A8" s="43" t="n">
        <v>3</v>
      </c>
      <c r="B8" s="41" t="n">
        <v>53528.8</v>
      </c>
      <c r="C8" s="44" t="n">
        <v>204020</v>
      </c>
      <c r="D8" s="45"/>
      <c r="E8" s="45"/>
      <c r="F8" s="45"/>
      <c r="G8" s="46"/>
      <c r="H8" s="41" t="n">
        <v>6580.4</v>
      </c>
      <c r="I8" s="41" t="n">
        <v>3977.7</v>
      </c>
      <c r="J8" s="41" t="n">
        <v>4242.1</v>
      </c>
      <c r="K8" s="41" t="n">
        <v>2367.1</v>
      </c>
      <c r="L8" s="41" t="n">
        <v>5582.6</v>
      </c>
      <c r="M8" s="41" t="n">
        <v>15045.3</v>
      </c>
      <c r="N8" s="41" t="n">
        <v>90385.8</v>
      </c>
      <c r="O8" s="47" t="n">
        <v>53.46</v>
      </c>
    </row>
    <row r="9" customFormat="false" ht="14.25" hidden="false" customHeight="false" outlineLevel="0" collapsed="false">
      <c r="A9" s="43" t="n">
        <v>4</v>
      </c>
      <c r="B9" s="41" t="n">
        <v>53551.3</v>
      </c>
      <c r="C9" s="44" t="n">
        <v>204191</v>
      </c>
      <c r="D9" s="45"/>
      <c r="E9" s="45"/>
      <c r="F9" s="45"/>
      <c r="G9" s="46"/>
      <c r="H9" s="41" t="n">
        <v>6587</v>
      </c>
      <c r="I9" s="41" t="n">
        <v>3981.4</v>
      </c>
      <c r="J9" s="41" t="n">
        <v>4246.5</v>
      </c>
      <c r="K9" s="41" t="n">
        <v>2369.7</v>
      </c>
      <c r="L9" s="41" t="n">
        <v>5587.1</v>
      </c>
      <c r="M9" s="41" t="n">
        <v>15055.6</v>
      </c>
      <c r="N9" s="41" t="n">
        <v>90508.7</v>
      </c>
      <c r="O9" s="47" t="n">
        <v>53.69</v>
      </c>
    </row>
    <row r="10" customFormat="false" ht="14.25" hidden="false" customHeight="false" outlineLevel="0" collapsed="false">
      <c r="A10" s="43" t="n">
        <v>5</v>
      </c>
      <c r="B10" s="41" t="n">
        <v>53573.8</v>
      </c>
      <c r="C10" s="44" t="n">
        <v>204310</v>
      </c>
      <c r="D10" s="45"/>
      <c r="E10" s="45"/>
      <c r="F10" s="45"/>
      <c r="G10" s="46"/>
      <c r="H10" s="41" t="n">
        <v>6593.6</v>
      </c>
      <c r="I10" s="41" t="n">
        <v>3985.1</v>
      </c>
      <c r="J10" s="41" t="n">
        <v>4251</v>
      </c>
      <c r="K10" s="41" t="n">
        <v>2372.3</v>
      </c>
      <c r="L10" s="41" t="n">
        <v>5591.5</v>
      </c>
      <c r="M10" s="41" t="n">
        <v>15066.2</v>
      </c>
      <c r="N10" s="41" t="n">
        <v>90630.9</v>
      </c>
      <c r="O10" s="47" t="n">
        <v>52.53</v>
      </c>
    </row>
    <row r="11" customFormat="false" ht="14.25" hidden="false" customHeight="false" outlineLevel="0" collapsed="false">
      <c r="A11" s="43" t="n">
        <v>6</v>
      </c>
      <c r="B11" s="41" t="n">
        <v>53595</v>
      </c>
      <c r="C11" s="44" t="n">
        <v>204530</v>
      </c>
      <c r="D11" s="45"/>
      <c r="E11" s="45"/>
      <c r="F11" s="45"/>
      <c r="G11" s="46"/>
      <c r="H11" s="41" t="n">
        <v>6600.3</v>
      </c>
      <c r="I11" s="41" t="n">
        <v>3988.8</v>
      </c>
      <c r="J11" s="41" t="n">
        <v>4255.5</v>
      </c>
      <c r="K11" s="41" t="n">
        <v>2374.9</v>
      </c>
      <c r="L11" s="41" t="n">
        <v>5595.9</v>
      </c>
      <c r="M11" s="41" t="n">
        <v>15077.2</v>
      </c>
      <c r="N11" s="41" t="n">
        <v>90753.1</v>
      </c>
      <c r="O11" s="47" t="n">
        <v>49.31</v>
      </c>
    </row>
    <row r="12" customFormat="false" ht="14.25" hidden="false" customHeight="false" outlineLevel="0" collapsed="false">
      <c r="A12" s="43" t="n">
        <v>7</v>
      </c>
      <c r="B12" s="41" t="n">
        <v>53616.2</v>
      </c>
      <c r="C12" s="44" t="n">
        <v>204766</v>
      </c>
      <c r="D12" s="45"/>
      <c r="E12" s="45"/>
      <c r="F12" s="45"/>
      <c r="G12" s="46"/>
      <c r="H12" s="41" t="n">
        <v>6607</v>
      </c>
      <c r="I12" s="41" t="n">
        <v>3992.4</v>
      </c>
      <c r="J12" s="41" t="n">
        <v>4260.2</v>
      </c>
      <c r="K12" s="41" t="n">
        <v>2377.9</v>
      </c>
      <c r="L12" s="41" t="n">
        <v>5600.4</v>
      </c>
      <c r="M12" s="41" t="n">
        <v>15089</v>
      </c>
      <c r="N12" s="41" t="n">
        <v>90872.5</v>
      </c>
      <c r="O12" s="47" t="n">
        <v>39.63</v>
      </c>
    </row>
    <row r="13" customFormat="false" ht="14.25" hidden="false" customHeight="false" outlineLevel="0" collapsed="false">
      <c r="A13" s="43" t="n">
        <v>8</v>
      </c>
      <c r="B13" s="41" t="n">
        <v>53635.2</v>
      </c>
      <c r="C13" s="44" t="n">
        <v>204928</v>
      </c>
      <c r="D13" s="45"/>
      <c r="E13" s="45"/>
      <c r="F13" s="45"/>
      <c r="G13" s="46"/>
      <c r="H13" s="41" t="n">
        <v>6613.7</v>
      </c>
      <c r="I13" s="41" t="n">
        <v>3995.9</v>
      </c>
      <c r="J13" s="41" t="n">
        <v>4264.8</v>
      </c>
      <c r="K13" s="41" t="n">
        <v>2380.4</v>
      </c>
      <c r="L13" s="41" t="n">
        <v>5604.7</v>
      </c>
      <c r="M13" s="41" t="n">
        <v>15100.2</v>
      </c>
      <c r="N13" s="41" t="n">
        <v>90985.8</v>
      </c>
      <c r="O13" s="47" t="n">
        <v>70.97</v>
      </c>
    </row>
    <row r="14" customFormat="false" ht="14.25" hidden="false" customHeight="false" outlineLevel="0" collapsed="false">
      <c r="A14" s="43" t="n">
        <v>9</v>
      </c>
      <c r="B14" s="41" t="n">
        <v>53656</v>
      </c>
      <c r="C14" s="44" t="n">
        <v>205059</v>
      </c>
      <c r="D14" s="45"/>
      <c r="E14" s="45"/>
      <c r="F14" s="45"/>
      <c r="G14" s="46"/>
      <c r="H14" s="41" t="n">
        <v>6620.5</v>
      </c>
      <c r="I14" s="41" t="n">
        <v>3999.6</v>
      </c>
      <c r="J14" s="41" t="n">
        <v>4269.4</v>
      </c>
      <c r="K14" s="41" t="n">
        <v>2383.1</v>
      </c>
      <c r="L14" s="41" t="n">
        <v>5609.1</v>
      </c>
      <c r="M14" s="41" t="n">
        <v>15111.3</v>
      </c>
      <c r="N14" s="41" t="n">
        <v>91106</v>
      </c>
      <c r="O14" s="47" t="n">
        <v>79.26</v>
      </c>
    </row>
    <row r="15" customFormat="false" ht="14.25" hidden="false" customHeight="false" outlineLevel="0" collapsed="false">
      <c r="A15" s="43" t="n">
        <v>10</v>
      </c>
      <c r="B15" s="41" t="n">
        <v>53676.9</v>
      </c>
      <c r="C15" s="44" t="n">
        <v>205282</v>
      </c>
      <c r="D15" s="45"/>
      <c r="E15" s="45"/>
      <c r="F15" s="45"/>
      <c r="G15" s="46"/>
      <c r="H15" s="41" t="n">
        <v>6627.3</v>
      </c>
      <c r="I15" s="41" t="n">
        <v>4003.7</v>
      </c>
      <c r="J15" s="41" t="n">
        <v>4274.1</v>
      </c>
      <c r="K15" s="41" t="n">
        <v>2385.9</v>
      </c>
      <c r="L15" s="41" t="n">
        <v>5613.5</v>
      </c>
      <c r="M15" s="41" t="n">
        <v>15122.2</v>
      </c>
      <c r="N15" s="41" t="n">
        <v>91234</v>
      </c>
      <c r="O15" s="47" t="n">
        <v>86.67</v>
      </c>
    </row>
    <row r="16" customFormat="false" ht="14.25" hidden="false" customHeight="false" outlineLevel="0" collapsed="false">
      <c r="A16" s="43" t="n">
        <v>11</v>
      </c>
      <c r="B16" s="41" t="n">
        <v>53697.4</v>
      </c>
      <c r="C16" s="44" t="n">
        <v>205368</v>
      </c>
      <c r="D16" s="45"/>
      <c r="E16" s="45"/>
      <c r="F16" s="45"/>
      <c r="G16" s="46"/>
      <c r="H16" s="41" t="n">
        <v>6634.1</v>
      </c>
      <c r="I16" s="41" t="n">
        <v>4007.7</v>
      </c>
      <c r="J16" s="41" t="n">
        <v>4278.7</v>
      </c>
      <c r="K16" s="41" t="n">
        <v>2388.6</v>
      </c>
      <c r="L16" s="41" t="n">
        <v>5618</v>
      </c>
      <c r="M16" s="41" t="n">
        <v>15133.3</v>
      </c>
      <c r="N16" s="41" t="n">
        <v>91341.5</v>
      </c>
      <c r="O16" s="47" t="n">
        <v>69.82</v>
      </c>
    </row>
    <row r="17" customFormat="false" ht="14.25" hidden="false" customHeight="false" outlineLevel="0" collapsed="false">
      <c r="A17" s="43" t="n">
        <v>12</v>
      </c>
      <c r="B17" s="41" t="n">
        <v>53716.2</v>
      </c>
      <c r="C17" s="44" t="n">
        <v>205672</v>
      </c>
      <c r="D17" s="45"/>
      <c r="E17" s="45"/>
      <c r="F17" s="45"/>
      <c r="G17" s="46"/>
      <c r="H17" s="41" t="n">
        <v>6641.2</v>
      </c>
      <c r="I17" s="41" t="n">
        <v>4011.6</v>
      </c>
      <c r="J17" s="41" t="n">
        <v>4283.5</v>
      </c>
      <c r="K17" s="41" t="n">
        <v>2391.4</v>
      </c>
      <c r="L17" s="41" t="n">
        <v>5622.5</v>
      </c>
      <c r="M17" s="41" t="n">
        <v>15144.6</v>
      </c>
      <c r="N17" s="41" t="n">
        <v>91517.7</v>
      </c>
      <c r="O17" s="47" t="n">
        <v>55.99</v>
      </c>
    </row>
    <row r="18" customFormat="false" ht="14.25" hidden="false" customHeight="false" outlineLevel="0" collapsed="false">
      <c r="A18" s="43" t="n">
        <v>13</v>
      </c>
      <c r="B18" s="41" t="n">
        <v>53734.8</v>
      </c>
      <c r="C18" s="44" t="n">
        <v>205925</v>
      </c>
      <c r="D18" s="45"/>
      <c r="E18" s="45"/>
      <c r="F18" s="45"/>
      <c r="G18" s="46"/>
      <c r="H18" s="41" t="n">
        <v>6648.4</v>
      </c>
      <c r="I18" s="41" t="n">
        <v>4015.4</v>
      </c>
      <c r="J18" s="41" t="n">
        <v>4288.4</v>
      </c>
      <c r="K18" s="41" t="n">
        <v>2394.2</v>
      </c>
      <c r="L18" s="41" t="n">
        <v>5627.1</v>
      </c>
      <c r="M18" s="41" t="n">
        <v>15156</v>
      </c>
      <c r="N18" s="41" t="n">
        <v>91677.1</v>
      </c>
      <c r="O18" s="47" t="n">
        <v>44.24</v>
      </c>
    </row>
    <row r="19" customFormat="false" ht="14.25" hidden="false" customHeight="false" outlineLevel="0" collapsed="false">
      <c r="A19" s="43" t="n">
        <v>14</v>
      </c>
      <c r="B19" s="41" t="n">
        <v>53753.3</v>
      </c>
      <c r="C19" s="44" t="n">
        <v>206117</v>
      </c>
      <c r="D19" s="45"/>
      <c r="E19" s="45"/>
      <c r="F19" s="45"/>
      <c r="G19" s="46"/>
      <c r="H19" s="41" t="n">
        <v>6655.3</v>
      </c>
      <c r="I19" s="41" t="n">
        <v>4018.9</v>
      </c>
      <c r="J19" s="41" t="n">
        <v>4293</v>
      </c>
      <c r="K19" s="41" t="n">
        <v>2396.9</v>
      </c>
      <c r="L19" s="41" t="n">
        <v>5631.5</v>
      </c>
      <c r="M19" s="41" t="n">
        <v>15166.7</v>
      </c>
      <c r="N19" s="41" t="n">
        <v>91814.2</v>
      </c>
      <c r="O19" s="47" t="n">
        <v>52.07</v>
      </c>
    </row>
    <row r="20" customFormat="false" ht="14.25" hidden="false" customHeight="false" outlineLevel="0" collapsed="false">
      <c r="A20" s="43" t="n">
        <v>15</v>
      </c>
      <c r="B20" s="41" t="n">
        <v>53772.3</v>
      </c>
      <c r="C20" s="44" t="n">
        <v>206290</v>
      </c>
      <c r="D20" s="45"/>
      <c r="E20" s="45"/>
      <c r="F20" s="45"/>
      <c r="G20" s="46"/>
      <c r="H20" s="41" t="n">
        <v>6662</v>
      </c>
      <c r="I20" s="41" t="n">
        <v>4022.85</v>
      </c>
      <c r="J20" s="41" t="n">
        <v>4297.3</v>
      </c>
      <c r="K20" s="41" t="n">
        <v>2399.5</v>
      </c>
      <c r="L20" s="41" t="n">
        <v>5635.9</v>
      </c>
      <c r="M20" s="41" t="n">
        <v>15176.3</v>
      </c>
      <c r="N20" s="41" t="n">
        <v>91928.7</v>
      </c>
      <c r="O20" s="47" t="n">
        <v>82.72</v>
      </c>
    </row>
    <row r="21" customFormat="false" ht="14.25" hidden="false" customHeight="false" outlineLevel="0" collapsed="false">
      <c r="A21" s="43" t="n">
        <v>16</v>
      </c>
      <c r="B21" s="41" t="n">
        <v>53791.7</v>
      </c>
      <c r="C21" s="44" t="n">
        <v>206462</v>
      </c>
      <c r="D21" s="45"/>
      <c r="E21" s="45"/>
      <c r="F21" s="45"/>
      <c r="G21" s="46"/>
      <c r="H21" s="41" t="n">
        <v>6668.7</v>
      </c>
      <c r="I21" s="41" t="n">
        <v>4026.3</v>
      </c>
      <c r="J21" s="41" t="n">
        <v>4301.7</v>
      </c>
      <c r="K21" s="41" t="n">
        <v>2402.2</v>
      </c>
      <c r="L21" s="41" t="n">
        <v>5640.4</v>
      </c>
      <c r="M21" s="41" t="n">
        <v>15185.6</v>
      </c>
      <c r="N21" s="41" t="n">
        <v>92046</v>
      </c>
      <c r="O21" s="47" t="n">
        <v>98.16</v>
      </c>
    </row>
    <row r="22" customFormat="false" ht="14.25" hidden="false" customHeight="false" outlineLevel="0" collapsed="false">
      <c r="A22" s="43" t="n">
        <v>17</v>
      </c>
      <c r="B22" s="41" t="n">
        <v>53814.5</v>
      </c>
      <c r="C22" s="44" t="n">
        <v>206662</v>
      </c>
      <c r="D22" s="45"/>
      <c r="E22" s="45"/>
      <c r="F22" s="45"/>
      <c r="G22" s="46"/>
      <c r="H22" s="41" t="n">
        <v>6675.6</v>
      </c>
      <c r="I22" s="41" t="n">
        <v>4030.3</v>
      </c>
      <c r="J22" s="41" t="n">
        <v>4305.8</v>
      </c>
      <c r="K22" s="41" t="n">
        <v>2405.1</v>
      </c>
      <c r="L22" s="41" t="n">
        <v>5644.9</v>
      </c>
      <c r="M22" s="41" t="n">
        <v>15194.6</v>
      </c>
      <c r="N22" s="41" t="n">
        <v>92194.2</v>
      </c>
      <c r="O22" s="47" t="n">
        <v>99.08</v>
      </c>
    </row>
    <row r="23" customFormat="false" ht="14.25" hidden="false" customHeight="false" outlineLevel="0" collapsed="false">
      <c r="A23" s="43" t="n">
        <v>18</v>
      </c>
      <c r="B23" s="41" t="n">
        <v>53836.1</v>
      </c>
      <c r="C23" s="44" t="n">
        <v>206868</v>
      </c>
      <c r="D23" s="45"/>
      <c r="E23" s="45"/>
      <c r="F23" s="45"/>
      <c r="G23" s="46"/>
      <c r="H23" s="41" t="n">
        <v>6682.5</v>
      </c>
      <c r="I23" s="41" t="n">
        <v>4034.2</v>
      </c>
      <c r="J23" s="41" t="n">
        <v>4310.4</v>
      </c>
      <c r="K23" s="41" t="n">
        <v>2407.9</v>
      </c>
      <c r="L23" s="41" t="n">
        <v>5649.4</v>
      </c>
      <c r="M23" s="41" t="n">
        <v>15204</v>
      </c>
      <c r="N23" s="41" t="n">
        <v>92341.5</v>
      </c>
      <c r="O23" s="47" t="n">
        <v>86.64</v>
      </c>
      <c r="P23" s="48"/>
      <c r="Q23" s="48"/>
    </row>
    <row r="24" customFormat="false" ht="14.25" hidden="false" customHeight="false" outlineLevel="0" collapsed="false">
      <c r="A24" s="43" t="n">
        <v>19</v>
      </c>
      <c r="B24" s="41" t="n">
        <v>53856.4</v>
      </c>
      <c r="C24" s="44" t="n">
        <v>207060</v>
      </c>
      <c r="D24" s="45"/>
      <c r="E24" s="45"/>
      <c r="F24" s="45"/>
      <c r="G24" s="46"/>
      <c r="H24" s="41" t="n">
        <v>6689.3</v>
      </c>
      <c r="I24" s="41" t="n">
        <v>4038.2</v>
      </c>
      <c r="J24" s="41" t="n">
        <v>4314.9</v>
      </c>
      <c r="K24" s="41" t="n">
        <v>2410.9</v>
      </c>
      <c r="L24" s="41" t="n">
        <v>5653.9</v>
      </c>
      <c r="M24" s="41" t="n">
        <v>15214</v>
      </c>
      <c r="N24" s="41" t="n">
        <v>92486.1</v>
      </c>
      <c r="O24" s="47" t="n">
        <v>71.89</v>
      </c>
    </row>
    <row r="25" customFormat="false" ht="14.25" hidden="false" customHeight="false" outlineLevel="0" collapsed="false">
      <c r="A25" s="43" t="n">
        <v>20</v>
      </c>
      <c r="B25" s="41" t="n">
        <v>53877.3</v>
      </c>
      <c r="C25" s="44" t="n">
        <v>207241</v>
      </c>
      <c r="D25" s="45"/>
      <c r="E25" s="45"/>
      <c r="F25" s="45"/>
      <c r="G25" s="46"/>
      <c r="H25" s="41" t="n">
        <v>6696.6</v>
      </c>
      <c r="I25" s="41" t="n">
        <v>4042.2</v>
      </c>
      <c r="J25" s="41" t="n">
        <v>4319.3</v>
      </c>
      <c r="K25" s="41" t="n">
        <v>2413.7</v>
      </c>
      <c r="L25" s="41" t="n">
        <v>5658.4</v>
      </c>
      <c r="M25" s="41" t="n">
        <v>15225.5</v>
      </c>
      <c r="N25" s="41" t="n">
        <v>92625.4</v>
      </c>
      <c r="O25" s="47" t="n">
        <v>65.44</v>
      </c>
    </row>
    <row r="26" customFormat="false" ht="14.25" hidden="false" customHeight="false" outlineLevel="0" collapsed="false">
      <c r="A26" s="43" t="n">
        <v>21</v>
      </c>
      <c r="B26" s="41" t="n">
        <v>53898.5</v>
      </c>
      <c r="C26" s="44" t="n">
        <v>207416</v>
      </c>
      <c r="D26" s="45"/>
      <c r="E26" s="45"/>
      <c r="F26" s="45"/>
      <c r="G26" s="46"/>
      <c r="H26" s="41" t="n">
        <v>6703.7</v>
      </c>
      <c r="I26" s="41" t="n">
        <v>4046</v>
      </c>
      <c r="J26" s="41" t="n">
        <v>4323.7</v>
      </c>
      <c r="K26" s="41" t="n">
        <v>2416.6</v>
      </c>
      <c r="L26" s="41" t="n">
        <v>5663</v>
      </c>
      <c r="M26" s="41" t="n">
        <v>15237.4</v>
      </c>
      <c r="N26" s="41" t="n">
        <v>92758.4</v>
      </c>
      <c r="O26" s="47" t="n">
        <v>67.74</v>
      </c>
    </row>
    <row r="27" customFormat="false" ht="14.25" hidden="false" customHeight="false" outlineLevel="0" collapsed="false">
      <c r="A27" s="43" t="n">
        <v>22</v>
      </c>
      <c r="B27" s="41" t="n">
        <v>53918.4</v>
      </c>
      <c r="C27" s="44" t="n">
        <v>207537</v>
      </c>
      <c r="D27" s="45"/>
      <c r="E27" s="45"/>
      <c r="F27" s="45"/>
      <c r="G27" s="46"/>
      <c r="H27" s="41" t="n">
        <v>6710.5</v>
      </c>
      <c r="I27" s="41" t="n">
        <v>4049.8</v>
      </c>
      <c r="J27" s="41" t="n">
        <v>4328.1</v>
      </c>
      <c r="K27" s="41" t="n">
        <v>2419.3</v>
      </c>
      <c r="L27" s="41" t="n">
        <v>5667.4</v>
      </c>
      <c r="M27" s="41" t="n">
        <v>15248.9</v>
      </c>
      <c r="N27" s="41" t="n">
        <v>92881.5</v>
      </c>
      <c r="O27" s="47" t="n">
        <v>80.18</v>
      </c>
    </row>
    <row r="28" customFormat="false" ht="14.25" hidden="false" customHeight="false" outlineLevel="0" collapsed="false">
      <c r="A28" s="43" t="n">
        <v>23</v>
      </c>
      <c r="B28" s="41" t="n">
        <v>53939.1</v>
      </c>
      <c r="C28" s="44" t="n">
        <v>207739</v>
      </c>
      <c r="D28" s="45"/>
      <c r="E28" s="45"/>
      <c r="F28" s="45"/>
      <c r="G28" s="46"/>
      <c r="H28" s="41" t="n">
        <v>6717.5</v>
      </c>
      <c r="I28" s="41" t="n">
        <v>4053.8</v>
      </c>
      <c r="J28" s="41" t="n">
        <v>4332.4</v>
      </c>
      <c r="K28" s="41" t="n">
        <v>2422.1</v>
      </c>
      <c r="L28" s="41" t="n">
        <v>5671.9</v>
      </c>
      <c r="M28" s="41" t="n">
        <v>15260.8</v>
      </c>
      <c r="N28" s="41" t="n">
        <v>93014.8</v>
      </c>
      <c r="O28" s="47" t="n">
        <v>82.26</v>
      </c>
    </row>
    <row r="29" customFormat="false" ht="14.25" hidden="false" customHeight="false" outlineLevel="0" collapsed="false">
      <c r="A29" s="43" t="n">
        <v>24</v>
      </c>
      <c r="B29" s="41" t="n">
        <v>53960.7</v>
      </c>
      <c r="C29" s="44" t="n">
        <v>207921</v>
      </c>
      <c r="D29" s="45"/>
      <c r="E29" s="45"/>
      <c r="F29" s="45"/>
      <c r="G29" s="46"/>
      <c r="H29" s="41" t="n">
        <v>6724.5</v>
      </c>
      <c r="I29" s="41" t="n">
        <v>4058</v>
      </c>
      <c r="J29" s="41" t="n">
        <v>4336.9</v>
      </c>
      <c r="K29" s="41" t="n">
        <v>2425.3</v>
      </c>
      <c r="L29" s="41" t="n">
        <v>5676.5</v>
      </c>
      <c r="M29" s="41" t="n">
        <v>15272.9</v>
      </c>
      <c r="N29" s="41" t="n">
        <v>93151.1</v>
      </c>
      <c r="O29" s="47" t="n">
        <v>84.56</v>
      </c>
      <c r="P29" s="49"/>
    </row>
    <row r="30" customFormat="false" ht="14.25" hidden="false" customHeight="false" outlineLevel="0" collapsed="false">
      <c r="A30" s="43" t="n">
        <v>25</v>
      </c>
      <c r="B30" s="41" t="n">
        <v>53979.8</v>
      </c>
      <c r="C30" s="44" t="n">
        <v>208093</v>
      </c>
      <c r="D30" s="41"/>
      <c r="E30" s="41"/>
      <c r="F30" s="41"/>
      <c r="G30" s="41"/>
      <c r="H30" s="41" t="n">
        <v>6731.5</v>
      </c>
      <c r="I30" s="41" t="n">
        <v>4062.2</v>
      </c>
      <c r="J30" s="41" t="n">
        <v>4341.4</v>
      </c>
      <c r="K30" s="41" t="n">
        <v>2428.3</v>
      </c>
      <c r="L30" s="41" t="n">
        <v>5681</v>
      </c>
      <c r="M30" s="41" t="n">
        <v>15284.7</v>
      </c>
      <c r="N30" s="41" t="n">
        <v>93278.7</v>
      </c>
      <c r="O30" s="47" t="n">
        <v>93.78</v>
      </c>
      <c r="P30" s="50"/>
      <c r="Q30" s="50"/>
    </row>
    <row r="31" customFormat="false" ht="14.25" hidden="false" customHeight="false" outlineLevel="0" collapsed="false">
      <c r="A31" s="43" t="n">
        <v>26</v>
      </c>
      <c r="B31" s="41" t="n">
        <v>54000.1</v>
      </c>
      <c r="C31" s="44" t="n">
        <v>208262</v>
      </c>
      <c r="D31" s="41"/>
      <c r="E31" s="41"/>
      <c r="F31" s="41"/>
      <c r="G31" s="41"/>
      <c r="H31" s="41" t="n">
        <v>6738.4</v>
      </c>
      <c r="I31" s="41" t="n">
        <v>4066.3</v>
      </c>
      <c r="J31" s="41" t="n">
        <v>4345.8</v>
      </c>
      <c r="K31" s="41" t="n">
        <v>2431.4</v>
      </c>
      <c r="L31" s="41" t="n">
        <v>5685.5</v>
      </c>
      <c r="M31" s="41" t="n">
        <v>15296.5</v>
      </c>
      <c r="N31" s="41" t="n">
        <v>93412.3</v>
      </c>
      <c r="O31" s="47"/>
    </row>
    <row r="32" customFormat="false" ht="14.25" hidden="false" customHeight="false" outlineLevel="0" collapsed="false">
      <c r="A32" s="43" t="n">
        <v>27</v>
      </c>
      <c r="B32" s="41"/>
      <c r="C32" s="44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7"/>
    </row>
    <row r="33" customFormat="false" ht="14.25" hidden="false" customHeight="false" outlineLevel="0" collapsed="false">
      <c r="A33" s="43" t="n">
        <v>28</v>
      </c>
      <c r="B33" s="41"/>
      <c r="C33" s="44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7"/>
    </row>
    <row r="34" customFormat="false" ht="14.25" hidden="false" customHeight="false" outlineLevel="0" collapsed="false">
      <c r="A34" s="43" t="n">
        <v>29</v>
      </c>
      <c r="B34" s="41"/>
      <c r="C34" s="44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7"/>
    </row>
    <row r="35" customFormat="false" ht="14.25" hidden="false" customHeight="false" outlineLevel="0" collapsed="false">
      <c r="A35" s="43" t="n">
        <v>30</v>
      </c>
      <c r="B35" s="41"/>
      <c r="C35" s="44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7"/>
    </row>
    <row r="36" customFormat="false" ht="14.25" hidden="false" customHeight="false" outlineLevel="0" collapsed="false">
      <c r="A36" s="51" t="n">
        <v>31</v>
      </c>
      <c r="B36" s="52"/>
      <c r="C36" s="53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4"/>
    </row>
    <row r="37" customFormat="false" ht="15.75" hidden="false" customHeight="true" outlineLevel="0" collapsed="false">
      <c r="A37" s="55"/>
      <c r="B37" s="56"/>
      <c r="C37" s="57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8" t="n">
        <f aca="false">AVERAGE(O6:O34)</f>
        <v>69.4396</v>
      </c>
    </row>
    <row r="38" customFormat="false" ht="14.25" hidden="false" customHeight="false" outlineLevel="0" collapsed="false">
      <c r="Q38" s="0" t="s">
        <v>46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/>
  </hyperlinks>
  <printOptions headings="false" gridLines="false" gridLinesSet="true" horizontalCentered="true" verticalCentered="false"/>
  <pageMargins left="0" right="0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1" sqref="A28:K32 F1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">
        <v>50</v>
      </c>
      <c r="C3" s="61" t="n">
        <v>1</v>
      </c>
      <c r="D3" s="63" t="s">
        <v>51</v>
      </c>
      <c r="E3" s="64" t="n">
        <f aca="false">'Daily Meter'!O6</f>
        <v>60.83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 t="s">
        <v>58</v>
      </c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v>53446.3</v>
      </c>
      <c r="E7" s="82" t="n">
        <f aca="false">'Daily Meter'!B6</f>
        <v>53476.8</v>
      </c>
      <c r="F7" s="83" t="n">
        <f aca="false">E7-D7</f>
        <v>30.5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8672.37</v>
      </c>
      <c r="G8" s="87" t="n">
        <f aca="false">F8*0.63</f>
        <v>5463.5931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v>203437</v>
      </c>
      <c r="E10" s="82" t="n">
        <f aca="false">'Daily Meter'!C6</f>
        <v>203658</v>
      </c>
      <c r="F10" s="83" t="n">
        <f aca="false">E10-D10</f>
        <v>221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48613.149</v>
      </c>
      <c r="G11" s="95" t="n">
        <f aca="false">F11*0.06</f>
        <v>2916.78894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v>6559.3</v>
      </c>
      <c r="E13" s="82" t="n">
        <f aca="false">'Daily Meter'!H6</f>
        <v>6566.3</v>
      </c>
      <c r="F13" s="83" t="n">
        <f aca="false">(E13-D13)*480</f>
        <v>3360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v>3966.1</v>
      </c>
      <c r="E14" s="82" t="n">
        <f aca="false">'Daily Meter'!I6</f>
        <v>3970.2</v>
      </c>
      <c r="F14" s="83" t="n">
        <f aca="false">(E14-D14)*480</f>
        <v>1967.99999999996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v>4228.9</v>
      </c>
      <c r="E15" s="82" t="n">
        <f aca="false">'Daily Meter'!J6</f>
        <v>4233.6</v>
      </c>
      <c r="F15" s="83" t="n">
        <f aca="false">(E15-D15)*480</f>
        <v>2256.00000000035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v>2358.9</v>
      </c>
      <c r="E16" s="82" t="n">
        <f aca="false">'Daily Meter'!K6</f>
        <v>2361.9</v>
      </c>
      <c r="F16" s="83" t="n">
        <f aca="false">(E16-D16)*480</f>
        <v>1440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v>5569.2</v>
      </c>
      <c r="E17" s="82" t="n">
        <f aca="false">'Daily Meter'!L6</f>
        <v>5573.8</v>
      </c>
      <c r="F17" s="83" t="n">
        <f aca="false">(E17-D17)*480</f>
        <v>2208.00000000017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v>15010.6</v>
      </c>
      <c r="E18" s="82" t="n">
        <f aca="false">'Daily Meter'!M6</f>
        <v>15022.4</v>
      </c>
      <c r="F18" s="83" t="n">
        <f aca="false">(E18-D18)*480</f>
        <v>5663.99999999965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16896.0000000001</v>
      </c>
      <c r="G19" s="87" t="n">
        <f aca="false">F19*0.43</f>
        <v>7265.28000000006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v>89987.4</v>
      </c>
      <c r="E22" s="82" t="n">
        <f aca="false">'Daily Meter'!N6</f>
        <v>90136.2</v>
      </c>
      <c r="F22" s="106" t="n">
        <f aca="false">E22-D22</f>
        <v>148.800000000003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550.560000000011</v>
      </c>
      <c r="G23" s="110" t="n">
        <f aca="false">F23*2.5</f>
        <v>1376.40000000003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8672.37</v>
      </c>
      <c r="G28" s="121" t="n">
        <f aca="false">G8</f>
        <v>5463.5931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48613.149</v>
      </c>
      <c r="G29" s="121" t="n">
        <f aca="false">G11</f>
        <v>2916.78894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16896.0000000001</v>
      </c>
      <c r="G30" s="121" t="n">
        <f aca="false">G19</f>
        <v>7265.28000000006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148.800000000003</v>
      </c>
      <c r="G31" s="121" t="n">
        <f aca="false">G23</f>
        <v>1376.40000000003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17022.0620400001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F14" activeCellId="1" sqref="A28:K32 F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</v>
      </c>
      <c r="D3" s="63" t="s">
        <v>51</v>
      </c>
      <c r="E3" s="64" t="n">
        <f aca="false">'Daily Meter'!O6</f>
        <v>60.83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'1'!E7</f>
        <v>53476.8</v>
      </c>
      <c r="E7" s="82" t="n">
        <f aca="false">'Daily Meter'!B7</f>
        <v>53504.7</v>
      </c>
      <c r="F7" s="83" t="n">
        <f aca="false">E7-D7</f>
        <v>27.8999999999942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7933.08599999834</v>
      </c>
      <c r="G8" s="87" t="n">
        <f aca="false">F8*0.63</f>
        <v>4997.84417999896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'1'!E10</f>
        <v>203658</v>
      </c>
      <c r="E10" s="82" t="n">
        <f aca="false">'Daily Meter'!C7</f>
        <v>203854</v>
      </c>
      <c r="F10" s="83" t="n">
        <f aca="false">E10-D10</f>
        <v>196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43113.924</v>
      </c>
      <c r="G11" s="95" t="n">
        <f aca="false">F11*0.06</f>
        <v>2586.83544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'1'!E13</f>
        <v>6566.3</v>
      </c>
      <c r="E13" s="82" t="n">
        <f aca="false">'Daily Meter'!H7</f>
        <v>6573.5</v>
      </c>
      <c r="F13" s="83" t="n">
        <f aca="false">(E13-D13)*480</f>
        <v>3455.99999999991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'1'!E14</f>
        <v>3970.2</v>
      </c>
      <c r="E14" s="82" t="n">
        <f aca="false">'Daily Meter'!I7</f>
        <v>3973.9</v>
      </c>
      <c r="F14" s="83" t="n">
        <f aca="false">(E14-D14)*480</f>
        <v>1776.00000000013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'1'!E15</f>
        <v>4233.6</v>
      </c>
      <c r="E15" s="82" t="n">
        <f aca="false">'Daily Meter'!J7</f>
        <v>4237.9</v>
      </c>
      <c r="F15" s="83" t="n">
        <f aca="false">(E15-D15)*480</f>
        <v>2063.99999999965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'1'!E16</f>
        <v>2361.9</v>
      </c>
      <c r="E16" s="82" t="n">
        <f aca="false">'Daily Meter'!K7</f>
        <v>2364.5</v>
      </c>
      <c r="F16" s="83" t="n">
        <f aca="false">(E16-D16)*480</f>
        <v>1247.99999999996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'1'!E17</f>
        <v>5573.8</v>
      </c>
      <c r="E17" s="82" t="n">
        <f aca="false">'Daily Meter'!L7</f>
        <v>5578.2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'1'!E18</f>
        <v>15022.4</v>
      </c>
      <c r="E18" s="82" t="n">
        <f aca="false">'Daily Meter'!M7</f>
        <v>15034</v>
      </c>
      <c r="F18" s="83" t="n">
        <f aca="false">(E18-D18)*480</f>
        <v>5568.00000000018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16223.9999999997</v>
      </c>
      <c r="G19" s="87" t="n">
        <f aca="false">F19*0.43</f>
        <v>6976.31999999985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'1'!E22</f>
        <v>90136.2</v>
      </c>
      <c r="E22" s="82" t="n">
        <f aca="false">'Daily Meter'!N7</f>
        <v>90266</v>
      </c>
      <c r="F22" s="106" t="n">
        <f aca="false">E22-D22</f>
        <v>129.800000000003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480.260000000011</v>
      </c>
      <c r="G23" s="110" t="n">
        <f aca="false">F23*2.5</f>
        <v>1200.65000000003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7933.08599999834</v>
      </c>
      <c r="G28" s="121" t="n">
        <f aca="false">G8</f>
        <v>4997.84417999896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43113.924</v>
      </c>
      <c r="G29" s="121" t="n">
        <f aca="false">G11</f>
        <v>2586.83544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16223.9999999997</v>
      </c>
      <c r="G30" s="121" t="n">
        <f aca="false">G19</f>
        <v>6976.31999999985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129.800000000003</v>
      </c>
      <c r="G31" s="121" t="n">
        <f aca="false">G23</f>
        <v>1200.65000000003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15761.6496199988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H11" activeCellId="1" sqref="A28:K32 H1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3</v>
      </c>
      <c r="D3" s="63" t="s">
        <v>51</v>
      </c>
      <c r="E3" s="64" t="n">
        <f aca="false">'Daily Meter'!O8</f>
        <v>53.46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'2'!E7</f>
        <v>53504.7</v>
      </c>
      <c r="E7" s="82" t="n">
        <f aca="false">'Daily Meter'!B8</f>
        <v>53528.8</v>
      </c>
      <c r="F7" s="83" t="n">
        <f aca="false">E7-D7</f>
        <v>24.1000000000058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6852.59400000165</v>
      </c>
      <c r="G8" s="87" t="n">
        <f aca="false">F8*0.63</f>
        <v>4317.13422000104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'2'!E10</f>
        <v>203854</v>
      </c>
      <c r="E10" s="82" t="n">
        <f aca="false">'Daily Meter'!C8</f>
        <v>204020</v>
      </c>
      <c r="F10" s="83" t="n">
        <f aca="false">E10-D10</f>
        <v>166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36514.854</v>
      </c>
      <c r="G11" s="95" t="n">
        <f aca="false">F11*0.06</f>
        <v>2190.89124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'2'!E13</f>
        <v>6573.5</v>
      </c>
      <c r="E13" s="82" t="n">
        <f aca="false">'Daily Meter'!H8</f>
        <v>6580.4</v>
      </c>
      <c r="F13" s="83" t="n">
        <f aca="false">(E13-D13)*480</f>
        <v>3311.99999999983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'2'!E14</f>
        <v>3973.9</v>
      </c>
      <c r="E14" s="82" t="n">
        <f aca="false">'Daily Meter'!I8</f>
        <v>3977.7</v>
      </c>
      <c r="F14" s="83" t="n">
        <f aca="false">(E14-D14)*480</f>
        <v>1823.99999999987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'2'!E15</f>
        <v>4237.9</v>
      </c>
      <c r="E15" s="82" t="n">
        <f aca="false">'Daily Meter'!J8</f>
        <v>4242.1</v>
      </c>
      <c r="F15" s="83" t="n">
        <f aca="false">(E15-D15)*480</f>
        <v>2016.00000000035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'2'!E16</f>
        <v>2364.5</v>
      </c>
      <c r="E16" s="82" t="n">
        <f aca="false">'Daily Meter'!K8</f>
        <v>2367.1</v>
      </c>
      <c r="F16" s="83" t="n">
        <f aca="false">(E16-D16)*480</f>
        <v>1247.99999999996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'2'!E17</f>
        <v>5578.2</v>
      </c>
      <c r="E17" s="82" t="n">
        <f aca="false">'Daily Meter'!L8</f>
        <v>5582.6</v>
      </c>
      <c r="F17" s="83" t="n">
        <f aca="false">(E17-D17)*480</f>
        <v>2112.00000000026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'2'!E18</f>
        <v>15034</v>
      </c>
      <c r="E18" s="82" t="n">
        <f aca="false">'Daily Meter'!M8</f>
        <v>15045.3</v>
      </c>
      <c r="F18" s="83" t="n">
        <f aca="false">(E18-D18)*480</f>
        <v>5423.99999999965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15935.9999999999</v>
      </c>
      <c r="G19" s="87" t="n">
        <f aca="false">F19*0.43</f>
        <v>6852.47999999996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'2'!E22</f>
        <v>90266</v>
      </c>
      <c r="E22" s="82" t="n">
        <f aca="false">'Daily Meter'!N8</f>
        <v>90385.8</v>
      </c>
      <c r="F22" s="106" t="n">
        <f aca="false">E22-D22</f>
        <v>119.800000000003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443.260000000011</v>
      </c>
      <c r="G23" s="110" t="n">
        <f aca="false">F23*2.5</f>
        <v>1108.15000000003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6852.59400000165</v>
      </c>
      <c r="G28" s="121" t="n">
        <f aca="false">G8</f>
        <v>4317.13422000104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36514.854</v>
      </c>
      <c r="G29" s="121" t="n">
        <f aca="false">G11</f>
        <v>2190.89124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15935.9999999999</v>
      </c>
      <c r="G30" s="121" t="n">
        <f aca="false">G19</f>
        <v>6852.47999999996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119.800000000003</v>
      </c>
      <c r="G31" s="121" t="n">
        <f aca="false">G23</f>
        <v>1108.15000000003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14468.655460001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1" sqref="A28:K32 F19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4</v>
      </c>
      <c r="D3" s="63" t="s">
        <v>51</v>
      </c>
      <c r="E3" s="64" t="n">
        <f aca="false">'Daily Meter'!O9</f>
        <v>53.69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'3'!E7</f>
        <v>53528.8</v>
      </c>
      <c r="E7" s="82" t="n">
        <f aca="false">'Daily Meter'!B9</f>
        <v>53551.3</v>
      </c>
      <c r="F7" s="83" t="n">
        <f aca="false">E7-D7</f>
        <v>22.5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6397.65</v>
      </c>
      <c r="G8" s="87" t="n">
        <f aca="false">F8*0.63</f>
        <v>4030.5195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'3'!E10</f>
        <v>204020</v>
      </c>
      <c r="E10" s="82" t="n">
        <f aca="false">'Daily Meter'!C9</f>
        <v>204191</v>
      </c>
      <c r="F10" s="83" t="n">
        <f aca="false">E10-D10</f>
        <v>171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37614.699</v>
      </c>
      <c r="G11" s="95" t="n">
        <f aca="false">F11*0.06</f>
        <v>2256.88194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'3'!E13</f>
        <v>6580.4</v>
      </c>
      <c r="E13" s="82" t="n">
        <f aca="false">'Daily Meter'!H9</f>
        <v>6587</v>
      </c>
      <c r="F13" s="83" t="n">
        <f aca="false">(E13-D13)*480</f>
        <v>3168.00000000017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'3'!E14</f>
        <v>3977.7</v>
      </c>
      <c r="E14" s="82" t="n">
        <f aca="false">'Daily Meter'!I9</f>
        <v>3981.4</v>
      </c>
      <c r="F14" s="83" t="n">
        <f aca="false">(E14-D14)*480</f>
        <v>1776.00000000013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'3'!E15</f>
        <v>4242.1</v>
      </c>
      <c r="E15" s="82" t="n">
        <f aca="false">'Daily Meter'!J9</f>
        <v>4246.5</v>
      </c>
      <c r="F15" s="83" t="n">
        <f aca="false">(E15-D15)*480</f>
        <v>2111.99999999983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'3'!E16</f>
        <v>2367.1</v>
      </c>
      <c r="E16" s="82" t="n">
        <f aca="false">'Daily Meter'!K9</f>
        <v>2369.7</v>
      </c>
      <c r="F16" s="83" t="n">
        <f aca="false">(E16-D16)*480</f>
        <v>1247.99999999996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'3'!E17</f>
        <v>5582.6</v>
      </c>
      <c r="E17" s="82" t="n">
        <f aca="false">'Daily Meter'!L9</f>
        <v>5587.1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'3'!E18</f>
        <v>15045.3</v>
      </c>
      <c r="E18" s="82" t="n">
        <f aca="false">'Daily Meter'!M9</f>
        <v>15055.6</v>
      </c>
      <c r="F18" s="83" t="n">
        <f aca="false">(E18-D18)*480</f>
        <v>4944.00000000052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15408.0000000006</v>
      </c>
      <c r="G19" s="87" t="n">
        <f aca="false">F19*0.43</f>
        <v>6625.44000000026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'3'!E22</f>
        <v>90385.8</v>
      </c>
      <c r="E22" s="82" t="n">
        <f aca="false">'Daily Meter'!N9</f>
        <v>90508.7</v>
      </c>
      <c r="F22" s="106" t="n">
        <f aca="false">E22-D22</f>
        <v>122.899999999994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454.729999999979</v>
      </c>
      <c r="G23" s="110" t="n">
        <f aca="false">F23*2.5</f>
        <v>1136.82499999995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6397.65</v>
      </c>
      <c r="G28" s="121" t="n">
        <f aca="false">G8</f>
        <v>4030.5195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37614.699</v>
      </c>
      <c r="G29" s="121" t="n">
        <f aca="false">G11</f>
        <v>2256.88194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15408.0000000006</v>
      </c>
      <c r="G30" s="121" t="n">
        <f aca="false">G19</f>
        <v>6625.44000000026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122.899999999994</v>
      </c>
      <c r="G31" s="121" t="n">
        <f aca="false">G23</f>
        <v>1136.82499999995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14049.6664400002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1" sqref="A28:K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5</v>
      </c>
      <c r="D3" s="63" t="s">
        <v>51</v>
      </c>
      <c r="E3" s="64" t="n">
        <f aca="false">'Daily Meter'!O10</f>
        <v>52.53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'4'!E7</f>
        <v>53551.3</v>
      </c>
      <c r="E7" s="82" t="n">
        <f aca="false">'Daily Meter'!B10</f>
        <v>53573.8</v>
      </c>
      <c r="F7" s="83" t="n">
        <f aca="false">E7-D7</f>
        <v>22.5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6397.65</v>
      </c>
      <c r="G8" s="87" t="n">
        <f aca="false">F8*0.63</f>
        <v>4030.5195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'4'!E10</f>
        <v>204191</v>
      </c>
      <c r="E10" s="82" t="n">
        <f aca="false">'Daily Meter'!C10</f>
        <v>204310</v>
      </c>
      <c r="F10" s="83" t="n">
        <f aca="false">E10-D10</f>
        <v>119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26176.311</v>
      </c>
      <c r="G11" s="95" t="n">
        <f aca="false">F11*0.06</f>
        <v>1570.57866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'4'!E13</f>
        <v>6587</v>
      </c>
      <c r="E13" s="82" t="n">
        <f aca="false">'Daily Meter'!H10</f>
        <v>6593.6</v>
      </c>
      <c r="F13" s="83" t="n">
        <f aca="false">(E13-D13)*480</f>
        <v>3168.00000000017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'4'!E14</f>
        <v>3981.4</v>
      </c>
      <c r="E14" s="82" t="n">
        <f aca="false">'Daily Meter'!I10</f>
        <v>3985.1</v>
      </c>
      <c r="F14" s="83" t="n">
        <f aca="false">(E14-D14)*480</f>
        <v>1775.99999999991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'4'!E15</f>
        <v>4246.5</v>
      </c>
      <c r="E15" s="82" t="n">
        <f aca="false">'Daily Meter'!J10</f>
        <v>4251</v>
      </c>
      <c r="F15" s="83" t="n">
        <f aca="false">(E15-D15)*480</f>
        <v>2160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'4'!E16</f>
        <v>2369.7</v>
      </c>
      <c r="E16" s="82" t="n">
        <f aca="false">'Daily Meter'!K10</f>
        <v>2372.3</v>
      </c>
      <c r="F16" s="83" t="n">
        <f aca="false">(E16-D16)*480</f>
        <v>1248.00000000017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'4'!E17</f>
        <v>5587.1</v>
      </c>
      <c r="E17" s="82" t="n">
        <f aca="false">'Daily Meter'!L10</f>
        <v>5591.5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'4'!E18</f>
        <v>15055.6</v>
      </c>
      <c r="E18" s="82" t="n">
        <f aca="false">'Daily Meter'!M10</f>
        <v>15066.2</v>
      </c>
      <c r="F18" s="83" t="n">
        <f aca="false">(E18-D18)*480</f>
        <v>5088.00000000018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15552.0000000003</v>
      </c>
      <c r="G19" s="87" t="n">
        <f aca="false">F19*0.43</f>
        <v>6687.36000000011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'4'!E22</f>
        <v>90508.7</v>
      </c>
      <c r="E22" s="82" t="n">
        <f aca="false">'Daily Meter'!N10</f>
        <v>90630.9</v>
      </c>
      <c r="F22" s="106" t="n">
        <f aca="false">E22-D22</f>
        <v>122.199999999997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452.139999999989</v>
      </c>
      <c r="G23" s="110" t="n">
        <f aca="false">F23*2.5</f>
        <v>1130.34999999997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6397.65</v>
      </c>
      <c r="G28" s="121" t="n">
        <f aca="false">G8</f>
        <v>4030.5195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26176.311</v>
      </c>
      <c r="G29" s="121" t="n">
        <f aca="false">G11</f>
        <v>1570.57866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15552.0000000003</v>
      </c>
      <c r="G30" s="121" t="n">
        <f aca="false">G19</f>
        <v>6687.36000000011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122.199999999997</v>
      </c>
      <c r="G31" s="121" t="n">
        <f aca="false">G23</f>
        <v>1130.34999999997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13418.8081600001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1" sqref="A28:K32 F16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6</v>
      </c>
      <c r="D3" s="63" t="s">
        <v>51</v>
      </c>
      <c r="E3" s="64" t="n">
        <f aca="false">'Daily Meter'!O11</f>
        <v>49.31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'5'!E7</f>
        <v>53573.8</v>
      </c>
      <c r="E7" s="82" t="n">
        <f aca="false">'Daily Meter'!B11</f>
        <v>53595</v>
      </c>
      <c r="F7" s="83" t="n">
        <f aca="false">E7-D7</f>
        <v>21.1999999999971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6028.00799999917</v>
      </c>
      <c r="G8" s="87" t="n">
        <f aca="false">F8*0.63</f>
        <v>3797.64503999948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'5'!E10</f>
        <v>204310</v>
      </c>
      <c r="E10" s="82" t="n">
        <f aca="false">'Daily Meter'!C11</f>
        <v>204530</v>
      </c>
      <c r="F10" s="83" t="n">
        <f aca="false">E10-D10</f>
        <v>220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48393.18</v>
      </c>
      <c r="G11" s="95" t="n">
        <f aca="false">F11*0.06</f>
        <v>2903.5908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'5'!E13</f>
        <v>6593.6</v>
      </c>
      <c r="E13" s="82" t="n">
        <f aca="false">'Daily Meter'!H11</f>
        <v>6600.3</v>
      </c>
      <c r="F13" s="83" t="n">
        <f aca="false">(E13-D13)*480</f>
        <v>3215.99999999991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'5'!E14</f>
        <v>3985.1</v>
      </c>
      <c r="E14" s="82" t="n">
        <f aca="false">'Daily Meter'!I11</f>
        <v>3988.8</v>
      </c>
      <c r="F14" s="83" t="n">
        <f aca="false">(E14-D14)*480</f>
        <v>1776.00000000013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'5'!E15</f>
        <v>4251</v>
      </c>
      <c r="E15" s="82" t="n">
        <f aca="false">'Daily Meter'!J11</f>
        <v>4255.5</v>
      </c>
      <c r="F15" s="83" t="n">
        <f aca="false">(E15-D15)*480</f>
        <v>2160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'5'!E16</f>
        <v>2372.3</v>
      </c>
      <c r="E16" s="82" t="n">
        <f aca="false">'Daily Meter'!K11</f>
        <v>2374.9</v>
      </c>
      <c r="F16" s="83" t="n">
        <f aca="false">(E16-D16)*480</f>
        <v>1247.99999999996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'5'!E17</f>
        <v>5591.5</v>
      </c>
      <c r="E17" s="82" t="n">
        <f aca="false">'Daily Meter'!L11</f>
        <v>5595.9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'5'!E18</f>
        <v>15066.2</v>
      </c>
      <c r="E18" s="82" t="n">
        <f aca="false">'Daily Meter'!M11</f>
        <v>15077.2</v>
      </c>
      <c r="F18" s="83" t="n">
        <f aca="false">(E18-D18)*480</f>
        <v>5280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15791.9999999998</v>
      </c>
      <c r="G19" s="87" t="n">
        <f aca="false">F19*0.43</f>
        <v>6790.55999999993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'5'!E22</f>
        <v>90630.9</v>
      </c>
      <c r="E22" s="82" t="n">
        <f aca="false">'Daily Meter'!N11</f>
        <v>90753.1</v>
      </c>
      <c r="F22" s="106" t="n">
        <f aca="false">E22-D22</f>
        <v>122.200000000012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452.140000000043</v>
      </c>
      <c r="G23" s="110" t="n">
        <f aca="false">F23*2.5</f>
        <v>1130.35000000011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6028.00799999917</v>
      </c>
      <c r="G28" s="121" t="n">
        <f aca="false">G8</f>
        <v>3797.64503999948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48393.18</v>
      </c>
      <c r="G29" s="121" t="n">
        <f aca="false">G11</f>
        <v>2903.5908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15791.9999999998</v>
      </c>
      <c r="G30" s="121" t="n">
        <f aca="false">G19</f>
        <v>6790.55999999993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122.200000000012</v>
      </c>
      <c r="G31" s="121" t="n">
        <f aca="false">G23</f>
        <v>1130.35000000011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14622.1458399995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1" sqref="A28:K32 H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7</v>
      </c>
      <c r="D3" s="63" t="s">
        <v>51</v>
      </c>
      <c r="E3" s="64" t="n">
        <f aca="false">'Daily Meter'!O12</f>
        <v>39.63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'6'!E7</f>
        <v>53595</v>
      </c>
      <c r="E7" s="82" t="n">
        <f aca="false">'Daily Meter'!B12</f>
        <v>53616.2</v>
      </c>
      <c r="F7" s="83" t="n">
        <f aca="false">E7-D7</f>
        <v>21.1999999999971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6028.00799999917</v>
      </c>
      <c r="G8" s="87" t="n">
        <f aca="false">F8*0.63</f>
        <v>3797.64503999948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'6'!E10</f>
        <v>204530</v>
      </c>
      <c r="E10" s="82" t="n">
        <f aca="false">'Daily Meter'!C12</f>
        <v>204766</v>
      </c>
      <c r="F10" s="83" t="n">
        <f aca="false">E10-D10</f>
        <v>236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51912.684</v>
      </c>
      <c r="G11" s="95" t="n">
        <f aca="false">F11*0.06</f>
        <v>3114.76104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'6'!E13</f>
        <v>6600.3</v>
      </c>
      <c r="E13" s="82" t="n">
        <f aca="false">'Daily Meter'!H12</f>
        <v>6607</v>
      </c>
      <c r="F13" s="83" t="n">
        <f aca="false">(E13-D13)*480</f>
        <v>3215.99999999991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'6'!E14</f>
        <v>3988.8</v>
      </c>
      <c r="E14" s="82" t="n">
        <f aca="false">'Daily Meter'!I12</f>
        <v>3992.4</v>
      </c>
      <c r="F14" s="83" t="n">
        <f aca="false">(E14-D14)*480</f>
        <v>1727.99999999996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'6'!E15</f>
        <v>4255.5</v>
      </c>
      <c r="E15" s="82" t="n">
        <f aca="false">'Daily Meter'!J12</f>
        <v>4260.2</v>
      </c>
      <c r="F15" s="83" t="n">
        <f aca="false">(E15-D15)*480</f>
        <v>2255.99999999991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'6'!E16</f>
        <v>2374.9</v>
      </c>
      <c r="E16" s="82" t="n">
        <f aca="false">'Daily Meter'!K12</f>
        <v>2377.9</v>
      </c>
      <c r="F16" s="83" t="n">
        <f aca="false">(E16-D16)*480</f>
        <v>1440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'6'!E17</f>
        <v>5595.9</v>
      </c>
      <c r="E17" s="82" t="n">
        <f aca="false">'Daily Meter'!L12</f>
        <v>5600.4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'6'!E18</f>
        <v>15077.2</v>
      </c>
      <c r="E18" s="82" t="n">
        <f aca="false">'Daily Meter'!M12</f>
        <v>15089</v>
      </c>
      <c r="F18" s="83" t="n">
        <f aca="false">(E18-D18)*480</f>
        <v>5663.99999999965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16463.9999999994</v>
      </c>
      <c r="G19" s="87" t="n">
        <f aca="false">F19*0.43</f>
        <v>7079.51999999976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'6'!E22</f>
        <v>90753.1</v>
      </c>
      <c r="E22" s="82" t="n">
        <f aca="false">'Daily Meter'!N12</f>
        <v>90872.5</v>
      </c>
      <c r="F22" s="106" t="n">
        <f aca="false">E22-D22</f>
        <v>119.399999999994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441.779999999979</v>
      </c>
      <c r="G23" s="110" t="n">
        <f aca="false">F23*2.5</f>
        <v>1104.44999999995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6028.00799999917</v>
      </c>
      <c r="G28" s="121" t="n">
        <f aca="false">G8</f>
        <v>3797.64503999948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51912.684</v>
      </c>
      <c r="G29" s="121" t="n">
        <f aca="false">G11</f>
        <v>3114.76104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16463.9999999994</v>
      </c>
      <c r="G30" s="121" t="n">
        <f aca="false">G19</f>
        <v>7079.51999999976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119.399999999994</v>
      </c>
      <c r="G31" s="121" t="n">
        <f aca="false">G23</f>
        <v>1104.44999999995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15096.3760799992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F23" activeCellId="1" sqref="A28:K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8</v>
      </c>
      <c r="D3" s="63" t="s">
        <v>51</v>
      </c>
      <c r="E3" s="64" t="n">
        <f aca="false">'Daily Meter'!O13</f>
        <v>70.97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'7'!E7</f>
        <v>53616.2</v>
      </c>
      <c r="E7" s="82" t="n">
        <f aca="false">'Daily Meter'!B13</f>
        <v>53635.2</v>
      </c>
      <c r="F7" s="83" t="n">
        <f aca="false">E7-D7</f>
        <v>19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5402.46</v>
      </c>
      <c r="G8" s="87" t="n">
        <f aca="false">F8*0.63</f>
        <v>3403.5498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'7'!E10</f>
        <v>204766</v>
      </c>
      <c r="E10" s="82" t="n">
        <f aca="false">'Daily Meter'!C13</f>
        <v>204928</v>
      </c>
      <c r="F10" s="83" t="n">
        <f aca="false">E10-D10</f>
        <v>162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35634.978</v>
      </c>
      <c r="G11" s="95" t="n">
        <f aca="false">F11*0.06</f>
        <v>2138.09868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'7'!E13</f>
        <v>6607</v>
      </c>
      <c r="E13" s="82" t="n">
        <f aca="false">'Daily Meter'!H13</f>
        <v>6613.7</v>
      </c>
      <c r="F13" s="83" t="n">
        <f aca="false">(E13-D13)*480</f>
        <v>3215.99999999991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'7'!E14</f>
        <v>3992.4</v>
      </c>
      <c r="E14" s="82" t="n">
        <f aca="false">'Daily Meter'!I13</f>
        <v>3995.9</v>
      </c>
      <c r="F14" s="83" t="n">
        <f aca="false">(E14-D14)*480</f>
        <v>1680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'7'!E15</f>
        <v>4260.2</v>
      </c>
      <c r="E15" s="82" t="n">
        <f aca="false">'Daily Meter'!J13</f>
        <v>4264.8</v>
      </c>
      <c r="F15" s="83" t="n">
        <f aca="false">(E15-D15)*480</f>
        <v>2208.00000000017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'7'!E16</f>
        <v>2377.9</v>
      </c>
      <c r="E16" s="82" t="n">
        <f aca="false">'Daily Meter'!K13</f>
        <v>2380.4</v>
      </c>
      <c r="F16" s="83" t="n">
        <f aca="false">(E16-D16)*480</f>
        <v>1200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'7'!E17</f>
        <v>5600.4</v>
      </c>
      <c r="E17" s="82" t="n">
        <f aca="false">'Daily Meter'!L13</f>
        <v>5604.7</v>
      </c>
      <c r="F17" s="83" t="n">
        <f aca="false">(E17-D17)*480</f>
        <v>2064.00000000009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'7'!E18</f>
        <v>15089</v>
      </c>
      <c r="E18" s="82" t="n">
        <f aca="false">'Daily Meter'!M13</f>
        <v>15100.2</v>
      </c>
      <c r="F18" s="83" t="n">
        <f aca="false">(E18-D18)*480</f>
        <v>5376.00000000035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15744.0000000005</v>
      </c>
      <c r="G19" s="87" t="n">
        <f aca="false">F19*0.43</f>
        <v>6769.92000000023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'7'!E22</f>
        <v>90872.5</v>
      </c>
      <c r="E22" s="82" t="n">
        <f aca="false">'Daily Meter'!N13</f>
        <v>90985.8</v>
      </c>
      <c r="F22" s="106" t="n">
        <f aca="false">E22-D22</f>
        <v>113.300000000003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419.210000000011</v>
      </c>
      <c r="G23" s="110" t="n">
        <f aca="false">F23*2.5</f>
        <v>1048.02500000003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5402.46</v>
      </c>
      <c r="G28" s="121" t="n">
        <f aca="false">G8</f>
        <v>3403.5498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35634.978</v>
      </c>
      <c r="G29" s="121" t="n">
        <f aca="false">G11</f>
        <v>2138.09868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15744.0000000005</v>
      </c>
      <c r="G30" s="121" t="n">
        <f aca="false">G19</f>
        <v>6769.92000000023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113.300000000003</v>
      </c>
      <c r="G31" s="121" t="n">
        <f aca="false">G23</f>
        <v>1048.02500000003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13359.5934800003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1" sqref="A28:K32 H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9</v>
      </c>
      <c r="D3" s="63" t="s">
        <v>51</v>
      </c>
      <c r="E3" s="64" t="n">
        <f aca="false">'Daily Meter'!O14</f>
        <v>79.26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'8'!E7</f>
        <v>53635.2</v>
      </c>
      <c r="E7" s="82" t="n">
        <f aca="false">'Daily Meter'!B14</f>
        <v>53656</v>
      </c>
      <c r="F7" s="83" t="n">
        <f aca="false">E7-D7</f>
        <v>20.8000000000029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5914.27200000083</v>
      </c>
      <c r="G8" s="87" t="n">
        <f aca="false">F8*0.63</f>
        <v>3725.99136000052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'8'!E10</f>
        <v>204928</v>
      </c>
      <c r="E10" s="82" t="n">
        <f aca="false">'Daily Meter'!C14</f>
        <v>205059</v>
      </c>
      <c r="F10" s="83" t="n">
        <f aca="false">E10-D10</f>
        <v>131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28815.939</v>
      </c>
      <c r="G11" s="95" t="n">
        <f aca="false">F11*0.06</f>
        <v>1728.95634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'8'!E13</f>
        <v>6613.7</v>
      </c>
      <c r="E13" s="82" t="n">
        <f aca="false">'Daily Meter'!H14</f>
        <v>6620.5</v>
      </c>
      <c r="F13" s="83" t="n">
        <f aca="false">(E13-D13)*480</f>
        <v>3264.00000000009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'8'!E14</f>
        <v>3995.9</v>
      </c>
      <c r="E14" s="82" t="n">
        <f aca="false">'Daily Meter'!I14</f>
        <v>3999.6</v>
      </c>
      <c r="F14" s="83" t="n">
        <f aca="false">(E14-D14)*480</f>
        <v>1775.99999999991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'8'!E15</f>
        <v>4264.8</v>
      </c>
      <c r="E15" s="82" t="n">
        <f aca="false">'Daily Meter'!J14</f>
        <v>4269.4</v>
      </c>
      <c r="F15" s="83" t="n">
        <f aca="false">(E15-D15)*480</f>
        <v>2207.99999999974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'8'!E16</f>
        <v>2380.4</v>
      </c>
      <c r="E16" s="82" t="n">
        <f aca="false">'Daily Meter'!K14</f>
        <v>2383.1</v>
      </c>
      <c r="F16" s="83" t="n">
        <f aca="false">(E16-D16)*480</f>
        <v>1295.99999999991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'8'!E17</f>
        <v>5604.7</v>
      </c>
      <c r="E17" s="82" t="n">
        <f aca="false">'Daily Meter'!L14</f>
        <v>5609.1</v>
      </c>
      <c r="F17" s="83" t="n">
        <f aca="false">(E17-D17)*480</f>
        <v>2112.00000000026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'8'!E18</f>
        <v>15100.2</v>
      </c>
      <c r="E18" s="82" t="n">
        <f aca="false">'Daily Meter'!M14</f>
        <v>15111.3</v>
      </c>
      <c r="F18" s="83" t="n">
        <f aca="false">(E18-D18)*480</f>
        <v>5327.9999999993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15983.9999999992</v>
      </c>
      <c r="G19" s="87" t="n">
        <f aca="false">F19*0.43</f>
        <v>6873.11999999966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'8'!E22</f>
        <v>90985.8</v>
      </c>
      <c r="E22" s="82" t="n">
        <f aca="false">'Daily Meter'!N14</f>
        <v>91106</v>
      </c>
      <c r="F22" s="106" t="n">
        <f aca="false">E22-D22</f>
        <v>120.199999999997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444.739999999989</v>
      </c>
      <c r="G23" s="110" t="n">
        <f aca="false">F23*2.5</f>
        <v>1111.84999999997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5914.27200000083</v>
      </c>
      <c r="G28" s="121" t="n">
        <f aca="false">G8</f>
        <v>3725.99136000052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28815.939</v>
      </c>
      <c r="G29" s="121" t="n">
        <f aca="false">G11</f>
        <v>1728.95634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15983.9999999992</v>
      </c>
      <c r="G30" s="121" t="n">
        <f aca="false">G19</f>
        <v>6873.11999999966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120.199999999997</v>
      </c>
      <c r="G31" s="121" t="n">
        <f aca="false">G23</f>
        <v>1111.84999999997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13439.9177000002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1" sqref="A28:K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10</v>
      </c>
      <c r="D3" s="63" t="s">
        <v>51</v>
      </c>
      <c r="E3" s="64" t="n">
        <f aca="false">'Daily Meter'!O15</f>
        <v>86.67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'9'!E7</f>
        <v>53656</v>
      </c>
      <c r="E7" s="82" t="n">
        <f aca="false">'Daily Meter'!B15</f>
        <v>53676.9</v>
      </c>
      <c r="F7" s="83" t="n">
        <f aca="false">E7-D7</f>
        <v>20.9000000000015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5942.70600000041</v>
      </c>
      <c r="G8" s="87" t="n">
        <f aca="false">F8*0.63</f>
        <v>3743.90478000026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'9'!E10</f>
        <v>205059</v>
      </c>
      <c r="E10" s="82" t="n">
        <f aca="false">'Daily Meter'!C15</f>
        <v>205282</v>
      </c>
      <c r="F10" s="83" t="n">
        <f aca="false">E10-D10</f>
        <v>223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49053.087</v>
      </c>
      <c r="G11" s="95" t="n">
        <f aca="false">F11*0.06</f>
        <v>2943.18522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'9'!E13</f>
        <v>6620.5</v>
      </c>
      <c r="E13" s="82" t="n">
        <f aca="false">'Daily Meter'!H15</f>
        <v>6627.3</v>
      </c>
      <c r="F13" s="83" t="n">
        <f aca="false">(E13-D13)*480</f>
        <v>3264.00000000009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'9'!E14</f>
        <v>3999.6</v>
      </c>
      <c r="E14" s="82" t="n">
        <f aca="false">'Daily Meter'!I15</f>
        <v>4003.7</v>
      </c>
      <c r="F14" s="83" t="n">
        <f aca="false">(E14-D14)*480</f>
        <v>1967.99999999996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'9'!E15</f>
        <v>4269.4</v>
      </c>
      <c r="E15" s="82" t="n">
        <f aca="false">'Daily Meter'!J15</f>
        <v>4274.1</v>
      </c>
      <c r="F15" s="83" t="n">
        <f aca="false">(E15-D15)*480</f>
        <v>2256.00000000035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'9'!E16</f>
        <v>2383.1</v>
      </c>
      <c r="E16" s="82" t="n">
        <f aca="false">'Daily Meter'!K15</f>
        <v>2385.9</v>
      </c>
      <c r="F16" s="83" t="n">
        <f aca="false">(E16-D16)*480</f>
        <v>1344.00000000009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'9'!E17</f>
        <v>5609.1</v>
      </c>
      <c r="E17" s="82" t="n">
        <f aca="false">'Daily Meter'!L15</f>
        <v>5613.5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'9'!E18</f>
        <v>15111.3</v>
      </c>
      <c r="E18" s="82" t="n">
        <f aca="false">'Daily Meter'!M15</f>
        <v>15122.2</v>
      </c>
      <c r="F18" s="83" t="n">
        <f aca="false">(E18-D18)*480</f>
        <v>5232.0000000007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16176.000000001</v>
      </c>
      <c r="G19" s="87" t="n">
        <f aca="false">F19*0.43</f>
        <v>6955.68000000043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'9'!E22</f>
        <v>91106</v>
      </c>
      <c r="E22" s="82" t="n">
        <f aca="false">'Daily Meter'!N15</f>
        <v>91234</v>
      </c>
      <c r="F22" s="106" t="n">
        <f aca="false">E22-D22</f>
        <v>128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473.6</v>
      </c>
      <c r="G23" s="110" t="n">
        <f aca="false">F23*2.5</f>
        <v>1184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5942.70600000041</v>
      </c>
      <c r="G28" s="121" t="n">
        <f aca="false">G8</f>
        <v>3743.90478000026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49053.087</v>
      </c>
      <c r="G29" s="121" t="n">
        <f aca="false">G11</f>
        <v>2943.18522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16176.000000001</v>
      </c>
      <c r="G30" s="121" t="n">
        <f aca="false">G19</f>
        <v>6955.68000000043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128</v>
      </c>
      <c r="G31" s="121" t="n">
        <f aca="false">G23</f>
        <v>1184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14826.7700000007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K4" activeCellId="1" sqref="A28:K32 K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11</v>
      </c>
      <c r="D3" s="63" t="s">
        <v>51</v>
      </c>
      <c r="E3" s="64" t="n">
        <f aca="false">'Daily Meter'!O16</f>
        <v>69.82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'10'!E7</f>
        <v>53676.9</v>
      </c>
      <c r="E7" s="82" t="n">
        <f aca="false">'Daily Meter'!B16</f>
        <v>53697.4</v>
      </c>
      <c r="F7" s="83" t="n">
        <f aca="false">E7-D7</f>
        <v>20.5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5828.97</v>
      </c>
      <c r="G8" s="87" t="n">
        <f aca="false">F8*0.63</f>
        <v>3672.2511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'10'!E10</f>
        <v>205282</v>
      </c>
      <c r="E10" s="82" t="n">
        <f aca="false">'Daily Meter'!C16</f>
        <v>205368</v>
      </c>
      <c r="F10" s="83" t="n">
        <f aca="false">E10-D10</f>
        <v>86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18917.334</v>
      </c>
      <c r="G11" s="95" t="n">
        <f aca="false">F11*0.06</f>
        <v>1135.04004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'10'!E13</f>
        <v>6627.3</v>
      </c>
      <c r="E13" s="82" t="n">
        <f aca="false">'Daily Meter'!H16</f>
        <v>6634.1</v>
      </c>
      <c r="F13" s="83" t="n">
        <f aca="false">(E13-D13)*480</f>
        <v>3264.00000000009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'10'!E14</f>
        <v>4003.7</v>
      </c>
      <c r="E14" s="82" t="n">
        <f aca="false">'Daily Meter'!I16</f>
        <v>4007.7</v>
      </c>
      <c r="F14" s="83" t="n">
        <f aca="false">(E14-D14)*480</f>
        <v>1920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'10'!E15</f>
        <v>4274.1</v>
      </c>
      <c r="E15" s="82" t="n">
        <f aca="false">'Daily Meter'!J16</f>
        <v>4278.7</v>
      </c>
      <c r="F15" s="83" t="n">
        <f aca="false">(E15-D15)*480</f>
        <v>2207.99999999974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'10'!E16</f>
        <v>2385.9</v>
      </c>
      <c r="E16" s="82" t="n">
        <f aca="false">'Daily Meter'!K16</f>
        <v>2388.6</v>
      </c>
      <c r="F16" s="83" t="n">
        <f aca="false">(E16-D16)*480</f>
        <v>1295.99999999991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'10'!E17</f>
        <v>5613.5</v>
      </c>
      <c r="E17" s="82" t="n">
        <f aca="false">'Daily Meter'!L16</f>
        <v>5618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'10'!E18</f>
        <v>15122.2</v>
      </c>
      <c r="E18" s="82" t="n">
        <f aca="false">'Daily Meter'!M16</f>
        <v>15133.3</v>
      </c>
      <c r="F18" s="83" t="n">
        <f aca="false">(E18-D18)*480</f>
        <v>5327.9999999993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16175.999999999</v>
      </c>
      <c r="G19" s="87" t="n">
        <f aca="false">F19*0.43</f>
        <v>6955.67999999959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'10'!E22</f>
        <v>91234</v>
      </c>
      <c r="E22" s="82" t="n">
        <f aca="false">'Daily Meter'!N16</f>
        <v>91341.5</v>
      </c>
      <c r="F22" s="106" t="n">
        <f aca="false">E22-D22</f>
        <v>107.5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397.75</v>
      </c>
      <c r="G23" s="110" t="n">
        <f aca="false">F23*2.5</f>
        <v>994.375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5828.97</v>
      </c>
      <c r="G28" s="121" t="n">
        <f aca="false">G8</f>
        <v>3672.2511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18917.334</v>
      </c>
      <c r="G29" s="121" t="n">
        <f aca="false">G11</f>
        <v>1135.04004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16175.999999999</v>
      </c>
      <c r="G30" s="121" t="n">
        <f aca="false">G19</f>
        <v>6955.67999999959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107.5</v>
      </c>
      <c r="G31" s="121" t="n">
        <f aca="false">G23</f>
        <v>994.375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12757.3461399996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1" sqref="A28:K32 E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12</v>
      </c>
      <c r="D3" s="63" t="s">
        <v>51</v>
      </c>
      <c r="E3" s="64" t="n">
        <f aca="false">'Daily Meter'!O17</f>
        <v>55.99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'11'!E7</f>
        <v>53697.4</v>
      </c>
      <c r="E7" s="82" t="n">
        <f aca="false">'Daily Meter'!B17</f>
        <v>53716.2</v>
      </c>
      <c r="F7" s="83" t="n">
        <f aca="false">E7-D7</f>
        <v>18.7999999999956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5345.59199999876</v>
      </c>
      <c r="G8" s="87" t="n">
        <f aca="false">F8*0.63</f>
        <v>3367.72295999922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'11'!E10</f>
        <v>205368</v>
      </c>
      <c r="E10" s="82" t="n">
        <f aca="false">'Daily Meter'!C17</f>
        <v>205672</v>
      </c>
      <c r="F10" s="83" t="n">
        <f aca="false">E10-D10</f>
        <v>304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66870.576</v>
      </c>
      <c r="G11" s="95" t="n">
        <f aca="false">F11*0.06</f>
        <v>4012.23456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'11'!E13</f>
        <v>6634.1</v>
      </c>
      <c r="E13" s="82" t="n">
        <f aca="false">'Daily Meter'!H17</f>
        <v>6641.2</v>
      </c>
      <c r="F13" s="83" t="n">
        <f aca="false">(E13-D13)*480</f>
        <v>3407.99999999974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'11'!E14</f>
        <v>4007.7</v>
      </c>
      <c r="E14" s="82" t="n">
        <f aca="false">'Daily Meter'!I17</f>
        <v>4011.6</v>
      </c>
      <c r="F14" s="83" t="n">
        <f aca="false">(E14-D14)*480</f>
        <v>1872.00000000004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'11'!E15</f>
        <v>4278.7</v>
      </c>
      <c r="E15" s="82" t="n">
        <f aca="false">'Daily Meter'!J17</f>
        <v>4283.5</v>
      </c>
      <c r="F15" s="83" t="n">
        <f aca="false">(E15-D15)*480</f>
        <v>2304.00000000009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'11'!E16</f>
        <v>2388.6</v>
      </c>
      <c r="E16" s="82" t="n">
        <f aca="false">'Daily Meter'!K17</f>
        <v>2391.4</v>
      </c>
      <c r="F16" s="83" t="n">
        <f aca="false">(E16-D16)*480</f>
        <v>1344.00000000009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'11'!E17</f>
        <v>5618</v>
      </c>
      <c r="E17" s="82" t="n">
        <f aca="false">'Daily Meter'!L17</f>
        <v>5622.5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'11'!E18</f>
        <v>15133.3</v>
      </c>
      <c r="E18" s="82" t="n">
        <f aca="false">'Daily Meter'!M17</f>
        <v>15144.6</v>
      </c>
      <c r="F18" s="83" t="n">
        <f aca="false">(E18-D18)*480</f>
        <v>5424.00000000052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16512.0000000005</v>
      </c>
      <c r="G19" s="87" t="n">
        <f aca="false">F19*0.43</f>
        <v>7100.16000000021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'11'!E22</f>
        <v>91341.5</v>
      </c>
      <c r="E22" s="82" t="n">
        <f aca="false">'Daily Meter'!N17</f>
        <v>91517.7</v>
      </c>
      <c r="F22" s="106" t="n">
        <f aca="false">E22-D22</f>
        <v>176.199999999997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651.939999999989</v>
      </c>
      <c r="G23" s="110" t="n">
        <f aca="false">F23*2.5</f>
        <v>1629.84999999997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5345.59199999876</v>
      </c>
      <c r="G28" s="121" t="n">
        <f aca="false">G8</f>
        <v>3367.72295999922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66870.576</v>
      </c>
      <c r="G29" s="121" t="n">
        <f aca="false">G11</f>
        <v>4012.23456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16512.0000000005</v>
      </c>
      <c r="G30" s="121" t="n">
        <f aca="false">G19</f>
        <v>7100.16000000021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176.199999999997</v>
      </c>
      <c r="G31" s="121" t="n">
        <f aca="false">G23</f>
        <v>1629.84999999997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16109.9675199994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1" sqref="A28:K32 E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13</v>
      </c>
      <c r="D3" s="63" t="s">
        <v>51</v>
      </c>
      <c r="E3" s="64" t="n">
        <f aca="false">'Daily Meter'!O18</f>
        <v>44.24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'12'!E7</f>
        <v>53716.2</v>
      </c>
      <c r="E7" s="82" t="n">
        <f aca="false">'Daily Meter'!B18</f>
        <v>53734.8</v>
      </c>
      <c r="F7" s="83" t="n">
        <f aca="false">E7-D7</f>
        <v>18.6000000000058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5288.72400000165</v>
      </c>
      <c r="G8" s="87" t="n">
        <f aca="false">F8*0.63</f>
        <v>3331.89612000104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'12'!E10</f>
        <v>205672</v>
      </c>
      <c r="E10" s="82" t="n">
        <f aca="false">'Daily Meter'!C18</f>
        <v>205925</v>
      </c>
      <c r="F10" s="83" t="n">
        <f aca="false">E10-D10</f>
        <v>253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55652.157</v>
      </c>
      <c r="G11" s="95" t="n">
        <f aca="false">F11*0.06</f>
        <v>3339.12942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'12'!E13</f>
        <v>6641.2</v>
      </c>
      <c r="E13" s="82" t="n">
        <f aca="false">'Daily Meter'!H18</f>
        <v>6648.4</v>
      </c>
      <c r="F13" s="83" t="n">
        <f aca="false">(E13-D13)*480</f>
        <v>3455.99999999991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'12'!E14</f>
        <v>4011.6</v>
      </c>
      <c r="E14" s="82" t="n">
        <f aca="false">'Daily Meter'!I18</f>
        <v>4015.4</v>
      </c>
      <c r="F14" s="83" t="n">
        <f aca="false">(E14-D14)*480</f>
        <v>1824.00000000009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'12'!E15</f>
        <v>4283.5</v>
      </c>
      <c r="E15" s="82" t="n">
        <f aca="false">'Daily Meter'!J18</f>
        <v>4288.4</v>
      </c>
      <c r="F15" s="83" t="n">
        <f aca="false">(E15-D15)*480</f>
        <v>2351.99999999983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'12'!E16</f>
        <v>2391.4</v>
      </c>
      <c r="E16" s="82" t="n">
        <f aca="false">'Daily Meter'!K18</f>
        <v>2394.2</v>
      </c>
      <c r="F16" s="83" t="n">
        <f aca="false">(E16-D16)*480</f>
        <v>1343.99999999987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'12'!E17</f>
        <v>5622.5</v>
      </c>
      <c r="E17" s="82" t="n">
        <f aca="false">'Daily Meter'!L18</f>
        <v>5627.1</v>
      </c>
      <c r="F17" s="83" t="n">
        <f aca="false">(E17-D17)*480</f>
        <v>2208.00000000017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'12'!E18</f>
        <v>15144.6</v>
      </c>
      <c r="E18" s="82" t="n">
        <f aca="false">'Daily Meter'!M18</f>
        <v>15156</v>
      </c>
      <c r="F18" s="83" t="n">
        <f aca="false">(E18-D18)*480</f>
        <v>5471.99999999983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16655.9999999997</v>
      </c>
      <c r="G19" s="87" t="n">
        <f aca="false">F19*0.43</f>
        <v>7162.07999999987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'12'!E22</f>
        <v>91517.7</v>
      </c>
      <c r="E22" s="82" t="n">
        <f aca="false">'Daily Meter'!N18</f>
        <v>91677.1</v>
      </c>
      <c r="F22" s="106" t="n">
        <f aca="false">E22-D22</f>
        <v>159.400000000009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589.780000000032</v>
      </c>
      <c r="G23" s="110" t="n">
        <f aca="false">F23*2.5</f>
        <v>1474.45000000008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5288.72400000165</v>
      </c>
      <c r="G28" s="121" t="n">
        <f aca="false">G8</f>
        <v>3331.89612000104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55652.157</v>
      </c>
      <c r="G29" s="121" t="n">
        <f aca="false">G11</f>
        <v>3339.12942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16655.9999999997</v>
      </c>
      <c r="G30" s="121" t="n">
        <f aca="false">G19</f>
        <v>7162.07999999987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159.400000000009</v>
      </c>
      <c r="G31" s="121" t="n">
        <f aca="false">G23</f>
        <v>1474.45000000008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15307.555540001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D14" activeCellId="1" sqref="A28:K32 D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14</v>
      </c>
      <c r="D3" s="63" t="s">
        <v>51</v>
      </c>
      <c r="E3" s="64" t="n">
        <f aca="false">'Daily Meter'!O19</f>
        <v>52.07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'13'!E7</f>
        <v>53734.8</v>
      </c>
      <c r="E7" s="82" t="n">
        <f aca="false">'Daily Meter'!B19</f>
        <v>53753.3</v>
      </c>
      <c r="F7" s="83" t="n">
        <f aca="false">E7-D7</f>
        <v>18.5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5260.29</v>
      </c>
      <c r="G8" s="87" t="n">
        <f aca="false">F8*0.63</f>
        <v>3313.9827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'13'!E10</f>
        <v>205925</v>
      </c>
      <c r="E10" s="82" t="n">
        <f aca="false">'Daily Meter'!C19</f>
        <v>206117</v>
      </c>
      <c r="F10" s="83" t="n">
        <f aca="false">E10-D10</f>
        <v>192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42234.048</v>
      </c>
      <c r="G11" s="95" t="n">
        <f aca="false">F11*0.06</f>
        <v>2534.04288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'13'!E13</f>
        <v>6648.4</v>
      </c>
      <c r="E13" s="82" t="n">
        <f aca="false">'Daily Meter'!H19</f>
        <v>6655.3</v>
      </c>
      <c r="F13" s="83" t="n">
        <f aca="false">(E13-D13)*480</f>
        <v>3312.00000000026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'13'!E14</f>
        <v>4015.4</v>
      </c>
      <c r="E14" s="82" t="n">
        <f aca="false">'Daily Meter'!I19</f>
        <v>4018.9</v>
      </c>
      <c r="F14" s="83" t="n">
        <f aca="false">(E14-D14)*480</f>
        <v>1680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'13'!E15</f>
        <v>4288.4</v>
      </c>
      <c r="E15" s="82" t="n">
        <f aca="false">'Daily Meter'!J19</f>
        <v>4293</v>
      </c>
      <c r="F15" s="83" t="n">
        <f aca="false">(E15-D15)*480</f>
        <v>2208.00000000017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'13'!E16</f>
        <v>2394.2</v>
      </c>
      <c r="E16" s="82" t="n">
        <f aca="false">'Daily Meter'!K19</f>
        <v>2396.9</v>
      </c>
      <c r="F16" s="83" t="n">
        <f aca="false">(E16-D16)*480</f>
        <v>1296.00000000013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'13'!E17</f>
        <v>5627.1</v>
      </c>
      <c r="E17" s="82" t="n">
        <f aca="false">'Daily Meter'!L19</f>
        <v>5631.5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'13'!E18</f>
        <v>15156</v>
      </c>
      <c r="E18" s="82" t="n">
        <f aca="false">'Daily Meter'!M19</f>
        <v>15166.7</v>
      </c>
      <c r="F18" s="83" t="n">
        <f aca="false">(E18-D18)*480</f>
        <v>5136.00000000035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15744.0000000007</v>
      </c>
      <c r="G19" s="87" t="n">
        <f aca="false">F19*0.43</f>
        <v>6769.92000000032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'13'!E22</f>
        <v>91677.1</v>
      </c>
      <c r="E22" s="82" t="n">
        <f aca="false">'Daily Meter'!N19</f>
        <v>91814.2</v>
      </c>
      <c r="F22" s="106" t="n">
        <f aca="false">E22-D22</f>
        <v>137.099999999991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507.269999999968</v>
      </c>
      <c r="G23" s="110" t="n">
        <f aca="false">F23*2.5</f>
        <v>1268.17499999992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5260.29</v>
      </c>
      <c r="G28" s="121" t="n">
        <f aca="false">G8</f>
        <v>3313.9827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42234.048</v>
      </c>
      <c r="G29" s="121" t="n">
        <f aca="false">G11</f>
        <v>2534.04288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15744.0000000007</v>
      </c>
      <c r="G30" s="121" t="n">
        <f aca="false">G19</f>
        <v>6769.92000000032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137.099999999991</v>
      </c>
      <c r="G31" s="121" t="n">
        <f aca="false">G23</f>
        <v>1268.17499999992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13886.1205800002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1" sqref="A28:K32 I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15</v>
      </c>
      <c r="D3" s="63" t="s">
        <v>51</v>
      </c>
      <c r="E3" s="64" t="n">
        <f aca="false">'Daily Meter'!O20</f>
        <v>82.72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'14'!E7</f>
        <v>53753.3</v>
      </c>
      <c r="E7" s="82" t="n">
        <f aca="false">'Daily Meter'!B20</f>
        <v>53772.3</v>
      </c>
      <c r="F7" s="83" t="n">
        <f aca="false">E7-D7</f>
        <v>19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5402.46</v>
      </c>
      <c r="G8" s="87" t="n">
        <f aca="false">F8*0.63</f>
        <v>3403.5498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'14'!E10</f>
        <v>206117</v>
      </c>
      <c r="E10" s="82" t="n">
        <f aca="false">'Daily Meter'!C20</f>
        <v>206290</v>
      </c>
      <c r="F10" s="83" t="n">
        <f aca="false">E10-D10</f>
        <v>173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38054.637</v>
      </c>
      <c r="G11" s="95" t="n">
        <f aca="false">F11*0.06</f>
        <v>2283.27822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'14'!E13</f>
        <v>6655.3</v>
      </c>
      <c r="E13" s="82" t="n">
        <f aca="false">'Daily Meter'!H20</f>
        <v>6662</v>
      </c>
      <c r="F13" s="83" t="n">
        <f aca="false">(E13-D13)*480</f>
        <v>3215.99999999991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'14'!E14</f>
        <v>4018.9</v>
      </c>
      <c r="E14" s="82" t="n">
        <f aca="false">'Daily Meter'!I20</f>
        <v>4022.85</v>
      </c>
      <c r="F14" s="83" t="n">
        <f aca="false">(E14-D14)*480</f>
        <v>1895.99999999991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'14'!E15</f>
        <v>4293</v>
      </c>
      <c r="E15" s="82" t="n">
        <f aca="false">'Daily Meter'!J20</f>
        <v>4297.3</v>
      </c>
      <c r="F15" s="83" t="n">
        <f aca="false">(E15-D15)*480</f>
        <v>2064.00000000009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'14'!E16</f>
        <v>2396.9</v>
      </c>
      <c r="E16" s="82" t="n">
        <f aca="false">'Daily Meter'!K20</f>
        <v>2399.5</v>
      </c>
      <c r="F16" s="83" t="n">
        <f aca="false">(E16-D16)*480</f>
        <v>1247.99999999996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'14'!E17</f>
        <v>5631.5</v>
      </c>
      <c r="E17" s="82" t="n">
        <f aca="false">'Daily Meter'!L20</f>
        <v>5635.9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'14'!E18</f>
        <v>15166.7</v>
      </c>
      <c r="E18" s="82" t="n">
        <f aca="false">'Daily Meter'!M20</f>
        <v>15176.3</v>
      </c>
      <c r="F18" s="83" t="n">
        <f aca="false">(E18-D18)*480</f>
        <v>4607.9999999993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15143.999999999</v>
      </c>
      <c r="G19" s="87" t="n">
        <f aca="false">F19*0.43</f>
        <v>6511.91999999957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'14'!E22</f>
        <v>91814.2</v>
      </c>
      <c r="E22" s="82" t="n">
        <f aca="false">'Daily Meter'!N20</f>
        <v>91928.7</v>
      </c>
      <c r="F22" s="106" t="n">
        <f aca="false">E22-D22</f>
        <v>114.5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423.65</v>
      </c>
      <c r="G23" s="110" t="n">
        <f aca="false">F23*2.5</f>
        <v>1059.125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5402.46</v>
      </c>
      <c r="G28" s="121" t="n">
        <f aca="false">G8</f>
        <v>3403.5498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38054.637</v>
      </c>
      <c r="G29" s="121" t="n">
        <f aca="false">G11</f>
        <v>2283.27822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15143.999999999</v>
      </c>
      <c r="G30" s="121" t="n">
        <f aca="false">G19</f>
        <v>6511.91999999957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114.5</v>
      </c>
      <c r="G31" s="121" t="n">
        <f aca="false">G23</f>
        <v>1059.125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13257.8730199996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1" sqref="A28:K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16</v>
      </c>
      <c r="D3" s="63" t="s">
        <v>51</v>
      </c>
      <c r="E3" s="64" t="n">
        <f aca="false">'Daily Meter'!O21</f>
        <v>98.16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'15'!E7</f>
        <v>53772.3</v>
      </c>
      <c r="E7" s="82" t="n">
        <f aca="false">'Daily Meter'!B21</f>
        <v>53791.7</v>
      </c>
      <c r="F7" s="83" t="n">
        <f aca="false">E7-D7</f>
        <v>19.3999999999942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5516.19599999835</v>
      </c>
      <c r="G8" s="87" t="n">
        <f aca="false">F8*0.63</f>
        <v>3475.20347999896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'15'!E10</f>
        <v>206290</v>
      </c>
      <c r="E10" s="82" t="n">
        <f aca="false">'Daily Meter'!C21</f>
        <v>206462</v>
      </c>
      <c r="F10" s="83" t="n">
        <f aca="false">E10-D10</f>
        <v>172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37834.668</v>
      </c>
      <c r="G11" s="95" t="n">
        <f aca="false">F11*0.06</f>
        <v>2270.08008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'15'!E13</f>
        <v>6662</v>
      </c>
      <c r="E13" s="82" t="n">
        <f aca="false">'Daily Meter'!H21</f>
        <v>6668.7</v>
      </c>
      <c r="F13" s="83" t="n">
        <f aca="false">(E13-D13)*480</f>
        <v>3215.99999999991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'15'!E14</f>
        <v>4022.85</v>
      </c>
      <c r="E14" s="82" t="n">
        <f aca="false">'Daily Meter'!I21</f>
        <v>4026.3</v>
      </c>
      <c r="F14" s="83" t="n">
        <f aca="false">(E14-D14)*480</f>
        <v>1656.00000000013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'15'!E15</f>
        <v>4297.3</v>
      </c>
      <c r="E15" s="82" t="n">
        <f aca="false">'Daily Meter'!J21</f>
        <v>4301.7</v>
      </c>
      <c r="F15" s="83" t="n">
        <f aca="false">(E15-D15)*480</f>
        <v>2111.99999999983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'15'!E16</f>
        <v>2399.5</v>
      </c>
      <c r="E16" s="82" t="n">
        <f aca="false">'Daily Meter'!K21</f>
        <v>2402.2</v>
      </c>
      <c r="F16" s="83" t="n">
        <f aca="false">(E16-D16)*480</f>
        <v>1295.99999999991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'15'!E17</f>
        <v>5635.9</v>
      </c>
      <c r="E17" s="82" t="n">
        <f aca="false">'Daily Meter'!L21</f>
        <v>5640.4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'15'!E18</f>
        <v>15176.3</v>
      </c>
      <c r="E18" s="82" t="n">
        <f aca="false">'Daily Meter'!M21</f>
        <v>15185.6</v>
      </c>
      <c r="F18" s="83" t="n">
        <f aca="false">(E18-D18)*480</f>
        <v>4464.00000000052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14904.0000000003</v>
      </c>
      <c r="G19" s="87" t="n">
        <f aca="false">F19*0.43</f>
        <v>6408.72000000013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'15'!E22</f>
        <v>91928.7</v>
      </c>
      <c r="E22" s="82" t="n">
        <f aca="false">'Daily Meter'!N21</f>
        <v>92046</v>
      </c>
      <c r="F22" s="106" t="n">
        <f aca="false">E22-D22</f>
        <v>117.300000000003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434.010000000011</v>
      </c>
      <c r="G23" s="110" t="n">
        <f aca="false">F23*2.5</f>
        <v>1085.02500000003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5516.19599999835</v>
      </c>
      <c r="G28" s="121" t="n">
        <f aca="false">G8</f>
        <v>3475.20347999896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37834.668</v>
      </c>
      <c r="G29" s="121" t="n">
        <f aca="false">G11</f>
        <v>2270.08008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14904.0000000003</v>
      </c>
      <c r="G30" s="121" t="n">
        <f aca="false">G19</f>
        <v>6408.72000000013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117.300000000003</v>
      </c>
      <c r="G31" s="121" t="n">
        <f aca="false">G23</f>
        <v>1085.02500000003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13239.0285599991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9" activeCellId="1" sqref="A28:K32 H19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17</v>
      </c>
      <c r="D3" s="63" t="s">
        <v>51</v>
      </c>
      <c r="E3" s="64" t="n">
        <f aca="false">'Daily Meter'!O22</f>
        <v>99.08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'16'!E7</f>
        <v>53791.7</v>
      </c>
      <c r="E7" s="82" t="n">
        <f aca="false">'Daily Meter'!B22</f>
        <v>53814.5</v>
      </c>
      <c r="F7" s="83" t="n">
        <f aca="false">E7-D7</f>
        <v>22.8000000000029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6482.95200000083</v>
      </c>
      <c r="G8" s="87" t="n">
        <f aca="false">F8*0.63</f>
        <v>4084.25976000052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'16'!E10</f>
        <v>206462</v>
      </c>
      <c r="E10" s="82" t="n">
        <f aca="false">'Daily Meter'!C22</f>
        <v>206662</v>
      </c>
      <c r="F10" s="83" t="n">
        <f aca="false">E10-D10</f>
        <v>200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43993.8</v>
      </c>
      <c r="G11" s="95" t="n">
        <f aca="false">F11*0.06</f>
        <v>2639.628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'16'!E13</f>
        <v>6668.7</v>
      </c>
      <c r="E13" s="82" t="n">
        <f aca="false">'Daily Meter'!H22</f>
        <v>6675.6</v>
      </c>
      <c r="F13" s="83" t="n">
        <f aca="false">(E13-D13)*480</f>
        <v>3312.00000000026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'16'!E14</f>
        <v>4026.3</v>
      </c>
      <c r="E14" s="82" t="n">
        <f aca="false">'Daily Meter'!I22</f>
        <v>4030.3</v>
      </c>
      <c r="F14" s="83" t="n">
        <f aca="false">(E14-D14)*480</f>
        <v>1920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'16'!E15</f>
        <v>4301.7</v>
      </c>
      <c r="E15" s="82" t="n">
        <f aca="false">'Daily Meter'!J22</f>
        <v>4305.8</v>
      </c>
      <c r="F15" s="83" t="n">
        <f aca="false">(E15-D15)*480</f>
        <v>1968.00000000017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'16'!E16</f>
        <v>2402.2</v>
      </c>
      <c r="E16" s="82" t="n">
        <f aca="false">'Daily Meter'!K22</f>
        <v>2405.1</v>
      </c>
      <c r="F16" s="83" t="n">
        <f aca="false">(E16-D16)*480</f>
        <v>1392.00000000004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'16'!E17</f>
        <v>5640.4</v>
      </c>
      <c r="E17" s="82" t="n">
        <f aca="false">'Daily Meter'!L22</f>
        <v>5644.9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'16'!E18</f>
        <v>15185.6</v>
      </c>
      <c r="E18" s="82" t="n">
        <f aca="false">'Daily Meter'!M22</f>
        <v>15194.6</v>
      </c>
      <c r="F18" s="83" t="n">
        <f aca="false">(E18-D18)*480</f>
        <v>4320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15072.0000000005</v>
      </c>
      <c r="G19" s="87" t="n">
        <f aca="false">F19*0.43</f>
        <v>6480.96000000021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'16'!E22</f>
        <v>92046</v>
      </c>
      <c r="E22" s="82" t="n">
        <f aca="false">'Daily Meter'!N22</f>
        <v>92194.2</v>
      </c>
      <c r="F22" s="106" t="n">
        <f aca="false">E22-D22</f>
        <v>148.199999999997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548.339999999989</v>
      </c>
      <c r="G23" s="110" t="n">
        <f aca="false">F23*2.5</f>
        <v>1370.84999999997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6482.95200000083</v>
      </c>
      <c r="G28" s="121" t="n">
        <f aca="false">G8</f>
        <v>4084.25976000052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43993.8</v>
      </c>
      <c r="G29" s="121" t="n">
        <f aca="false">G11</f>
        <v>2639.628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15072.0000000005</v>
      </c>
      <c r="G30" s="121" t="n">
        <f aca="false">G19</f>
        <v>6480.96000000021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148.199999999997</v>
      </c>
      <c r="G31" s="121" t="n">
        <f aca="false">G23</f>
        <v>1370.84999999997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14575.6977600007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1" sqref="A28:K32 H1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18</v>
      </c>
      <c r="D3" s="63" t="s">
        <v>51</v>
      </c>
      <c r="E3" s="64" t="n">
        <f aca="false">'Daily Meter'!O23</f>
        <v>86.64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'17'!E7</f>
        <v>53814.5</v>
      </c>
      <c r="E7" s="82" t="n">
        <f aca="false">'Daily Meter'!B23</f>
        <v>53836.1</v>
      </c>
      <c r="F7" s="83" t="n">
        <f aca="false">E7-D7</f>
        <v>21.5999999999985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6141.74399999959</v>
      </c>
      <c r="G8" s="87" t="n">
        <f aca="false">F8*0.63</f>
        <v>3869.29871999974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'17'!E10</f>
        <v>206662</v>
      </c>
      <c r="E10" s="82" t="n">
        <f aca="false">'Daily Meter'!C23</f>
        <v>206868</v>
      </c>
      <c r="F10" s="83" t="n">
        <f aca="false">E10-D10</f>
        <v>206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45313.614</v>
      </c>
      <c r="G11" s="95" t="n">
        <f aca="false">F11*0.06</f>
        <v>2718.81684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'17'!E13</f>
        <v>6675.6</v>
      </c>
      <c r="E13" s="82" t="n">
        <f aca="false">'Daily Meter'!H23</f>
        <v>6682.5</v>
      </c>
      <c r="F13" s="83" t="n">
        <f aca="false">(E13-D13)*480</f>
        <v>3311.99999999983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'17'!E14</f>
        <v>4030.3</v>
      </c>
      <c r="E14" s="82" t="n">
        <f aca="false">'Daily Meter'!I23</f>
        <v>4034.2</v>
      </c>
      <c r="F14" s="83" t="n">
        <f aca="false">(E14-D14)*480</f>
        <v>1871.99999999983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'17'!E15</f>
        <v>4305.8</v>
      </c>
      <c r="E15" s="82" t="n">
        <f aca="false">'Daily Meter'!J23</f>
        <v>4310.4</v>
      </c>
      <c r="F15" s="83" t="n">
        <f aca="false">(E15-D15)*480</f>
        <v>2207.99999999974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'17'!E16</f>
        <v>2405.1</v>
      </c>
      <c r="E16" s="82" t="n">
        <f aca="false">'Daily Meter'!K23</f>
        <v>2407.9</v>
      </c>
      <c r="F16" s="83" t="n">
        <f aca="false">(E16-D16)*480</f>
        <v>1344.00000000009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'17'!E17</f>
        <v>5644.9</v>
      </c>
      <c r="E17" s="82" t="n">
        <f aca="false">'Daily Meter'!L23</f>
        <v>5649.4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'17'!E18</f>
        <v>15194.6</v>
      </c>
      <c r="E18" s="82" t="n">
        <f aca="false">'Daily Meter'!M23</f>
        <v>15204</v>
      </c>
      <c r="F18" s="83" t="n">
        <f aca="false">(E18-D18)*480</f>
        <v>4511.99999999983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15407.9999999993</v>
      </c>
      <c r="G19" s="87" t="n">
        <f aca="false">F19*0.43</f>
        <v>6625.4399999997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'17'!E22</f>
        <v>92194.2</v>
      </c>
      <c r="E22" s="82" t="n">
        <f aca="false">'Daily Meter'!N23</f>
        <v>92341.5</v>
      </c>
      <c r="F22" s="106" t="n">
        <f aca="false">E22-D22</f>
        <v>147.300000000003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545.010000000011</v>
      </c>
      <c r="G23" s="110" t="n">
        <f aca="false">F23*2.5</f>
        <v>1362.52500000003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6141.74399999959</v>
      </c>
      <c r="G28" s="121" t="n">
        <f aca="false">G8</f>
        <v>3869.29871999974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45313.614</v>
      </c>
      <c r="G29" s="121" t="n">
        <f aca="false">G11</f>
        <v>2718.81684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15407.9999999993</v>
      </c>
      <c r="G30" s="121" t="n">
        <f aca="false">G19</f>
        <v>6625.4399999997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147.300000000003</v>
      </c>
      <c r="G31" s="121" t="n">
        <f aca="false">G23</f>
        <v>1362.52500000003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14576.0805599995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1" sqref="A28:K32 H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19</v>
      </c>
      <c r="D3" s="63" t="s">
        <v>51</v>
      </c>
      <c r="E3" s="64" t="n">
        <f aca="false">'Daily Meter'!O24</f>
        <v>71.89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'18'!E7</f>
        <v>53836.1</v>
      </c>
      <c r="E7" s="82" t="n">
        <f aca="false">'Daily Meter'!B24</f>
        <v>53856.4</v>
      </c>
      <c r="F7" s="83" t="n">
        <f aca="false">E7-D7</f>
        <v>20.3000000000029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5772.10200000083</v>
      </c>
      <c r="G8" s="87" t="n">
        <f aca="false">F8*0.63</f>
        <v>3636.42426000052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'18'!E10</f>
        <v>206868</v>
      </c>
      <c r="E10" s="82" t="n">
        <f aca="false">'Daily Meter'!C24</f>
        <v>207060</v>
      </c>
      <c r="F10" s="83" t="n">
        <f aca="false">E10-D10</f>
        <v>192</v>
      </c>
      <c r="G10" s="92"/>
      <c r="H10" s="49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42234.048</v>
      </c>
      <c r="G11" s="95" t="n">
        <f aca="false">F11*0.06</f>
        <v>2534.04288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'18'!E13</f>
        <v>6682.5</v>
      </c>
      <c r="E13" s="82" t="n">
        <f aca="false">'Daily Meter'!H24</f>
        <v>6689.3</v>
      </c>
      <c r="F13" s="83" t="n">
        <f aca="false">(E13-D13)*480</f>
        <v>3264.00000000009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'18'!E14</f>
        <v>4034.2</v>
      </c>
      <c r="E14" s="82" t="n">
        <f aca="false">'Daily Meter'!I24</f>
        <v>4038.2</v>
      </c>
      <c r="F14" s="83" t="n">
        <f aca="false">(E14-D14)*480</f>
        <v>1920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'18'!E15</f>
        <v>4310.4</v>
      </c>
      <c r="E15" s="82" t="n">
        <f aca="false">'Daily Meter'!J24</f>
        <v>4314.9</v>
      </c>
      <c r="F15" s="83" t="n">
        <f aca="false">(E15-D15)*480</f>
        <v>2160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'18'!E16</f>
        <v>2407.9</v>
      </c>
      <c r="E16" s="82" t="n">
        <f aca="false">'Daily Meter'!K24</f>
        <v>2410.9</v>
      </c>
      <c r="F16" s="83" t="n">
        <f aca="false">(E16-D16)*480</f>
        <v>1440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'18'!E17</f>
        <v>5649.4</v>
      </c>
      <c r="E17" s="82" t="n">
        <f aca="false">'Daily Meter'!L24</f>
        <v>5653.9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'18'!E18</f>
        <v>15204</v>
      </c>
      <c r="E18" s="82" t="n">
        <f aca="false">'Daily Meter'!M24</f>
        <v>15214</v>
      </c>
      <c r="F18" s="83" t="n">
        <f aca="false">(E18-D18)*480</f>
        <v>4800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15744.0000000001</v>
      </c>
      <c r="G19" s="87" t="n">
        <f aca="false">F19*0.43</f>
        <v>6769.92000000004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'18'!E22</f>
        <v>92341.5</v>
      </c>
      <c r="E22" s="82" t="n">
        <f aca="false">'Daily Meter'!N24</f>
        <v>92486.1</v>
      </c>
      <c r="F22" s="106" t="n">
        <f aca="false">E22-D22</f>
        <v>144.600000000006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535.020000000022</v>
      </c>
      <c r="G23" s="110" t="n">
        <f aca="false">F23*2.5</f>
        <v>1337.55000000005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5772.10200000083</v>
      </c>
      <c r="G28" s="121" t="n">
        <f aca="false">G8</f>
        <v>3636.42426000052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42234.048</v>
      </c>
      <c r="G29" s="121" t="n">
        <f aca="false">G11</f>
        <v>2534.04288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15744.0000000001</v>
      </c>
      <c r="G30" s="121" t="n">
        <f aca="false">G19</f>
        <v>6769.92000000004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144.600000000006</v>
      </c>
      <c r="G31" s="121" t="n">
        <f aca="false">G23</f>
        <v>1337.55000000005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14277.9371400006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3" activeCellId="1" sqref="A28:K32 H1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20</v>
      </c>
      <c r="D3" s="63" t="s">
        <v>51</v>
      </c>
      <c r="E3" s="64" t="n">
        <f aca="false">'Daily Meter'!O25</f>
        <v>65.44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'19'!E7</f>
        <v>53856.4</v>
      </c>
      <c r="E7" s="82" t="n">
        <f aca="false">'Daily Meter'!B25</f>
        <v>53877.3</v>
      </c>
      <c r="F7" s="83" t="n">
        <f aca="false">E7-D7</f>
        <v>20.9000000000015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5942.70600000041</v>
      </c>
      <c r="G8" s="87" t="n">
        <f aca="false">F8*0.63</f>
        <v>3743.90478000026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'19'!E10</f>
        <v>207060</v>
      </c>
      <c r="E10" s="82" t="n">
        <f aca="false">'Daily Meter'!C25</f>
        <v>207241</v>
      </c>
      <c r="F10" s="83" t="n">
        <f aca="false">E10-D10</f>
        <v>181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39814.389</v>
      </c>
      <c r="G11" s="95" t="n">
        <f aca="false">F11*0.06</f>
        <v>2388.86334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'19'!E13</f>
        <v>6689.3</v>
      </c>
      <c r="E13" s="82" t="n">
        <f aca="false">'Daily Meter'!H25</f>
        <v>6696.6</v>
      </c>
      <c r="F13" s="83" t="n">
        <f aca="false">(E13-D13)*480</f>
        <v>3504.00000000009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'19'!E14</f>
        <v>4038.2</v>
      </c>
      <c r="E14" s="82" t="n">
        <f aca="false">'Daily Meter'!I25</f>
        <v>4042.2</v>
      </c>
      <c r="F14" s="83" t="n">
        <f aca="false">(E14-D14)*480</f>
        <v>1920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'19'!E15</f>
        <v>4314.9</v>
      </c>
      <c r="E15" s="82" t="n">
        <f aca="false">'Daily Meter'!J25</f>
        <v>4319.3</v>
      </c>
      <c r="F15" s="83" t="n">
        <f aca="false">(E15-D15)*480</f>
        <v>2112.00000000026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'19'!E16</f>
        <v>2410.9</v>
      </c>
      <c r="E16" s="82" t="n">
        <f aca="false">'Daily Meter'!K25</f>
        <v>2413.7</v>
      </c>
      <c r="F16" s="83" t="n">
        <f aca="false">(E16-D16)*480</f>
        <v>1343.99999999987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'19'!E17</f>
        <v>5653.9</v>
      </c>
      <c r="E17" s="82" t="n">
        <f aca="false">'Daily Meter'!L25</f>
        <v>5658.4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'19'!E18</f>
        <v>15214</v>
      </c>
      <c r="E18" s="82" t="n">
        <f aca="false">'Daily Meter'!M25</f>
        <v>15225.5</v>
      </c>
      <c r="F18" s="83" t="n">
        <f aca="false">(E18-D18)*480</f>
        <v>5520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16560.0000000002</v>
      </c>
      <c r="G19" s="87" t="n">
        <f aca="false">F19*0.43</f>
        <v>7120.80000000009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'19'!E22</f>
        <v>92486.1</v>
      </c>
      <c r="E22" s="82" t="n">
        <f aca="false">'Daily Meter'!N25</f>
        <v>92625.4</v>
      </c>
      <c r="F22" s="106" t="n">
        <f aca="false">E22-D22</f>
        <v>139.299999999988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515.409999999957</v>
      </c>
      <c r="G23" s="110" t="n">
        <f aca="false">F23*2.5</f>
        <v>1288.52499999989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5942.70600000041</v>
      </c>
      <c r="G28" s="121" t="n">
        <f aca="false">G8</f>
        <v>3743.90478000026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39814.389</v>
      </c>
      <c r="G29" s="121" t="n">
        <f aca="false">G11</f>
        <v>2388.86334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16560.0000000002</v>
      </c>
      <c r="G30" s="121" t="n">
        <f aca="false">G19</f>
        <v>7120.80000000009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139.299999999988</v>
      </c>
      <c r="G31" s="121" t="n">
        <f aca="false">G23</f>
        <v>1288.52499999989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14542.0931200002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1" sqref="A28:K32 H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21</v>
      </c>
      <c r="D3" s="63" t="s">
        <v>51</v>
      </c>
      <c r="E3" s="64" t="n">
        <f aca="false">'Daily Meter'!O26</f>
        <v>67.74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'20'!E7</f>
        <v>53877.3</v>
      </c>
      <c r="E7" s="82" t="n">
        <f aca="false">'Daily Meter'!B26</f>
        <v>53898.5</v>
      </c>
      <c r="F7" s="83" t="n">
        <f aca="false">E7-D7</f>
        <v>21.1999999999971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6028.00799999917</v>
      </c>
      <c r="G8" s="87" t="n">
        <f aca="false">F8*0.63</f>
        <v>3797.64503999948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'20'!E10</f>
        <v>207241</v>
      </c>
      <c r="E10" s="82" t="n">
        <f aca="false">'Daily Meter'!C26</f>
        <v>207416</v>
      </c>
      <c r="F10" s="83" t="n">
        <f aca="false">E10-D10</f>
        <v>175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38494.575</v>
      </c>
      <c r="G11" s="95" t="n">
        <f aca="false">F11*0.06</f>
        <v>2309.6745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'20'!E13</f>
        <v>6696.6</v>
      </c>
      <c r="E13" s="82" t="n">
        <f aca="false">'Daily Meter'!H26</f>
        <v>6703.7</v>
      </c>
      <c r="F13" s="83" t="n">
        <f aca="false">(E13-D13)*480</f>
        <v>3407.99999999974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'20'!E14</f>
        <v>4042.2</v>
      </c>
      <c r="E14" s="82" t="n">
        <f aca="false">'Daily Meter'!I26</f>
        <v>4046</v>
      </c>
      <c r="F14" s="83" t="n">
        <f aca="false">(E14-D14)*480</f>
        <v>1824.00000000009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'20'!E15</f>
        <v>4319.3</v>
      </c>
      <c r="E15" s="82" t="n">
        <f aca="false">'Daily Meter'!J26</f>
        <v>4323.7</v>
      </c>
      <c r="F15" s="83" t="n">
        <f aca="false">(E15-D15)*480</f>
        <v>2111.99999999983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'20'!E16</f>
        <v>2413.7</v>
      </c>
      <c r="E16" s="82" t="n">
        <f aca="false">'Daily Meter'!K26</f>
        <v>2416.6</v>
      </c>
      <c r="F16" s="83" t="n">
        <f aca="false">(E16-D16)*480</f>
        <v>1392.00000000004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'20'!E17</f>
        <v>5658.4</v>
      </c>
      <c r="E17" s="82" t="n">
        <f aca="false">'Daily Meter'!L26</f>
        <v>5663</v>
      </c>
      <c r="F17" s="83" t="n">
        <f aca="false">(E17-D17)*480</f>
        <v>2208.00000000017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'20'!E18</f>
        <v>15225.5</v>
      </c>
      <c r="E18" s="82" t="n">
        <f aca="false">'Daily Meter'!M26</f>
        <v>15237.4</v>
      </c>
      <c r="F18" s="83" t="n">
        <f aca="false">(E18-D18)*480</f>
        <v>5711.99999999983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16655.9999999997</v>
      </c>
      <c r="G19" s="87" t="n">
        <f aca="false">F19*0.43</f>
        <v>7162.07999999987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'20'!E22</f>
        <v>92625.4</v>
      </c>
      <c r="E22" s="82" t="n">
        <f aca="false">'Daily Meter'!N26</f>
        <v>92758.4</v>
      </c>
      <c r="F22" s="106" t="n">
        <f aca="false">E22-D22</f>
        <v>133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492.1</v>
      </c>
      <c r="G23" s="110" t="n">
        <f aca="false">F23*2.5</f>
        <v>1230.25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6028.00799999917</v>
      </c>
      <c r="G28" s="121" t="n">
        <f aca="false">G8</f>
        <v>3797.64503999948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38494.575</v>
      </c>
      <c r="G29" s="121" t="n">
        <f aca="false">G11</f>
        <v>2309.6745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16655.9999999997</v>
      </c>
      <c r="G30" s="121" t="n">
        <f aca="false">G19</f>
        <v>7162.07999999987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133</v>
      </c>
      <c r="G31" s="121" t="n">
        <f aca="false">G23</f>
        <v>1230.25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14499.6495399993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1" sqref="A28:K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22</v>
      </c>
      <c r="D3" s="63" t="s">
        <v>51</v>
      </c>
      <c r="E3" s="64" t="n">
        <f aca="false">'Daily Meter'!O27</f>
        <v>80.18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'21'!E7</f>
        <v>53898.5</v>
      </c>
      <c r="E7" s="82" t="n">
        <f aca="false">'Daily Meter'!B27</f>
        <v>53918.4</v>
      </c>
      <c r="F7" s="83" t="n">
        <f aca="false">E7-D7</f>
        <v>19.9000000000015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5658.36600000041</v>
      </c>
      <c r="G8" s="87" t="n">
        <f aca="false">F8*0.63</f>
        <v>3564.77058000026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'21'!E10</f>
        <v>207416</v>
      </c>
      <c r="E10" s="82" t="n">
        <f aca="false">'Daily Meter'!C27</f>
        <v>207537</v>
      </c>
      <c r="F10" s="83" t="n">
        <f aca="false">E10-D10</f>
        <v>121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26616.249</v>
      </c>
      <c r="G11" s="95" t="n">
        <f aca="false">F11*0.06</f>
        <v>1596.97494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'21'!E13</f>
        <v>6703.7</v>
      </c>
      <c r="E13" s="82" t="n">
        <f aca="false">'Daily Meter'!H27</f>
        <v>6710.5</v>
      </c>
      <c r="F13" s="83" t="n">
        <f aca="false">(E13-D13)*480</f>
        <v>3264.00000000009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'21'!E14</f>
        <v>4046</v>
      </c>
      <c r="E14" s="82" t="n">
        <f aca="false">'Daily Meter'!I27</f>
        <v>4049.8</v>
      </c>
      <c r="F14" s="83" t="n">
        <f aca="false">(E14-D14)*480</f>
        <v>1824.00000000009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'21'!E15</f>
        <v>4323.7</v>
      </c>
      <c r="E15" s="82" t="n">
        <f aca="false">'Daily Meter'!J27</f>
        <v>4328.1</v>
      </c>
      <c r="F15" s="83" t="n">
        <f aca="false">(E15-D15)*480</f>
        <v>2112.00000000026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'21'!E16</f>
        <v>2416.6</v>
      </c>
      <c r="E16" s="82" t="n">
        <f aca="false">'Daily Meter'!K27</f>
        <v>2419.3</v>
      </c>
      <c r="F16" s="83" t="n">
        <f aca="false">(E16-D16)*480</f>
        <v>1296.00000000013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'21'!E17</f>
        <v>5663</v>
      </c>
      <c r="E17" s="82" t="n">
        <f aca="false">'Daily Meter'!L27</f>
        <v>5667.4</v>
      </c>
      <c r="F17" s="83" t="n">
        <f aca="false">(E17-D17)*480</f>
        <v>2111.99999999983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'21'!E18</f>
        <v>15237.4</v>
      </c>
      <c r="E18" s="82" t="n">
        <f aca="false">'Daily Meter'!M27</f>
        <v>15248.9</v>
      </c>
      <c r="F18" s="83" t="n">
        <f aca="false">(E18-D18)*480</f>
        <v>5520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16128.0000000004</v>
      </c>
      <c r="G19" s="87" t="n">
        <f aca="false">F19*0.43</f>
        <v>6935.04000000017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'21'!E22</f>
        <v>92758.4</v>
      </c>
      <c r="E22" s="82" t="n">
        <f aca="false">'Daily Meter'!N27</f>
        <v>92881.5</v>
      </c>
      <c r="F22" s="106" t="n">
        <f aca="false">E22-D22</f>
        <v>123.100000000006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455.470000000022</v>
      </c>
      <c r="G23" s="110" t="n">
        <f aca="false">F23*2.5</f>
        <v>1138.67500000005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5658.36600000041</v>
      </c>
      <c r="G28" s="121" t="n">
        <f aca="false">G8</f>
        <v>3564.77058000026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26616.249</v>
      </c>
      <c r="G29" s="121" t="n">
        <f aca="false">G11</f>
        <v>1596.97494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16128.0000000004</v>
      </c>
      <c r="G30" s="121" t="n">
        <f aca="false">G19</f>
        <v>6935.04000000017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123.100000000006</v>
      </c>
      <c r="G31" s="121" t="n">
        <f aca="false">G23</f>
        <v>1138.67500000005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13235.4605200005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1" sqref="A28:K32 I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23</v>
      </c>
      <c r="D3" s="63" t="s">
        <v>51</v>
      </c>
      <c r="E3" s="64" t="n">
        <f aca="false">'Daily Meter'!O28</f>
        <v>82.26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'22'!E7</f>
        <v>53918.4</v>
      </c>
      <c r="E7" s="82" t="n">
        <f aca="false">'Daily Meter'!B28</f>
        <v>53939.1</v>
      </c>
      <c r="F7" s="83" t="n">
        <f aca="false">E7-D7</f>
        <v>20.6999999999971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5885.83799999917</v>
      </c>
      <c r="G8" s="87" t="n">
        <f aca="false">F8*0.63</f>
        <v>3708.07793999948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'22'!E10</f>
        <v>207537</v>
      </c>
      <c r="E10" s="82" t="n">
        <f aca="false">'Daily Meter'!C28</f>
        <v>207739</v>
      </c>
      <c r="F10" s="83" t="n">
        <f aca="false">E10-D10</f>
        <v>202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44433.738</v>
      </c>
      <c r="G11" s="95" t="n">
        <f aca="false">F11*0.06</f>
        <v>2666.02428</v>
      </c>
      <c r="H11" s="49"/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'22'!E13</f>
        <v>6710.5</v>
      </c>
      <c r="E13" s="82" t="n">
        <f aca="false">'Daily Meter'!H28</f>
        <v>6717.5</v>
      </c>
      <c r="F13" s="83" t="n">
        <f aca="false">(E13-D13)*480</f>
        <v>3360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'22'!E14</f>
        <v>4049.8</v>
      </c>
      <c r="E14" s="82" t="n">
        <f aca="false">'Daily Meter'!I28</f>
        <v>4053.8</v>
      </c>
      <c r="F14" s="83" t="n">
        <f aca="false">(E14-D14)*480</f>
        <v>1920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'22'!E15</f>
        <v>4328.1</v>
      </c>
      <c r="E15" s="82" t="n">
        <f aca="false">'Daily Meter'!J28</f>
        <v>4332.4</v>
      </c>
      <c r="F15" s="83" t="n">
        <f aca="false">(E15-D15)*480</f>
        <v>2063.99999999965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'22'!E16</f>
        <v>2419.3</v>
      </c>
      <c r="E16" s="82" t="n">
        <f aca="false">'Daily Meter'!K28</f>
        <v>2422.1</v>
      </c>
      <c r="F16" s="83" t="n">
        <f aca="false">(E16-D16)*480</f>
        <v>1343.99999999987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'22'!E17</f>
        <v>5667.4</v>
      </c>
      <c r="E17" s="82" t="n">
        <f aca="false">'Daily Meter'!L28</f>
        <v>5671.9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'22'!E18</f>
        <v>15248.9</v>
      </c>
      <c r="E18" s="82" t="n">
        <f aca="false">'Daily Meter'!M28</f>
        <v>15260.8</v>
      </c>
      <c r="F18" s="83" t="n">
        <f aca="false">(E18-D18)*480</f>
        <v>5711.99999999983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16559.9999999993</v>
      </c>
      <c r="G19" s="87" t="n">
        <f aca="false">F19*0.43</f>
        <v>7120.79999999972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'22'!E22</f>
        <v>92881.5</v>
      </c>
      <c r="E22" s="82" t="n">
        <f aca="false">'Daily Meter'!N28</f>
        <v>93014.8</v>
      </c>
      <c r="F22" s="106" t="n">
        <f aca="false">E22-D22</f>
        <v>133.300000000003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493.210000000011</v>
      </c>
      <c r="G23" s="110" t="n">
        <f aca="false">F23*2.5</f>
        <v>1233.02500000003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5885.83799999917</v>
      </c>
      <c r="G28" s="121" t="n">
        <f aca="false">G8</f>
        <v>3708.07793999948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44433.738</v>
      </c>
      <c r="G29" s="121" t="n">
        <f aca="false">G11</f>
        <v>2666.02428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16559.9999999993</v>
      </c>
      <c r="G30" s="121" t="n">
        <f aca="false">G19</f>
        <v>7120.79999999972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133.300000000003</v>
      </c>
      <c r="G31" s="121" t="n">
        <f aca="false">G23</f>
        <v>1233.02500000003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14727.9272199992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1" sqref="A28:K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62" t="str">
        <f aca="false">'1'!B3</f>
        <v>JANUARY 2024</v>
      </c>
      <c r="C3" s="61" t="n">
        <v>24</v>
      </c>
      <c r="D3" s="63" t="s">
        <v>51</v>
      </c>
      <c r="E3" s="64" t="n">
        <f aca="false">'Daily Meter'!O29</f>
        <v>84.56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1"/>
      <c r="E5" s="72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7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1" t="n">
        <f aca="false">'23'!E7</f>
        <v>53939.1</v>
      </c>
      <c r="E7" s="82" t="n">
        <f aca="false">'Daily Meter'!B29</f>
        <v>53960.7</v>
      </c>
      <c r="F7" s="83" t="n">
        <f aca="false">E7-D7</f>
        <v>21.5999999999985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5"/>
      <c r="E8" s="86"/>
      <c r="F8" s="83" t="n">
        <f aca="false">F7*284.34</f>
        <v>6141.74399999959</v>
      </c>
      <c r="G8" s="87" t="n">
        <f aca="false">F8*0.63</f>
        <v>3869.29871999974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1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1" t="n">
        <f aca="false">'23'!E10</f>
        <v>207739</v>
      </c>
      <c r="E10" s="82" t="n">
        <f aca="false">'Daily Meter'!C29</f>
        <v>207921</v>
      </c>
      <c r="F10" s="83" t="n">
        <f aca="false">E10-D10</f>
        <v>182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40034.358</v>
      </c>
      <c r="G11" s="95" t="n">
        <f aca="false">F11*0.06</f>
        <v>2402.06148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1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1" t="n">
        <f aca="false">'23'!E13</f>
        <v>6717.5</v>
      </c>
      <c r="E13" s="82" t="n">
        <f aca="false">'Daily Meter'!H29</f>
        <v>6724.5</v>
      </c>
      <c r="F13" s="83" t="n">
        <f aca="false">(E13-D13)*480</f>
        <v>3360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1" t="n">
        <f aca="false">'23'!E14</f>
        <v>4053.8</v>
      </c>
      <c r="E14" s="82" t="n">
        <f aca="false">'Daily Meter'!I29</f>
        <v>4058</v>
      </c>
      <c r="F14" s="83" t="n">
        <f aca="false">(E14-D14)*480</f>
        <v>2015.99999999991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1" t="n">
        <f aca="false">'23'!E15</f>
        <v>4332.4</v>
      </c>
      <c r="E15" s="82" t="n">
        <f aca="false">'Daily Meter'!J29</f>
        <v>4336.9</v>
      </c>
      <c r="F15" s="83" t="n">
        <f aca="false">(E15-D15)*480</f>
        <v>2160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1" t="n">
        <f aca="false">'23'!E16</f>
        <v>2422.1</v>
      </c>
      <c r="E16" s="82" t="n">
        <f aca="false">'Daily Meter'!K29</f>
        <v>2425.3</v>
      </c>
      <c r="F16" s="83" t="n">
        <f aca="false">(E16-D16)*480</f>
        <v>1536.00000000013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1" t="n">
        <f aca="false">'23'!E17</f>
        <v>5671.9</v>
      </c>
      <c r="E17" s="82" t="n">
        <f aca="false">'Daily Meter'!L29</f>
        <v>5676.5</v>
      </c>
      <c r="F17" s="83" t="n">
        <f aca="false">(E17-D17)*480</f>
        <v>2208.00000000017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1" t="n">
        <f aca="false">'23'!E18</f>
        <v>15260.8</v>
      </c>
      <c r="E18" s="82" t="n">
        <f aca="false">'Daily Meter'!M29</f>
        <v>15272.9</v>
      </c>
      <c r="F18" s="83" t="n">
        <f aca="false">(E18-D18)*480</f>
        <v>5808.00000000018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1"/>
      <c r="E19" s="82"/>
      <c r="F19" s="98" t="n">
        <f aca="false">SUM(F13:F18)</f>
        <v>17088.0000000004</v>
      </c>
      <c r="G19" s="87" t="n">
        <f aca="false">F19*0.43</f>
        <v>7347.84000000017</v>
      </c>
    </row>
    <row r="20" customFormat="false" ht="14.25" hidden="false" customHeight="false" outlineLevel="0" collapsed="false">
      <c r="A20" s="78"/>
      <c r="B20" s="78"/>
      <c r="C20" s="76"/>
      <c r="D20" s="99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81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1" t="n">
        <f aca="false">'23'!E22</f>
        <v>93014.8</v>
      </c>
      <c r="E22" s="82" t="n">
        <f aca="false">'Daily Meter'!N29</f>
        <v>93151.1</v>
      </c>
      <c r="F22" s="106" t="n">
        <f aca="false">E22-D22</f>
        <v>136.300000000003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504.310000000011</v>
      </c>
      <c r="G23" s="110" t="n">
        <f aca="false">F23*2.5</f>
        <v>1260.77500000003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6141.74399999959</v>
      </c>
      <c r="G28" s="121" t="n">
        <f aca="false">G8</f>
        <v>3869.29871999974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40034.358</v>
      </c>
      <c r="G29" s="121" t="n">
        <f aca="false">G11</f>
        <v>2402.06148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17088.0000000004</v>
      </c>
      <c r="G30" s="121" t="n">
        <f aca="false">G19</f>
        <v>7347.84000000017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136.300000000003</v>
      </c>
      <c r="G31" s="121" t="n">
        <f aca="false">G23</f>
        <v>1260.77500000003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14879.9751999999</v>
      </c>
      <c r="H32" s="112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" activeCellId="1" sqref="A28:K32 H16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1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25</v>
      </c>
      <c r="D3" s="63" t="s">
        <v>51</v>
      </c>
      <c r="E3" s="64" t="n">
        <f aca="false">'Daily Meter'!O30</f>
        <v>93.78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125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'24'!E7</f>
        <v>53960.7</v>
      </c>
      <c r="E7" s="126" t="n">
        <f aca="false">'Daily Meter'!B30</f>
        <v>53979.8</v>
      </c>
      <c r="F7" s="83" t="n">
        <f aca="false">E7-D7</f>
        <v>19.1000000000058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5430.89400000166</v>
      </c>
      <c r="G8" s="87" t="n">
        <f aca="false">F8*0.63</f>
        <v>3421.46322000104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'24'!E10</f>
        <v>207921</v>
      </c>
      <c r="E10" s="126" t="n">
        <f aca="false">'Daily Meter'!C30</f>
        <v>208093</v>
      </c>
      <c r="F10" s="83" t="n">
        <f aca="false">E10-D10</f>
        <v>172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37834.668</v>
      </c>
      <c r="G11" s="95" t="n">
        <f aca="false">F11*0.06</f>
        <v>2270.08008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'24'!E13</f>
        <v>6724.5</v>
      </c>
      <c r="E13" s="126" t="n">
        <f aca="false">'Daily Meter'!H30</f>
        <v>6731.5</v>
      </c>
      <c r="F13" s="83" t="n">
        <f aca="false">(E13-D13)*480</f>
        <v>3360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'24'!E14</f>
        <v>4058</v>
      </c>
      <c r="E14" s="126" t="n">
        <f aca="false">'Daily Meter'!I30</f>
        <v>4062.2</v>
      </c>
      <c r="F14" s="83" t="n">
        <f aca="false">(E14-D14)*480</f>
        <v>2015.99999999991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'24'!E15</f>
        <v>4336.9</v>
      </c>
      <c r="E15" s="126" t="n">
        <f aca="false">'Daily Meter'!J30</f>
        <v>4341.4</v>
      </c>
      <c r="F15" s="83" t="n">
        <f aca="false">(E15-D15)*480</f>
        <v>2160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'24'!E16</f>
        <v>2425.3</v>
      </c>
      <c r="E16" s="126" t="n">
        <f aca="false">'Daily Meter'!K30</f>
        <v>2428.3</v>
      </c>
      <c r="F16" s="83" t="n">
        <f aca="false">(E16-D16)*480</f>
        <v>1440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'24'!E17</f>
        <v>5676.5</v>
      </c>
      <c r="E17" s="126" t="n">
        <f aca="false">'Daily Meter'!L30</f>
        <v>5681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'24'!E18</f>
        <v>15272.9</v>
      </c>
      <c r="E18" s="126" t="n">
        <f aca="false">'Daily Meter'!M30</f>
        <v>15284.7</v>
      </c>
      <c r="F18" s="83" t="n">
        <f aca="false">(E18-D18)*480</f>
        <v>5664.00000000052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16800.0000000004</v>
      </c>
      <c r="G19" s="87" t="n">
        <f aca="false">F19*0.43</f>
        <v>7224.00000000019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'24'!E22</f>
        <v>93151.1</v>
      </c>
      <c r="E22" s="126" t="n">
        <f aca="false">'Daily Meter'!N30</f>
        <v>93278.7</v>
      </c>
      <c r="F22" s="106" t="n">
        <f aca="false">E22-D22</f>
        <v>127.599999999991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472.119999999968</v>
      </c>
      <c r="G23" s="110" t="n">
        <f aca="false">F23*2.5</f>
        <v>1180.29999999992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72"/>
      <c r="G24" s="110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27"/>
      <c r="D26" s="116" t="s">
        <v>79</v>
      </c>
      <c r="E26" s="116"/>
      <c r="F26" s="116"/>
      <c r="G26" s="116"/>
      <c r="H26" s="118"/>
    </row>
    <row r="27" customFormat="false" ht="20.25" hidden="false" customHeight="false" outlineLevel="0" collapsed="false">
      <c r="A27" s="112"/>
      <c r="B27" s="112"/>
      <c r="C27" s="113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4.25" hidden="false" customHeight="false" outlineLevel="0" collapsed="false">
      <c r="A28" s="112"/>
      <c r="B28" s="112"/>
      <c r="C28" s="113"/>
      <c r="D28" s="119" t="s">
        <v>84</v>
      </c>
      <c r="E28" s="119" t="s">
        <v>62</v>
      </c>
      <c r="F28" s="120" t="n">
        <f aca="false">F8</f>
        <v>5430.89400000166</v>
      </c>
      <c r="G28" s="121" t="n">
        <f aca="false">G8</f>
        <v>3421.46322000104</v>
      </c>
      <c r="H28" s="118"/>
    </row>
    <row r="29" customFormat="false" ht="14.25" hidden="false" customHeight="false" outlineLevel="0" collapsed="false">
      <c r="A29" s="112"/>
      <c r="B29" s="112"/>
      <c r="C29" s="113"/>
      <c r="D29" s="119" t="s">
        <v>85</v>
      </c>
      <c r="E29" s="119" t="s">
        <v>86</v>
      </c>
      <c r="F29" s="120" t="n">
        <f aca="false">F11</f>
        <v>37834.668</v>
      </c>
      <c r="G29" s="121" t="n">
        <f aca="false">G11</f>
        <v>2270.08008</v>
      </c>
      <c r="H29" s="118"/>
    </row>
    <row r="30" customFormat="false" ht="14.25" hidden="false" customHeight="false" outlineLevel="0" collapsed="false">
      <c r="A30" s="112"/>
      <c r="B30" s="112"/>
      <c r="C30" s="113"/>
      <c r="D30" s="119" t="s">
        <v>87</v>
      </c>
      <c r="E30" s="119" t="s">
        <v>88</v>
      </c>
      <c r="F30" s="120" t="n">
        <f aca="false">F19</f>
        <v>16800.0000000004</v>
      </c>
      <c r="G30" s="121" t="n">
        <f aca="false">G19</f>
        <v>7224.00000000019</v>
      </c>
      <c r="H30" s="118"/>
    </row>
    <row r="31" customFormat="false" ht="14.25" hidden="false" customHeight="false" outlineLevel="0" collapsed="false">
      <c r="A31" s="112"/>
      <c r="B31" s="112"/>
      <c r="C31" s="113"/>
      <c r="D31" s="119" t="s">
        <v>89</v>
      </c>
      <c r="E31" s="119" t="s">
        <v>66</v>
      </c>
      <c r="F31" s="120" t="n">
        <f aca="false">F22</f>
        <v>127.599999999991</v>
      </c>
      <c r="G31" s="121" t="n">
        <f aca="false">G23</f>
        <v>1180.29999999992</v>
      </c>
      <c r="H31" s="112"/>
    </row>
    <row r="32" customFormat="false" ht="14.25" hidden="false" customHeight="false" outlineLevel="0" collapsed="false">
      <c r="D32" s="112"/>
      <c r="E32" s="112"/>
      <c r="F32" s="122" t="s">
        <v>90</v>
      </c>
      <c r="G32" s="123" t="n">
        <f aca="false">SUM(G28:G31)</f>
        <v>14095.8433000011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1" sqref="A28:K32 C10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26</v>
      </c>
      <c r="D3" s="63" t="s">
        <v>51</v>
      </c>
      <c r="E3" s="64" t="n">
        <f aca="false">'Daily Meter'!O31</f>
        <v>0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'25'!E7:E7</f>
        <v>53979.8</v>
      </c>
      <c r="E7" s="82" t="n">
        <f aca="false">'Daily Meter'!B31</f>
        <v>54000.1</v>
      </c>
      <c r="F7" s="128" t="n">
        <f aca="false">E7-D7</f>
        <v>20.2999999999956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5772.10199999876</v>
      </c>
      <c r="G8" s="87" t="n">
        <f aca="false">F8*0.63</f>
        <v>3636.42425999922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'25'!E10</f>
        <v>208093</v>
      </c>
      <c r="E10" s="82" t="n">
        <f aca="false">'Daily Meter'!C31</f>
        <v>208262</v>
      </c>
      <c r="F10" s="83" t="n">
        <f aca="false">E10-D10</f>
        <v>169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37174.761</v>
      </c>
      <c r="G11" s="95" t="n">
        <f aca="false">F11*0.06</f>
        <v>2230.48566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'25'!E13</f>
        <v>6731.5</v>
      </c>
      <c r="E13" s="82" t="n">
        <f aca="false">'Daily Meter'!H31</f>
        <v>6738.4</v>
      </c>
      <c r="F13" s="83" t="n">
        <f aca="false">(E13-D13)*480</f>
        <v>3311.99999999983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'25'!E14</f>
        <v>4062.2</v>
      </c>
      <c r="E14" s="82" t="n">
        <f aca="false">'Daily Meter'!I31</f>
        <v>4066.3</v>
      </c>
      <c r="F14" s="83" t="n">
        <f aca="false">(E14-D14)*480</f>
        <v>1968.00000000017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'25'!E15</f>
        <v>4341.4</v>
      </c>
      <c r="E15" s="82" t="n">
        <f aca="false">'Daily Meter'!J31</f>
        <v>4345.8</v>
      </c>
      <c r="F15" s="83" t="n">
        <f aca="false">(E15-D15)*480</f>
        <v>2112.00000000026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'25'!E16</f>
        <v>2428.3</v>
      </c>
      <c r="E16" s="82" t="n">
        <f aca="false">'Daily Meter'!K31</f>
        <v>2431.4</v>
      </c>
      <c r="F16" s="83" t="n">
        <f aca="false">(E16-D16)*480</f>
        <v>1487.99999999996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'25'!E17</f>
        <v>5681</v>
      </c>
      <c r="E17" s="82" t="n">
        <f aca="false">'Daily Meter'!L31</f>
        <v>5685.5</v>
      </c>
      <c r="F17" s="83" t="n">
        <f aca="false">(E17-D17)*480</f>
        <v>2160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'25'!E18</f>
        <v>15284.7</v>
      </c>
      <c r="E18" s="82" t="n">
        <f aca="false">'Daily Meter'!M31</f>
        <v>15296.5</v>
      </c>
      <c r="F18" s="83" t="n">
        <f aca="false">(E18-D18)*480</f>
        <v>5663.99999999965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16703.9999999999</v>
      </c>
      <c r="G19" s="87" t="n">
        <f aca="false">F19*0.43</f>
        <v>7182.71999999994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'25'!E22</f>
        <v>93278.7</v>
      </c>
      <c r="E22" s="82" t="n">
        <f aca="false">'Daily Meter'!N31</f>
        <v>93412.3</v>
      </c>
      <c r="F22" s="106" t="n">
        <f aca="false">E22-D22</f>
        <v>133.600000000006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494.320000000022</v>
      </c>
      <c r="G23" s="110" t="n">
        <f aca="false">F23*2.5</f>
        <v>1235.80000000005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5772.10199999876</v>
      </c>
      <c r="G28" s="121" t="n">
        <f aca="false">G8</f>
        <v>3636.42425999922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37174.761</v>
      </c>
      <c r="G29" s="121" t="n">
        <f aca="false">G11</f>
        <v>2230.48566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16703.9999999999</v>
      </c>
      <c r="G30" s="121" t="n">
        <f aca="false">G19</f>
        <v>7182.71999999994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133.600000000006</v>
      </c>
      <c r="G31" s="121" t="n">
        <f aca="false">G23</f>
        <v>1235.80000000005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14285.4299199992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1" sqref="A28:K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27</v>
      </c>
      <c r="D3" s="63" t="s">
        <v>51</v>
      </c>
      <c r="E3" s="64" t="n">
        <f aca="false">'Daily Meter'!O32</f>
        <v>0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'26'!E7</f>
        <v>54000.1</v>
      </c>
      <c r="E7" s="82" t="n">
        <f aca="false">'Daily Meter'!B32</f>
        <v>0</v>
      </c>
      <c r="F7" s="83" t="n">
        <f aca="false">E7-D7</f>
        <v>-54000.1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-15354388.434</v>
      </c>
      <c r="G8" s="87" t="n">
        <f aca="false">F8*0.63</f>
        <v>-9673264.71342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'26'!E10</f>
        <v>208262</v>
      </c>
      <c r="E10" s="82" t="n">
        <f aca="false">'Daily Meter'!C32</f>
        <v>0</v>
      </c>
      <c r="F10" s="83" t="n">
        <f aca="false">E10-D10</f>
        <v>-208262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-45811183.878</v>
      </c>
      <c r="G11" s="95" t="n">
        <f aca="false">F11*0.06</f>
        <v>-2748671.03268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'26'!E13</f>
        <v>6738.4</v>
      </c>
      <c r="E13" s="82" t="n">
        <f aca="false">'Daily Meter'!H32</f>
        <v>0</v>
      </c>
      <c r="F13" s="83" t="n">
        <f aca="false">(E13-D13)*480</f>
        <v>-3234432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'26'!E14</f>
        <v>4066.3</v>
      </c>
      <c r="E14" s="82" t="n">
        <f aca="false">'Daily Meter'!I32</f>
        <v>0</v>
      </c>
      <c r="F14" s="83" t="n">
        <f aca="false">(E14-D14)*480</f>
        <v>-1951824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'26'!E15</f>
        <v>4345.8</v>
      </c>
      <c r="E15" s="82" t="n">
        <f aca="false">'Daily Meter'!J32</f>
        <v>0</v>
      </c>
      <c r="F15" s="83" t="n">
        <f aca="false">(E15-D15)*480</f>
        <v>-2085984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'26'!E16</f>
        <v>2431.4</v>
      </c>
      <c r="E16" s="82" t="n">
        <f aca="false">'Daily Meter'!K32</f>
        <v>0</v>
      </c>
      <c r="F16" s="83" t="n">
        <f aca="false">(E16-D16)*480</f>
        <v>-1167072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'26'!E17</f>
        <v>5685.5</v>
      </c>
      <c r="E17" s="82" t="n">
        <f aca="false">'Daily Meter'!L32</f>
        <v>0</v>
      </c>
      <c r="F17" s="83" t="n">
        <f aca="false">(E17-D17)*480</f>
        <v>-2729040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'26'!E18</f>
        <v>15296.5</v>
      </c>
      <c r="E18" s="82" t="n">
        <f aca="false">'Daily Meter'!M32</f>
        <v>0</v>
      </c>
      <c r="F18" s="83" t="n">
        <f aca="false">(E18-D18)*480</f>
        <v>-7342320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-18510672</v>
      </c>
      <c r="G19" s="87" t="n">
        <f aca="false">F19*0.43</f>
        <v>-7959588.96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'26'!E22</f>
        <v>93412.3</v>
      </c>
      <c r="E22" s="82" t="n">
        <f aca="false">'Daily Meter'!N32</f>
        <v>0</v>
      </c>
      <c r="F22" s="106" t="n">
        <f aca="false">E22-D22</f>
        <v>-93412.3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-345625.51</v>
      </c>
      <c r="G23" s="110" t="n">
        <f aca="false">F23*2.5</f>
        <v>-864063.775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-15354388.434</v>
      </c>
      <c r="G28" s="121" t="n">
        <f aca="false">G8</f>
        <v>-9673264.71342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-45811183.878</v>
      </c>
      <c r="G29" s="121" t="n">
        <f aca="false">G11</f>
        <v>-2748671.03268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-18510672</v>
      </c>
      <c r="G30" s="121" t="n">
        <f aca="false">G19</f>
        <v>-7959588.96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-93412.3</v>
      </c>
      <c r="G31" s="121" t="n">
        <f aca="false">G23</f>
        <v>-864063.775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-21245588.4811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1" sqref="A28:K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28</v>
      </c>
      <c r="D3" s="63" t="s">
        <v>51</v>
      </c>
      <c r="E3" s="64" t="n">
        <f aca="false">'Daily Meter'!O33</f>
        <v>0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'27'!E7</f>
        <v>0</v>
      </c>
      <c r="E7" s="82" t="n">
        <f aca="false">'Daily Meter'!B33</f>
        <v>0</v>
      </c>
      <c r="F7" s="83" t="n">
        <f aca="false">E7-D7</f>
        <v>0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0</v>
      </c>
      <c r="G8" s="87" t="n">
        <f aca="false">F8*0.63</f>
        <v>0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'27'!E10</f>
        <v>0</v>
      </c>
      <c r="E10" s="82" t="n">
        <f aca="false">'Daily Meter'!C33</f>
        <v>0</v>
      </c>
      <c r="F10" s="83" t="n">
        <f aca="false">E10-D10</f>
        <v>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0</v>
      </c>
      <c r="G11" s="95" t="n">
        <f aca="false">F11*0.06</f>
        <v>0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'27'!E13</f>
        <v>0</v>
      </c>
      <c r="E13" s="82" t="n">
        <f aca="false">'Daily Meter'!H33</f>
        <v>0</v>
      </c>
      <c r="F13" s="83" t="n">
        <f aca="false">(E13-D13)*480</f>
        <v>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'27'!E14</f>
        <v>0</v>
      </c>
      <c r="E14" s="82" t="n">
        <f aca="false">'Daily Meter'!I33</f>
        <v>0</v>
      </c>
      <c r="F14" s="83" t="n">
        <f aca="false">(E14-D14)*480</f>
        <v>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'27'!E15</f>
        <v>0</v>
      </c>
      <c r="E15" s="82" t="n">
        <f aca="false">'Daily Meter'!J33</f>
        <v>0</v>
      </c>
      <c r="F15" s="83" t="n">
        <f aca="false">(E15-D15)*480</f>
        <v>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'27'!E16</f>
        <v>0</v>
      </c>
      <c r="E16" s="82" t="n">
        <f aca="false">'Daily Meter'!K33</f>
        <v>0</v>
      </c>
      <c r="F16" s="83" t="n">
        <f aca="false">(E16-D16)*480</f>
        <v>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'27'!E17</f>
        <v>0</v>
      </c>
      <c r="E17" s="82" t="n">
        <f aca="false">'Daily Meter'!L33</f>
        <v>0</v>
      </c>
      <c r="F17" s="83" t="n">
        <f aca="false">(E17-D17)*480</f>
        <v>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'27'!E18</f>
        <v>0</v>
      </c>
      <c r="E18" s="82" t="n">
        <f aca="false">'Daily Meter'!M33</f>
        <v>0</v>
      </c>
      <c r="F18" s="83" t="n">
        <f aca="false">(E18-D18)*480</f>
        <v>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0</v>
      </c>
      <c r="G19" s="87" t="n">
        <f aca="false">F19*0.43</f>
        <v>0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'27'!E22</f>
        <v>0</v>
      </c>
      <c r="E22" s="82" t="n">
        <f aca="false">'Daily Meter'!N33</f>
        <v>0</v>
      </c>
      <c r="F22" s="106" t="n">
        <f aca="false">E22-D22</f>
        <v>0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0</v>
      </c>
      <c r="G23" s="110" t="n">
        <f aca="false">F23*2.5</f>
        <v>0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0</v>
      </c>
      <c r="G28" s="121" t="n">
        <f aca="false">G8</f>
        <v>0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0</v>
      </c>
      <c r="G29" s="121" t="n">
        <f aca="false">G11</f>
        <v>0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0</v>
      </c>
      <c r="G30" s="121" t="n">
        <f aca="false">G19</f>
        <v>0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0</v>
      </c>
      <c r="G31" s="121" t="n">
        <f aca="false">G23</f>
        <v>0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0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1" sqref="A28:K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29</v>
      </c>
      <c r="D3" s="63" t="s">
        <v>51</v>
      </c>
      <c r="E3" s="64" t="n">
        <f aca="false">'Daily Meter'!O34</f>
        <v>0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'28'!E7</f>
        <v>0</v>
      </c>
      <c r="E7" s="82" t="n">
        <f aca="false">'Daily Meter'!B34</f>
        <v>0</v>
      </c>
      <c r="F7" s="83" t="n">
        <f aca="false">E7-D7</f>
        <v>0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0</v>
      </c>
      <c r="G8" s="87" t="n">
        <f aca="false">F8*0.63</f>
        <v>0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'28'!E10</f>
        <v>0</v>
      </c>
      <c r="E10" s="82" t="n">
        <f aca="false">'Daily Meter'!C34</f>
        <v>0</v>
      </c>
      <c r="F10" s="83" t="n">
        <f aca="false">E10-D10</f>
        <v>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0</v>
      </c>
      <c r="G11" s="95" t="n">
        <f aca="false">F11*0.06</f>
        <v>0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'28'!E13</f>
        <v>0</v>
      </c>
      <c r="E13" s="82" t="n">
        <f aca="false">'Daily Meter'!H34</f>
        <v>0</v>
      </c>
      <c r="F13" s="83" t="n">
        <f aca="false">(E13-D13)*480</f>
        <v>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'28'!E14</f>
        <v>0</v>
      </c>
      <c r="E14" s="82" t="n">
        <f aca="false">'Daily Meter'!I34</f>
        <v>0</v>
      </c>
      <c r="F14" s="83" t="n">
        <f aca="false">(E14-D14)*480</f>
        <v>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'28'!E15</f>
        <v>0</v>
      </c>
      <c r="E15" s="82" t="n">
        <f aca="false">'Daily Meter'!J34</f>
        <v>0</v>
      </c>
      <c r="F15" s="83" t="n">
        <f aca="false">(E15-D15)*480</f>
        <v>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'28'!E16</f>
        <v>0</v>
      </c>
      <c r="E16" s="82" t="n">
        <f aca="false">'Daily Meter'!K34</f>
        <v>0</v>
      </c>
      <c r="F16" s="83" t="n">
        <f aca="false">(E16-D16)*480</f>
        <v>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'28'!E17</f>
        <v>0</v>
      </c>
      <c r="E17" s="82" t="n">
        <f aca="false">'Daily Meter'!L34</f>
        <v>0</v>
      </c>
      <c r="F17" s="83" t="n">
        <f aca="false">(E17-D17)*480</f>
        <v>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'28'!E18</f>
        <v>0</v>
      </c>
      <c r="E18" s="82" t="n">
        <f aca="false">'Daily Meter'!M34</f>
        <v>0</v>
      </c>
      <c r="F18" s="83" t="n">
        <f aca="false">(E18-D18)*480</f>
        <v>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0</v>
      </c>
      <c r="G19" s="87" t="n">
        <f aca="false">F19*0.43</f>
        <v>0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'28'!E22</f>
        <v>0</v>
      </c>
      <c r="E22" s="82" t="n">
        <f aca="false">'Daily Meter'!N34</f>
        <v>0</v>
      </c>
      <c r="F22" s="106" t="n">
        <f aca="false">E22-D22</f>
        <v>0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0</v>
      </c>
      <c r="G23" s="110" t="n">
        <f aca="false">F23*2.5</f>
        <v>0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0</v>
      </c>
      <c r="G28" s="121" t="n">
        <f aca="false">G8</f>
        <v>0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0</v>
      </c>
      <c r="G29" s="121" t="n">
        <f aca="false">G11</f>
        <v>0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0</v>
      </c>
      <c r="G30" s="121" t="n">
        <f aca="false">G19</f>
        <v>0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0</v>
      </c>
      <c r="G31" s="121" t="n">
        <f aca="false">G23</f>
        <v>0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0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3" activeCellId="1" sqref="A28:K32 I1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30</v>
      </c>
      <c r="D3" s="63" t="s">
        <v>51</v>
      </c>
      <c r="E3" s="64" t="n">
        <f aca="false">'Daily Meter'!O35</f>
        <v>0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'29'!E7</f>
        <v>0</v>
      </c>
      <c r="E7" s="82" t="n">
        <f aca="false">'Daily Meter'!B35</f>
        <v>0</v>
      </c>
      <c r="F7" s="83" t="n">
        <f aca="false">E7-D7</f>
        <v>0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0</v>
      </c>
      <c r="G8" s="87" t="n">
        <f aca="false">F8*0.63</f>
        <v>0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'29'!E10</f>
        <v>0</v>
      </c>
      <c r="E10" s="82" t="n">
        <f aca="false">'Daily Meter'!C35</f>
        <v>0</v>
      </c>
      <c r="F10" s="83" t="n">
        <f aca="false">E10-D10</f>
        <v>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0</v>
      </c>
      <c r="G11" s="95" t="n">
        <f aca="false">F11*0.06</f>
        <v>0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'29'!E13</f>
        <v>0</v>
      </c>
      <c r="E13" s="82" t="n">
        <f aca="false">'Daily Meter'!H35</f>
        <v>0</v>
      </c>
      <c r="F13" s="83" t="n">
        <f aca="false">(E13-D13)*480</f>
        <v>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'29'!E14</f>
        <v>0</v>
      </c>
      <c r="E14" s="82" t="n">
        <f aca="false">'Daily Meter'!I35</f>
        <v>0</v>
      </c>
      <c r="F14" s="83" t="n">
        <f aca="false">(E14-D14)*480</f>
        <v>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'29'!E15</f>
        <v>0</v>
      </c>
      <c r="E15" s="82" t="n">
        <f aca="false">'Daily Meter'!J35</f>
        <v>0</v>
      </c>
      <c r="F15" s="83" t="n">
        <f aca="false">(E15-D15)*480</f>
        <v>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'29'!E16</f>
        <v>0</v>
      </c>
      <c r="E16" s="82" t="n">
        <f aca="false">'Daily Meter'!K35</f>
        <v>0</v>
      </c>
      <c r="F16" s="83" t="n">
        <f aca="false">(E16-D16)*480</f>
        <v>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'29'!E17</f>
        <v>0</v>
      </c>
      <c r="E17" s="82" t="n">
        <f aca="false">'Daily Meter'!L35</f>
        <v>0</v>
      </c>
      <c r="F17" s="83" t="n">
        <f aca="false">(E17-D17)*480</f>
        <v>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'29'!E18</f>
        <v>0</v>
      </c>
      <c r="E18" s="82" t="n">
        <f aca="false">'Daily Meter'!M35</f>
        <v>0</v>
      </c>
      <c r="F18" s="83" t="n">
        <f aca="false">(E18-D18)*480</f>
        <v>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0</v>
      </c>
      <c r="G19" s="87" t="n">
        <f aca="false">F19*0.43</f>
        <v>0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'29'!E22</f>
        <v>0</v>
      </c>
      <c r="E22" s="82" t="n">
        <f aca="false">'Daily Meter'!N35</f>
        <v>0</v>
      </c>
      <c r="F22" s="106" t="n">
        <f aca="false">E22-D22</f>
        <v>0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0</v>
      </c>
      <c r="G23" s="110" t="n">
        <f aca="false">F23*2.5</f>
        <v>0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0</v>
      </c>
      <c r="G28" s="121" t="n">
        <f aca="false">G8</f>
        <v>0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0</v>
      </c>
      <c r="G29" s="121" t="n">
        <f aca="false">G11</f>
        <v>0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0</v>
      </c>
      <c r="G30" s="121" t="n">
        <f aca="false">G19</f>
        <v>0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0</v>
      </c>
      <c r="G31" s="121" t="n">
        <f aca="false">G23</f>
        <v>0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0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1" sqref="A28:K32 E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59" t="s">
        <v>47</v>
      </c>
      <c r="B1" s="59"/>
      <c r="C1" s="59"/>
      <c r="D1" s="59"/>
      <c r="E1" s="59"/>
      <c r="F1" s="59"/>
      <c r="G1" s="59"/>
      <c r="H1" s="17" t="s">
        <v>48</v>
      </c>
    </row>
    <row r="2" customFormat="false" ht="17.25" hidden="false" customHeight="false" outlineLevel="0" collapsed="false">
      <c r="A2" s="60" t="s">
        <v>49</v>
      </c>
      <c r="B2" s="60"/>
      <c r="C2" s="60"/>
      <c r="D2" s="60"/>
      <c r="E2" s="60"/>
      <c r="F2" s="60"/>
      <c r="G2" s="60"/>
    </row>
    <row r="3" s="65" customFormat="true" ht="17.25" hidden="false" customHeight="false" outlineLevel="0" collapsed="false">
      <c r="A3" s="61"/>
      <c r="B3" s="124" t="str">
        <f aca="false">'1'!B3</f>
        <v>JANUARY 2024</v>
      </c>
      <c r="C3" s="61" t="n">
        <v>31</v>
      </c>
      <c r="D3" s="63" t="s">
        <v>51</v>
      </c>
      <c r="E3" s="64" t="n">
        <f aca="false">'Daily Meter'!O37</f>
        <v>69.4396</v>
      </c>
      <c r="F3" s="61"/>
      <c r="G3" s="61"/>
    </row>
    <row r="4" customFormat="false" ht="30" hidden="false" customHeight="true" outlineLevel="0" collapsed="false">
      <c r="A4" s="66" t="s">
        <v>52</v>
      </c>
      <c r="B4" s="67" t="s">
        <v>53</v>
      </c>
      <c r="C4" s="68"/>
      <c r="D4" s="69" t="s">
        <v>54</v>
      </c>
      <c r="E4" s="69" t="s">
        <v>55</v>
      </c>
      <c r="F4" s="70" t="s">
        <v>56</v>
      </c>
      <c r="G4" s="69" t="s">
        <v>57</v>
      </c>
    </row>
    <row r="5" customFormat="false" ht="15.75" hidden="false" customHeight="true" outlineLevel="0" collapsed="false">
      <c r="A5" s="66"/>
      <c r="B5" s="66"/>
      <c r="C5" s="68"/>
      <c r="D5" s="73"/>
      <c r="E5" s="73"/>
      <c r="F5" s="73"/>
      <c r="G5" s="73"/>
    </row>
    <row r="6" customFormat="false" ht="14.25" hidden="false" customHeight="false" outlineLevel="0" collapsed="false">
      <c r="A6" s="74" t="n">
        <v>1</v>
      </c>
      <c r="B6" s="75" t="s">
        <v>59</v>
      </c>
      <c r="C6" s="76"/>
      <c r="D6" s="78"/>
      <c r="E6" s="78"/>
      <c r="F6" s="79"/>
      <c r="G6" s="80"/>
    </row>
    <row r="7" customFormat="false" ht="14.25" hidden="false" customHeight="false" outlineLevel="0" collapsed="false">
      <c r="A7" s="76"/>
      <c r="B7" s="78" t="s">
        <v>60</v>
      </c>
      <c r="C7" s="76" t="s">
        <v>61</v>
      </c>
      <c r="D7" s="82" t="n">
        <f aca="false">'30'!E7</f>
        <v>0</v>
      </c>
      <c r="E7" s="82" t="n">
        <f aca="false">'Daily Meter'!B36</f>
        <v>0</v>
      </c>
      <c r="F7" s="83" t="n">
        <f aca="false">E7-D7</f>
        <v>0</v>
      </c>
      <c r="G7" s="83"/>
    </row>
    <row r="8" customFormat="false" ht="15" hidden="false" customHeight="false" outlineLevel="0" collapsed="false">
      <c r="A8" s="76"/>
      <c r="B8" s="78"/>
      <c r="C8" s="84" t="s">
        <v>62</v>
      </c>
      <c r="D8" s="86"/>
      <c r="E8" s="86"/>
      <c r="F8" s="83" t="n">
        <f aca="false">F7*284.34</f>
        <v>0</v>
      </c>
      <c r="G8" s="87" t="n">
        <f aca="false">F8*0.63</f>
        <v>0</v>
      </c>
    </row>
    <row r="9" customFormat="false" ht="14.25" hidden="false" customHeight="false" outlineLevel="0" collapsed="false">
      <c r="A9" s="74" t="s">
        <v>63</v>
      </c>
      <c r="B9" s="75" t="s">
        <v>64</v>
      </c>
      <c r="C9" s="76"/>
      <c r="D9" s="82"/>
      <c r="E9" s="82"/>
      <c r="F9" s="88"/>
      <c r="G9" s="80"/>
    </row>
    <row r="10" customFormat="false" ht="14.25" hidden="false" customHeight="false" outlineLevel="0" collapsed="false">
      <c r="A10" s="89"/>
      <c r="B10" s="90" t="s">
        <v>65</v>
      </c>
      <c r="C10" s="91" t="s">
        <v>66</v>
      </c>
      <c r="D10" s="82" t="n">
        <f aca="false">'30'!E10</f>
        <v>0</v>
      </c>
      <c r="E10" s="82" t="n">
        <f aca="false">'Daily Meter'!C36</f>
        <v>0</v>
      </c>
      <c r="F10" s="83" t="n">
        <f aca="false">E10-D10</f>
        <v>0</v>
      </c>
      <c r="G10" s="92"/>
    </row>
    <row r="11" customFormat="false" ht="14.25" hidden="false" customHeight="false" outlineLevel="0" collapsed="false">
      <c r="A11" s="89"/>
      <c r="B11" s="93" t="s">
        <v>67</v>
      </c>
      <c r="C11" s="91" t="s">
        <v>68</v>
      </c>
      <c r="D11" s="81"/>
      <c r="E11" s="81"/>
      <c r="F11" s="94" t="n">
        <f aca="false">F10*219.969</f>
        <v>0</v>
      </c>
      <c r="G11" s="95" t="n">
        <f aca="false">F11*0.06</f>
        <v>0</v>
      </c>
    </row>
    <row r="12" customFormat="false" ht="14.25" hidden="false" customHeight="false" outlineLevel="0" collapsed="false">
      <c r="A12" s="74" t="s">
        <v>69</v>
      </c>
      <c r="B12" s="75" t="s">
        <v>70</v>
      </c>
      <c r="C12" s="76"/>
      <c r="D12" s="82"/>
      <c r="E12" s="82"/>
      <c r="F12" s="96"/>
      <c r="G12" s="80"/>
    </row>
    <row r="13" customFormat="false" ht="14.25" hidden="false" customHeight="false" outlineLevel="0" collapsed="false">
      <c r="A13" s="76" t="n">
        <v>1</v>
      </c>
      <c r="B13" s="78" t="s">
        <v>14</v>
      </c>
      <c r="C13" s="76" t="s">
        <v>71</v>
      </c>
      <c r="D13" s="82" t="n">
        <f aca="false">'30'!E13</f>
        <v>0</v>
      </c>
      <c r="E13" s="82" t="n">
        <f aca="false">'Daily Meter'!H36</f>
        <v>0</v>
      </c>
      <c r="F13" s="83" t="n">
        <f aca="false">(E13-D13)*480</f>
        <v>0</v>
      </c>
      <c r="G13" s="83"/>
    </row>
    <row r="14" customFormat="false" ht="14.25" hidden="false" customHeight="false" outlineLevel="0" collapsed="false">
      <c r="A14" s="76" t="n">
        <v>2</v>
      </c>
      <c r="B14" s="78" t="s">
        <v>15</v>
      </c>
      <c r="C14" s="76" t="s">
        <v>71</v>
      </c>
      <c r="D14" s="82" t="n">
        <f aca="false">'30'!E14</f>
        <v>0</v>
      </c>
      <c r="E14" s="82" t="n">
        <f aca="false">'Daily Meter'!I36</f>
        <v>0</v>
      </c>
      <c r="F14" s="83" t="n">
        <f aca="false">(E14-D14)*480</f>
        <v>0</v>
      </c>
      <c r="G14" s="83"/>
    </row>
    <row r="15" customFormat="false" ht="14.25" hidden="false" customHeight="false" outlineLevel="0" collapsed="false">
      <c r="A15" s="76" t="n">
        <v>3</v>
      </c>
      <c r="B15" s="78" t="s">
        <v>16</v>
      </c>
      <c r="C15" s="76" t="s">
        <v>71</v>
      </c>
      <c r="D15" s="82" t="n">
        <f aca="false">'30'!E15</f>
        <v>0</v>
      </c>
      <c r="E15" s="82" t="n">
        <f aca="false">'Daily Meter'!J36</f>
        <v>0</v>
      </c>
      <c r="F15" s="83" t="n">
        <f aca="false">(E15-D15)*480</f>
        <v>0</v>
      </c>
      <c r="G15" s="83"/>
    </row>
    <row r="16" customFormat="false" ht="14.25" hidden="false" customHeight="false" outlineLevel="0" collapsed="false">
      <c r="A16" s="76" t="n">
        <v>4</v>
      </c>
      <c r="B16" s="78" t="s">
        <v>17</v>
      </c>
      <c r="C16" s="76" t="s">
        <v>71</v>
      </c>
      <c r="D16" s="82" t="n">
        <f aca="false">'30'!E16</f>
        <v>0</v>
      </c>
      <c r="E16" s="82" t="n">
        <f aca="false">'Daily Meter'!K36</f>
        <v>0</v>
      </c>
      <c r="F16" s="83" t="n">
        <f aca="false">(E16-D16)*480</f>
        <v>0</v>
      </c>
      <c r="G16" s="83"/>
    </row>
    <row r="17" customFormat="false" ht="14.25" hidden="false" customHeight="false" outlineLevel="0" collapsed="false">
      <c r="A17" s="76" t="n">
        <v>5</v>
      </c>
      <c r="B17" s="78" t="s">
        <v>18</v>
      </c>
      <c r="C17" s="76" t="s">
        <v>71</v>
      </c>
      <c r="D17" s="82" t="n">
        <f aca="false">'30'!E17</f>
        <v>0</v>
      </c>
      <c r="E17" s="82" t="n">
        <f aca="false">'Daily Meter'!L36</f>
        <v>0</v>
      </c>
      <c r="F17" s="83" t="n">
        <f aca="false">(E17-D17)*480</f>
        <v>0</v>
      </c>
      <c r="G17" s="83"/>
    </row>
    <row r="18" customFormat="false" ht="14.25" hidden="false" customHeight="false" outlineLevel="0" collapsed="false">
      <c r="A18" s="76" t="n">
        <v>6</v>
      </c>
      <c r="B18" s="78" t="s">
        <v>19</v>
      </c>
      <c r="C18" s="76" t="s">
        <v>71</v>
      </c>
      <c r="D18" s="82" t="n">
        <f aca="false">'30'!E18</f>
        <v>0</v>
      </c>
      <c r="E18" s="82" t="n">
        <f aca="false">'Daily Meter'!M36</f>
        <v>0</v>
      </c>
      <c r="F18" s="83" t="n">
        <f aca="false">(E18-D18)*480</f>
        <v>0</v>
      </c>
      <c r="G18" s="83"/>
    </row>
    <row r="19" customFormat="false" ht="14.25" hidden="false" customHeight="false" outlineLevel="0" collapsed="false">
      <c r="A19" s="76"/>
      <c r="B19" s="97" t="s">
        <v>72</v>
      </c>
      <c r="C19" s="76"/>
      <c r="D19" s="82"/>
      <c r="E19" s="82"/>
      <c r="F19" s="98" t="n">
        <f aca="false">SUM(F13:F18)</f>
        <v>0</v>
      </c>
      <c r="G19" s="87" t="n">
        <f aca="false">F19*0.43</f>
        <v>0</v>
      </c>
    </row>
    <row r="20" customFormat="false" ht="14.25" hidden="false" customHeight="false" outlineLevel="0" collapsed="false">
      <c r="A20" s="78"/>
      <c r="B20" s="78"/>
      <c r="C20" s="76"/>
      <c r="D20" s="100"/>
      <c r="E20" s="100"/>
      <c r="F20" s="101"/>
      <c r="G20" s="102"/>
    </row>
    <row r="21" customFormat="false" ht="14.25" hidden="false" customHeight="false" outlineLevel="0" collapsed="false">
      <c r="A21" s="74" t="s">
        <v>73</v>
      </c>
      <c r="B21" s="75" t="s">
        <v>74</v>
      </c>
      <c r="C21" s="76"/>
      <c r="D21" s="103"/>
      <c r="E21" s="103"/>
      <c r="F21" s="96"/>
      <c r="G21" s="80"/>
    </row>
    <row r="22" customFormat="false" ht="14.25" hidden="false" customHeight="false" outlineLevel="0" collapsed="false">
      <c r="A22" s="76" t="n">
        <v>1</v>
      </c>
      <c r="B22" s="104" t="s">
        <v>75</v>
      </c>
      <c r="C22" s="105" t="s">
        <v>76</v>
      </c>
      <c r="D22" s="82" t="n">
        <f aca="false">'30'!E22</f>
        <v>0</v>
      </c>
      <c r="E22" s="82" t="n">
        <f aca="false">'Daily Meter'!N36</f>
        <v>0</v>
      </c>
      <c r="F22" s="106" t="n">
        <f aca="false">E22-D22</f>
        <v>0</v>
      </c>
      <c r="G22" s="107"/>
    </row>
    <row r="23" customFormat="false" ht="14.25" hidden="false" customHeight="false" outlineLevel="0" collapsed="false">
      <c r="A23" s="76"/>
      <c r="B23" s="108" t="s">
        <v>77</v>
      </c>
      <c r="C23" s="109" t="s">
        <v>78</v>
      </c>
      <c r="D23" s="82"/>
      <c r="E23" s="82"/>
      <c r="F23" s="72" t="n">
        <f aca="false">F22*3.7</f>
        <v>0</v>
      </c>
      <c r="G23" s="110" t="n">
        <f aca="false">F23*2.5</f>
        <v>0</v>
      </c>
    </row>
    <row r="24" customFormat="false" ht="14.25" hidden="false" customHeight="false" outlineLevel="0" collapsed="false">
      <c r="A24" s="76"/>
      <c r="B24" s="104"/>
      <c r="C24" s="105"/>
      <c r="D24" s="82"/>
      <c r="E24" s="82"/>
      <c r="F24" s="88"/>
      <c r="G24" s="111"/>
    </row>
    <row r="25" customFormat="false" ht="14.25" hidden="false" customHeight="false" outlineLevel="0" collapsed="false">
      <c r="A25" s="112"/>
      <c r="B25" s="112"/>
      <c r="C25" s="113"/>
      <c r="D25" s="112"/>
      <c r="E25" s="112" t="s">
        <v>13</v>
      </c>
      <c r="F25" s="114"/>
      <c r="G25" s="112"/>
      <c r="H25" s="112"/>
      <c r="I25" s="112"/>
      <c r="J25" s="112"/>
      <c r="K25" s="112"/>
    </row>
    <row r="26" customFormat="false" ht="20.25" hidden="false" customHeight="false" outlineLevel="0" collapsed="false">
      <c r="A26" s="115"/>
      <c r="B26" s="115"/>
      <c r="C26" s="115"/>
      <c r="D26" s="116" t="s">
        <v>79</v>
      </c>
      <c r="E26" s="116"/>
      <c r="F26" s="116"/>
      <c r="G26" s="116"/>
      <c r="H26" s="117"/>
    </row>
    <row r="27" customFormat="false" ht="20.25" hidden="false" customHeight="false" outlineLevel="0" collapsed="false">
      <c r="A27" s="115"/>
      <c r="B27" s="115"/>
      <c r="C27" s="115"/>
      <c r="D27" s="116" t="s">
        <v>80</v>
      </c>
      <c r="E27" s="116" t="s">
        <v>81</v>
      </c>
      <c r="F27" s="116" t="s">
        <v>82</v>
      </c>
      <c r="G27" s="116" t="s">
        <v>83</v>
      </c>
      <c r="H27" s="118"/>
    </row>
    <row r="28" customFormat="false" ht="15" hidden="false" customHeight="true" outlineLevel="0" collapsed="false">
      <c r="A28" s="115"/>
      <c r="B28" s="115"/>
      <c r="C28" s="115"/>
      <c r="D28" s="119" t="s">
        <v>84</v>
      </c>
      <c r="E28" s="119" t="s">
        <v>62</v>
      </c>
      <c r="F28" s="120" t="n">
        <f aca="false">F8</f>
        <v>0</v>
      </c>
      <c r="G28" s="121" t="n">
        <f aca="false">G8</f>
        <v>0</v>
      </c>
      <c r="H28" s="118"/>
    </row>
    <row r="29" customFormat="false" ht="15" hidden="false" customHeight="true" outlineLevel="0" collapsed="false">
      <c r="A29" s="115"/>
      <c r="B29" s="115"/>
      <c r="C29" s="115"/>
      <c r="D29" s="119" t="s">
        <v>85</v>
      </c>
      <c r="E29" s="119" t="s">
        <v>86</v>
      </c>
      <c r="F29" s="120" t="n">
        <f aca="false">F11</f>
        <v>0</v>
      </c>
      <c r="G29" s="121" t="n">
        <f aca="false">G11</f>
        <v>0</v>
      </c>
      <c r="H29" s="118"/>
    </row>
    <row r="30" customFormat="false" ht="15" hidden="false" customHeight="true" outlineLevel="0" collapsed="false">
      <c r="A30" s="115"/>
      <c r="B30" s="115"/>
      <c r="C30" s="115"/>
      <c r="D30" s="119" t="s">
        <v>87</v>
      </c>
      <c r="E30" s="119" t="s">
        <v>88</v>
      </c>
      <c r="F30" s="120" t="n">
        <f aca="false">F19</f>
        <v>0</v>
      </c>
      <c r="G30" s="121" t="n">
        <f aca="false">G19</f>
        <v>0</v>
      </c>
      <c r="H30" s="118"/>
    </row>
    <row r="31" customFormat="false" ht="15" hidden="false" customHeight="true" outlineLevel="0" collapsed="false">
      <c r="A31" s="115"/>
      <c r="B31" s="115"/>
      <c r="C31" s="115"/>
      <c r="D31" s="119" t="s">
        <v>89</v>
      </c>
      <c r="E31" s="119" t="s">
        <v>66</v>
      </c>
      <c r="F31" s="120" t="n">
        <f aca="false">F22</f>
        <v>0</v>
      </c>
      <c r="G31" s="121" t="n">
        <f aca="false">G23</f>
        <v>0</v>
      </c>
      <c r="H31" s="118"/>
    </row>
    <row r="32" customFormat="false" ht="15" hidden="false" customHeight="true" outlineLevel="0" collapsed="false">
      <c r="A32" s="115"/>
      <c r="B32" s="115"/>
      <c r="C32" s="115"/>
      <c r="D32" s="112"/>
      <c r="E32" s="112"/>
      <c r="F32" s="122" t="s">
        <v>90</v>
      </c>
      <c r="G32" s="123" t="n">
        <f aca="false">SUM(G28:G31)</f>
        <v>0</v>
      </c>
      <c r="H32" s="11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1" sqref="A28:K32 C11"/>
    </sheetView>
  </sheetViews>
  <sheetFormatPr defaultColWidth="9.15625" defaultRowHeight="14.25" zeroHeight="false" outlineLevelRow="0" outlineLevelCol="0"/>
  <cols>
    <col collapsed="false" customWidth="true" hidden="false" outlineLevel="0" max="1" min="1" style="65" width="5.58"/>
    <col collapsed="false" customWidth="true" hidden="false" outlineLevel="0" max="2" min="2" style="65" width="37.58"/>
    <col collapsed="false" customWidth="true" hidden="false" outlineLevel="0" max="3" min="3" style="65" width="21.58"/>
    <col collapsed="false" customWidth="true" hidden="false" outlineLevel="0" max="4" min="4" style="65" width="21.16"/>
    <col collapsed="false" customWidth="true" hidden="false" outlineLevel="0" max="5" min="5" style="65" width="21.58"/>
    <col collapsed="false" customWidth="true" hidden="false" outlineLevel="0" max="6" min="6" style="129" width="20.84"/>
    <col collapsed="false" customWidth="true" hidden="false" outlineLevel="0" max="8" min="7" style="129" width="20"/>
    <col collapsed="false" customWidth="false" hidden="false" outlineLevel="0" max="16384" min="9" style="65" width="9.15"/>
  </cols>
  <sheetData>
    <row r="1" customFormat="false" ht="15" hidden="false" customHeight="true" outlineLevel="0" collapsed="false">
      <c r="A1" s="61" t="s">
        <v>47</v>
      </c>
      <c r="B1" s="61"/>
      <c r="C1" s="61"/>
      <c r="D1" s="61"/>
      <c r="E1" s="61"/>
      <c r="F1" s="61"/>
      <c r="G1" s="61"/>
      <c r="H1" s="130"/>
      <c r="P1" s="17" t="s">
        <v>24</v>
      </c>
    </row>
    <row r="2" customFormat="false" ht="12" hidden="false" customHeight="true" outlineLevel="0" collapsed="false">
      <c r="A2" s="61"/>
      <c r="B2" s="61"/>
      <c r="C2" s="61"/>
      <c r="D2" s="61"/>
      <c r="E2" s="61"/>
      <c r="F2" s="61"/>
      <c r="G2" s="61"/>
      <c r="H2" s="130"/>
    </row>
    <row r="3" customFormat="false" ht="18" hidden="false" customHeight="false" outlineLevel="0" collapsed="false">
      <c r="A3" s="131" t="s">
        <v>49</v>
      </c>
      <c r="B3" s="131"/>
      <c r="C3" s="131"/>
      <c r="D3" s="131"/>
      <c r="E3" s="131"/>
      <c r="F3" s="131"/>
      <c r="G3" s="131"/>
      <c r="H3" s="130"/>
      <c r="P3" s="17" t="s">
        <v>48</v>
      </c>
    </row>
    <row r="4" customFormat="false" ht="18" hidden="false" customHeight="false" outlineLevel="0" collapsed="false">
      <c r="A4" s="132" t="s">
        <v>91</v>
      </c>
      <c r="B4" s="132"/>
      <c r="C4" s="132"/>
      <c r="D4" s="133" t="s">
        <v>92</v>
      </c>
      <c r="E4" s="134"/>
      <c r="F4" s="135" t="s">
        <v>93</v>
      </c>
      <c r="G4" s="136"/>
      <c r="H4" s="136"/>
    </row>
    <row r="5" customFormat="false" ht="27.75" hidden="false" customHeight="true" outlineLevel="0" collapsed="false">
      <c r="A5" s="137" t="s">
        <v>52</v>
      </c>
      <c r="B5" s="138" t="s">
        <v>53</v>
      </c>
      <c r="C5" s="137"/>
      <c r="D5" s="139" t="s">
        <v>94</v>
      </c>
      <c r="E5" s="139" t="s">
        <v>95</v>
      </c>
      <c r="F5" s="139" t="s">
        <v>96</v>
      </c>
      <c r="G5" s="139" t="s">
        <v>97</v>
      </c>
      <c r="H5" s="139" t="s">
        <v>98</v>
      </c>
    </row>
    <row r="6" customFormat="false" ht="24" hidden="false" customHeight="true" outlineLevel="0" collapsed="false">
      <c r="A6" s="137"/>
      <c r="B6" s="138"/>
      <c r="C6" s="140"/>
      <c r="D6" s="141" t="s">
        <v>99</v>
      </c>
      <c r="E6" s="141" t="s">
        <v>100</v>
      </c>
      <c r="F6" s="139"/>
      <c r="G6" s="139"/>
      <c r="H6" s="139"/>
    </row>
    <row r="7" customFormat="false" ht="14.25" hidden="false" customHeight="false" outlineLevel="0" collapsed="false">
      <c r="A7" s="142" t="n">
        <v>1</v>
      </c>
      <c r="B7" s="143" t="s">
        <v>59</v>
      </c>
      <c r="C7" s="144"/>
      <c r="D7" s="77"/>
      <c r="E7" s="77"/>
      <c r="F7" s="145"/>
      <c r="G7" s="145"/>
      <c r="H7" s="145"/>
    </row>
    <row r="8" customFormat="false" ht="14.25" hidden="false" customHeight="false" outlineLevel="0" collapsed="false">
      <c r="A8" s="144"/>
      <c r="B8" s="77" t="s">
        <v>60</v>
      </c>
      <c r="C8" s="144" t="s">
        <v>61</v>
      </c>
      <c r="D8" s="82" t="n">
        <v>53103.1</v>
      </c>
      <c r="E8" s="82" t="n">
        <v>53103.1</v>
      </c>
      <c r="F8" s="146" t="n">
        <f aca="false">E8-D8</f>
        <v>0</v>
      </c>
      <c r="G8" s="146"/>
      <c r="H8" s="146"/>
    </row>
    <row r="9" customFormat="false" ht="15" hidden="false" customHeight="false" outlineLevel="0" collapsed="false">
      <c r="A9" s="144"/>
      <c r="B9" s="77"/>
      <c r="C9" s="89" t="s">
        <v>101</v>
      </c>
      <c r="D9" s="147"/>
      <c r="E9" s="147"/>
      <c r="F9" s="148" t="n">
        <f aca="false">F8*284.35</f>
        <v>0</v>
      </c>
      <c r="G9" s="148"/>
      <c r="H9" s="149"/>
    </row>
    <row r="10" customFormat="false" ht="15.75" hidden="false" customHeight="true" outlineLevel="0" collapsed="false">
      <c r="A10" s="144"/>
      <c r="B10" s="150" t="s">
        <v>102</v>
      </c>
      <c r="C10" s="151"/>
      <c r="D10" s="151"/>
      <c r="E10" s="151"/>
      <c r="F10" s="152" t="n">
        <f aca="false">F9*0.568</f>
        <v>0</v>
      </c>
      <c r="G10" s="153"/>
      <c r="H10" s="153"/>
    </row>
    <row r="11" customFormat="false" ht="14.25" hidden="false" customHeight="false" outlineLevel="0" collapsed="false">
      <c r="A11" s="144"/>
      <c r="B11" s="150" t="s">
        <v>103</v>
      </c>
      <c r="C11" s="151"/>
      <c r="D11" s="151"/>
      <c r="E11" s="151"/>
      <c r="F11" s="152" t="n">
        <f aca="false">F9*0.075</f>
        <v>0</v>
      </c>
      <c r="G11" s="153"/>
      <c r="H11" s="153"/>
    </row>
    <row r="12" customFormat="false" ht="15.75" hidden="false" customHeight="true" outlineLevel="0" collapsed="false">
      <c r="A12" s="144"/>
      <c r="B12" s="154" t="s">
        <v>104</v>
      </c>
      <c r="C12" s="155"/>
      <c r="D12" s="155"/>
      <c r="E12" s="155"/>
      <c r="F12" s="156" t="n">
        <f aca="false">F10+F11</f>
        <v>0</v>
      </c>
      <c r="G12" s="157" t="n">
        <f aca="false">'dec. 1 to 31'!G12</f>
        <v>250000</v>
      </c>
      <c r="H12" s="158"/>
    </row>
    <row r="13" customFormat="false" ht="15.75" hidden="false" customHeight="true" outlineLevel="0" collapsed="false">
      <c r="A13" s="144"/>
      <c r="B13" s="154" t="s">
        <v>105</v>
      </c>
      <c r="C13" s="155"/>
      <c r="D13" s="155"/>
      <c r="E13" s="155"/>
      <c r="F13" s="156" t="n">
        <f aca="false">(3082.2*30)</f>
        <v>92466</v>
      </c>
      <c r="G13" s="157" t="n">
        <f aca="false">'dec. 1 to 31'!G13</f>
        <v>95548.2</v>
      </c>
      <c r="H13" s="158" t="n">
        <f aca="false">F13</f>
        <v>92466</v>
      </c>
    </row>
    <row r="14" customFormat="false" ht="15.75" hidden="false" customHeight="true" outlineLevel="0" collapsed="false">
      <c r="A14" s="144"/>
      <c r="B14" s="159"/>
      <c r="C14" s="159"/>
      <c r="D14" s="159"/>
      <c r="E14" s="159"/>
      <c r="F14" s="160" t="n">
        <f aca="false">SUM(F12+F13)</f>
        <v>92466</v>
      </c>
      <c r="G14" s="161" t="n">
        <f aca="false">SUM(G12:G13)</f>
        <v>345548.2</v>
      </c>
      <c r="H14" s="153" t="n">
        <f aca="false">SUM(H12:H13)</f>
        <v>92466</v>
      </c>
    </row>
    <row r="15" customFormat="false" ht="14.25" hidden="false" customHeight="false" outlineLevel="0" collapsed="false">
      <c r="A15" s="142" t="s">
        <v>63</v>
      </c>
      <c r="B15" s="143" t="s">
        <v>64</v>
      </c>
      <c r="C15" s="144"/>
      <c r="D15" s="144"/>
      <c r="E15" s="144"/>
      <c r="F15" s="162"/>
      <c r="G15" s="163" t="s">
        <v>106</v>
      </c>
      <c r="H15" s="164" t="n">
        <f aca="false">(F14-H14)</f>
        <v>0</v>
      </c>
    </row>
    <row r="16" customFormat="false" ht="14.25" hidden="false" customHeight="true" outlineLevel="0" collapsed="false">
      <c r="A16" s="89"/>
      <c r="B16" s="90" t="s">
        <v>65</v>
      </c>
      <c r="C16" s="91" t="s">
        <v>66</v>
      </c>
      <c r="D16" s="82"/>
      <c r="E16" s="82"/>
      <c r="F16" s="146" t="n">
        <f aca="false">E16-D16</f>
        <v>0</v>
      </c>
      <c r="G16" s="165" t="s">
        <v>107</v>
      </c>
      <c r="H16" s="165"/>
    </row>
    <row r="17" customFormat="false" ht="27" hidden="false" customHeight="false" outlineLevel="0" collapsed="false">
      <c r="A17" s="89"/>
      <c r="B17" s="90"/>
      <c r="C17" s="91" t="s">
        <v>108</v>
      </c>
      <c r="D17" s="82"/>
      <c r="E17" s="82"/>
      <c r="F17" s="166" t="n">
        <f aca="false">F16*219.969</f>
        <v>0</v>
      </c>
      <c r="G17" s="167"/>
      <c r="H17" s="162"/>
    </row>
    <row r="18" customFormat="false" ht="14.25" hidden="false" customHeight="false" outlineLevel="0" collapsed="false">
      <c r="A18" s="89"/>
      <c r="B18" s="150" t="s">
        <v>109</v>
      </c>
      <c r="C18" s="151"/>
      <c r="D18" s="151"/>
      <c r="E18" s="151"/>
      <c r="F18" s="168" t="n">
        <v>350</v>
      </c>
      <c r="G18" s="169"/>
      <c r="H18" s="162"/>
    </row>
    <row r="19" customFormat="false" ht="14.25" hidden="false" customHeight="false" outlineLevel="0" collapsed="false">
      <c r="A19" s="89"/>
      <c r="B19" s="150" t="s">
        <v>110</v>
      </c>
      <c r="C19" s="151"/>
      <c r="D19" s="151"/>
      <c r="E19" s="151"/>
      <c r="F19" s="168" t="n">
        <v>400</v>
      </c>
      <c r="G19" s="169"/>
      <c r="H19" s="162"/>
    </row>
    <row r="20" customFormat="false" ht="14.25" hidden="false" customHeight="false" outlineLevel="0" collapsed="false">
      <c r="A20" s="89"/>
      <c r="B20" s="150" t="s">
        <v>111</v>
      </c>
      <c r="C20" s="151"/>
      <c r="D20" s="151"/>
      <c r="E20" s="151"/>
      <c r="F20" s="168" t="n">
        <f aca="false">SUM(F17-20000)*0.046</f>
        <v>-920</v>
      </c>
      <c r="G20" s="169"/>
      <c r="H20" s="162"/>
    </row>
    <row r="21" customFormat="false" ht="14.25" hidden="false" customHeight="false" outlineLevel="0" collapsed="false">
      <c r="A21" s="89"/>
      <c r="B21" s="150" t="s">
        <v>112</v>
      </c>
      <c r="C21" s="151"/>
      <c r="D21" s="151"/>
      <c r="E21" s="151"/>
      <c r="F21" s="170" t="n">
        <f aca="false">F17*0.005</f>
        <v>0</v>
      </c>
      <c r="G21" s="169"/>
      <c r="H21" s="162"/>
    </row>
    <row r="22" customFormat="false" ht="14.25" hidden="false" customHeight="false" outlineLevel="0" collapsed="false">
      <c r="A22" s="89"/>
      <c r="B22" s="150" t="s">
        <v>113</v>
      </c>
      <c r="C22" s="151"/>
      <c r="D22" s="151"/>
      <c r="E22" s="151"/>
      <c r="F22" s="170" t="n">
        <f aca="false">F17*0.01</f>
        <v>0</v>
      </c>
      <c r="G22" s="169"/>
      <c r="H22" s="162"/>
    </row>
    <row r="23" customFormat="false" ht="14.25" hidden="false" customHeight="false" outlineLevel="0" collapsed="false">
      <c r="A23" s="89"/>
      <c r="B23" s="154" t="s">
        <v>104</v>
      </c>
      <c r="C23" s="171"/>
      <c r="D23" s="171"/>
      <c r="E23" s="171"/>
      <c r="F23" s="172" t="n">
        <f aca="false">SUM(F18:F22)</f>
        <v>-170</v>
      </c>
      <c r="G23" s="173" t="n">
        <f aca="false">'dec. 1 to 31'!G23</f>
        <v>59385</v>
      </c>
      <c r="H23" s="162"/>
    </row>
    <row r="24" customFormat="false" ht="14.25" hidden="false" customHeight="false" outlineLevel="0" collapsed="false">
      <c r="A24" s="142" t="s">
        <v>69</v>
      </c>
      <c r="B24" s="143" t="s">
        <v>70</v>
      </c>
      <c r="C24" s="144"/>
      <c r="D24" s="144"/>
      <c r="E24" s="144"/>
      <c r="F24" s="174"/>
      <c r="G24" s="175"/>
      <c r="H24" s="162"/>
    </row>
    <row r="25" customFormat="false" ht="14.25" hidden="false" customHeight="false" outlineLevel="0" collapsed="false">
      <c r="A25" s="144" t="n">
        <v>1</v>
      </c>
      <c r="B25" s="77" t="s">
        <v>14</v>
      </c>
      <c r="C25" s="144" t="s">
        <v>71</v>
      </c>
      <c r="D25" s="82"/>
      <c r="E25" s="82"/>
      <c r="F25" s="146" t="n">
        <f aca="false">(E25-D25)*480</f>
        <v>0</v>
      </c>
      <c r="G25" s="126"/>
      <c r="H25" s="162"/>
    </row>
    <row r="26" customFormat="false" ht="14.25" hidden="false" customHeight="false" outlineLevel="0" collapsed="false">
      <c r="A26" s="144" t="n">
        <v>2</v>
      </c>
      <c r="B26" s="77" t="s">
        <v>15</v>
      </c>
      <c r="C26" s="144" t="s">
        <v>71</v>
      </c>
      <c r="D26" s="82"/>
      <c r="E26" s="82"/>
      <c r="F26" s="146" t="n">
        <f aca="false">(E26-D26)*480</f>
        <v>0</v>
      </c>
      <c r="G26" s="126"/>
      <c r="H26" s="162"/>
    </row>
    <row r="27" customFormat="false" ht="14.25" hidden="false" customHeight="false" outlineLevel="0" collapsed="false">
      <c r="A27" s="144" t="n">
        <v>3</v>
      </c>
      <c r="B27" s="77" t="s">
        <v>16</v>
      </c>
      <c r="C27" s="144" t="s">
        <v>71</v>
      </c>
      <c r="D27" s="82"/>
      <c r="E27" s="82"/>
      <c r="F27" s="146" t="n">
        <f aca="false">(E27-D27)*480</f>
        <v>0</v>
      </c>
      <c r="G27" s="126"/>
      <c r="H27" s="162"/>
    </row>
    <row r="28" customFormat="false" ht="14.25" hidden="false" customHeight="false" outlineLevel="0" collapsed="false">
      <c r="A28" s="144" t="n">
        <v>4</v>
      </c>
      <c r="B28" s="77" t="s">
        <v>17</v>
      </c>
      <c r="C28" s="144" t="s">
        <v>71</v>
      </c>
      <c r="D28" s="82"/>
      <c r="E28" s="82"/>
      <c r="F28" s="146" t="n">
        <f aca="false">(E28-D28)*480</f>
        <v>0</v>
      </c>
      <c r="G28" s="126"/>
      <c r="H28" s="162"/>
    </row>
    <row r="29" customFormat="false" ht="14.25" hidden="false" customHeight="false" outlineLevel="0" collapsed="false">
      <c r="A29" s="144" t="n">
        <v>5</v>
      </c>
      <c r="B29" s="77" t="s">
        <v>18</v>
      </c>
      <c r="C29" s="144" t="s">
        <v>71</v>
      </c>
      <c r="D29" s="82"/>
      <c r="E29" s="82"/>
      <c r="F29" s="146" t="n">
        <f aca="false">(E29-D29)*480</f>
        <v>0</v>
      </c>
      <c r="G29" s="126"/>
      <c r="H29" s="162"/>
    </row>
    <row r="30" customFormat="false" ht="14.25" hidden="false" customHeight="false" outlineLevel="0" collapsed="false">
      <c r="A30" s="144" t="n">
        <v>6</v>
      </c>
      <c r="B30" s="77" t="s">
        <v>19</v>
      </c>
      <c r="C30" s="144" t="s">
        <v>71</v>
      </c>
      <c r="D30" s="82"/>
      <c r="E30" s="82"/>
      <c r="F30" s="146" t="n">
        <f aca="false">(E30-D30)*480</f>
        <v>0</v>
      </c>
      <c r="G30" s="126"/>
      <c r="H30" s="162"/>
    </row>
    <row r="31" customFormat="false" ht="14.25" hidden="false" customHeight="false" outlineLevel="0" collapsed="false">
      <c r="A31" s="144"/>
      <c r="B31" s="176" t="s">
        <v>114</v>
      </c>
      <c r="C31" s="144"/>
      <c r="D31" s="144"/>
      <c r="E31" s="144"/>
      <c r="F31" s="177" t="n">
        <f aca="false">SUM(F25:F30)</f>
        <v>0</v>
      </c>
      <c r="G31" s="178"/>
      <c r="H31" s="162"/>
    </row>
    <row r="32" customFormat="false" ht="14.25" hidden="false" customHeight="false" outlineLevel="0" collapsed="false">
      <c r="A32" s="77"/>
      <c r="B32" s="150" t="s">
        <v>115</v>
      </c>
      <c r="C32" s="151"/>
      <c r="D32" s="151"/>
      <c r="E32" s="151"/>
      <c r="F32" s="152" t="n">
        <v>460</v>
      </c>
      <c r="G32" s="179"/>
      <c r="H32" s="162"/>
    </row>
    <row r="33" customFormat="false" ht="14.25" hidden="false" customHeight="false" outlineLevel="0" collapsed="false">
      <c r="A33" s="77"/>
      <c r="B33" s="150" t="s">
        <v>116</v>
      </c>
      <c r="C33" s="151"/>
      <c r="D33" s="151"/>
      <c r="E33" s="151"/>
      <c r="F33" s="152" t="n">
        <v>560</v>
      </c>
      <c r="G33" s="179"/>
      <c r="H33" s="162"/>
    </row>
    <row r="34" customFormat="false" ht="14.25" hidden="false" customHeight="false" outlineLevel="0" collapsed="false">
      <c r="A34" s="77"/>
      <c r="B34" s="150" t="s">
        <v>117</v>
      </c>
      <c r="C34" s="151"/>
      <c r="D34" s="151"/>
      <c r="E34" s="151"/>
      <c r="F34" s="152" t="n">
        <v>640</v>
      </c>
      <c r="G34" s="179"/>
      <c r="H34" s="162"/>
    </row>
    <row r="35" customFormat="false" ht="14.25" hidden="false" customHeight="false" outlineLevel="0" collapsed="false">
      <c r="A35" s="77"/>
      <c r="B35" s="150" t="s">
        <v>118</v>
      </c>
      <c r="C35" s="151"/>
      <c r="D35" s="151"/>
      <c r="E35" s="151"/>
      <c r="F35" s="152" t="n">
        <f aca="false">SUM(F31-6000)*0.38</f>
        <v>-2280</v>
      </c>
      <c r="G35" s="179"/>
      <c r="H35" s="162"/>
    </row>
    <row r="36" customFormat="false" ht="14.25" hidden="false" customHeight="false" outlineLevel="0" collapsed="false">
      <c r="A36" s="77"/>
      <c r="B36" s="150" t="s">
        <v>119</v>
      </c>
      <c r="C36" s="151"/>
      <c r="D36" s="151"/>
      <c r="E36" s="151"/>
      <c r="F36" s="152" t="n">
        <f aca="false">F31*0.065</f>
        <v>0</v>
      </c>
      <c r="G36" s="179"/>
      <c r="H36" s="162"/>
    </row>
    <row r="37" customFormat="false" ht="14.25" hidden="false" customHeight="false" outlineLevel="0" collapsed="false">
      <c r="A37" s="77"/>
      <c r="B37" s="154" t="s">
        <v>104</v>
      </c>
      <c r="C37" s="180"/>
      <c r="D37" s="180"/>
      <c r="E37" s="180"/>
      <c r="F37" s="156" t="n">
        <f aca="false">SUM(F32:F36)</f>
        <v>-620</v>
      </c>
      <c r="G37" s="181" t="n">
        <f aca="false">'dec. 1 to 31'!G37</f>
        <v>281577</v>
      </c>
      <c r="H37" s="162"/>
    </row>
    <row r="38" customFormat="false" ht="14.25" hidden="false" customHeight="false" outlineLevel="0" collapsed="false">
      <c r="A38" s="142" t="s">
        <v>73</v>
      </c>
      <c r="B38" s="143" t="s">
        <v>74</v>
      </c>
      <c r="C38" s="182"/>
      <c r="D38" s="182"/>
      <c r="E38" s="182"/>
      <c r="F38" s="174"/>
      <c r="G38" s="175"/>
      <c r="H38" s="162"/>
    </row>
    <row r="39" customFormat="false" ht="14.25" hidden="false" customHeight="false" outlineLevel="0" collapsed="false">
      <c r="A39" s="144" t="n">
        <v>1</v>
      </c>
      <c r="B39" s="182" t="s">
        <v>75</v>
      </c>
      <c r="C39" s="183"/>
      <c r="D39" s="183"/>
      <c r="E39" s="183"/>
      <c r="F39" s="177"/>
      <c r="G39" s="178"/>
      <c r="H39" s="162"/>
    </row>
    <row r="40" customFormat="false" ht="14.25" hidden="false" customHeight="false" outlineLevel="0" collapsed="false">
      <c r="A40" s="144"/>
      <c r="B40" s="182"/>
      <c r="C40" s="184" t="s">
        <v>120</v>
      </c>
      <c r="D40" s="82"/>
      <c r="E40" s="82"/>
      <c r="F40" s="148" t="n">
        <f aca="false">E40-D40</f>
        <v>0</v>
      </c>
      <c r="G40" s="178"/>
      <c r="H40" s="162"/>
    </row>
    <row r="41" customFormat="false" ht="14.25" hidden="false" customHeight="false" outlineLevel="0" collapsed="false">
      <c r="A41" s="144"/>
      <c r="B41" s="182"/>
      <c r="C41" s="185" t="s">
        <v>121</v>
      </c>
      <c r="D41" s="82"/>
      <c r="E41" s="82"/>
      <c r="F41" s="177" t="n">
        <f aca="false">F40*3.7</f>
        <v>0</v>
      </c>
      <c r="G41" s="178"/>
      <c r="H41" s="162"/>
    </row>
    <row r="42" customFormat="false" ht="14.25" hidden="false" customHeight="false" outlineLevel="0" collapsed="false">
      <c r="A42" s="144"/>
      <c r="B42" s="154" t="s">
        <v>122</v>
      </c>
      <c r="C42" s="180"/>
      <c r="D42" s="180"/>
      <c r="E42" s="180"/>
      <c r="F42" s="156" t="n">
        <f aca="false">F41*2.5</f>
        <v>0</v>
      </c>
      <c r="G42" s="186" t="n">
        <f aca="false">'dec. 1 to 31'!G42</f>
        <v>13040</v>
      </c>
      <c r="H42" s="162"/>
    </row>
    <row r="43" customFormat="false" ht="14.25" hidden="false" customHeight="false" outlineLevel="0" collapsed="false">
      <c r="A43" s="187"/>
      <c r="B43" s="187"/>
      <c r="C43" s="188"/>
      <c r="D43" s="187"/>
      <c r="E43" s="187"/>
      <c r="F43" s="189"/>
      <c r="G43" s="189"/>
      <c r="H43" s="189"/>
    </row>
    <row r="44" customFormat="false" ht="20.25" hidden="false" customHeight="false" outlineLevel="0" collapsed="false">
      <c r="A44" s="115"/>
      <c r="B44" s="190" t="s">
        <v>79</v>
      </c>
      <c r="C44" s="190"/>
      <c r="D44" s="190"/>
      <c r="E44" s="190"/>
      <c r="F44" s="127"/>
      <c r="G44" s="127"/>
      <c r="H44" s="127"/>
    </row>
    <row r="45" customFormat="false" ht="20.25" hidden="false" customHeight="false" outlineLevel="0" collapsed="false">
      <c r="A45" s="115"/>
      <c r="B45" s="190" t="s">
        <v>80</v>
      </c>
      <c r="C45" s="190" t="s">
        <v>81</v>
      </c>
      <c r="D45" s="190" t="s">
        <v>82</v>
      </c>
      <c r="E45" s="190" t="s">
        <v>123</v>
      </c>
      <c r="F45" s="127"/>
      <c r="G45" s="127"/>
      <c r="H45" s="127"/>
    </row>
    <row r="46" customFormat="false" ht="14.25" hidden="false" customHeight="false" outlineLevel="0" collapsed="false">
      <c r="A46" s="187"/>
      <c r="B46" s="119" t="s">
        <v>84</v>
      </c>
      <c r="C46" s="119" t="s">
        <v>62</v>
      </c>
      <c r="D46" s="120" t="n">
        <f aca="false">F9</f>
        <v>0</v>
      </c>
      <c r="E46" s="121" t="n">
        <f aca="false">F12</f>
        <v>0</v>
      </c>
      <c r="F46" s="191"/>
      <c r="G46" s="191"/>
      <c r="H46" s="191"/>
    </row>
    <row r="47" customFormat="false" ht="14.25" hidden="false" customHeight="false" outlineLevel="0" collapsed="false">
      <c r="A47" s="187"/>
      <c r="B47" s="119" t="s">
        <v>85</v>
      </c>
      <c r="C47" s="119" t="s">
        <v>124</v>
      </c>
      <c r="D47" s="120" t="n">
        <f aca="false">F17</f>
        <v>0</v>
      </c>
      <c r="E47" s="121" t="n">
        <f aca="false">F23</f>
        <v>-170</v>
      </c>
      <c r="F47" s="191"/>
      <c r="G47" s="191"/>
      <c r="H47" s="191"/>
    </row>
    <row r="48" customFormat="false" ht="14.25" hidden="false" customHeight="false" outlineLevel="0" collapsed="false">
      <c r="A48" s="187"/>
      <c r="B48" s="119" t="s">
        <v>87</v>
      </c>
      <c r="C48" s="119" t="s">
        <v>125</v>
      </c>
      <c r="D48" s="120" t="n">
        <f aca="false">F31</f>
        <v>0</v>
      </c>
      <c r="E48" s="121" t="n">
        <f aca="false">F37</f>
        <v>-620</v>
      </c>
      <c r="F48" s="191"/>
      <c r="G48" s="191"/>
      <c r="H48" s="191"/>
    </row>
    <row r="49" customFormat="false" ht="14.25" hidden="false" customHeight="false" outlineLevel="0" collapsed="false">
      <c r="A49" s="187"/>
      <c r="B49" s="119" t="s">
        <v>89</v>
      </c>
      <c r="C49" s="184" t="s">
        <v>120</v>
      </c>
      <c r="D49" s="120" t="n">
        <f aca="false">F40</f>
        <v>0</v>
      </c>
      <c r="E49" s="121" t="n">
        <f aca="false">F42</f>
        <v>0</v>
      </c>
      <c r="F49" s="191"/>
      <c r="G49" s="191"/>
      <c r="H49" s="191"/>
    </row>
    <row r="50" customFormat="false" ht="15" hidden="false" customHeight="false" outlineLevel="0" collapsed="false">
      <c r="A50" s="187"/>
      <c r="B50" s="112"/>
      <c r="C50" s="112"/>
      <c r="D50" s="192" t="s">
        <v>126</v>
      </c>
      <c r="E50" s="193" t="n">
        <f aca="false">SUM(E46:E49)</f>
        <v>-790</v>
      </c>
      <c r="F50" s="194"/>
      <c r="G50" s="194"/>
      <c r="H50" s="194"/>
    </row>
  </sheetData>
  <mergeCells count="33">
    <mergeCell ref="A1:G2"/>
    <mergeCell ref="A3:G3"/>
    <mergeCell ref="A4:C4"/>
    <mergeCell ref="G4:H4"/>
    <mergeCell ref="A5:A6"/>
    <mergeCell ref="B5:B6"/>
    <mergeCell ref="F5:F6"/>
    <mergeCell ref="G5:G6"/>
    <mergeCell ref="H5:H6"/>
    <mergeCell ref="C10:E10"/>
    <mergeCell ref="C11:E11"/>
    <mergeCell ref="C12:E12"/>
    <mergeCell ref="C13:E13"/>
    <mergeCell ref="B14:E14"/>
    <mergeCell ref="C15:E15"/>
    <mergeCell ref="G16:H16"/>
    <mergeCell ref="C18:E18"/>
    <mergeCell ref="C19:E19"/>
    <mergeCell ref="C20:E20"/>
    <mergeCell ref="C21:E21"/>
    <mergeCell ref="C22:E22"/>
    <mergeCell ref="C23:E23"/>
    <mergeCell ref="C24:E24"/>
    <mergeCell ref="C31:E31"/>
    <mergeCell ref="C32:E32"/>
    <mergeCell ref="C33:E33"/>
    <mergeCell ref="C34:E34"/>
    <mergeCell ref="C35:E35"/>
    <mergeCell ref="C36:E36"/>
    <mergeCell ref="C37:E37"/>
    <mergeCell ref="C39:E39"/>
    <mergeCell ref="C42:E42"/>
    <mergeCell ref="B44:E44"/>
  </mergeCells>
  <hyperlinks>
    <hyperlink ref="P1" location="'1'!A1" display="1st"/>
    <hyperlink ref="P3" location="'Daily Meter'!A1" display="daily reading"/>
  </hyperlinks>
  <printOptions headings="false" gridLines="false" gridLinesSet="true" horizontalCentered="true" verticalCentered="false"/>
  <pageMargins left="0.7" right="0.7" top="0.25" bottom="0.25" header="0.3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25" activeCellId="1" sqref="A28:K32 B25"/>
    </sheetView>
  </sheetViews>
  <sheetFormatPr defaultColWidth="9.15625" defaultRowHeight="14.25" zeroHeight="false" outlineLevelRow="0" outlineLevelCol="0"/>
  <cols>
    <col collapsed="false" customWidth="true" hidden="false" outlineLevel="0" max="1" min="1" style="65" width="5.58"/>
    <col collapsed="false" customWidth="true" hidden="false" outlineLevel="0" max="2" min="2" style="65" width="38.26"/>
    <col collapsed="false" customWidth="true" hidden="false" outlineLevel="0" max="3" min="3" style="65" width="21.58"/>
    <col collapsed="false" customWidth="true" hidden="false" outlineLevel="0" max="4" min="4" style="65" width="20.15"/>
    <col collapsed="false" customWidth="true" hidden="false" outlineLevel="0" max="5" min="5" style="65" width="20.26"/>
    <col collapsed="false" customWidth="true" hidden="false" outlineLevel="0" max="6" min="6" style="129" width="21.26"/>
    <col collapsed="false" customWidth="true" hidden="false" outlineLevel="0" max="7" min="7" style="129" width="20"/>
    <col collapsed="false" customWidth="false" hidden="false" outlineLevel="0" max="10" min="8" style="65" width="9.15"/>
    <col collapsed="false" customWidth="true" hidden="false" outlineLevel="0" max="16" min="11" style="65" width="10.58"/>
    <col collapsed="false" customWidth="false" hidden="false" outlineLevel="0" max="16384" min="17" style="65" width="9.15"/>
  </cols>
  <sheetData>
    <row r="1" customFormat="false" ht="15" hidden="false" customHeight="true" outlineLevel="0" collapsed="false">
      <c r="A1" s="195" t="s">
        <v>47</v>
      </c>
      <c r="B1" s="195"/>
      <c r="C1" s="195"/>
      <c r="D1" s="195"/>
      <c r="E1" s="195"/>
      <c r="F1" s="195"/>
      <c r="G1" s="195"/>
    </row>
    <row r="2" customFormat="false" ht="10.5" hidden="false" customHeight="true" outlineLevel="0" collapsed="false">
      <c r="A2" s="195"/>
      <c r="B2" s="195"/>
      <c r="C2" s="195"/>
      <c r="D2" s="195"/>
      <c r="E2" s="195"/>
      <c r="F2" s="195"/>
      <c r="G2" s="195"/>
    </row>
    <row r="3" customFormat="false" ht="21.75" hidden="false" customHeight="true" outlineLevel="0" collapsed="false">
      <c r="A3" s="196" t="s">
        <v>49</v>
      </c>
      <c r="B3" s="196"/>
      <c r="C3" s="196"/>
      <c r="D3" s="196"/>
      <c r="E3" s="196"/>
      <c r="F3" s="196"/>
      <c r="G3" s="196"/>
    </row>
    <row r="4" customFormat="false" ht="35.25" hidden="false" customHeight="false" outlineLevel="0" collapsed="false">
      <c r="A4" s="197" t="s">
        <v>127</v>
      </c>
      <c r="B4" s="197"/>
      <c r="C4" s="198" t="s">
        <v>128</v>
      </c>
      <c r="D4" s="136"/>
      <c r="E4" s="199" t="s">
        <v>92</v>
      </c>
      <c r="F4" s="200"/>
      <c r="G4" s="200"/>
    </row>
    <row r="5" customFormat="false" ht="27.75" hidden="false" customHeight="true" outlineLevel="0" collapsed="false">
      <c r="A5" s="201" t="s">
        <v>52</v>
      </c>
      <c r="B5" s="138" t="s">
        <v>53</v>
      </c>
      <c r="C5" s="137"/>
      <c r="D5" s="139" t="s">
        <v>94</v>
      </c>
      <c r="E5" s="139" t="s">
        <v>95</v>
      </c>
      <c r="F5" s="202" t="s">
        <v>129</v>
      </c>
      <c r="G5" s="203" t="s">
        <v>97</v>
      </c>
      <c r="N5" s="17"/>
    </row>
    <row r="6" customFormat="false" ht="21.75" hidden="false" customHeight="true" outlineLevel="0" collapsed="false">
      <c r="A6" s="204"/>
      <c r="B6" s="205"/>
      <c r="C6" s="140"/>
      <c r="D6" s="141" t="s">
        <v>130</v>
      </c>
      <c r="E6" s="141" t="s">
        <v>131</v>
      </c>
      <c r="F6" s="202"/>
      <c r="G6" s="203"/>
    </row>
    <row r="7" customFormat="false" ht="14.25" hidden="false" customHeight="false" outlineLevel="0" collapsed="false">
      <c r="A7" s="206" t="n">
        <v>1</v>
      </c>
      <c r="B7" s="143" t="s">
        <v>59</v>
      </c>
      <c r="C7" s="144"/>
      <c r="D7" s="77"/>
      <c r="E7" s="77"/>
      <c r="F7" s="207"/>
      <c r="G7" s="208"/>
      <c r="N7" s="17" t="s">
        <v>24</v>
      </c>
    </row>
    <row r="8" customFormat="false" ht="14.25" hidden="false" customHeight="false" outlineLevel="0" collapsed="false">
      <c r="A8" s="209"/>
      <c r="B8" s="77" t="s">
        <v>60</v>
      </c>
      <c r="C8" s="144" t="s">
        <v>61</v>
      </c>
      <c r="D8" s="82" t="n">
        <v>53446.3</v>
      </c>
      <c r="E8" s="82" t="n">
        <v>53446.3</v>
      </c>
      <c r="F8" s="210" t="n">
        <f aca="false">E8-D8</f>
        <v>0</v>
      </c>
      <c r="G8" s="211"/>
    </row>
    <row r="9" customFormat="false" ht="15" hidden="false" customHeight="false" outlineLevel="0" collapsed="false">
      <c r="A9" s="209"/>
      <c r="B9" s="77"/>
      <c r="C9" s="89" t="s">
        <v>101</v>
      </c>
      <c r="D9" s="147"/>
      <c r="E9" s="147"/>
      <c r="F9" s="212" t="n">
        <f aca="false">F8*284.35</f>
        <v>0</v>
      </c>
      <c r="G9" s="213"/>
    </row>
    <row r="10" customFormat="false" ht="15" hidden="false" customHeight="false" outlineLevel="0" collapsed="false">
      <c r="A10" s="209"/>
      <c r="B10" s="150" t="s">
        <v>102</v>
      </c>
      <c r="C10" s="151"/>
      <c r="D10" s="214"/>
      <c r="E10" s="214"/>
      <c r="F10" s="215" t="n">
        <f aca="false">F9*0.568</f>
        <v>0</v>
      </c>
      <c r="G10" s="216"/>
    </row>
    <row r="11" customFormat="false" ht="15" hidden="false" customHeight="false" outlineLevel="0" collapsed="false">
      <c r="A11" s="209"/>
      <c r="B11" s="150" t="s">
        <v>103</v>
      </c>
      <c r="C11" s="151"/>
      <c r="D11" s="214"/>
      <c r="E11" s="214"/>
      <c r="F11" s="215" t="n">
        <f aca="false">F9*0.075</f>
        <v>0</v>
      </c>
      <c r="G11" s="216"/>
    </row>
    <row r="12" customFormat="false" ht="15" hidden="false" customHeight="false" outlineLevel="0" collapsed="false">
      <c r="A12" s="209"/>
      <c r="B12" s="154" t="s">
        <v>104</v>
      </c>
      <c r="C12" s="155"/>
      <c r="D12" s="217"/>
      <c r="E12" s="217"/>
      <c r="F12" s="218" t="n">
        <f aca="false">F10+F11</f>
        <v>0</v>
      </c>
      <c r="G12" s="157" t="n">
        <v>250000</v>
      </c>
    </row>
    <row r="13" customFormat="false" ht="15" hidden="false" customHeight="false" outlineLevel="0" collapsed="false">
      <c r="A13" s="209"/>
      <c r="B13" s="154" t="s">
        <v>132</v>
      </c>
      <c r="C13" s="155"/>
      <c r="D13" s="217"/>
      <c r="E13" s="217"/>
      <c r="F13" s="218" t="n">
        <f aca="false">(3082.2*30)</f>
        <v>92466</v>
      </c>
      <c r="G13" s="157" t="n">
        <v>95548.2</v>
      </c>
    </row>
    <row r="14" customFormat="false" ht="15" hidden="false" customHeight="false" outlineLevel="0" collapsed="false">
      <c r="A14" s="209"/>
      <c r="B14" s="219"/>
      <c r="C14" s="89"/>
      <c r="D14" s="147"/>
      <c r="E14" s="147"/>
      <c r="F14" s="220" t="n">
        <f aca="false">(F12+F13)</f>
        <v>92466</v>
      </c>
      <c r="G14" s="161" t="n">
        <f aca="false">SUM(G12:G13)</f>
        <v>345548.2</v>
      </c>
    </row>
    <row r="15" customFormat="false" ht="14.25" hidden="false" customHeight="false" outlineLevel="0" collapsed="false">
      <c r="A15" s="206" t="s">
        <v>63</v>
      </c>
      <c r="B15" s="143" t="s">
        <v>64</v>
      </c>
      <c r="C15" s="144"/>
      <c r="D15" s="82"/>
      <c r="E15" s="82"/>
      <c r="F15" s="221"/>
      <c r="G15" s="222"/>
    </row>
    <row r="16" customFormat="false" ht="14.25" hidden="false" customHeight="false" outlineLevel="0" collapsed="false">
      <c r="A16" s="223"/>
      <c r="B16" s="90" t="s">
        <v>65</v>
      </c>
      <c r="C16" s="91" t="s">
        <v>66</v>
      </c>
      <c r="D16" s="82" t="n">
        <v>203437</v>
      </c>
      <c r="E16" s="82" t="n">
        <v>203437</v>
      </c>
      <c r="F16" s="210" t="n">
        <f aca="false">E16-D16</f>
        <v>0</v>
      </c>
      <c r="G16" s="211"/>
    </row>
    <row r="17" customFormat="false" ht="27" hidden="false" customHeight="false" outlineLevel="0" collapsed="false">
      <c r="A17" s="223"/>
      <c r="B17" s="90"/>
      <c r="C17" s="91" t="s">
        <v>133</v>
      </c>
      <c r="D17" s="82"/>
      <c r="E17" s="82"/>
      <c r="F17" s="224" t="n">
        <f aca="false">F16*219.969</f>
        <v>0</v>
      </c>
      <c r="G17" s="225"/>
    </row>
    <row r="18" customFormat="false" ht="14.25" hidden="false" customHeight="false" outlineLevel="0" collapsed="false">
      <c r="A18" s="223"/>
      <c r="B18" s="150" t="s">
        <v>109</v>
      </c>
      <c r="C18" s="226"/>
      <c r="D18" s="227"/>
      <c r="E18" s="227"/>
      <c r="F18" s="170" t="n">
        <v>350</v>
      </c>
      <c r="G18" s="228"/>
    </row>
    <row r="19" customFormat="false" ht="14.25" hidden="false" customHeight="false" outlineLevel="0" collapsed="false">
      <c r="A19" s="223"/>
      <c r="B19" s="150" t="s">
        <v>110</v>
      </c>
      <c r="C19" s="226"/>
      <c r="D19" s="227"/>
      <c r="E19" s="227"/>
      <c r="F19" s="170" t="n">
        <v>400</v>
      </c>
      <c r="G19" s="228"/>
    </row>
    <row r="20" customFormat="false" ht="14.25" hidden="false" customHeight="false" outlineLevel="0" collapsed="false">
      <c r="A20" s="223"/>
      <c r="B20" s="150" t="s">
        <v>111</v>
      </c>
      <c r="C20" s="226"/>
      <c r="D20" s="227"/>
      <c r="E20" s="227"/>
      <c r="F20" s="170" t="n">
        <f aca="false">SUM(F17-20000)*0.046</f>
        <v>-920</v>
      </c>
      <c r="G20" s="228"/>
    </row>
    <row r="21" customFormat="false" ht="14.25" hidden="false" customHeight="false" outlineLevel="0" collapsed="false">
      <c r="A21" s="223"/>
      <c r="B21" s="150" t="s">
        <v>112</v>
      </c>
      <c r="C21" s="226"/>
      <c r="D21" s="227"/>
      <c r="E21" s="227"/>
      <c r="F21" s="170" t="n">
        <f aca="false">F17*0.005</f>
        <v>0</v>
      </c>
      <c r="G21" s="228"/>
    </row>
    <row r="22" customFormat="false" ht="14.25" hidden="false" customHeight="false" outlineLevel="0" collapsed="false">
      <c r="A22" s="223"/>
      <c r="B22" s="150" t="s">
        <v>113</v>
      </c>
      <c r="C22" s="226"/>
      <c r="D22" s="227"/>
      <c r="E22" s="227"/>
      <c r="F22" s="170" t="n">
        <f aca="false">F17*0.01</f>
        <v>0</v>
      </c>
      <c r="G22" s="228"/>
    </row>
    <row r="23" customFormat="false" ht="14.25" hidden="false" customHeight="false" outlineLevel="0" collapsed="false">
      <c r="A23" s="223"/>
      <c r="B23" s="154" t="s">
        <v>104</v>
      </c>
      <c r="C23" s="171"/>
      <c r="D23" s="229"/>
      <c r="E23" s="229"/>
      <c r="F23" s="230" t="n">
        <f aca="false">SUM(F18:F22)</f>
        <v>-170</v>
      </c>
      <c r="G23" s="231" t="n">
        <v>59385</v>
      </c>
    </row>
    <row r="24" customFormat="false" ht="14.25" hidden="false" customHeight="false" outlineLevel="0" collapsed="false">
      <c r="A24" s="206" t="s">
        <v>69</v>
      </c>
      <c r="B24" s="143" t="s">
        <v>70</v>
      </c>
      <c r="C24" s="144"/>
      <c r="D24" s="82"/>
      <c r="E24" s="82"/>
      <c r="F24" s="232"/>
      <c r="G24" s="233"/>
      <c r="K24" s="234" t="n">
        <v>1</v>
      </c>
      <c r="L24" s="234" t="n">
        <v>2</v>
      </c>
      <c r="M24" s="234" t="n">
        <v>3</v>
      </c>
      <c r="N24" s="234" t="n">
        <v>4</v>
      </c>
      <c r="O24" s="234" t="n">
        <v>6</v>
      </c>
      <c r="P24" s="234" t="n">
        <v>7</v>
      </c>
    </row>
    <row r="25" customFormat="false" ht="14.25" hidden="false" customHeight="false" outlineLevel="0" collapsed="false">
      <c r="A25" s="209" t="n">
        <v>1</v>
      </c>
      <c r="B25" s="77" t="s">
        <v>134</v>
      </c>
      <c r="C25" s="144" t="s">
        <v>71</v>
      </c>
      <c r="D25" s="82" t="n">
        <v>6559.3</v>
      </c>
      <c r="E25" s="82" t="n">
        <v>6559.3</v>
      </c>
      <c r="F25" s="210" t="n">
        <f aca="false">(E25-D25)*480</f>
        <v>0</v>
      </c>
      <c r="G25" s="211"/>
      <c r="H25" s="65" t="n">
        <f aca="false">(F25*0.065)</f>
        <v>0</v>
      </c>
      <c r="K25" s="65" t="n">
        <f aca="false">H25</f>
        <v>0</v>
      </c>
      <c r="L25" s="65" t="n">
        <f aca="false">H26</f>
        <v>0</v>
      </c>
      <c r="M25" s="65" t="n">
        <f aca="false">H27</f>
        <v>0</v>
      </c>
      <c r="N25" s="65" t="n">
        <f aca="false">H28</f>
        <v>0</v>
      </c>
      <c r="O25" s="65" t="n">
        <f aca="false">H29</f>
        <v>0</v>
      </c>
      <c r="P25" s="65" t="n">
        <f aca="false">H30</f>
        <v>0</v>
      </c>
    </row>
    <row r="26" customFormat="false" ht="14.25" hidden="false" customHeight="false" outlineLevel="0" collapsed="false">
      <c r="A26" s="209" t="n">
        <v>2</v>
      </c>
      <c r="B26" s="77" t="s">
        <v>135</v>
      </c>
      <c r="C26" s="144" t="s">
        <v>71</v>
      </c>
      <c r="D26" s="82" t="n">
        <v>3966.1</v>
      </c>
      <c r="E26" s="82" t="n">
        <v>3966.1</v>
      </c>
      <c r="F26" s="210" t="n">
        <f aca="false">(E26-D26)*480</f>
        <v>0</v>
      </c>
      <c r="G26" s="211"/>
      <c r="H26" s="65" t="n">
        <f aca="false">(F26*0.065)</f>
        <v>0</v>
      </c>
      <c r="K26" s="65" t="n">
        <v>1660</v>
      </c>
      <c r="L26" s="65" t="n">
        <v>1660</v>
      </c>
      <c r="M26" s="65" t="n">
        <v>1660</v>
      </c>
      <c r="N26" s="65" t="n">
        <v>1660</v>
      </c>
      <c r="O26" s="65" t="n">
        <v>1660</v>
      </c>
      <c r="P26" s="65" t="n">
        <v>1660</v>
      </c>
    </row>
    <row r="27" customFormat="false" ht="14.25" hidden="false" customHeight="false" outlineLevel="0" collapsed="false">
      <c r="A27" s="209" t="n">
        <v>3</v>
      </c>
      <c r="B27" s="77" t="s">
        <v>136</v>
      </c>
      <c r="C27" s="144" t="s">
        <v>71</v>
      </c>
      <c r="D27" s="82" t="n">
        <v>4228.9</v>
      </c>
      <c r="E27" s="82" t="n">
        <v>4228.9</v>
      </c>
      <c r="F27" s="210" t="n">
        <f aca="false">(E27-D27)*480</f>
        <v>0</v>
      </c>
      <c r="G27" s="211"/>
      <c r="H27" s="65" t="n">
        <f aca="false">(F27*0.065)</f>
        <v>0</v>
      </c>
      <c r="K27" s="235" t="n">
        <f aca="false">SUM(F25-6000)*0.38</f>
        <v>-2280</v>
      </c>
      <c r="L27" s="235" t="n">
        <f aca="false">SUM(F26-6000)*0.38</f>
        <v>-2280</v>
      </c>
      <c r="M27" s="235" t="n">
        <f aca="false">SUM(F27-6000)*0.38</f>
        <v>-2280</v>
      </c>
      <c r="N27" s="235" t="n">
        <f aca="false">SUM(F28-6000)*0.38</f>
        <v>-2280</v>
      </c>
      <c r="O27" s="235" t="n">
        <f aca="false">SUM(F29-6000)*0.38</f>
        <v>-2280</v>
      </c>
      <c r="P27" s="235" t="n">
        <f aca="false">SUM(F30-6000)*0.38</f>
        <v>-2280</v>
      </c>
    </row>
    <row r="28" customFormat="false" ht="14.25" hidden="false" customHeight="false" outlineLevel="0" collapsed="false">
      <c r="A28" s="209" t="n">
        <v>4</v>
      </c>
      <c r="B28" s="77" t="s">
        <v>137</v>
      </c>
      <c r="C28" s="144" t="s">
        <v>71</v>
      </c>
      <c r="D28" s="82" t="n">
        <v>2358.9</v>
      </c>
      <c r="E28" s="82" t="n">
        <v>2358.9</v>
      </c>
      <c r="F28" s="210" t="n">
        <f aca="false">(E28-D28)*480</f>
        <v>0</v>
      </c>
      <c r="G28" s="211"/>
      <c r="H28" s="65" t="n">
        <f aca="false">(F28*0.065)</f>
        <v>0</v>
      </c>
      <c r="K28" s="236" t="n">
        <f aca="false">SUM(K25:K27)</f>
        <v>-620</v>
      </c>
      <c r="L28" s="236" t="n">
        <f aca="false">SUM(L25:L27)</f>
        <v>-620</v>
      </c>
      <c r="M28" s="236" t="n">
        <f aca="false">SUM(M25:M27)</f>
        <v>-620</v>
      </c>
      <c r="N28" s="236" t="n">
        <f aca="false">SUM(N25:N27)</f>
        <v>-620</v>
      </c>
      <c r="O28" s="236" t="n">
        <f aca="false">SUM(O25:O27)</f>
        <v>-620</v>
      </c>
      <c r="P28" s="236" t="n">
        <f aca="false">SUM(P25:P27)</f>
        <v>-620</v>
      </c>
    </row>
    <row r="29" customFormat="false" ht="14.25" hidden="false" customHeight="false" outlineLevel="0" collapsed="false">
      <c r="A29" s="209" t="n">
        <v>5</v>
      </c>
      <c r="B29" s="77" t="s">
        <v>138</v>
      </c>
      <c r="C29" s="144" t="s">
        <v>71</v>
      </c>
      <c r="D29" s="82" t="n">
        <v>5569.2</v>
      </c>
      <c r="E29" s="82" t="n">
        <v>5569.2</v>
      </c>
      <c r="F29" s="210" t="n">
        <f aca="false">(E29-D29)*480</f>
        <v>0</v>
      </c>
      <c r="G29" s="211"/>
      <c r="H29" s="65" t="n">
        <f aca="false">(F29*0.065)</f>
        <v>0</v>
      </c>
    </row>
    <row r="30" customFormat="false" ht="14.25" hidden="false" customHeight="false" outlineLevel="0" collapsed="false">
      <c r="A30" s="209" t="n">
        <v>6</v>
      </c>
      <c r="B30" s="77" t="s">
        <v>139</v>
      </c>
      <c r="C30" s="144" t="s">
        <v>71</v>
      </c>
      <c r="D30" s="82" t="n">
        <v>15010.6</v>
      </c>
      <c r="E30" s="82" t="n">
        <v>15010.6</v>
      </c>
      <c r="F30" s="210" t="n">
        <f aca="false">(E30-D30)*480</f>
        <v>0</v>
      </c>
      <c r="G30" s="211"/>
      <c r="H30" s="65" t="n">
        <f aca="false">(F30*0.065)</f>
        <v>0</v>
      </c>
    </row>
    <row r="31" customFormat="false" ht="14.25" hidden="false" customHeight="false" outlineLevel="0" collapsed="false">
      <c r="A31" s="209"/>
      <c r="B31" s="176" t="s">
        <v>114</v>
      </c>
      <c r="C31" s="144"/>
      <c r="D31" s="82"/>
      <c r="E31" s="82"/>
      <c r="F31" s="237" t="n">
        <f aca="false">SUM(F25:F30)</f>
        <v>0</v>
      </c>
      <c r="G31" s="238"/>
    </row>
    <row r="32" customFormat="false" ht="14.25" hidden="false" customHeight="false" outlineLevel="0" collapsed="false">
      <c r="A32" s="239"/>
      <c r="B32" s="150" t="s">
        <v>115</v>
      </c>
      <c r="C32" s="240"/>
      <c r="D32" s="241"/>
      <c r="E32" s="241"/>
      <c r="F32" s="215" t="n">
        <v>460</v>
      </c>
      <c r="G32" s="216"/>
    </row>
    <row r="33" customFormat="false" ht="14.25" hidden="false" customHeight="false" outlineLevel="0" collapsed="false">
      <c r="A33" s="239"/>
      <c r="B33" s="150" t="s">
        <v>116</v>
      </c>
      <c r="C33" s="240"/>
      <c r="D33" s="241"/>
      <c r="E33" s="241"/>
      <c r="F33" s="215" t="n">
        <v>560</v>
      </c>
      <c r="G33" s="216"/>
    </row>
    <row r="34" customFormat="false" ht="14.25" hidden="false" customHeight="false" outlineLevel="0" collapsed="false">
      <c r="A34" s="239"/>
      <c r="B34" s="150" t="s">
        <v>117</v>
      </c>
      <c r="C34" s="240"/>
      <c r="D34" s="241"/>
      <c r="E34" s="241"/>
      <c r="F34" s="215" t="n">
        <v>640</v>
      </c>
      <c r="G34" s="216"/>
    </row>
    <row r="35" customFormat="false" ht="14.25" hidden="false" customHeight="false" outlineLevel="0" collapsed="false">
      <c r="A35" s="239"/>
      <c r="B35" s="150" t="s">
        <v>118</v>
      </c>
      <c r="C35" s="240"/>
      <c r="D35" s="241"/>
      <c r="E35" s="241"/>
      <c r="F35" s="215" t="n">
        <f aca="false">SUM(F31-6000)*0.38</f>
        <v>-2280</v>
      </c>
      <c r="G35" s="216"/>
    </row>
    <row r="36" customFormat="false" ht="14.25" hidden="false" customHeight="false" outlineLevel="0" collapsed="false">
      <c r="A36" s="239"/>
      <c r="B36" s="150" t="s">
        <v>119</v>
      </c>
      <c r="C36" s="240"/>
      <c r="D36" s="241"/>
      <c r="E36" s="241"/>
      <c r="F36" s="215" t="n">
        <f aca="false">F31*0.065</f>
        <v>0</v>
      </c>
      <c r="G36" s="216"/>
    </row>
    <row r="37" customFormat="false" ht="14.25" hidden="false" customHeight="false" outlineLevel="0" collapsed="false">
      <c r="A37" s="239"/>
      <c r="B37" s="154" t="s">
        <v>104</v>
      </c>
      <c r="C37" s="180"/>
      <c r="D37" s="242"/>
      <c r="E37" s="242"/>
      <c r="F37" s="218" t="n">
        <f aca="false">SUM(F32:F36)</f>
        <v>-620</v>
      </c>
      <c r="G37" s="157" t="n">
        <v>281577</v>
      </c>
    </row>
    <row r="38" customFormat="false" ht="14.25" hidden="false" customHeight="false" outlineLevel="0" collapsed="false">
      <c r="A38" s="206" t="s">
        <v>73</v>
      </c>
      <c r="B38" s="143" t="s">
        <v>74</v>
      </c>
      <c r="C38" s="144"/>
      <c r="D38" s="103"/>
      <c r="E38" s="103"/>
      <c r="F38" s="232"/>
      <c r="G38" s="233"/>
    </row>
    <row r="39" customFormat="false" ht="14.25" hidden="false" customHeight="false" outlineLevel="0" collapsed="false">
      <c r="A39" s="209" t="n">
        <v>1</v>
      </c>
      <c r="B39" s="182" t="s">
        <v>75</v>
      </c>
      <c r="C39" s="185"/>
      <c r="D39" s="82"/>
      <c r="E39" s="82"/>
      <c r="F39" s="237"/>
      <c r="G39" s="238"/>
    </row>
    <row r="40" customFormat="false" ht="14.25" hidden="false" customHeight="false" outlineLevel="0" collapsed="false">
      <c r="A40" s="209"/>
      <c r="B40" s="182"/>
      <c r="C40" s="184" t="s">
        <v>120</v>
      </c>
      <c r="D40" s="82" t="n">
        <v>89987.4</v>
      </c>
      <c r="E40" s="82" t="n">
        <v>89987.4</v>
      </c>
      <c r="F40" s="212" t="n">
        <f aca="false">E40-D40</f>
        <v>0</v>
      </c>
      <c r="G40" s="238"/>
    </row>
    <row r="41" customFormat="false" ht="14.25" hidden="false" customHeight="false" outlineLevel="0" collapsed="false">
      <c r="A41" s="209"/>
      <c r="B41" s="182"/>
      <c r="C41" s="185" t="s">
        <v>121</v>
      </c>
      <c r="D41" s="82"/>
      <c r="E41" s="82"/>
      <c r="F41" s="177" t="n">
        <f aca="false">F40*3.7</f>
        <v>0</v>
      </c>
      <c r="G41" s="238"/>
    </row>
    <row r="42" customFormat="false" ht="14.25" hidden="false" customHeight="false" outlineLevel="0" collapsed="false">
      <c r="A42" s="243"/>
      <c r="B42" s="244" t="s">
        <v>122</v>
      </c>
      <c r="C42" s="245"/>
      <c r="D42" s="246"/>
      <c r="E42" s="246"/>
      <c r="F42" s="247" t="n">
        <f aca="false">F41*2.5</f>
        <v>0</v>
      </c>
      <c r="G42" s="248" t="n">
        <v>13040</v>
      </c>
    </row>
    <row r="43" customFormat="false" ht="11.25" hidden="false" customHeight="true" outlineLevel="0" collapsed="false">
      <c r="A43" s="187"/>
      <c r="B43" s="187"/>
      <c r="C43" s="188"/>
      <c r="D43" s="187"/>
      <c r="E43" s="187"/>
      <c r="F43" s="189"/>
      <c r="G43" s="189"/>
    </row>
    <row r="44" customFormat="false" ht="18.75" hidden="false" customHeight="true" outlineLevel="0" collapsed="false">
      <c r="A44" s="115"/>
      <c r="B44" s="249" t="s">
        <v>79</v>
      </c>
      <c r="C44" s="249"/>
      <c r="D44" s="249"/>
      <c r="E44" s="249"/>
      <c r="F44" s="127"/>
      <c r="G44" s="127"/>
    </row>
    <row r="45" customFormat="false" ht="18.75" hidden="false" customHeight="true" outlineLevel="0" collapsed="false">
      <c r="A45" s="115"/>
      <c r="B45" s="249" t="s">
        <v>80</v>
      </c>
      <c r="C45" s="249" t="s">
        <v>81</v>
      </c>
      <c r="D45" s="249" t="s">
        <v>82</v>
      </c>
      <c r="E45" s="249" t="s">
        <v>123</v>
      </c>
      <c r="F45" s="127"/>
      <c r="G45" s="127"/>
    </row>
    <row r="46" customFormat="false" ht="14.25" hidden="false" customHeight="false" outlineLevel="0" collapsed="false">
      <c r="A46" s="187"/>
      <c r="B46" s="119" t="s">
        <v>84</v>
      </c>
      <c r="C46" s="119" t="s">
        <v>62</v>
      </c>
      <c r="D46" s="120" t="n">
        <f aca="false">F9</f>
        <v>0</v>
      </c>
      <c r="E46" s="121" t="n">
        <f aca="false">F12</f>
        <v>0</v>
      </c>
      <c r="F46" s="191"/>
      <c r="G46" s="191"/>
    </row>
    <row r="47" customFormat="false" ht="14.25" hidden="false" customHeight="false" outlineLevel="0" collapsed="false">
      <c r="A47" s="187"/>
      <c r="B47" s="119" t="s">
        <v>85</v>
      </c>
      <c r="C47" s="119" t="s">
        <v>124</v>
      </c>
      <c r="D47" s="120" t="n">
        <f aca="false">F17</f>
        <v>0</v>
      </c>
      <c r="E47" s="121" t="n">
        <f aca="false">F23</f>
        <v>-170</v>
      </c>
      <c r="F47" s="191"/>
      <c r="G47" s="191"/>
    </row>
    <row r="48" customFormat="false" ht="14.25" hidden="false" customHeight="false" outlineLevel="0" collapsed="false">
      <c r="A48" s="187"/>
      <c r="B48" s="119" t="s">
        <v>87</v>
      </c>
      <c r="C48" s="119" t="s">
        <v>125</v>
      </c>
      <c r="D48" s="120" t="n">
        <f aca="false">F31</f>
        <v>0</v>
      </c>
      <c r="E48" s="121" t="n">
        <f aca="false">F37</f>
        <v>-620</v>
      </c>
      <c r="F48" s="191"/>
      <c r="G48" s="191"/>
    </row>
    <row r="49" customFormat="false" ht="14.25" hidden="false" customHeight="false" outlineLevel="0" collapsed="false">
      <c r="A49" s="187"/>
      <c r="B49" s="119" t="s">
        <v>89</v>
      </c>
      <c r="C49" s="184" t="s">
        <v>120</v>
      </c>
      <c r="D49" s="120" t="n">
        <f aca="false">F40</f>
        <v>0</v>
      </c>
      <c r="E49" s="121" t="n">
        <f aca="false">F42</f>
        <v>0</v>
      </c>
      <c r="F49" s="191"/>
      <c r="G49" s="191"/>
    </row>
    <row r="50" customFormat="false" ht="15" hidden="false" customHeight="false" outlineLevel="0" collapsed="false">
      <c r="A50" s="187"/>
      <c r="B50" s="112"/>
      <c r="C50" s="112"/>
      <c r="D50" s="192" t="s">
        <v>126</v>
      </c>
      <c r="E50" s="193" t="n">
        <f aca="false">SUM(E46:E49)</f>
        <v>-790</v>
      </c>
      <c r="F50" s="194"/>
      <c r="G50" s="194"/>
    </row>
  </sheetData>
  <mergeCells count="7">
    <mergeCell ref="A1:G2"/>
    <mergeCell ref="A3:G3"/>
    <mergeCell ref="A4:B4"/>
    <mergeCell ref="F4:G4"/>
    <mergeCell ref="F5:F6"/>
    <mergeCell ref="G5:G6"/>
    <mergeCell ref="B44:E44"/>
  </mergeCells>
  <hyperlinks>
    <hyperlink ref="N7" location="'1'!A1" display="1st"/>
  </hyperlinks>
  <printOptions headings="false" gridLines="false" gridLinesSet="true" horizontalCentered="true" verticalCentered="false"/>
  <pageMargins left="0.708333333333333" right="0.708333333333333" top="0.236805555555556" bottom="0.0395833333333333" header="0.315277777777778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0" topLeftCell="V1" activePane="topRight" state="frozen"/>
      <selection pane="topLeft" activeCell="A1" activeCellId="0" sqref="A1"/>
      <selection pane="topRight" activeCell="Y9" activeCellId="1" sqref="A28:K32 Y9"/>
    </sheetView>
  </sheetViews>
  <sheetFormatPr defaultColWidth="9.15625" defaultRowHeight="26.25" zeroHeight="false" outlineLevelRow="0" outlineLevelCol="0"/>
  <cols>
    <col collapsed="false" customWidth="true" hidden="false" outlineLevel="0" max="1" min="1" style="250" width="39.41"/>
    <col collapsed="false" customWidth="true" hidden="false" outlineLevel="0" max="32" min="2" style="251" width="16.69"/>
    <col collapsed="false" customWidth="false" hidden="false" outlineLevel="0" max="35" min="33" style="251" width="9.15"/>
    <col collapsed="false" customWidth="true" hidden="false" outlineLevel="0" max="36" min="36" style="251" width="24.68"/>
    <col collapsed="false" customWidth="false" hidden="false" outlineLevel="0" max="16384" min="37" style="251" width="9.15"/>
  </cols>
  <sheetData>
    <row r="1" customFormat="false" ht="26.25" hidden="false" customHeight="false" outlineLevel="0" collapsed="false">
      <c r="A1" s="252" t="s">
        <v>24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</row>
    <row r="2" customFormat="false" ht="26.25" hidden="false" customHeight="false" outlineLevel="0" collapsed="false">
      <c r="A2" s="254" t="s">
        <v>140</v>
      </c>
      <c r="B2" s="255" t="n">
        <v>1</v>
      </c>
      <c r="C2" s="255" t="n">
        <v>2</v>
      </c>
      <c r="D2" s="255" t="n">
        <v>3</v>
      </c>
      <c r="E2" s="255" t="n">
        <v>4</v>
      </c>
      <c r="F2" s="255" t="n">
        <v>5</v>
      </c>
      <c r="G2" s="255" t="n">
        <v>6</v>
      </c>
      <c r="H2" s="255" t="n">
        <v>7</v>
      </c>
      <c r="I2" s="255" t="n">
        <v>8</v>
      </c>
      <c r="J2" s="255" t="n">
        <v>9</v>
      </c>
      <c r="K2" s="255" t="n">
        <v>10</v>
      </c>
      <c r="L2" s="255" t="n">
        <v>11</v>
      </c>
      <c r="M2" s="255" t="n">
        <v>12</v>
      </c>
      <c r="N2" s="255" t="n">
        <v>13</v>
      </c>
      <c r="O2" s="255" t="n">
        <v>14</v>
      </c>
      <c r="P2" s="255" t="n">
        <v>15</v>
      </c>
      <c r="Q2" s="255" t="n">
        <v>16</v>
      </c>
      <c r="R2" s="255" t="n">
        <v>17</v>
      </c>
      <c r="S2" s="255" t="n">
        <v>18</v>
      </c>
      <c r="T2" s="255" t="n">
        <v>19</v>
      </c>
      <c r="U2" s="255" t="n">
        <v>20</v>
      </c>
      <c r="V2" s="255" t="n">
        <v>21</v>
      </c>
      <c r="W2" s="255" t="n">
        <v>22</v>
      </c>
      <c r="X2" s="255" t="n">
        <v>23</v>
      </c>
      <c r="Y2" s="255" t="n">
        <v>24</v>
      </c>
      <c r="Z2" s="255" t="n">
        <v>25</v>
      </c>
      <c r="AA2" s="255" t="n">
        <v>26</v>
      </c>
      <c r="AB2" s="255" t="n">
        <v>27</v>
      </c>
      <c r="AC2" s="255" t="n">
        <v>28</v>
      </c>
      <c r="AD2" s="255" t="n">
        <v>29</v>
      </c>
      <c r="AE2" s="255" t="n">
        <v>30</v>
      </c>
      <c r="AF2" s="255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</row>
    <row r="3" customFormat="false" ht="26.25" hidden="false" customHeight="false" outlineLevel="0" collapsed="false">
      <c r="A3" s="256" t="s">
        <v>141</v>
      </c>
      <c r="B3" s="257" t="n">
        <v>0.9147</v>
      </c>
      <c r="C3" s="257" t="n">
        <v>0.871</v>
      </c>
      <c r="D3" s="257" t="n">
        <v>0.9401</v>
      </c>
      <c r="E3" s="257" t="n">
        <v>0.6359</v>
      </c>
      <c r="F3" s="257" t="n">
        <v>0.6567</v>
      </c>
      <c r="G3" s="257" t="n">
        <v>0.6705</v>
      </c>
      <c r="H3" s="257" t="n">
        <v>0.5968</v>
      </c>
      <c r="I3" s="257" t="n">
        <v>0.6544</v>
      </c>
      <c r="J3" s="257" t="n">
        <v>0.7189</v>
      </c>
      <c r="K3" s="257" t="n">
        <v>0.765</v>
      </c>
      <c r="L3" s="257" t="n">
        <v>0.5507</v>
      </c>
      <c r="M3" s="257" t="n">
        <v>0.6567</v>
      </c>
      <c r="N3" s="257" t="n">
        <v>0.7719</v>
      </c>
      <c r="O3" s="257" t="n">
        <v>0.8502</v>
      </c>
      <c r="P3" s="257" t="n">
        <v>0.7903</v>
      </c>
      <c r="Q3" s="257" t="n">
        <v>0.6175</v>
      </c>
      <c r="R3" s="257" t="n">
        <v>0.5276</v>
      </c>
      <c r="S3" s="257" t="n">
        <v>0.4654</v>
      </c>
      <c r="T3" s="257" t="n">
        <v>0.447</v>
      </c>
      <c r="U3" s="257" t="n">
        <v>0.5161</v>
      </c>
      <c r="V3" s="257" t="n">
        <v>0.5991</v>
      </c>
      <c r="W3" s="257" t="n">
        <v>0.7465</v>
      </c>
      <c r="X3" s="257"/>
      <c r="Y3" s="257"/>
      <c r="Z3" s="257"/>
      <c r="AA3" s="257"/>
      <c r="AB3" s="257"/>
      <c r="AC3" s="257"/>
      <c r="AD3" s="257"/>
      <c r="AE3" s="257"/>
      <c r="AF3" s="257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</row>
    <row r="4" customFormat="false" ht="26.25" hidden="false" customHeight="false" outlineLevel="0" collapsed="false">
      <c r="A4" s="258"/>
      <c r="B4" s="258"/>
      <c r="C4" s="258"/>
      <c r="D4" s="258"/>
      <c r="E4" s="258"/>
      <c r="F4" s="258"/>
      <c r="G4" s="258"/>
      <c r="H4" s="258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3"/>
      <c r="AH4" s="253"/>
      <c r="AI4" s="253"/>
      <c r="AJ4" s="253"/>
      <c r="AK4" s="253"/>
      <c r="AL4" s="253"/>
      <c r="AM4" s="253"/>
      <c r="AN4" s="253"/>
      <c r="AO4" s="253"/>
      <c r="AP4" s="253"/>
      <c r="AQ4" s="253"/>
    </row>
    <row r="5" customFormat="false" ht="26.25" hidden="false" customHeight="false" outlineLevel="0" collapsed="false">
      <c r="A5" s="260" t="s">
        <v>27</v>
      </c>
      <c r="B5" s="255" t="s">
        <v>125</v>
      </c>
      <c r="C5" s="255" t="s">
        <v>125</v>
      </c>
      <c r="D5" s="255" t="s">
        <v>125</v>
      </c>
      <c r="E5" s="255" t="s">
        <v>125</v>
      </c>
      <c r="F5" s="255" t="s">
        <v>125</v>
      </c>
      <c r="G5" s="255" t="s">
        <v>125</v>
      </c>
      <c r="H5" s="255" t="s">
        <v>125</v>
      </c>
      <c r="I5" s="255" t="s">
        <v>125</v>
      </c>
      <c r="J5" s="255" t="s">
        <v>125</v>
      </c>
      <c r="K5" s="255" t="s">
        <v>125</v>
      </c>
      <c r="L5" s="255" t="s">
        <v>125</v>
      </c>
      <c r="M5" s="255" t="s">
        <v>125</v>
      </c>
      <c r="N5" s="255" t="s">
        <v>125</v>
      </c>
      <c r="O5" s="255" t="s">
        <v>125</v>
      </c>
      <c r="P5" s="255" t="s">
        <v>125</v>
      </c>
      <c r="Q5" s="255" t="s">
        <v>125</v>
      </c>
      <c r="R5" s="255" t="s">
        <v>125</v>
      </c>
      <c r="S5" s="255" t="s">
        <v>125</v>
      </c>
      <c r="T5" s="255" t="s">
        <v>125</v>
      </c>
      <c r="U5" s="255" t="s">
        <v>125</v>
      </c>
      <c r="V5" s="255" t="s">
        <v>125</v>
      </c>
      <c r="W5" s="255" t="s">
        <v>125</v>
      </c>
      <c r="X5" s="255" t="s">
        <v>125</v>
      </c>
      <c r="Y5" s="255" t="s">
        <v>125</v>
      </c>
      <c r="Z5" s="255" t="s">
        <v>125</v>
      </c>
      <c r="AA5" s="255" t="s">
        <v>125</v>
      </c>
      <c r="AB5" s="255" t="s">
        <v>125</v>
      </c>
      <c r="AC5" s="255" t="s">
        <v>125</v>
      </c>
      <c r="AD5" s="255" t="s">
        <v>125</v>
      </c>
      <c r="AE5" s="255" t="s">
        <v>125</v>
      </c>
      <c r="AF5" s="255" t="s">
        <v>125</v>
      </c>
      <c r="AG5" s="253"/>
      <c r="AH5" s="253"/>
      <c r="AI5" s="253"/>
      <c r="AJ5" s="253"/>
      <c r="AK5" s="253"/>
      <c r="AL5" s="253"/>
      <c r="AM5" s="253"/>
      <c r="AN5" s="253"/>
      <c r="AO5" s="253"/>
      <c r="AP5" s="253"/>
      <c r="AQ5" s="253"/>
    </row>
    <row r="6" customFormat="false" ht="26.25" hidden="false" customHeight="false" outlineLevel="0" collapsed="false">
      <c r="A6" s="261" t="s">
        <v>142</v>
      </c>
      <c r="B6" s="262" t="n">
        <v>3552</v>
      </c>
      <c r="C6" s="262" t="n">
        <v>3600</v>
      </c>
      <c r="D6" s="262" t="n">
        <v>3456</v>
      </c>
      <c r="E6" s="262" t="n">
        <v>3312</v>
      </c>
      <c r="F6" s="262" t="n">
        <v>3408</v>
      </c>
      <c r="G6" s="262" t="n">
        <v>3408</v>
      </c>
      <c r="H6" s="262" t="n">
        <v>3264</v>
      </c>
      <c r="I6" s="262" t="n">
        <v>3360</v>
      </c>
      <c r="J6" s="262" t="n">
        <v>3360</v>
      </c>
      <c r="K6" s="262" t="n">
        <v>3408</v>
      </c>
      <c r="L6" s="262" t="n">
        <v>3504</v>
      </c>
      <c r="M6" s="262" t="n">
        <v>3264</v>
      </c>
      <c r="N6" s="262" t="n">
        <v>3312</v>
      </c>
      <c r="O6" s="262" t="n">
        <v>3216</v>
      </c>
      <c r="P6" s="262" t="n">
        <v>3360</v>
      </c>
      <c r="Q6" s="262" t="n">
        <v>3360</v>
      </c>
      <c r="R6" s="262" t="n">
        <v>3360</v>
      </c>
      <c r="S6" s="262" t="n">
        <v>3168</v>
      </c>
      <c r="T6" s="262" t="n">
        <v>3360</v>
      </c>
      <c r="U6" s="262" t="n">
        <v>3120</v>
      </c>
      <c r="V6" s="262" t="n">
        <v>3168</v>
      </c>
      <c r="W6" s="262" t="n">
        <v>3168</v>
      </c>
      <c r="X6" s="262"/>
      <c r="Y6" s="262"/>
      <c r="Z6" s="262"/>
      <c r="AA6" s="262"/>
      <c r="AB6" s="262"/>
      <c r="AC6" s="262"/>
      <c r="AD6" s="262"/>
      <c r="AE6" s="262"/>
      <c r="AF6" s="262"/>
      <c r="AG6" s="263"/>
      <c r="AH6" s="253"/>
    </row>
    <row r="7" customFormat="false" ht="26.25" hidden="false" customHeight="false" outlineLevel="0" collapsed="false">
      <c r="A7" s="261" t="s">
        <v>143</v>
      </c>
      <c r="B7" s="262" t="n">
        <v>2208</v>
      </c>
      <c r="C7" s="262" t="n">
        <v>2256</v>
      </c>
      <c r="D7" s="262" t="n">
        <v>2208</v>
      </c>
      <c r="E7" s="262" t="n">
        <v>2160</v>
      </c>
      <c r="F7" s="262" t="n">
        <v>2160</v>
      </c>
      <c r="G7" s="262" t="n">
        <v>2256</v>
      </c>
      <c r="H7" s="262" t="n">
        <v>2160</v>
      </c>
      <c r="I7" s="262" t="n">
        <v>2160</v>
      </c>
      <c r="J7" s="262" t="n">
        <v>2160</v>
      </c>
      <c r="K7" s="262" t="n">
        <v>2160</v>
      </c>
      <c r="L7" s="262" t="n">
        <v>2112</v>
      </c>
      <c r="M7" s="262" t="n">
        <v>2160</v>
      </c>
      <c r="N7" s="262" t="n">
        <v>2208</v>
      </c>
      <c r="O7" s="262" t="n">
        <v>2112</v>
      </c>
      <c r="P7" s="262" t="n">
        <v>2160</v>
      </c>
      <c r="Q7" s="262" t="n">
        <v>2112</v>
      </c>
      <c r="R7" s="262" t="n">
        <v>2064</v>
      </c>
      <c r="S7" s="262" t="n">
        <v>1968</v>
      </c>
      <c r="T7" s="262" t="n">
        <v>2064</v>
      </c>
      <c r="U7" s="262" t="n">
        <v>2064</v>
      </c>
      <c r="V7" s="262" t="n">
        <v>2112</v>
      </c>
      <c r="W7" s="262" t="n">
        <v>1920</v>
      </c>
      <c r="X7" s="262"/>
      <c r="Y7" s="262"/>
      <c r="Z7" s="262"/>
      <c r="AA7" s="262"/>
      <c r="AB7" s="262"/>
      <c r="AC7" s="262"/>
      <c r="AD7" s="262"/>
      <c r="AE7" s="262"/>
      <c r="AF7" s="262"/>
      <c r="AG7" s="263"/>
      <c r="AH7" s="253"/>
    </row>
    <row r="8" customFormat="false" ht="26.25" hidden="false" customHeight="false" outlineLevel="0" collapsed="false">
      <c r="A8" s="261" t="s">
        <v>144</v>
      </c>
      <c r="B8" s="262" t="n">
        <v>2112</v>
      </c>
      <c r="C8" s="262" t="n">
        <v>2112</v>
      </c>
      <c r="D8" s="262" t="n">
        <v>2112</v>
      </c>
      <c r="E8" s="262" t="n">
        <v>2112</v>
      </c>
      <c r="F8" s="262" t="n">
        <v>2112</v>
      </c>
      <c r="G8" s="262" t="n">
        <v>2016</v>
      </c>
      <c r="H8" s="262" t="n">
        <v>2112</v>
      </c>
      <c r="I8" s="262" t="n">
        <v>2112</v>
      </c>
      <c r="J8" s="262" t="n">
        <v>2160</v>
      </c>
      <c r="K8" s="262" t="n">
        <v>2112</v>
      </c>
      <c r="L8" s="262" t="n">
        <v>2208</v>
      </c>
      <c r="M8" s="262" t="n">
        <v>2112</v>
      </c>
      <c r="N8" s="262" t="n">
        <v>2064</v>
      </c>
      <c r="O8" s="262" t="n">
        <v>2064</v>
      </c>
      <c r="P8" s="262" t="n">
        <v>2256</v>
      </c>
      <c r="Q8" s="262" t="n">
        <v>2256</v>
      </c>
      <c r="R8" s="262" t="n">
        <v>2160</v>
      </c>
      <c r="S8" s="262" t="n">
        <v>2208</v>
      </c>
      <c r="T8" s="262" t="n">
        <v>2256</v>
      </c>
      <c r="U8" s="262" t="n">
        <v>2064</v>
      </c>
      <c r="V8" s="262" t="n">
        <v>2064</v>
      </c>
      <c r="W8" s="262" t="n">
        <v>2160</v>
      </c>
      <c r="X8" s="262"/>
      <c r="Y8" s="262"/>
      <c r="Z8" s="262"/>
      <c r="AA8" s="262"/>
      <c r="AB8" s="262"/>
      <c r="AC8" s="262"/>
      <c r="AD8" s="262"/>
      <c r="AE8" s="262"/>
      <c r="AF8" s="262"/>
      <c r="AG8" s="263"/>
      <c r="AH8" s="253"/>
    </row>
    <row r="9" customFormat="false" ht="26.25" hidden="false" customHeight="false" outlineLevel="0" collapsed="false">
      <c r="A9" s="261" t="s">
        <v>145</v>
      </c>
      <c r="B9" s="262" t="n">
        <v>1632</v>
      </c>
      <c r="C9" s="262" t="n">
        <v>1440</v>
      </c>
      <c r="D9" s="262" t="n">
        <v>1680</v>
      </c>
      <c r="E9" s="262" t="n">
        <v>1488</v>
      </c>
      <c r="F9" s="262" t="n">
        <v>1296</v>
      </c>
      <c r="G9" s="262" t="n">
        <v>1363.2</v>
      </c>
      <c r="H9" s="262" t="n">
        <v>1324.8</v>
      </c>
      <c r="I9" s="262" t="n">
        <v>1536</v>
      </c>
      <c r="J9" s="262" t="n">
        <v>1440</v>
      </c>
      <c r="K9" s="262" t="n">
        <v>1440</v>
      </c>
      <c r="L9" s="262" t="n">
        <v>1392</v>
      </c>
      <c r="M9" s="262" t="n">
        <v>1344</v>
      </c>
      <c r="N9" s="262" t="n">
        <v>1344</v>
      </c>
      <c r="O9" s="262" t="n">
        <v>1200</v>
      </c>
      <c r="P9" s="262" t="n">
        <v>1536</v>
      </c>
      <c r="Q9" s="262" t="n">
        <v>1344</v>
      </c>
      <c r="R9" s="262" t="n">
        <v>1536</v>
      </c>
      <c r="S9" s="262" t="n">
        <v>1248</v>
      </c>
      <c r="T9" s="262" t="n">
        <v>1344</v>
      </c>
      <c r="U9" s="262" t="n">
        <v>1296</v>
      </c>
      <c r="V9" s="262" t="n">
        <v>1296</v>
      </c>
      <c r="W9" s="262" t="n">
        <v>1296</v>
      </c>
      <c r="X9" s="262"/>
      <c r="Y9" s="262"/>
      <c r="Z9" s="262"/>
      <c r="AA9" s="262"/>
      <c r="AB9" s="262"/>
      <c r="AC9" s="262"/>
      <c r="AD9" s="262"/>
      <c r="AE9" s="262"/>
      <c r="AF9" s="262"/>
      <c r="AG9" s="263"/>
      <c r="AH9" s="253"/>
    </row>
    <row r="10" customFormat="false" ht="26.25" hidden="false" customHeight="false" outlineLevel="0" collapsed="false">
      <c r="A10" s="261" t="s">
        <v>146</v>
      </c>
      <c r="B10" s="262" t="n">
        <v>2208</v>
      </c>
      <c r="C10" s="262" t="n">
        <v>2256</v>
      </c>
      <c r="D10" s="262" t="n">
        <v>2256</v>
      </c>
      <c r="E10" s="262" t="n">
        <v>2208</v>
      </c>
      <c r="F10" s="262" t="n">
        <v>2160</v>
      </c>
      <c r="G10" s="262" t="n">
        <v>2160</v>
      </c>
      <c r="H10" s="262" t="n">
        <v>2160</v>
      </c>
      <c r="I10" s="262" t="n">
        <v>2160</v>
      </c>
      <c r="J10" s="262" t="n">
        <v>2208</v>
      </c>
      <c r="K10" s="262" t="n">
        <v>2208</v>
      </c>
      <c r="L10" s="262" t="n">
        <v>2208</v>
      </c>
      <c r="M10" s="262" t="n">
        <v>2160</v>
      </c>
      <c r="N10" s="262" t="n">
        <v>2112</v>
      </c>
      <c r="O10" s="262" t="n">
        <v>2160</v>
      </c>
      <c r="P10" s="262" t="n">
        <v>2160</v>
      </c>
      <c r="Q10" s="262" t="n">
        <v>2160</v>
      </c>
      <c r="R10" s="262" t="n">
        <v>2160</v>
      </c>
      <c r="S10" s="262" t="n">
        <v>2160</v>
      </c>
      <c r="T10" s="262" t="n">
        <v>2160</v>
      </c>
      <c r="U10" s="262" t="n">
        <v>2064</v>
      </c>
      <c r="V10" s="262" t="n">
        <v>2160</v>
      </c>
      <c r="W10" s="262" t="n">
        <v>2160</v>
      </c>
      <c r="X10" s="262"/>
      <c r="Y10" s="262"/>
      <c r="Z10" s="262"/>
      <c r="AA10" s="262"/>
      <c r="AB10" s="262"/>
      <c r="AC10" s="262"/>
      <c r="AD10" s="262"/>
      <c r="AE10" s="262"/>
      <c r="AF10" s="262"/>
      <c r="AG10" s="263"/>
      <c r="AH10" s="253"/>
    </row>
    <row r="11" customFormat="false" ht="26.25" hidden="false" customHeight="false" outlineLevel="0" collapsed="false">
      <c r="A11" s="261" t="s">
        <v>147</v>
      </c>
      <c r="B11" s="262" t="n">
        <v>5280</v>
      </c>
      <c r="C11" s="262" t="n">
        <v>5568</v>
      </c>
      <c r="D11" s="262" t="n">
        <v>5616</v>
      </c>
      <c r="E11" s="262" t="n">
        <v>5712</v>
      </c>
      <c r="F11" s="262" t="n">
        <v>5472</v>
      </c>
      <c r="G11" s="262" t="n">
        <v>5712</v>
      </c>
      <c r="H11" s="262" t="n">
        <v>5616</v>
      </c>
      <c r="I11" s="262" t="n">
        <v>5424</v>
      </c>
      <c r="J11" s="262" t="n">
        <v>5184</v>
      </c>
      <c r="K11" s="262" t="n">
        <v>5376</v>
      </c>
      <c r="L11" s="262" t="n">
        <v>5280</v>
      </c>
      <c r="M11" s="262" t="n">
        <v>5520</v>
      </c>
      <c r="N11" s="262" t="n">
        <v>5424</v>
      </c>
      <c r="O11" s="262" t="n">
        <v>5136</v>
      </c>
      <c r="P11" s="262" t="n">
        <v>5376</v>
      </c>
      <c r="Q11" s="262" t="n">
        <v>5568</v>
      </c>
      <c r="R11" s="262" t="n">
        <v>5712</v>
      </c>
      <c r="S11" s="262" t="n">
        <v>5424</v>
      </c>
      <c r="T11" s="262" t="n">
        <v>5376</v>
      </c>
      <c r="U11" s="262" t="n">
        <v>5280</v>
      </c>
      <c r="V11" s="262" t="n">
        <v>5280</v>
      </c>
      <c r="W11" s="262" t="n">
        <v>5280</v>
      </c>
      <c r="X11" s="262"/>
      <c r="Y11" s="262"/>
      <c r="Z11" s="262"/>
      <c r="AA11" s="262"/>
      <c r="AB11" s="262"/>
      <c r="AC11" s="262"/>
      <c r="AD11" s="262"/>
      <c r="AE11" s="262"/>
      <c r="AF11" s="262"/>
      <c r="AG11" s="263"/>
      <c r="AH11" s="253"/>
    </row>
    <row r="12" s="266" customFormat="true" ht="26.25" hidden="false" customHeight="false" outlineLevel="0" collapsed="false">
      <c r="A12" s="264" t="s">
        <v>148</v>
      </c>
      <c r="B12" s="265" t="n">
        <f aca="false">SUM(B6:B11)</f>
        <v>16992</v>
      </c>
      <c r="C12" s="265" t="n">
        <f aca="false">SUM(C6:C11)</f>
        <v>17232</v>
      </c>
      <c r="D12" s="265" t="n">
        <f aca="false">SUM(D6:D11)</f>
        <v>17328</v>
      </c>
      <c r="E12" s="265" t="n">
        <f aca="false">SUM(E6:E11)</f>
        <v>16992</v>
      </c>
      <c r="F12" s="265" t="n">
        <f aca="false">SUM(F6:F11)</f>
        <v>16608</v>
      </c>
      <c r="G12" s="265" t="n">
        <f aca="false">SUM(G6:G11)</f>
        <v>16915.2</v>
      </c>
      <c r="H12" s="265" t="n">
        <f aca="false">SUM(H6:H11)</f>
        <v>16636.8</v>
      </c>
      <c r="I12" s="265" t="n">
        <f aca="false">SUM(I6:I11)</f>
        <v>16752</v>
      </c>
      <c r="J12" s="265" t="n">
        <f aca="false">SUM(J6:J11)</f>
        <v>16512</v>
      </c>
      <c r="K12" s="265" t="n">
        <f aca="false">SUM(K6:K11)</f>
        <v>16704</v>
      </c>
      <c r="L12" s="265" t="n">
        <f aca="false">SUM(L6:L11)</f>
        <v>16704</v>
      </c>
      <c r="M12" s="265" t="n">
        <f aca="false">SUM(M6:M11)</f>
        <v>16560</v>
      </c>
      <c r="N12" s="265" t="n">
        <f aca="false">SUM(N6:N11)</f>
        <v>16464</v>
      </c>
      <c r="O12" s="265" t="n">
        <f aca="false">SUM(O6:O11)</f>
        <v>15888</v>
      </c>
      <c r="P12" s="265" t="n">
        <f aca="false">SUM(P6:P11)</f>
        <v>16848</v>
      </c>
      <c r="Q12" s="265" t="n">
        <f aca="false">SUM(Q6:Q11)</f>
        <v>16800</v>
      </c>
      <c r="R12" s="265" t="n">
        <f aca="false">SUM(R6:R11)</f>
        <v>16992</v>
      </c>
      <c r="S12" s="265" t="n">
        <f aca="false">SUM(S6:S11)</f>
        <v>16176</v>
      </c>
      <c r="T12" s="265" t="n">
        <f aca="false">SUM(T6:T11)</f>
        <v>16560</v>
      </c>
      <c r="U12" s="265" t="n">
        <f aca="false">SUM(U6:U11)</f>
        <v>15888</v>
      </c>
      <c r="V12" s="265" t="n">
        <f aca="false">SUM(V6:V11)</f>
        <v>16080</v>
      </c>
      <c r="W12" s="265" t="n">
        <f aca="false">SUM(W6:W11)</f>
        <v>15984</v>
      </c>
      <c r="X12" s="265" t="n">
        <f aca="false">SUM(X6:X11)</f>
        <v>0</v>
      </c>
      <c r="Y12" s="265" t="n">
        <f aca="false">SUM(Y6:Y11)</f>
        <v>0</v>
      </c>
      <c r="Z12" s="265" t="n">
        <f aca="false">SUM(Z6:Z11)</f>
        <v>0</v>
      </c>
      <c r="AA12" s="265" t="n">
        <f aca="false">SUM(AA6:AA11)</f>
        <v>0</v>
      </c>
      <c r="AB12" s="265" t="n">
        <f aca="false">SUM(AB6:AB11)</f>
        <v>0</v>
      </c>
      <c r="AC12" s="265" t="n">
        <f aca="false">SUM(AC6:AC11)</f>
        <v>0</v>
      </c>
      <c r="AD12" s="265" t="n">
        <f aca="false">SUM(AD6:AD11)</f>
        <v>0</v>
      </c>
      <c r="AE12" s="265" t="n">
        <f aca="false">SUM(AE6:AE11)</f>
        <v>0</v>
      </c>
      <c r="AF12" s="265" t="n">
        <f aca="false">SUM(AF6:AF11)</f>
        <v>0</v>
      </c>
    </row>
    <row r="13" customFormat="false" ht="26.25" hidden="false" customHeight="false" outlineLevel="0" collapsed="false">
      <c r="A13" s="260" t="s">
        <v>26</v>
      </c>
      <c r="B13" s="255" t="s">
        <v>68</v>
      </c>
      <c r="C13" s="255" t="s">
        <v>68</v>
      </c>
      <c r="D13" s="255" t="s">
        <v>68</v>
      </c>
      <c r="E13" s="255" t="s">
        <v>68</v>
      </c>
      <c r="F13" s="255" t="s">
        <v>68</v>
      </c>
      <c r="G13" s="255" t="s">
        <v>68</v>
      </c>
      <c r="H13" s="255" t="s">
        <v>68</v>
      </c>
      <c r="I13" s="255" t="s">
        <v>68</v>
      </c>
      <c r="J13" s="255" t="s">
        <v>68</v>
      </c>
      <c r="K13" s="255" t="s">
        <v>68</v>
      </c>
      <c r="L13" s="255" t="s">
        <v>68</v>
      </c>
      <c r="M13" s="255" t="s">
        <v>68</v>
      </c>
      <c r="N13" s="255" t="s">
        <v>68</v>
      </c>
      <c r="O13" s="255" t="s">
        <v>68</v>
      </c>
      <c r="P13" s="255" t="s">
        <v>68</v>
      </c>
      <c r="Q13" s="255" t="s">
        <v>68</v>
      </c>
      <c r="R13" s="255" t="s">
        <v>68</v>
      </c>
      <c r="S13" s="255" t="s">
        <v>68</v>
      </c>
      <c r="T13" s="255" t="s">
        <v>68</v>
      </c>
      <c r="U13" s="255" t="s">
        <v>68</v>
      </c>
      <c r="V13" s="255" t="s">
        <v>68</v>
      </c>
      <c r="W13" s="255" t="s">
        <v>68</v>
      </c>
      <c r="X13" s="255" t="s">
        <v>68</v>
      </c>
      <c r="Y13" s="255" t="s">
        <v>68</v>
      </c>
      <c r="Z13" s="255" t="s">
        <v>68</v>
      </c>
      <c r="AA13" s="255" t="s">
        <v>68</v>
      </c>
      <c r="AB13" s="255" t="s">
        <v>68</v>
      </c>
      <c r="AC13" s="255" t="s">
        <v>68</v>
      </c>
      <c r="AD13" s="255" t="s">
        <v>68</v>
      </c>
      <c r="AE13" s="255" t="s">
        <v>68</v>
      </c>
      <c r="AF13" s="255" t="s">
        <v>68</v>
      </c>
    </row>
    <row r="14" customFormat="false" ht="26.25" hidden="false" customHeight="false" outlineLevel="0" collapsed="false">
      <c r="A14" s="261" t="s">
        <v>149</v>
      </c>
      <c r="B14" s="267" t="n">
        <v>25736.37</v>
      </c>
      <c r="C14" s="267" t="n">
        <v>60271.51</v>
      </c>
      <c r="D14" s="267" t="n">
        <v>62471.2</v>
      </c>
      <c r="E14" s="267" t="n">
        <v>49493.03</v>
      </c>
      <c r="F14" s="267" t="n">
        <v>42673.99</v>
      </c>
      <c r="G14" s="267" t="n">
        <v>36954.79</v>
      </c>
      <c r="H14" s="267" t="n">
        <v>67750.45</v>
      </c>
      <c r="I14" s="267" t="n">
        <v>37614.7</v>
      </c>
      <c r="J14" s="267" t="n">
        <v>59391.63</v>
      </c>
      <c r="K14" s="267" t="n">
        <v>41134.2</v>
      </c>
      <c r="L14" s="267" t="n">
        <v>39374.45</v>
      </c>
      <c r="M14" s="267" t="n">
        <v>38494.58</v>
      </c>
      <c r="N14" s="267" t="n">
        <v>37394.73</v>
      </c>
      <c r="O14" s="267" t="n">
        <v>41134.2</v>
      </c>
      <c r="P14" s="267" t="n">
        <v>35195.04</v>
      </c>
      <c r="Q14" s="267" t="n">
        <v>38934.51</v>
      </c>
      <c r="R14" s="267" t="n">
        <v>40474.3</v>
      </c>
      <c r="S14" s="267" t="n">
        <v>41574.14</v>
      </c>
      <c r="T14" s="267" t="n">
        <v>40914.23</v>
      </c>
      <c r="U14" s="267" t="n">
        <v>33215.32</v>
      </c>
      <c r="V14" s="267" t="n">
        <v>36074.92</v>
      </c>
      <c r="W14" s="267" t="n">
        <v>36954.79</v>
      </c>
      <c r="X14" s="267"/>
      <c r="Y14" s="267"/>
      <c r="Z14" s="267"/>
      <c r="AA14" s="267"/>
      <c r="AB14" s="267"/>
      <c r="AC14" s="267"/>
      <c r="AD14" s="267"/>
      <c r="AE14" s="267"/>
      <c r="AF14" s="267"/>
    </row>
    <row r="15" customFormat="false" ht="26.25" hidden="false" customHeight="false" outlineLevel="0" collapsed="false">
      <c r="A15" s="258"/>
      <c r="B15" s="258"/>
      <c r="C15" s="258"/>
      <c r="D15" s="258"/>
      <c r="E15" s="258"/>
      <c r="F15" s="258"/>
      <c r="G15" s="258"/>
      <c r="H15" s="258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68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3"/>
      <c r="AH15" s="253"/>
      <c r="AI15" s="253"/>
      <c r="AJ15" s="253"/>
      <c r="AK15" s="253"/>
      <c r="AL15" s="253"/>
      <c r="AM15" s="253"/>
      <c r="AN15" s="253"/>
      <c r="AO15" s="253"/>
      <c r="AP15" s="253"/>
      <c r="AQ15" s="253"/>
    </row>
    <row r="16" customFormat="false" ht="26.25" hidden="false" customHeight="false" outlineLevel="0" collapsed="false">
      <c r="A16" s="260" t="s">
        <v>150</v>
      </c>
      <c r="B16" s="255" t="s">
        <v>151</v>
      </c>
      <c r="C16" s="255" t="s">
        <v>151</v>
      </c>
      <c r="D16" s="255" t="s">
        <v>151</v>
      </c>
      <c r="E16" s="255" t="s">
        <v>151</v>
      </c>
      <c r="F16" s="255" t="s">
        <v>151</v>
      </c>
      <c r="G16" s="255" t="s">
        <v>151</v>
      </c>
      <c r="H16" s="255" t="s">
        <v>151</v>
      </c>
      <c r="I16" s="255" t="s">
        <v>151</v>
      </c>
      <c r="J16" s="255" t="s">
        <v>151</v>
      </c>
      <c r="K16" s="255" t="s">
        <v>151</v>
      </c>
      <c r="L16" s="255" t="s">
        <v>151</v>
      </c>
      <c r="M16" s="255" t="s">
        <v>151</v>
      </c>
      <c r="N16" s="255" t="s">
        <v>151</v>
      </c>
      <c r="O16" s="255" t="s">
        <v>151</v>
      </c>
      <c r="P16" s="255" t="s">
        <v>151</v>
      </c>
      <c r="Q16" s="255" t="s">
        <v>151</v>
      </c>
      <c r="R16" s="255" t="s">
        <v>151</v>
      </c>
      <c r="S16" s="255" t="s">
        <v>151</v>
      </c>
      <c r="T16" s="255" t="s">
        <v>151</v>
      </c>
      <c r="U16" s="255" t="s">
        <v>151</v>
      </c>
      <c r="V16" s="255" t="s">
        <v>151</v>
      </c>
      <c r="W16" s="255" t="s">
        <v>151</v>
      </c>
      <c r="X16" s="255" t="s">
        <v>151</v>
      </c>
      <c r="Y16" s="255" t="s">
        <v>151</v>
      </c>
      <c r="Z16" s="255" t="s">
        <v>151</v>
      </c>
      <c r="AA16" s="255" t="s">
        <v>151</v>
      </c>
      <c r="AB16" s="255" t="s">
        <v>151</v>
      </c>
      <c r="AC16" s="255" t="s">
        <v>151</v>
      </c>
      <c r="AD16" s="255" t="s">
        <v>151</v>
      </c>
      <c r="AE16" s="255" t="s">
        <v>151</v>
      </c>
      <c r="AF16" s="255" t="s">
        <v>151</v>
      </c>
    </row>
    <row r="17" customFormat="false" ht="52.5" hidden="false" customHeight="false" outlineLevel="0" collapsed="false">
      <c r="A17" s="261" t="s">
        <v>152</v>
      </c>
      <c r="B17" s="269" t="n">
        <v>9212.62</v>
      </c>
      <c r="C17" s="269" t="n">
        <v>9468.52</v>
      </c>
      <c r="D17" s="269" t="n">
        <v>9553.82</v>
      </c>
      <c r="E17" s="269" t="n">
        <v>10236.24</v>
      </c>
      <c r="F17" s="269" t="n">
        <v>9269.48</v>
      </c>
      <c r="G17" s="269" t="n">
        <v>8501.77</v>
      </c>
      <c r="H17" s="269" t="n">
        <v>8388.03</v>
      </c>
      <c r="I17" s="269" t="n">
        <v>8274.29</v>
      </c>
      <c r="J17" s="269" t="n">
        <v>7904.65</v>
      </c>
      <c r="K17" s="269" t="n">
        <v>8188.99</v>
      </c>
      <c r="L17" s="269" t="n">
        <v>7535.01</v>
      </c>
      <c r="M17" s="269" t="n">
        <v>6824.16</v>
      </c>
      <c r="N17" s="269" t="n">
        <v>6454.52</v>
      </c>
      <c r="O17" s="269" t="n">
        <v>6198.61</v>
      </c>
      <c r="P17" s="269" t="n">
        <v>6681.99</v>
      </c>
      <c r="Q17" s="269" t="n">
        <v>6824.16</v>
      </c>
      <c r="R17" s="269" t="n">
        <v>6511.39</v>
      </c>
      <c r="S17" s="269" t="n">
        <v>6141.74</v>
      </c>
      <c r="T17" s="269" t="n">
        <v>5914.27</v>
      </c>
      <c r="U17" s="269" t="n">
        <v>5601.5</v>
      </c>
      <c r="V17" s="269" t="n">
        <v>5800.54</v>
      </c>
      <c r="W17" s="269" t="n">
        <v>5942.71</v>
      </c>
      <c r="X17" s="269"/>
      <c r="Y17" s="269"/>
      <c r="Z17" s="269"/>
      <c r="AA17" s="269"/>
      <c r="AB17" s="269"/>
      <c r="AC17" s="269"/>
      <c r="AD17" s="269"/>
      <c r="AE17" s="269"/>
      <c r="AF17" s="269"/>
    </row>
    <row r="18" customFormat="false" ht="26.25" hidden="false" customHeight="false" outlineLevel="0" collapsed="false">
      <c r="A18" s="258"/>
      <c r="B18" s="258"/>
      <c r="C18" s="258"/>
      <c r="D18" s="258"/>
      <c r="E18" s="258"/>
      <c r="F18" s="258"/>
      <c r="G18" s="258"/>
      <c r="H18" s="258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</row>
    <row r="19" customFormat="false" ht="26.25" hidden="false" customHeight="false" outlineLevel="0" collapsed="false">
      <c r="A19" s="260" t="s">
        <v>153</v>
      </c>
      <c r="B19" s="255" t="s">
        <v>154</v>
      </c>
      <c r="C19" s="255" t="s">
        <v>154</v>
      </c>
      <c r="D19" s="255" t="s">
        <v>154</v>
      </c>
      <c r="E19" s="255" t="s">
        <v>154</v>
      </c>
      <c r="F19" s="255" t="s">
        <v>154</v>
      </c>
      <c r="G19" s="255" t="s">
        <v>154</v>
      </c>
      <c r="H19" s="255" t="s">
        <v>154</v>
      </c>
      <c r="I19" s="255" t="s">
        <v>154</v>
      </c>
      <c r="J19" s="255" t="s">
        <v>154</v>
      </c>
      <c r="K19" s="255" t="s">
        <v>154</v>
      </c>
      <c r="L19" s="255" t="s">
        <v>154</v>
      </c>
      <c r="M19" s="255" t="s">
        <v>154</v>
      </c>
      <c r="N19" s="255" t="s">
        <v>154</v>
      </c>
      <c r="O19" s="255" t="s">
        <v>154</v>
      </c>
      <c r="P19" s="255" t="s">
        <v>154</v>
      </c>
      <c r="Q19" s="255" t="s">
        <v>154</v>
      </c>
      <c r="R19" s="255" t="s">
        <v>154</v>
      </c>
      <c r="S19" s="255" t="s">
        <v>154</v>
      </c>
      <c r="T19" s="255" t="s">
        <v>154</v>
      </c>
      <c r="U19" s="255" t="s">
        <v>154</v>
      </c>
      <c r="V19" s="255" t="s">
        <v>154</v>
      </c>
      <c r="W19" s="255" t="s">
        <v>154</v>
      </c>
      <c r="X19" s="255" t="s">
        <v>154</v>
      </c>
      <c r="Y19" s="255" t="s">
        <v>154</v>
      </c>
      <c r="Z19" s="255" t="s">
        <v>154</v>
      </c>
      <c r="AA19" s="255" t="s">
        <v>154</v>
      </c>
      <c r="AB19" s="255" t="s">
        <v>154</v>
      </c>
      <c r="AC19" s="255" t="s">
        <v>154</v>
      </c>
      <c r="AD19" s="255" t="s">
        <v>154</v>
      </c>
      <c r="AE19" s="255" t="s">
        <v>154</v>
      </c>
      <c r="AF19" s="255" t="s">
        <v>154</v>
      </c>
    </row>
    <row r="20" customFormat="false" ht="52.5" hidden="false" customHeight="false" outlineLevel="0" collapsed="false">
      <c r="A20" s="261" t="s">
        <v>155</v>
      </c>
      <c r="B20" s="269" t="n">
        <v>503.94</v>
      </c>
      <c r="C20" s="269" t="n">
        <v>560.18</v>
      </c>
      <c r="D20" s="269" t="n">
        <v>508.38</v>
      </c>
      <c r="E20" s="269" t="n">
        <v>530.58</v>
      </c>
      <c r="F20" s="269" t="n">
        <v>499.87</v>
      </c>
      <c r="G20" s="269" t="n">
        <v>458.43</v>
      </c>
      <c r="H20" s="269" t="n">
        <v>464.72</v>
      </c>
      <c r="I20" s="269" t="n">
        <v>508.75</v>
      </c>
      <c r="J20" s="269" t="n">
        <v>497.65</v>
      </c>
      <c r="K20" s="269" t="n">
        <v>482.11</v>
      </c>
      <c r="L20" s="269" t="n">
        <v>478.04</v>
      </c>
      <c r="M20" s="269" t="n">
        <v>450.29</v>
      </c>
      <c r="N20" s="269" t="n">
        <v>479.89</v>
      </c>
      <c r="O20" s="269" t="n">
        <v>488.4</v>
      </c>
      <c r="P20" s="269" t="n">
        <v>530.21</v>
      </c>
      <c r="Q20" s="269" t="n">
        <v>562.4</v>
      </c>
      <c r="R20" s="269" t="n">
        <v>488.77</v>
      </c>
      <c r="S20" s="269" t="n">
        <v>481.37</v>
      </c>
      <c r="T20" s="269" t="n">
        <v>438.45</v>
      </c>
      <c r="U20" s="269" t="n">
        <v>433.27</v>
      </c>
      <c r="V20" s="269" t="n">
        <v>444</v>
      </c>
      <c r="W20" s="269" t="n">
        <v>481.37</v>
      </c>
      <c r="X20" s="269"/>
      <c r="Y20" s="269"/>
      <c r="Z20" s="269"/>
      <c r="AA20" s="269"/>
      <c r="AB20" s="269"/>
      <c r="AC20" s="269"/>
      <c r="AD20" s="269"/>
      <c r="AE20" s="269"/>
      <c r="AF20" s="269"/>
    </row>
  </sheetData>
  <mergeCells count="3">
    <mergeCell ref="A4:H4"/>
    <mergeCell ref="A15:H15"/>
    <mergeCell ref="A18:H18"/>
  </mergeCells>
  <hyperlinks>
    <hyperlink ref="A1" location="'1'!A1" display="1st"/>
  </hyperlinks>
  <printOptions headings="false" gridLines="false" gridLinesSet="true" horizontalCentered="true" verticalCentered="fals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8" activeCellId="1" sqref="A28:K32 E8"/>
    </sheetView>
  </sheetViews>
  <sheetFormatPr defaultColWidth="35.6875" defaultRowHeight="60" zeroHeight="false" outlineLevelRow="0" outlineLevelCol="0"/>
  <cols>
    <col collapsed="false" customWidth="true" hidden="false" outlineLevel="0" max="1" min="1" style="270" width="35.84"/>
    <col collapsed="false" customWidth="false" hidden="false" outlineLevel="0" max="16384" min="2" style="270" width="35.69"/>
  </cols>
  <sheetData>
    <row r="1" customFormat="false" ht="72" hidden="false" customHeight="true" outlineLevel="0" collapsed="false">
      <c r="A1" s="271"/>
      <c r="B1" s="272"/>
      <c r="C1" s="273"/>
      <c r="D1" s="274"/>
      <c r="E1" s="275"/>
      <c r="F1" s="275"/>
      <c r="G1" s="275"/>
      <c r="H1" s="275"/>
      <c r="I1" s="275"/>
      <c r="J1" s="275"/>
      <c r="K1" s="275"/>
      <c r="L1" s="275"/>
      <c r="M1" s="275"/>
      <c r="N1" s="275"/>
    </row>
    <row r="2" customFormat="false" ht="72" hidden="false" customHeight="true" outlineLevel="0" collapsed="false">
      <c r="A2" s="276"/>
      <c r="B2" s="277"/>
      <c r="C2" s="273"/>
      <c r="D2" s="274"/>
      <c r="E2" s="278"/>
    </row>
    <row r="3" customFormat="false" ht="72" hidden="false" customHeight="true" outlineLevel="0" collapsed="false">
      <c r="A3" s="279"/>
      <c r="B3" s="280"/>
      <c r="C3" s="273"/>
      <c r="D3" s="274"/>
      <c r="E3" s="278"/>
    </row>
    <row r="4" customFormat="false" ht="72" hidden="false" customHeight="true" outlineLevel="0" collapsed="false">
      <c r="A4" s="279"/>
      <c r="B4" s="280"/>
      <c r="C4" s="273"/>
      <c r="D4" s="274"/>
      <c r="E4" s="278"/>
    </row>
    <row r="5" customFormat="false" ht="72" hidden="false" customHeight="true" outlineLevel="0" collapsed="false">
      <c r="A5" s="281"/>
      <c r="B5" s="282"/>
      <c r="C5" s="273"/>
      <c r="D5" s="274"/>
      <c r="E5" s="278"/>
    </row>
    <row r="6" customFormat="false" ht="6.75" hidden="false" customHeight="true" outlineLevel="0" collapsed="false">
      <c r="A6" s="283"/>
      <c r="B6" s="283"/>
      <c r="C6" s="284"/>
      <c r="D6" s="284"/>
      <c r="E6" s="278"/>
    </row>
    <row r="7" customFormat="false" ht="72" hidden="false" customHeight="true" outlineLevel="0" collapsed="false">
      <c r="A7" s="285"/>
      <c r="B7" s="286"/>
      <c r="C7" s="287"/>
      <c r="D7" s="288"/>
      <c r="E7" s="278"/>
    </row>
    <row r="8" customFormat="false" ht="72" hidden="false" customHeight="true" outlineLevel="0" collapsed="false">
      <c r="A8" s="289"/>
      <c r="B8" s="290"/>
      <c r="C8" s="287"/>
      <c r="D8" s="288"/>
      <c r="E8" s="278"/>
    </row>
    <row r="9" customFormat="false" ht="72" hidden="false" customHeight="true" outlineLevel="0" collapsed="false">
      <c r="A9" s="289"/>
      <c r="B9" s="290"/>
      <c r="C9" s="287"/>
      <c r="D9" s="288"/>
      <c r="E9" s="278"/>
    </row>
    <row r="10" customFormat="false" ht="72" hidden="false" customHeight="true" outlineLevel="0" collapsed="false">
      <c r="A10" s="289"/>
      <c r="B10" s="290"/>
      <c r="C10" s="287"/>
      <c r="D10" s="288"/>
      <c r="E10" s="278"/>
    </row>
    <row r="11" customFormat="false" ht="72" hidden="false" customHeight="true" outlineLevel="0" collapsed="false">
      <c r="A11" s="291"/>
      <c r="B11" s="292"/>
      <c r="C11" s="287"/>
      <c r="D11" s="288"/>
      <c r="E11" s="278"/>
    </row>
    <row r="12" customFormat="false" ht="60" hidden="false" customHeight="true" outlineLevel="0" collapsed="false">
      <c r="A12" s="280"/>
      <c r="B12" s="272"/>
      <c r="C12" s="284"/>
      <c r="D12" s="284"/>
      <c r="E12" s="278"/>
    </row>
    <row r="13" customFormat="false" ht="60" hidden="false" customHeight="true" outlineLevel="0" collapsed="false">
      <c r="A13" s="280"/>
      <c r="B13" s="280"/>
      <c r="C13" s="284"/>
      <c r="D13" s="284"/>
      <c r="E13" s="278"/>
    </row>
    <row r="14" customFormat="false" ht="60" hidden="false" customHeight="true" outlineLevel="0" collapsed="false">
      <c r="A14" s="282"/>
      <c r="B14" s="272"/>
    </row>
    <row r="15" customFormat="false" ht="64.5" hidden="false" customHeight="true" outlineLevel="0" collapsed="false">
      <c r="A15" s="293" t="s">
        <v>141</v>
      </c>
      <c r="B15" s="293" t="s">
        <v>141</v>
      </c>
      <c r="C15" s="293" t="s">
        <v>141</v>
      </c>
      <c r="D15" s="293" t="s">
        <v>141</v>
      </c>
      <c r="E15" s="293" t="s">
        <v>141</v>
      </c>
      <c r="F15" s="293" t="s">
        <v>141</v>
      </c>
    </row>
    <row r="16" customFormat="false" ht="64.5" hidden="false" customHeight="true" outlineLevel="0" collapsed="false">
      <c r="A16" s="294" t="s">
        <v>156</v>
      </c>
      <c r="B16" s="294" t="s">
        <v>156</v>
      </c>
      <c r="C16" s="294" t="s">
        <v>156</v>
      </c>
      <c r="D16" s="294" t="s">
        <v>156</v>
      </c>
      <c r="E16" s="294" t="s">
        <v>156</v>
      </c>
      <c r="F16" s="294" t="s">
        <v>156</v>
      </c>
    </row>
    <row r="17" customFormat="false" ht="64.5" hidden="false" customHeight="true" outlineLevel="0" collapsed="false">
      <c r="A17" s="294" t="s">
        <v>157</v>
      </c>
      <c r="B17" s="294" t="s">
        <v>157</v>
      </c>
      <c r="C17" s="294" t="s">
        <v>157</v>
      </c>
      <c r="D17" s="294" t="s">
        <v>157</v>
      </c>
      <c r="E17" s="294" t="s">
        <v>157</v>
      </c>
      <c r="F17" s="294" t="s">
        <v>157</v>
      </c>
    </row>
    <row r="18" customFormat="false" ht="64.5" hidden="false" customHeight="true" outlineLevel="0" collapsed="false">
      <c r="A18" s="294" t="s">
        <v>158</v>
      </c>
      <c r="B18" s="294" t="s">
        <v>158</v>
      </c>
      <c r="C18" s="294" t="s">
        <v>158</v>
      </c>
      <c r="D18" s="294" t="s">
        <v>158</v>
      </c>
      <c r="E18" s="294" t="s">
        <v>158</v>
      </c>
      <c r="F18" s="294" t="s">
        <v>158</v>
      </c>
    </row>
    <row r="19" customFormat="false" ht="64.5" hidden="false" customHeight="true" outlineLevel="0" collapsed="false">
      <c r="A19" s="294" t="s">
        <v>159</v>
      </c>
      <c r="B19" s="294" t="s">
        <v>159</v>
      </c>
      <c r="C19" s="294" t="s">
        <v>159</v>
      </c>
      <c r="D19" s="294" t="s">
        <v>159</v>
      </c>
      <c r="E19" s="294" t="s">
        <v>159</v>
      </c>
      <c r="F19" s="294" t="s">
        <v>159</v>
      </c>
    </row>
    <row r="21" customFormat="false" ht="75" hidden="false" customHeight="true" outlineLevel="0" collapsed="false">
      <c r="A21" s="295" t="s">
        <v>160</v>
      </c>
      <c r="B21" s="296"/>
      <c r="C21" s="295" t="s">
        <v>160</v>
      </c>
      <c r="D21" s="296"/>
    </row>
  </sheetData>
  <printOptions headings="false" gridLines="false" gridLinesSet="true" horizontalCentered="false" verticalCentered="false"/>
  <pageMargins left="0" right="0" top="0.118055555555556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1" sqref="A28:K32 F2"/>
    </sheetView>
  </sheetViews>
  <sheetFormatPr defaultColWidth="35.6875" defaultRowHeight="60" zeroHeight="false" outlineLevelRow="0" outlineLevelCol="0"/>
  <cols>
    <col collapsed="false" customWidth="false" hidden="false" outlineLevel="0" max="4" min="1" style="270" width="35.69"/>
    <col collapsed="false" customWidth="true" hidden="false" outlineLevel="0" max="5" min="5" style="270" width="32.84"/>
    <col collapsed="false" customWidth="false" hidden="false" outlineLevel="0" max="6" min="6" style="270" width="35.69"/>
    <col collapsed="false" customWidth="true" hidden="false" outlineLevel="0" max="7" min="7" style="270" width="6.69"/>
    <col collapsed="false" customWidth="false" hidden="false" outlineLevel="0" max="16384" min="8" style="270" width="35.69"/>
  </cols>
  <sheetData>
    <row r="1" customFormat="false" ht="75" hidden="false" customHeight="true" outlineLevel="0" collapsed="false">
      <c r="A1" s="297"/>
      <c r="B1" s="283"/>
      <c r="C1" s="275"/>
      <c r="D1" s="275"/>
      <c r="E1" s="298" t="s">
        <v>160</v>
      </c>
      <c r="F1" s="299"/>
      <c r="G1" s="299"/>
      <c r="H1" s="275"/>
      <c r="I1" s="275"/>
      <c r="J1" s="275"/>
      <c r="K1" s="275"/>
      <c r="L1" s="275"/>
    </row>
    <row r="2" customFormat="false" ht="69.75" hidden="false" customHeight="true" outlineLevel="0" collapsed="false">
      <c r="A2" s="300"/>
      <c r="B2" s="283"/>
      <c r="C2" s="278"/>
      <c r="E2" s="298" t="s">
        <v>161</v>
      </c>
      <c r="F2" s="301" t="s">
        <v>162</v>
      </c>
      <c r="G2" s="301"/>
      <c r="H2" s="302"/>
    </row>
    <row r="3" customFormat="false" ht="69.75" hidden="false" customHeight="true" outlineLevel="0" collapsed="false">
      <c r="A3" s="300"/>
      <c r="B3" s="283"/>
      <c r="C3" s="278"/>
      <c r="E3" s="303" t="s">
        <v>163</v>
      </c>
      <c r="F3" s="304" t="n">
        <v>1292977.78</v>
      </c>
      <c r="G3" s="304"/>
      <c r="H3" s="305"/>
    </row>
    <row r="4" customFormat="false" ht="69.75" hidden="false" customHeight="true" outlineLevel="0" collapsed="false">
      <c r="A4" s="300"/>
      <c r="B4" s="306"/>
      <c r="C4" s="278"/>
      <c r="E4" s="307" t="s">
        <v>164</v>
      </c>
      <c r="F4" s="308" t="n">
        <v>553296</v>
      </c>
      <c r="G4" s="308"/>
      <c r="H4" s="305"/>
    </row>
    <row r="5" customFormat="false" ht="69.75" hidden="false" customHeight="true" outlineLevel="0" collapsed="false">
      <c r="A5" s="300"/>
      <c r="B5" s="309"/>
      <c r="C5" s="278"/>
      <c r="E5" s="307" t="s">
        <v>165</v>
      </c>
      <c r="F5" s="308" t="n">
        <v>528379</v>
      </c>
      <c r="G5" s="308"/>
      <c r="H5" s="305"/>
    </row>
    <row r="6" customFormat="false" ht="69.75" hidden="false" customHeight="true" outlineLevel="0" collapsed="false">
      <c r="A6" s="300"/>
      <c r="B6" s="309"/>
      <c r="C6" s="278"/>
      <c r="E6" s="307" t="s">
        <v>166</v>
      </c>
      <c r="F6" s="308" t="n">
        <v>13436.55</v>
      </c>
      <c r="G6" s="308"/>
      <c r="H6" s="310"/>
    </row>
    <row r="7" customFormat="false" ht="60" hidden="false" customHeight="true" outlineLevel="0" collapsed="false">
      <c r="A7" s="300"/>
      <c r="B7" s="311"/>
    </row>
    <row r="8" customFormat="false" ht="60" hidden="false" customHeight="true" outlineLevel="0" collapsed="false">
      <c r="A8" s="300"/>
      <c r="B8" s="311"/>
    </row>
    <row r="10" customFormat="false" ht="64.5" hidden="false" customHeight="true" outlineLevel="0" collapsed="false">
      <c r="A10" s="312" t="s">
        <v>167</v>
      </c>
      <c r="B10" s="312" t="s">
        <v>168</v>
      </c>
      <c r="C10" s="312" t="s">
        <v>167</v>
      </c>
      <c r="D10" s="312" t="s">
        <v>168</v>
      </c>
    </row>
    <row r="11" customFormat="false" ht="64.5" hidden="false" customHeight="true" outlineLevel="0" collapsed="false">
      <c r="A11" s="312" t="s">
        <v>169</v>
      </c>
      <c r="B11" s="312" t="s">
        <v>170</v>
      </c>
      <c r="C11" s="312" t="s">
        <v>169</v>
      </c>
      <c r="D11" s="312" t="s">
        <v>170</v>
      </c>
    </row>
    <row r="12" customFormat="false" ht="64.5" hidden="false" customHeight="true" outlineLevel="0" collapsed="false">
      <c r="A12" s="312" t="s">
        <v>171</v>
      </c>
      <c r="B12" s="312" t="s">
        <v>172</v>
      </c>
      <c r="C12" s="312" t="s">
        <v>171</v>
      </c>
      <c r="D12" s="312" t="s">
        <v>172</v>
      </c>
    </row>
    <row r="13" customFormat="false" ht="64.5" hidden="false" customHeight="true" outlineLevel="0" collapsed="false">
      <c r="A13" s="312" t="s">
        <v>173</v>
      </c>
      <c r="B13" s="312" t="s">
        <v>174</v>
      </c>
      <c r="C13" s="312" t="s">
        <v>173</v>
      </c>
      <c r="D13" s="312" t="s">
        <v>174</v>
      </c>
    </row>
    <row r="14" customFormat="false" ht="64.5" hidden="false" customHeight="true" outlineLevel="0" collapsed="false">
      <c r="A14" s="312" t="s">
        <v>175</v>
      </c>
      <c r="B14" s="312" t="s">
        <v>176</v>
      </c>
      <c r="C14" s="312" t="s">
        <v>175</v>
      </c>
      <c r="D14" s="312" t="s">
        <v>176</v>
      </c>
    </row>
    <row r="15" customFormat="false" ht="60" hidden="false" customHeight="true" outlineLevel="0" collapsed="false">
      <c r="A15" s="312" t="s">
        <v>177</v>
      </c>
      <c r="B15" s="312" t="s">
        <v>178</v>
      </c>
      <c r="C15" s="312" t="s">
        <v>177</v>
      </c>
      <c r="D15" s="312" t="s">
        <v>178</v>
      </c>
    </row>
    <row r="16" customFormat="false" ht="75" hidden="false" customHeight="true" outlineLevel="0" collapsed="false"/>
  </sheetData>
  <mergeCells count="6">
    <mergeCell ref="F1:G1"/>
    <mergeCell ref="F2:G2"/>
    <mergeCell ref="F3:G3"/>
    <mergeCell ref="F4:G4"/>
    <mergeCell ref="F5:G5"/>
    <mergeCell ref="F6:G6"/>
  </mergeCells>
  <printOptions headings="false" gridLines="false" gridLinesSet="true" horizontalCentered="false" verticalCentered="false"/>
  <pageMargins left="0" right="0" top="0.511805555555556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V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1" sqref="A28:K32 A13"/>
    </sheetView>
  </sheetViews>
  <sheetFormatPr defaultColWidth="8.54296875" defaultRowHeight="14.25" zeroHeight="false" outlineLevelRow="0" outlineLevelCol="0"/>
  <sheetData>
    <row r="3" customFormat="false" ht="14.25" hidden="false" customHeight="false" outlineLevel="0" collapsed="false">
      <c r="B3" s="0" t="n">
        <v>42421.4</v>
      </c>
      <c r="D3" s="0" t="n">
        <v>161239</v>
      </c>
      <c r="J3" s="0" t="n">
        <v>5230</v>
      </c>
      <c r="L3" s="0" t="n">
        <v>3133.2</v>
      </c>
      <c r="N3" s="0" t="n">
        <v>3381.1</v>
      </c>
      <c r="P3" s="0" t="n">
        <v>1789.1</v>
      </c>
      <c r="R3" s="0" t="n">
        <v>4671.7</v>
      </c>
      <c r="T3" s="0" t="n">
        <v>12508.9</v>
      </c>
      <c r="V3" s="0" t="n">
        <v>68144.9</v>
      </c>
    </row>
    <row r="4" customFormat="false" ht="14.25" hidden="false" customHeight="false" outlineLevel="0" collapsed="false">
      <c r="B4" s="0" t="n">
        <v>42490.4</v>
      </c>
      <c r="D4" s="0" t="n">
        <v>161517</v>
      </c>
      <c r="J4" s="0" t="n">
        <v>5237</v>
      </c>
      <c r="L4" s="0" t="n">
        <v>3138.2</v>
      </c>
      <c r="N4" s="0" t="n">
        <v>3386.1</v>
      </c>
      <c r="P4" s="0" t="n">
        <v>1793.1</v>
      </c>
      <c r="R4" s="0" t="n">
        <v>4676.7</v>
      </c>
      <c r="T4" s="0" t="n">
        <v>12543.4</v>
      </c>
      <c r="V4" s="0" t="n">
        <v>68242.9</v>
      </c>
    </row>
    <row r="5" customFormat="false" ht="14.25" hidden="false" customHeight="false" outlineLevel="0" collapsed="false">
      <c r="B5" s="0" t="n">
        <v>42559.4</v>
      </c>
      <c r="D5" s="0" t="n">
        <v>161795</v>
      </c>
      <c r="J5" s="0" t="n">
        <v>5244</v>
      </c>
      <c r="L5" s="0" t="n">
        <v>3143.2</v>
      </c>
      <c r="N5" s="0" t="n">
        <v>3391.1</v>
      </c>
      <c r="P5" s="0" t="n">
        <v>1797.1</v>
      </c>
      <c r="R5" s="0" t="n">
        <v>4681.7</v>
      </c>
      <c r="T5" s="0" t="n">
        <v>12577.9</v>
      </c>
      <c r="V5" s="0" t="n">
        <v>68340.9</v>
      </c>
    </row>
    <row r="6" customFormat="false" ht="14.25" hidden="false" customHeight="false" outlineLevel="0" collapsed="false">
      <c r="B6" s="0" t="n">
        <v>42628.4</v>
      </c>
      <c r="D6" s="0" t="n">
        <v>162073</v>
      </c>
      <c r="J6" s="0" t="n">
        <v>5251</v>
      </c>
      <c r="L6" s="0" t="n">
        <v>3148.2</v>
      </c>
      <c r="N6" s="0" t="n">
        <v>3396.1</v>
      </c>
      <c r="P6" s="0" t="n">
        <v>1801.1</v>
      </c>
      <c r="R6" s="0" t="n">
        <v>4686.7</v>
      </c>
      <c r="T6" s="0" t="n">
        <v>12612.4</v>
      </c>
      <c r="V6" s="0" t="n">
        <v>68438.9</v>
      </c>
    </row>
    <row r="7" customFormat="false" ht="14.25" hidden="false" customHeight="false" outlineLevel="0" collapsed="false">
      <c r="B7" s="0" t="n">
        <v>42697.4</v>
      </c>
      <c r="D7" s="0" t="n">
        <v>162351</v>
      </c>
      <c r="J7" s="0" t="n">
        <v>5258</v>
      </c>
      <c r="L7" s="0" t="n">
        <v>3153.2</v>
      </c>
      <c r="N7" s="0" t="n">
        <v>3401.1</v>
      </c>
      <c r="P7" s="0" t="n">
        <v>1805.1</v>
      </c>
      <c r="R7" s="0" t="n">
        <v>4691.7</v>
      </c>
      <c r="T7" s="0" t="n">
        <v>12646.9</v>
      </c>
      <c r="V7" s="0" t="n">
        <v>68536.9</v>
      </c>
    </row>
    <row r="8" customFormat="false" ht="14.25" hidden="false" customHeight="false" outlineLevel="0" collapsed="false">
      <c r="B8" s="0" t="n">
        <v>42766.4</v>
      </c>
      <c r="D8" s="0" t="n">
        <v>162629</v>
      </c>
      <c r="J8" s="0" t="n">
        <v>5265</v>
      </c>
      <c r="L8" s="0" t="n">
        <v>3158.2</v>
      </c>
      <c r="N8" s="0" t="n">
        <v>3406.1</v>
      </c>
      <c r="P8" s="0" t="n">
        <v>1809.1</v>
      </c>
      <c r="R8" s="0" t="n">
        <v>4696.7</v>
      </c>
      <c r="T8" s="0" t="n">
        <v>12681.4</v>
      </c>
      <c r="V8" s="0" t="n">
        <v>68634.9</v>
      </c>
    </row>
    <row r="9" customFormat="false" ht="14.25" hidden="false" customHeight="false" outlineLevel="0" collapsed="false">
      <c r="B9" s="0" t="n">
        <v>42835.4</v>
      </c>
      <c r="D9" s="0" t="n">
        <v>162907</v>
      </c>
      <c r="J9" s="0" t="n">
        <v>5272</v>
      </c>
      <c r="L9" s="0" t="n">
        <v>3163.2</v>
      </c>
      <c r="N9" s="0" t="n">
        <v>3411.1</v>
      </c>
      <c r="P9" s="0" t="n">
        <v>1813.1</v>
      </c>
      <c r="R9" s="0" t="n">
        <v>4701.7</v>
      </c>
      <c r="T9" s="0" t="n">
        <v>12715.9</v>
      </c>
      <c r="V9" s="0" t="n">
        <v>68732.9</v>
      </c>
    </row>
    <row r="10" customFormat="false" ht="14.25" hidden="false" customHeight="false" outlineLevel="0" collapsed="false">
      <c r="B10" s="0" t="n">
        <v>42904.4</v>
      </c>
      <c r="D10" s="0" t="n">
        <v>163185</v>
      </c>
      <c r="J10" s="0" t="n">
        <v>5279</v>
      </c>
      <c r="L10" s="0" t="n">
        <v>3168.2</v>
      </c>
      <c r="N10" s="0" t="n">
        <v>3416.1</v>
      </c>
      <c r="P10" s="0" t="n">
        <v>1817.1</v>
      </c>
      <c r="R10" s="0" t="n">
        <v>4706.7</v>
      </c>
      <c r="T10" s="0" t="n">
        <v>12750.4</v>
      </c>
      <c r="V10" s="0" t="n">
        <v>68830.9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en-IN</dc:language>
  <cp:lastModifiedBy/>
  <dcterms:modified xsi:type="dcterms:W3CDTF">2024-01-30T15:05:28Z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