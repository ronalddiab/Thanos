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412F2F88-1471-49D5-8C94-C952EAA215AF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1" r:id="rId1"/>
    <sheet name="April" sheetId="2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W40" i="2" l="1"/>
  <c r="W14" i="2"/>
  <c r="P6" i="2"/>
  <c r="N6" i="2"/>
  <c r="L6" i="2"/>
  <c r="J6" i="2"/>
  <c r="H6" i="2"/>
  <c r="F6" i="2"/>
  <c r="D6" i="2"/>
  <c r="B6" i="2"/>
  <c r="U37" i="2" l="1"/>
  <c r="V37" i="2" s="1"/>
  <c r="U36" i="2"/>
  <c r="V36" i="2" s="1"/>
  <c r="U35" i="2"/>
  <c r="V35" i="2" s="1"/>
  <c r="U34" i="2"/>
  <c r="V34" i="2" s="1"/>
  <c r="U33" i="2"/>
  <c r="V33" i="2" s="1"/>
  <c r="U32" i="2"/>
  <c r="V32" i="2" s="1"/>
  <c r="U31" i="2"/>
  <c r="V31" i="2" s="1"/>
  <c r="U30" i="2"/>
  <c r="V30" i="2" s="1"/>
  <c r="U29" i="2"/>
  <c r="V29" i="2" s="1"/>
  <c r="U28" i="2"/>
  <c r="V28" i="2" s="1"/>
  <c r="U27" i="2"/>
  <c r="V27" i="2" s="1"/>
  <c r="U26" i="2"/>
  <c r="V26" i="2" s="1"/>
  <c r="U25" i="2"/>
  <c r="V25" i="2" s="1"/>
  <c r="U24" i="2"/>
  <c r="V24" i="2" s="1"/>
  <c r="U23" i="2"/>
  <c r="V23" i="2" s="1"/>
  <c r="U22" i="2"/>
  <c r="V22" i="2" s="1"/>
  <c r="U21" i="2"/>
  <c r="V21" i="2" s="1"/>
  <c r="U20" i="2"/>
  <c r="V20" i="2" s="1"/>
  <c r="U19" i="2"/>
  <c r="V19" i="2" s="1"/>
  <c r="U18" i="2"/>
  <c r="V18" i="2" s="1"/>
  <c r="U17" i="2"/>
  <c r="V17" i="2" s="1"/>
  <c r="U16" i="2"/>
  <c r="V16" i="2" s="1"/>
  <c r="U15" i="2"/>
  <c r="V15" i="2" s="1"/>
  <c r="U14" i="2"/>
  <c r="U13" i="2"/>
  <c r="V13" i="2" s="1"/>
  <c r="U12" i="2"/>
  <c r="V12" i="2" s="1"/>
  <c r="U11" i="2"/>
  <c r="V11" i="2" s="1"/>
  <c r="U10" i="2"/>
  <c r="V10" i="2" s="1"/>
  <c r="U9" i="2"/>
  <c r="V9" i="2" s="1"/>
  <c r="U8" i="2"/>
  <c r="V8" i="2" s="1"/>
  <c r="V40" i="2" l="1"/>
  <c r="R39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7" i="2"/>
  <c r="O37" i="2"/>
  <c r="M37" i="2"/>
  <c r="K37" i="2"/>
  <c r="I37" i="2"/>
  <c r="G37" i="2"/>
  <c r="E37" i="2"/>
  <c r="G31" i="1" s="1"/>
  <c r="C37" i="2"/>
  <c r="E31" i="1" s="1"/>
  <c r="Q36" i="2"/>
  <c r="O36" i="2"/>
  <c r="M36" i="2"/>
  <c r="K36" i="2"/>
  <c r="I36" i="2"/>
  <c r="G36" i="2"/>
  <c r="E36" i="2"/>
  <c r="G30" i="1" s="1"/>
  <c r="C36" i="2"/>
  <c r="E30" i="1" s="1"/>
  <c r="Q35" i="2"/>
  <c r="O35" i="2"/>
  <c r="M35" i="2"/>
  <c r="K35" i="2"/>
  <c r="I35" i="2"/>
  <c r="G35" i="2"/>
  <c r="E35" i="2"/>
  <c r="G29" i="1" s="1"/>
  <c r="C35" i="2"/>
  <c r="E29" i="1" s="1"/>
  <c r="Q34" i="2"/>
  <c r="O34" i="2"/>
  <c r="M34" i="2"/>
  <c r="K34" i="2"/>
  <c r="I34" i="2"/>
  <c r="G34" i="2"/>
  <c r="E34" i="2"/>
  <c r="G28" i="1" s="1"/>
  <c r="C34" i="2"/>
  <c r="E28" i="1" s="1"/>
  <c r="Q33" i="2"/>
  <c r="O33" i="2"/>
  <c r="M33" i="2"/>
  <c r="K33" i="2"/>
  <c r="I33" i="2"/>
  <c r="G33" i="2"/>
  <c r="E33" i="2"/>
  <c r="G27" i="1" s="1"/>
  <c r="C33" i="2"/>
  <c r="E27" i="1" s="1"/>
  <c r="Q32" i="2"/>
  <c r="O32" i="2"/>
  <c r="M32" i="2"/>
  <c r="K32" i="2"/>
  <c r="I32" i="2"/>
  <c r="G32" i="2"/>
  <c r="E32" i="2"/>
  <c r="G26" i="1" s="1"/>
  <c r="C32" i="2"/>
  <c r="E26" i="1" s="1"/>
  <c r="Q31" i="2"/>
  <c r="O31" i="2"/>
  <c r="M31" i="2"/>
  <c r="K31" i="2"/>
  <c r="I31" i="2"/>
  <c r="G31" i="2"/>
  <c r="E31" i="2"/>
  <c r="G25" i="1" s="1"/>
  <c r="C31" i="2"/>
  <c r="E25" i="1" s="1"/>
  <c r="Q30" i="2"/>
  <c r="O30" i="2"/>
  <c r="M30" i="2"/>
  <c r="K30" i="2"/>
  <c r="I30" i="2"/>
  <c r="G30" i="2"/>
  <c r="E30" i="2"/>
  <c r="G24" i="1" s="1"/>
  <c r="C30" i="2"/>
  <c r="E24" i="1" s="1"/>
  <c r="Q29" i="2"/>
  <c r="O29" i="2"/>
  <c r="M29" i="2"/>
  <c r="K29" i="2"/>
  <c r="I29" i="2"/>
  <c r="G29" i="2"/>
  <c r="E29" i="2"/>
  <c r="G23" i="1" s="1"/>
  <c r="C29" i="2"/>
  <c r="E23" i="1" s="1"/>
  <c r="Q28" i="2"/>
  <c r="O28" i="2"/>
  <c r="M28" i="2"/>
  <c r="K28" i="2"/>
  <c r="I28" i="2"/>
  <c r="G28" i="2"/>
  <c r="E28" i="2"/>
  <c r="G22" i="1" s="1"/>
  <c r="C28" i="2"/>
  <c r="E22" i="1" s="1"/>
  <c r="Q27" i="2"/>
  <c r="O27" i="2"/>
  <c r="M27" i="2"/>
  <c r="K27" i="2"/>
  <c r="I27" i="2"/>
  <c r="G27" i="2"/>
  <c r="E27" i="2"/>
  <c r="G21" i="1" s="1"/>
  <c r="C27" i="2"/>
  <c r="E21" i="1" s="1"/>
  <c r="Q26" i="2"/>
  <c r="O26" i="2"/>
  <c r="M26" i="2"/>
  <c r="K26" i="2"/>
  <c r="I26" i="2"/>
  <c r="G26" i="2"/>
  <c r="E26" i="2"/>
  <c r="G20" i="1" s="1"/>
  <c r="C26" i="2"/>
  <c r="E20" i="1" s="1"/>
  <c r="Q25" i="2"/>
  <c r="O25" i="2"/>
  <c r="M25" i="2"/>
  <c r="K25" i="2"/>
  <c r="I25" i="2"/>
  <c r="G25" i="2"/>
  <c r="E25" i="2"/>
  <c r="G19" i="1" s="1"/>
  <c r="C25" i="2"/>
  <c r="E19" i="1" s="1"/>
  <c r="Q24" i="2"/>
  <c r="O24" i="2"/>
  <c r="M24" i="2"/>
  <c r="K24" i="2"/>
  <c r="I24" i="2"/>
  <c r="G24" i="2"/>
  <c r="E24" i="2"/>
  <c r="G18" i="1" s="1"/>
  <c r="C24" i="2"/>
  <c r="E18" i="1" s="1"/>
  <c r="Q23" i="2"/>
  <c r="O23" i="2"/>
  <c r="M23" i="2"/>
  <c r="K23" i="2"/>
  <c r="I23" i="2"/>
  <c r="G23" i="2"/>
  <c r="E23" i="2"/>
  <c r="G17" i="1" s="1"/>
  <c r="C23" i="2"/>
  <c r="E17" i="1" s="1"/>
  <c r="Q22" i="2"/>
  <c r="O22" i="2"/>
  <c r="M22" i="2"/>
  <c r="K22" i="2"/>
  <c r="I22" i="2"/>
  <c r="G22" i="2"/>
  <c r="E22" i="2"/>
  <c r="G16" i="1" s="1"/>
  <c r="C22" i="2"/>
  <c r="E16" i="1" s="1"/>
  <c r="Q21" i="2"/>
  <c r="O21" i="2"/>
  <c r="M21" i="2"/>
  <c r="K21" i="2"/>
  <c r="I21" i="2"/>
  <c r="G21" i="2"/>
  <c r="E21" i="2"/>
  <c r="G15" i="1" s="1"/>
  <c r="C21" i="2"/>
  <c r="E15" i="1" s="1"/>
  <c r="Q20" i="2"/>
  <c r="O20" i="2"/>
  <c r="M20" i="2"/>
  <c r="K20" i="2"/>
  <c r="I20" i="2"/>
  <c r="G20" i="2"/>
  <c r="E20" i="2"/>
  <c r="G14" i="1" s="1"/>
  <c r="C20" i="2"/>
  <c r="E14" i="1" s="1"/>
  <c r="Q19" i="2"/>
  <c r="O19" i="2"/>
  <c r="M19" i="2"/>
  <c r="K19" i="2"/>
  <c r="I19" i="2"/>
  <c r="G19" i="2"/>
  <c r="E19" i="2"/>
  <c r="G13" i="1" s="1"/>
  <c r="C19" i="2"/>
  <c r="E13" i="1" s="1"/>
  <c r="Q18" i="2"/>
  <c r="O18" i="2"/>
  <c r="M18" i="2"/>
  <c r="K18" i="2"/>
  <c r="I18" i="2"/>
  <c r="G18" i="2"/>
  <c r="E18" i="2"/>
  <c r="G12" i="1" s="1"/>
  <c r="C18" i="2"/>
  <c r="E12" i="1" s="1"/>
  <c r="Q17" i="2"/>
  <c r="O17" i="2"/>
  <c r="M17" i="2"/>
  <c r="K17" i="2"/>
  <c r="I17" i="2"/>
  <c r="G17" i="2"/>
  <c r="E17" i="2"/>
  <c r="G11" i="1" s="1"/>
  <c r="C17" i="2"/>
  <c r="E11" i="1" s="1"/>
  <c r="Q16" i="2"/>
  <c r="O16" i="2"/>
  <c r="M16" i="2"/>
  <c r="K16" i="2"/>
  <c r="I16" i="2"/>
  <c r="G16" i="2"/>
  <c r="E16" i="2"/>
  <c r="G10" i="1" s="1"/>
  <c r="C16" i="2"/>
  <c r="E10" i="1" s="1"/>
  <c r="Q15" i="2"/>
  <c r="O15" i="2"/>
  <c r="M15" i="2"/>
  <c r="K15" i="2"/>
  <c r="I15" i="2"/>
  <c r="G15" i="2"/>
  <c r="E15" i="2"/>
  <c r="G9" i="1" s="1"/>
  <c r="C15" i="2"/>
  <c r="E9" i="1" s="1"/>
  <c r="Q14" i="2"/>
  <c r="O14" i="2"/>
  <c r="M14" i="2"/>
  <c r="K14" i="2"/>
  <c r="I14" i="2"/>
  <c r="G14" i="2"/>
  <c r="E14" i="2"/>
  <c r="G8" i="1" s="1"/>
  <c r="C14" i="2"/>
  <c r="E8" i="1" s="1"/>
  <c r="Q13" i="2"/>
  <c r="O13" i="2"/>
  <c r="M13" i="2"/>
  <c r="K13" i="2"/>
  <c r="I13" i="2"/>
  <c r="G13" i="2"/>
  <c r="E13" i="2"/>
  <c r="G7" i="1" s="1"/>
  <c r="C13" i="2"/>
  <c r="E7" i="1" s="1"/>
  <c r="Q12" i="2"/>
  <c r="O12" i="2"/>
  <c r="M12" i="2"/>
  <c r="K12" i="2"/>
  <c r="I12" i="2"/>
  <c r="G12" i="2"/>
  <c r="E12" i="2"/>
  <c r="G6" i="1" s="1"/>
  <c r="C12" i="2"/>
  <c r="E6" i="1" s="1"/>
  <c r="Q11" i="2"/>
  <c r="O11" i="2"/>
  <c r="M11" i="2"/>
  <c r="K11" i="2"/>
  <c r="I11" i="2"/>
  <c r="G11" i="2"/>
  <c r="E11" i="2"/>
  <c r="G5" i="1" s="1"/>
  <c r="C11" i="2"/>
  <c r="E5" i="1" s="1"/>
  <c r="Q10" i="2"/>
  <c r="O10" i="2"/>
  <c r="M10" i="2"/>
  <c r="K10" i="2"/>
  <c r="I10" i="2"/>
  <c r="G10" i="2"/>
  <c r="E10" i="2"/>
  <c r="G4" i="1" s="1"/>
  <c r="C10" i="2"/>
  <c r="E4" i="1" s="1"/>
  <c r="Q9" i="2"/>
  <c r="O9" i="2"/>
  <c r="M9" i="2"/>
  <c r="K9" i="2"/>
  <c r="I9" i="2"/>
  <c r="G9" i="2"/>
  <c r="E9" i="2"/>
  <c r="G3" i="1" s="1"/>
  <c r="C9" i="2"/>
  <c r="E3" i="1" s="1"/>
  <c r="Q8" i="2"/>
  <c r="O8" i="2"/>
  <c r="M8" i="2"/>
  <c r="K8" i="2"/>
  <c r="I8" i="2"/>
  <c r="G8" i="2"/>
  <c r="E8" i="2"/>
  <c r="C8" i="2"/>
  <c r="I5" i="1" l="1"/>
  <c r="I8" i="1"/>
  <c r="I11" i="1"/>
  <c r="I14" i="1"/>
  <c r="I17" i="1"/>
  <c r="I20" i="1"/>
  <c r="I23" i="1"/>
  <c r="I26" i="1"/>
  <c r="I29" i="1"/>
  <c r="O39" i="2"/>
  <c r="I4" i="1"/>
  <c r="I10" i="1"/>
  <c r="I13" i="1"/>
  <c r="I16" i="1"/>
  <c r="I19" i="1"/>
  <c r="I22" i="1"/>
  <c r="I28" i="1"/>
  <c r="I31" i="1"/>
  <c r="M39" i="2"/>
  <c r="K4" i="1"/>
  <c r="K10" i="1"/>
  <c r="K13" i="1"/>
  <c r="K16" i="1"/>
  <c r="K22" i="1"/>
  <c r="K25" i="1"/>
  <c r="K28" i="1"/>
  <c r="K3" i="1"/>
  <c r="K9" i="1"/>
  <c r="K15" i="1"/>
  <c r="K21" i="1"/>
  <c r="K27" i="1"/>
  <c r="G39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39" i="2"/>
  <c r="I6" i="1"/>
  <c r="I12" i="1"/>
  <c r="I18" i="1"/>
  <c r="I24" i="1"/>
  <c r="I30" i="1"/>
  <c r="I2" i="1"/>
  <c r="K8" i="1"/>
  <c r="K39" i="2"/>
  <c r="I39" i="2"/>
  <c r="E39" i="2"/>
  <c r="G2" i="1"/>
  <c r="C39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4" i="1" l="1"/>
  <c r="J10" i="1"/>
  <c r="J16" i="1"/>
  <c r="J22" i="1"/>
  <c r="J28" i="1"/>
  <c r="J5" i="1"/>
  <c r="J11" i="1"/>
  <c r="J17" i="1"/>
  <c r="J23" i="1"/>
  <c r="J29" i="1"/>
  <c r="J9" i="1"/>
  <c r="J27" i="1"/>
  <c r="J6" i="1"/>
  <c r="J12" i="1"/>
  <c r="J18" i="1"/>
  <c r="J24" i="1"/>
  <c r="J30" i="1"/>
  <c r="J8" i="1"/>
  <c r="J2" i="1"/>
  <c r="J15" i="1"/>
  <c r="J7" i="1"/>
  <c r="J13" i="1"/>
  <c r="J19" i="1"/>
  <c r="J25" i="1"/>
  <c r="J31" i="1"/>
  <c r="J14" i="1"/>
  <c r="J20" i="1"/>
  <c r="J26" i="1"/>
  <c r="J3" i="1"/>
  <c r="J21" i="1"/>
</calcChain>
</file>

<file path=xl/sharedStrings.xml><?xml version="1.0" encoding="utf-8"?>
<sst xmlns="http://schemas.openxmlformats.org/spreadsheetml/2006/main" count="69" uniqueCount="37">
  <si>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</si>
  <si>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</si>
  <si>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</si>
  <si>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</si>
  <si>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</si>
  <si>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</si>
  <si>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</si>
  <si>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</si>
  <si>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</si>
  <si>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</si>
  <si>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Usage (kWh)</t>
  </si>
  <si>
    <t>Usage   (Therms)</t>
  </si>
  <si>
    <t>Usage (Mlbs)</t>
  </si>
  <si>
    <t>Usage      (Gallons)</t>
  </si>
  <si>
    <t>Usage (Gallons)</t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</si>
  <si>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</si>
  <si>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</si>
  <si>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</si>
  <si>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</si>
  <si>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</si>
  <si>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</si>
  <si>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</si>
  <si>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</si>
  <si>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April 2022</t>
  </si>
  <si>
    <t>High Temp</t>
  </si>
  <si>
    <t>Low Temp</t>
  </si>
  <si>
    <t>Avg Temp</t>
  </si>
  <si>
    <r>
      <t xml:space="preserve">Heating Degree Day </t>
    </r>
    <r>
      <rPr>
        <b/>
        <sz val="10"/>
        <color theme="1"/>
        <rFont val="Calibri Light"/>
        <family val="2"/>
        <scheme val="major"/>
      </rPr>
      <t>(HDD)</t>
    </r>
  </si>
  <si>
    <r>
      <rPr>
        <b/>
        <sz val="9.5"/>
        <color theme="1"/>
        <rFont val="Calibri Light"/>
        <family val="2"/>
        <scheme val="major"/>
      </rPr>
      <t>1B ELECTRIC</t>
    </r>
    <r>
      <rPr>
        <sz val="9.5"/>
        <color theme="1"/>
        <rFont val="Calibri Light"/>
        <family val="2"/>
        <scheme val="major"/>
      </rPr>
      <t xml:space="preserve"> (kWh)</t>
    </r>
  </si>
  <si>
    <r>
      <rPr>
        <b/>
        <sz val="9.5"/>
        <color theme="1"/>
        <rFont val="Calibri Light"/>
        <family val="2"/>
        <scheme val="major"/>
      </rPr>
      <t>1B GAS</t>
    </r>
    <r>
      <rPr>
        <sz val="9.5"/>
        <color theme="1"/>
        <rFont val="Calibri Light"/>
        <family val="2"/>
        <scheme val="major"/>
      </rPr>
      <t xml:space="preserve">      (CCF)</t>
    </r>
  </si>
  <si>
    <r>
      <t xml:space="preserve">1B STEAM </t>
    </r>
    <r>
      <rPr>
        <sz val="9.5"/>
        <color theme="1"/>
        <rFont val="Calibri Light"/>
        <family val="2"/>
        <scheme val="major"/>
      </rPr>
      <t>(Mlbs)</t>
    </r>
  </si>
  <si>
    <r>
      <rPr>
        <b/>
        <sz val="9.5"/>
        <color theme="1"/>
        <rFont val="Calibri Light"/>
        <family val="2"/>
        <scheme val="major"/>
      </rPr>
      <t>1B WATER</t>
    </r>
    <r>
      <rPr>
        <sz val="9.5"/>
        <color theme="1"/>
        <rFont val="Calibri Light"/>
        <family val="2"/>
        <scheme val="major"/>
      </rPr>
      <t xml:space="preserve">    (Gallons)</t>
    </r>
  </si>
  <si>
    <r>
      <t xml:space="preserve">4TH CT - 5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</si>
  <si>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36TH STEAM </t>
    </r>
    <r>
      <rPr>
        <sz val="9.5"/>
        <color theme="1"/>
        <rFont val="Calibri Light"/>
        <family val="2"/>
        <scheme val="major"/>
      </rPr>
      <t>(Mlbs)</t>
    </r>
  </si>
  <si>
    <r>
      <t xml:space="preserve">36TH 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</si>
  <si>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EAST PENT.CT -3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</si>
  <si>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Cooling Degree Day </t>
    </r>
    <r>
      <rPr>
        <b/>
        <sz val="10"/>
        <color theme="1"/>
        <rFont val="Calibri Light"/>
        <family val="2"/>
        <scheme val="major"/>
      </rPr>
      <t>(HDD)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</si>
</sst>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rgb="FF00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  <xdr:oneCellAnchor>
    <xdr:from>
      <xdr:col>15</xdr:col>
      <xdr:colOff>28575</xdr:colOff>
      <xdr:row>0</xdr:row>
      <xdr:rowOff>0</xdr:rowOff>
    </xdr:from>
    <xdr:ext cx="1752600" cy="1123951"/>
    <xdr:pic>
      <xdr:nvPicPr>
        <xdr:cNvPr id="3" name="Picture 2">
          <a:extLst>
            <a:ext uri="{FF2B5EF4-FFF2-40B4-BE49-F238E27FC236}">
              <a16:creationId xmlns:a16="http://schemas.microsoft.com/office/drawing/2014/main" id="{61F5D764-F512-4004-8562-C74DF1E6C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0"/>
          <a:ext cx="1752600" cy="11239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G\Engineering\Dept\Meter%20Readings\Engineering%20Meter%20Readings\Meter%20Readings%20Data%20Sheet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rieu.nguyen/Desktop/HEP%20Info/2022%20Billed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YTD Summary"/>
    </sheetNames>
    <sheetDataSet>
      <sheetData sheetId="0"/>
      <sheetData sheetId="1"/>
      <sheetData sheetId="2">
        <row r="38">
          <cell r="B38">
            <v>20093</v>
          </cell>
          <cell r="D38">
            <v>50264</v>
          </cell>
          <cell r="F38">
            <v>30529</v>
          </cell>
          <cell r="H38">
            <v>10906100</v>
          </cell>
          <cell r="J38">
            <v>361992</v>
          </cell>
          <cell r="L38">
            <v>25110</v>
          </cell>
          <cell r="N38">
            <v>29769550</v>
          </cell>
          <cell r="P38">
            <v>6281495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&amp;E 2022"/>
      <sheetName val="Clearway Energy 2022 "/>
      <sheetName val="SF Water 2022"/>
    </sheetNames>
    <sheetDataSet>
      <sheetData sheetId="0">
        <row r="13">
          <cell r="I13">
            <v>1.6449668897375704</v>
          </cell>
        </row>
        <row r="29">
          <cell r="I29">
            <v>0.11162848993173269</v>
          </cell>
        </row>
      </sheetData>
      <sheetData sheetId="1">
        <row r="8">
          <cell r="I8">
            <v>41.961900097943193</v>
          </cell>
        </row>
      </sheetData>
      <sheetData sheetId="2">
        <row r="8">
          <cell r="I8">
            <v>3.8823686911508767E-2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opLeftCell="G1" workbookViewId="0">
      <selection activeCell="J2" sqref="J2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16</v>
      </c>
      <c r="H1" s="8" t="s">
        <v>17</v>
      </c>
      <c r="I1" s="7" t="s">
        <v>18</v>
      </c>
      <c r="J1" s="11" t="s">
        <v>19</v>
      </c>
      <c r="K1" s="7" t="s">
        <v>20</v>
      </c>
      <c r="L1" s="8" t="s">
        <v>21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4</v>
      </c>
      <c r="D2" s="2">
        <v>2022</v>
      </c>
      <c r="E2" s="4">
        <f>IF(April!C8&gt;0,April!C8,0)</f>
        <v>5400</v>
      </c>
      <c r="F2" s="9">
        <f>'[2]PG&amp;E 2022'!$I$29</f>
        <v>0.11162848993173269</v>
      </c>
      <c r="G2" s="4">
        <f>IF(April!E8&gt;0,April!E8,0)</f>
        <v>11.516999999999999</v>
      </c>
      <c r="H2" s="10">
        <f>'[2]PG&amp;E 2022'!$I$13</f>
        <v>1.6449668897375704</v>
      </c>
      <c r="I2" s="4">
        <f>IF((April!I8+April!O8)&gt;0,(April!I8+April!O8),0)</f>
        <v>6720</v>
      </c>
      <c r="J2" s="10">
        <f>'[2]SF Water 2022'!$I$8</f>
        <v>3.8823686911508767E-2</v>
      </c>
      <c r="K2" s="4">
        <f>IF((April!G8+April!M8)&gt;0,(April!G8+April!M8),0)</f>
        <v>7.5</v>
      </c>
      <c r="L2" s="10">
        <f>'[2]Clearway Energy 2022 '!$I$8</f>
        <v>41.961900097943193</v>
      </c>
      <c r="M2" s="4">
        <f>April!R8</f>
        <v>43</v>
      </c>
    </row>
    <row r="3" spans="1:25" x14ac:dyDescent="0.25">
      <c r="A3" s="3" t="s">
        <v>7</v>
      </c>
      <c r="B3" s="2">
        <f>B2+1</f>
        <v>2</v>
      </c>
      <c r="C3" s="14">
        <v>4</v>
      </c>
      <c r="D3" s="14">
        <v>2022</v>
      </c>
      <c r="E3" s="4">
        <f>IF(April!C9&gt;0,April!C9,0)</f>
        <v>5700</v>
      </c>
      <c r="F3" s="9">
        <f>'[2]PG&amp;E 2022'!$I$29</f>
        <v>0.11162848993173269</v>
      </c>
      <c r="G3" s="4">
        <f>IF(April!E9&gt;0,April!E9,0)</f>
        <v>10.469999999999999</v>
      </c>
      <c r="H3" s="10">
        <f>'[2]PG&amp;E 2022'!$I$13</f>
        <v>1.6449668897375704</v>
      </c>
      <c r="I3" s="4">
        <f>IF((April!I9+April!O9)&gt;0,(April!I9+April!O9),0)</f>
        <v>6300</v>
      </c>
      <c r="J3" s="10">
        <f>'[2]SF Water 2022'!$I$8</f>
        <v>3.8823686911508767E-2</v>
      </c>
      <c r="K3" s="4">
        <f>IF((April!G9+April!M9)&gt;0,(April!G9+April!M9),0)</f>
        <v>6.9</v>
      </c>
      <c r="L3" s="10">
        <f>'[2]Clearway Energy 2022 '!$I$8</f>
        <v>41.961900097943193</v>
      </c>
      <c r="M3" s="4">
        <f>April!R9</f>
        <v>41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4</v>
      </c>
      <c r="D4" s="14">
        <v>2022</v>
      </c>
      <c r="E4" s="4">
        <f>IF(April!C10&gt;0,April!C10,0)</f>
        <v>6600</v>
      </c>
      <c r="F4" s="9">
        <f>'[2]PG&amp;E 2022'!$I$29</f>
        <v>0.11162848993173269</v>
      </c>
      <c r="G4" s="4">
        <f>IF(April!E10&gt;0,April!E10,0)</f>
        <v>12.564</v>
      </c>
      <c r="H4" s="10">
        <f>'[2]PG&amp;E 2022'!$I$13</f>
        <v>1.6449668897375704</v>
      </c>
      <c r="I4" s="4">
        <f>IF((April!I10+April!O10)&gt;0,(April!I10+April!O10),0)</f>
        <v>10727</v>
      </c>
      <c r="J4" s="10">
        <f>'[2]SF Water 2022'!$I$8</f>
        <v>3.8823686911508767E-2</v>
      </c>
      <c r="K4" s="4">
        <f>IF((April!G10+April!M10)&gt;0,(April!G10+April!M10),0)</f>
        <v>7.1000000000000005</v>
      </c>
      <c r="L4" s="10">
        <f>'[2]Clearway Energy 2022 '!$I$8</f>
        <v>41.961900097943193</v>
      </c>
      <c r="M4" s="4">
        <f>April!R10</f>
        <v>46</v>
      </c>
    </row>
    <row r="5" spans="1:25" x14ac:dyDescent="0.25">
      <c r="A5" s="3" t="s">
        <v>7</v>
      </c>
      <c r="B5" s="2">
        <f t="shared" si="0"/>
        <v>4</v>
      </c>
      <c r="C5" s="14">
        <v>4</v>
      </c>
      <c r="D5" s="14">
        <v>2022</v>
      </c>
      <c r="E5" s="4">
        <f>IF(April!C11&gt;0,April!C11,0)</f>
        <v>5400</v>
      </c>
      <c r="F5" s="9">
        <f>'[2]PG&amp;E 2022'!$I$29</f>
        <v>0.11162848993173269</v>
      </c>
      <c r="G5" s="4">
        <f>IF(April!E11&gt;0,April!E11,0)</f>
        <v>11.516999999999999</v>
      </c>
      <c r="H5" s="10">
        <f>'[2]PG&amp;E 2022'!$I$13</f>
        <v>1.6449668897375704</v>
      </c>
      <c r="I5" s="4">
        <f>IF((April!I11+April!O11)&gt;0,(April!I11+April!O11),0)</f>
        <v>7133</v>
      </c>
      <c r="J5" s="10">
        <f>'[2]SF Water 2022'!$I$8</f>
        <v>3.8823686911508767E-2</v>
      </c>
      <c r="K5" s="4">
        <f>IF((April!G11+April!M11)&gt;0,(April!G11+April!M11),0)</f>
        <v>5.9</v>
      </c>
      <c r="L5" s="10">
        <f>'[2]Clearway Energy 2022 '!$I$8</f>
        <v>41.961900097943193</v>
      </c>
      <c r="M5" s="4">
        <f>April!R11</f>
        <v>43</v>
      </c>
    </row>
    <row r="6" spans="1:25" x14ac:dyDescent="0.25">
      <c r="A6" s="3" t="s">
        <v>7</v>
      </c>
      <c r="B6" s="2">
        <f t="shared" si="0"/>
        <v>5</v>
      </c>
      <c r="C6" s="14">
        <v>4</v>
      </c>
      <c r="D6" s="14">
        <v>2022</v>
      </c>
      <c r="E6" s="4">
        <f>IF(April!C12&gt;0,April!C12,0)</f>
        <v>5700</v>
      </c>
      <c r="F6" s="9">
        <f>'[2]PG&amp;E 2022'!$I$29</f>
        <v>0.11162848993173269</v>
      </c>
      <c r="G6" s="4">
        <f>IF(April!E12&gt;0,April!E12,0)</f>
        <v>11.516999999999999</v>
      </c>
      <c r="H6" s="10">
        <f>'[2]PG&amp;E 2022'!$I$13</f>
        <v>1.6449668897375704</v>
      </c>
      <c r="I6" s="4">
        <f>IF((April!I12+April!O12)&gt;0,(April!I12+April!O12),0)</f>
        <v>3601</v>
      </c>
      <c r="J6" s="10">
        <f>'[2]SF Water 2022'!$I$8</f>
        <v>3.8823686911508767E-2</v>
      </c>
      <c r="K6" s="4">
        <f>IF((April!G12+April!M12)&gt;0,(April!G12+April!M12),0)</f>
        <v>6.3000000000000007</v>
      </c>
      <c r="L6" s="10">
        <f>'[2]Clearway Energy 2022 '!$I$8</f>
        <v>41.961900097943193</v>
      </c>
      <c r="M6" s="4">
        <f>April!R12</f>
        <v>61</v>
      </c>
    </row>
    <row r="7" spans="1:25" x14ac:dyDescent="0.25">
      <c r="A7" s="3" t="s">
        <v>7</v>
      </c>
      <c r="B7" s="2">
        <f t="shared" si="0"/>
        <v>6</v>
      </c>
      <c r="C7" s="14">
        <v>4</v>
      </c>
      <c r="D7" s="14">
        <v>2022</v>
      </c>
      <c r="E7" s="4">
        <f>IF(April!C13&gt;0,April!C13,0)</f>
        <v>4200</v>
      </c>
      <c r="F7" s="9">
        <f>'[2]PG&amp;E 2022'!$I$29</f>
        <v>0.11162848993173269</v>
      </c>
      <c r="G7" s="4">
        <f>IF(April!E13&gt;0,April!E13,0)</f>
        <v>7.3289999999999997</v>
      </c>
      <c r="H7" s="10">
        <f>'[2]PG&amp;E 2022'!$I$13</f>
        <v>1.6449668897375704</v>
      </c>
      <c r="I7" s="4">
        <f>IF((April!I13+April!O13)&gt;0,(April!I13+April!O13),0)</f>
        <v>8759</v>
      </c>
      <c r="J7" s="10">
        <f>'[2]SF Water 2022'!$I$8</f>
        <v>3.8823686911508767E-2</v>
      </c>
      <c r="K7" s="4">
        <f>IF((April!G13+April!M13)&gt;0,(April!G13+April!M13),0)</f>
        <v>4.4000000000000004</v>
      </c>
      <c r="L7" s="10">
        <f>'[2]Clearway Energy 2022 '!$I$8</f>
        <v>41.961900097943193</v>
      </c>
      <c r="M7" s="4">
        <f>April!R13</f>
        <v>64</v>
      </c>
    </row>
    <row r="8" spans="1:25" x14ac:dyDescent="0.25">
      <c r="A8" s="3" t="s">
        <v>7</v>
      </c>
      <c r="B8" s="2">
        <f t="shared" si="0"/>
        <v>7</v>
      </c>
      <c r="C8" s="14">
        <v>4</v>
      </c>
      <c r="D8" s="14">
        <v>2022</v>
      </c>
      <c r="E8" s="4">
        <f>IF(April!C14&gt;0,April!C14,0)</f>
        <v>6300</v>
      </c>
      <c r="F8" s="9">
        <f>'[2]PG&amp;E 2022'!$I$29</f>
        <v>0.11162848993173269</v>
      </c>
      <c r="G8" s="4">
        <f>IF(April!E14&gt;0,April!E14,0)</f>
        <v>9.423</v>
      </c>
      <c r="H8" s="10">
        <f>'[2]PG&amp;E 2022'!$I$13</f>
        <v>1.6449668897375704</v>
      </c>
      <c r="I8" s="4">
        <f>IF((April!I14+April!O14)&gt;0,(April!I14+April!O14),0)</f>
        <v>9750</v>
      </c>
      <c r="J8" s="10">
        <f>'[2]SF Water 2022'!$I$8</f>
        <v>3.8823686911508767E-2</v>
      </c>
      <c r="K8" s="4">
        <f>IF((April!G14+April!M14)&gt;0,(April!G14+April!M14),0)</f>
        <v>6.1</v>
      </c>
      <c r="L8" s="10">
        <f>'[2]Clearway Energy 2022 '!$I$8</f>
        <v>41.961900097943193</v>
      </c>
      <c r="M8" s="4">
        <f>April!R14</f>
        <v>71</v>
      </c>
    </row>
    <row r="9" spans="1:25" x14ac:dyDescent="0.25">
      <c r="A9" s="3" t="s">
        <v>7</v>
      </c>
      <c r="B9" s="2">
        <f t="shared" si="0"/>
        <v>8</v>
      </c>
      <c r="C9" s="14">
        <v>4</v>
      </c>
      <c r="D9" s="14">
        <v>2022</v>
      </c>
      <c r="E9" s="4">
        <f>IF(April!C15&gt;0,April!C15,0)</f>
        <v>6900</v>
      </c>
      <c r="F9" s="9">
        <f>'[2]PG&amp;E 2022'!$I$29</f>
        <v>0.11162848993173269</v>
      </c>
      <c r="G9" s="4">
        <f>IF(April!E15&gt;0,April!E15,0)</f>
        <v>9.423</v>
      </c>
      <c r="H9" s="10">
        <f>'[2]PG&amp;E 2022'!$I$13</f>
        <v>1.6449668897375704</v>
      </c>
      <c r="I9" s="4">
        <f>IF((April!I15+April!O15)&gt;0,(April!I15+April!O15),0)</f>
        <v>9050</v>
      </c>
      <c r="J9" s="10">
        <f>'[2]SF Water 2022'!$I$8</f>
        <v>3.8823686911508767E-2</v>
      </c>
      <c r="K9" s="4">
        <f>IF((April!G15+April!M15)&gt;0,(April!G15+April!M15),0)</f>
        <v>5.2000000000000011</v>
      </c>
      <c r="L9" s="10">
        <f>'[2]Clearway Energy 2022 '!$I$8</f>
        <v>41.961900097943193</v>
      </c>
      <c r="M9" s="4">
        <f>April!R15</f>
        <v>61</v>
      </c>
    </row>
    <row r="10" spans="1:25" x14ac:dyDescent="0.25">
      <c r="A10" s="3" t="s">
        <v>7</v>
      </c>
      <c r="B10" s="2">
        <f t="shared" si="0"/>
        <v>9</v>
      </c>
      <c r="C10" s="14">
        <v>4</v>
      </c>
      <c r="D10" s="14">
        <v>2022</v>
      </c>
      <c r="E10" s="4">
        <f>IF(April!C16&gt;0,April!C16,0)</f>
        <v>6900</v>
      </c>
      <c r="F10" s="9">
        <f>'[2]PG&amp;E 2022'!$I$29</f>
        <v>0.11162848993173269</v>
      </c>
      <c r="G10" s="4">
        <f>IF(April!E16&gt;0,April!E16,0)</f>
        <v>10.469999999999999</v>
      </c>
      <c r="H10" s="10">
        <f>'[2]PG&amp;E 2022'!$I$13</f>
        <v>1.6449668897375704</v>
      </c>
      <c r="I10" s="4">
        <f>IF((April!I16+April!O16)&gt;0,(April!I16+April!O16),0)</f>
        <v>10300</v>
      </c>
      <c r="J10" s="10">
        <f>'[2]SF Water 2022'!$I$8</f>
        <v>3.8823686911508767E-2</v>
      </c>
      <c r="K10" s="4">
        <f>IF((April!G16+April!M16)&gt;0,(April!G16+April!M16),0)</f>
        <v>6.0000000000000009</v>
      </c>
      <c r="L10" s="10">
        <f>'[2]Clearway Energy 2022 '!$I$8</f>
        <v>41.961900097943193</v>
      </c>
      <c r="M10" s="4">
        <f>April!R16</f>
        <v>64</v>
      </c>
    </row>
    <row r="11" spans="1:25" x14ac:dyDescent="0.25">
      <c r="A11" s="3" t="s">
        <v>7</v>
      </c>
      <c r="B11" s="2">
        <f t="shared" si="0"/>
        <v>10</v>
      </c>
      <c r="C11" s="14">
        <v>4</v>
      </c>
      <c r="D11" s="14">
        <v>2022</v>
      </c>
      <c r="E11" s="4">
        <f>IF(April!C17&gt;0,April!C17,0)</f>
        <v>6900</v>
      </c>
      <c r="F11" s="9">
        <f>'[2]PG&amp;E 2022'!$I$29</f>
        <v>0.11162848993173269</v>
      </c>
      <c r="G11" s="4">
        <f>IF(April!E17&gt;0,April!E17,0)</f>
        <v>12.564</v>
      </c>
      <c r="H11" s="10">
        <f>'[2]PG&amp;E 2022'!$I$13</f>
        <v>1.6449668897375704</v>
      </c>
      <c r="I11" s="4">
        <f>IF((April!I17+April!O17)&gt;0,(April!I17+April!O17),0)</f>
        <v>10317</v>
      </c>
      <c r="J11" s="10">
        <f>'[2]SF Water 2022'!$I$8</f>
        <v>3.8823686911508767E-2</v>
      </c>
      <c r="K11" s="4">
        <f>IF((April!G17+April!M17)&gt;0,(April!G17+April!M17),0)</f>
        <v>7.2000000000000011</v>
      </c>
      <c r="L11" s="10">
        <f>'[2]Clearway Energy 2022 '!$I$8</f>
        <v>41.961900097943193</v>
      </c>
      <c r="M11" s="4">
        <f>April!R17</f>
        <v>61</v>
      </c>
    </row>
    <row r="12" spans="1:25" x14ac:dyDescent="0.25">
      <c r="A12" s="3" t="s">
        <v>7</v>
      </c>
      <c r="B12" s="2">
        <f t="shared" si="0"/>
        <v>11</v>
      </c>
      <c r="C12" s="14">
        <v>4</v>
      </c>
      <c r="D12" s="14">
        <v>2022</v>
      </c>
      <c r="E12" s="4">
        <f>IF(April!C18&gt;0,April!C18,0)</f>
        <v>6600</v>
      </c>
      <c r="F12" s="9">
        <f>'[2]PG&amp;E 2022'!$I$29</f>
        <v>0.11162848993173269</v>
      </c>
      <c r="G12" s="4">
        <f>IF(April!E18&gt;0,April!E18,0)</f>
        <v>12.564</v>
      </c>
      <c r="H12" s="10">
        <f>'[2]PG&amp;E 2022'!$I$13</f>
        <v>1.6449668897375704</v>
      </c>
      <c r="I12" s="4">
        <f>IF((April!I18+April!O18)&gt;0,(April!I18+April!O18),0)</f>
        <v>8918</v>
      </c>
      <c r="J12" s="10">
        <f>'[2]SF Water 2022'!$I$8</f>
        <v>3.8823686911508767E-2</v>
      </c>
      <c r="K12" s="4">
        <f>IF((April!G18+April!M18)&gt;0,(April!G18+April!M18),0)</f>
        <v>7.4</v>
      </c>
      <c r="L12" s="10">
        <f>'[2]Clearway Energy 2022 '!$I$8</f>
        <v>41.961900097943193</v>
      </c>
      <c r="M12" s="4">
        <f>April!R18</f>
        <v>44</v>
      </c>
    </row>
    <row r="13" spans="1:25" x14ac:dyDescent="0.25">
      <c r="A13" s="3" t="s">
        <v>7</v>
      </c>
      <c r="B13" s="2">
        <f t="shared" si="0"/>
        <v>12</v>
      </c>
      <c r="C13" s="14">
        <v>4</v>
      </c>
      <c r="D13" s="14">
        <v>2022</v>
      </c>
      <c r="E13" s="4">
        <f>IF(April!C19&gt;0,April!C19,0)</f>
        <v>5400</v>
      </c>
      <c r="F13" s="9">
        <f>'[2]PG&amp;E 2022'!$I$29</f>
        <v>0.11162848993173269</v>
      </c>
      <c r="G13" s="4">
        <f>IF(April!E19&gt;0,April!E19,0)</f>
        <v>10.469999999999999</v>
      </c>
      <c r="H13" s="10">
        <f>'[2]PG&amp;E 2022'!$I$13</f>
        <v>1.6449668897375704</v>
      </c>
      <c r="I13" s="4">
        <f>IF((April!I19+April!O19)&gt;0,(April!I19+April!O19),0)</f>
        <v>7201</v>
      </c>
      <c r="J13" s="10">
        <f>'[2]SF Water 2022'!$I$8</f>
        <v>3.8823686911508767E-2</v>
      </c>
      <c r="K13" s="4">
        <f>IF((April!G19+April!M19)&gt;0,(April!G19+April!M19),0)</f>
        <v>8.9</v>
      </c>
      <c r="L13" s="10">
        <f>'[2]Clearway Energy 2022 '!$I$8</f>
        <v>41.961900097943193</v>
      </c>
      <c r="M13" s="4">
        <f>April!R19</f>
        <v>65</v>
      </c>
    </row>
    <row r="14" spans="1:25" x14ac:dyDescent="0.25">
      <c r="A14" s="3" t="s">
        <v>7</v>
      </c>
      <c r="B14" s="2">
        <f t="shared" si="0"/>
        <v>13</v>
      </c>
      <c r="C14" s="14">
        <v>4</v>
      </c>
      <c r="D14" s="14">
        <v>2022</v>
      </c>
      <c r="E14" s="4">
        <f>IF(April!C20&gt;0,April!C20,0)</f>
        <v>4200</v>
      </c>
      <c r="F14" s="9">
        <f>'[2]PG&amp;E 2022'!$I$29</f>
        <v>0.11162848993173269</v>
      </c>
      <c r="G14" s="4">
        <f>IF(April!E20&gt;0,April!E20,0)</f>
        <v>7.3289999999999997</v>
      </c>
      <c r="H14" s="10">
        <f>'[2]PG&amp;E 2022'!$I$13</f>
        <v>1.6449668897375704</v>
      </c>
      <c r="I14" s="4">
        <f>IF((April!I20+April!O20)&gt;0,(April!I20+April!O20),0)</f>
        <v>5564</v>
      </c>
      <c r="J14" s="10">
        <f>'[2]SF Water 2022'!$I$8</f>
        <v>3.8823686911508767E-2</v>
      </c>
      <c r="K14" s="4">
        <f>IF((April!G20+April!M20)&gt;0,(April!G20+April!M20),0)</f>
        <v>7.7</v>
      </c>
      <c r="L14" s="10">
        <f>'[2]Clearway Energy 2022 '!$I$8</f>
        <v>41.961900097943193</v>
      </c>
      <c r="M14" s="4">
        <f>April!R20</f>
        <v>75</v>
      </c>
    </row>
    <row r="15" spans="1:25" x14ac:dyDescent="0.25">
      <c r="A15" s="3" t="s">
        <v>7</v>
      </c>
      <c r="B15" s="2">
        <f t="shared" si="0"/>
        <v>14</v>
      </c>
      <c r="C15" s="14">
        <v>4</v>
      </c>
      <c r="D15" s="14">
        <v>2022</v>
      </c>
      <c r="E15" s="4">
        <f>IF(April!C21&gt;0,April!C21,0)</f>
        <v>6300</v>
      </c>
      <c r="F15" s="9">
        <f>'[2]PG&amp;E 2022'!$I$29</f>
        <v>0.11162848993173269</v>
      </c>
      <c r="G15" s="4">
        <f>IF(April!E21&gt;0,April!E21,0)</f>
        <v>11.516999999999999</v>
      </c>
      <c r="H15" s="10">
        <f>'[2]PG&amp;E 2022'!$I$13</f>
        <v>1.6449668897375704</v>
      </c>
      <c r="I15" s="4">
        <f>IF((April!I21+April!O21)&gt;0,(April!I21+April!O21),0)</f>
        <v>8130</v>
      </c>
      <c r="J15" s="10">
        <f>'[2]SF Water 2022'!$I$8</f>
        <v>3.8823686911508767E-2</v>
      </c>
      <c r="K15" s="4">
        <f>IF((April!G21+April!M21)&gt;0,(April!G21+April!M21),0)</f>
        <v>9.2000000000000011</v>
      </c>
      <c r="L15" s="10">
        <f>'[2]Clearway Energy 2022 '!$I$8</f>
        <v>41.961900097943193</v>
      </c>
      <c r="M15" s="4">
        <f>April!R21</f>
        <v>56</v>
      </c>
    </row>
    <row r="16" spans="1:25" x14ac:dyDescent="0.25">
      <c r="A16" s="3" t="s">
        <v>7</v>
      </c>
      <c r="B16" s="2">
        <f t="shared" si="0"/>
        <v>15</v>
      </c>
      <c r="C16" s="14">
        <v>4</v>
      </c>
      <c r="D16" s="14">
        <v>2022</v>
      </c>
      <c r="E16" s="4">
        <f>IF(April!C22&gt;0,April!C22,0)</f>
        <v>4800</v>
      </c>
      <c r="F16" s="9">
        <f>'[2]PG&amp;E 2022'!$I$29</f>
        <v>0.11162848993173269</v>
      </c>
      <c r="G16" s="4">
        <f>IF(April!E22&gt;0,April!E22,0)</f>
        <v>9.423</v>
      </c>
      <c r="H16" s="10">
        <f>'[2]PG&amp;E 2022'!$I$13</f>
        <v>1.6449668897375704</v>
      </c>
      <c r="I16" s="4">
        <f>IF((April!I22+April!O22)&gt;0,(April!I22+April!O22),0)</f>
        <v>5460</v>
      </c>
      <c r="J16" s="10">
        <f>'[2]SF Water 2022'!$I$8</f>
        <v>3.8823686911508767E-2</v>
      </c>
      <c r="K16" s="4">
        <f>IF((April!G22+April!M22)&gt;0,(April!G22+April!M22),0)</f>
        <v>7.2000000000000011</v>
      </c>
      <c r="L16" s="10">
        <f>'[2]Clearway Energy 2022 '!$I$8</f>
        <v>41.961900097943193</v>
      </c>
      <c r="M16" s="4">
        <f>April!R22</f>
        <v>55</v>
      </c>
    </row>
    <row r="17" spans="1:13" x14ac:dyDescent="0.25">
      <c r="A17" s="3" t="s">
        <v>7</v>
      </c>
      <c r="B17" s="2">
        <f t="shared" si="0"/>
        <v>16</v>
      </c>
      <c r="C17" s="14">
        <v>4</v>
      </c>
      <c r="D17" s="14">
        <v>2022</v>
      </c>
      <c r="E17" s="4">
        <f>IF(April!C23&gt;0,April!C23,0)</f>
        <v>5400</v>
      </c>
      <c r="F17" s="9">
        <f>'[2]PG&amp;E 2022'!$I$29</f>
        <v>0.11162848993173269</v>
      </c>
      <c r="G17" s="4">
        <f>IF(April!E23&gt;0,April!E23,0)</f>
        <v>12.564</v>
      </c>
      <c r="H17" s="10">
        <f>'[2]PG&amp;E 2022'!$I$13</f>
        <v>1.6449668897375704</v>
      </c>
      <c r="I17" s="4">
        <f>IF((April!I23+April!O23)&gt;0,(April!I23+April!O23),0)</f>
        <v>7205</v>
      </c>
      <c r="J17" s="10">
        <f>'[2]SF Water 2022'!$I$8</f>
        <v>3.8823686911508767E-2</v>
      </c>
      <c r="K17" s="4">
        <f>IF((April!G23+April!M23)&gt;0,(April!G23+April!M23),0)</f>
        <v>7.6000000000000005</v>
      </c>
      <c r="L17" s="10">
        <f>'[2]Clearway Energy 2022 '!$I$8</f>
        <v>41.961900097943193</v>
      </c>
      <c r="M17" s="4">
        <f>April!R23</f>
        <v>58</v>
      </c>
    </row>
    <row r="18" spans="1:13" x14ac:dyDescent="0.25">
      <c r="A18" s="3" t="s">
        <v>7</v>
      </c>
      <c r="B18" s="2">
        <f t="shared" si="0"/>
        <v>17</v>
      </c>
      <c r="C18" s="14">
        <v>4</v>
      </c>
      <c r="D18" s="14">
        <v>2022</v>
      </c>
      <c r="E18" s="4">
        <f>IF(April!C24&gt;0,April!C24,0)</f>
        <v>6300</v>
      </c>
      <c r="F18" s="9">
        <f>'[2]PG&amp;E 2022'!$I$29</f>
        <v>0.11162848993173269</v>
      </c>
      <c r="G18" s="4">
        <f>IF(April!E24&gt;0,April!E24,0)</f>
        <v>15.704999999999998</v>
      </c>
      <c r="H18" s="10">
        <f>'[2]PG&amp;E 2022'!$I$13</f>
        <v>1.6449668897375704</v>
      </c>
      <c r="I18" s="4">
        <f>IF((April!I24+April!O24)&gt;0,(April!I24+April!O24),0)</f>
        <v>9027</v>
      </c>
      <c r="J18" s="10">
        <f>'[2]SF Water 2022'!$I$8</f>
        <v>3.8823686911508767E-2</v>
      </c>
      <c r="K18" s="4">
        <f>IF((April!G24+April!M24)&gt;0,(April!G24+April!M24),0)</f>
        <v>9.9</v>
      </c>
      <c r="L18" s="10">
        <f>'[2]Clearway Energy 2022 '!$I$8</f>
        <v>41.961900097943193</v>
      </c>
      <c r="M18" s="4">
        <f>April!R24</f>
        <v>50</v>
      </c>
    </row>
    <row r="19" spans="1:13" x14ac:dyDescent="0.25">
      <c r="A19" s="3" t="s">
        <v>7</v>
      </c>
      <c r="B19" s="2">
        <f t="shared" si="0"/>
        <v>18</v>
      </c>
      <c r="C19" s="14">
        <v>4</v>
      </c>
      <c r="D19" s="14">
        <v>2022</v>
      </c>
      <c r="E19" s="4">
        <f>IF(April!C25&gt;0,April!C25,0)</f>
        <v>6900</v>
      </c>
      <c r="F19" s="9">
        <f>'[2]PG&amp;E 2022'!$I$29</f>
        <v>0.11162848993173269</v>
      </c>
      <c r="G19" s="4">
        <f>IF(April!E25&gt;0,April!E25,0)</f>
        <v>15.704999999999998</v>
      </c>
      <c r="H19" s="10">
        <f>'[2]PG&amp;E 2022'!$I$13</f>
        <v>1.6449668897375704</v>
      </c>
      <c r="I19" s="4">
        <f>IF((April!I25+April!O25)&gt;0,(April!I25+April!O25),0)</f>
        <v>9402</v>
      </c>
      <c r="J19" s="10">
        <f>'[2]SF Water 2022'!$I$8</f>
        <v>3.8823686911508767E-2</v>
      </c>
      <c r="K19" s="4">
        <f>IF((April!G25+April!M25)&gt;0,(April!G25+April!M25),0)</f>
        <v>10.900000000000002</v>
      </c>
      <c r="L19" s="10">
        <f>'[2]Clearway Energy 2022 '!$I$8</f>
        <v>41.961900097943193</v>
      </c>
      <c r="M19" s="4">
        <f>April!R25</f>
        <v>53</v>
      </c>
    </row>
    <row r="20" spans="1:13" x14ac:dyDescent="0.25">
      <c r="A20" s="3" t="s">
        <v>7</v>
      </c>
      <c r="B20" s="2">
        <f t="shared" si="0"/>
        <v>19</v>
      </c>
      <c r="C20" s="14">
        <v>4</v>
      </c>
      <c r="D20" s="14">
        <v>2022</v>
      </c>
      <c r="E20" s="4">
        <f>IF(April!C26&gt;0,April!C26,0)</f>
        <v>4200</v>
      </c>
      <c r="F20" s="9">
        <f>'[2]PG&amp;E 2022'!$I$29</f>
        <v>0.11162848993173269</v>
      </c>
      <c r="G20" s="4">
        <f>IF(April!E26&gt;0,April!E26,0)</f>
        <v>10.469999999999999</v>
      </c>
      <c r="H20" s="10">
        <f>'[2]PG&amp;E 2022'!$I$13</f>
        <v>1.6449668897375704</v>
      </c>
      <c r="I20" s="4">
        <f>IF((April!I26+April!O26)&gt;0,(April!I26+April!O26),0)</f>
        <v>5672</v>
      </c>
      <c r="J20" s="10">
        <f>'[2]SF Water 2022'!$I$8</f>
        <v>3.8823686911508767E-2</v>
      </c>
      <c r="K20" s="4">
        <f>IF((April!G26+April!M26)&gt;0,(April!G26+April!M26),0)</f>
        <v>7.2</v>
      </c>
      <c r="L20" s="10">
        <f>'[2]Clearway Energy 2022 '!$I$8</f>
        <v>41.961900097943193</v>
      </c>
      <c r="M20" s="4">
        <f>April!R26</f>
        <v>62</v>
      </c>
    </row>
    <row r="21" spans="1:13" x14ac:dyDescent="0.25">
      <c r="A21" s="3" t="s">
        <v>7</v>
      </c>
      <c r="B21" s="2">
        <f t="shared" si="0"/>
        <v>20</v>
      </c>
      <c r="C21" s="14">
        <v>4</v>
      </c>
      <c r="D21" s="14">
        <v>2022</v>
      </c>
      <c r="E21" s="4">
        <f>IF(April!C27&gt;0,April!C27,0)</f>
        <v>3900</v>
      </c>
      <c r="F21" s="9">
        <f>'[2]PG&amp;E 2022'!$I$29</f>
        <v>0.11162848993173269</v>
      </c>
      <c r="G21" s="4">
        <f>IF(April!E27&gt;0,April!E27,0)</f>
        <v>8.3759999999999994</v>
      </c>
      <c r="H21" s="10">
        <f>'[2]PG&amp;E 2022'!$I$13</f>
        <v>1.6449668897375704</v>
      </c>
      <c r="I21" s="4">
        <f>IF((April!I27+April!O27)&gt;0,(April!I27+April!O27),0)</f>
        <v>4024</v>
      </c>
      <c r="J21" s="10">
        <f>'[2]SF Water 2022'!$I$8</f>
        <v>3.8823686911508767E-2</v>
      </c>
      <c r="K21" s="4">
        <f>IF((April!G27+April!M27)&gt;0,(April!G27+April!M27),0)</f>
        <v>3.6</v>
      </c>
      <c r="L21" s="10">
        <f>'[2]Clearway Energy 2022 '!$I$8</f>
        <v>41.961900097943193</v>
      </c>
      <c r="M21" s="4">
        <f>April!R27</f>
        <v>71</v>
      </c>
    </row>
    <row r="22" spans="1:13" x14ac:dyDescent="0.25">
      <c r="A22" s="3" t="s">
        <v>7</v>
      </c>
      <c r="B22" s="2">
        <f t="shared" si="0"/>
        <v>21</v>
      </c>
      <c r="C22" s="14">
        <v>4</v>
      </c>
      <c r="D22" s="14">
        <v>2022</v>
      </c>
      <c r="E22" s="4">
        <f>IF(April!C28&gt;0,April!C28,0)</f>
        <v>5100</v>
      </c>
      <c r="F22" s="9">
        <f>'[2]PG&amp;E 2022'!$I$29</f>
        <v>0.11162848993173269</v>
      </c>
      <c r="G22" s="4">
        <f>IF(April!E28&gt;0,April!E28,0)</f>
        <v>9.423</v>
      </c>
      <c r="H22" s="10">
        <f>'[2]PG&amp;E 2022'!$I$13</f>
        <v>1.6449668897375704</v>
      </c>
      <c r="I22" s="4">
        <f>IF((April!I28+April!O28)&gt;0,(April!I28+April!O28),0)</f>
        <v>7400</v>
      </c>
      <c r="J22" s="10">
        <f>'[2]SF Water 2022'!$I$8</f>
        <v>3.8823686911508767E-2</v>
      </c>
      <c r="K22" s="4">
        <f>IF((April!G28+April!M28)&gt;0,(April!G28+April!M28),0)</f>
        <v>6.4</v>
      </c>
      <c r="L22" s="10">
        <f>'[2]Clearway Energy 2022 '!$I$8</f>
        <v>41.961900097943193</v>
      </c>
      <c r="M22" s="4">
        <f>April!R28</f>
        <v>75</v>
      </c>
    </row>
    <row r="23" spans="1:13" x14ac:dyDescent="0.25">
      <c r="A23" s="3" t="s">
        <v>7</v>
      </c>
      <c r="B23" s="2">
        <f t="shared" si="0"/>
        <v>22</v>
      </c>
      <c r="C23" s="14">
        <v>4</v>
      </c>
      <c r="D23" s="14">
        <v>2022</v>
      </c>
      <c r="E23" s="4">
        <f>IF(April!C29&gt;0,April!C29,0)</f>
        <v>5700</v>
      </c>
      <c r="F23" s="9">
        <f>'[2]PG&amp;E 2022'!$I$29</f>
        <v>0.11162848993173269</v>
      </c>
      <c r="G23" s="4">
        <f>IF(April!E29&gt;0,April!E29,0)</f>
        <v>10.469999999999999</v>
      </c>
      <c r="H23" s="10">
        <f>'[2]PG&amp;E 2022'!$I$13</f>
        <v>1.6449668897375704</v>
      </c>
      <c r="I23" s="4">
        <f>IF((April!I29+April!O29)&gt;0,(April!I29+April!O29),0)</f>
        <v>7530</v>
      </c>
      <c r="J23" s="10">
        <f>'[2]SF Water 2022'!$I$8</f>
        <v>3.8823686911508767E-2</v>
      </c>
      <c r="K23" s="4">
        <f>IF((April!G29+April!M29)&gt;0,(April!G29+April!M29),0)</f>
        <v>6.8000000000000007</v>
      </c>
      <c r="L23" s="10">
        <f>'[2]Clearway Energy 2022 '!$I$8</f>
        <v>41.961900097943193</v>
      </c>
      <c r="M23" s="4">
        <f>April!R29</f>
        <v>77</v>
      </c>
    </row>
    <row r="24" spans="1:13" x14ac:dyDescent="0.25">
      <c r="A24" s="3" t="s">
        <v>7</v>
      </c>
      <c r="B24" s="2">
        <f t="shared" si="0"/>
        <v>23</v>
      </c>
      <c r="C24" s="14">
        <v>4</v>
      </c>
      <c r="D24" s="14">
        <v>2022</v>
      </c>
      <c r="E24" s="4">
        <f>IF(April!C30&gt;0,April!C30,0)</f>
        <v>5400</v>
      </c>
      <c r="F24" s="9">
        <f>'[2]PG&amp;E 2022'!$I$29</f>
        <v>0.11162848993173269</v>
      </c>
      <c r="G24" s="4">
        <f>IF(April!E30&gt;0,April!E30,0)</f>
        <v>11.516999999999999</v>
      </c>
      <c r="H24" s="10">
        <f>'[2]PG&amp;E 2022'!$I$13</f>
        <v>1.6449668897375704</v>
      </c>
      <c r="I24" s="4">
        <f>IF((April!I30+April!O30)&gt;0,(April!I30+April!O30),0)</f>
        <v>7370</v>
      </c>
      <c r="J24" s="10">
        <f>'[2]SF Water 2022'!$I$8</f>
        <v>3.8823686911508767E-2</v>
      </c>
      <c r="K24" s="4">
        <f>IF((April!G30+April!M30)&gt;0,(April!G30+April!M30),0)</f>
        <v>6.3000000000000007</v>
      </c>
      <c r="L24" s="10">
        <f>'[2]Clearway Energy 2022 '!$I$8</f>
        <v>41.961900097943193</v>
      </c>
      <c r="M24" s="4">
        <f>April!R30</f>
        <v>55</v>
      </c>
    </row>
    <row r="25" spans="1:13" x14ac:dyDescent="0.25">
      <c r="A25" s="3" t="s">
        <v>7</v>
      </c>
      <c r="B25" s="2">
        <f t="shared" si="0"/>
        <v>24</v>
      </c>
      <c r="C25" s="14">
        <v>4</v>
      </c>
      <c r="D25" s="14">
        <v>2022</v>
      </c>
      <c r="E25" s="4">
        <f>IF(April!C31&gt;0,April!C31,0)</f>
        <v>4800</v>
      </c>
      <c r="F25" s="9">
        <f>'[2]PG&amp;E 2022'!$I$29</f>
        <v>0.11162848993173269</v>
      </c>
      <c r="G25" s="4">
        <f>IF(April!E31&gt;0,April!E31,0)</f>
        <v>10.469999999999999</v>
      </c>
      <c r="H25" s="10">
        <f>'[2]PG&amp;E 2022'!$I$13</f>
        <v>1.6449668897375704</v>
      </c>
      <c r="I25" s="4">
        <f>IF((April!I31+April!O31)&gt;0,(April!I31+April!O31),0)</f>
        <v>8682</v>
      </c>
      <c r="J25" s="10">
        <f>'[2]SF Water 2022'!$I$8</f>
        <v>3.8823686911508767E-2</v>
      </c>
      <c r="K25" s="4">
        <f>IF((April!G31+April!M31)&gt;0,(April!G31+April!M31),0)</f>
        <v>8.8000000000000007</v>
      </c>
      <c r="L25" s="10">
        <f>'[2]Clearway Energy 2022 '!$I$8</f>
        <v>41.961900097943193</v>
      </c>
      <c r="M25" s="4">
        <f>April!R31</f>
        <v>62</v>
      </c>
    </row>
    <row r="26" spans="1:13" x14ac:dyDescent="0.25">
      <c r="A26" s="3" t="s">
        <v>7</v>
      </c>
      <c r="B26" s="2">
        <f>B25+1</f>
        <v>25</v>
      </c>
      <c r="C26" s="14">
        <v>4</v>
      </c>
      <c r="D26" s="14">
        <v>2022</v>
      </c>
      <c r="E26" s="4">
        <f>IF(April!C32&gt;0,April!C32,0)</f>
        <v>7500</v>
      </c>
      <c r="F26" s="9">
        <f>'[2]PG&amp;E 2022'!$I$29</f>
        <v>0.11162848993173269</v>
      </c>
      <c r="G26" s="4">
        <f>IF(April!E32&gt;0,April!E32,0)</f>
        <v>12.564</v>
      </c>
      <c r="H26" s="10">
        <f>'[2]PG&amp;E 2022'!$I$13</f>
        <v>1.6449668897375704</v>
      </c>
      <c r="I26" s="4">
        <f>IF((April!I32+April!O32)&gt;0,(April!I32+April!O32),0)</f>
        <v>9742</v>
      </c>
      <c r="J26" s="10">
        <f>'[2]SF Water 2022'!$I$8</f>
        <v>3.8823686911508767E-2</v>
      </c>
      <c r="K26" s="4">
        <f>IF((April!G32+April!M32)&gt;0,(April!G32+April!M32),0)</f>
        <v>6.2000000000000011</v>
      </c>
      <c r="L26" s="10">
        <f>'[2]Clearway Energy 2022 '!$I$8</f>
        <v>41.961900097943193</v>
      </c>
      <c r="M26" s="4">
        <f>April!R32</f>
        <v>56</v>
      </c>
    </row>
    <row r="27" spans="1:13" x14ac:dyDescent="0.25">
      <c r="A27" s="3" t="s">
        <v>7</v>
      </c>
      <c r="B27" s="2">
        <f t="shared" si="0"/>
        <v>26</v>
      </c>
      <c r="C27" s="14">
        <v>4</v>
      </c>
      <c r="D27" s="14">
        <v>2022</v>
      </c>
      <c r="E27" s="4">
        <f>IF(April!C33&gt;0,April!C33,0)</f>
        <v>5400</v>
      </c>
      <c r="F27" s="9">
        <f>'[2]PG&amp;E 2022'!$I$29</f>
        <v>0.11162848993173269</v>
      </c>
      <c r="G27" s="4">
        <f>IF(April!E33&gt;0,April!E33,0)</f>
        <v>10.469999999999999</v>
      </c>
      <c r="H27" s="10">
        <f>'[2]PG&amp;E 2022'!$I$13</f>
        <v>1.6449668897375704</v>
      </c>
      <c r="I27" s="4">
        <f>IF((April!I33+April!O33)&gt;0,(April!I33+April!O33),0)</f>
        <v>7191</v>
      </c>
      <c r="J27" s="10">
        <f>'[2]SF Water 2022'!$I$8</f>
        <v>3.8823686911508767E-2</v>
      </c>
      <c r="K27" s="4">
        <f>IF((April!G33+April!M33)&gt;0,(April!G33+April!M33),0)</f>
        <v>7.5</v>
      </c>
      <c r="L27" s="10">
        <f>'[2]Clearway Energy 2022 '!$I$8</f>
        <v>41.961900097943193</v>
      </c>
      <c r="M27" s="4">
        <f>April!R33</f>
        <v>77</v>
      </c>
    </row>
    <row r="28" spans="1:13" x14ac:dyDescent="0.25">
      <c r="A28" s="3" t="s">
        <v>7</v>
      </c>
      <c r="B28" s="2">
        <f t="shared" si="0"/>
        <v>27</v>
      </c>
      <c r="C28" s="14">
        <v>4</v>
      </c>
      <c r="D28" s="14">
        <v>2022</v>
      </c>
      <c r="E28" s="4">
        <f>IF(April!C34&gt;0,April!C34,0)</f>
        <v>4200</v>
      </c>
      <c r="F28" s="9">
        <f>'[2]PG&amp;E 2022'!$I$29</f>
        <v>0.11162848993173269</v>
      </c>
      <c r="G28" s="4">
        <f>IF(April!E34&gt;0,April!E34,0)</f>
        <v>7.3289999999999997</v>
      </c>
      <c r="H28" s="10">
        <f>'[2]PG&amp;E 2022'!$I$13</f>
        <v>1.6449668897375704</v>
      </c>
      <c r="I28" s="4">
        <f>IF((April!I34+April!O34)&gt;0,(April!I34+April!O34),0)</f>
        <v>5075</v>
      </c>
      <c r="J28" s="10">
        <f>'[2]SF Water 2022'!$I$8</f>
        <v>3.8823686911508767E-2</v>
      </c>
      <c r="K28" s="4">
        <f>IF((April!G34+April!M34)&gt;0,(April!G34+April!M34),0)</f>
        <v>5.3000000000000007</v>
      </c>
      <c r="L28" s="10">
        <f>'[2]Clearway Energy 2022 '!$I$8</f>
        <v>41.961900097943193</v>
      </c>
      <c r="M28" s="4">
        <f>April!R34</f>
        <v>85</v>
      </c>
    </row>
    <row r="29" spans="1:13" x14ac:dyDescent="0.25">
      <c r="A29" s="3" t="s">
        <v>7</v>
      </c>
      <c r="B29" s="2">
        <f t="shared" si="0"/>
        <v>28</v>
      </c>
      <c r="C29" s="14">
        <v>4</v>
      </c>
      <c r="D29" s="14">
        <v>2022</v>
      </c>
      <c r="E29" s="4">
        <f>IF(April!C35&gt;0,April!C35,0)</f>
        <v>5700</v>
      </c>
      <c r="F29" s="9">
        <f>'[2]PG&amp;E 2022'!$I$29</f>
        <v>0.11162848993173269</v>
      </c>
      <c r="G29" s="4">
        <f>IF(April!E35&gt;0,April!E35,0)</f>
        <v>10.469999999999999</v>
      </c>
      <c r="H29" s="10">
        <f>'[2]PG&amp;E 2022'!$I$13</f>
        <v>1.6449668897375704</v>
      </c>
      <c r="I29" s="4">
        <f>IF((April!I35+April!O35)&gt;0,(April!I35+April!O35),0)</f>
        <v>9675</v>
      </c>
      <c r="J29" s="10">
        <f>'[2]SF Water 2022'!$I$8</f>
        <v>3.8823686911508767E-2</v>
      </c>
      <c r="K29" s="4">
        <f>IF((April!G35+April!M35)&gt;0,(April!G35+April!M35),0)</f>
        <v>9.2000000000000011</v>
      </c>
      <c r="L29" s="10">
        <f>'[2]Clearway Energy 2022 '!$I$8</f>
        <v>41.961900097943193</v>
      </c>
      <c r="M29" s="4">
        <f>April!R35</f>
        <v>103</v>
      </c>
    </row>
    <row r="30" spans="1:13" x14ac:dyDescent="0.25">
      <c r="A30" s="3" t="s">
        <v>7</v>
      </c>
      <c r="B30" s="2">
        <f t="shared" si="0"/>
        <v>29</v>
      </c>
      <c r="C30" s="14">
        <v>4</v>
      </c>
      <c r="D30" s="14">
        <v>2022</v>
      </c>
      <c r="E30" s="4">
        <f>IF(April!C36&gt;0,April!C36,0)</f>
        <v>5700</v>
      </c>
      <c r="F30" s="9">
        <f>'[2]PG&amp;E 2022'!$I$29</f>
        <v>0.11162848993173269</v>
      </c>
      <c r="G30" s="4">
        <f>IF(April!E36&gt;0,April!E36,0)</f>
        <v>13.610999999999999</v>
      </c>
      <c r="H30" s="10">
        <f>'[2]PG&amp;E 2022'!$I$13</f>
        <v>1.6449668897375704</v>
      </c>
      <c r="I30" s="4">
        <f>IF((April!I36+April!O36)&gt;0,(April!I36+April!O36),0)</f>
        <v>7505</v>
      </c>
      <c r="J30" s="10">
        <f>'[2]SF Water 2022'!$I$8</f>
        <v>3.8823686911508767E-2</v>
      </c>
      <c r="K30" s="4">
        <f>IF((April!G36+April!M36)&gt;0,(April!G36+April!M36),0)</f>
        <v>7.3</v>
      </c>
      <c r="L30" s="10">
        <f>'[2]Clearway Energy 2022 '!$I$8</f>
        <v>41.961900097943193</v>
      </c>
      <c r="M30" s="4">
        <f>April!R36</f>
        <v>0</v>
      </c>
    </row>
    <row r="31" spans="1:13" x14ac:dyDescent="0.25">
      <c r="A31" s="3" t="s">
        <v>7</v>
      </c>
      <c r="B31" s="2">
        <f t="shared" si="0"/>
        <v>30</v>
      </c>
      <c r="C31" s="14">
        <v>4</v>
      </c>
      <c r="D31" s="14">
        <v>2022</v>
      </c>
      <c r="E31" s="4">
        <f>IF(April!C37&gt;0,April!C37,0)</f>
        <v>6000</v>
      </c>
      <c r="F31" s="9">
        <f>'[2]PG&amp;E 2022'!$I$29</f>
        <v>0.11162848993173269</v>
      </c>
      <c r="G31" s="4">
        <f>IF(April!E37&gt;0,April!E37,0)</f>
        <v>16.751999999999999</v>
      </c>
      <c r="H31" s="10">
        <f>'[2]PG&amp;E 2022'!$I$13</f>
        <v>1.6449668897375704</v>
      </c>
      <c r="I31" s="4">
        <f>IF((April!I37+April!O37)&gt;0,(April!I37+April!O37),0)</f>
        <v>8615</v>
      </c>
      <c r="J31" s="10">
        <f>'[2]SF Water 2022'!$I$8</f>
        <v>3.8823686911508767E-2</v>
      </c>
      <c r="K31" s="4">
        <f>IF((April!G37+April!M37)&gt;0,(April!G37+April!M37),0)</f>
        <v>6.5000000000000009</v>
      </c>
      <c r="L31" s="10">
        <f>'[2]Clearway Energy 2022 '!$I$8</f>
        <v>41.961900097943193</v>
      </c>
      <c r="M31" s="4">
        <f>April!R37</f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W40"/>
  <sheetViews>
    <sheetView tabSelected="1" showWhiteSpace="0" topLeftCell="O13" zoomScaleNormal="100" workbookViewId="0">
      <selection activeCell="AA35" sqref="AA35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8.5703125" style="16" customWidth="1"/>
    <col min="12" max="13" width="9.7109375" style="16" customWidth="1"/>
    <col min="14" max="15" width="13.7109375" style="16" customWidth="1"/>
    <col min="16" max="16" width="16.140625" style="16" customWidth="1"/>
    <col min="17" max="17" width="13.7109375" style="16" customWidth="1"/>
    <col min="18" max="19" width="9.140625" style="16"/>
    <col min="20" max="20" width="6.85546875" style="16" customWidth="1"/>
    <col min="21" max="21" width="8.140625" style="16" customWidth="1"/>
    <col min="22" max="16384" width="9.140625" style="16"/>
  </cols>
  <sheetData>
    <row r="1" spans="1:23" ht="18" customHeight="1" x14ac:dyDescent="0.25">
      <c r="A1" s="57"/>
      <c r="B1" s="57"/>
      <c r="C1" s="15"/>
    </row>
    <row r="2" spans="1:23" ht="21" x14ac:dyDescent="0.35">
      <c r="A2" s="58" t="s">
        <v>23</v>
      </c>
      <c r="B2" s="58"/>
      <c r="C2" s="58"/>
      <c r="D2" s="58"/>
      <c r="E2" s="58"/>
      <c r="F2" s="58"/>
      <c r="G2" s="58"/>
      <c r="H2" s="58"/>
      <c r="I2" s="58"/>
      <c r="J2" s="58"/>
      <c r="K2" s="17"/>
    </row>
    <row r="3" spans="1:23" ht="16.5" customHeight="1" x14ac:dyDescent="0.35">
      <c r="A3" s="58"/>
      <c r="B3" s="58"/>
      <c r="C3" s="58"/>
      <c r="D3" s="58"/>
      <c r="E3" s="58"/>
      <c r="F3" s="58"/>
      <c r="G3" s="58"/>
      <c r="H3" s="58"/>
      <c r="I3" s="58"/>
      <c r="J3" s="58"/>
      <c r="K3" s="17"/>
    </row>
    <row r="4" spans="1:23" s="19" customFormat="1" ht="24.75" customHeight="1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8"/>
    </row>
    <row r="5" spans="1:23" s="19" customFormat="1" ht="16.5" customHeight="1" x14ac:dyDescent="0.25">
      <c r="A5" s="18"/>
      <c r="B5" s="18"/>
      <c r="C5" s="18"/>
      <c r="D5" s="45"/>
      <c r="E5" s="18"/>
      <c r="F5" s="45"/>
      <c r="G5" s="18"/>
      <c r="H5" s="45"/>
      <c r="I5" s="18"/>
      <c r="J5" s="45"/>
      <c r="K5" s="18"/>
      <c r="L5" s="45"/>
      <c r="M5" s="18"/>
    </row>
    <row r="6" spans="1:23" s="19" customFormat="1" ht="49.5" customHeight="1" thickBot="1" x14ac:dyDescent="0.3">
      <c r="A6" s="42" t="s">
        <v>8</v>
      </c>
      <c r="B6" s="43">
        <f>[1]MARCH!B38</f>
        <v>20093</v>
      </c>
      <c r="C6" s="43"/>
      <c r="D6" s="43">
        <f>[1]MARCH!D38</f>
        <v>50264</v>
      </c>
      <c r="E6" s="43"/>
      <c r="F6" s="43">
        <f>[1]MARCH!F38</f>
        <v>30529</v>
      </c>
      <c r="G6" s="43"/>
      <c r="H6" s="43">
        <f>[1]MARCH!H38</f>
        <v>10906100</v>
      </c>
      <c r="I6" s="43"/>
      <c r="J6" s="43">
        <f>[1]MARCH!J38</f>
        <v>361992</v>
      </c>
      <c r="K6" s="43"/>
      <c r="L6" s="43">
        <f>[1]MARCH!L38</f>
        <v>25110</v>
      </c>
      <c r="M6" s="43"/>
      <c r="N6" s="44">
        <f>[1]MARCH!N38</f>
        <v>29769550</v>
      </c>
      <c r="O6" s="44"/>
      <c r="P6" s="44">
        <f>[1]MARCH!P38</f>
        <v>6281495</v>
      </c>
      <c r="Q6" s="44"/>
    </row>
    <row r="7" spans="1:23" s="20" customFormat="1" ht="47.25" customHeight="1" x14ac:dyDescent="0.25">
      <c r="A7" s="39" t="s">
        <v>9</v>
      </c>
      <c r="B7" s="21" t="s">
        <v>28</v>
      </c>
      <c r="C7" s="22" t="s">
        <v>10</v>
      </c>
      <c r="D7" s="21" t="s">
        <v>29</v>
      </c>
      <c r="E7" s="22" t="s">
        <v>11</v>
      </c>
      <c r="F7" s="23" t="s">
        <v>30</v>
      </c>
      <c r="G7" s="22" t="s">
        <v>12</v>
      </c>
      <c r="H7" s="21" t="s">
        <v>31</v>
      </c>
      <c r="I7" s="22" t="s">
        <v>13</v>
      </c>
      <c r="J7" s="23" t="s">
        <v>32</v>
      </c>
      <c r="K7" s="22" t="s">
        <v>14</v>
      </c>
      <c r="L7" s="23" t="s">
        <v>33</v>
      </c>
      <c r="M7" s="22" t="s">
        <v>12</v>
      </c>
      <c r="N7" s="23" t="s">
        <v>34</v>
      </c>
      <c r="O7" s="22" t="s">
        <v>13</v>
      </c>
      <c r="P7" s="23" t="s">
        <v>35</v>
      </c>
      <c r="Q7" s="35" t="s">
        <v>13</v>
      </c>
      <c r="R7" s="36" t="s">
        <v>22</v>
      </c>
      <c r="S7" s="27" t="s">
        <v>24</v>
      </c>
      <c r="T7" s="28" t="s">
        <v>25</v>
      </c>
      <c r="U7" s="49" t="s">
        <v>26</v>
      </c>
      <c r="V7" s="54" t="s">
        <v>27</v>
      </c>
      <c r="W7" s="50" t="s">
        <v>36</v>
      </c>
    </row>
    <row r="8" spans="1:23" ht="20.25" customHeight="1" x14ac:dyDescent="0.25">
      <c r="A8" s="40">
        <v>1</v>
      </c>
      <c r="B8" s="24">
        <v>20111</v>
      </c>
      <c r="C8" s="24">
        <f>+(B8-B6)*300</f>
        <v>5400</v>
      </c>
      <c r="D8" s="24">
        <v>50275</v>
      </c>
      <c r="E8" s="24">
        <f>+(D8-D6)*1.047</f>
        <v>11.516999999999999</v>
      </c>
      <c r="F8" s="24">
        <v>30540</v>
      </c>
      <c r="G8" s="24">
        <f>+(F8-F6)*0.1</f>
        <v>1.1000000000000001</v>
      </c>
      <c r="H8" s="24">
        <v>10906470</v>
      </c>
      <c r="I8" s="24">
        <f>+H8-H6</f>
        <v>370</v>
      </c>
      <c r="J8" s="24">
        <v>361992</v>
      </c>
      <c r="K8" s="24">
        <f>+J8-J6</f>
        <v>0</v>
      </c>
      <c r="L8" s="24">
        <v>25174</v>
      </c>
      <c r="M8" s="24">
        <f>+(L8-L6)*0.1</f>
        <v>6.4</v>
      </c>
      <c r="N8" s="24">
        <v>29775900</v>
      </c>
      <c r="O8" s="24">
        <f>+N8-N6</f>
        <v>6350</v>
      </c>
      <c r="P8" s="24">
        <v>6281495</v>
      </c>
      <c r="Q8" s="30">
        <f>+P8-P6</f>
        <v>0</v>
      </c>
      <c r="R8" s="37">
        <v>43</v>
      </c>
      <c r="S8" s="29">
        <v>61</v>
      </c>
      <c r="T8" s="24">
        <v>48</v>
      </c>
      <c r="U8" s="47">
        <f>(S8+T8)/2</f>
        <v>54.5</v>
      </c>
      <c r="V8" s="51">
        <f>65-U8</f>
        <v>10.5</v>
      </c>
      <c r="W8" s="55">
        <v>0</v>
      </c>
    </row>
    <row r="9" spans="1:23" ht="20.25" customHeight="1" x14ac:dyDescent="0.25">
      <c r="A9" s="40">
        <v>2</v>
      </c>
      <c r="B9" s="24">
        <v>20130</v>
      </c>
      <c r="C9" s="24">
        <f>+(B9-B8)*300</f>
        <v>5700</v>
      </c>
      <c r="D9" s="24">
        <v>50285</v>
      </c>
      <c r="E9" s="24">
        <f>+(D9-D8)*1.047</f>
        <v>10.469999999999999</v>
      </c>
      <c r="F9" s="24">
        <v>30551</v>
      </c>
      <c r="G9" s="24">
        <f>+(F9-F8)*0.1</f>
        <v>1.1000000000000001</v>
      </c>
      <c r="H9" s="24">
        <v>10906770</v>
      </c>
      <c r="I9" s="24">
        <f>+H9-H8</f>
        <v>300</v>
      </c>
      <c r="J9" s="24">
        <v>361992</v>
      </c>
      <c r="K9" s="24">
        <f>+J9-J8</f>
        <v>0</v>
      </c>
      <c r="L9" s="24">
        <v>25232</v>
      </c>
      <c r="M9" s="24">
        <f>+(L9-L8)*0.1</f>
        <v>5.8000000000000007</v>
      </c>
      <c r="N9" s="24">
        <v>29781900</v>
      </c>
      <c r="O9" s="24">
        <f>+N9-N8</f>
        <v>6000</v>
      </c>
      <c r="P9" s="24">
        <v>6281585</v>
      </c>
      <c r="Q9" s="30">
        <f>+P9-P8</f>
        <v>90</v>
      </c>
      <c r="R9" s="37">
        <v>41</v>
      </c>
      <c r="S9" s="29">
        <v>66</v>
      </c>
      <c r="T9" s="24">
        <v>49</v>
      </c>
      <c r="U9" s="47">
        <f t="shared" ref="U9:U37" si="0">(S9+T9)/2</f>
        <v>57.5</v>
      </c>
      <c r="V9" s="51">
        <f t="shared" ref="V9:V37" si="1">65-U9</f>
        <v>7.5</v>
      </c>
      <c r="W9" s="55">
        <v>0</v>
      </c>
    </row>
    <row r="10" spans="1:23" ht="20.25" customHeight="1" x14ac:dyDescent="0.25">
      <c r="A10" s="40">
        <v>3</v>
      </c>
      <c r="B10" s="24">
        <v>20152</v>
      </c>
      <c r="C10" s="24">
        <f t="shared" ref="C10:C37" si="2">+(B10-B9)*300</f>
        <v>6600</v>
      </c>
      <c r="D10" s="24">
        <v>50297</v>
      </c>
      <c r="E10" s="24">
        <f t="shared" ref="E10:E37" si="3">+(D10-D9)*1.047</f>
        <v>12.564</v>
      </c>
      <c r="F10" s="24">
        <v>30564</v>
      </c>
      <c r="G10" s="24">
        <f t="shared" ref="G10:G37" si="4">+(F10-F9)*0.1</f>
        <v>1.3</v>
      </c>
      <c r="H10" s="24">
        <v>10907770</v>
      </c>
      <c r="I10" s="24">
        <f>+H10-H9</f>
        <v>1000</v>
      </c>
      <c r="J10" s="24">
        <v>361992</v>
      </c>
      <c r="K10" s="24">
        <f>+J10-J9</f>
        <v>0</v>
      </c>
      <c r="L10" s="24">
        <v>25290</v>
      </c>
      <c r="M10" s="24">
        <f t="shared" ref="M10:M37" si="5">+(L10-L9)*0.1</f>
        <v>5.8000000000000007</v>
      </c>
      <c r="N10" s="24">
        <v>29791627</v>
      </c>
      <c r="O10" s="24">
        <f>+N10-N9</f>
        <v>9727</v>
      </c>
      <c r="P10" s="24">
        <v>6281860</v>
      </c>
      <c r="Q10" s="30">
        <f>+P10-P9</f>
        <v>275</v>
      </c>
      <c r="R10" s="37">
        <v>46</v>
      </c>
      <c r="S10" s="29">
        <v>65</v>
      </c>
      <c r="T10" s="24">
        <v>50</v>
      </c>
      <c r="U10" s="47">
        <f t="shared" si="0"/>
        <v>57.5</v>
      </c>
      <c r="V10" s="51">
        <f t="shared" si="1"/>
        <v>7.5</v>
      </c>
      <c r="W10" s="55">
        <v>0</v>
      </c>
    </row>
    <row r="11" spans="1:23" ht="20.25" customHeight="1" x14ac:dyDescent="0.25">
      <c r="A11" s="40">
        <v>4</v>
      </c>
      <c r="B11" s="24">
        <v>20170</v>
      </c>
      <c r="C11" s="24">
        <f t="shared" si="2"/>
        <v>5400</v>
      </c>
      <c r="D11" s="24">
        <v>50308</v>
      </c>
      <c r="E11" s="24">
        <f t="shared" si="3"/>
        <v>11.516999999999999</v>
      </c>
      <c r="F11" s="24">
        <v>30575</v>
      </c>
      <c r="G11" s="24">
        <f t="shared" si="4"/>
        <v>1.1000000000000001</v>
      </c>
      <c r="H11" s="24">
        <v>10908680</v>
      </c>
      <c r="I11" s="24">
        <f t="shared" ref="I11:K37" si="6">+H11-H10</f>
        <v>910</v>
      </c>
      <c r="J11" s="24">
        <v>361992</v>
      </c>
      <c r="K11" s="24">
        <f t="shared" si="6"/>
        <v>0</v>
      </c>
      <c r="L11" s="24">
        <v>25338</v>
      </c>
      <c r="M11" s="24">
        <f t="shared" si="5"/>
        <v>4.8000000000000007</v>
      </c>
      <c r="N11" s="24">
        <v>29797850</v>
      </c>
      <c r="O11" s="24">
        <f t="shared" ref="O11:Q26" si="7">+N11-N10</f>
        <v>6223</v>
      </c>
      <c r="P11" s="24">
        <v>6281917</v>
      </c>
      <c r="Q11" s="30">
        <f t="shared" si="7"/>
        <v>57</v>
      </c>
      <c r="R11" s="37">
        <v>43</v>
      </c>
      <c r="S11" s="29">
        <v>63</v>
      </c>
      <c r="T11" s="24">
        <v>50</v>
      </c>
      <c r="U11" s="47">
        <f t="shared" si="0"/>
        <v>56.5</v>
      </c>
      <c r="V11" s="51">
        <f t="shared" si="1"/>
        <v>8.5</v>
      </c>
      <c r="W11" s="55">
        <v>0</v>
      </c>
    </row>
    <row r="12" spans="1:23" ht="20.25" customHeight="1" x14ac:dyDescent="0.25">
      <c r="A12" s="40">
        <v>5</v>
      </c>
      <c r="B12" s="24">
        <v>20189</v>
      </c>
      <c r="C12" s="24">
        <f t="shared" si="2"/>
        <v>5700</v>
      </c>
      <c r="D12" s="24">
        <v>50319</v>
      </c>
      <c r="E12" s="24">
        <f t="shared" si="3"/>
        <v>11.516999999999999</v>
      </c>
      <c r="F12" s="24">
        <v>30585</v>
      </c>
      <c r="G12" s="24">
        <f t="shared" si="4"/>
        <v>1</v>
      </c>
      <c r="H12" s="24">
        <v>10909711</v>
      </c>
      <c r="I12" s="24">
        <f t="shared" si="6"/>
        <v>1031</v>
      </c>
      <c r="J12" s="24">
        <v>361992</v>
      </c>
      <c r="K12" s="24">
        <f t="shared" si="6"/>
        <v>0</v>
      </c>
      <c r="L12" s="24">
        <v>25391</v>
      </c>
      <c r="M12" s="24">
        <f t="shared" si="5"/>
        <v>5.3000000000000007</v>
      </c>
      <c r="N12" s="24">
        <v>29800420</v>
      </c>
      <c r="O12" s="24">
        <f t="shared" si="7"/>
        <v>2570</v>
      </c>
      <c r="P12" s="24">
        <v>6282108</v>
      </c>
      <c r="Q12" s="30">
        <f t="shared" si="7"/>
        <v>191</v>
      </c>
      <c r="R12" s="37">
        <v>61</v>
      </c>
      <c r="S12" s="29">
        <v>71</v>
      </c>
      <c r="T12" s="24">
        <v>50</v>
      </c>
      <c r="U12" s="47">
        <f t="shared" si="0"/>
        <v>60.5</v>
      </c>
      <c r="V12" s="51">
        <f t="shared" si="1"/>
        <v>4.5</v>
      </c>
      <c r="W12" s="55">
        <v>0</v>
      </c>
    </row>
    <row r="13" spans="1:23" ht="20.25" customHeight="1" x14ac:dyDescent="0.25">
      <c r="A13" s="40">
        <v>6</v>
      </c>
      <c r="B13" s="24">
        <v>20203</v>
      </c>
      <c r="C13" s="24">
        <f t="shared" si="2"/>
        <v>4200</v>
      </c>
      <c r="D13" s="24">
        <v>50326</v>
      </c>
      <c r="E13" s="24">
        <f t="shared" si="3"/>
        <v>7.3289999999999997</v>
      </c>
      <c r="F13" s="24">
        <v>30593</v>
      </c>
      <c r="G13" s="24">
        <f t="shared" si="4"/>
        <v>0.8</v>
      </c>
      <c r="H13" s="24">
        <v>10910300</v>
      </c>
      <c r="I13" s="24">
        <f t="shared" si="6"/>
        <v>589</v>
      </c>
      <c r="J13" s="24">
        <v>361992</v>
      </c>
      <c r="K13" s="24">
        <f t="shared" si="6"/>
        <v>0</v>
      </c>
      <c r="L13" s="24">
        <v>25427</v>
      </c>
      <c r="M13" s="24">
        <f t="shared" si="5"/>
        <v>3.6</v>
      </c>
      <c r="N13" s="24">
        <v>29808590</v>
      </c>
      <c r="O13" s="24">
        <f t="shared" si="7"/>
        <v>8170</v>
      </c>
      <c r="P13" s="24">
        <v>6282149</v>
      </c>
      <c r="Q13" s="30">
        <f t="shared" si="7"/>
        <v>41</v>
      </c>
      <c r="R13" s="37">
        <v>64</v>
      </c>
      <c r="S13" s="29">
        <v>73</v>
      </c>
      <c r="T13" s="24">
        <v>53</v>
      </c>
      <c r="U13" s="47">
        <f t="shared" si="0"/>
        <v>63</v>
      </c>
      <c r="V13" s="51">
        <f t="shared" si="1"/>
        <v>2</v>
      </c>
      <c r="W13" s="55">
        <v>0</v>
      </c>
    </row>
    <row r="14" spans="1:23" ht="20.25" customHeight="1" x14ac:dyDescent="0.25">
      <c r="A14" s="40">
        <v>7</v>
      </c>
      <c r="B14" s="24">
        <v>20224</v>
      </c>
      <c r="C14" s="24">
        <f t="shared" si="2"/>
        <v>6300</v>
      </c>
      <c r="D14" s="24">
        <v>50335</v>
      </c>
      <c r="E14" s="24">
        <f t="shared" si="3"/>
        <v>9.423</v>
      </c>
      <c r="F14" s="24">
        <v>30604</v>
      </c>
      <c r="G14" s="24">
        <f t="shared" si="4"/>
        <v>1.1000000000000001</v>
      </c>
      <c r="H14" s="24">
        <v>10911170</v>
      </c>
      <c r="I14" s="24">
        <f t="shared" si="6"/>
        <v>870</v>
      </c>
      <c r="J14" s="24">
        <v>361992</v>
      </c>
      <c r="K14" s="24">
        <f t="shared" si="6"/>
        <v>0</v>
      </c>
      <c r="L14" s="24">
        <v>25477</v>
      </c>
      <c r="M14" s="24">
        <f t="shared" si="5"/>
        <v>5</v>
      </c>
      <c r="N14" s="24">
        <v>29817470</v>
      </c>
      <c r="O14" s="24">
        <f t="shared" si="7"/>
        <v>8880</v>
      </c>
      <c r="P14" s="24">
        <v>6283183</v>
      </c>
      <c r="Q14" s="30">
        <f t="shared" si="7"/>
        <v>1034</v>
      </c>
      <c r="R14" s="37">
        <v>71</v>
      </c>
      <c r="S14" s="29">
        <v>84</v>
      </c>
      <c r="T14" s="24">
        <v>49</v>
      </c>
      <c r="U14" s="47">
        <f t="shared" si="0"/>
        <v>66.5</v>
      </c>
      <c r="V14" s="52">
        <v>0</v>
      </c>
      <c r="W14" s="55">
        <f t="shared" ref="W14" si="8">U14-65</f>
        <v>1.5</v>
      </c>
    </row>
    <row r="15" spans="1:23" ht="20.25" customHeight="1" x14ac:dyDescent="0.25">
      <c r="A15" s="40">
        <v>8</v>
      </c>
      <c r="B15" s="24">
        <v>20247</v>
      </c>
      <c r="C15" s="24">
        <f t="shared" si="2"/>
        <v>6900</v>
      </c>
      <c r="D15" s="24">
        <v>50344</v>
      </c>
      <c r="E15" s="24">
        <f t="shared" si="3"/>
        <v>9.423</v>
      </c>
      <c r="F15" s="24">
        <v>30615</v>
      </c>
      <c r="G15" s="24">
        <f t="shared" si="4"/>
        <v>1.1000000000000001</v>
      </c>
      <c r="H15" s="24">
        <v>10912030</v>
      </c>
      <c r="I15" s="24">
        <f t="shared" si="6"/>
        <v>860</v>
      </c>
      <c r="J15" s="24">
        <v>361992</v>
      </c>
      <c r="K15" s="24">
        <f t="shared" si="6"/>
        <v>0</v>
      </c>
      <c r="L15" s="24">
        <v>25518</v>
      </c>
      <c r="M15" s="24">
        <f t="shared" si="5"/>
        <v>4.1000000000000005</v>
      </c>
      <c r="N15" s="24">
        <v>29825660</v>
      </c>
      <c r="O15" s="24">
        <f t="shared" si="7"/>
        <v>8190</v>
      </c>
      <c r="P15" s="24">
        <v>6284523</v>
      </c>
      <c r="Q15" s="30">
        <f t="shared" si="7"/>
        <v>1340</v>
      </c>
      <c r="R15" s="37">
        <v>61</v>
      </c>
      <c r="S15" s="29">
        <v>72</v>
      </c>
      <c r="T15" s="24">
        <v>48</v>
      </c>
      <c r="U15" s="47">
        <f t="shared" si="0"/>
        <v>60</v>
      </c>
      <c r="V15" s="51">
        <f t="shared" si="1"/>
        <v>5</v>
      </c>
      <c r="W15" s="55">
        <v>0</v>
      </c>
    </row>
    <row r="16" spans="1:23" ht="20.25" customHeight="1" x14ac:dyDescent="0.25">
      <c r="A16" s="40">
        <v>9</v>
      </c>
      <c r="B16" s="24">
        <v>20270</v>
      </c>
      <c r="C16" s="24">
        <f>+(B16-B15)*300</f>
        <v>6900</v>
      </c>
      <c r="D16" s="24">
        <v>50354</v>
      </c>
      <c r="E16" s="24">
        <f t="shared" si="3"/>
        <v>10.469999999999999</v>
      </c>
      <c r="F16" s="24">
        <v>30624</v>
      </c>
      <c r="G16" s="24">
        <f t="shared" si="4"/>
        <v>0.9</v>
      </c>
      <c r="H16" s="24">
        <v>10913000</v>
      </c>
      <c r="I16" s="24">
        <f t="shared" si="6"/>
        <v>970</v>
      </c>
      <c r="J16" s="24">
        <v>361992</v>
      </c>
      <c r="K16" s="24">
        <f t="shared" si="6"/>
        <v>0</v>
      </c>
      <c r="L16" s="24">
        <v>25569</v>
      </c>
      <c r="M16" s="24">
        <f t="shared" si="5"/>
        <v>5.1000000000000005</v>
      </c>
      <c r="N16" s="24">
        <v>29834990</v>
      </c>
      <c r="O16" s="24">
        <f t="shared" si="7"/>
        <v>9330</v>
      </c>
      <c r="P16" s="24">
        <v>6285372</v>
      </c>
      <c r="Q16" s="30">
        <f t="shared" si="7"/>
        <v>849</v>
      </c>
      <c r="R16" s="37">
        <v>64</v>
      </c>
      <c r="S16" s="29">
        <v>67</v>
      </c>
      <c r="T16" s="24">
        <v>51</v>
      </c>
      <c r="U16" s="47">
        <f t="shared" si="0"/>
        <v>59</v>
      </c>
      <c r="V16" s="51">
        <f t="shared" si="1"/>
        <v>6</v>
      </c>
      <c r="W16" s="55">
        <v>0</v>
      </c>
    </row>
    <row r="17" spans="1:23" ht="20.25" customHeight="1" x14ac:dyDescent="0.25">
      <c r="A17" s="40">
        <v>10</v>
      </c>
      <c r="B17" s="24">
        <v>20293</v>
      </c>
      <c r="C17" s="24">
        <f t="shared" si="2"/>
        <v>6900</v>
      </c>
      <c r="D17" s="24">
        <v>50366</v>
      </c>
      <c r="E17" s="24">
        <f t="shared" si="3"/>
        <v>12.564</v>
      </c>
      <c r="F17" s="24">
        <v>30635</v>
      </c>
      <c r="G17" s="24">
        <f t="shared" si="4"/>
        <v>1.1000000000000001</v>
      </c>
      <c r="H17" s="24">
        <v>10913909</v>
      </c>
      <c r="I17" s="24">
        <f t="shared" si="6"/>
        <v>909</v>
      </c>
      <c r="J17" s="24">
        <v>361992</v>
      </c>
      <c r="K17" s="24">
        <f t="shared" si="6"/>
        <v>0</v>
      </c>
      <c r="L17" s="24">
        <v>25630</v>
      </c>
      <c r="M17" s="24">
        <f t="shared" si="5"/>
        <v>6.1000000000000005</v>
      </c>
      <c r="N17" s="24">
        <v>29844398</v>
      </c>
      <c r="O17" s="24">
        <f t="shared" si="7"/>
        <v>9408</v>
      </c>
      <c r="P17" s="24">
        <v>6285938</v>
      </c>
      <c r="Q17" s="30">
        <f t="shared" si="7"/>
        <v>566</v>
      </c>
      <c r="R17" s="37">
        <v>61</v>
      </c>
      <c r="S17" s="29">
        <v>65</v>
      </c>
      <c r="T17" s="24">
        <v>50</v>
      </c>
      <c r="U17" s="47">
        <f t="shared" si="0"/>
        <v>57.5</v>
      </c>
      <c r="V17" s="51">
        <f t="shared" si="1"/>
        <v>7.5</v>
      </c>
      <c r="W17" s="55">
        <v>0</v>
      </c>
    </row>
    <row r="18" spans="1:23" ht="20.25" customHeight="1" x14ac:dyDescent="0.25">
      <c r="A18" s="40">
        <v>11</v>
      </c>
      <c r="B18" s="24">
        <v>20315</v>
      </c>
      <c r="C18" s="24">
        <f t="shared" si="2"/>
        <v>6600</v>
      </c>
      <c r="D18" s="24">
        <v>50378</v>
      </c>
      <c r="E18" s="24">
        <f t="shared" si="3"/>
        <v>12.564</v>
      </c>
      <c r="F18" s="24">
        <v>30644</v>
      </c>
      <c r="G18" s="24">
        <f t="shared" si="4"/>
        <v>0.9</v>
      </c>
      <c r="H18" s="24">
        <v>10915110</v>
      </c>
      <c r="I18" s="24">
        <f t="shared" si="6"/>
        <v>1201</v>
      </c>
      <c r="J18" s="24">
        <v>361992</v>
      </c>
      <c r="K18" s="24">
        <f t="shared" si="6"/>
        <v>0</v>
      </c>
      <c r="L18" s="24">
        <v>25695</v>
      </c>
      <c r="M18" s="24">
        <f t="shared" si="5"/>
        <v>6.5</v>
      </c>
      <c r="N18" s="24">
        <v>29852115</v>
      </c>
      <c r="O18" s="24">
        <f t="shared" si="7"/>
        <v>7717</v>
      </c>
      <c r="P18" s="24">
        <v>6286207</v>
      </c>
      <c r="Q18" s="30">
        <f t="shared" si="7"/>
        <v>269</v>
      </c>
      <c r="R18" s="37">
        <v>44</v>
      </c>
      <c r="S18" s="29">
        <v>54</v>
      </c>
      <c r="T18" s="24">
        <v>45</v>
      </c>
      <c r="U18" s="47">
        <f t="shared" si="0"/>
        <v>49.5</v>
      </c>
      <c r="V18" s="51">
        <f t="shared" si="1"/>
        <v>15.5</v>
      </c>
      <c r="W18" s="55">
        <v>0</v>
      </c>
    </row>
    <row r="19" spans="1:23" ht="20.25" customHeight="1" x14ac:dyDescent="0.25">
      <c r="A19" s="40">
        <v>12</v>
      </c>
      <c r="B19" s="24">
        <v>20333</v>
      </c>
      <c r="C19" s="24">
        <f t="shared" si="2"/>
        <v>5400</v>
      </c>
      <c r="D19" s="24">
        <v>50388</v>
      </c>
      <c r="E19" s="24">
        <f t="shared" si="3"/>
        <v>10.469999999999999</v>
      </c>
      <c r="F19" s="24">
        <v>30652</v>
      </c>
      <c r="G19" s="24">
        <f t="shared" si="4"/>
        <v>0.8</v>
      </c>
      <c r="H19" s="24">
        <v>10915855</v>
      </c>
      <c r="I19" s="24">
        <f t="shared" si="6"/>
        <v>745</v>
      </c>
      <c r="J19" s="24">
        <v>361992</v>
      </c>
      <c r="K19" s="24">
        <f t="shared" si="6"/>
        <v>0</v>
      </c>
      <c r="L19" s="24">
        <v>25776</v>
      </c>
      <c r="M19" s="24">
        <f t="shared" si="5"/>
        <v>8.1</v>
      </c>
      <c r="N19" s="24">
        <v>29858571</v>
      </c>
      <c r="O19" s="24">
        <f t="shared" si="7"/>
        <v>6456</v>
      </c>
      <c r="P19" s="24">
        <v>6286220</v>
      </c>
      <c r="Q19" s="30">
        <f t="shared" si="7"/>
        <v>13</v>
      </c>
      <c r="R19" s="37">
        <v>65</v>
      </c>
      <c r="S19" s="29">
        <v>55</v>
      </c>
      <c r="T19" s="24">
        <v>45</v>
      </c>
      <c r="U19" s="47">
        <f t="shared" si="0"/>
        <v>50</v>
      </c>
      <c r="V19" s="51">
        <f t="shared" si="1"/>
        <v>15</v>
      </c>
      <c r="W19" s="55">
        <v>0</v>
      </c>
    </row>
    <row r="20" spans="1:23" ht="20.25" customHeight="1" x14ac:dyDescent="0.25">
      <c r="A20" s="40">
        <v>13</v>
      </c>
      <c r="B20" s="24">
        <v>20347</v>
      </c>
      <c r="C20" s="24">
        <f t="shared" si="2"/>
        <v>4200</v>
      </c>
      <c r="D20" s="24">
        <v>50395</v>
      </c>
      <c r="E20" s="24">
        <f t="shared" si="3"/>
        <v>7.3289999999999997</v>
      </c>
      <c r="F20" s="24">
        <v>30660</v>
      </c>
      <c r="G20" s="24">
        <f t="shared" si="4"/>
        <v>0.8</v>
      </c>
      <c r="H20" s="24">
        <v>10916490</v>
      </c>
      <c r="I20" s="24">
        <f t="shared" si="6"/>
        <v>635</v>
      </c>
      <c r="J20" s="24">
        <v>361992</v>
      </c>
      <c r="K20" s="24">
        <f t="shared" si="6"/>
        <v>0</v>
      </c>
      <c r="L20" s="24">
        <v>25845</v>
      </c>
      <c r="M20" s="24">
        <f t="shared" si="5"/>
        <v>6.9</v>
      </c>
      <c r="N20" s="24">
        <v>29863500</v>
      </c>
      <c r="O20" s="24">
        <f t="shared" si="7"/>
        <v>4929</v>
      </c>
      <c r="P20" s="24">
        <v>6286224</v>
      </c>
      <c r="Q20" s="30">
        <f t="shared" si="7"/>
        <v>4</v>
      </c>
      <c r="R20" s="37">
        <v>75</v>
      </c>
      <c r="S20" s="29">
        <v>56</v>
      </c>
      <c r="T20" s="24">
        <v>46</v>
      </c>
      <c r="U20" s="47">
        <f t="shared" si="0"/>
        <v>51</v>
      </c>
      <c r="V20" s="51">
        <f t="shared" si="1"/>
        <v>14</v>
      </c>
      <c r="W20" s="55">
        <v>0</v>
      </c>
    </row>
    <row r="21" spans="1:23" ht="20.25" customHeight="1" x14ac:dyDescent="0.25">
      <c r="A21" s="40">
        <v>14</v>
      </c>
      <c r="B21" s="24">
        <v>20368</v>
      </c>
      <c r="C21" s="24">
        <f t="shared" si="2"/>
        <v>6300</v>
      </c>
      <c r="D21" s="24">
        <v>50406</v>
      </c>
      <c r="E21" s="24">
        <f t="shared" si="3"/>
        <v>11.516999999999999</v>
      </c>
      <c r="F21" s="24">
        <v>30669</v>
      </c>
      <c r="G21" s="24">
        <f t="shared" si="4"/>
        <v>0.9</v>
      </c>
      <c r="H21" s="24">
        <v>10917330</v>
      </c>
      <c r="I21" s="24">
        <f t="shared" si="6"/>
        <v>840</v>
      </c>
      <c r="J21" s="24">
        <v>361992</v>
      </c>
      <c r="K21" s="24">
        <f t="shared" si="6"/>
        <v>0</v>
      </c>
      <c r="L21" s="24">
        <v>25928</v>
      </c>
      <c r="M21" s="24">
        <f t="shared" si="5"/>
        <v>8.3000000000000007</v>
      </c>
      <c r="N21" s="24">
        <v>29870790</v>
      </c>
      <c r="O21" s="24">
        <f t="shared" si="7"/>
        <v>7290</v>
      </c>
      <c r="P21" s="24">
        <v>6286228</v>
      </c>
      <c r="Q21" s="30">
        <f t="shared" si="7"/>
        <v>4</v>
      </c>
      <c r="R21" s="37">
        <v>56</v>
      </c>
      <c r="S21" s="29">
        <v>57</v>
      </c>
      <c r="T21" s="24">
        <v>46</v>
      </c>
      <c r="U21" s="47">
        <f t="shared" si="0"/>
        <v>51.5</v>
      </c>
      <c r="V21" s="51">
        <f t="shared" si="1"/>
        <v>13.5</v>
      </c>
      <c r="W21" s="55">
        <v>0</v>
      </c>
    </row>
    <row r="22" spans="1:23" ht="20.25" customHeight="1" x14ac:dyDescent="0.25">
      <c r="A22" s="40">
        <v>15</v>
      </c>
      <c r="B22" s="24">
        <v>20384</v>
      </c>
      <c r="C22" s="24">
        <f t="shared" si="2"/>
        <v>4800</v>
      </c>
      <c r="D22" s="24">
        <v>50415</v>
      </c>
      <c r="E22" s="24">
        <f t="shared" si="3"/>
        <v>9.423</v>
      </c>
      <c r="F22" s="24">
        <v>30678</v>
      </c>
      <c r="G22" s="24">
        <f t="shared" si="4"/>
        <v>0.9</v>
      </c>
      <c r="H22" s="24">
        <v>10918200</v>
      </c>
      <c r="I22" s="24">
        <f t="shared" si="6"/>
        <v>870</v>
      </c>
      <c r="J22" s="24">
        <v>361992</v>
      </c>
      <c r="K22" s="24">
        <f t="shared" si="6"/>
        <v>0</v>
      </c>
      <c r="L22" s="24">
        <v>25991</v>
      </c>
      <c r="M22" s="24">
        <f t="shared" si="5"/>
        <v>6.3000000000000007</v>
      </c>
      <c r="N22" s="24">
        <v>29875380</v>
      </c>
      <c r="O22" s="24">
        <f t="shared" si="7"/>
        <v>4590</v>
      </c>
      <c r="P22" s="24">
        <v>6286228</v>
      </c>
      <c r="Q22" s="30">
        <f t="shared" si="7"/>
        <v>0</v>
      </c>
      <c r="R22" s="37">
        <v>55</v>
      </c>
      <c r="S22" s="29">
        <v>59</v>
      </c>
      <c r="T22" s="24">
        <v>48</v>
      </c>
      <c r="U22" s="47">
        <f t="shared" si="0"/>
        <v>53.5</v>
      </c>
      <c r="V22" s="51">
        <f t="shared" si="1"/>
        <v>11.5</v>
      </c>
      <c r="W22" s="55">
        <v>0</v>
      </c>
    </row>
    <row r="23" spans="1:23" ht="20.25" customHeight="1" x14ac:dyDescent="0.25">
      <c r="A23" s="40">
        <v>16</v>
      </c>
      <c r="B23" s="24">
        <v>20402</v>
      </c>
      <c r="C23" s="24">
        <f t="shared" si="2"/>
        <v>5400</v>
      </c>
      <c r="D23" s="24">
        <v>50427</v>
      </c>
      <c r="E23" s="24">
        <f t="shared" si="3"/>
        <v>12.564</v>
      </c>
      <c r="F23" s="24">
        <v>30687</v>
      </c>
      <c r="G23" s="24">
        <f t="shared" si="4"/>
        <v>0.9</v>
      </c>
      <c r="H23" s="24">
        <v>10919185</v>
      </c>
      <c r="I23" s="24">
        <f t="shared" si="6"/>
        <v>985</v>
      </c>
      <c r="J23" s="24">
        <v>361992</v>
      </c>
      <c r="K23" s="24">
        <f t="shared" si="6"/>
        <v>0</v>
      </c>
      <c r="L23" s="24">
        <v>26058</v>
      </c>
      <c r="M23" s="24">
        <f t="shared" si="5"/>
        <v>6.7</v>
      </c>
      <c r="N23" s="24">
        <v>29881600</v>
      </c>
      <c r="O23" s="24">
        <f t="shared" si="7"/>
        <v>6220</v>
      </c>
      <c r="P23" s="24">
        <v>6286236</v>
      </c>
      <c r="Q23" s="30">
        <f t="shared" si="7"/>
        <v>8</v>
      </c>
      <c r="R23" s="37">
        <v>58</v>
      </c>
      <c r="S23" s="29">
        <v>60</v>
      </c>
      <c r="T23" s="24">
        <v>47</v>
      </c>
      <c r="U23" s="47">
        <f t="shared" si="0"/>
        <v>53.5</v>
      </c>
      <c r="V23" s="51">
        <f t="shared" si="1"/>
        <v>11.5</v>
      </c>
      <c r="W23" s="55">
        <v>0</v>
      </c>
    </row>
    <row r="24" spans="1:23" ht="20.25" customHeight="1" x14ac:dyDescent="0.25">
      <c r="A24" s="40">
        <v>17</v>
      </c>
      <c r="B24" s="24">
        <v>20423</v>
      </c>
      <c r="C24" s="24">
        <f t="shared" si="2"/>
        <v>6300</v>
      </c>
      <c r="D24" s="24">
        <v>50442</v>
      </c>
      <c r="E24" s="24">
        <f t="shared" si="3"/>
        <v>15.704999999999998</v>
      </c>
      <c r="F24" s="24">
        <v>30698</v>
      </c>
      <c r="G24" s="24">
        <f t="shared" si="4"/>
        <v>1.1000000000000001</v>
      </c>
      <c r="H24" s="24">
        <v>10920295</v>
      </c>
      <c r="I24" s="24">
        <f t="shared" si="6"/>
        <v>1110</v>
      </c>
      <c r="J24" s="24">
        <v>361992</v>
      </c>
      <c r="K24" s="24">
        <f t="shared" si="6"/>
        <v>0</v>
      </c>
      <c r="L24" s="24">
        <v>26146</v>
      </c>
      <c r="M24" s="24">
        <f t="shared" si="5"/>
        <v>8.8000000000000007</v>
      </c>
      <c r="N24" s="24">
        <v>29889517</v>
      </c>
      <c r="O24" s="24">
        <f t="shared" si="7"/>
        <v>7917</v>
      </c>
      <c r="P24" s="24">
        <v>6286239</v>
      </c>
      <c r="Q24" s="30">
        <f t="shared" si="7"/>
        <v>3</v>
      </c>
      <c r="R24" s="37">
        <v>50</v>
      </c>
      <c r="S24" s="29">
        <v>58</v>
      </c>
      <c r="T24" s="24">
        <v>42</v>
      </c>
      <c r="U24" s="47">
        <f t="shared" si="0"/>
        <v>50</v>
      </c>
      <c r="V24" s="51">
        <f t="shared" si="1"/>
        <v>15</v>
      </c>
      <c r="W24" s="55">
        <v>0</v>
      </c>
    </row>
    <row r="25" spans="1:23" ht="20.25" customHeight="1" x14ac:dyDescent="0.25">
      <c r="A25" s="40">
        <v>18</v>
      </c>
      <c r="B25" s="24">
        <v>20446</v>
      </c>
      <c r="C25" s="24">
        <f t="shared" si="2"/>
        <v>6900</v>
      </c>
      <c r="D25" s="24">
        <v>50457</v>
      </c>
      <c r="E25" s="24">
        <f t="shared" si="3"/>
        <v>15.704999999999998</v>
      </c>
      <c r="F25" s="24">
        <v>30711</v>
      </c>
      <c r="G25" s="24">
        <f t="shared" si="4"/>
        <v>1.3</v>
      </c>
      <c r="H25" s="24">
        <v>10921806</v>
      </c>
      <c r="I25" s="24">
        <f t="shared" si="6"/>
        <v>1511</v>
      </c>
      <c r="J25" s="24">
        <v>361992</v>
      </c>
      <c r="K25" s="24">
        <f t="shared" si="6"/>
        <v>0</v>
      </c>
      <c r="L25" s="24">
        <v>26242</v>
      </c>
      <c r="M25" s="24">
        <f t="shared" si="5"/>
        <v>9.6000000000000014</v>
      </c>
      <c r="N25" s="24">
        <v>29897408</v>
      </c>
      <c r="O25" s="24">
        <f t="shared" si="7"/>
        <v>7891</v>
      </c>
      <c r="P25" s="24">
        <v>6286254</v>
      </c>
      <c r="Q25" s="30">
        <f t="shared" si="7"/>
        <v>15</v>
      </c>
      <c r="R25" s="37">
        <v>53</v>
      </c>
      <c r="S25" s="29">
        <v>64</v>
      </c>
      <c r="T25" s="24">
        <v>48</v>
      </c>
      <c r="U25" s="47">
        <f t="shared" si="0"/>
        <v>56</v>
      </c>
      <c r="V25" s="51">
        <f t="shared" si="1"/>
        <v>9</v>
      </c>
      <c r="W25" s="55">
        <v>0</v>
      </c>
    </row>
    <row r="26" spans="1:23" ht="20.25" customHeight="1" x14ac:dyDescent="0.25">
      <c r="A26" s="40">
        <v>19</v>
      </c>
      <c r="B26" s="24">
        <v>20460</v>
      </c>
      <c r="C26" s="24">
        <f t="shared" si="2"/>
        <v>4200</v>
      </c>
      <c r="D26" s="24">
        <v>50467</v>
      </c>
      <c r="E26" s="24">
        <f t="shared" si="3"/>
        <v>10.469999999999999</v>
      </c>
      <c r="F26" s="24">
        <v>30729</v>
      </c>
      <c r="G26" s="24">
        <f t="shared" si="4"/>
        <v>1.8</v>
      </c>
      <c r="H26" s="24">
        <v>10922370</v>
      </c>
      <c r="I26" s="24">
        <f t="shared" si="6"/>
        <v>564</v>
      </c>
      <c r="J26" s="24">
        <v>361992</v>
      </c>
      <c r="K26" s="24">
        <f t="shared" si="6"/>
        <v>0</v>
      </c>
      <c r="L26" s="24">
        <v>26296</v>
      </c>
      <c r="M26" s="24">
        <f t="shared" si="5"/>
        <v>5.4</v>
      </c>
      <c r="N26" s="24">
        <v>29902516</v>
      </c>
      <c r="O26" s="24">
        <f t="shared" si="7"/>
        <v>5108</v>
      </c>
      <c r="P26" s="24">
        <v>6286257</v>
      </c>
      <c r="Q26" s="30">
        <f t="shared" si="7"/>
        <v>3</v>
      </c>
      <c r="R26" s="37">
        <v>62</v>
      </c>
      <c r="S26" s="29">
        <v>59</v>
      </c>
      <c r="T26" s="24">
        <v>49</v>
      </c>
      <c r="U26" s="47">
        <f t="shared" si="0"/>
        <v>54</v>
      </c>
      <c r="V26" s="51">
        <f t="shared" si="1"/>
        <v>11</v>
      </c>
      <c r="W26" s="55">
        <v>0</v>
      </c>
    </row>
    <row r="27" spans="1:23" ht="20.25" customHeight="1" x14ac:dyDescent="0.25">
      <c r="A27" s="40">
        <v>20</v>
      </c>
      <c r="B27" s="24">
        <v>20473</v>
      </c>
      <c r="C27" s="24">
        <f t="shared" si="2"/>
        <v>3900</v>
      </c>
      <c r="D27" s="24">
        <v>50475</v>
      </c>
      <c r="E27" s="24">
        <f t="shared" si="3"/>
        <v>8.3759999999999994</v>
      </c>
      <c r="F27" s="24">
        <v>30725</v>
      </c>
      <c r="G27" s="24">
        <f t="shared" si="4"/>
        <v>-0.4</v>
      </c>
      <c r="H27" s="24">
        <v>10922790</v>
      </c>
      <c r="I27" s="24">
        <f t="shared" si="6"/>
        <v>420</v>
      </c>
      <c r="J27" s="24">
        <v>361992</v>
      </c>
      <c r="K27" s="24">
        <f t="shared" si="6"/>
        <v>0</v>
      </c>
      <c r="L27" s="24">
        <v>26336</v>
      </c>
      <c r="M27" s="24">
        <f t="shared" si="5"/>
        <v>4</v>
      </c>
      <c r="N27" s="24">
        <v>29906120</v>
      </c>
      <c r="O27" s="24">
        <f t="shared" ref="O27:Q37" si="9">+N27-N26</f>
        <v>3604</v>
      </c>
      <c r="P27" s="24">
        <v>6286265</v>
      </c>
      <c r="Q27" s="30">
        <f t="shared" si="9"/>
        <v>8</v>
      </c>
      <c r="R27" s="37">
        <v>71</v>
      </c>
      <c r="S27" s="29">
        <v>63</v>
      </c>
      <c r="T27" s="24">
        <v>50</v>
      </c>
      <c r="U27" s="47">
        <f t="shared" si="0"/>
        <v>56.5</v>
      </c>
      <c r="V27" s="51">
        <f t="shared" si="1"/>
        <v>8.5</v>
      </c>
      <c r="W27" s="55">
        <v>0</v>
      </c>
    </row>
    <row r="28" spans="1:23" ht="20.25" customHeight="1" x14ac:dyDescent="0.25">
      <c r="A28" s="40">
        <v>21</v>
      </c>
      <c r="B28" s="24">
        <v>20490</v>
      </c>
      <c r="C28" s="24">
        <f t="shared" si="2"/>
        <v>5100</v>
      </c>
      <c r="D28" s="24">
        <v>50484</v>
      </c>
      <c r="E28" s="24">
        <f t="shared" si="3"/>
        <v>9.423</v>
      </c>
      <c r="F28" s="24">
        <v>30733</v>
      </c>
      <c r="G28" s="24">
        <f t="shared" si="4"/>
        <v>0.8</v>
      </c>
      <c r="H28" s="24">
        <v>10924135</v>
      </c>
      <c r="I28" s="24">
        <f t="shared" si="6"/>
        <v>1345</v>
      </c>
      <c r="J28" s="24">
        <v>361992</v>
      </c>
      <c r="K28" s="24">
        <f t="shared" si="6"/>
        <v>0</v>
      </c>
      <c r="L28" s="24">
        <v>26392</v>
      </c>
      <c r="M28" s="24">
        <f t="shared" si="5"/>
        <v>5.6000000000000005</v>
      </c>
      <c r="N28" s="24">
        <v>29912175</v>
      </c>
      <c r="O28" s="24">
        <f t="shared" si="9"/>
        <v>6055</v>
      </c>
      <c r="P28" s="24">
        <v>6286387</v>
      </c>
      <c r="Q28" s="30">
        <f t="shared" si="9"/>
        <v>122</v>
      </c>
      <c r="R28" s="37">
        <v>75</v>
      </c>
      <c r="S28" s="29">
        <v>59</v>
      </c>
      <c r="T28" s="24">
        <v>51</v>
      </c>
      <c r="U28" s="47">
        <f t="shared" si="0"/>
        <v>55</v>
      </c>
      <c r="V28" s="51">
        <f t="shared" si="1"/>
        <v>10</v>
      </c>
      <c r="W28" s="55">
        <v>0</v>
      </c>
    </row>
    <row r="29" spans="1:23" ht="20.25" customHeight="1" x14ac:dyDescent="0.25">
      <c r="A29" s="40">
        <v>22</v>
      </c>
      <c r="B29" s="24">
        <v>20509</v>
      </c>
      <c r="C29" s="24">
        <f t="shared" si="2"/>
        <v>5700</v>
      </c>
      <c r="D29" s="24">
        <v>50494</v>
      </c>
      <c r="E29" s="24">
        <f t="shared" si="3"/>
        <v>10.469999999999999</v>
      </c>
      <c r="F29" s="24">
        <v>30742</v>
      </c>
      <c r="G29" s="24">
        <f t="shared" si="4"/>
        <v>0.9</v>
      </c>
      <c r="H29" s="24">
        <v>10925140</v>
      </c>
      <c r="I29" s="24">
        <f t="shared" si="6"/>
        <v>1005</v>
      </c>
      <c r="J29" s="24">
        <v>361992</v>
      </c>
      <c r="K29" s="24">
        <f t="shared" si="6"/>
        <v>0</v>
      </c>
      <c r="L29" s="24">
        <v>26451</v>
      </c>
      <c r="M29" s="24">
        <f t="shared" si="5"/>
        <v>5.9</v>
      </c>
      <c r="N29" s="24">
        <v>29918700</v>
      </c>
      <c r="O29" s="24">
        <f t="shared" si="9"/>
        <v>6525</v>
      </c>
      <c r="P29" s="24">
        <v>6286426</v>
      </c>
      <c r="Q29" s="30">
        <f t="shared" si="9"/>
        <v>39</v>
      </c>
      <c r="R29" s="37">
        <v>77</v>
      </c>
      <c r="S29" s="29">
        <v>61</v>
      </c>
      <c r="T29" s="24">
        <v>49</v>
      </c>
      <c r="U29" s="47">
        <f t="shared" si="0"/>
        <v>55</v>
      </c>
      <c r="V29" s="51">
        <f t="shared" si="1"/>
        <v>10</v>
      </c>
      <c r="W29" s="55">
        <v>0</v>
      </c>
    </row>
    <row r="30" spans="1:23" ht="20.25" customHeight="1" x14ac:dyDescent="0.25">
      <c r="A30" s="40">
        <v>23</v>
      </c>
      <c r="B30" s="24">
        <v>20527</v>
      </c>
      <c r="C30" s="24">
        <f t="shared" si="2"/>
        <v>5400</v>
      </c>
      <c r="D30" s="24">
        <v>50505</v>
      </c>
      <c r="E30" s="24">
        <f t="shared" si="3"/>
        <v>11.516999999999999</v>
      </c>
      <c r="F30" s="24">
        <v>30751</v>
      </c>
      <c r="G30" s="24">
        <f t="shared" si="4"/>
        <v>0.9</v>
      </c>
      <c r="H30" s="24">
        <v>10926000</v>
      </c>
      <c r="I30" s="24">
        <f t="shared" si="6"/>
        <v>860</v>
      </c>
      <c r="J30" s="24">
        <v>361992</v>
      </c>
      <c r="K30" s="24">
        <f t="shared" si="6"/>
        <v>0</v>
      </c>
      <c r="L30" s="24">
        <v>26505</v>
      </c>
      <c r="M30" s="24">
        <f t="shared" si="5"/>
        <v>5.4</v>
      </c>
      <c r="N30" s="24">
        <v>29925210</v>
      </c>
      <c r="O30" s="24">
        <f t="shared" si="9"/>
        <v>6510</v>
      </c>
      <c r="P30" s="24">
        <v>6286488</v>
      </c>
      <c r="Q30" s="30">
        <f t="shared" si="9"/>
        <v>62</v>
      </c>
      <c r="R30" s="37">
        <v>55</v>
      </c>
      <c r="S30" s="29">
        <v>64</v>
      </c>
      <c r="T30" s="24">
        <v>49</v>
      </c>
      <c r="U30" s="47">
        <f t="shared" si="0"/>
        <v>56.5</v>
      </c>
      <c r="V30" s="51">
        <f t="shared" si="1"/>
        <v>8.5</v>
      </c>
      <c r="W30" s="55">
        <v>0</v>
      </c>
    </row>
    <row r="31" spans="1:23" ht="20.25" customHeight="1" x14ac:dyDescent="0.25">
      <c r="A31" s="40">
        <v>24</v>
      </c>
      <c r="B31" s="24">
        <v>20543</v>
      </c>
      <c r="C31" s="24">
        <f t="shared" si="2"/>
        <v>4800</v>
      </c>
      <c r="D31" s="24">
        <v>50515</v>
      </c>
      <c r="E31" s="24">
        <f t="shared" si="3"/>
        <v>10.469999999999999</v>
      </c>
      <c r="F31" s="24">
        <v>30761</v>
      </c>
      <c r="G31" s="24">
        <f t="shared" si="4"/>
        <v>1</v>
      </c>
      <c r="H31" s="24">
        <v>10927002</v>
      </c>
      <c r="I31" s="24">
        <f t="shared" si="6"/>
        <v>1002</v>
      </c>
      <c r="J31" s="24">
        <v>361992</v>
      </c>
      <c r="K31" s="24">
        <f t="shared" si="6"/>
        <v>0</v>
      </c>
      <c r="L31" s="24">
        <v>26583</v>
      </c>
      <c r="M31" s="24">
        <f t="shared" si="5"/>
        <v>7.8000000000000007</v>
      </c>
      <c r="N31" s="24">
        <v>29932890</v>
      </c>
      <c r="O31" s="24">
        <f t="shared" si="9"/>
        <v>7680</v>
      </c>
      <c r="P31" s="24">
        <v>6286525</v>
      </c>
      <c r="Q31" s="30">
        <f t="shared" si="9"/>
        <v>37</v>
      </c>
      <c r="R31" s="37">
        <v>62</v>
      </c>
      <c r="S31" s="29">
        <v>64</v>
      </c>
      <c r="T31" s="24">
        <v>50</v>
      </c>
      <c r="U31" s="47">
        <f t="shared" si="0"/>
        <v>57</v>
      </c>
      <c r="V31" s="51">
        <f t="shared" si="1"/>
        <v>8</v>
      </c>
      <c r="W31" s="55">
        <v>0</v>
      </c>
    </row>
    <row r="32" spans="1:23" ht="20.25" customHeight="1" x14ac:dyDescent="0.25">
      <c r="A32" s="40">
        <v>25</v>
      </c>
      <c r="B32" s="24">
        <v>20568</v>
      </c>
      <c r="C32" s="24">
        <f t="shared" si="2"/>
        <v>7500</v>
      </c>
      <c r="D32" s="24">
        <v>50527</v>
      </c>
      <c r="E32" s="24">
        <f t="shared" si="3"/>
        <v>12.564</v>
      </c>
      <c r="F32" s="24">
        <v>30770</v>
      </c>
      <c r="G32" s="24">
        <f t="shared" si="4"/>
        <v>0.9</v>
      </c>
      <c r="H32" s="24">
        <v>10928072</v>
      </c>
      <c r="I32" s="24">
        <f t="shared" si="6"/>
        <v>1070</v>
      </c>
      <c r="J32" s="24">
        <v>361992</v>
      </c>
      <c r="K32" s="24">
        <f t="shared" si="6"/>
        <v>0</v>
      </c>
      <c r="L32" s="24">
        <v>26636</v>
      </c>
      <c r="M32" s="24">
        <f t="shared" si="5"/>
        <v>5.3000000000000007</v>
      </c>
      <c r="N32" s="24">
        <v>29941562</v>
      </c>
      <c r="O32" s="24">
        <f t="shared" si="9"/>
        <v>8672</v>
      </c>
      <c r="P32" s="24">
        <v>6286556</v>
      </c>
      <c r="Q32" s="30">
        <f t="shared" si="9"/>
        <v>31</v>
      </c>
      <c r="R32" s="37">
        <v>56</v>
      </c>
      <c r="S32" s="29">
        <v>63</v>
      </c>
      <c r="T32" s="24">
        <v>50</v>
      </c>
      <c r="U32" s="47">
        <f t="shared" si="0"/>
        <v>56.5</v>
      </c>
      <c r="V32" s="51">
        <f t="shared" si="1"/>
        <v>8.5</v>
      </c>
      <c r="W32" s="55">
        <v>0</v>
      </c>
    </row>
    <row r="33" spans="1:23" ht="20.25" customHeight="1" x14ac:dyDescent="0.25">
      <c r="A33" s="40">
        <v>26</v>
      </c>
      <c r="B33" s="24">
        <v>20586</v>
      </c>
      <c r="C33" s="24">
        <f t="shared" si="2"/>
        <v>5400</v>
      </c>
      <c r="D33" s="24">
        <v>50537</v>
      </c>
      <c r="E33" s="24">
        <f t="shared" si="3"/>
        <v>10.469999999999999</v>
      </c>
      <c r="F33" s="24">
        <v>30778</v>
      </c>
      <c r="G33" s="24">
        <f t="shared" si="4"/>
        <v>0.8</v>
      </c>
      <c r="H33" s="24">
        <v>10929049</v>
      </c>
      <c r="I33" s="24">
        <f t="shared" si="6"/>
        <v>977</v>
      </c>
      <c r="J33" s="24">
        <v>361992</v>
      </c>
      <c r="K33" s="24">
        <f t="shared" si="6"/>
        <v>0</v>
      </c>
      <c r="L33" s="24">
        <v>26703</v>
      </c>
      <c r="M33" s="24">
        <f t="shared" si="5"/>
        <v>6.7</v>
      </c>
      <c r="N33" s="24">
        <v>29947776</v>
      </c>
      <c r="O33" s="24">
        <f t="shared" si="9"/>
        <v>6214</v>
      </c>
      <c r="P33" s="24">
        <v>6286600</v>
      </c>
      <c r="Q33" s="30">
        <f t="shared" si="9"/>
        <v>44</v>
      </c>
      <c r="R33" s="37">
        <v>77</v>
      </c>
      <c r="S33" s="29">
        <v>62</v>
      </c>
      <c r="T33" s="24">
        <v>48</v>
      </c>
      <c r="U33" s="47">
        <f t="shared" si="0"/>
        <v>55</v>
      </c>
      <c r="V33" s="51">
        <f t="shared" si="1"/>
        <v>10</v>
      </c>
      <c r="W33" s="55">
        <v>0</v>
      </c>
    </row>
    <row r="34" spans="1:23" ht="20.25" customHeight="1" x14ac:dyDescent="0.25">
      <c r="A34" s="40">
        <v>27</v>
      </c>
      <c r="B34" s="24">
        <v>20600</v>
      </c>
      <c r="C34" s="24">
        <f t="shared" si="2"/>
        <v>4200</v>
      </c>
      <c r="D34" s="24">
        <v>50544</v>
      </c>
      <c r="E34" s="24">
        <f t="shared" si="3"/>
        <v>7.3289999999999997</v>
      </c>
      <c r="F34" s="24">
        <v>30784</v>
      </c>
      <c r="G34" s="24">
        <f t="shared" si="4"/>
        <v>0.60000000000000009</v>
      </c>
      <c r="H34" s="24">
        <v>10929610</v>
      </c>
      <c r="I34" s="24">
        <f t="shared" si="6"/>
        <v>561</v>
      </c>
      <c r="J34" s="24">
        <v>361992</v>
      </c>
      <c r="K34" s="24">
        <f t="shared" si="6"/>
        <v>0</v>
      </c>
      <c r="L34" s="24">
        <v>26750</v>
      </c>
      <c r="M34" s="24">
        <f t="shared" si="5"/>
        <v>4.7</v>
      </c>
      <c r="N34" s="24">
        <v>29952290</v>
      </c>
      <c r="O34" s="24">
        <f t="shared" si="9"/>
        <v>4514</v>
      </c>
      <c r="P34" s="24">
        <v>6286656</v>
      </c>
      <c r="Q34" s="30">
        <f t="shared" si="9"/>
        <v>56</v>
      </c>
      <c r="R34" s="37">
        <v>85</v>
      </c>
      <c r="S34" s="29">
        <v>61</v>
      </c>
      <c r="T34" s="24">
        <v>49</v>
      </c>
      <c r="U34" s="47">
        <f t="shared" si="0"/>
        <v>55</v>
      </c>
      <c r="V34" s="51">
        <f t="shared" si="1"/>
        <v>10</v>
      </c>
      <c r="W34" s="55">
        <v>0</v>
      </c>
    </row>
    <row r="35" spans="1:23" ht="20.25" customHeight="1" x14ac:dyDescent="0.25">
      <c r="A35" s="40">
        <v>28</v>
      </c>
      <c r="B35" s="24">
        <v>20619</v>
      </c>
      <c r="C35" s="24">
        <f t="shared" si="2"/>
        <v>5700</v>
      </c>
      <c r="D35" s="24">
        <v>50554</v>
      </c>
      <c r="E35" s="24">
        <f t="shared" si="3"/>
        <v>10.469999999999999</v>
      </c>
      <c r="F35" s="24">
        <v>30792</v>
      </c>
      <c r="G35" s="24">
        <f t="shared" si="4"/>
        <v>0.8</v>
      </c>
      <c r="H35" s="24">
        <v>10930465</v>
      </c>
      <c r="I35" s="24">
        <f t="shared" si="6"/>
        <v>855</v>
      </c>
      <c r="J35" s="24">
        <v>361992</v>
      </c>
      <c r="K35" s="24">
        <f t="shared" si="6"/>
        <v>0</v>
      </c>
      <c r="L35" s="24">
        <v>26834</v>
      </c>
      <c r="M35" s="24">
        <f t="shared" si="5"/>
        <v>8.4</v>
      </c>
      <c r="N35" s="24">
        <v>29961110</v>
      </c>
      <c r="O35" s="24">
        <f t="shared" si="9"/>
        <v>8820</v>
      </c>
      <c r="P35" s="24">
        <v>6286702</v>
      </c>
      <c r="Q35" s="30">
        <f t="shared" si="9"/>
        <v>46</v>
      </c>
      <c r="R35" s="37">
        <v>103</v>
      </c>
      <c r="S35" s="29">
        <v>61</v>
      </c>
      <c r="T35" s="24">
        <v>48</v>
      </c>
      <c r="U35" s="47">
        <f t="shared" si="0"/>
        <v>54.5</v>
      </c>
      <c r="V35" s="51">
        <f t="shared" si="1"/>
        <v>10.5</v>
      </c>
      <c r="W35" s="55">
        <v>0</v>
      </c>
    </row>
    <row r="36" spans="1:23" ht="20.25" customHeight="1" x14ac:dyDescent="0.25">
      <c r="A36" s="40">
        <v>29</v>
      </c>
      <c r="B36" s="46">
        <v>20638</v>
      </c>
      <c r="C36" s="24">
        <f t="shared" si="2"/>
        <v>5700</v>
      </c>
      <c r="D36" s="46">
        <v>50567</v>
      </c>
      <c r="E36" s="24">
        <f t="shared" si="3"/>
        <v>13.610999999999999</v>
      </c>
      <c r="F36" s="46">
        <v>30800</v>
      </c>
      <c r="G36" s="24">
        <f t="shared" si="4"/>
        <v>0.8</v>
      </c>
      <c r="H36" s="46">
        <v>10931620</v>
      </c>
      <c r="I36" s="24">
        <f t="shared" si="6"/>
        <v>1155</v>
      </c>
      <c r="J36" s="46">
        <v>361992</v>
      </c>
      <c r="K36" s="24">
        <f t="shared" si="6"/>
        <v>0</v>
      </c>
      <c r="L36" s="46">
        <v>26899</v>
      </c>
      <c r="M36" s="24">
        <f t="shared" si="5"/>
        <v>6.5</v>
      </c>
      <c r="N36" s="46">
        <v>29967460</v>
      </c>
      <c r="O36" s="24">
        <f t="shared" si="9"/>
        <v>6350</v>
      </c>
      <c r="P36" s="46">
        <v>6286714</v>
      </c>
      <c r="Q36" s="30">
        <f t="shared" si="9"/>
        <v>12</v>
      </c>
      <c r="R36" s="37"/>
      <c r="S36" s="29"/>
      <c r="T36" s="24"/>
      <c r="U36" s="47">
        <f t="shared" si="0"/>
        <v>0</v>
      </c>
      <c r="V36" s="51">
        <f t="shared" si="1"/>
        <v>65</v>
      </c>
      <c r="W36" s="55">
        <v>0</v>
      </c>
    </row>
    <row r="37" spans="1:23" ht="20.25" customHeight="1" thickBot="1" x14ac:dyDescent="0.3">
      <c r="A37" s="41">
        <v>30</v>
      </c>
      <c r="B37" s="46">
        <v>20658</v>
      </c>
      <c r="C37" s="32">
        <f t="shared" si="2"/>
        <v>6000</v>
      </c>
      <c r="D37" s="46">
        <v>50583</v>
      </c>
      <c r="E37" s="32">
        <f t="shared" si="3"/>
        <v>16.751999999999999</v>
      </c>
      <c r="F37" s="46">
        <v>30809</v>
      </c>
      <c r="G37" s="32">
        <f t="shared" si="4"/>
        <v>0.9</v>
      </c>
      <c r="H37" s="46">
        <v>10932599</v>
      </c>
      <c r="I37" s="32">
        <f t="shared" si="6"/>
        <v>979</v>
      </c>
      <c r="J37" s="46">
        <v>361992</v>
      </c>
      <c r="K37" s="32">
        <f t="shared" si="6"/>
        <v>0</v>
      </c>
      <c r="L37" s="46">
        <v>26955</v>
      </c>
      <c r="M37" s="32">
        <f t="shared" si="5"/>
        <v>5.6000000000000005</v>
      </c>
      <c r="N37" s="46">
        <v>29975096</v>
      </c>
      <c r="O37" s="32">
        <f t="shared" si="9"/>
        <v>7636</v>
      </c>
      <c r="P37" s="46">
        <v>6286934</v>
      </c>
      <c r="Q37" s="33">
        <f t="shared" si="9"/>
        <v>220</v>
      </c>
      <c r="R37" s="38">
        <v>56</v>
      </c>
      <c r="S37" s="31">
        <v>64</v>
      </c>
      <c r="T37" s="32">
        <v>49</v>
      </c>
      <c r="U37" s="48">
        <f t="shared" si="0"/>
        <v>56.5</v>
      </c>
      <c r="V37" s="53">
        <f t="shared" si="1"/>
        <v>8.5</v>
      </c>
      <c r="W37" s="56">
        <v>0</v>
      </c>
    </row>
    <row r="38" spans="1:23" x14ac:dyDescent="0.25">
      <c r="S38" s="34"/>
      <c r="T38" s="34"/>
      <c r="U38" s="34"/>
      <c r="V38" s="34"/>
    </row>
    <row r="39" spans="1:23" x14ac:dyDescent="0.25">
      <c r="A39" s="25" t="s">
        <v>15</v>
      </c>
      <c r="C39" s="26">
        <f>SUM(C8:C38)</f>
        <v>169500</v>
      </c>
      <c r="E39" s="26">
        <f>SUM(E8:E38)</f>
        <v>333.99299999999999</v>
      </c>
      <c r="G39" s="26">
        <f>SUM(G8:G38)</f>
        <v>28.000000000000004</v>
      </c>
      <c r="I39" s="26">
        <f>SUM(I8:I38)</f>
        <v>26499</v>
      </c>
      <c r="K39" s="26">
        <f>SUM(K8:K38)</f>
        <v>0</v>
      </c>
      <c r="M39" s="26">
        <f>SUM(M8:M38)</f>
        <v>184.50000000000003</v>
      </c>
      <c r="O39" s="26">
        <f>SUM(O8:O38)</f>
        <v>205546</v>
      </c>
      <c r="Q39" s="26">
        <f>SUM(Q8:Q38)</f>
        <v>5439</v>
      </c>
      <c r="R39" s="16">
        <f>SUM(R8:R38)</f>
        <v>1790</v>
      </c>
    </row>
    <row r="40" spans="1:23" x14ac:dyDescent="0.25">
      <c r="V40" s="16">
        <f>SUM(V8:V38)</f>
        <v>332.5</v>
      </c>
      <c r="W40" s="16">
        <f>SUM(W8:W37)</f>
        <v>1.5</v>
      </c>
    </row>
  </sheetData>
  <mergeCells count="3">
    <mergeCell ref="A1:B1"/>
    <mergeCell ref="A2:J3"/>
    <mergeCell ref="A4:L4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April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2022-05-17T21:30:25Z</dcterms:modified>
  <cp:category/>
  <cp:contentStatus/>
</cp:coreProperties>
</file>