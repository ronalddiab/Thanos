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London at Ten Trinity Square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FSLTTS Daily " sheetId="2" r:id="rId3"/>
  </sheets>
  <calcPr calcId="152511"/>
</workbook>
</file>

<file path=xl/calcChain.xml><?xml version="1.0" encoding="utf-8"?>
<calcChain xmlns="http://schemas.openxmlformats.org/spreadsheetml/2006/main">
  <c r="E25" i="2" l="1"/>
  <c r="S24" i="2"/>
  <c r="Q24" i="2"/>
  <c r="O6" i="2"/>
  <c r="G4" i="3"/>
  <c r="Y4" i="2"/>
  <c r="K2" i="3"/>
  <c r="V4" i="2"/>
  <c r="N2" i="3"/>
  <c r="I2" i="1"/>
  <c r="S4" i="2"/>
  <c r="Q4" i="2"/>
  <c r="H2" i="3"/>
  <c r="O4" i="2"/>
  <c r="M4" i="2"/>
  <c r="K4" i="2"/>
  <c r="F2" i="3"/>
  <c r="I4" i="2"/>
  <c r="E2" i="3"/>
  <c r="G4" i="2"/>
  <c r="E4" i="2"/>
  <c r="I2" i="3"/>
  <c r="C4" i="2"/>
  <c r="L2" i="3"/>
  <c r="G2" i="1"/>
  <c r="V26" i="2"/>
  <c r="V24" i="2"/>
  <c r="N22" i="3"/>
  <c r="I22" i="1"/>
  <c r="C18" i="2"/>
  <c r="L16" i="3"/>
  <c r="G16" i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5" i="2"/>
  <c r="S26" i="2"/>
  <c r="S27" i="2"/>
  <c r="S28" i="2"/>
  <c r="S29" i="2"/>
  <c r="S30" i="2"/>
  <c r="S31" i="2"/>
  <c r="S32" i="2"/>
  <c r="S33" i="2"/>
  <c r="S34" i="2"/>
  <c r="Q5" i="2"/>
  <c r="H3" i="3"/>
  <c r="Q6" i="2"/>
  <c r="H4" i="3"/>
  <c r="Q7" i="2"/>
  <c r="H5" i="3"/>
  <c r="Q8" i="2"/>
  <c r="H6" i="3"/>
  <c r="Q9" i="2"/>
  <c r="H7" i="3"/>
  <c r="Q10" i="2"/>
  <c r="H8" i="3"/>
  <c r="Q11" i="2"/>
  <c r="H9" i="3"/>
  <c r="Q12" i="2"/>
  <c r="H10" i="3"/>
  <c r="Q13" i="2"/>
  <c r="H11" i="3"/>
  <c r="Q14" i="2"/>
  <c r="H12" i="3"/>
  <c r="Q15" i="2"/>
  <c r="Q16" i="2"/>
  <c r="H14" i="3"/>
  <c r="Q17" i="2"/>
  <c r="H15" i="3"/>
  <c r="Q18" i="2"/>
  <c r="H16" i="3"/>
  <c r="Q19" i="2"/>
  <c r="Q20" i="2"/>
  <c r="H18" i="3"/>
  <c r="Q21" i="2"/>
  <c r="H19" i="3"/>
  <c r="Q22" i="2"/>
  <c r="H20" i="3"/>
  <c r="Q23" i="2"/>
  <c r="H21" i="3"/>
  <c r="H22" i="3"/>
  <c r="Q25" i="2"/>
  <c r="H23" i="3"/>
  <c r="Q26" i="2"/>
  <c r="H24" i="3"/>
  <c r="Q27" i="2"/>
  <c r="H25" i="3"/>
  <c r="Q28" i="2"/>
  <c r="H26" i="3"/>
  <c r="Q29" i="2"/>
  <c r="H27" i="3"/>
  <c r="Q30" i="2"/>
  <c r="H28" i="3"/>
  <c r="Q31" i="2"/>
  <c r="H29" i="3"/>
  <c r="Q32" i="2"/>
  <c r="H30" i="3"/>
  <c r="Q33" i="2"/>
  <c r="H31" i="3"/>
  <c r="Q34" i="2"/>
  <c r="H32" i="3"/>
  <c r="O5" i="2"/>
  <c r="G3" i="3"/>
  <c r="O7" i="2"/>
  <c r="G5" i="3"/>
  <c r="O8" i="2"/>
  <c r="G6" i="3"/>
  <c r="O9" i="2"/>
  <c r="G7" i="3"/>
  <c r="O10" i="2"/>
  <c r="G8" i="3"/>
  <c r="O11" i="2"/>
  <c r="G9" i="3"/>
  <c r="O12" i="2"/>
  <c r="G10" i="3"/>
  <c r="O13" i="2"/>
  <c r="G11" i="3"/>
  <c r="O14" i="2"/>
  <c r="G12" i="3"/>
  <c r="O15" i="2"/>
  <c r="G13" i="3"/>
  <c r="O16" i="2"/>
  <c r="G14" i="3"/>
  <c r="O17" i="2"/>
  <c r="G15" i="3"/>
  <c r="O18" i="2"/>
  <c r="G16" i="3"/>
  <c r="O19" i="2"/>
  <c r="G17" i="3"/>
  <c r="O20" i="2"/>
  <c r="G18" i="3"/>
  <c r="O21" i="2"/>
  <c r="G19" i="3"/>
  <c r="O22" i="2"/>
  <c r="G20" i="3"/>
  <c r="O23" i="2"/>
  <c r="G21" i="3"/>
  <c r="G22" i="3"/>
  <c r="O25" i="2"/>
  <c r="G23" i="3"/>
  <c r="O26" i="2"/>
  <c r="G24" i="3"/>
  <c r="O27" i="2"/>
  <c r="G25" i="3"/>
  <c r="O28" i="2"/>
  <c r="G26" i="3"/>
  <c r="O29" i="2"/>
  <c r="G27" i="3"/>
  <c r="O30" i="2"/>
  <c r="G28" i="3"/>
  <c r="O31" i="2"/>
  <c r="G29" i="3"/>
  <c r="O32" i="2"/>
  <c r="G30" i="3"/>
  <c r="O33" i="2"/>
  <c r="G31" i="3"/>
  <c r="E31" i="1"/>
  <c r="F31" i="1"/>
  <c r="O34" i="2"/>
  <c r="G32" i="3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K5" i="2"/>
  <c r="F3" i="3"/>
  <c r="K6" i="2"/>
  <c r="F4" i="3"/>
  <c r="K7" i="2"/>
  <c r="F5" i="3"/>
  <c r="K8" i="2"/>
  <c r="F6" i="3"/>
  <c r="K9" i="2"/>
  <c r="F7" i="3"/>
  <c r="K10" i="2"/>
  <c r="F8" i="3"/>
  <c r="K11" i="2"/>
  <c r="F9" i="3"/>
  <c r="K12" i="2"/>
  <c r="F10" i="3"/>
  <c r="K13" i="2"/>
  <c r="F11" i="3"/>
  <c r="K14" i="2"/>
  <c r="F12" i="3"/>
  <c r="K15" i="2"/>
  <c r="F13" i="3"/>
  <c r="K16" i="2"/>
  <c r="F14" i="3"/>
  <c r="K17" i="2"/>
  <c r="F15" i="3"/>
  <c r="K18" i="2"/>
  <c r="F16" i="3"/>
  <c r="K19" i="2"/>
  <c r="F17" i="3"/>
  <c r="K20" i="2"/>
  <c r="F18" i="3"/>
  <c r="K21" i="2"/>
  <c r="F19" i="3"/>
  <c r="K22" i="2"/>
  <c r="F20" i="3"/>
  <c r="K23" i="2"/>
  <c r="F21" i="3"/>
  <c r="K24" i="2"/>
  <c r="F22" i="3"/>
  <c r="K25" i="2"/>
  <c r="F23" i="3"/>
  <c r="K26" i="2"/>
  <c r="F24" i="3"/>
  <c r="K27" i="2"/>
  <c r="F25" i="3"/>
  <c r="K28" i="2"/>
  <c r="F26" i="3"/>
  <c r="K29" i="2"/>
  <c r="F27" i="3"/>
  <c r="K30" i="2"/>
  <c r="F28" i="3"/>
  <c r="K31" i="2"/>
  <c r="F29" i="3"/>
  <c r="K32" i="2"/>
  <c r="F30" i="3"/>
  <c r="K33" i="2"/>
  <c r="F31" i="3"/>
  <c r="K34" i="2"/>
  <c r="F32" i="3"/>
  <c r="I5" i="2"/>
  <c r="E3" i="3"/>
  <c r="I6" i="2"/>
  <c r="E4" i="3"/>
  <c r="I7" i="2"/>
  <c r="E5" i="3"/>
  <c r="I8" i="2"/>
  <c r="E6" i="3"/>
  <c r="I9" i="2"/>
  <c r="E7" i="3"/>
  <c r="I10" i="2"/>
  <c r="E8" i="3"/>
  <c r="I11" i="2"/>
  <c r="E9" i="3"/>
  <c r="I12" i="2"/>
  <c r="E10" i="3"/>
  <c r="I13" i="2"/>
  <c r="E11" i="3"/>
  <c r="I14" i="2"/>
  <c r="I15" i="2"/>
  <c r="E13" i="3"/>
  <c r="I16" i="2"/>
  <c r="E14" i="3"/>
  <c r="I17" i="2"/>
  <c r="E15" i="3"/>
  <c r="I18" i="2"/>
  <c r="E16" i="3"/>
  <c r="I19" i="2"/>
  <c r="E17" i="3"/>
  <c r="I20" i="2"/>
  <c r="E18" i="3"/>
  <c r="I21" i="2"/>
  <c r="E19" i="3"/>
  <c r="I22" i="2"/>
  <c r="E20" i="3"/>
  <c r="I23" i="2"/>
  <c r="E21" i="3"/>
  <c r="I24" i="2"/>
  <c r="E22" i="3"/>
  <c r="I25" i="2"/>
  <c r="E23" i="3"/>
  <c r="I26" i="2"/>
  <c r="E24" i="3"/>
  <c r="I27" i="2"/>
  <c r="E25" i="3"/>
  <c r="I28" i="2"/>
  <c r="E26" i="3"/>
  <c r="I29" i="2"/>
  <c r="E27" i="3"/>
  <c r="I30" i="2"/>
  <c r="E28" i="3"/>
  <c r="I31" i="2"/>
  <c r="E29" i="3"/>
  <c r="I32" i="2"/>
  <c r="E30" i="3"/>
  <c r="I33" i="2"/>
  <c r="E31" i="3"/>
  <c r="I34" i="2"/>
  <c r="E32" i="3"/>
  <c r="G5" i="2"/>
  <c r="J3" i="3"/>
  <c r="G6" i="2"/>
  <c r="J4" i="3"/>
  <c r="G7" i="2"/>
  <c r="J5" i="3"/>
  <c r="G8" i="2"/>
  <c r="J6" i="3"/>
  <c r="G9" i="2"/>
  <c r="J7" i="3"/>
  <c r="G10" i="2"/>
  <c r="J8" i="3"/>
  <c r="G11" i="2"/>
  <c r="J9" i="3"/>
  <c r="G12" i="2"/>
  <c r="J10" i="3"/>
  <c r="G13" i="2"/>
  <c r="J11" i="3"/>
  <c r="G14" i="2"/>
  <c r="J12" i="3"/>
  <c r="G15" i="2"/>
  <c r="J13" i="3"/>
  <c r="G16" i="2"/>
  <c r="J14" i="3"/>
  <c r="G17" i="2"/>
  <c r="J15" i="3"/>
  <c r="G18" i="2"/>
  <c r="J16" i="3"/>
  <c r="G19" i="2"/>
  <c r="G20" i="2"/>
  <c r="J18" i="3"/>
  <c r="G21" i="2"/>
  <c r="J19" i="3"/>
  <c r="G22" i="2"/>
  <c r="J20" i="3"/>
  <c r="G23" i="2"/>
  <c r="J21" i="3"/>
  <c r="G24" i="2"/>
  <c r="J22" i="3"/>
  <c r="G25" i="2"/>
  <c r="J23" i="3"/>
  <c r="G26" i="2"/>
  <c r="J24" i="3"/>
  <c r="G27" i="2"/>
  <c r="J25" i="3"/>
  <c r="G28" i="2"/>
  <c r="J26" i="3"/>
  <c r="G29" i="2"/>
  <c r="J27" i="3"/>
  <c r="G30" i="2"/>
  <c r="J28" i="3"/>
  <c r="G31" i="2"/>
  <c r="J29" i="3"/>
  <c r="G32" i="2"/>
  <c r="J30" i="3"/>
  <c r="G33" i="2"/>
  <c r="J31" i="3"/>
  <c r="G34" i="2"/>
  <c r="J32" i="3"/>
  <c r="E5" i="2"/>
  <c r="I3" i="3"/>
  <c r="E6" i="2"/>
  <c r="I4" i="3"/>
  <c r="E7" i="2"/>
  <c r="I5" i="3"/>
  <c r="E8" i="2"/>
  <c r="I6" i="3"/>
  <c r="E9" i="2"/>
  <c r="I7" i="3"/>
  <c r="E10" i="2"/>
  <c r="I8" i="3"/>
  <c r="E11" i="2"/>
  <c r="I9" i="3"/>
  <c r="E12" i="2"/>
  <c r="I10" i="3"/>
  <c r="E13" i="2"/>
  <c r="I11" i="3"/>
  <c r="E14" i="2"/>
  <c r="E15" i="2"/>
  <c r="I13" i="3"/>
  <c r="E16" i="2"/>
  <c r="I14" i="3"/>
  <c r="E17" i="2"/>
  <c r="I15" i="3"/>
  <c r="E18" i="2"/>
  <c r="I16" i="3"/>
  <c r="E19" i="2"/>
  <c r="I17" i="3"/>
  <c r="E20" i="2"/>
  <c r="I18" i="3"/>
  <c r="E21" i="2"/>
  <c r="I19" i="3"/>
  <c r="E22" i="2"/>
  <c r="I20" i="3"/>
  <c r="E23" i="2"/>
  <c r="I21" i="3"/>
  <c r="E24" i="2"/>
  <c r="I22" i="3"/>
  <c r="I23" i="3"/>
  <c r="E26" i="2"/>
  <c r="I24" i="3"/>
  <c r="E27" i="2"/>
  <c r="I25" i="3"/>
  <c r="E28" i="2"/>
  <c r="I26" i="3"/>
  <c r="E29" i="2"/>
  <c r="I27" i="3"/>
  <c r="E30" i="2"/>
  <c r="I28" i="3"/>
  <c r="E31" i="2"/>
  <c r="I29" i="3"/>
  <c r="E32" i="2"/>
  <c r="I30" i="3"/>
  <c r="E33" i="2"/>
  <c r="I31" i="3"/>
  <c r="E34" i="2"/>
  <c r="I32" i="3"/>
  <c r="C5" i="2"/>
  <c r="C6" i="2"/>
  <c r="C7" i="2"/>
  <c r="C8" i="2"/>
  <c r="C9" i="2"/>
  <c r="C10" i="2"/>
  <c r="C11" i="2"/>
  <c r="C12" i="2"/>
  <c r="L10" i="3"/>
  <c r="G10" i="1"/>
  <c r="C13" i="2"/>
  <c r="C14" i="2"/>
  <c r="C15" i="2"/>
  <c r="C16" i="2"/>
  <c r="C17" i="2"/>
  <c r="C19" i="2"/>
  <c r="L17" i="3"/>
  <c r="G17" i="1"/>
  <c r="C20" i="2"/>
  <c r="C21" i="2"/>
  <c r="C22" i="2"/>
  <c r="C23" i="2"/>
  <c r="C24" i="2"/>
  <c r="L22" i="3"/>
  <c r="G22" i="1"/>
  <c r="C25" i="2"/>
  <c r="L23" i="3"/>
  <c r="G23" i="1"/>
  <c r="C26" i="2"/>
  <c r="C27" i="2"/>
  <c r="L25" i="3"/>
  <c r="G25" i="1"/>
  <c r="C28" i="2"/>
  <c r="C29" i="2"/>
  <c r="L27" i="3"/>
  <c r="G27" i="1"/>
  <c r="C30" i="2"/>
  <c r="C31" i="2"/>
  <c r="C32" i="2"/>
  <c r="C33" i="2"/>
  <c r="C34" i="2"/>
  <c r="I12" i="3"/>
  <c r="J17" i="3"/>
  <c r="J2" i="3"/>
  <c r="Y15" i="2"/>
  <c r="M13" i="3"/>
  <c r="Y16" i="2"/>
  <c r="K14" i="3"/>
  <c r="M14" i="3"/>
  <c r="Y17" i="2"/>
  <c r="M15" i="3"/>
  <c r="Y18" i="2"/>
  <c r="Y19" i="2"/>
  <c r="K17" i="3"/>
  <c r="Y20" i="2"/>
  <c r="K18" i="3"/>
  <c r="Y21" i="2"/>
  <c r="M19" i="3"/>
  <c r="Y22" i="2"/>
  <c r="K20" i="3"/>
  <c r="Y23" i="2"/>
  <c r="K21" i="3"/>
  <c r="Y24" i="2"/>
  <c r="M22" i="3"/>
  <c r="Y25" i="2"/>
  <c r="M23" i="3"/>
  <c r="Y26" i="2"/>
  <c r="M24" i="3"/>
  <c r="Y27" i="2"/>
  <c r="K25" i="3"/>
  <c r="Y28" i="2"/>
  <c r="M26" i="3"/>
  <c r="Y29" i="2"/>
  <c r="M27" i="3"/>
  <c r="K27" i="3"/>
  <c r="Y30" i="2"/>
  <c r="M28" i="3"/>
  <c r="L28" i="3"/>
  <c r="G28" i="1"/>
  <c r="Y31" i="2"/>
  <c r="M29" i="3"/>
  <c r="Y32" i="2"/>
  <c r="K30" i="3"/>
  <c r="Y33" i="2"/>
  <c r="M31" i="3"/>
  <c r="K31" i="3"/>
  <c r="Y34" i="2"/>
  <c r="M32" i="3"/>
  <c r="V32" i="2"/>
  <c r="N30" i="3"/>
  <c r="I30" i="1"/>
  <c r="V33" i="2"/>
  <c r="N31" i="3"/>
  <c r="I31" i="1"/>
  <c r="V34" i="2"/>
  <c r="N32" i="3"/>
  <c r="I32" i="1"/>
  <c r="O30" i="3"/>
  <c r="K30" i="1"/>
  <c r="P30" i="3"/>
  <c r="L30" i="1"/>
  <c r="O31" i="3"/>
  <c r="K31" i="1"/>
  <c r="P31" i="3"/>
  <c r="O32" i="3"/>
  <c r="K32" i="1"/>
  <c r="P32" i="3"/>
  <c r="L32" i="1"/>
  <c r="P3" i="3"/>
  <c r="P4" i="3"/>
  <c r="P5" i="3"/>
  <c r="L5" i="1"/>
  <c r="P6" i="3"/>
  <c r="L6" i="1"/>
  <c r="P7" i="3"/>
  <c r="P8" i="3"/>
  <c r="P9" i="3"/>
  <c r="L9" i="1"/>
  <c r="P10" i="3"/>
  <c r="L10" i="1"/>
  <c r="P11" i="3"/>
  <c r="P12" i="3"/>
  <c r="P13" i="3"/>
  <c r="L13" i="1"/>
  <c r="P14" i="3"/>
  <c r="L14" i="1"/>
  <c r="P15" i="3"/>
  <c r="P16" i="3"/>
  <c r="L16" i="1"/>
  <c r="P17" i="3"/>
  <c r="L17" i="1"/>
  <c r="P18" i="3"/>
  <c r="L18" i="1"/>
  <c r="P19" i="3"/>
  <c r="P20" i="3"/>
  <c r="L20" i="1"/>
  <c r="P21" i="3"/>
  <c r="P22" i="3"/>
  <c r="L22" i="1"/>
  <c r="P23" i="3"/>
  <c r="L23" i="1"/>
  <c r="P24" i="3"/>
  <c r="P25" i="3"/>
  <c r="L25" i="1"/>
  <c r="P26" i="3"/>
  <c r="L26" i="1"/>
  <c r="P27" i="3"/>
  <c r="L27" i="1"/>
  <c r="P28" i="3"/>
  <c r="P29" i="3"/>
  <c r="O3" i="3"/>
  <c r="K3" i="1"/>
  <c r="O4" i="3"/>
  <c r="K4" i="1"/>
  <c r="O5" i="3"/>
  <c r="K5" i="1"/>
  <c r="O6" i="3"/>
  <c r="K6" i="1"/>
  <c r="O7" i="3"/>
  <c r="K7" i="1"/>
  <c r="O8" i="3"/>
  <c r="K8" i="1"/>
  <c r="O9" i="3"/>
  <c r="K9" i="1"/>
  <c r="O10" i="3"/>
  <c r="K10" i="1"/>
  <c r="O11" i="3"/>
  <c r="K11" i="1"/>
  <c r="O12" i="3"/>
  <c r="K12" i="1"/>
  <c r="O13" i="3"/>
  <c r="K13" i="1"/>
  <c r="O14" i="3"/>
  <c r="K14" i="1"/>
  <c r="O15" i="3"/>
  <c r="K15" i="1"/>
  <c r="O16" i="3"/>
  <c r="K16" i="1"/>
  <c r="O17" i="3"/>
  <c r="K17" i="1"/>
  <c r="O18" i="3"/>
  <c r="K18" i="1"/>
  <c r="O19" i="3"/>
  <c r="K19" i="1"/>
  <c r="O20" i="3"/>
  <c r="O21" i="3"/>
  <c r="K21" i="1"/>
  <c r="O22" i="3"/>
  <c r="K22" i="1"/>
  <c r="O23" i="3"/>
  <c r="K23" i="1"/>
  <c r="O24" i="3"/>
  <c r="K24" i="1"/>
  <c r="O25" i="3"/>
  <c r="K25" i="1"/>
  <c r="O26" i="3"/>
  <c r="K26" i="1"/>
  <c r="O27" i="3"/>
  <c r="K27" i="1"/>
  <c r="O28" i="3"/>
  <c r="K28" i="1"/>
  <c r="O29" i="3"/>
  <c r="K29" i="1"/>
  <c r="O2" i="3"/>
  <c r="K2" i="1"/>
  <c r="V6" i="2"/>
  <c r="N4" i="3"/>
  <c r="I4" i="1"/>
  <c r="V7" i="2"/>
  <c r="N5" i="3"/>
  <c r="I5" i="1"/>
  <c r="V8" i="2"/>
  <c r="N6" i="3"/>
  <c r="I6" i="1"/>
  <c r="V9" i="2"/>
  <c r="N7" i="3"/>
  <c r="I7" i="1"/>
  <c r="V10" i="2"/>
  <c r="N8" i="3"/>
  <c r="I8" i="1"/>
  <c r="V11" i="2"/>
  <c r="N9" i="3"/>
  <c r="I9" i="1"/>
  <c r="V12" i="2"/>
  <c r="N10" i="3"/>
  <c r="I10" i="1"/>
  <c r="V13" i="2"/>
  <c r="N11" i="3"/>
  <c r="I11" i="1"/>
  <c r="V14" i="2"/>
  <c r="N12" i="3"/>
  <c r="I12" i="1"/>
  <c r="V15" i="2"/>
  <c r="N13" i="3"/>
  <c r="I13" i="1"/>
  <c r="V16" i="2"/>
  <c r="N14" i="3"/>
  <c r="I14" i="1"/>
  <c r="V17" i="2"/>
  <c r="N15" i="3"/>
  <c r="I15" i="1"/>
  <c r="V18" i="2"/>
  <c r="N16" i="3"/>
  <c r="I16" i="1"/>
  <c r="V19" i="2"/>
  <c r="N17" i="3"/>
  <c r="I17" i="1"/>
  <c r="V20" i="2"/>
  <c r="N18" i="3"/>
  <c r="I18" i="1"/>
  <c r="V21" i="2"/>
  <c r="N19" i="3"/>
  <c r="I19" i="1"/>
  <c r="V22" i="2"/>
  <c r="N20" i="3"/>
  <c r="I20" i="1"/>
  <c r="V23" i="2"/>
  <c r="N21" i="3"/>
  <c r="I21" i="1"/>
  <c r="V25" i="2"/>
  <c r="N23" i="3"/>
  <c r="I23" i="1"/>
  <c r="N24" i="3"/>
  <c r="I24" i="1"/>
  <c r="V27" i="2"/>
  <c r="N25" i="3"/>
  <c r="I25" i="1"/>
  <c r="V28" i="2"/>
  <c r="N26" i="3"/>
  <c r="I26" i="1"/>
  <c r="V29" i="2"/>
  <c r="N27" i="3"/>
  <c r="I27" i="1"/>
  <c r="V30" i="2"/>
  <c r="N28" i="3"/>
  <c r="I28" i="1"/>
  <c r="V31" i="2"/>
  <c r="N29" i="3"/>
  <c r="I29" i="1"/>
  <c r="V5" i="2"/>
  <c r="N3" i="3"/>
  <c r="I3" i="1"/>
  <c r="Y6" i="2"/>
  <c r="M4" i="3"/>
  <c r="K4" i="3"/>
  <c r="Y7" i="2"/>
  <c r="M5" i="3"/>
  <c r="Y8" i="2"/>
  <c r="L6" i="3"/>
  <c r="G6" i="1"/>
  <c r="Y9" i="2"/>
  <c r="K7" i="3"/>
  <c r="Y10" i="2"/>
  <c r="L8" i="3"/>
  <c r="G8" i="1"/>
  <c r="M8" i="3"/>
  <c r="Y11" i="2"/>
  <c r="M9" i="3"/>
  <c r="Y12" i="2"/>
  <c r="K10" i="3"/>
  <c r="Y13" i="2"/>
  <c r="K11" i="3"/>
  <c r="Y14" i="2"/>
  <c r="K12" i="3"/>
  <c r="M12" i="3"/>
  <c r="Y5" i="2"/>
  <c r="K3" i="3"/>
  <c r="E12" i="3"/>
  <c r="H13" i="3"/>
  <c r="H17" i="3"/>
  <c r="G2" i="3"/>
  <c r="L31" i="1"/>
  <c r="P2" i="3"/>
  <c r="L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L7" i="1"/>
  <c r="L1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L3" i="1"/>
  <c r="L4" i="1"/>
  <c r="L8" i="1"/>
  <c r="L12" i="1"/>
  <c r="L15" i="1"/>
  <c r="L19" i="1"/>
  <c r="K20" i="1"/>
  <c r="L21" i="1"/>
  <c r="L24" i="1"/>
  <c r="L28" i="1"/>
  <c r="L29" i="1"/>
  <c r="M10" i="3"/>
  <c r="L3" i="3"/>
  <c r="G3" i="1"/>
  <c r="K15" i="3"/>
  <c r="K13" i="3"/>
  <c r="K23" i="3"/>
  <c r="K24" i="3"/>
  <c r="M30" i="3"/>
  <c r="M3" i="3"/>
  <c r="K8" i="3"/>
  <c r="M25" i="3"/>
  <c r="K22" i="3"/>
  <c r="M17" i="3"/>
  <c r="L5" i="3"/>
  <c r="G5" i="1"/>
  <c r="L29" i="3"/>
  <c r="G29" i="1"/>
  <c r="K16" i="3"/>
  <c r="K29" i="3"/>
  <c r="M16" i="3"/>
  <c r="K6" i="3"/>
  <c r="M6" i="3"/>
  <c r="K5" i="3"/>
  <c r="E6" i="1"/>
  <c r="F6" i="1"/>
  <c r="E5" i="1"/>
  <c r="F5" i="1"/>
  <c r="L4" i="3"/>
  <c r="G4" i="1"/>
  <c r="E4" i="1"/>
  <c r="F4" i="1"/>
  <c r="E3" i="1"/>
  <c r="F3" i="1"/>
  <c r="M2" i="3"/>
  <c r="E2" i="1"/>
  <c r="F2" i="1"/>
  <c r="L7" i="3"/>
  <c r="G7" i="1"/>
  <c r="M7" i="3"/>
  <c r="E7" i="1"/>
  <c r="F7" i="1"/>
  <c r="K9" i="3"/>
  <c r="L9" i="3"/>
  <c r="G9" i="1"/>
  <c r="E8" i="1"/>
  <c r="F8" i="1"/>
  <c r="E9" i="1"/>
  <c r="F9" i="1"/>
  <c r="L13" i="3"/>
  <c r="G13" i="1"/>
  <c r="L12" i="3"/>
  <c r="G12" i="1"/>
  <c r="L11" i="3"/>
  <c r="G11" i="1"/>
  <c r="M11" i="3"/>
  <c r="E12" i="1"/>
  <c r="F12" i="1"/>
  <c r="E11" i="1"/>
  <c r="F11" i="1"/>
  <c r="E10" i="1"/>
  <c r="F10" i="1"/>
  <c r="E13" i="1"/>
  <c r="F13" i="1"/>
  <c r="L14" i="3"/>
  <c r="G14" i="1"/>
  <c r="E14" i="1"/>
  <c r="F14" i="1"/>
  <c r="L15" i="3"/>
  <c r="G15" i="1"/>
  <c r="E15" i="1"/>
  <c r="F15" i="1"/>
  <c r="E16" i="1"/>
  <c r="F16" i="1"/>
  <c r="L20" i="3"/>
  <c r="G20" i="1"/>
  <c r="L19" i="3"/>
  <c r="G19" i="1"/>
  <c r="M18" i="3"/>
  <c r="K19" i="3"/>
  <c r="E19" i="1"/>
  <c r="F19" i="1"/>
  <c r="L18" i="3"/>
  <c r="G18" i="1"/>
  <c r="E18" i="1"/>
  <c r="F18" i="1"/>
  <c r="E17" i="1"/>
  <c r="F17" i="1"/>
  <c r="M20" i="3"/>
  <c r="E20" i="1"/>
  <c r="F20" i="1"/>
  <c r="M21" i="3"/>
  <c r="L21" i="3"/>
  <c r="G21" i="1"/>
  <c r="E21" i="1"/>
  <c r="F21" i="1"/>
  <c r="E22" i="1"/>
  <c r="F22" i="1"/>
  <c r="E23" i="1"/>
  <c r="F23" i="1"/>
  <c r="E29" i="1"/>
  <c r="F29" i="1"/>
  <c r="K28" i="3"/>
  <c r="E28" i="1"/>
  <c r="F28" i="1"/>
  <c r="E27" i="1"/>
  <c r="F27" i="1"/>
  <c r="L26" i="3"/>
  <c r="G26" i="1"/>
  <c r="K26" i="3"/>
  <c r="E26" i="1"/>
  <c r="F26" i="1"/>
  <c r="L24" i="3"/>
  <c r="G24" i="1"/>
  <c r="E25" i="1"/>
  <c r="F25" i="1"/>
  <c r="E24" i="1"/>
  <c r="F24" i="1"/>
  <c r="L31" i="3"/>
  <c r="G31" i="1"/>
  <c r="L30" i="3"/>
  <c r="G30" i="1"/>
  <c r="E30" i="1"/>
  <c r="F30" i="1"/>
  <c r="L32" i="3"/>
  <c r="G32" i="1"/>
  <c r="K32" i="3"/>
  <c r="E32" i="1"/>
  <c r="F32" i="1"/>
</calcChain>
</file>

<file path=xl/sharedStrings.xml><?xml version="1.0" encoding="utf-8"?>
<sst xmlns="http://schemas.openxmlformats.org/spreadsheetml/2006/main" count="170" uniqueCount="54">
  <si>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</si>
  <si>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</si>
  <si>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</si>
  <si>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</si>
  <si>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</si>
  <si>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</si>
  <si>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</si>
  <si>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</si>
  <si>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</si>
  <si>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</si>
  <si>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CHP KWh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</si>
  <si>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</si>
  <si>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</si>
  <si>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</si>
  <si>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</si>
  <si>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Date</t>
  </si>
  <si>
    <t>Gas</t>
  </si>
  <si>
    <t>Differ</t>
  </si>
  <si>
    <t>Asian kitchen</t>
  </si>
  <si>
    <t>Main kitchen</t>
  </si>
  <si>
    <t>Electricity 2 left side</t>
  </si>
  <si>
    <t>Electricity 1 right side</t>
  </si>
  <si>
    <t>Water</t>
  </si>
  <si>
    <t>24h</t>
  </si>
  <si>
    <t>Engineer</t>
  </si>
  <si>
    <t>CHP</t>
  </si>
  <si>
    <t>Room nights</t>
  </si>
  <si>
    <t>water - main and bypass you add  together</t>
  </si>
  <si>
    <r>
      <t xml:space="preserve">3rd KWH </t>
    </r>
    <r>
      <rPr>
        <b/>
        <sz val="8"/>
        <color indexed="8"/>
        <rFont val="Arial"/>
        <family val="2"/>
      </rPr>
      <t>DAY</t>
    </r>
  </si>
  <si>
    <r>
      <t xml:space="preserve">4th KWH </t>
    </r>
    <r>
      <rPr>
        <b/>
        <sz val="8"/>
        <color indexed="8"/>
        <rFont val="Arial"/>
        <family val="2"/>
      </rPr>
      <t>NIGHT</t>
    </r>
  </si>
  <si>
    <r>
      <t>7th KWH</t>
    </r>
    <r>
      <rPr>
        <b/>
        <sz val="8"/>
        <color indexed="8"/>
        <rFont val="Arial"/>
        <family val="2"/>
      </rPr>
      <t xml:space="preserve"> OVERALL</t>
    </r>
  </si>
  <si>
    <t>Daily usage</t>
  </si>
  <si>
    <t>Main</t>
  </si>
  <si>
    <t>By pass</t>
  </si>
  <si>
    <t xml:space="preserve">for 24 hours and then you subtract </t>
  </si>
  <si>
    <t xml:space="preserve">that is your 24 hour usage </t>
  </si>
  <si>
    <t>LV Panel 1 Daily KWh</t>
  </si>
  <si>
    <t>LV Panel 1 Night KWh</t>
  </si>
  <si>
    <t>LV Panel 2 Daily KWh</t>
  </si>
  <si>
    <t>LV Panel 2 Night KWh</t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</si>
  <si>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</si>
  <si>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r>
      <t>Asian Kitchen m</t>
    </r>
    <r>
      <rPr>
        <b/>
        <vertAlign val="superscript"/>
        <sz val="11"/>
        <color indexed="8"/>
        <rFont val="Calibri"/>
        <family val="2"/>
      </rPr>
      <t>3</t>
    </r>
  </si>
  <si>
    <r>
      <t>Main Kitchen m</t>
    </r>
    <r>
      <rPr>
        <b/>
        <vertAlign val="superscript"/>
        <sz val="11"/>
        <color indexed="8"/>
        <rFont val="Calibri"/>
        <family val="2"/>
      </rPr>
      <t>3</t>
    </r>
  </si>
  <si>
    <t>KWh Reading</t>
  </si>
  <si>
    <t xml:space="preserve">Daily Usage </t>
  </si>
  <si>
    <t xml:space="preserve"> </t>
  </si>
  <si>
    <t xml:space="preserve">to be filled by ENG </t>
  </si>
  <si>
    <t>January</t>
  </si>
  <si>
    <t>H.M</t>
  </si>
  <si>
    <t>SC</t>
  </si>
  <si>
    <t>AL</t>
  </si>
  <si>
    <t>`</t>
  </si>
  <si>
    <t>Wsj</t>
  </si>
  <si>
    <t>London at Ten Trinity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</si>
</sst>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5" formatCode="0.000"/>
  </numFmts>
  <fonts count="15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8"/>
      <color indexed="8"/>
      <name val="Arial"/>
      <family val="2"/>
    </font>
    <font>
      <b/>
      <vertAlign val="superscript"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5" fillId="2" borderId="8" applyNumberFormat="0" applyAlignment="0" applyProtection="0"/>
    <xf numFmtId="0" fontId="6" fillId="3" borderId="0" applyNumberFormat="0" applyBorder="0" applyAlignment="0" applyProtection="0"/>
    <xf numFmtId="0" fontId="4" fillId="4" borderId="9" applyNumberFormat="0" applyFont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2" borderId="8" xfId="1" applyFont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1" fillId="3" borderId="3" xfId="2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9" xfId="3" applyFont="1" applyFill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185" fontId="8" fillId="0" borderId="0" xfId="0" applyNumberFormat="1" applyFont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3" borderId="4" xfId="2" applyFont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3" borderId="4" xfId="2" applyFont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1" fillId="0" borderId="4" xfId="2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1" fillId="3" borderId="3" xfId="2" applyFont="1" applyBorder="1" applyAlignment="1">
      <alignment horizontal="center" vertical="center"/>
    </xf>
    <xf numFmtId="0" fontId="11" fillId="7" borderId="4" xfId="2" applyFont="1" applyFill="1" applyBorder="1" applyAlignment="1">
      <alignment horizontal="center" vertical="center" wrapText="1"/>
    </xf>
    <xf numFmtId="0" fontId="11" fillId="7" borderId="3" xfId="2" applyFont="1" applyFill="1" applyBorder="1" applyAlignment="1">
      <alignment horizontal="center" vertical="center" wrapText="1"/>
    </xf>
    <xf numFmtId="0" fontId="11" fillId="3" borderId="4" xfId="2" applyFont="1" applyBorder="1" applyAlignment="1">
      <alignment horizontal="center" vertical="center" wrapText="1"/>
    </xf>
    <xf numFmtId="0" fontId="11" fillId="3" borderId="3" xfId="2" applyFont="1" applyBorder="1" applyAlignment="1">
      <alignment horizontal="center" vertical="center" wrapText="1"/>
    </xf>
  </cellXfs>
  <cellStyles count="4">
    <cellStyle name="Input" xfId="1" builtinId="20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2" sqref="A2:A32"/>
    </sheetView>
  </sheetViews>
  <sheetFormatPr defaultColWidth="11.5703125" defaultRowHeight="15" x14ac:dyDescent="0.25"/>
  <cols>
    <col min="1" max="1" width="30.8554687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6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23" t="s">
        <v>5</v>
      </c>
      <c r="G1" s="7" t="s">
        <v>13</v>
      </c>
      <c r="H1" s="23" t="s">
        <v>14</v>
      </c>
      <c r="I1" s="7" t="s">
        <v>6</v>
      </c>
      <c r="J1" s="25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t="s">
        <v>53</v>
      </c>
      <c r="B2" s="2">
        <v>1</v>
      </c>
      <c r="C2" s="2">
        <v>1</v>
      </c>
      <c r="D2" s="2">
        <v>2020</v>
      </c>
      <c r="E2" s="4">
        <f>Submetering!E2+Submetering!F2+Submetering!G2+Submetering!H2+Submetering!K2</f>
        <v>10170</v>
      </c>
      <c r="F2" s="27">
        <f>((TOTAL!E2-Submetering!K2)*0.162+Submetering!K2*TOTAL!H2)/TOTAL!E2</f>
        <v>0.1754611243336586</v>
      </c>
      <c r="G2" s="4">
        <f>Submetering!L2</f>
        <v>1350.4</v>
      </c>
      <c r="H2" s="24">
        <v>0.25512900304306657</v>
      </c>
      <c r="I2" s="4">
        <f>Submetering!N2</f>
        <v>140</v>
      </c>
      <c r="J2" s="24">
        <v>2.3196172978505634</v>
      </c>
      <c r="K2" s="4">
        <f>Submetering!O2</f>
        <v>89</v>
      </c>
      <c r="L2" s="4">
        <f>Submetering!P2</f>
        <v>0</v>
      </c>
    </row>
    <row r="3" spans="1:24" x14ac:dyDescent="0.25">
      <c r="A3" t="s">
        <v>53</v>
      </c>
      <c r="B3" s="2">
        <f>B2+1</f>
        <v>2</v>
      </c>
      <c r="C3" s="2">
        <v>1</v>
      </c>
      <c r="D3" s="2">
        <v>2020</v>
      </c>
      <c r="E3" s="4">
        <f>Submetering!E3+Submetering!F3+Submetering!G3+Submetering!H3+Submetering!K3</f>
        <v>10668</v>
      </c>
      <c r="F3" s="27">
        <f>((TOTAL!E3-Submetering!K3)*0.162+Submetering!K3*TOTAL!H3)/TOTAL!E3</f>
        <v>0.17481527713416029</v>
      </c>
      <c r="G3" s="4">
        <f>Submetering!L3</f>
        <v>1447.96</v>
      </c>
      <c r="H3" s="24">
        <v>0.25512900304306657</v>
      </c>
      <c r="I3" s="4">
        <f>Submetering!N3</f>
        <v>180</v>
      </c>
      <c r="J3" s="24">
        <v>2.3196172978505634</v>
      </c>
      <c r="K3" s="4">
        <f>Submetering!O3</f>
        <v>83</v>
      </c>
      <c r="L3" s="4">
        <f>Submetering!P3</f>
        <v>0</v>
      </c>
    </row>
    <row r="4" spans="1:24" x14ac:dyDescent="0.25">
      <c r="A4" t="s">
        <v>53</v>
      </c>
      <c r="B4" s="2">
        <f t="shared" ref="B4:B32" si="0">B3+1</f>
        <v>3</v>
      </c>
      <c r="C4" s="2">
        <v>1</v>
      </c>
      <c r="D4" s="2">
        <v>2020</v>
      </c>
      <c r="E4" s="4">
        <f>Submetering!E4+Submetering!F4+Submetering!G4+Submetering!H4+Submetering!K4</f>
        <v>10970</v>
      </c>
      <c r="F4" s="27">
        <f>((TOTAL!E4-Submetering!K4)*0.162+Submetering!K4*TOTAL!H4)/TOTAL!E4</f>
        <v>0.1744794561962906</v>
      </c>
      <c r="G4" s="4">
        <f>Submetering!L4</f>
        <v>1462.4</v>
      </c>
      <c r="H4" s="24">
        <v>0.25512900304306657</v>
      </c>
      <c r="I4" s="4">
        <f>Submetering!N4</f>
        <v>210</v>
      </c>
      <c r="J4" s="24">
        <v>2.3196172978505634</v>
      </c>
      <c r="K4" s="4">
        <f>Submetering!O4</f>
        <v>79</v>
      </c>
      <c r="L4" s="4">
        <f>Submetering!P4</f>
        <v>0</v>
      </c>
    </row>
    <row r="5" spans="1:24" x14ac:dyDescent="0.25">
      <c r="A5" t="s">
        <v>53</v>
      </c>
      <c r="B5" s="2">
        <f t="shared" si="0"/>
        <v>4</v>
      </c>
      <c r="C5" s="2">
        <v>1</v>
      </c>
      <c r="D5" s="2">
        <v>2020</v>
      </c>
      <c r="E5" s="4">
        <f>Submetering!E5+Submetering!F5+Submetering!G5+Submetering!H5+Submetering!K5</f>
        <v>11468</v>
      </c>
      <c r="F5" s="27">
        <f>((TOTAL!E5-Submetering!K5)*0.162+Submetering!K5*TOTAL!H5)/TOTAL!E5</f>
        <v>0.1739212919835387</v>
      </c>
      <c r="G5" s="4">
        <f>Submetering!L5</f>
        <v>1654.96</v>
      </c>
      <c r="H5" s="24">
        <v>0.25512900304306657</v>
      </c>
      <c r="I5" s="4">
        <f>Submetering!N5</f>
        <v>200</v>
      </c>
      <c r="J5" s="24">
        <v>2.3196172978505634</v>
      </c>
      <c r="K5" s="4">
        <f>Submetering!O5</f>
        <v>60</v>
      </c>
      <c r="L5" s="4">
        <f>Submetering!P5</f>
        <v>0</v>
      </c>
    </row>
    <row r="6" spans="1:24" x14ac:dyDescent="0.25">
      <c r="A6" t="s">
        <v>53</v>
      </c>
      <c r="B6" s="2">
        <f t="shared" si="0"/>
        <v>5</v>
      </c>
      <c r="C6" s="2">
        <v>1</v>
      </c>
      <c r="D6" s="2">
        <v>2020</v>
      </c>
      <c r="E6" s="4">
        <f>Submetering!E6+Submetering!F6+Submetering!G6+Submetering!H6+Submetering!K6</f>
        <v>9869</v>
      </c>
      <c r="F6" s="27">
        <f>((TOTAL!E6-Submetering!K6)*0.162+Submetering!K6*TOTAL!H6)/TOTAL!E6</f>
        <v>0.17114398661958977</v>
      </c>
      <c r="G6" s="4">
        <f>Submetering!L6</f>
        <v>1303.6799999999998</v>
      </c>
      <c r="H6" s="24">
        <v>0.25512900304306657</v>
      </c>
      <c r="I6" s="4">
        <f>Submetering!N6</f>
        <v>170</v>
      </c>
      <c r="J6" s="24">
        <v>2.3196172978505634</v>
      </c>
      <c r="K6" s="4">
        <f>Submetering!O6</f>
        <v>66</v>
      </c>
      <c r="L6" s="4">
        <f>Submetering!P6</f>
        <v>0</v>
      </c>
    </row>
    <row r="7" spans="1:24" x14ac:dyDescent="0.25">
      <c r="A7" t="s">
        <v>53</v>
      </c>
      <c r="B7" s="2">
        <f t="shared" si="0"/>
        <v>6</v>
      </c>
      <c r="C7" s="2">
        <v>1</v>
      </c>
      <c r="D7" s="2">
        <v>2020</v>
      </c>
      <c r="E7" s="4">
        <f>Submetering!E7+Submetering!F7+Submetering!G7+Submetering!H7+Submetering!K7</f>
        <v>9615</v>
      </c>
      <c r="F7" s="27">
        <f>((TOTAL!E7-Submetering!K7)*0.162+Submetering!K7*TOTAL!H7)/TOTAL!E7</f>
        <v>0.17376825155458409</v>
      </c>
      <c r="G7" s="4">
        <f>Submetering!L7</f>
        <v>1398.8</v>
      </c>
      <c r="H7" s="24">
        <v>0.25512900304306657</v>
      </c>
      <c r="I7" s="4">
        <f>Submetering!N7</f>
        <v>160</v>
      </c>
      <c r="J7" s="24">
        <v>2.3196172978505634</v>
      </c>
      <c r="K7" s="4">
        <f>Submetering!O7</f>
        <v>70</v>
      </c>
      <c r="L7" s="4">
        <f>Submetering!P7</f>
        <v>0</v>
      </c>
    </row>
    <row r="8" spans="1:24" x14ac:dyDescent="0.25">
      <c r="A8" t="s">
        <v>53</v>
      </c>
      <c r="B8" s="2">
        <f t="shared" si="0"/>
        <v>7</v>
      </c>
      <c r="C8" s="2">
        <v>1</v>
      </c>
      <c r="D8" s="2">
        <v>2020</v>
      </c>
      <c r="E8" s="4">
        <f>Submetering!E8+Submetering!F8+Submetering!G8+Submetering!H8+Submetering!K8</f>
        <v>11967</v>
      </c>
      <c r="F8" s="27">
        <f>((TOTAL!E8-Submetering!K8)*0.162+Submetering!K8*TOTAL!H8)/TOTAL!E8</f>
        <v>0.17341641576536965</v>
      </c>
      <c r="G8" s="4">
        <f>Submetering!L8</f>
        <v>1381.24</v>
      </c>
      <c r="H8" s="24">
        <v>0.25512900304306657</v>
      </c>
      <c r="I8" s="4">
        <f>Submetering!N8</f>
        <v>170</v>
      </c>
      <c r="J8" s="24">
        <v>2.3196172978505634</v>
      </c>
      <c r="K8" s="4">
        <f>Submetering!O8</f>
        <v>77</v>
      </c>
      <c r="L8" s="4">
        <f>Submetering!P8</f>
        <v>0</v>
      </c>
    </row>
    <row r="9" spans="1:24" x14ac:dyDescent="0.25">
      <c r="A9" t="s">
        <v>53</v>
      </c>
      <c r="B9" s="2">
        <f t="shared" si="0"/>
        <v>8</v>
      </c>
      <c r="C9" s="2">
        <v>1</v>
      </c>
      <c r="D9" s="2">
        <v>2020</v>
      </c>
      <c r="E9" s="4">
        <f>Submetering!E9+Submetering!F9+Submetering!G9+Submetering!H9+Submetering!K9</f>
        <v>11168</v>
      </c>
      <c r="F9" s="27">
        <f>((TOTAL!E9-Submetering!K9)*0.162+Submetering!K9*TOTAL!H9)/TOTAL!E9</f>
        <v>0.17424152726246614</v>
      </c>
      <c r="G9" s="4">
        <f>Submetering!L9</f>
        <v>1398.96</v>
      </c>
      <c r="H9" s="24">
        <v>0.25512900304306657</v>
      </c>
      <c r="I9" s="4">
        <f>Submetering!N9</f>
        <v>190</v>
      </c>
      <c r="J9" s="24">
        <v>2.3196172978505634</v>
      </c>
      <c r="K9" s="4">
        <f>Submetering!O9</f>
        <v>74</v>
      </c>
      <c r="L9" s="4">
        <f>Submetering!P9</f>
        <v>0</v>
      </c>
    </row>
    <row r="10" spans="1:24" x14ac:dyDescent="0.25">
      <c r="A10" t="s">
        <v>53</v>
      </c>
      <c r="B10" s="2">
        <f t="shared" si="0"/>
        <v>9</v>
      </c>
      <c r="C10" s="2">
        <v>1</v>
      </c>
      <c r="D10" s="2">
        <v>2020</v>
      </c>
      <c r="E10" s="4">
        <f>Submetering!E10+Submetering!F10+Submetering!G10+Submetering!H10+Submetering!K10</f>
        <v>10561</v>
      </c>
      <c r="F10" s="27">
        <f>((TOTAL!E10-Submetering!K10)*0.162+Submetering!K10*TOTAL!H10)/TOTAL!E10</f>
        <v>0.17488338920991575</v>
      </c>
      <c r="G10" s="4">
        <f>Submetering!L10</f>
        <v>1280.92</v>
      </c>
      <c r="H10" s="24">
        <v>0.25512900304306657</v>
      </c>
      <c r="I10" s="4">
        <f>Submetering!N10</f>
        <v>160</v>
      </c>
      <c r="J10" s="24">
        <v>2.3196172978505634</v>
      </c>
      <c r="K10" s="4">
        <f>Submetering!O10</f>
        <v>67</v>
      </c>
      <c r="L10" s="4">
        <f>Submetering!P10</f>
        <v>0</v>
      </c>
    </row>
    <row r="11" spans="1:24" x14ac:dyDescent="0.25">
      <c r="A11" t="s">
        <v>53</v>
      </c>
      <c r="B11" s="2">
        <f t="shared" si="0"/>
        <v>10</v>
      </c>
      <c r="C11" s="2">
        <v>1</v>
      </c>
      <c r="D11" s="2">
        <v>2020</v>
      </c>
      <c r="E11" s="4">
        <f>Submetering!E11+Submetering!F11+Submetering!G11+Submetering!H11+Submetering!K11</f>
        <v>10766</v>
      </c>
      <c r="F11" s="27">
        <f>((TOTAL!E11-Submetering!K11)*0.162+Submetering!K11*TOTAL!H11)/TOTAL!E11</f>
        <v>0.17468132253958163</v>
      </c>
      <c r="G11" s="4">
        <f>Submetering!L11</f>
        <v>1512.52</v>
      </c>
      <c r="H11" s="24">
        <v>0.25512900304306657</v>
      </c>
      <c r="I11" s="4">
        <f>Submetering!N11</f>
        <v>180</v>
      </c>
      <c r="J11" s="24">
        <v>2.3196172978505634</v>
      </c>
      <c r="K11" s="4">
        <f>Submetering!O11</f>
        <v>51</v>
      </c>
      <c r="L11" s="4">
        <f>Submetering!P11</f>
        <v>0</v>
      </c>
    </row>
    <row r="12" spans="1:24" x14ac:dyDescent="0.25">
      <c r="A12" t="s">
        <v>53</v>
      </c>
      <c r="B12" s="2">
        <f t="shared" si="0"/>
        <v>11</v>
      </c>
      <c r="C12" s="2">
        <v>1</v>
      </c>
      <c r="D12" s="2">
        <v>2020</v>
      </c>
      <c r="E12" s="4">
        <f>Submetering!E12+Submetering!F12+Submetering!G12+Submetering!H12+Submetering!K12</f>
        <v>10464</v>
      </c>
      <c r="F12" s="27">
        <f>((TOTAL!E12-Submetering!K12)*0.162+Submetering!K12*TOTAL!H12)/TOTAL!E12</f>
        <v>0.17502951648079601</v>
      </c>
      <c r="G12" s="4">
        <f>Submetering!L12</f>
        <v>1300.08</v>
      </c>
      <c r="H12" s="24">
        <v>0.25512900304306657</v>
      </c>
      <c r="I12" s="4">
        <f>Submetering!N12</f>
        <v>150</v>
      </c>
      <c r="J12" s="24">
        <v>2.3196172978505634</v>
      </c>
      <c r="K12" s="4">
        <f>Submetering!O12</f>
        <v>48</v>
      </c>
      <c r="L12" s="4">
        <f>Submetering!P12</f>
        <v>0</v>
      </c>
    </row>
    <row r="13" spans="1:24" x14ac:dyDescent="0.25">
      <c r="A13" t="s">
        <v>53</v>
      </c>
      <c r="B13" s="2">
        <f t="shared" si="0"/>
        <v>12</v>
      </c>
      <c r="C13" s="2">
        <v>1</v>
      </c>
      <c r="D13" s="2">
        <v>2020</v>
      </c>
      <c r="E13" s="4">
        <f>Submetering!E13+Submetering!F13+Submetering!G13+Submetering!H13+Submetering!K13</f>
        <v>10166</v>
      </c>
      <c r="F13" s="27">
        <f>((TOTAL!E13-Submetering!K13)*0.162+Submetering!K13*TOTAL!H13)/TOTAL!E13</f>
        <v>0.17542977753896671</v>
      </c>
      <c r="G13" s="4">
        <f>Submetering!L13</f>
        <v>1166.52</v>
      </c>
      <c r="H13" s="24">
        <v>0.25512900304306657</v>
      </c>
      <c r="I13" s="4">
        <f>Submetering!N13</f>
        <v>130</v>
      </c>
      <c r="J13" s="24">
        <v>2.3196172978505634</v>
      </c>
      <c r="K13" s="4">
        <f>Submetering!O13</f>
        <v>59</v>
      </c>
      <c r="L13" s="4">
        <f>Submetering!P13</f>
        <v>0</v>
      </c>
    </row>
    <row r="14" spans="1:24" x14ac:dyDescent="0.25">
      <c r="A14" t="s">
        <v>53</v>
      </c>
      <c r="B14" s="2">
        <f t="shared" si="0"/>
        <v>13</v>
      </c>
      <c r="C14" s="2">
        <v>1</v>
      </c>
      <c r="D14" s="2">
        <v>2020</v>
      </c>
      <c r="E14" s="4">
        <f>Submetering!E14+Submetering!F14+Submetering!G14+Submetering!H14+Submetering!K14</f>
        <v>10520</v>
      </c>
      <c r="F14" s="27">
        <f>((TOTAL!E14-Submetering!K14)*0.162+Submetering!K14*TOTAL!H14)/TOTAL!E14</f>
        <v>0.16925910479993486</v>
      </c>
      <c r="G14" s="4">
        <f>Submetering!L14</f>
        <v>1494.4</v>
      </c>
      <c r="H14" s="24">
        <v>0.25512900304306657</v>
      </c>
      <c r="I14" s="4">
        <f>Submetering!N14</f>
        <v>150</v>
      </c>
      <c r="J14" s="24">
        <v>2.3196172978505634</v>
      </c>
      <c r="K14" s="4">
        <f>Submetering!O14</f>
        <v>84</v>
      </c>
      <c r="L14" s="4">
        <f>Submetering!P14</f>
        <v>0</v>
      </c>
    </row>
    <row r="15" spans="1:24" x14ac:dyDescent="0.25">
      <c r="A15" t="s">
        <v>53</v>
      </c>
      <c r="B15" s="2">
        <f t="shared" si="0"/>
        <v>14</v>
      </c>
      <c r="C15" s="2">
        <v>1</v>
      </c>
      <c r="D15" s="2">
        <v>2020</v>
      </c>
      <c r="E15" s="4">
        <f>Submetering!E15+Submetering!F15+Submetering!G15+Submetering!H15+Submetering!K15</f>
        <v>10875</v>
      </c>
      <c r="F15" s="27">
        <f>((TOTAL!E15-Submetering!K15)*0.162+Submetering!K15*TOTAL!H15)/TOTAL!E15</f>
        <v>0.17291857277056644</v>
      </c>
      <c r="G15" s="4">
        <f>Submetering!L15</f>
        <v>1426</v>
      </c>
      <c r="H15" s="24">
        <v>0.25512900304306657</v>
      </c>
      <c r="I15" s="4">
        <f>Submetering!N15</f>
        <v>170</v>
      </c>
      <c r="J15" s="24">
        <v>2.3196172978505634</v>
      </c>
      <c r="K15" s="4">
        <f>Submetering!O15</f>
        <v>97</v>
      </c>
      <c r="L15" s="4">
        <f>Submetering!P15</f>
        <v>0</v>
      </c>
    </row>
    <row r="16" spans="1:24" x14ac:dyDescent="0.25">
      <c r="A16" t="s">
        <v>53</v>
      </c>
      <c r="B16" s="2">
        <f t="shared" si="0"/>
        <v>15</v>
      </c>
      <c r="C16" s="2">
        <v>1</v>
      </c>
      <c r="D16" s="2">
        <v>2020</v>
      </c>
      <c r="E16" s="4">
        <f>Submetering!E16+Submetering!F16+Submetering!G16+Submetering!H16+Submetering!K16</f>
        <v>10244</v>
      </c>
      <c r="F16" s="27">
        <f>((TOTAL!E16-Submetering!K16)*0.162+Submetering!K16*TOTAL!H16)/TOTAL!E16</f>
        <v>0.17512751663355997</v>
      </c>
      <c r="G16" s="4">
        <f>Submetering!L16</f>
        <v>1277.6799999999998</v>
      </c>
      <c r="H16" s="24">
        <v>0.25512900304306657</v>
      </c>
      <c r="I16" s="4">
        <f>Submetering!N16</f>
        <v>140</v>
      </c>
      <c r="J16" s="24">
        <v>2.3196172978505634</v>
      </c>
      <c r="K16" s="4">
        <f>Submetering!O16</f>
        <v>82</v>
      </c>
      <c r="L16" s="4">
        <f>Submetering!P16</f>
        <v>0</v>
      </c>
    </row>
    <row r="17" spans="1:12" x14ac:dyDescent="0.25">
      <c r="A17" t="s">
        <v>53</v>
      </c>
      <c r="B17" s="2">
        <f t="shared" si="0"/>
        <v>16</v>
      </c>
      <c r="C17" s="2">
        <v>1</v>
      </c>
      <c r="D17" s="2">
        <v>2020</v>
      </c>
      <c r="E17" s="4">
        <f>Submetering!E17+Submetering!F17+Submetering!G17+Submetering!H17+Submetering!K17</f>
        <v>11035</v>
      </c>
      <c r="F17" s="27">
        <f>((TOTAL!E17-Submetering!K17)*0.162+Submetering!K17*TOTAL!H17)/TOTAL!E17</f>
        <v>0.17411056813473499</v>
      </c>
      <c r="G17" s="4">
        <f>Submetering!L17</f>
        <v>1365.2</v>
      </c>
      <c r="H17" s="24">
        <v>0.25512900304306657</v>
      </c>
      <c r="I17" s="4">
        <f>Submetering!N17</f>
        <v>160</v>
      </c>
      <c r="J17" s="24">
        <v>2.3196172978505634</v>
      </c>
      <c r="K17" s="4">
        <f>Submetering!O17</f>
        <v>73</v>
      </c>
      <c r="L17" s="4">
        <f>Submetering!P17</f>
        <v>0</v>
      </c>
    </row>
    <row r="18" spans="1:12" x14ac:dyDescent="0.25">
      <c r="A18" t="s">
        <v>53</v>
      </c>
      <c r="B18" s="2">
        <f t="shared" si="0"/>
        <v>17</v>
      </c>
      <c r="C18" s="2">
        <v>1</v>
      </c>
      <c r="D18" s="2">
        <v>2020</v>
      </c>
      <c r="E18" s="4">
        <f>Submetering!E18+Submetering!F18+Submetering!G18+Submetering!H18+Submetering!K18</f>
        <v>11350</v>
      </c>
      <c r="F18" s="27">
        <f>((TOTAL!E18-Submetering!K18)*0.162+Submetering!K18*TOTAL!H18)/TOTAL!E18</f>
        <v>0.17389753783369571</v>
      </c>
      <c r="G18" s="4">
        <f>Submetering!L18</f>
        <v>1551</v>
      </c>
      <c r="H18" s="24">
        <v>0.25512900304306657</v>
      </c>
      <c r="I18" s="4">
        <f>Submetering!N18</f>
        <v>180</v>
      </c>
      <c r="J18" s="24">
        <v>2.3196172978505634</v>
      </c>
      <c r="K18" s="4">
        <f>Submetering!O18</f>
        <v>66</v>
      </c>
      <c r="L18" s="4">
        <f>Submetering!P18</f>
        <v>0</v>
      </c>
    </row>
    <row r="19" spans="1:12" x14ac:dyDescent="0.25">
      <c r="A19" t="s">
        <v>53</v>
      </c>
      <c r="B19" s="2">
        <f t="shared" si="0"/>
        <v>18</v>
      </c>
      <c r="C19" s="2">
        <v>1</v>
      </c>
      <c r="D19" s="2">
        <v>2020</v>
      </c>
      <c r="E19" s="4">
        <f>Submetering!E19+Submetering!F19+Submetering!G19+Submetering!H19+Submetering!K19</f>
        <v>10755</v>
      </c>
      <c r="F19" s="27">
        <f>((TOTAL!E19-Submetering!K19)*0.162+Submetering!K19*TOTAL!H19)/TOTAL!E19</f>
        <v>0.17459904225268824</v>
      </c>
      <c r="G19" s="4">
        <f>Submetering!L19</f>
        <v>1669.6</v>
      </c>
      <c r="H19" s="24">
        <v>0.25512900304306657</v>
      </c>
      <c r="I19" s="4">
        <f>Submetering!N19</f>
        <v>180</v>
      </c>
      <c r="J19" s="24">
        <v>2.3196172978505634</v>
      </c>
      <c r="K19" s="4">
        <f>Submetering!O19</f>
        <v>92</v>
      </c>
      <c r="L19" s="4">
        <f>Submetering!P19</f>
        <v>0</v>
      </c>
    </row>
    <row r="20" spans="1:12" x14ac:dyDescent="0.25">
      <c r="A20" t="s">
        <v>53</v>
      </c>
      <c r="B20" s="2">
        <f t="shared" si="0"/>
        <v>19</v>
      </c>
      <c r="C20" s="2">
        <v>1</v>
      </c>
      <c r="D20" s="2">
        <v>2020</v>
      </c>
      <c r="E20" s="4">
        <f>Submetering!E20+Submetering!F20+Submetering!G20+Submetering!H20+Submetering!K20</f>
        <v>10000</v>
      </c>
      <c r="F20" s="27">
        <f>((TOTAL!E20-Submetering!K20)*0.162+Submetering!K20*TOTAL!H20)/TOTAL!E20</f>
        <v>0.17503806042602932</v>
      </c>
      <c r="G20" s="4">
        <f>Submetering!L20</f>
        <v>1406</v>
      </c>
      <c r="H20" s="24">
        <v>0.25512900304306657</v>
      </c>
      <c r="I20" s="4">
        <f>Submetering!N20</f>
        <v>120</v>
      </c>
      <c r="J20" s="24">
        <v>2.3196172978505634</v>
      </c>
      <c r="K20" s="4">
        <f>Submetering!O20</f>
        <v>56</v>
      </c>
      <c r="L20" s="4">
        <f>Submetering!P20</f>
        <v>0</v>
      </c>
    </row>
    <row r="21" spans="1:12" x14ac:dyDescent="0.25">
      <c r="A21" t="s">
        <v>53</v>
      </c>
      <c r="B21" s="2">
        <f t="shared" si="0"/>
        <v>20</v>
      </c>
      <c r="C21" s="2">
        <v>1</v>
      </c>
      <c r="D21" s="2">
        <v>2020</v>
      </c>
      <c r="E21" s="4">
        <f>Submetering!E21+Submetering!F21+Submetering!G21+Submetering!H21+Submetering!K21</f>
        <v>9487</v>
      </c>
      <c r="F21" s="27">
        <f>((TOTAL!E21-Submetering!K21)*0.162+Submetering!K21*TOTAL!H21)/TOTAL!E21</f>
        <v>0.17267052032337024</v>
      </c>
      <c r="G21" s="4">
        <f>Submetering!L21</f>
        <v>1492.6399999999999</v>
      </c>
      <c r="H21" s="24">
        <v>0.25512900304306657</v>
      </c>
      <c r="I21" s="4">
        <f>Submetering!N21</f>
        <v>150</v>
      </c>
      <c r="J21" s="24">
        <v>2.3196172978505634</v>
      </c>
      <c r="K21" s="4">
        <f>Submetering!O21</f>
        <v>70</v>
      </c>
      <c r="L21" s="4">
        <f>Submetering!P21</f>
        <v>0</v>
      </c>
    </row>
    <row r="22" spans="1:12" x14ac:dyDescent="0.25">
      <c r="A22" t="s">
        <v>53</v>
      </c>
      <c r="B22" s="2">
        <f t="shared" si="0"/>
        <v>21</v>
      </c>
      <c r="C22" s="2">
        <v>1</v>
      </c>
      <c r="D22" s="2">
        <v>2020</v>
      </c>
      <c r="E22" s="4">
        <f>Submetering!E22+Submetering!F22+Submetering!G22+Submetering!H22+Submetering!K22</f>
        <v>9742</v>
      </c>
      <c r="F22" s="27">
        <f>((TOTAL!E22-Submetering!K22)*0.162+Submetering!K22*TOTAL!H22)/TOTAL!E22</f>
        <v>0.17578485140506078</v>
      </c>
      <c r="G22" s="4">
        <f>Submetering!L22</f>
        <v>1786.24</v>
      </c>
      <c r="H22" s="24">
        <v>0.25512900304306657</v>
      </c>
      <c r="I22" s="4">
        <f>Submetering!N22</f>
        <v>170</v>
      </c>
      <c r="J22" s="24">
        <v>2.3196172978505634</v>
      </c>
      <c r="K22" s="4">
        <f>Submetering!O22</f>
        <v>73</v>
      </c>
      <c r="L22" s="4">
        <f>Submetering!P22</f>
        <v>0</v>
      </c>
    </row>
    <row r="23" spans="1:12" x14ac:dyDescent="0.25">
      <c r="A23" t="s">
        <v>53</v>
      </c>
      <c r="B23" s="2">
        <f t="shared" si="0"/>
        <v>22</v>
      </c>
      <c r="C23" s="2">
        <v>1</v>
      </c>
      <c r="D23" s="2">
        <v>2020</v>
      </c>
      <c r="E23" s="4">
        <f>Submetering!E23+Submetering!F23+Submetering!G23+Submetering!H23+Submetering!K23</f>
        <v>10853</v>
      </c>
      <c r="F23" s="27">
        <f>((TOTAL!E23-Submetering!K23)*0.162+Submetering!K23*TOTAL!H23)/TOTAL!E23</f>
        <v>0.17361001945243426</v>
      </c>
      <c r="G23" s="4">
        <f>Submetering!L23</f>
        <v>1505.1599999999999</v>
      </c>
      <c r="H23" s="24">
        <v>0.25512900304306657</v>
      </c>
      <c r="I23" s="4">
        <f>Submetering!N23</f>
        <v>170</v>
      </c>
      <c r="J23" s="24">
        <v>2.3196172978505634</v>
      </c>
      <c r="K23" s="4">
        <f>Submetering!O23</f>
        <v>73</v>
      </c>
      <c r="L23" s="4">
        <f>Submetering!P23</f>
        <v>0</v>
      </c>
    </row>
    <row r="24" spans="1:12" x14ac:dyDescent="0.25">
      <c r="A24" t="s">
        <v>53</v>
      </c>
      <c r="B24" s="2">
        <f t="shared" si="0"/>
        <v>23</v>
      </c>
      <c r="C24" s="2">
        <v>1</v>
      </c>
      <c r="D24" s="2">
        <v>2020</v>
      </c>
      <c r="E24" s="4">
        <f>Submetering!E24+Submetering!F24+Submetering!G24+Submetering!H24+Submetering!K24</f>
        <v>10854</v>
      </c>
      <c r="F24" s="27">
        <f>((TOTAL!E24-Submetering!K24)*0.162+Submetering!K24*TOTAL!H24)/TOTAL!E24</f>
        <v>0.17447554546016389</v>
      </c>
      <c r="G24" s="4">
        <f>Submetering!L24</f>
        <v>1514.8799999999999</v>
      </c>
      <c r="H24" s="24">
        <v>0.25512900304306657</v>
      </c>
      <c r="I24" s="4">
        <f>Submetering!N24</f>
        <v>170</v>
      </c>
      <c r="J24" s="24">
        <v>2.3196172978505634</v>
      </c>
      <c r="K24" s="4">
        <f>Submetering!O24</f>
        <v>102</v>
      </c>
      <c r="L24" s="4">
        <f>Submetering!P24</f>
        <v>0</v>
      </c>
    </row>
    <row r="25" spans="1:12" x14ac:dyDescent="0.25">
      <c r="A25" t="s">
        <v>53</v>
      </c>
      <c r="B25" s="2">
        <f t="shared" si="0"/>
        <v>24</v>
      </c>
      <c r="C25" s="2">
        <v>1</v>
      </c>
      <c r="D25" s="2">
        <v>2020</v>
      </c>
      <c r="E25" s="4">
        <f>Submetering!E25+Submetering!F25+Submetering!G25+Submetering!H25+Submetering!K25</f>
        <v>10958</v>
      </c>
      <c r="F25" s="27">
        <f>((TOTAL!E25-Submetering!K25)*0.162+Submetering!K25*TOTAL!H25)/TOTAL!E25</f>
        <v>0.17439113765621381</v>
      </c>
      <c r="G25" s="4">
        <f>Submetering!L25</f>
        <v>1605.76</v>
      </c>
      <c r="H25" s="24">
        <v>0.25512900304306657</v>
      </c>
      <c r="I25" s="4">
        <f>Submetering!N25</f>
        <v>180</v>
      </c>
      <c r="J25" s="24">
        <v>2.3196172978505634</v>
      </c>
      <c r="K25" s="4">
        <f>Submetering!O25</f>
        <v>60</v>
      </c>
      <c r="L25" s="4">
        <f>Submetering!P25</f>
        <v>0</v>
      </c>
    </row>
    <row r="26" spans="1:12" x14ac:dyDescent="0.25">
      <c r="A26" t="s">
        <v>53</v>
      </c>
      <c r="B26" s="2">
        <f>B25+1</f>
        <v>25</v>
      </c>
      <c r="C26" s="2">
        <v>1</v>
      </c>
      <c r="D26" s="2">
        <v>2020</v>
      </c>
      <c r="E26" s="4">
        <f>Submetering!E26+Submetering!F26+Submetering!G26+Submetering!H26+Submetering!K26</f>
        <v>9491</v>
      </c>
      <c r="F26" s="27">
        <f>((TOTAL!E26-Submetering!K26)*0.162+Submetering!K26*TOTAL!H26)/TOTAL!E26</f>
        <v>0.16485539351865267</v>
      </c>
      <c r="G26" s="4">
        <f>Submetering!L26</f>
        <v>1818.52</v>
      </c>
      <c r="H26" s="24">
        <v>0.25512900304306657</v>
      </c>
      <c r="I26" s="4">
        <f>Submetering!N26</f>
        <v>180</v>
      </c>
      <c r="J26" s="24">
        <v>2.3196172978505634</v>
      </c>
      <c r="K26" s="4">
        <f>Submetering!O26</f>
        <v>72</v>
      </c>
      <c r="L26" s="4">
        <f>Submetering!P26</f>
        <v>0</v>
      </c>
    </row>
    <row r="27" spans="1:12" x14ac:dyDescent="0.25">
      <c r="A27" t="s">
        <v>53</v>
      </c>
      <c r="B27" s="2">
        <f t="shared" si="0"/>
        <v>26</v>
      </c>
      <c r="C27" s="2">
        <v>1</v>
      </c>
      <c r="D27" s="2">
        <v>2020</v>
      </c>
      <c r="E27" s="4">
        <f>Submetering!E27+Submetering!F27+Submetering!G27+Submetering!H27+Submetering!K27</f>
        <v>10438</v>
      </c>
      <c r="F27" s="27">
        <f>((TOTAL!E27-Submetering!K27)*0.162+Submetering!K27*TOTAL!H27)/TOTAL!E27</f>
        <v>0.17304557441725585</v>
      </c>
      <c r="G27" s="4">
        <f>Submetering!L27</f>
        <v>1301.3599999999999</v>
      </c>
      <c r="H27" s="24">
        <v>0.25512900304306657</v>
      </c>
      <c r="I27" s="4">
        <f>Submetering!N27</f>
        <v>130</v>
      </c>
      <c r="J27" s="24">
        <v>2.3196172978505634</v>
      </c>
      <c r="K27" s="4">
        <f>Submetering!O27</f>
        <v>71</v>
      </c>
      <c r="L27" s="4">
        <f>Submetering!P27</f>
        <v>0</v>
      </c>
    </row>
    <row r="28" spans="1:12" x14ac:dyDescent="0.25">
      <c r="A28" t="s">
        <v>53</v>
      </c>
      <c r="B28" s="2">
        <f t="shared" si="0"/>
        <v>27</v>
      </c>
      <c r="C28" s="2">
        <v>1</v>
      </c>
      <c r="D28" s="2">
        <v>2020</v>
      </c>
      <c r="E28" s="4">
        <f>Submetering!E28+Submetering!F28+Submetering!G28+Submetering!H28+Submetering!K28</f>
        <v>10098</v>
      </c>
      <c r="F28" s="27">
        <f>((TOTAL!E28-Submetering!K28)*0.162+Submetering!K28*TOTAL!H28)/TOTAL!E28</f>
        <v>0.17304857849530539</v>
      </c>
      <c r="G28" s="4">
        <f>Submetering!L28</f>
        <v>1509.56</v>
      </c>
      <c r="H28" s="24">
        <v>0.25512900304306657</v>
      </c>
      <c r="I28" s="4">
        <f>Submetering!N28</f>
        <v>150</v>
      </c>
      <c r="J28" s="24">
        <v>2.3196172978505634</v>
      </c>
      <c r="K28" s="4">
        <f>Submetering!O28</f>
        <v>93</v>
      </c>
      <c r="L28" s="4">
        <f>Submetering!P28</f>
        <v>0</v>
      </c>
    </row>
    <row r="29" spans="1:12" x14ac:dyDescent="0.25">
      <c r="A29" t="s">
        <v>53</v>
      </c>
      <c r="B29" s="2">
        <f t="shared" si="0"/>
        <v>28</v>
      </c>
      <c r="C29" s="2">
        <v>1</v>
      </c>
      <c r="D29" s="2">
        <v>2020</v>
      </c>
      <c r="E29" s="4">
        <f>Submetering!E29+Submetering!F29+Submetering!G29+Submetering!H29+Submetering!K29</f>
        <v>10235</v>
      </c>
      <c r="F29" s="27">
        <f>((TOTAL!E29-Submetering!K29)*0.162+Submetering!K29*TOTAL!H29)/TOTAL!E29</f>
        <v>0.17505716847745975</v>
      </c>
      <c r="G29" s="4">
        <f>Submetering!L29</f>
        <v>1628.2</v>
      </c>
      <c r="H29" s="24">
        <v>0.25512900304306657</v>
      </c>
      <c r="I29" s="4">
        <f>Submetering!N29</f>
        <v>180</v>
      </c>
      <c r="J29" s="24">
        <v>2.3196172978505634</v>
      </c>
      <c r="K29" s="4">
        <f>Submetering!O29</f>
        <v>100</v>
      </c>
      <c r="L29" s="4">
        <f>Submetering!P29</f>
        <v>0</v>
      </c>
    </row>
    <row r="30" spans="1:12" x14ac:dyDescent="0.25">
      <c r="A30" t="s">
        <v>53</v>
      </c>
      <c r="B30" s="2">
        <f t="shared" si="0"/>
        <v>29</v>
      </c>
      <c r="C30" s="2">
        <v>1</v>
      </c>
      <c r="D30" s="2">
        <v>2020</v>
      </c>
      <c r="E30" s="4">
        <f>Submetering!E30+Submetering!F30+Submetering!G30+Submetering!H30+Submetering!K30</f>
        <v>10648</v>
      </c>
      <c r="F30" s="27">
        <f>((TOTAL!E30-Submetering!K30)*0.162+Submetering!K30*TOTAL!H30)/TOTAL!E30</f>
        <v>0.17466442490668299</v>
      </c>
      <c r="G30" s="4">
        <f>Submetering!L30</f>
        <v>1639.56</v>
      </c>
      <c r="H30" s="24">
        <v>0.25512900304306657</v>
      </c>
      <c r="I30" s="4">
        <f>Submetering!N30</f>
        <v>180</v>
      </c>
      <c r="J30" s="24">
        <v>2.3196172978505634</v>
      </c>
      <c r="K30" s="4">
        <f>Submetering!O30</f>
        <v>87</v>
      </c>
      <c r="L30" s="4">
        <f>Submetering!P30</f>
        <v>0</v>
      </c>
    </row>
    <row r="31" spans="1:12" x14ac:dyDescent="0.25">
      <c r="A31" t="s">
        <v>53</v>
      </c>
      <c r="B31" s="2">
        <f t="shared" si="0"/>
        <v>30</v>
      </c>
      <c r="C31" s="2">
        <v>1</v>
      </c>
      <c r="D31" s="2">
        <v>2020</v>
      </c>
      <c r="E31" s="4">
        <f>Submetering!E31+Submetering!F31+Submetering!G31+Submetering!H31+Submetering!K31</f>
        <v>9504</v>
      </c>
      <c r="F31" s="27">
        <f>((TOTAL!E31-Submetering!K31)*0.162+Submetering!K31*TOTAL!H31)/TOTAL!E31</f>
        <v>0.17575769363136212</v>
      </c>
      <c r="G31" s="4">
        <f>Submetering!L31</f>
        <v>1244.8799999999999</v>
      </c>
      <c r="H31" s="24">
        <v>0.25512900304306657</v>
      </c>
      <c r="I31" s="4">
        <f>Submetering!N31</f>
        <v>160</v>
      </c>
      <c r="J31" s="24">
        <v>2.3196172978505634</v>
      </c>
      <c r="K31" s="4">
        <f>Submetering!O31</f>
        <v>70</v>
      </c>
      <c r="L31" s="4">
        <f>Submetering!P31</f>
        <v>0</v>
      </c>
    </row>
    <row r="32" spans="1:12" x14ac:dyDescent="0.25">
      <c r="A32" t="s">
        <v>53</v>
      </c>
      <c r="B32" s="2">
        <f t="shared" si="0"/>
        <v>31</v>
      </c>
      <c r="C32" s="2">
        <v>1</v>
      </c>
      <c r="D32" s="2">
        <v>2020</v>
      </c>
      <c r="E32" s="4">
        <f>Submetering!E32+Submetering!F32+Submetering!G32+Submetering!H32+Submetering!K32</f>
        <v>10527</v>
      </c>
      <c r="F32" s="27">
        <f>((TOTAL!E32-Submetering!K32)*0.162+Submetering!K32*TOTAL!H32)/TOTAL!E32</f>
        <v>0.17462421272370629</v>
      </c>
      <c r="G32" s="4">
        <f>Submetering!L32</f>
        <v>1381.44</v>
      </c>
      <c r="H32" s="24">
        <v>0.25512900304306657</v>
      </c>
      <c r="I32" s="4">
        <f>Submetering!N32</f>
        <v>170</v>
      </c>
      <c r="J32" s="24">
        <v>2.3196172978505634</v>
      </c>
      <c r="K32" s="4">
        <f>Submetering!O32</f>
        <v>67</v>
      </c>
      <c r="L32" s="4">
        <f>Submetering!P32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P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A32"/>
    </sheetView>
  </sheetViews>
  <sheetFormatPr defaultColWidth="11.5703125" defaultRowHeight="15" x14ac:dyDescent="0.25"/>
  <cols>
    <col min="1" max="1" width="23.28515625" style="3" bestFit="1" customWidth="1"/>
    <col min="2" max="3" width="11.5703125" style="1" customWidth="1"/>
    <col min="4" max="4" width="13.42578125" style="1" customWidth="1"/>
    <col min="5" max="12" width="12.5703125" style="4" customWidth="1"/>
    <col min="13" max="14" width="11.5703125" style="4"/>
    <col min="15" max="15" width="11.5703125" style="1"/>
    <col min="16" max="16" width="11.5703125" style="4"/>
  </cols>
  <sheetData>
    <row r="1" spans="1:16" s="3" customFormat="1" ht="32.25" x14ac:dyDescent="0.25">
      <c r="A1" s="5" t="s">
        <v>0</v>
      </c>
      <c r="B1" s="6" t="s">
        <v>1</v>
      </c>
      <c r="C1" s="6" t="s">
        <v>2</v>
      </c>
      <c r="D1" s="6" t="s">
        <v>3</v>
      </c>
      <c r="E1" s="8" t="s">
        <v>38</v>
      </c>
      <c r="F1" s="8" t="s">
        <v>39</v>
      </c>
      <c r="G1" s="8" t="s">
        <v>36</v>
      </c>
      <c r="H1" s="8" t="s">
        <v>37</v>
      </c>
      <c r="I1" s="8" t="s">
        <v>41</v>
      </c>
      <c r="J1" s="8" t="s">
        <v>42</v>
      </c>
      <c r="K1" s="8" t="s">
        <v>10</v>
      </c>
      <c r="L1" s="8" t="s">
        <v>12</v>
      </c>
      <c r="M1" s="8" t="s">
        <v>11</v>
      </c>
      <c r="N1" s="8" t="s">
        <v>40</v>
      </c>
      <c r="O1" s="7" t="s">
        <v>8</v>
      </c>
      <c r="P1" s="8" t="s">
        <v>9</v>
      </c>
    </row>
    <row r="2" spans="1:16" x14ac:dyDescent="0.25">
      <c r="A2" t="s">
        <v>53</v>
      </c>
      <c r="B2" s="1">
        <v>1</v>
      </c>
      <c r="C2" s="1">
        <v>1</v>
      </c>
      <c r="D2" s="1" t="s">
        <v>51</v>
      </c>
      <c r="E2" s="4">
        <f>'FSLTTS Daily '!I4*100</f>
        <v>4500</v>
      </c>
      <c r="F2" s="4">
        <f>'FSLTTS Daily '!K4*100</f>
        <v>1600</v>
      </c>
      <c r="G2" s="4">
        <f>'FSLTTS Daily '!O4*100</f>
        <v>1700</v>
      </c>
      <c r="H2" s="4">
        <f>'FSLTTS Daily '!Q4*100</f>
        <v>900</v>
      </c>
      <c r="I2" s="4">
        <f>'FSLTTS Daily '!E4</f>
        <v>34</v>
      </c>
      <c r="J2" s="4">
        <f>'FSLTTS Daily '!G4</f>
        <v>70</v>
      </c>
      <c r="K2" s="4">
        <f>'FSLTTS Daily '!Y4</f>
        <v>1470</v>
      </c>
      <c r="L2" s="4">
        <f>'FSLTTS Daily '!C4-'FSLTTS Daily '!Y4*0.28</f>
        <v>1350.4</v>
      </c>
      <c r="M2" s="4">
        <f>'FSLTTS Daily '!Y4*0.28</f>
        <v>411.6</v>
      </c>
      <c r="N2" s="4">
        <f>'FSLTTS Daily '!V4</f>
        <v>140</v>
      </c>
      <c r="O2" s="4">
        <f>'FSLTTS Daily '!Z4</f>
        <v>89</v>
      </c>
      <c r="P2" s="4">
        <f>'FSLTTS Daily '!BF4</f>
        <v>0</v>
      </c>
    </row>
    <row r="3" spans="1:16" x14ac:dyDescent="0.25">
      <c r="A3" t="s">
        <v>53</v>
      </c>
      <c r="B3" s="1">
        <f>B2+1</f>
        <v>2</v>
      </c>
      <c r="C3" s="1">
        <v>1</v>
      </c>
      <c r="D3" s="1">
        <v>2020</v>
      </c>
      <c r="E3" s="4">
        <f>'FSLTTS Daily '!I5*100</f>
        <v>4700</v>
      </c>
      <c r="F3" s="4">
        <f>'FSLTTS Daily '!K5*100</f>
        <v>1800</v>
      </c>
      <c r="G3" s="4">
        <f>'FSLTTS Daily '!O5*100</f>
        <v>1900</v>
      </c>
      <c r="H3" s="4">
        <f>'FSLTTS Daily '!Q5*100</f>
        <v>800</v>
      </c>
      <c r="I3" s="4">
        <f>'FSLTTS Daily '!E5</f>
        <v>31</v>
      </c>
      <c r="J3" s="4">
        <f>'FSLTTS Daily '!G5</f>
        <v>73</v>
      </c>
      <c r="K3" s="4">
        <f>'FSLTTS Daily '!Y5</f>
        <v>1468</v>
      </c>
      <c r="L3" s="4">
        <f>'FSLTTS Daily '!C5-'FSLTTS Daily '!Y5*0.28</f>
        <v>1447.96</v>
      </c>
      <c r="M3" s="4">
        <f>'FSLTTS Daily '!Y5*0.28</f>
        <v>411.04</v>
      </c>
      <c r="N3" s="4">
        <f>'FSLTTS Daily '!V5</f>
        <v>180</v>
      </c>
      <c r="O3" s="4">
        <f>'FSLTTS Daily '!Z5</f>
        <v>83</v>
      </c>
      <c r="P3" s="4">
        <f>'FSLTTS Daily '!BF5</f>
        <v>0</v>
      </c>
    </row>
    <row r="4" spans="1:16" x14ac:dyDescent="0.25">
      <c r="A4" t="s">
        <v>53</v>
      </c>
      <c r="B4" s="1">
        <f t="shared" ref="B4:B32" si="0">B3+1</f>
        <v>3</v>
      </c>
      <c r="C4" s="1">
        <v>1</v>
      </c>
      <c r="D4" s="1">
        <v>2020</v>
      </c>
      <c r="E4" s="4">
        <f>'FSLTTS Daily '!I6*100</f>
        <v>5000</v>
      </c>
      <c r="F4" s="4">
        <f>'FSLTTS Daily '!K6*100</f>
        <v>1800</v>
      </c>
      <c r="G4" s="4">
        <f>'FSLTTS Daily '!O6*100</f>
        <v>1800</v>
      </c>
      <c r="H4" s="4">
        <f>'FSLTTS Daily '!Q6*100</f>
        <v>900</v>
      </c>
      <c r="I4" s="4">
        <f>'FSLTTS Daily '!E6</f>
        <v>36</v>
      </c>
      <c r="J4" s="4">
        <f>'FSLTTS Daily '!G6</f>
        <v>70</v>
      </c>
      <c r="K4" s="4">
        <f>'FSLTTS Daily '!Y6</f>
        <v>1470</v>
      </c>
      <c r="L4" s="4">
        <f>'FSLTTS Daily '!C6-'FSLTTS Daily '!Y6*0.28</f>
        <v>1462.4</v>
      </c>
      <c r="M4" s="4">
        <f>'FSLTTS Daily '!Y6*0.28</f>
        <v>411.6</v>
      </c>
      <c r="N4" s="4">
        <f>'FSLTTS Daily '!V6</f>
        <v>210</v>
      </c>
      <c r="O4" s="4">
        <f>'FSLTTS Daily '!Z6</f>
        <v>79</v>
      </c>
      <c r="P4" s="4">
        <f>'FSLTTS Daily '!BF6</f>
        <v>0</v>
      </c>
    </row>
    <row r="5" spans="1:16" x14ac:dyDescent="0.25">
      <c r="A5" t="s">
        <v>53</v>
      </c>
      <c r="B5" s="1">
        <f t="shared" si="0"/>
        <v>4</v>
      </c>
      <c r="C5" s="1">
        <v>1</v>
      </c>
      <c r="D5" s="1">
        <v>2020</v>
      </c>
      <c r="E5" s="4">
        <f>'FSLTTS Daily '!I7*100</f>
        <v>5200</v>
      </c>
      <c r="F5" s="4">
        <f>'FSLTTS Daily '!K7*100</f>
        <v>1800</v>
      </c>
      <c r="G5" s="4">
        <f>'FSLTTS Daily '!O7*100</f>
        <v>2200</v>
      </c>
      <c r="H5" s="4">
        <f>'FSLTTS Daily '!Q7*100</f>
        <v>800</v>
      </c>
      <c r="I5" s="4">
        <f>'FSLTTS Daily '!E7</f>
        <v>35</v>
      </c>
      <c r="J5" s="4">
        <f>'FSLTTS Daily '!G7</f>
        <v>85</v>
      </c>
      <c r="K5" s="4">
        <f>'FSLTTS Daily '!Y7</f>
        <v>1468</v>
      </c>
      <c r="L5" s="4">
        <f>'FSLTTS Daily '!C7-'FSLTTS Daily '!Y7*0.28</f>
        <v>1654.96</v>
      </c>
      <c r="M5" s="4">
        <f>'FSLTTS Daily '!Y7*0.28</f>
        <v>411.04</v>
      </c>
      <c r="N5" s="4">
        <f>'FSLTTS Daily '!V7</f>
        <v>200</v>
      </c>
      <c r="O5" s="4">
        <f>'FSLTTS Daily '!Z7</f>
        <v>60</v>
      </c>
      <c r="P5" s="4">
        <f>'FSLTTS Daily '!BF7</f>
        <v>0</v>
      </c>
    </row>
    <row r="6" spans="1:16" x14ac:dyDescent="0.25">
      <c r="A6" t="s">
        <v>53</v>
      </c>
      <c r="B6" s="1">
        <f t="shared" si="0"/>
        <v>5</v>
      </c>
      <c r="C6" s="1">
        <v>1</v>
      </c>
      <c r="D6" s="1">
        <v>2020</v>
      </c>
      <c r="E6" s="4">
        <f>'FSLTTS Daily '!I8*100</f>
        <v>4500</v>
      </c>
      <c r="F6" s="4">
        <f>'FSLTTS Daily '!K8*100</f>
        <v>1700</v>
      </c>
      <c r="G6" s="4">
        <f>'FSLTTS Daily '!O8*100</f>
        <v>1800</v>
      </c>
      <c r="H6" s="4">
        <f>'FSLTTS Daily '!Q8*100</f>
        <v>900</v>
      </c>
      <c r="I6" s="4">
        <f>'FSLTTS Daily '!E8</f>
        <v>0</v>
      </c>
      <c r="J6" s="4">
        <f>'FSLTTS Daily '!G8</f>
        <v>71</v>
      </c>
      <c r="K6" s="4">
        <f>'FSLTTS Daily '!Y8</f>
        <v>969</v>
      </c>
      <c r="L6" s="4">
        <f>'FSLTTS Daily '!C8-'FSLTTS Daily '!Y8*0.28</f>
        <v>1303.6799999999998</v>
      </c>
      <c r="M6" s="4">
        <f>'FSLTTS Daily '!Y8*0.28</f>
        <v>271.32000000000005</v>
      </c>
      <c r="N6" s="4">
        <f>'FSLTTS Daily '!V8</f>
        <v>170</v>
      </c>
      <c r="O6" s="4">
        <f>'FSLTTS Daily '!Z8</f>
        <v>66</v>
      </c>
      <c r="P6" s="4">
        <f>'FSLTTS Daily '!BF8</f>
        <v>0</v>
      </c>
    </row>
    <row r="7" spans="1:16" x14ac:dyDescent="0.25">
      <c r="A7" t="s">
        <v>53</v>
      </c>
      <c r="B7" s="1">
        <f t="shared" si="0"/>
        <v>6</v>
      </c>
      <c r="C7" s="1">
        <v>1</v>
      </c>
      <c r="D7" s="1">
        <v>2020</v>
      </c>
      <c r="E7" s="4">
        <f>'FSLTTS Daily '!I9*100</f>
        <v>4200</v>
      </c>
      <c r="F7" s="4">
        <f>'FSLTTS Daily '!K9*100</f>
        <v>1700</v>
      </c>
      <c r="G7" s="4">
        <f>'FSLTTS Daily '!O9*100</f>
        <v>1700</v>
      </c>
      <c r="H7" s="4">
        <f>'FSLTTS Daily '!Q9*100</f>
        <v>800</v>
      </c>
      <c r="I7" s="4">
        <f>'FSLTTS Daily '!E9</f>
        <v>28</v>
      </c>
      <c r="J7" s="4">
        <f>'FSLTTS Daily '!G9</f>
        <v>72</v>
      </c>
      <c r="K7" s="4">
        <f>'FSLTTS Daily '!Y9</f>
        <v>1215</v>
      </c>
      <c r="L7" s="4">
        <f>'FSLTTS Daily '!C9-'FSLTTS Daily '!Y9*0.28</f>
        <v>1398.8</v>
      </c>
      <c r="M7" s="4">
        <f>'FSLTTS Daily '!Y9*0.28</f>
        <v>340.20000000000005</v>
      </c>
      <c r="N7" s="4">
        <f>'FSLTTS Daily '!V9</f>
        <v>160</v>
      </c>
      <c r="O7" s="4">
        <f>'FSLTTS Daily '!Z9</f>
        <v>70</v>
      </c>
      <c r="P7" s="4">
        <f>'FSLTTS Daily '!BF9</f>
        <v>0</v>
      </c>
    </row>
    <row r="8" spans="1:16" x14ac:dyDescent="0.25">
      <c r="A8" t="s">
        <v>53</v>
      </c>
      <c r="B8" s="1">
        <f t="shared" si="0"/>
        <v>7</v>
      </c>
      <c r="C8" s="1">
        <v>1</v>
      </c>
      <c r="D8" s="1">
        <v>2020</v>
      </c>
      <c r="E8" s="4">
        <f>'FSLTTS Daily '!I10*100</f>
        <v>5700</v>
      </c>
      <c r="F8" s="4">
        <f>'FSLTTS Daily '!K10*100</f>
        <v>1800</v>
      </c>
      <c r="G8" s="4">
        <f>'FSLTTS Daily '!O10*100</f>
        <v>2100</v>
      </c>
      <c r="H8" s="4">
        <f>'FSLTTS Daily '!Q10*100</f>
        <v>900</v>
      </c>
      <c r="I8" s="4">
        <f>'FSLTTS Daily '!E10</f>
        <v>28</v>
      </c>
      <c r="J8" s="4">
        <f>'FSLTTS Daily '!G10</f>
        <v>66</v>
      </c>
      <c r="K8" s="4">
        <f>'FSLTTS Daily '!Y10</f>
        <v>1467</v>
      </c>
      <c r="L8" s="4">
        <f>'FSLTTS Daily '!C10-'FSLTTS Daily '!Y10*0.28</f>
        <v>1381.24</v>
      </c>
      <c r="M8" s="4">
        <f>'FSLTTS Daily '!Y10*0.28</f>
        <v>410.76000000000005</v>
      </c>
      <c r="N8" s="4">
        <f>'FSLTTS Daily '!V10</f>
        <v>170</v>
      </c>
      <c r="O8" s="4">
        <f>'FSLTTS Daily '!Z10</f>
        <v>77</v>
      </c>
      <c r="P8" s="4">
        <f>'FSLTTS Daily '!BF10</f>
        <v>0</v>
      </c>
    </row>
    <row r="9" spans="1:16" x14ac:dyDescent="0.25">
      <c r="A9" t="s">
        <v>53</v>
      </c>
      <c r="B9" s="1">
        <f t="shared" si="0"/>
        <v>8</v>
      </c>
      <c r="C9" s="1">
        <v>1</v>
      </c>
      <c r="D9" s="1">
        <v>2020</v>
      </c>
      <c r="E9" s="4">
        <f>'FSLTTS Daily '!I11*100</f>
        <v>4800</v>
      </c>
      <c r="F9" s="4">
        <f>'FSLTTS Daily '!K11*100</f>
        <v>1900</v>
      </c>
      <c r="G9" s="4">
        <f>'FSLTTS Daily '!O11*100</f>
        <v>2100</v>
      </c>
      <c r="H9" s="4">
        <f>'FSLTTS Daily '!Q11*100</f>
        <v>900</v>
      </c>
      <c r="I9" s="4">
        <f>'FSLTTS Daily '!E11</f>
        <v>31</v>
      </c>
      <c r="J9" s="4">
        <f>'FSLTTS Daily '!G11</f>
        <v>70</v>
      </c>
      <c r="K9" s="4">
        <f>'FSLTTS Daily '!Y11</f>
        <v>1468</v>
      </c>
      <c r="L9" s="4">
        <f>'FSLTTS Daily '!C11-'FSLTTS Daily '!Y11*0.28</f>
        <v>1398.96</v>
      </c>
      <c r="M9" s="4">
        <f>'FSLTTS Daily '!Y11*0.28</f>
        <v>411.04</v>
      </c>
      <c r="N9" s="4">
        <f>'FSLTTS Daily '!V11</f>
        <v>190</v>
      </c>
      <c r="O9" s="4">
        <f>'FSLTTS Daily '!Z11</f>
        <v>74</v>
      </c>
      <c r="P9" s="4">
        <f>'FSLTTS Daily '!BF11</f>
        <v>0</v>
      </c>
    </row>
    <row r="10" spans="1:16" x14ac:dyDescent="0.25">
      <c r="A10" t="s">
        <v>53</v>
      </c>
      <c r="B10" s="1">
        <f t="shared" si="0"/>
        <v>9</v>
      </c>
      <c r="C10" s="1">
        <v>1</v>
      </c>
      <c r="D10" s="1">
        <v>2020</v>
      </c>
      <c r="E10" s="4">
        <f>'FSLTTS Daily '!I12*100</f>
        <v>5000</v>
      </c>
      <c r="F10" s="4">
        <f>'FSLTTS Daily '!K12*100</f>
        <v>1600</v>
      </c>
      <c r="G10" s="4">
        <f>'FSLTTS Daily '!O12*100</f>
        <v>1700</v>
      </c>
      <c r="H10" s="4">
        <f>'FSLTTS Daily '!Q12*100</f>
        <v>800</v>
      </c>
      <c r="I10" s="4">
        <f>'FSLTTS Daily '!E12</f>
        <v>32</v>
      </c>
      <c r="J10" s="4">
        <f>'FSLTTS Daily '!G12</f>
        <v>70</v>
      </c>
      <c r="K10" s="4">
        <f>'FSLTTS Daily '!Y12</f>
        <v>1461</v>
      </c>
      <c r="L10" s="4">
        <f>'FSLTTS Daily '!C12-'FSLTTS Daily '!Y12*0.28</f>
        <v>1280.92</v>
      </c>
      <c r="M10" s="4">
        <f>'FSLTTS Daily '!Y12*0.28</f>
        <v>409.08000000000004</v>
      </c>
      <c r="N10" s="4">
        <f>'FSLTTS Daily '!V12</f>
        <v>160</v>
      </c>
      <c r="O10" s="4">
        <f>'FSLTTS Daily '!Z12</f>
        <v>67</v>
      </c>
      <c r="P10" s="4">
        <f>'FSLTTS Daily '!BF12</f>
        <v>0</v>
      </c>
    </row>
    <row r="11" spans="1:16" x14ac:dyDescent="0.25">
      <c r="A11" t="s">
        <v>53</v>
      </c>
      <c r="B11" s="1">
        <f t="shared" si="0"/>
        <v>10</v>
      </c>
      <c r="C11" s="1">
        <v>1</v>
      </c>
      <c r="D11" s="1">
        <v>2020</v>
      </c>
      <c r="E11" s="4">
        <f>'FSLTTS Daily '!I13*100</f>
        <v>4800</v>
      </c>
      <c r="F11" s="4">
        <f>'FSLTTS Daily '!K13*100</f>
        <v>1700</v>
      </c>
      <c r="G11" s="4">
        <f>'FSLTTS Daily '!O13*100</f>
        <v>2000</v>
      </c>
      <c r="H11" s="4">
        <f>'FSLTTS Daily '!Q13*100</f>
        <v>800</v>
      </c>
      <c r="I11" s="4">
        <f>'FSLTTS Daily '!E13</f>
        <v>31</v>
      </c>
      <c r="J11" s="4">
        <f>'FSLTTS Daily '!G13</f>
        <v>78</v>
      </c>
      <c r="K11" s="4">
        <f>'FSLTTS Daily '!Y13</f>
        <v>1466</v>
      </c>
      <c r="L11" s="4">
        <f>'FSLTTS Daily '!C13-'FSLTTS Daily '!Y13*0.28</f>
        <v>1512.52</v>
      </c>
      <c r="M11" s="4">
        <f>'FSLTTS Daily '!Y13*0.28</f>
        <v>410.48</v>
      </c>
      <c r="N11" s="4">
        <f>'FSLTTS Daily '!V13</f>
        <v>180</v>
      </c>
      <c r="O11" s="4">
        <f>'FSLTTS Daily '!Z13</f>
        <v>51</v>
      </c>
      <c r="P11" s="4">
        <f>'FSLTTS Daily '!BF13</f>
        <v>0</v>
      </c>
    </row>
    <row r="12" spans="1:16" x14ac:dyDescent="0.25">
      <c r="A12" t="s">
        <v>53</v>
      </c>
      <c r="B12" s="1">
        <f t="shared" si="0"/>
        <v>11</v>
      </c>
      <c r="C12" s="1">
        <v>1</v>
      </c>
      <c r="D12" s="1">
        <v>2020</v>
      </c>
      <c r="E12" s="4">
        <f>'FSLTTS Daily '!I14*100</f>
        <v>4500</v>
      </c>
      <c r="F12" s="4">
        <f>'FSLTTS Daily '!K14*100</f>
        <v>1800</v>
      </c>
      <c r="G12" s="4">
        <f>'FSLTTS Daily '!O14*100</f>
        <v>1800</v>
      </c>
      <c r="H12" s="4">
        <f>'FSLTTS Daily '!Q14*100</f>
        <v>900</v>
      </c>
      <c r="I12" s="4">
        <f>'FSLTTS Daily '!E14</f>
        <v>33</v>
      </c>
      <c r="J12" s="4">
        <f>'FSLTTS Daily '!G14</f>
        <v>78</v>
      </c>
      <c r="K12" s="4">
        <f>'FSLTTS Daily '!Y14</f>
        <v>1464</v>
      </c>
      <c r="L12" s="4">
        <f>'FSLTTS Daily '!C14-'FSLTTS Daily '!Y14*0.28</f>
        <v>1300.08</v>
      </c>
      <c r="M12" s="4">
        <f>'FSLTTS Daily '!Y14*0.28</f>
        <v>409.92</v>
      </c>
      <c r="N12" s="4">
        <f>'FSLTTS Daily '!V14</f>
        <v>150</v>
      </c>
      <c r="O12" s="4">
        <f>'FSLTTS Daily '!Z14</f>
        <v>48</v>
      </c>
      <c r="P12" s="4">
        <f>'FSLTTS Daily '!BF14</f>
        <v>0</v>
      </c>
    </row>
    <row r="13" spans="1:16" x14ac:dyDescent="0.25">
      <c r="A13" t="s">
        <v>53</v>
      </c>
      <c r="B13" s="1">
        <f t="shared" si="0"/>
        <v>12</v>
      </c>
      <c r="C13" s="1">
        <v>1</v>
      </c>
      <c r="D13" s="1">
        <v>2020</v>
      </c>
      <c r="E13" s="4">
        <f>'FSLTTS Daily '!I15*100</f>
        <v>4200</v>
      </c>
      <c r="F13" s="4">
        <f>'FSLTTS Daily '!K15*100</f>
        <v>1700</v>
      </c>
      <c r="G13" s="4">
        <f>'FSLTTS Daily '!O15*100</f>
        <v>1900</v>
      </c>
      <c r="H13" s="4">
        <f>'FSLTTS Daily '!Q15*100</f>
        <v>900</v>
      </c>
      <c r="I13" s="4">
        <f>'FSLTTS Daily '!E15</f>
        <v>0</v>
      </c>
      <c r="J13" s="4">
        <f>'FSLTTS Daily '!G15</f>
        <v>77</v>
      </c>
      <c r="K13" s="4">
        <f>'FSLTTS Daily '!Y15</f>
        <v>1466</v>
      </c>
      <c r="L13" s="4">
        <f>'FSLTTS Daily '!C15-'FSLTTS Daily '!Y15*0.28</f>
        <v>1166.52</v>
      </c>
      <c r="M13" s="4">
        <f>'FSLTTS Daily '!Y15*0.28</f>
        <v>410.48</v>
      </c>
      <c r="N13" s="4">
        <f>'FSLTTS Daily '!V15</f>
        <v>130</v>
      </c>
      <c r="O13" s="4">
        <f>'FSLTTS Daily '!Z15</f>
        <v>59</v>
      </c>
      <c r="P13" s="4">
        <f>'FSLTTS Daily '!BF15</f>
        <v>0</v>
      </c>
    </row>
    <row r="14" spans="1:16" x14ac:dyDescent="0.25">
      <c r="A14" t="s">
        <v>53</v>
      </c>
      <c r="B14" s="1">
        <f t="shared" si="0"/>
        <v>13</v>
      </c>
      <c r="C14" s="1">
        <v>1</v>
      </c>
      <c r="D14" s="1">
        <v>2020</v>
      </c>
      <c r="E14" s="4">
        <f>'FSLTTS Daily '!I16*100</f>
        <v>5000</v>
      </c>
      <c r="F14" s="4">
        <f>'FSLTTS Daily '!K16*100</f>
        <v>1700</v>
      </c>
      <c r="G14" s="4">
        <f>'FSLTTS Daily '!O16*100</f>
        <v>2100</v>
      </c>
      <c r="H14" s="4">
        <f>'FSLTTS Daily '!Q16*100</f>
        <v>900</v>
      </c>
      <c r="I14" s="4">
        <f>'FSLTTS Daily '!E16</f>
        <v>32</v>
      </c>
      <c r="J14" s="4">
        <f>'FSLTTS Daily '!G16</f>
        <v>74</v>
      </c>
      <c r="K14" s="4">
        <f>'FSLTTS Daily '!Y16</f>
        <v>820</v>
      </c>
      <c r="L14" s="4">
        <f>'FSLTTS Daily '!C16-'FSLTTS Daily '!Y16*0.28</f>
        <v>1494.4</v>
      </c>
      <c r="M14" s="4">
        <f>'FSLTTS Daily '!Y16*0.28</f>
        <v>229.60000000000002</v>
      </c>
      <c r="N14" s="4">
        <f>'FSLTTS Daily '!V16</f>
        <v>150</v>
      </c>
      <c r="O14" s="4">
        <f>'FSLTTS Daily '!Z16</f>
        <v>84</v>
      </c>
      <c r="P14" s="4">
        <f>'FSLTTS Daily '!BF16</f>
        <v>0</v>
      </c>
    </row>
    <row r="15" spans="1:16" x14ac:dyDescent="0.25">
      <c r="A15" t="s">
        <v>53</v>
      </c>
      <c r="B15" s="1">
        <f t="shared" si="0"/>
        <v>14</v>
      </c>
      <c r="C15" s="1">
        <v>1</v>
      </c>
      <c r="D15" s="1">
        <v>2020</v>
      </c>
      <c r="E15" s="4">
        <f>'FSLTTS Daily '!I17*100</f>
        <v>4800</v>
      </c>
      <c r="F15" s="4">
        <f>'FSLTTS Daily '!K17*100</f>
        <v>1700</v>
      </c>
      <c r="G15" s="4">
        <f>'FSLTTS Daily '!O17*100</f>
        <v>2200</v>
      </c>
      <c r="H15" s="4">
        <f>'FSLTTS Daily '!Q17*100</f>
        <v>900</v>
      </c>
      <c r="I15" s="4">
        <f>'FSLTTS Daily '!E17</f>
        <v>33</v>
      </c>
      <c r="J15" s="4">
        <f>'FSLTTS Daily '!G17</f>
        <v>76</v>
      </c>
      <c r="K15" s="4">
        <f>'FSLTTS Daily '!Y17</f>
        <v>1275</v>
      </c>
      <c r="L15" s="4">
        <f>'FSLTTS Daily '!C17-'FSLTTS Daily '!Y17*0.28</f>
        <v>1426</v>
      </c>
      <c r="M15" s="4">
        <f>'FSLTTS Daily '!Y17*0.28</f>
        <v>357.00000000000006</v>
      </c>
      <c r="N15" s="4">
        <f>'FSLTTS Daily '!V17</f>
        <v>170</v>
      </c>
      <c r="O15" s="4">
        <f>'FSLTTS Daily '!Z17</f>
        <v>97</v>
      </c>
      <c r="P15" s="4">
        <f>'FSLTTS Daily '!BF17</f>
        <v>0</v>
      </c>
    </row>
    <row r="16" spans="1:16" x14ac:dyDescent="0.25">
      <c r="A16" t="s">
        <v>53</v>
      </c>
      <c r="B16" s="1">
        <f t="shared" si="0"/>
        <v>15</v>
      </c>
      <c r="C16" s="1">
        <v>1</v>
      </c>
      <c r="D16" s="1">
        <v>2020</v>
      </c>
      <c r="E16" s="4">
        <f>'FSLTTS Daily '!I18*100</f>
        <v>4600</v>
      </c>
      <c r="F16" s="4">
        <f>'FSLTTS Daily '!K18*100</f>
        <v>1800</v>
      </c>
      <c r="G16" s="4">
        <f>'FSLTTS Daily '!O18*100</f>
        <v>1600</v>
      </c>
      <c r="H16" s="4">
        <f>'FSLTTS Daily '!Q18*100</f>
        <v>800</v>
      </c>
      <c r="I16" s="4">
        <f>'FSLTTS Daily '!E18</f>
        <v>29</v>
      </c>
      <c r="J16" s="4">
        <f>'FSLTTS Daily '!G18</f>
        <v>73</v>
      </c>
      <c r="K16" s="4">
        <f>'FSLTTS Daily '!Y18</f>
        <v>1444</v>
      </c>
      <c r="L16" s="4">
        <f>'FSLTTS Daily '!C18-'FSLTTS Daily '!Y18*0.28</f>
        <v>1277.6799999999998</v>
      </c>
      <c r="M16" s="4">
        <f>'FSLTTS Daily '!Y18*0.28</f>
        <v>404.32000000000005</v>
      </c>
      <c r="N16" s="4">
        <f>'FSLTTS Daily '!V18</f>
        <v>140</v>
      </c>
      <c r="O16" s="4">
        <f>'FSLTTS Daily '!Z18</f>
        <v>82</v>
      </c>
      <c r="P16" s="4">
        <f>'FSLTTS Daily '!BF18</f>
        <v>0</v>
      </c>
    </row>
    <row r="17" spans="1:16" x14ac:dyDescent="0.25">
      <c r="A17" t="s">
        <v>53</v>
      </c>
      <c r="B17" s="1">
        <f t="shared" si="0"/>
        <v>16</v>
      </c>
      <c r="C17" s="1">
        <v>1</v>
      </c>
      <c r="D17" s="1">
        <v>2020</v>
      </c>
      <c r="E17" s="4">
        <f>'FSLTTS Daily '!I19*100</f>
        <v>5000</v>
      </c>
      <c r="F17" s="4">
        <f>'FSLTTS Daily '!K19*100</f>
        <v>1700</v>
      </c>
      <c r="G17" s="4">
        <f>'FSLTTS Daily '!O19*100</f>
        <v>2000</v>
      </c>
      <c r="H17" s="4">
        <f>'FSLTTS Daily '!Q19*100</f>
        <v>900</v>
      </c>
      <c r="I17" s="4">
        <f>'FSLTTS Daily '!E19</f>
        <v>34</v>
      </c>
      <c r="J17" s="4">
        <f>'FSLTTS Daily '!G19</f>
        <v>67</v>
      </c>
      <c r="K17" s="4">
        <f>'FSLTTS Daily '!Y19</f>
        <v>1435</v>
      </c>
      <c r="L17" s="4">
        <f>'FSLTTS Daily '!C19-'FSLTTS Daily '!Y19*0.28</f>
        <v>1365.2</v>
      </c>
      <c r="M17" s="4">
        <f>'FSLTTS Daily '!Y19*0.28</f>
        <v>401.8</v>
      </c>
      <c r="N17" s="4">
        <f>'FSLTTS Daily '!V19</f>
        <v>160</v>
      </c>
      <c r="O17" s="4">
        <f>'FSLTTS Daily '!Z19</f>
        <v>73</v>
      </c>
      <c r="P17" s="4">
        <f>'FSLTTS Daily '!BF19</f>
        <v>0</v>
      </c>
    </row>
    <row r="18" spans="1:16" x14ac:dyDescent="0.25">
      <c r="A18" t="s">
        <v>53</v>
      </c>
      <c r="B18" s="1">
        <f t="shared" si="0"/>
        <v>17</v>
      </c>
      <c r="C18" s="1">
        <v>1</v>
      </c>
      <c r="D18" s="1">
        <v>2020</v>
      </c>
      <c r="E18" s="4">
        <f>'FSLTTS Daily '!I20*100</f>
        <v>5400</v>
      </c>
      <c r="F18" s="4">
        <f>'FSLTTS Daily '!K20*100</f>
        <v>1800</v>
      </c>
      <c r="G18" s="4">
        <f>'FSLTTS Daily '!O20*100</f>
        <v>1800</v>
      </c>
      <c r="H18" s="4">
        <f>'FSLTTS Daily '!Q20*100</f>
        <v>900</v>
      </c>
      <c r="I18" s="4">
        <f>'FSLTTS Daily '!E20</f>
        <v>35</v>
      </c>
      <c r="J18" s="4">
        <f>'FSLTTS Daily '!G20</f>
        <v>77</v>
      </c>
      <c r="K18" s="4">
        <f>'FSLTTS Daily '!Y20</f>
        <v>1450</v>
      </c>
      <c r="L18" s="4">
        <f>'FSLTTS Daily '!C20-'FSLTTS Daily '!Y20*0.28</f>
        <v>1551</v>
      </c>
      <c r="M18" s="4">
        <f>'FSLTTS Daily '!Y20*0.28</f>
        <v>406.00000000000006</v>
      </c>
      <c r="N18" s="4">
        <f>'FSLTTS Daily '!V20</f>
        <v>180</v>
      </c>
      <c r="O18" s="4">
        <f>'FSLTTS Daily '!Z20</f>
        <v>66</v>
      </c>
      <c r="P18" s="4">
        <f>'FSLTTS Daily '!BF20</f>
        <v>0</v>
      </c>
    </row>
    <row r="19" spans="1:16" x14ac:dyDescent="0.25">
      <c r="A19" t="s">
        <v>53</v>
      </c>
      <c r="B19" s="1">
        <f t="shared" si="0"/>
        <v>18</v>
      </c>
      <c r="C19" s="1">
        <v>1</v>
      </c>
      <c r="D19" s="1">
        <v>2020</v>
      </c>
      <c r="E19" s="4">
        <f>'FSLTTS Daily '!I21*100</f>
        <v>4800</v>
      </c>
      <c r="F19" s="4">
        <f>'FSLTTS Daily '!K21*100</f>
        <v>1800</v>
      </c>
      <c r="G19" s="4">
        <f>'FSLTTS Daily '!O21*100</f>
        <v>1900</v>
      </c>
      <c r="H19" s="4">
        <f>'FSLTTS Daily '!Q21*100</f>
        <v>800</v>
      </c>
      <c r="I19" s="4">
        <f>'FSLTTS Daily '!E21</f>
        <v>30</v>
      </c>
      <c r="J19" s="4">
        <f>'FSLTTS Daily '!G21</f>
        <v>77</v>
      </c>
      <c r="K19" s="4">
        <f>'FSLTTS Daily '!Y21</f>
        <v>1455</v>
      </c>
      <c r="L19" s="4">
        <f>'FSLTTS Daily '!C21-'FSLTTS Daily '!Y21*0.28</f>
        <v>1669.6</v>
      </c>
      <c r="M19" s="4">
        <f>'FSLTTS Daily '!Y21*0.28</f>
        <v>407.40000000000003</v>
      </c>
      <c r="N19" s="4">
        <f>'FSLTTS Daily '!V21</f>
        <v>180</v>
      </c>
      <c r="O19" s="4">
        <f>'FSLTTS Daily '!Z21</f>
        <v>92</v>
      </c>
      <c r="P19" s="4">
        <f>'FSLTTS Daily '!BF21</f>
        <v>0</v>
      </c>
    </row>
    <row r="20" spans="1:16" x14ac:dyDescent="0.25">
      <c r="A20" t="s">
        <v>53</v>
      </c>
      <c r="B20" s="1">
        <f t="shared" si="0"/>
        <v>19</v>
      </c>
      <c r="C20" s="1">
        <v>1</v>
      </c>
      <c r="D20" s="1">
        <v>2020</v>
      </c>
      <c r="E20" s="4">
        <f>'FSLTTS Daily '!I22*100</f>
        <v>4500</v>
      </c>
      <c r="F20" s="4">
        <f>'FSLTTS Daily '!K22*100</f>
        <v>1700</v>
      </c>
      <c r="G20" s="4">
        <f>'FSLTTS Daily '!O22*100</f>
        <v>1600</v>
      </c>
      <c r="H20" s="4">
        <f>'FSLTTS Daily '!Q22*100</f>
        <v>800</v>
      </c>
      <c r="I20" s="4">
        <f>'FSLTTS Daily '!E22</f>
        <v>0</v>
      </c>
      <c r="J20" s="4">
        <f>'FSLTTS Daily '!G22</f>
        <v>72</v>
      </c>
      <c r="K20" s="4">
        <f>'FSLTTS Daily '!Y22</f>
        <v>1400</v>
      </c>
      <c r="L20" s="4">
        <f>'FSLTTS Daily '!C22-'FSLTTS Daily '!Y22*0.28</f>
        <v>1406</v>
      </c>
      <c r="M20" s="4">
        <f>'FSLTTS Daily '!Y22*0.28</f>
        <v>392.00000000000006</v>
      </c>
      <c r="N20" s="4">
        <f>'FSLTTS Daily '!V22</f>
        <v>120</v>
      </c>
      <c r="O20" s="4">
        <f>'FSLTTS Daily '!Z22</f>
        <v>56</v>
      </c>
      <c r="P20" s="4">
        <f>'FSLTTS Daily '!BF22</f>
        <v>0</v>
      </c>
    </row>
    <row r="21" spans="1:16" x14ac:dyDescent="0.25">
      <c r="A21" t="s">
        <v>53</v>
      </c>
      <c r="B21" s="1">
        <f t="shared" si="0"/>
        <v>20</v>
      </c>
      <c r="C21" s="1">
        <v>1</v>
      </c>
      <c r="D21" s="1">
        <v>2020</v>
      </c>
      <c r="E21" s="4">
        <f>'FSLTTS Daily '!I23*100</f>
        <v>4200</v>
      </c>
      <c r="F21" s="4">
        <f>'FSLTTS Daily '!K23*100</f>
        <v>1700</v>
      </c>
      <c r="G21" s="4">
        <f>'FSLTTS Daily '!O23*100</f>
        <v>1700</v>
      </c>
      <c r="H21" s="4">
        <f>'FSLTTS Daily '!Q23*100</f>
        <v>800</v>
      </c>
      <c r="I21" s="4">
        <f>'FSLTTS Daily '!E23</f>
        <v>28</v>
      </c>
      <c r="J21" s="4">
        <f>'FSLTTS Daily '!G23</f>
        <v>70</v>
      </c>
      <c r="K21" s="4">
        <f>'FSLTTS Daily '!Y23</f>
        <v>1087</v>
      </c>
      <c r="L21" s="4">
        <f>'FSLTTS Daily '!C23-'FSLTTS Daily '!Y23*0.28</f>
        <v>1492.6399999999999</v>
      </c>
      <c r="M21" s="4">
        <f>'FSLTTS Daily '!Y23*0.28</f>
        <v>304.36</v>
      </c>
      <c r="N21" s="4">
        <f>'FSLTTS Daily '!V23</f>
        <v>150</v>
      </c>
      <c r="O21" s="4">
        <f>'FSLTTS Daily '!Z23</f>
        <v>70</v>
      </c>
      <c r="P21" s="4">
        <f>'FSLTTS Daily '!BF23</f>
        <v>0</v>
      </c>
    </row>
    <row r="22" spans="1:16" x14ac:dyDescent="0.25">
      <c r="A22" t="s">
        <v>53</v>
      </c>
      <c r="B22" s="1">
        <f t="shared" si="0"/>
        <v>21</v>
      </c>
      <c r="C22" s="1">
        <v>1</v>
      </c>
      <c r="D22" s="1">
        <v>2020</v>
      </c>
      <c r="E22" s="4">
        <f>'FSLTTS Daily '!I24*100</f>
        <v>5600</v>
      </c>
      <c r="F22" s="4">
        <f>'FSLTTS Daily '!K24*100</f>
        <v>1800</v>
      </c>
      <c r="G22" s="4">
        <f>'FSLTTS Daily '!O24*100</f>
        <v>0</v>
      </c>
      <c r="H22" s="4">
        <f>'FSLTTS Daily '!Q24*100</f>
        <v>900</v>
      </c>
      <c r="I22" s="4">
        <f>'FSLTTS Daily '!E24</f>
        <v>36</v>
      </c>
      <c r="J22" s="4">
        <f>'FSLTTS Daily '!G24</f>
        <v>72</v>
      </c>
      <c r="K22" s="4">
        <f>'FSLTTS Daily '!Y24</f>
        <v>1442</v>
      </c>
      <c r="L22" s="4">
        <f>'FSLTTS Daily '!C24-'FSLTTS Daily '!Y24*0.28</f>
        <v>1786.24</v>
      </c>
      <c r="M22" s="4">
        <f>'FSLTTS Daily '!Y24*0.28</f>
        <v>403.76000000000005</v>
      </c>
      <c r="N22" s="4">
        <f>'FSLTTS Daily '!V24</f>
        <v>170</v>
      </c>
      <c r="O22" s="4">
        <f>'FSLTTS Daily '!Z24</f>
        <v>73</v>
      </c>
      <c r="P22" s="4">
        <f>'FSLTTS Daily '!BF24</f>
        <v>0</v>
      </c>
    </row>
    <row r="23" spans="1:16" x14ac:dyDescent="0.25">
      <c r="A23" t="s">
        <v>53</v>
      </c>
      <c r="B23" s="1">
        <f t="shared" si="0"/>
        <v>22</v>
      </c>
      <c r="C23" s="1">
        <v>1</v>
      </c>
      <c r="D23" s="1">
        <v>2020</v>
      </c>
      <c r="E23" s="4">
        <f>'FSLTTS Daily '!I25*100</f>
        <v>5000</v>
      </c>
      <c r="F23" s="4">
        <f>'FSLTTS Daily '!K25*100</f>
        <v>1800</v>
      </c>
      <c r="G23" s="4">
        <f>'FSLTTS Daily '!O25*100</f>
        <v>1900</v>
      </c>
      <c r="H23" s="4">
        <f>'FSLTTS Daily '!Q25*100</f>
        <v>800</v>
      </c>
      <c r="I23" s="4">
        <f>'FSLTTS Daily '!E25</f>
        <v>37</v>
      </c>
      <c r="J23" s="4">
        <f>'FSLTTS Daily '!G25</f>
        <v>69</v>
      </c>
      <c r="K23" s="4">
        <f>'FSLTTS Daily '!Y25</f>
        <v>1353</v>
      </c>
      <c r="L23" s="4">
        <f>'FSLTTS Daily '!C25-'FSLTTS Daily '!Y25*0.28</f>
        <v>1505.1599999999999</v>
      </c>
      <c r="M23" s="4">
        <f>'FSLTTS Daily '!Y25*0.28</f>
        <v>378.84000000000003</v>
      </c>
      <c r="N23" s="4">
        <f>'FSLTTS Daily '!V25</f>
        <v>170</v>
      </c>
      <c r="O23" s="4">
        <f>'FSLTTS Daily '!Z25</f>
        <v>73</v>
      </c>
      <c r="P23" s="4">
        <f>'FSLTTS Daily '!BF25</f>
        <v>0</v>
      </c>
    </row>
    <row r="24" spans="1:16" x14ac:dyDescent="0.25">
      <c r="A24" t="s">
        <v>53</v>
      </c>
      <c r="B24" s="1">
        <f t="shared" si="0"/>
        <v>23</v>
      </c>
      <c r="C24" s="1">
        <v>1</v>
      </c>
      <c r="D24" s="1">
        <v>2020</v>
      </c>
      <c r="E24" s="4">
        <f>'FSLTTS Daily '!I26*100</f>
        <v>5200</v>
      </c>
      <c r="F24" s="4">
        <f>'FSLTTS Daily '!K26*100</f>
        <v>1700</v>
      </c>
      <c r="G24" s="4">
        <f>'FSLTTS Daily '!O26*100</f>
        <v>1700</v>
      </c>
      <c r="H24" s="4">
        <f>'FSLTTS Daily '!Q26*100</f>
        <v>800</v>
      </c>
      <c r="I24" s="4">
        <f>'FSLTTS Daily '!E26</f>
        <v>41</v>
      </c>
      <c r="J24" s="4">
        <f>'FSLTTS Daily '!G26</f>
        <v>67</v>
      </c>
      <c r="K24" s="4">
        <f>'FSLTTS Daily '!Y26</f>
        <v>1454</v>
      </c>
      <c r="L24" s="4">
        <f>'FSLTTS Daily '!C26-'FSLTTS Daily '!Y26*0.28</f>
        <v>1514.8799999999999</v>
      </c>
      <c r="M24" s="4">
        <f>'FSLTTS Daily '!Y26*0.28</f>
        <v>407.12000000000006</v>
      </c>
      <c r="N24" s="4">
        <f>'FSLTTS Daily '!V26</f>
        <v>170</v>
      </c>
      <c r="O24" s="4">
        <f>'FSLTTS Daily '!Z26</f>
        <v>102</v>
      </c>
      <c r="P24" s="4">
        <f>'FSLTTS Daily '!BF26</f>
        <v>0</v>
      </c>
    </row>
    <row r="25" spans="1:16" x14ac:dyDescent="0.25">
      <c r="A25" t="s">
        <v>53</v>
      </c>
      <c r="B25" s="1">
        <f t="shared" si="0"/>
        <v>24</v>
      </c>
      <c r="C25" s="1">
        <v>1</v>
      </c>
      <c r="D25" s="1">
        <v>2020</v>
      </c>
      <c r="E25" s="4">
        <f>'FSLTTS Daily '!I27*100</f>
        <v>4900</v>
      </c>
      <c r="F25" s="4">
        <f>'FSLTTS Daily '!K27*100</f>
        <v>1900</v>
      </c>
      <c r="G25" s="4">
        <f>'FSLTTS Daily '!O27*100</f>
        <v>1900</v>
      </c>
      <c r="H25" s="4">
        <f>'FSLTTS Daily '!Q27*100</f>
        <v>800</v>
      </c>
      <c r="I25" s="4">
        <f>'FSLTTS Daily '!E27</f>
        <v>47</v>
      </c>
      <c r="J25" s="4">
        <f>'FSLTTS Daily '!G27</f>
        <v>73</v>
      </c>
      <c r="K25" s="4">
        <f>'FSLTTS Daily '!Y27</f>
        <v>1458</v>
      </c>
      <c r="L25" s="4">
        <f>'FSLTTS Daily '!C27-'FSLTTS Daily '!Y27*0.28</f>
        <v>1605.76</v>
      </c>
      <c r="M25" s="4">
        <f>'FSLTTS Daily '!Y27*0.28</f>
        <v>408.24000000000007</v>
      </c>
      <c r="N25" s="4">
        <f>'FSLTTS Daily '!V27</f>
        <v>180</v>
      </c>
      <c r="O25" s="4">
        <f>'FSLTTS Daily '!Z27</f>
        <v>60</v>
      </c>
      <c r="P25" s="4">
        <f>'FSLTTS Daily '!BF27</f>
        <v>0</v>
      </c>
    </row>
    <row r="26" spans="1:16" x14ac:dyDescent="0.25">
      <c r="A26" t="s">
        <v>53</v>
      </c>
      <c r="B26" s="1">
        <f>B25+1</f>
        <v>25</v>
      </c>
      <c r="C26" s="1">
        <v>1</v>
      </c>
      <c r="D26" s="1">
        <v>2020</v>
      </c>
      <c r="E26" s="4">
        <f>'FSLTTS Daily '!I28*100</f>
        <v>4500</v>
      </c>
      <c r="F26" s="4">
        <f>'FSLTTS Daily '!K28*100</f>
        <v>1700</v>
      </c>
      <c r="G26" s="4">
        <f>'FSLTTS Daily '!O28*100</f>
        <v>2100</v>
      </c>
      <c r="H26" s="4">
        <f>'FSLTTS Daily '!Q28*100</f>
        <v>900</v>
      </c>
      <c r="I26" s="4">
        <f>'FSLTTS Daily '!E28</f>
        <v>42</v>
      </c>
      <c r="J26" s="4">
        <f>'FSLTTS Daily '!G28</f>
        <v>67</v>
      </c>
      <c r="K26" s="4">
        <f>'FSLTTS Daily '!Y28</f>
        <v>291</v>
      </c>
      <c r="L26" s="4">
        <f>'FSLTTS Daily '!C28-'FSLTTS Daily '!Y28*0.28</f>
        <v>1818.52</v>
      </c>
      <c r="M26" s="4">
        <f>'FSLTTS Daily '!Y28*0.28</f>
        <v>81.48</v>
      </c>
      <c r="N26" s="4">
        <f>'FSLTTS Daily '!V28</f>
        <v>180</v>
      </c>
      <c r="O26" s="4">
        <f>'FSLTTS Daily '!Z28</f>
        <v>72</v>
      </c>
      <c r="P26" s="4">
        <f>'FSLTTS Daily '!BF28</f>
        <v>0</v>
      </c>
    </row>
    <row r="27" spans="1:16" x14ac:dyDescent="0.25">
      <c r="A27" t="s">
        <v>53</v>
      </c>
      <c r="B27" s="1">
        <f t="shared" si="0"/>
        <v>26</v>
      </c>
      <c r="C27" s="1">
        <v>1</v>
      </c>
      <c r="D27" s="1">
        <v>2020</v>
      </c>
      <c r="E27" s="4">
        <f>'FSLTTS Daily '!I29*100</f>
        <v>4700</v>
      </c>
      <c r="F27" s="4">
        <f>'FSLTTS Daily '!K29*100</f>
        <v>1800</v>
      </c>
      <c r="G27" s="4">
        <f>'FSLTTS Daily '!O29*100</f>
        <v>2000</v>
      </c>
      <c r="H27" s="4">
        <f>'FSLTTS Daily '!Q29*100</f>
        <v>700</v>
      </c>
      <c r="I27" s="4">
        <f>'FSLTTS Daily '!E29</f>
        <v>0</v>
      </c>
      <c r="J27" s="4">
        <f>'FSLTTS Daily '!G29</f>
        <v>66</v>
      </c>
      <c r="K27" s="4">
        <f>'FSLTTS Daily '!Y29</f>
        <v>1238</v>
      </c>
      <c r="L27" s="4">
        <f>'FSLTTS Daily '!C29-'FSLTTS Daily '!Y29*0.28</f>
        <v>1301.3599999999999</v>
      </c>
      <c r="M27" s="4">
        <f>'FSLTTS Daily '!Y29*0.28</f>
        <v>346.64000000000004</v>
      </c>
      <c r="N27" s="4">
        <f>'FSLTTS Daily '!V29</f>
        <v>130</v>
      </c>
      <c r="O27" s="4">
        <f>'FSLTTS Daily '!Z29</f>
        <v>71</v>
      </c>
      <c r="P27" s="4">
        <f>'FSLTTS Daily '!BF29</f>
        <v>0</v>
      </c>
    </row>
    <row r="28" spans="1:16" x14ac:dyDescent="0.25">
      <c r="A28" t="s">
        <v>53</v>
      </c>
      <c r="B28" s="1">
        <f t="shared" si="0"/>
        <v>27</v>
      </c>
      <c r="C28" s="1">
        <v>1</v>
      </c>
      <c r="D28" s="1">
        <v>2020</v>
      </c>
      <c r="E28" s="4">
        <f>'FSLTTS Daily '!I30*100</f>
        <v>4600</v>
      </c>
      <c r="F28" s="4">
        <f>'FSLTTS Daily '!K30*100</f>
        <v>1700</v>
      </c>
      <c r="G28" s="4">
        <f>'FSLTTS Daily '!O30*100</f>
        <v>1800</v>
      </c>
      <c r="H28" s="4">
        <f>'FSLTTS Daily '!Q30*100</f>
        <v>800</v>
      </c>
      <c r="I28" s="4">
        <f>'FSLTTS Daily '!E30</f>
        <v>35</v>
      </c>
      <c r="J28" s="4">
        <f>'FSLTTS Daily '!G30</f>
        <v>73</v>
      </c>
      <c r="K28" s="4">
        <f>'FSLTTS Daily '!Y30</f>
        <v>1198</v>
      </c>
      <c r="L28" s="4">
        <f>'FSLTTS Daily '!C30-'FSLTTS Daily '!Y30*0.28</f>
        <v>1509.56</v>
      </c>
      <c r="M28" s="4">
        <f>'FSLTTS Daily '!Y30*0.28</f>
        <v>335.44000000000005</v>
      </c>
      <c r="N28" s="4">
        <f>'FSLTTS Daily '!V30</f>
        <v>150</v>
      </c>
      <c r="O28" s="4">
        <f>'FSLTTS Daily '!Z30</f>
        <v>93</v>
      </c>
      <c r="P28" s="4">
        <f>'FSLTTS Daily '!BF30</f>
        <v>0</v>
      </c>
    </row>
    <row r="29" spans="1:16" x14ac:dyDescent="0.25">
      <c r="A29" t="s">
        <v>53</v>
      </c>
      <c r="B29" s="1">
        <f t="shared" si="0"/>
        <v>28</v>
      </c>
      <c r="C29" s="1">
        <v>1</v>
      </c>
      <c r="D29" s="1">
        <v>2020</v>
      </c>
      <c r="E29" s="4">
        <f>'FSLTTS Daily '!I31*100</f>
        <v>4800</v>
      </c>
      <c r="F29" s="4">
        <f>'FSLTTS Daily '!K31*100</f>
        <v>1600</v>
      </c>
      <c r="G29" s="4">
        <f>'FSLTTS Daily '!O31*100</f>
        <v>1600</v>
      </c>
      <c r="H29" s="4">
        <f>'FSLTTS Daily '!Q31*100</f>
        <v>800</v>
      </c>
      <c r="I29" s="4">
        <f>'FSLTTS Daily '!E31</f>
        <v>36</v>
      </c>
      <c r="J29" s="4">
        <f>'FSLTTS Daily '!G31</f>
        <v>66</v>
      </c>
      <c r="K29" s="4">
        <f>'FSLTTS Daily '!Y31</f>
        <v>1435</v>
      </c>
      <c r="L29" s="4">
        <f>'FSLTTS Daily '!C31-'FSLTTS Daily '!Y31*0.28</f>
        <v>1628.2</v>
      </c>
      <c r="M29" s="4">
        <f>'FSLTTS Daily '!Y31*0.28</f>
        <v>401.8</v>
      </c>
      <c r="N29" s="4">
        <f>'FSLTTS Daily '!V31</f>
        <v>180</v>
      </c>
      <c r="O29" s="4">
        <f>'FSLTTS Daily '!Z31</f>
        <v>100</v>
      </c>
      <c r="P29" s="4">
        <f>'FSLTTS Daily '!BF31</f>
        <v>0</v>
      </c>
    </row>
    <row r="30" spans="1:16" x14ac:dyDescent="0.25">
      <c r="A30" t="s">
        <v>53</v>
      </c>
      <c r="B30" s="1">
        <f t="shared" si="0"/>
        <v>29</v>
      </c>
      <c r="C30" s="1">
        <v>1</v>
      </c>
      <c r="D30" s="1">
        <v>2020</v>
      </c>
      <c r="E30" s="4">
        <f>'FSLTTS Daily '!I32*100</f>
        <v>4900</v>
      </c>
      <c r="F30" s="4">
        <f>'FSLTTS Daily '!K32*100</f>
        <v>1700</v>
      </c>
      <c r="G30" s="4">
        <f>'FSLTTS Daily '!O32*100</f>
        <v>1800</v>
      </c>
      <c r="H30" s="4">
        <f>'FSLTTS Daily '!Q32*100</f>
        <v>800</v>
      </c>
      <c r="I30" s="4">
        <f>'FSLTTS Daily '!E32</f>
        <v>37</v>
      </c>
      <c r="J30" s="4">
        <f>'FSLTTS Daily '!G32</f>
        <v>74</v>
      </c>
      <c r="K30" s="4">
        <f>'FSLTTS Daily '!Y32</f>
        <v>1448</v>
      </c>
      <c r="L30" s="4">
        <f>'FSLTTS Daily '!C32-'FSLTTS Daily '!Y32*0.28</f>
        <v>1639.56</v>
      </c>
      <c r="M30" s="4">
        <f>'FSLTTS Daily '!Y32*0.28</f>
        <v>405.44000000000005</v>
      </c>
      <c r="N30" s="4">
        <f>'FSLTTS Daily '!V32</f>
        <v>180</v>
      </c>
      <c r="O30" s="4">
        <f>'FSLTTS Daily '!Z32</f>
        <v>87</v>
      </c>
      <c r="P30" s="4">
        <f>'FSLTTS Daily '!BF32</f>
        <v>0</v>
      </c>
    </row>
    <row r="31" spans="1:16" x14ac:dyDescent="0.25">
      <c r="A31" t="s">
        <v>53</v>
      </c>
      <c r="B31" s="1">
        <f t="shared" si="0"/>
        <v>30</v>
      </c>
      <c r="C31" s="1">
        <v>1</v>
      </c>
      <c r="D31" s="1">
        <v>2020</v>
      </c>
      <c r="E31" s="4">
        <f>'FSLTTS Daily '!I33*100</f>
        <v>3900</v>
      </c>
      <c r="F31" s="4">
        <f>'FSLTTS Daily '!K33*100</f>
        <v>1700</v>
      </c>
      <c r="G31" s="4">
        <f>'FSLTTS Daily '!O33*100</f>
        <v>1700</v>
      </c>
      <c r="H31" s="4">
        <f>'FSLTTS Daily '!Q33*100</f>
        <v>800</v>
      </c>
      <c r="I31" s="4">
        <f>'FSLTTS Daily '!E33</f>
        <v>34</v>
      </c>
      <c r="J31" s="4">
        <f>'FSLTTS Daily '!G33</f>
        <v>59</v>
      </c>
      <c r="K31" s="4">
        <f>'FSLTTS Daily '!Y33</f>
        <v>1404</v>
      </c>
      <c r="L31" s="4">
        <f>'FSLTTS Daily '!C33-'FSLTTS Daily '!Y33*0.28</f>
        <v>1244.8799999999999</v>
      </c>
      <c r="M31" s="4">
        <f>'FSLTTS Daily '!Y33*0.28</f>
        <v>393.12000000000006</v>
      </c>
      <c r="N31" s="4">
        <f>'FSLTTS Daily '!V33</f>
        <v>160</v>
      </c>
      <c r="O31" s="4">
        <f>'FSLTTS Daily '!Z33</f>
        <v>70</v>
      </c>
      <c r="P31" s="4">
        <f>'FSLTTS Daily '!BF33</f>
        <v>0</v>
      </c>
    </row>
    <row r="32" spans="1:16" x14ac:dyDescent="0.25">
      <c r="A32" t="s">
        <v>53</v>
      </c>
      <c r="B32" s="1">
        <f t="shared" si="0"/>
        <v>31</v>
      </c>
      <c r="C32" s="1">
        <v>1</v>
      </c>
      <c r="D32" s="1">
        <v>2020</v>
      </c>
      <c r="E32" s="4">
        <f>'FSLTTS Daily '!I34*100</f>
        <v>4800</v>
      </c>
      <c r="F32" s="4">
        <f>'FSLTTS Daily '!K34*100</f>
        <v>1600</v>
      </c>
      <c r="G32" s="4">
        <f>'FSLTTS Daily '!O34*100</f>
        <v>1800</v>
      </c>
      <c r="H32" s="4">
        <f>'FSLTTS Daily '!Q34*100</f>
        <v>900</v>
      </c>
      <c r="I32" s="4">
        <f>'FSLTTS Daily '!E34</f>
        <v>35</v>
      </c>
      <c r="J32" s="4">
        <f>'FSLTTS Daily '!G34</f>
        <v>75</v>
      </c>
      <c r="K32" s="4">
        <f>'FSLTTS Daily '!Y34</f>
        <v>1427</v>
      </c>
      <c r="L32" s="4">
        <f>'FSLTTS Daily '!C34-'FSLTTS Daily '!Y34*0.28</f>
        <v>1381.44</v>
      </c>
      <c r="M32" s="4">
        <f>'FSLTTS Daily '!Y34*0.28</f>
        <v>399.56000000000006</v>
      </c>
      <c r="N32" s="4">
        <f>'FSLTTS Daily '!V34</f>
        <v>170</v>
      </c>
      <c r="O32" s="4">
        <f>'FSLTTS Daily '!Z34</f>
        <v>67</v>
      </c>
      <c r="P32" s="4">
        <f>'FSLTTS Daily '!BF34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4"/>
  <sheetViews>
    <sheetView topLeftCell="A13" zoomScale="115" zoomScaleNormal="115" workbookViewId="0">
      <pane xSplit="1" topLeftCell="L1" activePane="topRight" state="frozen"/>
      <selection pane="topRight" activeCell="O41" sqref="O41"/>
    </sheetView>
  </sheetViews>
  <sheetFormatPr defaultRowHeight="15" x14ac:dyDescent="0.25"/>
  <cols>
    <col min="1" max="1" width="5.7109375" style="1" bestFit="1" customWidth="1"/>
    <col min="2" max="7" width="9.140625" style="1" customWidth="1"/>
    <col min="8" max="8" width="14.5703125" style="1" customWidth="1"/>
    <col min="9" max="9" width="10.28515625" style="1" customWidth="1"/>
    <col min="10" max="10" width="14.7109375" style="1" customWidth="1"/>
    <col min="11" max="11" width="9.28515625" style="1" customWidth="1"/>
    <col min="12" max="12" width="17.140625" style="1" customWidth="1"/>
    <col min="13" max="13" width="12.5703125" style="1" bestFit="1" customWidth="1"/>
    <col min="14" max="14" width="14.7109375" style="1" customWidth="1"/>
    <col min="15" max="15" width="9.140625" style="1"/>
    <col min="16" max="16" width="14.7109375" style="1" customWidth="1"/>
    <col min="17" max="17" width="8.7109375" style="1" customWidth="1"/>
    <col min="18" max="18" width="17.28515625" style="1" customWidth="1"/>
    <col min="19" max="19" width="12.5703125" style="1" bestFit="1" customWidth="1"/>
    <col min="20" max="21" width="9.140625" style="1"/>
    <col min="22" max="22" width="13.7109375" style="1" customWidth="1"/>
    <col min="23" max="23" width="10.28515625" style="1" bestFit="1" customWidth="1"/>
    <col min="24" max="24" width="13.42578125" style="1" bestFit="1" customWidth="1"/>
    <col min="25" max="25" width="10.28515625" style="1" customWidth="1"/>
    <col min="26" max="26" width="21.28515625" style="26" customWidth="1"/>
    <col min="27" max="16384" width="9.140625" style="1"/>
  </cols>
  <sheetData>
    <row r="1" spans="1:29" ht="24" customHeight="1" x14ac:dyDescent="0.25">
      <c r="A1" s="9" t="s">
        <v>15</v>
      </c>
      <c r="B1" s="49" t="s">
        <v>16</v>
      </c>
      <c r="C1" s="50" t="s">
        <v>17</v>
      </c>
      <c r="D1" s="52" t="s">
        <v>18</v>
      </c>
      <c r="E1" s="54" t="s">
        <v>17</v>
      </c>
      <c r="F1" s="52" t="s">
        <v>19</v>
      </c>
      <c r="G1" s="54" t="s">
        <v>17</v>
      </c>
      <c r="H1" s="44" t="s">
        <v>20</v>
      </c>
      <c r="I1" s="44"/>
      <c r="J1" s="44"/>
      <c r="K1" s="44"/>
      <c r="L1" s="44"/>
      <c r="M1" s="44"/>
      <c r="N1" s="45" t="s">
        <v>21</v>
      </c>
      <c r="O1" s="46"/>
      <c r="P1" s="46"/>
      <c r="Q1" s="46"/>
      <c r="R1" s="46"/>
      <c r="S1" s="47"/>
      <c r="T1" s="48" t="s">
        <v>22</v>
      </c>
      <c r="U1" s="48"/>
      <c r="V1" s="10" t="s">
        <v>23</v>
      </c>
      <c r="W1" s="11" t="s">
        <v>24</v>
      </c>
      <c r="X1" s="42" t="s">
        <v>25</v>
      </c>
      <c r="Y1" s="43"/>
      <c r="Z1" s="28" t="s">
        <v>26</v>
      </c>
      <c r="AC1" s="12" t="s">
        <v>27</v>
      </c>
    </row>
    <row r="2" spans="1:29" ht="20.100000000000001" customHeight="1" x14ac:dyDescent="0.25">
      <c r="A2" s="13" t="s">
        <v>47</v>
      </c>
      <c r="B2" s="49"/>
      <c r="C2" s="51"/>
      <c r="D2" s="53"/>
      <c r="E2" s="55"/>
      <c r="F2" s="53"/>
      <c r="G2" s="55"/>
      <c r="H2" s="14" t="s">
        <v>28</v>
      </c>
      <c r="I2" s="15" t="s">
        <v>17</v>
      </c>
      <c r="J2" s="14" t="s">
        <v>29</v>
      </c>
      <c r="K2" s="15" t="s">
        <v>17</v>
      </c>
      <c r="L2" s="14" t="s">
        <v>30</v>
      </c>
      <c r="M2" s="15" t="s">
        <v>31</v>
      </c>
      <c r="N2" s="16" t="s">
        <v>28</v>
      </c>
      <c r="O2" s="17" t="s">
        <v>17</v>
      </c>
      <c r="P2" s="16" t="s">
        <v>29</v>
      </c>
      <c r="Q2" s="18" t="s">
        <v>17</v>
      </c>
      <c r="R2" s="16" t="s">
        <v>30</v>
      </c>
      <c r="S2" s="19" t="s">
        <v>31</v>
      </c>
      <c r="T2" s="10" t="s">
        <v>32</v>
      </c>
      <c r="U2" s="10" t="s">
        <v>33</v>
      </c>
      <c r="V2" s="19" t="s">
        <v>31</v>
      </c>
      <c r="W2" s="20"/>
      <c r="X2" s="34" t="s">
        <v>43</v>
      </c>
      <c r="Y2" s="31" t="s">
        <v>44</v>
      </c>
      <c r="Z2" s="29" t="s">
        <v>46</v>
      </c>
      <c r="AC2" s="12" t="s">
        <v>34</v>
      </c>
    </row>
    <row r="3" spans="1:29" ht="20.100000000000001" customHeight="1" x14ac:dyDescent="0.25">
      <c r="A3" s="20">
        <v>31</v>
      </c>
      <c r="B3" s="22">
        <v>1521970</v>
      </c>
      <c r="C3" s="21" t="s">
        <v>45</v>
      </c>
      <c r="D3" s="20">
        <v>28041</v>
      </c>
      <c r="E3" s="21" t="s">
        <v>45</v>
      </c>
      <c r="F3" s="20">
        <v>73258</v>
      </c>
      <c r="G3" s="21" t="s">
        <v>45</v>
      </c>
      <c r="H3" s="22">
        <v>65275</v>
      </c>
      <c r="I3" s="21" t="s">
        <v>45</v>
      </c>
      <c r="J3" s="22">
        <v>23828</v>
      </c>
      <c r="K3" s="21" t="s">
        <v>45</v>
      </c>
      <c r="L3" s="22">
        <v>89104</v>
      </c>
      <c r="M3" s="21" t="s">
        <v>45</v>
      </c>
      <c r="N3" s="22">
        <v>27562</v>
      </c>
      <c r="O3" s="21" t="s">
        <v>45</v>
      </c>
      <c r="P3" s="22">
        <v>9762</v>
      </c>
      <c r="Q3" s="21" t="s">
        <v>45</v>
      </c>
      <c r="R3" s="22">
        <v>37394</v>
      </c>
      <c r="S3" s="21" t="s">
        <v>45</v>
      </c>
      <c r="T3" s="22">
        <v>58690</v>
      </c>
      <c r="U3" s="22">
        <v>0</v>
      </c>
      <c r="V3" s="21" t="s">
        <v>45</v>
      </c>
      <c r="W3" s="22" t="s">
        <v>48</v>
      </c>
      <c r="X3" s="38">
        <v>288854</v>
      </c>
      <c r="Y3" s="32" t="s">
        <v>45</v>
      </c>
      <c r="Z3" s="30">
        <v>102</v>
      </c>
      <c r="AC3" s="12" t="s">
        <v>35</v>
      </c>
    </row>
    <row r="4" spans="1:29" s="26" customFormat="1" ht="20.100000000000001" customHeight="1" x14ac:dyDescent="0.25">
      <c r="A4" s="35">
        <v>1</v>
      </c>
      <c r="B4" s="20">
        <v>1523732</v>
      </c>
      <c r="C4" s="36">
        <f t="shared" ref="C4:C34" si="0">IF((B4-B3&lt;0), "0",B4-B3)</f>
        <v>1762</v>
      </c>
      <c r="D4" s="20">
        <v>28075</v>
      </c>
      <c r="E4" s="36">
        <f t="shared" ref="E4:E34" si="1">IF((D4-D3&lt;0), "0",D4-D3)</f>
        <v>34</v>
      </c>
      <c r="F4" s="20">
        <v>73328</v>
      </c>
      <c r="G4" s="36">
        <f t="shared" ref="G4:G34" si="2">IF((F4-F3&lt;0), "0",F4-F3)</f>
        <v>70</v>
      </c>
      <c r="H4" s="20">
        <v>65320</v>
      </c>
      <c r="I4" s="36">
        <f t="shared" ref="I4:I34" si="3">IF((H4-H3&lt;0), "0",H4-H3)</f>
        <v>45</v>
      </c>
      <c r="J4" s="20">
        <v>23844</v>
      </c>
      <c r="K4" s="36">
        <f t="shared" ref="K4:K34" si="4">IF((J4-J3&lt;0), "0",J4-J3)</f>
        <v>16</v>
      </c>
      <c r="L4" s="20">
        <v>89165</v>
      </c>
      <c r="M4" s="36">
        <f t="shared" ref="M4:M34" si="5">IF((L4-L3&lt;0), "0",L4-L3)</f>
        <v>61</v>
      </c>
      <c r="N4" s="20">
        <v>27579</v>
      </c>
      <c r="O4" s="36">
        <f t="shared" ref="O4:O34" si="6">IF((N4-N3&lt;0), "0",N4-N3)</f>
        <v>17</v>
      </c>
      <c r="P4" s="20">
        <v>9771</v>
      </c>
      <c r="Q4" s="36">
        <f t="shared" ref="Q4:Q34" si="7">IF((P4-P3&lt;0), "0",P4-P3)</f>
        <v>9</v>
      </c>
      <c r="R4" s="20">
        <v>37420</v>
      </c>
      <c r="S4" s="36">
        <f t="shared" ref="S4:S34" si="8">IF((R4-R3&lt;0), "0",R4-R3)</f>
        <v>26</v>
      </c>
      <c r="T4" s="20">
        <v>58830</v>
      </c>
      <c r="U4" s="20">
        <v>0</v>
      </c>
      <c r="V4" s="41">
        <f>IF((T4-T3+U4-U3&lt;0), "0",T4-T3+U4-U3)</f>
        <v>140</v>
      </c>
      <c r="W4" s="20" t="s">
        <v>49</v>
      </c>
      <c r="X4" s="38">
        <v>290324</v>
      </c>
      <c r="Y4" s="41">
        <f t="shared" ref="Y4:Y34" si="9">IF((X4-X3&lt;0), "0",X4-X3)</f>
        <v>1470</v>
      </c>
      <c r="Z4" s="20">
        <v>89</v>
      </c>
    </row>
    <row r="5" spans="1:29" ht="20.100000000000001" customHeight="1" x14ac:dyDescent="0.25">
      <c r="A5" s="20">
        <v>2</v>
      </c>
      <c r="B5" s="20">
        <v>1525591</v>
      </c>
      <c r="C5" s="36">
        <f t="shared" si="0"/>
        <v>1859</v>
      </c>
      <c r="D5" s="20">
        <v>28106</v>
      </c>
      <c r="E5" s="36">
        <f t="shared" si="1"/>
        <v>31</v>
      </c>
      <c r="F5" s="20">
        <v>73401</v>
      </c>
      <c r="G5" s="36">
        <f t="shared" si="2"/>
        <v>73</v>
      </c>
      <c r="H5" s="20">
        <v>65367</v>
      </c>
      <c r="I5" s="36">
        <f t="shared" si="3"/>
        <v>47</v>
      </c>
      <c r="J5" s="20">
        <v>23862</v>
      </c>
      <c r="K5" s="36">
        <f t="shared" si="4"/>
        <v>18</v>
      </c>
      <c r="L5" s="20">
        <v>89229</v>
      </c>
      <c r="M5" s="36">
        <f t="shared" si="5"/>
        <v>64</v>
      </c>
      <c r="N5" s="20">
        <v>27598</v>
      </c>
      <c r="O5" s="36">
        <f t="shared" si="6"/>
        <v>19</v>
      </c>
      <c r="P5" s="20">
        <v>9779</v>
      </c>
      <c r="Q5" s="36">
        <f t="shared" si="7"/>
        <v>8</v>
      </c>
      <c r="R5" s="20">
        <v>37447</v>
      </c>
      <c r="S5" s="36">
        <f t="shared" si="8"/>
        <v>27</v>
      </c>
      <c r="T5" s="20">
        <v>59010</v>
      </c>
      <c r="U5" s="20">
        <v>0</v>
      </c>
      <c r="V5" s="33">
        <f>IF((T5-T4+U5-U4&lt;0), "0",T5-T4+U5-U4)</f>
        <v>180</v>
      </c>
      <c r="W5" s="20" t="s">
        <v>49</v>
      </c>
      <c r="X5" s="38">
        <v>291792</v>
      </c>
      <c r="Y5" s="33">
        <f t="shared" si="9"/>
        <v>1468</v>
      </c>
      <c r="Z5" s="20">
        <v>83</v>
      </c>
    </row>
    <row r="6" spans="1:29" ht="20.100000000000001" customHeight="1" x14ac:dyDescent="0.25">
      <c r="A6" s="20">
        <v>3</v>
      </c>
      <c r="B6" s="20">
        <v>1527465</v>
      </c>
      <c r="C6" s="36">
        <f t="shared" si="0"/>
        <v>1874</v>
      </c>
      <c r="D6" s="20">
        <v>28142</v>
      </c>
      <c r="E6" s="36">
        <f t="shared" si="1"/>
        <v>36</v>
      </c>
      <c r="F6" s="20">
        <v>73471</v>
      </c>
      <c r="G6" s="36">
        <f t="shared" si="2"/>
        <v>70</v>
      </c>
      <c r="H6" s="20">
        <v>65417</v>
      </c>
      <c r="I6" s="36">
        <f t="shared" si="3"/>
        <v>50</v>
      </c>
      <c r="J6" s="20">
        <v>23880</v>
      </c>
      <c r="K6" s="36">
        <f t="shared" si="4"/>
        <v>18</v>
      </c>
      <c r="L6" s="20">
        <v>89297</v>
      </c>
      <c r="M6" s="36">
        <f t="shared" si="5"/>
        <v>68</v>
      </c>
      <c r="N6" s="20">
        <v>27616</v>
      </c>
      <c r="O6" s="36">
        <f t="shared" si="6"/>
        <v>18</v>
      </c>
      <c r="P6" s="20">
        <v>9788</v>
      </c>
      <c r="Q6" s="36">
        <f t="shared" si="7"/>
        <v>9</v>
      </c>
      <c r="R6" s="20">
        <v>37474</v>
      </c>
      <c r="S6" s="36">
        <f t="shared" si="8"/>
        <v>27</v>
      </c>
      <c r="T6" s="20">
        <v>59220</v>
      </c>
      <c r="U6" s="20">
        <v>0</v>
      </c>
      <c r="V6" s="33">
        <f t="shared" ref="V6:V31" si="10">IF((T6-T5+U6-U5&lt;0), "0",T6-T5+U6-U5)</f>
        <v>210</v>
      </c>
      <c r="W6" s="20" t="s">
        <v>49</v>
      </c>
      <c r="X6" s="38">
        <v>293262</v>
      </c>
      <c r="Y6" s="33">
        <f t="shared" si="9"/>
        <v>1470</v>
      </c>
      <c r="Z6" s="20">
        <v>79</v>
      </c>
    </row>
    <row r="7" spans="1:29" ht="20.100000000000001" customHeight="1" x14ac:dyDescent="0.25">
      <c r="A7" s="20">
        <v>4</v>
      </c>
      <c r="B7" s="20">
        <v>1529531</v>
      </c>
      <c r="C7" s="36">
        <f t="shared" si="0"/>
        <v>2066</v>
      </c>
      <c r="D7" s="20">
        <v>28177</v>
      </c>
      <c r="E7" s="36">
        <f t="shared" si="1"/>
        <v>35</v>
      </c>
      <c r="F7" s="20">
        <v>73556</v>
      </c>
      <c r="G7" s="36">
        <f t="shared" si="2"/>
        <v>85</v>
      </c>
      <c r="H7" s="20">
        <v>65469</v>
      </c>
      <c r="I7" s="36">
        <f t="shared" si="3"/>
        <v>52</v>
      </c>
      <c r="J7" s="20">
        <v>23898</v>
      </c>
      <c r="K7" s="36">
        <f t="shared" si="4"/>
        <v>18</v>
      </c>
      <c r="L7" s="20">
        <v>89367</v>
      </c>
      <c r="M7" s="36">
        <f t="shared" si="5"/>
        <v>70</v>
      </c>
      <c r="N7" s="20">
        <v>27638</v>
      </c>
      <c r="O7" s="36">
        <f t="shared" si="6"/>
        <v>22</v>
      </c>
      <c r="P7" s="20">
        <v>9796</v>
      </c>
      <c r="Q7" s="36">
        <f t="shared" si="7"/>
        <v>8</v>
      </c>
      <c r="R7" s="20">
        <v>37504</v>
      </c>
      <c r="S7" s="36">
        <f t="shared" si="8"/>
        <v>30</v>
      </c>
      <c r="T7" s="20">
        <v>59420</v>
      </c>
      <c r="U7" s="20">
        <v>0</v>
      </c>
      <c r="V7" s="33">
        <f t="shared" si="10"/>
        <v>200</v>
      </c>
      <c r="W7" s="20" t="s">
        <v>48</v>
      </c>
      <c r="X7" s="38">
        <v>294730</v>
      </c>
      <c r="Y7" s="33">
        <f t="shared" si="9"/>
        <v>1468</v>
      </c>
      <c r="Z7" s="20">
        <v>60</v>
      </c>
    </row>
    <row r="8" spans="1:29" ht="20.100000000000001" customHeight="1" x14ac:dyDescent="0.25">
      <c r="A8" s="20">
        <v>5</v>
      </c>
      <c r="B8" s="20">
        <v>1531106</v>
      </c>
      <c r="C8" s="36">
        <f t="shared" si="0"/>
        <v>1575</v>
      </c>
      <c r="D8" s="20">
        <v>28177</v>
      </c>
      <c r="E8" s="36">
        <f t="shared" si="1"/>
        <v>0</v>
      </c>
      <c r="F8" s="20">
        <v>73627</v>
      </c>
      <c r="G8" s="36">
        <f t="shared" si="2"/>
        <v>71</v>
      </c>
      <c r="H8" s="20">
        <v>65514</v>
      </c>
      <c r="I8" s="36">
        <f t="shared" si="3"/>
        <v>45</v>
      </c>
      <c r="J8" s="20">
        <v>23915</v>
      </c>
      <c r="K8" s="36">
        <f t="shared" si="4"/>
        <v>17</v>
      </c>
      <c r="L8" s="20">
        <v>89429</v>
      </c>
      <c r="M8" s="36">
        <f t="shared" si="5"/>
        <v>62</v>
      </c>
      <c r="N8" s="20">
        <v>27656</v>
      </c>
      <c r="O8" s="36">
        <f t="shared" si="6"/>
        <v>18</v>
      </c>
      <c r="P8" s="20">
        <v>9805</v>
      </c>
      <c r="Q8" s="36">
        <f t="shared" si="7"/>
        <v>9</v>
      </c>
      <c r="R8" s="20">
        <v>37532</v>
      </c>
      <c r="S8" s="36">
        <f t="shared" si="8"/>
        <v>28</v>
      </c>
      <c r="T8" s="20">
        <v>59590</v>
      </c>
      <c r="U8" s="20">
        <v>0</v>
      </c>
      <c r="V8" s="33">
        <f t="shared" si="10"/>
        <v>170</v>
      </c>
      <c r="W8" s="20" t="s">
        <v>48</v>
      </c>
      <c r="X8" s="38">
        <v>295699</v>
      </c>
      <c r="Y8" s="33">
        <f t="shared" si="9"/>
        <v>969</v>
      </c>
      <c r="Z8" s="20">
        <v>66</v>
      </c>
    </row>
    <row r="9" spans="1:29" ht="20.100000000000001" customHeight="1" x14ac:dyDescent="0.25">
      <c r="A9" s="20">
        <v>6</v>
      </c>
      <c r="B9" s="20">
        <v>1532845</v>
      </c>
      <c r="C9" s="36">
        <f t="shared" si="0"/>
        <v>1739</v>
      </c>
      <c r="D9" s="20">
        <v>28205</v>
      </c>
      <c r="E9" s="36">
        <f t="shared" si="1"/>
        <v>28</v>
      </c>
      <c r="F9" s="20">
        <v>73699</v>
      </c>
      <c r="G9" s="36">
        <f t="shared" si="2"/>
        <v>72</v>
      </c>
      <c r="H9" s="20">
        <v>65556</v>
      </c>
      <c r="I9" s="36">
        <f t="shared" si="3"/>
        <v>42</v>
      </c>
      <c r="J9" s="20">
        <v>23932</v>
      </c>
      <c r="K9" s="36">
        <f t="shared" si="4"/>
        <v>17</v>
      </c>
      <c r="L9" s="20">
        <v>89489</v>
      </c>
      <c r="M9" s="36">
        <f t="shared" si="5"/>
        <v>60</v>
      </c>
      <c r="N9" s="20">
        <v>27673</v>
      </c>
      <c r="O9" s="36">
        <f t="shared" si="6"/>
        <v>17</v>
      </c>
      <c r="P9" s="20">
        <v>9813</v>
      </c>
      <c r="Q9" s="36">
        <f t="shared" si="7"/>
        <v>8</v>
      </c>
      <c r="R9" s="20">
        <v>37556</v>
      </c>
      <c r="S9" s="36">
        <f t="shared" si="8"/>
        <v>24</v>
      </c>
      <c r="T9" s="20">
        <v>59750</v>
      </c>
      <c r="U9" s="20">
        <v>0</v>
      </c>
      <c r="V9" s="33">
        <f t="shared" si="10"/>
        <v>160</v>
      </c>
      <c r="W9" s="20" t="s">
        <v>50</v>
      </c>
      <c r="X9" s="38">
        <v>296914</v>
      </c>
      <c r="Y9" s="33">
        <f t="shared" si="9"/>
        <v>1215</v>
      </c>
      <c r="Z9" s="20">
        <v>70</v>
      </c>
    </row>
    <row r="10" spans="1:29" ht="20.100000000000001" customHeight="1" x14ac:dyDescent="0.25">
      <c r="A10" s="20">
        <v>7</v>
      </c>
      <c r="B10" s="20">
        <v>1534637</v>
      </c>
      <c r="C10" s="36">
        <f t="shared" si="0"/>
        <v>1792</v>
      </c>
      <c r="D10" s="20">
        <v>28233</v>
      </c>
      <c r="E10" s="36">
        <f t="shared" si="1"/>
        <v>28</v>
      </c>
      <c r="F10" s="20">
        <v>73765</v>
      </c>
      <c r="G10" s="36">
        <f t="shared" si="2"/>
        <v>66</v>
      </c>
      <c r="H10" s="20">
        <v>65613</v>
      </c>
      <c r="I10" s="36">
        <f t="shared" si="3"/>
        <v>57</v>
      </c>
      <c r="J10" s="20">
        <v>23950</v>
      </c>
      <c r="K10" s="36">
        <f t="shared" si="4"/>
        <v>18</v>
      </c>
      <c r="L10" s="20">
        <v>89564</v>
      </c>
      <c r="M10" s="36">
        <f t="shared" si="5"/>
        <v>75</v>
      </c>
      <c r="N10" s="20">
        <v>27694</v>
      </c>
      <c r="O10" s="36">
        <f t="shared" si="6"/>
        <v>21</v>
      </c>
      <c r="P10" s="20">
        <v>9822</v>
      </c>
      <c r="Q10" s="36">
        <f t="shared" si="7"/>
        <v>9</v>
      </c>
      <c r="R10" s="20">
        <v>37586</v>
      </c>
      <c r="S10" s="36">
        <f t="shared" si="8"/>
        <v>30</v>
      </c>
      <c r="T10" s="20">
        <v>59920</v>
      </c>
      <c r="U10" s="20">
        <v>0</v>
      </c>
      <c r="V10" s="33">
        <f t="shared" si="10"/>
        <v>170</v>
      </c>
      <c r="W10" s="20" t="s">
        <v>50</v>
      </c>
      <c r="X10" s="38">
        <v>298381</v>
      </c>
      <c r="Y10" s="33">
        <f t="shared" si="9"/>
        <v>1467</v>
      </c>
      <c r="Z10" s="20">
        <v>77</v>
      </c>
    </row>
    <row r="11" spans="1:29" ht="20.100000000000001" customHeight="1" x14ac:dyDescent="0.25">
      <c r="A11" s="20">
        <v>8</v>
      </c>
      <c r="B11" s="20">
        <v>1536447</v>
      </c>
      <c r="C11" s="36">
        <f t="shared" si="0"/>
        <v>1810</v>
      </c>
      <c r="D11" s="20">
        <v>28264</v>
      </c>
      <c r="E11" s="36">
        <f t="shared" si="1"/>
        <v>31</v>
      </c>
      <c r="F11" s="20">
        <v>73835</v>
      </c>
      <c r="G11" s="36">
        <f t="shared" si="2"/>
        <v>70</v>
      </c>
      <c r="H11" s="20">
        <v>65661</v>
      </c>
      <c r="I11" s="36">
        <f t="shared" si="3"/>
        <v>48</v>
      </c>
      <c r="J11" s="20">
        <v>23969</v>
      </c>
      <c r="K11" s="36">
        <f t="shared" si="4"/>
        <v>19</v>
      </c>
      <c r="L11" s="20">
        <v>89631</v>
      </c>
      <c r="M11" s="36">
        <f t="shared" si="5"/>
        <v>67</v>
      </c>
      <c r="N11" s="20">
        <v>27715</v>
      </c>
      <c r="O11" s="36">
        <f t="shared" si="6"/>
        <v>21</v>
      </c>
      <c r="P11" s="20">
        <v>9831</v>
      </c>
      <c r="Q11" s="36">
        <f t="shared" si="7"/>
        <v>9</v>
      </c>
      <c r="R11" s="20">
        <v>37616</v>
      </c>
      <c r="S11" s="36">
        <f t="shared" si="8"/>
        <v>30</v>
      </c>
      <c r="T11" s="20">
        <v>60110</v>
      </c>
      <c r="U11" s="20">
        <v>0</v>
      </c>
      <c r="V11" s="33">
        <f t="shared" si="10"/>
        <v>190</v>
      </c>
      <c r="W11" s="20" t="s">
        <v>48</v>
      </c>
      <c r="X11" s="38">
        <v>299849</v>
      </c>
      <c r="Y11" s="33">
        <f t="shared" si="9"/>
        <v>1468</v>
      </c>
      <c r="Z11" s="20">
        <v>74</v>
      </c>
    </row>
    <row r="12" spans="1:29" ht="20.100000000000001" customHeight="1" x14ac:dyDescent="0.25">
      <c r="A12" s="20">
        <v>9</v>
      </c>
      <c r="B12" s="20">
        <v>1538137</v>
      </c>
      <c r="C12" s="36">
        <f t="shared" si="0"/>
        <v>1690</v>
      </c>
      <c r="D12" s="20">
        <v>28296</v>
      </c>
      <c r="E12" s="36">
        <f t="shared" si="1"/>
        <v>32</v>
      </c>
      <c r="F12" s="20">
        <v>73905</v>
      </c>
      <c r="G12" s="36">
        <f t="shared" si="2"/>
        <v>70</v>
      </c>
      <c r="H12" s="20">
        <v>65711</v>
      </c>
      <c r="I12" s="36">
        <f t="shared" si="3"/>
        <v>50</v>
      </c>
      <c r="J12" s="20">
        <v>23985</v>
      </c>
      <c r="K12" s="36">
        <f t="shared" si="4"/>
        <v>16</v>
      </c>
      <c r="L12" s="20">
        <v>89696</v>
      </c>
      <c r="M12" s="36">
        <f t="shared" si="5"/>
        <v>65</v>
      </c>
      <c r="N12" s="20">
        <v>27732</v>
      </c>
      <c r="O12" s="36">
        <f t="shared" si="6"/>
        <v>17</v>
      </c>
      <c r="P12" s="20">
        <v>9839</v>
      </c>
      <c r="Q12" s="36">
        <f t="shared" si="7"/>
        <v>8</v>
      </c>
      <c r="R12" s="20">
        <v>37642</v>
      </c>
      <c r="S12" s="36">
        <f t="shared" si="8"/>
        <v>26</v>
      </c>
      <c r="T12" s="20">
        <v>60270</v>
      </c>
      <c r="U12" s="20">
        <v>0</v>
      </c>
      <c r="V12" s="33">
        <f t="shared" si="10"/>
        <v>160</v>
      </c>
      <c r="W12" s="20" t="s">
        <v>48</v>
      </c>
      <c r="X12" s="38">
        <v>301310</v>
      </c>
      <c r="Y12" s="33">
        <f t="shared" si="9"/>
        <v>1461</v>
      </c>
      <c r="Z12" s="20">
        <v>67</v>
      </c>
    </row>
    <row r="13" spans="1:29" ht="20.100000000000001" customHeight="1" x14ac:dyDescent="0.25">
      <c r="A13" s="20">
        <v>10</v>
      </c>
      <c r="B13" s="20">
        <v>1540060</v>
      </c>
      <c r="C13" s="36">
        <f t="shared" si="0"/>
        <v>1923</v>
      </c>
      <c r="D13" s="20">
        <v>28327</v>
      </c>
      <c r="E13" s="36">
        <f t="shared" si="1"/>
        <v>31</v>
      </c>
      <c r="F13" s="20">
        <v>73983</v>
      </c>
      <c r="G13" s="36">
        <f t="shared" si="2"/>
        <v>78</v>
      </c>
      <c r="H13" s="20">
        <v>65759</v>
      </c>
      <c r="I13" s="36">
        <f t="shared" si="3"/>
        <v>48</v>
      </c>
      <c r="J13" s="20">
        <v>24002</v>
      </c>
      <c r="K13" s="36">
        <f t="shared" si="4"/>
        <v>17</v>
      </c>
      <c r="L13" s="20">
        <v>89762</v>
      </c>
      <c r="M13" s="36">
        <f t="shared" si="5"/>
        <v>66</v>
      </c>
      <c r="N13" s="20">
        <v>27752</v>
      </c>
      <c r="O13" s="36">
        <f t="shared" si="6"/>
        <v>20</v>
      </c>
      <c r="P13" s="20">
        <v>9847</v>
      </c>
      <c r="Q13" s="36">
        <f t="shared" si="7"/>
        <v>8</v>
      </c>
      <c r="R13" s="20">
        <v>37670</v>
      </c>
      <c r="S13" s="36">
        <f t="shared" si="8"/>
        <v>28</v>
      </c>
      <c r="T13" s="20">
        <v>60450</v>
      </c>
      <c r="U13" s="20">
        <v>0</v>
      </c>
      <c r="V13" s="33">
        <f t="shared" si="10"/>
        <v>180</v>
      </c>
      <c r="W13" s="20" t="s">
        <v>48</v>
      </c>
      <c r="X13" s="38">
        <v>302776</v>
      </c>
      <c r="Y13" s="33">
        <f t="shared" si="9"/>
        <v>1466</v>
      </c>
      <c r="Z13" s="20">
        <v>51</v>
      </c>
    </row>
    <row r="14" spans="1:29" ht="20.100000000000001" customHeight="1" x14ac:dyDescent="0.25">
      <c r="A14" s="20">
        <v>11</v>
      </c>
      <c r="B14" s="20">
        <v>1541770</v>
      </c>
      <c r="C14" s="36">
        <f t="shared" si="0"/>
        <v>1710</v>
      </c>
      <c r="D14" s="20">
        <v>28360</v>
      </c>
      <c r="E14" s="36">
        <f t="shared" si="1"/>
        <v>33</v>
      </c>
      <c r="F14" s="20">
        <v>74061</v>
      </c>
      <c r="G14" s="36">
        <f t="shared" si="2"/>
        <v>78</v>
      </c>
      <c r="H14" s="20">
        <v>65804</v>
      </c>
      <c r="I14" s="36">
        <f t="shared" si="3"/>
        <v>45</v>
      </c>
      <c r="J14" s="20">
        <v>24020</v>
      </c>
      <c r="K14" s="36">
        <f t="shared" si="4"/>
        <v>18</v>
      </c>
      <c r="L14" s="20">
        <v>89824</v>
      </c>
      <c r="M14" s="36">
        <f t="shared" si="5"/>
        <v>62</v>
      </c>
      <c r="N14" s="20">
        <v>27770</v>
      </c>
      <c r="O14" s="36">
        <f t="shared" si="6"/>
        <v>18</v>
      </c>
      <c r="P14" s="20">
        <v>9856</v>
      </c>
      <c r="Q14" s="36">
        <f t="shared" si="7"/>
        <v>9</v>
      </c>
      <c r="R14" s="20">
        <v>37697</v>
      </c>
      <c r="S14" s="36">
        <f t="shared" si="8"/>
        <v>27</v>
      </c>
      <c r="T14" s="20">
        <v>60600</v>
      </c>
      <c r="U14" s="20">
        <v>0</v>
      </c>
      <c r="V14" s="33">
        <f t="shared" si="10"/>
        <v>150</v>
      </c>
      <c r="W14" s="20" t="s">
        <v>50</v>
      </c>
      <c r="X14" s="38">
        <v>304240</v>
      </c>
      <c r="Y14" s="33">
        <f t="shared" si="9"/>
        <v>1464</v>
      </c>
      <c r="Z14" s="20">
        <v>48</v>
      </c>
    </row>
    <row r="15" spans="1:29" ht="20.100000000000001" customHeight="1" x14ac:dyDescent="0.25">
      <c r="A15" s="20">
        <v>12</v>
      </c>
      <c r="B15" s="20">
        <v>1543347</v>
      </c>
      <c r="C15" s="36">
        <f t="shared" si="0"/>
        <v>1577</v>
      </c>
      <c r="D15" s="20">
        <v>28360</v>
      </c>
      <c r="E15" s="36">
        <f t="shared" si="1"/>
        <v>0</v>
      </c>
      <c r="F15" s="20">
        <v>74138</v>
      </c>
      <c r="G15" s="36">
        <f t="shared" si="2"/>
        <v>77</v>
      </c>
      <c r="H15" s="20">
        <v>65846</v>
      </c>
      <c r="I15" s="36">
        <f t="shared" si="3"/>
        <v>42</v>
      </c>
      <c r="J15" s="20">
        <v>24037</v>
      </c>
      <c r="K15" s="36">
        <f t="shared" si="4"/>
        <v>17</v>
      </c>
      <c r="L15" s="20">
        <v>89883</v>
      </c>
      <c r="M15" s="36">
        <f t="shared" si="5"/>
        <v>59</v>
      </c>
      <c r="N15" s="20">
        <v>27789</v>
      </c>
      <c r="O15" s="36">
        <f t="shared" si="6"/>
        <v>19</v>
      </c>
      <c r="P15" s="20">
        <v>9865</v>
      </c>
      <c r="Q15" s="36">
        <f t="shared" si="7"/>
        <v>9</v>
      </c>
      <c r="R15" s="20">
        <v>37725</v>
      </c>
      <c r="S15" s="36">
        <f t="shared" si="8"/>
        <v>28</v>
      </c>
      <c r="T15" s="20">
        <v>60730</v>
      </c>
      <c r="U15" s="20">
        <v>0</v>
      </c>
      <c r="V15" s="33">
        <f t="shared" si="10"/>
        <v>130</v>
      </c>
      <c r="W15" s="20" t="s">
        <v>50</v>
      </c>
      <c r="X15" s="39">
        <v>305706</v>
      </c>
      <c r="Y15" s="37">
        <f t="shared" si="9"/>
        <v>1466</v>
      </c>
      <c r="Z15" s="20">
        <v>59</v>
      </c>
    </row>
    <row r="16" spans="1:29" ht="20.100000000000001" customHeight="1" x14ac:dyDescent="0.25">
      <c r="A16" s="20">
        <v>13</v>
      </c>
      <c r="B16" s="20">
        <v>1545071</v>
      </c>
      <c r="C16" s="36">
        <f t="shared" si="0"/>
        <v>1724</v>
      </c>
      <c r="D16" s="20">
        <v>28392</v>
      </c>
      <c r="E16" s="36">
        <f t="shared" si="1"/>
        <v>32</v>
      </c>
      <c r="F16" s="20">
        <v>74212</v>
      </c>
      <c r="G16" s="36">
        <f t="shared" si="2"/>
        <v>74</v>
      </c>
      <c r="H16" s="20">
        <v>65896</v>
      </c>
      <c r="I16" s="36">
        <f t="shared" si="3"/>
        <v>50</v>
      </c>
      <c r="J16" s="20">
        <v>24054</v>
      </c>
      <c r="K16" s="36">
        <f t="shared" si="4"/>
        <v>17</v>
      </c>
      <c r="L16" s="20">
        <v>89950</v>
      </c>
      <c r="M16" s="36">
        <f t="shared" si="5"/>
        <v>67</v>
      </c>
      <c r="N16" s="20">
        <v>27810</v>
      </c>
      <c r="O16" s="36">
        <f t="shared" si="6"/>
        <v>21</v>
      </c>
      <c r="P16" s="20">
        <v>9874</v>
      </c>
      <c r="Q16" s="36">
        <f t="shared" si="7"/>
        <v>9</v>
      </c>
      <c r="R16" s="20">
        <v>37755</v>
      </c>
      <c r="S16" s="36">
        <f t="shared" si="8"/>
        <v>30</v>
      </c>
      <c r="T16" s="20">
        <v>60880</v>
      </c>
      <c r="U16" s="20">
        <v>0</v>
      </c>
      <c r="V16" s="33">
        <f t="shared" si="10"/>
        <v>150</v>
      </c>
      <c r="W16" s="20" t="s">
        <v>48</v>
      </c>
      <c r="X16" s="11">
        <v>306526</v>
      </c>
      <c r="Y16" s="37">
        <f t="shared" si="9"/>
        <v>820</v>
      </c>
      <c r="Z16" s="20">
        <v>84</v>
      </c>
    </row>
    <row r="17" spans="1:26" ht="20.100000000000001" customHeight="1" x14ac:dyDescent="0.25">
      <c r="A17" s="20">
        <v>14</v>
      </c>
      <c r="B17" s="20">
        <v>1546854</v>
      </c>
      <c r="C17" s="36">
        <f t="shared" si="0"/>
        <v>1783</v>
      </c>
      <c r="D17" s="20">
        <v>28425</v>
      </c>
      <c r="E17" s="36">
        <f t="shared" si="1"/>
        <v>33</v>
      </c>
      <c r="F17" s="20">
        <v>74288</v>
      </c>
      <c r="G17" s="36">
        <f t="shared" si="2"/>
        <v>76</v>
      </c>
      <c r="H17" s="20">
        <v>65944</v>
      </c>
      <c r="I17" s="36">
        <f t="shared" si="3"/>
        <v>48</v>
      </c>
      <c r="J17" s="20">
        <v>24071</v>
      </c>
      <c r="K17" s="36">
        <f t="shared" si="4"/>
        <v>17</v>
      </c>
      <c r="L17" s="20">
        <v>90016</v>
      </c>
      <c r="M17" s="36">
        <f t="shared" si="5"/>
        <v>66</v>
      </c>
      <c r="N17" s="20">
        <v>27832</v>
      </c>
      <c r="O17" s="36">
        <f t="shared" si="6"/>
        <v>22</v>
      </c>
      <c r="P17" s="20">
        <v>9883</v>
      </c>
      <c r="Q17" s="36">
        <f t="shared" si="7"/>
        <v>9</v>
      </c>
      <c r="R17" s="20">
        <v>37785</v>
      </c>
      <c r="S17" s="36">
        <f t="shared" si="8"/>
        <v>30</v>
      </c>
      <c r="T17" s="20">
        <v>61050</v>
      </c>
      <c r="U17" s="20">
        <v>0</v>
      </c>
      <c r="V17" s="33">
        <f t="shared" si="10"/>
        <v>170</v>
      </c>
      <c r="W17" s="20" t="s">
        <v>48</v>
      </c>
      <c r="X17" s="11">
        <v>307801</v>
      </c>
      <c r="Y17" s="37">
        <f t="shared" si="9"/>
        <v>1275</v>
      </c>
      <c r="Z17" s="20">
        <v>97</v>
      </c>
    </row>
    <row r="18" spans="1:26" ht="20.100000000000001" customHeight="1" x14ac:dyDescent="0.25">
      <c r="A18" s="20">
        <v>15</v>
      </c>
      <c r="B18" s="20">
        <v>1548536</v>
      </c>
      <c r="C18" s="36">
        <f t="shared" si="0"/>
        <v>1682</v>
      </c>
      <c r="D18" s="20">
        <v>28454</v>
      </c>
      <c r="E18" s="36">
        <f t="shared" si="1"/>
        <v>29</v>
      </c>
      <c r="F18" s="20">
        <v>74361</v>
      </c>
      <c r="G18" s="36">
        <f t="shared" si="2"/>
        <v>73</v>
      </c>
      <c r="H18" s="20">
        <v>65990</v>
      </c>
      <c r="I18" s="36">
        <f t="shared" si="3"/>
        <v>46</v>
      </c>
      <c r="J18" s="20">
        <v>24089</v>
      </c>
      <c r="K18" s="36">
        <f t="shared" si="4"/>
        <v>18</v>
      </c>
      <c r="L18" s="20">
        <v>90079</v>
      </c>
      <c r="M18" s="36">
        <f t="shared" si="5"/>
        <v>63</v>
      </c>
      <c r="N18" s="20">
        <v>27848</v>
      </c>
      <c r="O18" s="36">
        <f t="shared" si="6"/>
        <v>16</v>
      </c>
      <c r="P18" s="20">
        <v>9891</v>
      </c>
      <c r="Q18" s="36">
        <f t="shared" si="7"/>
        <v>8</v>
      </c>
      <c r="R18" s="20">
        <v>37810</v>
      </c>
      <c r="S18" s="36">
        <f t="shared" si="8"/>
        <v>25</v>
      </c>
      <c r="T18" s="20">
        <v>61190</v>
      </c>
      <c r="U18" s="20">
        <v>0</v>
      </c>
      <c r="V18" s="33">
        <f t="shared" si="10"/>
        <v>140</v>
      </c>
      <c r="W18" s="20" t="s">
        <v>49</v>
      </c>
      <c r="X18" s="11">
        <v>309245</v>
      </c>
      <c r="Y18" s="37">
        <f t="shared" si="9"/>
        <v>1444</v>
      </c>
      <c r="Z18" s="20">
        <v>82</v>
      </c>
    </row>
    <row r="19" spans="1:26" ht="20.100000000000001" customHeight="1" x14ac:dyDescent="0.25">
      <c r="A19" s="20">
        <v>16</v>
      </c>
      <c r="B19" s="20">
        <v>1550303</v>
      </c>
      <c r="C19" s="36">
        <f t="shared" si="0"/>
        <v>1767</v>
      </c>
      <c r="D19" s="20">
        <v>28488</v>
      </c>
      <c r="E19" s="36">
        <f t="shared" si="1"/>
        <v>34</v>
      </c>
      <c r="F19" s="20">
        <v>74428</v>
      </c>
      <c r="G19" s="36">
        <f t="shared" si="2"/>
        <v>67</v>
      </c>
      <c r="H19" s="20">
        <v>66040</v>
      </c>
      <c r="I19" s="36">
        <f t="shared" si="3"/>
        <v>50</v>
      </c>
      <c r="J19" s="20">
        <v>24106</v>
      </c>
      <c r="K19" s="36">
        <f t="shared" si="4"/>
        <v>17</v>
      </c>
      <c r="L19" s="20">
        <v>90146</v>
      </c>
      <c r="M19" s="36">
        <f t="shared" si="5"/>
        <v>67</v>
      </c>
      <c r="N19" s="20">
        <v>27868</v>
      </c>
      <c r="O19" s="36">
        <f t="shared" si="6"/>
        <v>20</v>
      </c>
      <c r="P19" s="20">
        <v>9900</v>
      </c>
      <c r="Q19" s="36">
        <f t="shared" si="7"/>
        <v>9</v>
      </c>
      <c r="R19" s="20">
        <v>37838</v>
      </c>
      <c r="S19" s="36">
        <f t="shared" si="8"/>
        <v>28</v>
      </c>
      <c r="T19" s="20">
        <v>61350</v>
      </c>
      <c r="U19" s="20">
        <v>0</v>
      </c>
      <c r="V19" s="33">
        <f t="shared" si="10"/>
        <v>160</v>
      </c>
      <c r="W19" s="20" t="s">
        <v>49</v>
      </c>
      <c r="X19" s="11">
        <v>310680</v>
      </c>
      <c r="Y19" s="37">
        <f t="shared" si="9"/>
        <v>1435</v>
      </c>
      <c r="Z19" s="20">
        <v>73</v>
      </c>
    </row>
    <row r="20" spans="1:26" ht="20.100000000000001" customHeight="1" x14ac:dyDescent="0.25">
      <c r="A20" s="20">
        <v>17</v>
      </c>
      <c r="B20" s="20">
        <v>1552260</v>
      </c>
      <c r="C20" s="36">
        <f t="shared" si="0"/>
        <v>1957</v>
      </c>
      <c r="D20" s="20">
        <v>28523</v>
      </c>
      <c r="E20" s="36">
        <f t="shared" si="1"/>
        <v>35</v>
      </c>
      <c r="F20" s="20">
        <v>74505</v>
      </c>
      <c r="G20" s="36">
        <f t="shared" si="2"/>
        <v>77</v>
      </c>
      <c r="H20" s="20">
        <v>66094</v>
      </c>
      <c r="I20" s="36">
        <f t="shared" si="3"/>
        <v>54</v>
      </c>
      <c r="J20" s="20">
        <v>24124</v>
      </c>
      <c r="K20" s="36">
        <f t="shared" si="4"/>
        <v>18</v>
      </c>
      <c r="L20" s="20">
        <v>90219</v>
      </c>
      <c r="M20" s="36">
        <f t="shared" si="5"/>
        <v>73</v>
      </c>
      <c r="N20" s="20">
        <v>27886</v>
      </c>
      <c r="O20" s="36">
        <f t="shared" si="6"/>
        <v>18</v>
      </c>
      <c r="P20" s="20">
        <v>9909</v>
      </c>
      <c r="Q20" s="36">
        <f t="shared" si="7"/>
        <v>9</v>
      </c>
      <c r="R20" s="20">
        <v>37866</v>
      </c>
      <c r="S20" s="36">
        <f t="shared" si="8"/>
        <v>28</v>
      </c>
      <c r="T20" s="20">
        <v>61530</v>
      </c>
      <c r="U20" s="20">
        <v>0</v>
      </c>
      <c r="V20" s="33">
        <f t="shared" si="10"/>
        <v>180</v>
      </c>
      <c r="W20" s="20" t="s">
        <v>49</v>
      </c>
      <c r="X20" s="11">
        <v>312130</v>
      </c>
      <c r="Y20" s="37">
        <f t="shared" si="9"/>
        <v>1450</v>
      </c>
      <c r="Z20" s="20">
        <v>66</v>
      </c>
    </row>
    <row r="21" spans="1:26" ht="20.100000000000001" customHeight="1" x14ac:dyDescent="0.25">
      <c r="A21" s="20">
        <v>18</v>
      </c>
      <c r="B21" s="20">
        <v>1554337</v>
      </c>
      <c r="C21" s="36">
        <f t="shared" si="0"/>
        <v>2077</v>
      </c>
      <c r="D21" s="20">
        <v>28553</v>
      </c>
      <c r="E21" s="36">
        <f t="shared" si="1"/>
        <v>30</v>
      </c>
      <c r="F21" s="20">
        <v>74582</v>
      </c>
      <c r="G21" s="36">
        <f t="shared" si="2"/>
        <v>77</v>
      </c>
      <c r="H21" s="20">
        <v>66142</v>
      </c>
      <c r="I21" s="36">
        <f t="shared" si="3"/>
        <v>48</v>
      </c>
      <c r="J21" s="20">
        <v>24142</v>
      </c>
      <c r="K21" s="36">
        <f t="shared" si="4"/>
        <v>18</v>
      </c>
      <c r="L21" s="20">
        <v>90285</v>
      </c>
      <c r="M21" s="36">
        <f t="shared" si="5"/>
        <v>66</v>
      </c>
      <c r="N21" s="20">
        <v>27905</v>
      </c>
      <c r="O21" s="36">
        <f t="shared" si="6"/>
        <v>19</v>
      </c>
      <c r="P21" s="20">
        <v>9917</v>
      </c>
      <c r="Q21" s="36">
        <f t="shared" si="7"/>
        <v>8</v>
      </c>
      <c r="R21" s="20">
        <v>37892</v>
      </c>
      <c r="S21" s="36">
        <f t="shared" si="8"/>
        <v>26</v>
      </c>
      <c r="T21" s="20">
        <v>61710</v>
      </c>
      <c r="U21" s="20">
        <v>0</v>
      </c>
      <c r="V21" s="33">
        <f t="shared" si="10"/>
        <v>180</v>
      </c>
      <c r="W21" s="20" t="s">
        <v>48</v>
      </c>
      <c r="X21" s="11">
        <v>313585</v>
      </c>
      <c r="Y21" s="37">
        <f t="shared" si="9"/>
        <v>1455</v>
      </c>
      <c r="Z21" s="20">
        <v>92</v>
      </c>
    </row>
    <row r="22" spans="1:26" ht="20.100000000000001" customHeight="1" x14ac:dyDescent="0.25">
      <c r="A22" s="20">
        <v>19</v>
      </c>
      <c r="B22" s="20">
        <v>1556135</v>
      </c>
      <c r="C22" s="36">
        <f t="shared" si="0"/>
        <v>1798</v>
      </c>
      <c r="D22" s="20">
        <v>28553</v>
      </c>
      <c r="E22" s="36">
        <f t="shared" si="1"/>
        <v>0</v>
      </c>
      <c r="F22" s="20">
        <v>74654</v>
      </c>
      <c r="G22" s="36">
        <f t="shared" si="2"/>
        <v>72</v>
      </c>
      <c r="H22" s="20">
        <v>66187</v>
      </c>
      <c r="I22" s="36">
        <f t="shared" si="3"/>
        <v>45</v>
      </c>
      <c r="J22" s="20">
        <v>24159</v>
      </c>
      <c r="K22" s="36">
        <f t="shared" si="4"/>
        <v>17</v>
      </c>
      <c r="L22" s="20">
        <v>90359</v>
      </c>
      <c r="M22" s="36">
        <f t="shared" si="5"/>
        <v>74</v>
      </c>
      <c r="N22" s="20">
        <v>27921</v>
      </c>
      <c r="O22" s="36">
        <f t="shared" si="6"/>
        <v>16</v>
      </c>
      <c r="P22" s="20">
        <v>9925</v>
      </c>
      <c r="Q22" s="36">
        <f t="shared" si="7"/>
        <v>8</v>
      </c>
      <c r="R22" s="20">
        <v>37917</v>
      </c>
      <c r="S22" s="36">
        <f t="shared" si="8"/>
        <v>25</v>
      </c>
      <c r="T22" s="20">
        <v>61830</v>
      </c>
      <c r="U22" s="20">
        <v>0</v>
      </c>
      <c r="V22" s="33">
        <f t="shared" si="10"/>
        <v>120</v>
      </c>
      <c r="W22" s="20" t="s">
        <v>48</v>
      </c>
      <c r="X22" s="11">
        <v>314985</v>
      </c>
      <c r="Y22" s="37">
        <f t="shared" si="9"/>
        <v>1400</v>
      </c>
      <c r="Z22" s="20">
        <v>56</v>
      </c>
    </row>
    <row r="23" spans="1:26" ht="20.100000000000001" customHeight="1" x14ac:dyDescent="0.25">
      <c r="A23" s="20">
        <v>20</v>
      </c>
      <c r="B23" s="20">
        <v>1557932</v>
      </c>
      <c r="C23" s="36">
        <f t="shared" si="0"/>
        <v>1797</v>
      </c>
      <c r="D23" s="20">
        <v>28581</v>
      </c>
      <c r="E23" s="36">
        <f t="shared" si="1"/>
        <v>28</v>
      </c>
      <c r="F23" s="20">
        <v>74724</v>
      </c>
      <c r="G23" s="36">
        <f t="shared" si="2"/>
        <v>70</v>
      </c>
      <c r="H23" s="20">
        <v>66229</v>
      </c>
      <c r="I23" s="36">
        <f t="shared" si="3"/>
        <v>42</v>
      </c>
      <c r="J23" s="20">
        <v>24176</v>
      </c>
      <c r="K23" s="36">
        <f t="shared" si="4"/>
        <v>17</v>
      </c>
      <c r="L23" s="20">
        <v>90406</v>
      </c>
      <c r="M23" s="36">
        <f t="shared" si="5"/>
        <v>47</v>
      </c>
      <c r="N23" s="20">
        <v>27938</v>
      </c>
      <c r="O23" s="36">
        <f t="shared" si="6"/>
        <v>17</v>
      </c>
      <c r="P23" s="20">
        <v>9933</v>
      </c>
      <c r="Q23" s="36">
        <f t="shared" si="7"/>
        <v>8</v>
      </c>
      <c r="R23" s="20">
        <v>37942</v>
      </c>
      <c r="S23" s="36">
        <f t="shared" si="8"/>
        <v>25</v>
      </c>
      <c r="T23" s="20">
        <v>61980</v>
      </c>
      <c r="U23" s="20">
        <v>0</v>
      </c>
      <c r="V23" s="33">
        <f t="shared" si="10"/>
        <v>150</v>
      </c>
      <c r="W23" s="20" t="s">
        <v>50</v>
      </c>
      <c r="X23" s="11">
        <v>316072</v>
      </c>
      <c r="Y23" s="37">
        <f t="shared" si="9"/>
        <v>1087</v>
      </c>
      <c r="Z23" s="20">
        <v>70</v>
      </c>
    </row>
    <row r="24" spans="1:26" ht="20.100000000000001" customHeight="1" x14ac:dyDescent="0.25">
      <c r="A24" s="20">
        <v>21</v>
      </c>
      <c r="B24" s="20">
        <v>1560122</v>
      </c>
      <c r="C24" s="36">
        <f t="shared" si="0"/>
        <v>2190</v>
      </c>
      <c r="D24" s="20">
        <v>28617</v>
      </c>
      <c r="E24" s="36">
        <f t="shared" si="1"/>
        <v>36</v>
      </c>
      <c r="F24" s="20">
        <v>74796</v>
      </c>
      <c r="G24" s="36">
        <f t="shared" si="2"/>
        <v>72</v>
      </c>
      <c r="H24" s="20">
        <v>66285</v>
      </c>
      <c r="I24" s="36">
        <f t="shared" si="3"/>
        <v>56</v>
      </c>
      <c r="J24" s="20">
        <v>24194</v>
      </c>
      <c r="K24" s="36">
        <f t="shared" si="4"/>
        <v>18</v>
      </c>
      <c r="L24" s="20">
        <v>90480</v>
      </c>
      <c r="M24" s="36">
        <f t="shared" si="5"/>
        <v>74</v>
      </c>
      <c r="N24" s="20">
        <v>27958</v>
      </c>
      <c r="O24" s="36">
        <v>0</v>
      </c>
      <c r="P24" s="20">
        <v>9942</v>
      </c>
      <c r="Q24" s="36">
        <f t="shared" si="7"/>
        <v>9</v>
      </c>
      <c r="R24" s="20">
        <v>37970</v>
      </c>
      <c r="S24" s="36">
        <f t="shared" si="8"/>
        <v>28</v>
      </c>
      <c r="T24" s="20">
        <v>62150</v>
      </c>
      <c r="U24" s="20">
        <v>0</v>
      </c>
      <c r="V24" s="33">
        <f t="shared" si="10"/>
        <v>170</v>
      </c>
      <c r="W24" s="20" t="s">
        <v>50</v>
      </c>
      <c r="X24" s="11">
        <v>317514</v>
      </c>
      <c r="Y24" s="37">
        <f t="shared" si="9"/>
        <v>1442</v>
      </c>
      <c r="Z24" s="20">
        <v>73</v>
      </c>
    </row>
    <row r="25" spans="1:26" ht="20.100000000000001" customHeight="1" x14ac:dyDescent="0.25">
      <c r="A25" s="20">
        <v>22</v>
      </c>
      <c r="B25" s="20">
        <v>1562006</v>
      </c>
      <c r="C25" s="36">
        <f t="shared" si="0"/>
        <v>1884</v>
      </c>
      <c r="D25" s="20">
        <v>28654</v>
      </c>
      <c r="E25" s="36">
        <f>IF((D25-D24&lt;0), "0",D25-D24)</f>
        <v>37</v>
      </c>
      <c r="F25" s="20">
        <v>74865</v>
      </c>
      <c r="G25" s="36">
        <f t="shared" si="2"/>
        <v>69</v>
      </c>
      <c r="H25" s="20">
        <v>66335</v>
      </c>
      <c r="I25" s="36">
        <f t="shared" si="3"/>
        <v>50</v>
      </c>
      <c r="J25" s="20">
        <v>24212</v>
      </c>
      <c r="K25" s="36">
        <f t="shared" si="4"/>
        <v>18</v>
      </c>
      <c r="L25" s="20">
        <v>90547</v>
      </c>
      <c r="M25" s="36">
        <f t="shared" si="5"/>
        <v>67</v>
      </c>
      <c r="N25" s="20">
        <v>27977</v>
      </c>
      <c r="O25" s="36">
        <f t="shared" si="6"/>
        <v>19</v>
      </c>
      <c r="P25" s="20">
        <v>9950</v>
      </c>
      <c r="Q25" s="36">
        <f t="shared" si="7"/>
        <v>8</v>
      </c>
      <c r="R25" s="20">
        <v>37997</v>
      </c>
      <c r="S25" s="36">
        <f t="shared" si="8"/>
        <v>27</v>
      </c>
      <c r="T25" s="20">
        <v>62320</v>
      </c>
      <c r="U25" s="20">
        <v>0</v>
      </c>
      <c r="V25" s="33">
        <f t="shared" si="10"/>
        <v>170</v>
      </c>
      <c r="W25" s="20" t="s">
        <v>48</v>
      </c>
      <c r="X25" s="11">
        <v>318867</v>
      </c>
      <c r="Y25" s="37">
        <f t="shared" si="9"/>
        <v>1353</v>
      </c>
      <c r="Z25" s="20">
        <v>73</v>
      </c>
    </row>
    <row r="26" spans="1:26" ht="20.100000000000001" customHeight="1" x14ac:dyDescent="0.25">
      <c r="A26" s="20">
        <v>23</v>
      </c>
      <c r="B26" s="20">
        <v>1563928</v>
      </c>
      <c r="C26" s="36">
        <f t="shared" si="0"/>
        <v>1922</v>
      </c>
      <c r="D26" s="20">
        <v>28695</v>
      </c>
      <c r="E26" s="36">
        <f t="shared" si="1"/>
        <v>41</v>
      </c>
      <c r="F26" s="20">
        <v>74932</v>
      </c>
      <c r="G26" s="36">
        <f t="shared" si="2"/>
        <v>67</v>
      </c>
      <c r="H26" s="20">
        <v>66387</v>
      </c>
      <c r="I26" s="36">
        <f t="shared" si="3"/>
        <v>52</v>
      </c>
      <c r="J26" s="20">
        <v>24229</v>
      </c>
      <c r="K26" s="36">
        <f t="shared" si="4"/>
        <v>17</v>
      </c>
      <c r="L26" s="20">
        <v>90617</v>
      </c>
      <c r="M26" s="36">
        <f t="shared" si="5"/>
        <v>70</v>
      </c>
      <c r="N26" s="20">
        <v>27994</v>
      </c>
      <c r="O26" s="36">
        <f t="shared" si="6"/>
        <v>17</v>
      </c>
      <c r="P26" s="20">
        <v>9958</v>
      </c>
      <c r="Q26" s="36">
        <f t="shared" si="7"/>
        <v>8</v>
      </c>
      <c r="R26" s="20">
        <v>38023</v>
      </c>
      <c r="S26" s="36">
        <f t="shared" si="8"/>
        <v>26</v>
      </c>
      <c r="T26" s="20">
        <v>62490</v>
      </c>
      <c r="U26" s="20">
        <v>0</v>
      </c>
      <c r="V26" s="33">
        <f t="shared" si="10"/>
        <v>170</v>
      </c>
      <c r="W26" s="20" t="s">
        <v>48</v>
      </c>
      <c r="X26" s="11">
        <v>320321</v>
      </c>
      <c r="Y26" s="37">
        <f t="shared" si="9"/>
        <v>1454</v>
      </c>
      <c r="Z26" s="20">
        <v>102</v>
      </c>
    </row>
    <row r="27" spans="1:26" ht="20.100000000000001" customHeight="1" x14ac:dyDescent="0.25">
      <c r="A27" s="20">
        <v>24</v>
      </c>
      <c r="B27" s="20">
        <v>1565942</v>
      </c>
      <c r="C27" s="36">
        <f t="shared" si="0"/>
        <v>2014</v>
      </c>
      <c r="D27" s="20">
        <v>28742</v>
      </c>
      <c r="E27" s="36">
        <f t="shared" si="1"/>
        <v>47</v>
      </c>
      <c r="F27" s="20">
        <v>75005</v>
      </c>
      <c r="G27" s="36">
        <f t="shared" si="2"/>
        <v>73</v>
      </c>
      <c r="H27" s="20">
        <v>66436</v>
      </c>
      <c r="I27" s="36">
        <f t="shared" si="3"/>
        <v>49</v>
      </c>
      <c r="J27" s="20">
        <v>24248</v>
      </c>
      <c r="K27" s="36">
        <f t="shared" si="4"/>
        <v>19</v>
      </c>
      <c r="L27" s="20">
        <v>90684</v>
      </c>
      <c r="M27" s="36">
        <f t="shared" si="5"/>
        <v>67</v>
      </c>
      <c r="N27" s="20">
        <v>28013</v>
      </c>
      <c r="O27" s="36">
        <f t="shared" si="6"/>
        <v>19</v>
      </c>
      <c r="P27" s="20">
        <v>9966</v>
      </c>
      <c r="Q27" s="36">
        <f t="shared" si="7"/>
        <v>8</v>
      </c>
      <c r="R27" s="20">
        <v>38050</v>
      </c>
      <c r="S27" s="36">
        <f t="shared" si="8"/>
        <v>27</v>
      </c>
      <c r="T27" s="20">
        <v>62670</v>
      </c>
      <c r="U27" s="20">
        <v>0</v>
      </c>
      <c r="V27" s="33">
        <f t="shared" si="10"/>
        <v>180</v>
      </c>
      <c r="W27" s="20" t="s">
        <v>48</v>
      </c>
      <c r="X27" s="11">
        <v>321779</v>
      </c>
      <c r="Y27" s="37">
        <f t="shared" si="9"/>
        <v>1458</v>
      </c>
      <c r="Z27" s="20">
        <v>60</v>
      </c>
    </row>
    <row r="28" spans="1:26" ht="20.100000000000001" customHeight="1" x14ac:dyDescent="0.25">
      <c r="A28" s="20">
        <v>25</v>
      </c>
      <c r="B28" s="20">
        <v>1567842</v>
      </c>
      <c r="C28" s="36">
        <f t="shared" si="0"/>
        <v>1900</v>
      </c>
      <c r="D28" s="20">
        <v>28784</v>
      </c>
      <c r="E28" s="36">
        <f t="shared" si="1"/>
        <v>42</v>
      </c>
      <c r="F28" s="20">
        <v>75072</v>
      </c>
      <c r="G28" s="36">
        <f t="shared" si="2"/>
        <v>67</v>
      </c>
      <c r="H28" s="20">
        <v>66481</v>
      </c>
      <c r="I28" s="36">
        <f t="shared" si="3"/>
        <v>45</v>
      </c>
      <c r="J28" s="20">
        <v>24265</v>
      </c>
      <c r="K28" s="36">
        <f t="shared" si="4"/>
        <v>17</v>
      </c>
      <c r="L28" s="20">
        <v>90747</v>
      </c>
      <c r="M28" s="36">
        <f t="shared" si="5"/>
        <v>63</v>
      </c>
      <c r="N28" s="20">
        <v>28034</v>
      </c>
      <c r="O28" s="36">
        <f t="shared" si="6"/>
        <v>21</v>
      </c>
      <c r="P28" s="20">
        <v>9975</v>
      </c>
      <c r="Q28" s="36">
        <f t="shared" si="7"/>
        <v>9</v>
      </c>
      <c r="R28" s="20">
        <v>38079</v>
      </c>
      <c r="S28" s="36">
        <f t="shared" si="8"/>
        <v>29</v>
      </c>
      <c r="T28" s="20">
        <v>62850</v>
      </c>
      <c r="U28" s="20">
        <v>0</v>
      </c>
      <c r="V28" s="33">
        <f t="shared" si="10"/>
        <v>180</v>
      </c>
      <c r="W28" s="20" t="s">
        <v>50</v>
      </c>
      <c r="X28" s="11">
        <v>322070</v>
      </c>
      <c r="Y28" s="37">
        <f t="shared" si="9"/>
        <v>291</v>
      </c>
      <c r="Z28" s="20">
        <v>72</v>
      </c>
    </row>
    <row r="29" spans="1:26" ht="20.100000000000001" customHeight="1" x14ac:dyDescent="0.25">
      <c r="A29" s="20">
        <v>26</v>
      </c>
      <c r="B29" s="20">
        <v>1569490</v>
      </c>
      <c r="C29" s="36">
        <f t="shared" si="0"/>
        <v>1648</v>
      </c>
      <c r="D29" s="20">
        <v>28784</v>
      </c>
      <c r="E29" s="36">
        <f t="shared" si="1"/>
        <v>0</v>
      </c>
      <c r="F29" s="20">
        <v>75138</v>
      </c>
      <c r="G29" s="36">
        <f t="shared" si="2"/>
        <v>66</v>
      </c>
      <c r="H29" s="20">
        <v>66528</v>
      </c>
      <c r="I29" s="36">
        <f t="shared" si="3"/>
        <v>47</v>
      </c>
      <c r="J29" s="20">
        <v>24283</v>
      </c>
      <c r="K29" s="36">
        <f t="shared" si="4"/>
        <v>18</v>
      </c>
      <c r="L29" s="20">
        <v>90811</v>
      </c>
      <c r="M29" s="36">
        <f t="shared" si="5"/>
        <v>64</v>
      </c>
      <c r="N29" s="20">
        <v>28054</v>
      </c>
      <c r="O29" s="36">
        <f t="shared" si="6"/>
        <v>20</v>
      </c>
      <c r="P29" s="20">
        <v>9982</v>
      </c>
      <c r="Q29" s="36">
        <f t="shared" si="7"/>
        <v>7</v>
      </c>
      <c r="R29" s="20">
        <v>38106</v>
      </c>
      <c r="S29" s="36">
        <f t="shared" si="8"/>
        <v>27</v>
      </c>
      <c r="T29" s="20">
        <v>62980</v>
      </c>
      <c r="U29" s="20">
        <v>0</v>
      </c>
      <c r="V29" s="33">
        <f t="shared" si="10"/>
        <v>130</v>
      </c>
      <c r="W29" s="20" t="s">
        <v>50</v>
      </c>
      <c r="X29" s="11">
        <v>323308</v>
      </c>
      <c r="Y29" s="37">
        <f t="shared" si="9"/>
        <v>1238</v>
      </c>
      <c r="Z29" s="20">
        <v>71</v>
      </c>
    </row>
    <row r="30" spans="1:26" ht="20.100000000000001" customHeight="1" x14ac:dyDescent="0.25">
      <c r="A30" s="20">
        <v>27</v>
      </c>
      <c r="B30" s="20">
        <v>1571335</v>
      </c>
      <c r="C30" s="36">
        <f t="shared" si="0"/>
        <v>1845</v>
      </c>
      <c r="D30" s="20">
        <v>28819</v>
      </c>
      <c r="E30" s="36">
        <f t="shared" si="1"/>
        <v>35</v>
      </c>
      <c r="F30" s="20">
        <v>75211</v>
      </c>
      <c r="G30" s="36">
        <f t="shared" si="2"/>
        <v>73</v>
      </c>
      <c r="H30" s="20">
        <v>66574</v>
      </c>
      <c r="I30" s="36">
        <f t="shared" si="3"/>
        <v>46</v>
      </c>
      <c r="J30" s="20">
        <v>24300</v>
      </c>
      <c r="K30" s="36">
        <f t="shared" si="4"/>
        <v>17</v>
      </c>
      <c r="L30" s="20">
        <v>90874</v>
      </c>
      <c r="M30" s="36">
        <f t="shared" si="5"/>
        <v>63</v>
      </c>
      <c r="N30" s="20">
        <v>28072</v>
      </c>
      <c r="O30" s="36">
        <f t="shared" si="6"/>
        <v>18</v>
      </c>
      <c r="P30" s="20">
        <v>9990</v>
      </c>
      <c r="Q30" s="36">
        <f t="shared" si="7"/>
        <v>8</v>
      </c>
      <c r="R30" s="20">
        <v>38132</v>
      </c>
      <c r="S30" s="36">
        <f t="shared" si="8"/>
        <v>26</v>
      </c>
      <c r="T30" s="20">
        <v>63130</v>
      </c>
      <c r="U30" s="20">
        <v>0</v>
      </c>
      <c r="V30" s="33">
        <f t="shared" si="10"/>
        <v>150</v>
      </c>
      <c r="W30" s="20" t="s">
        <v>48</v>
      </c>
      <c r="X30" s="11">
        <v>324506</v>
      </c>
      <c r="Y30" s="37">
        <f t="shared" si="9"/>
        <v>1198</v>
      </c>
      <c r="Z30" s="20">
        <v>93</v>
      </c>
    </row>
    <row r="31" spans="1:26" ht="20.100000000000001" customHeight="1" x14ac:dyDescent="0.25">
      <c r="A31" s="22">
        <v>28</v>
      </c>
      <c r="B31" s="22">
        <v>1573365</v>
      </c>
      <c r="C31" s="36">
        <f t="shared" si="0"/>
        <v>2030</v>
      </c>
      <c r="D31" s="22">
        <v>28855</v>
      </c>
      <c r="E31" s="36">
        <f t="shared" si="1"/>
        <v>36</v>
      </c>
      <c r="F31" s="22">
        <v>75277</v>
      </c>
      <c r="G31" s="36">
        <f t="shared" si="2"/>
        <v>66</v>
      </c>
      <c r="H31" s="22">
        <v>66622</v>
      </c>
      <c r="I31" s="36">
        <f t="shared" si="3"/>
        <v>48</v>
      </c>
      <c r="J31" s="22">
        <v>24316</v>
      </c>
      <c r="K31" s="36">
        <f t="shared" si="4"/>
        <v>16</v>
      </c>
      <c r="L31" s="22">
        <v>90938</v>
      </c>
      <c r="M31" s="36">
        <f t="shared" si="5"/>
        <v>64</v>
      </c>
      <c r="N31" s="22">
        <v>28088</v>
      </c>
      <c r="O31" s="36">
        <f t="shared" si="6"/>
        <v>16</v>
      </c>
      <c r="P31" s="22">
        <v>9998</v>
      </c>
      <c r="Q31" s="36">
        <f t="shared" si="7"/>
        <v>8</v>
      </c>
      <c r="R31" s="22">
        <v>38157</v>
      </c>
      <c r="S31" s="36">
        <f t="shared" si="8"/>
        <v>25</v>
      </c>
      <c r="T31" s="22">
        <v>63310</v>
      </c>
      <c r="U31" s="22">
        <v>0</v>
      </c>
      <c r="V31" s="33">
        <f t="shared" si="10"/>
        <v>180</v>
      </c>
      <c r="W31" s="22" t="s">
        <v>48</v>
      </c>
      <c r="X31" s="40">
        <v>325941</v>
      </c>
      <c r="Y31" s="37">
        <f t="shared" si="9"/>
        <v>1435</v>
      </c>
      <c r="Z31" s="20">
        <v>100</v>
      </c>
    </row>
    <row r="32" spans="1:26" ht="20.100000000000001" customHeight="1" x14ac:dyDescent="0.25">
      <c r="A32" s="22">
        <v>29</v>
      </c>
      <c r="B32" s="22">
        <v>1575410</v>
      </c>
      <c r="C32" s="36">
        <f t="shared" si="0"/>
        <v>2045</v>
      </c>
      <c r="D32" s="22">
        <v>28892</v>
      </c>
      <c r="E32" s="36">
        <f t="shared" si="1"/>
        <v>37</v>
      </c>
      <c r="F32" s="22">
        <v>75351</v>
      </c>
      <c r="G32" s="36">
        <f t="shared" si="2"/>
        <v>74</v>
      </c>
      <c r="H32" s="22">
        <v>66671</v>
      </c>
      <c r="I32" s="36">
        <f t="shared" si="3"/>
        <v>49</v>
      </c>
      <c r="J32" s="22">
        <v>24333</v>
      </c>
      <c r="K32" s="36">
        <f t="shared" si="4"/>
        <v>17</v>
      </c>
      <c r="L32" s="22">
        <v>91004</v>
      </c>
      <c r="M32" s="36">
        <f t="shared" si="5"/>
        <v>66</v>
      </c>
      <c r="N32" s="22">
        <v>28106</v>
      </c>
      <c r="O32" s="36">
        <f t="shared" si="6"/>
        <v>18</v>
      </c>
      <c r="P32" s="22">
        <v>10006</v>
      </c>
      <c r="Q32" s="36">
        <f t="shared" si="7"/>
        <v>8</v>
      </c>
      <c r="R32" s="22">
        <v>38182</v>
      </c>
      <c r="S32" s="36">
        <f t="shared" si="8"/>
        <v>25</v>
      </c>
      <c r="T32" s="22">
        <v>63490</v>
      </c>
      <c r="U32" s="22">
        <v>0</v>
      </c>
      <c r="V32" s="33">
        <f>IF((T32-T31+U32-U31&lt;0), "0",T32-T31+U32-U31)</f>
        <v>180</v>
      </c>
      <c r="W32" s="22" t="s">
        <v>49</v>
      </c>
      <c r="X32" s="40">
        <v>327389</v>
      </c>
      <c r="Y32" s="37">
        <f t="shared" si="9"/>
        <v>1448</v>
      </c>
      <c r="Z32" s="22">
        <v>87</v>
      </c>
    </row>
    <row r="33" spans="1:26" ht="20.100000000000001" customHeight="1" x14ac:dyDescent="0.25">
      <c r="A33" s="22">
        <v>30</v>
      </c>
      <c r="B33" s="22">
        <v>1577048</v>
      </c>
      <c r="C33" s="36">
        <f t="shared" si="0"/>
        <v>1638</v>
      </c>
      <c r="D33" s="22">
        <v>28926</v>
      </c>
      <c r="E33" s="36">
        <f t="shared" si="1"/>
        <v>34</v>
      </c>
      <c r="F33" s="22">
        <v>75410</v>
      </c>
      <c r="G33" s="36">
        <f t="shared" si="2"/>
        <v>59</v>
      </c>
      <c r="H33" s="22">
        <v>66710</v>
      </c>
      <c r="I33" s="36">
        <f t="shared" si="3"/>
        <v>39</v>
      </c>
      <c r="J33" s="22">
        <v>24350</v>
      </c>
      <c r="K33" s="36">
        <f t="shared" si="4"/>
        <v>17</v>
      </c>
      <c r="L33" s="22">
        <v>91061</v>
      </c>
      <c r="M33" s="36">
        <f t="shared" si="5"/>
        <v>57</v>
      </c>
      <c r="N33" s="22">
        <v>28123</v>
      </c>
      <c r="O33" s="36">
        <f t="shared" si="6"/>
        <v>17</v>
      </c>
      <c r="P33" s="22">
        <v>10014</v>
      </c>
      <c r="Q33" s="36">
        <f t="shared" si="7"/>
        <v>8</v>
      </c>
      <c r="R33" s="22">
        <v>38207</v>
      </c>
      <c r="S33" s="36">
        <f t="shared" si="8"/>
        <v>25</v>
      </c>
      <c r="T33" s="22">
        <v>63650</v>
      </c>
      <c r="U33" s="22">
        <v>0</v>
      </c>
      <c r="V33" s="33">
        <f>IF((T33-T32+U33-U32&lt;0), "0",T33-T32+U33-U32)</f>
        <v>160</v>
      </c>
      <c r="W33" s="22" t="s">
        <v>49</v>
      </c>
      <c r="X33" s="40">
        <v>328793</v>
      </c>
      <c r="Y33" s="37">
        <f t="shared" si="9"/>
        <v>1404</v>
      </c>
      <c r="Z33" s="22">
        <v>70</v>
      </c>
    </row>
    <row r="34" spans="1:26" x14ac:dyDescent="0.25">
      <c r="A34" s="22">
        <v>31</v>
      </c>
      <c r="B34" s="22">
        <v>1578829</v>
      </c>
      <c r="C34" s="36">
        <f t="shared" si="0"/>
        <v>1781</v>
      </c>
      <c r="D34" s="22">
        <v>28961</v>
      </c>
      <c r="E34" s="36">
        <f t="shared" si="1"/>
        <v>35</v>
      </c>
      <c r="F34" s="22">
        <v>75485</v>
      </c>
      <c r="G34" s="36">
        <f t="shared" si="2"/>
        <v>75</v>
      </c>
      <c r="H34" s="22">
        <v>66758</v>
      </c>
      <c r="I34" s="36">
        <f t="shared" si="3"/>
        <v>48</v>
      </c>
      <c r="J34" s="22">
        <v>24366</v>
      </c>
      <c r="K34" s="36">
        <f t="shared" si="4"/>
        <v>16</v>
      </c>
      <c r="L34" s="22">
        <v>91124</v>
      </c>
      <c r="M34" s="36">
        <f t="shared" si="5"/>
        <v>63</v>
      </c>
      <c r="N34" s="22">
        <v>28141</v>
      </c>
      <c r="O34" s="36">
        <f t="shared" si="6"/>
        <v>18</v>
      </c>
      <c r="P34" s="22">
        <v>10023</v>
      </c>
      <c r="Q34" s="36">
        <f t="shared" si="7"/>
        <v>9</v>
      </c>
      <c r="R34" s="22">
        <v>38234</v>
      </c>
      <c r="S34" s="36">
        <f t="shared" si="8"/>
        <v>27</v>
      </c>
      <c r="T34" s="22">
        <v>63820</v>
      </c>
      <c r="U34" s="22">
        <v>0</v>
      </c>
      <c r="V34" s="33">
        <f>IF((T34-T33+U34-U33&lt;0), "0",T34-T33+U34-U33)</f>
        <v>170</v>
      </c>
      <c r="W34" s="22" t="s">
        <v>52</v>
      </c>
      <c r="X34" s="40">
        <v>330220</v>
      </c>
      <c r="Y34" s="37">
        <f t="shared" si="9"/>
        <v>1427</v>
      </c>
      <c r="Z34" s="22">
        <v>67</v>
      </c>
    </row>
  </sheetData>
  <mergeCells count="10">
    <mergeCell ref="X1:Y1"/>
    <mergeCell ref="H1:M1"/>
    <mergeCell ref="N1:S1"/>
    <mergeCell ref="T1:U1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FSLTTS Daily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2020-02-07T10:47:10Z</dcterms:modified>
</cp:coreProperties>
</file>