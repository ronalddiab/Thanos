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2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<sst xmlns="http://schemas.openxmlformats.org/spreadsheetml/2006/main" count="313" uniqueCount="148">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</sst>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 t="e">
        <f>Submetering!E12+Submetering!F12+Submetering!G12+Submetering!H12+Submetering!J12-Submetering!AV12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 t="e">
        <f>'FS Desroches Daily'!CM14</f>
        <v>#VALUE!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 t="str">
        <f>'FS Desroches Daily'!BF13</f>
        <v/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 t="str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>
        <f>'FS Desroches Daily'!BF14</f>
        <v>0</v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11200.000000000098</v>
      </c>
      <c r="F33" s="17">
        <f t="shared" ref="F33:BC33" si="1">SUM(F2:F32)</f>
        <v>6200.0000000002046</v>
      </c>
      <c r="G33" s="17">
        <f t="shared" si="1"/>
        <v>14499.999999999956</v>
      </c>
      <c r="H33" s="17">
        <f t="shared" si="1"/>
        <v>8399.9999999999618</v>
      </c>
      <c r="I33" s="17">
        <f t="shared" si="1"/>
        <v>16500.000000000182</v>
      </c>
      <c r="J33" s="17">
        <f t="shared" si="1"/>
        <v>5600.0000000000491</v>
      </c>
      <c r="K33" s="17">
        <f t="shared" si="1"/>
        <v>7</v>
      </c>
      <c r="L33" s="17">
        <f t="shared" si="1"/>
        <v>49</v>
      </c>
      <c r="M33" s="17">
        <f t="shared" si="1"/>
        <v>1390</v>
      </c>
      <c r="N33" s="17">
        <f t="shared" si="1"/>
        <v>833.59999999997672</v>
      </c>
      <c r="O33" s="17">
        <f t="shared" si="1"/>
        <v>879.99999999999545</v>
      </c>
      <c r="P33" s="17">
        <f t="shared" si="1"/>
        <v>4499.9999999997262</v>
      </c>
      <c r="Q33" s="17">
        <f t="shared" si="1"/>
        <v>879.99999999999545</v>
      </c>
      <c r="R33" s="17">
        <f t="shared" si="1"/>
        <v>1420.0000000000159</v>
      </c>
      <c r="S33" s="17">
        <f t="shared" si="1"/>
        <v>2260.0000000000477</v>
      </c>
      <c r="T33" s="17">
        <f t="shared" si="1"/>
        <v>12.5</v>
      </c>
      <c r="U33" s="35">
        <f t="shared" si="1"/>
        <v>2379.9999999999955</v>
      </c>
      <c r="V33" s="35">
        <f t="shared" si="1"/>
        <v>1479.9999999999898</v>
      </c>
      <c r="W33" s="35">
        <f t="shared" si="1"/>
        <v>1289.999999999992</v>
      </c>
      <c r="X33" s="35">
        <f t="shared" si="1"/>
        <v>1409.9999999999966</v>
      </c>
      <c r="Y33" s="35">
        <f t="shared" si="1"/>
        <v>340.00000000000341</v>
      </c>
      <c r="Z33" s="35">
        <f t="shared" si="1"/>
        <v>359.9999999999568</v>
      </c>
      <c r="AA33" s="35">
        <f t="shared" si="1"/>
        <v>359.9999999999568</v>
      </c>
      <c r="AB33" s="35">
        <f t="shared" si="1"/>
        <v>300.00000000001137</v>
      </c>
      <c r="AC33" s="35">
        <f t="shared" si="1"/>
        <v>270.00000000003865</v>
      </c>
      <c r="AD33" s="35">
        <f t="shared" si="1"/>
        <v>259.99999999999091</v>
      </c>
      <c r="AE33" s="35">
        <f t="shared" si="1"/>
        <v>199.99999999998863</v>
      </c>
      <c r="AF33" s="17">
        <f t="shared" si="1"/>
        <v>249</v>
      </c>
      <c r="AG33" s="32">
        <f t="shared" si="1"/>
        <v>90.000000000003411</v>
      </c>
      <c r="AH33" s="32">
        <f t="shared" si="1"/>
        <v>109.9999999999568</v>
      </c>
      <c r="AI33" s="32">
        <f t="shared" si="1"/>
        <v>69.999999999993179</v>
      </c>
      <c r="AJ33" s="32">
        <f t="shared" si="1"/>
        <v>310.00000000000227</v>
      </c>
      <c r="AK33" s="32">
        <f t="shared" si="1"/>
        <v>219.99999999997044</v>
      </c>
      <c r="AL33" s="32">
        <f t="shared" si="1"/>
        <v>105</v>
      </c>
      <c r="AM33" s="32">
        <f t="shared" si="1"/>
        <v>189.99999999999773</v>
      </c>
      <c r="AN33" s="32">
        <f t="shared" si="1"/>
        <v>309</v>
      </c>
      <c r="AO33" s="32">
        <f t="shared" si="1"/>
        <v>250</v>
      </c>
      <c r="AP33" s="32">
        <f t="shared" si="1"/>
        <v>227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201.09999999999854</v>
      </c>
      <c r="AU33" s="17">
        <f t="shared" si="1"/>
        <v>1997</v>
      </c>
      <c r="AV33" s="17">
        <f t="shared" si="1"/>
        <v>3679.99999999995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45.787499999999994</v>
      </c>
      <c r="BC33" s="17">
        <f t="shared" si="1"/>
        <v>0</v>
      </c>
    </row>
    <row r="35" spans="5:55" x14ac:dyDescent="0.25">
      <c r="E35" s="38">
        <f>E33/E37</f>
        <v>0.30239213780441754</v>
      </c>
      <c r="G35" s="29">
        <f>G33-M36</f>
        <v>12276.39999999998</v>
      </c>
      <c r="AE35" s="35">
        <f>SUM(U33:AE33)</f>
        <v>8649.99999999992</v>
      </c>
      <c r="AG35" s="32">
        <f>SUM(AG33:AP33)</f>
        <v>1880.9999999999238</v>
      </c>
    </row>
    <row r="36" spans="5:55" x14ac:dyDescent="0.25">
      <c r="G36" s="29">
        <f>G35-633*14</f>
        <v>3414.3999999999796</v>
      </c>
      <c r="M36" s="29">
        <f>M33+N33</f>
        <v>2223.5999999999767</v>
      </c>
    </row>
    <row r="37" spans="5:55" x14ac:dyDescent="0.25">
      <c r="E37" s="17">
        <f>E33+F33+G33+H33+J33-633*14</f>
        <v>37038.000000000269</v>
      </c>
      <c r="G37" s="37">
        <f>M36/E37</f>
        <v>6.0035639073383024E-2</v>
      </c>
      <c r="M37" s="35">
        <f>AE35</f>
        <v>8649.99999999992</v>
      </c>
    </row>
    <row r="38" spans="5:55" x14ac:dyDescent="0.25">
      <c r="L38" s="27">
        <f>M38/E37</f>
        <v>5.0785679572328692E-2</v>
      </c>
      <c r="M38" s="29">
        <f>AG35</f>
        <v>1880.9999999999238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BZ1" zoomScale="80" zoomScaleNormal="80" workbookViewId="0">
      <pane ySplit="1" topLeftCell="A2" activePane="bottomLeft" state="frozen"/>
      <selection pane="bottomLeft" activeCell="CW13" sqref="CW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/>
      <c r="BF13" s="67" t="str">
        <f t="shared" si="39"/>
        <v/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/>
      <c r="D14" s="64" t="str">
        <f t="shared" si="0"/>
        <v>0</v>
      </c>
      <c r="E14" s="58"/>
      <c r="F14" s="64" t="str">
        <f t="shared" si="1"/>
        <v>0</v>
      </c>
      <c r="G14" s="58"/>
      <c r="H14" s="64" t="str">
        <f t="shared" si="2"/>
        <v>0</v>
      </c>
      <c r="I14" s="58"/>
      <c r="J14" s="64" t="str">
        <f t="shared" si="3"/>
        <v>0</v>
      </c>
      <c r="K14" s="58"/>
      <c r="L14" s="64" t="str">
        <f t="shared" si="4"/>
        <v>0</v>
      </c>
      <c r="M14" s="58"/>
      <c r="N14" s="64" t="str">
        <f t="shared" si="5"/>
        <v/>
      </c>
      <c r="O14" s="58"/>
      <c r="P14" s="67" t="str">
        <f t="shared" ref="P14:P34" si="44">IF((O14-O13&lt;0), "",O14-O13)</f>
        <v/>
      </c>
      <c r="Q14" s="58"/>
      <c r="R14" s="67" t="str">
        <f t="shared" si="6"/>
        <v/>
      </c>
      <c r="S14" s="58"/>
      <c r="T14" s="67" t="str">
        <f t="shared" si="7"/>
        <v/>
      </c>
      <c r="U14" s="58"/>
      <c r="V14" s="67" t="str">
        <f t="shared" si="8"/>
        <v/>
      </c>
      <c r="W14" s="58"/>
      <c r="X14" s="65" t="str">
        <f t="shared" si="9"/>
        <v/>
      </c>
      <c r="Y14" s="58"/>
      <c r="Z14" s="65" t="str">
        <f t="shared" si="10"/>
        <v/>
      </c>
      <c r="AA14" s="58"/>
      <c r="AB14" s="65" t="str">
        <f t="shared" si="11"/>
        <v/>
      </c>
      <c r="AC14" s="58"/>
      <c r="AD14" s="65" t="str">
        <f t="shared" si="12"/>
        <v/>
      </c>
      <c r="AE14" s="58"/>
      <c r="AF14" s="65" t="str">
        <f t="shared" si="13"/>
        <v/>
      </c>
      <c r="AG14" s="58"/>
      <c r="AH14" s="67" t="str">
        <f t="shared" si="14"/>
        <v/>
      </c>
      <c r="AI14" s="58"/>
      <c r="AJ14" s="65" t="str">
        <f t="shared" si="15"/>
        <v/>
      </c>
      <c r="AK14" s="58"/>
      <c r="AL14" s="65" t="str">
        <f t="shared" si="15"/>
        <v/>
      </c>
      <c r="AM14" s="58"/>
      <c r="AN14" s="65" t="str">
        <f t="shared" si="15"/>
        <v/>
      </c>
      <c r="AO14" s="58"/>
      <c r="AP14" s="65" t="str">
        <f t="shared" si="15"/>
        <v/>
      </c>
      <c r="AQ14" s="58"/>
      <c r="AR14" s="65" t="str">
        <f t="shared" si="16"/>
        <v/>
      </c>
      <c r="AS14" s="58"/>
      <c r="AT14" s="65" t="str">
        <f t="shared" si="17"/>
        <v/>
      </c>
      <c r="AU14" s="58"/>
      <c r="AV14" s="65" t="str">
        <f t="shared" si="18"/>
        <v/>
      </c>
      <c r="AW14" s="58"/>
      <c r="AX14" s="65" t="str">
        <f t="shared" si="19"/>
        <v/>
      </c>
      <c r="AY14" s="58"/>
      <c r="AZ14" s="65" t="str">
        <f t="shared" si="20"/>
        <v/>
      </c>
      <c r="BA14" s="58"/>
      <c r="BB14" s="65" t="str">
        <f t="shared" si="21"/>
        <v/>
      </c>
      <c r="BC14" s="58"/>
      <c r="BD14" s="65" t="str">
        <f t="shared" si="22"/>
        <v/>
      </c>
      <c r="BE14" s="59"/>
      <c r="BF14" s="67">
        <f t="shared" si="39"/>
        <v>0</v>
      </c>
      <c r="BG14" s="60"/>
      <c r="BH14" s="65" t="str">
        <f t="shared" si="23"/>
        <v/>
      </c>
      <c r="BI14" s="60"/>
      <c r="BJ14" s="65" t="str">
        <f t="shared" si="40"/>
        <v/>
      </c>
      <c r="BK14" s="60"/>
      <c r="BL14" s="65" t="str">
        <f t="shared" si="24"/>
        <v/>
      </c>
      <c r="BM14" s="60"/>
      <c r="BN14" s="65" t="str">
        <f t="shared" si="25"/>
        <v/>
      </c>
      <c r="BO14" s="60"/>
      <c r="BP14" s="65" t="str">
        <f t="shared" si="26"/>
        <v/>
      </c>
      <c r="BQ14" s="60"/>
      <c r="BR14" s="65" t="str">
        <f t="shared" si="27"/>
        <v/>
      </c>
      <c r="BS14" s="60"/>
      <c r="BT14" s="65" t="str">
        <f t="shared" si="42"/>
        <v/>
      </c>
      <c r="BU14" s="60"/>
      <c r="BV14" s="65" t="str">
        <f t="shared" si="29"/>
        <v/>
      </c>
      <c r="BW14" s="60"/>
      <c r="BX14" s="65" t="str">
        <f t="shared" si="30"/>
        <v/>
      </c>
      <c r="BY14" s="60"/>
      <c r="BZ14" s="67" t="str">
        <f t="shared" si="31"/>
        <v/>
      </c>
      <c r="CA14" s="60"/>
      <c r="CB14" s="67" t="str">
        <f t="shared" si="32"/>
        <v/>
      </c>
      <c r="CC14" s="60"/>
      <c r="CD14" s="67" t="str">
        <f t="shared" si="33"/>
        <v/>
      </c>
      <c r="CE14" s="60"/>
      <c r="CF14" s="67" t="str">
        <f t="shared" si="34"/>
        <v/>
      </c>
      <c r="CG14" s="60"/>
      <c r="CH14" s="67" t="str">
        <f t="shared" si="35"/>
        <v/>
      </c>
      <c r="CI14" s="60"/>
      <c r="CJ14" s="67" t="str">
        <f t="shared" si="36"/>
        <v/>
      </c>
      <c r="CK14" s="60"/>
      <c r="CL14" s="64" t="str">
        <f t="shared" si="37"/>
        <v/>
      </c>
      <c r="CM14" s="65" t="e">
        <f t="shared" si="41"/>
        <v>#VALUE!</v>
      </c>
      <c r="CN14" s="62">
        <v>0</v>
      </c>
      <c r="CO14" s="62">
        <v>0</v>
      </c>
      <c r="CP14" s="68"/>
      <c r="CQ14" s="67" t="str">
        <f t="shared" si="38"/>
        <v/>
      </c>
      <c r="CR14" s="68"/>
      <c r="CS14" s="67" t="str">
        <f t="shared" si="38"/>
        <v/>
      </c>
      <c r="CT14" s="75"/>
      <c r="CU14" s="67" t="str">
        <f t="shared" si="38"/>
        <v/>
      </c>
      <c r="CV14" s="68"/>
      <c r="CW14" s="67" t="str">
        <f t="shared" si="38"/>
        <v/>
      </c>
    </row>
    <row r="15" spans="1:102" ht="25.5" customHeight="1" thickBot="1" x14ac:dyDescent="0.45">
      <c r="A15" s="63">
        <v>44116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44117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44118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44119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44120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44121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44122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44123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44124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2" zoomScaleNormal="100" workbookViewId="0">
      <selection activeCell="S18" sqref="S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-196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2020-10-11T06:04:02Z</dcterms:modified>
</cp:coreProperties>
</file>