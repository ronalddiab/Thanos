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<sst xmlns="http://schemas.openxmlformats.org/spreadsheetml/2006/main" count="313" uniqueCount="148">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</sst>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503.66249999999997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 t="e">
        <f>Submetering!E6+Submetering!F6+Submetering!G6+Submetering!H6+Submetering!J6-Submetering!AV6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 t="e">
        <f>'FS Desroches Daily'!CM8</f>
        <v>#VALUE!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 t="str">
        <f>'FS Desroches Daily'!X8</f>
        <v/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499.99949999999995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 t="str">
        <f>IF(LPG!F13-LPG!F12&lt;0,"0",(LPG!F13-LPG!F12)*1.8315)</f>
        <v>0</v>
      </c>
      <c r="AY6" s="31" t="str">
        <f>IF(LPG!H13-LPG!H12&lt;0,"0",(LPG!H13-LPG!H12)*1.8315)</f>
        <v>0</v>
      </c>
      <c r="AZ6" s="31">
        <v>0</v>
      </c>
      <c r="BA6" s="31" t="str">
        <f>IF(LPG!M13-LPG!M12&lt;0,"0",(LPG!M13-LPG!M12)*1.8315)</f>
        <v>0</v>
      </c>
      <c r="BB6" s="31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8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6499.99999999995</v>
      </c>
      <c r="F33" s="17">
        <f t="shared" ref="F33:BC33" si="1">SUM(F2:F32)</f>
        <v>2199.9999999997581</v>
      </c>
      <c r="G33" s="17">
        <f t="shared" si="1"/>
        <v>6599.9999999997171</v>
      </c>
      <c r="H33" s="17">
        <f t="shared" si="1"/>
        <v>3099.9999999998809</v>
      </c>
      <c r="I33" s="17">
        <f t="shared" si="1"/>
        <v>6000.0000000002274</v>
      </c>
      <c r="J33" s="17">
        <f t="shared" si="1"/>
        <v>1600.0000000000457</v>
      </c>
      <c r="K33" s="17">
        <f t="shared" si="1"/>
        <v>5</v>
      </c>
      <c r="L33" s="17">
        <f t="shared" si="1"/>
        <v>8</v>
      </c>
      <c r="M33" s="17">
        <f t="shared" si="1"/>
        <v>1288.2000000000698</v>
      </c>
      <c r="N33" s="17">
        <f t="shared" si="1"/>
        <v>543.5</v>
      </c>
      <c r="O33" s="17">
        <f t="shared" si="1"/>
        <v>259.99999999999091</v>
      </c>
      <c r="P33" s="17">
        <f t="shared" si="1"/>
        <v>1399.9999999998456</v>
      </c>
      <c r="Q33" s="17">
        <f t="shared" si="1"/>
        <v>250</v>
      </c>
      <c r="R33" s="17">
        <f t="shared" si="1"/>
        <v>390.0000000000432</v>
      </c>
      <c r="S33" s="17">
        <f t="shared" si="1"/>
        <v>600.00000000002274</v>
      </c>
      <c r="T33" s="17">
        <f t="shared" si="1"/>
        <v>5</v>
      </c>
      <c r="U33" s="35">
        <f t="shared" si="1"/>
        <v>3699.9999999999886</v>
      </c>
      <c r="V33" s="35">
        <f t="shared" si="1"/>
        <v>759.99999999999091</v>
      </c>
      <c r="W33" s="35">
        <f t="shared" si="1"/>
        <v>269.99999999998181</v>
      </c>
      <c r="X33" s="35">
        <f t="shared" si="1"/>
        <v>299.99999999998295</v>
      </c>
      <c r="Y33" s="35">
        <f t="shared" si="1"/>
        <v>120.00000000000455</v>
      </c>
      <c r="Z33" s="35">
        <f t="shared" si="1"/>
        <v>89.999999999974989</v>
      </c>
      <c r="AA33" s="35">
        <f t="shared" si="1"/>
        <v>89.999999999974989</v>
      </c>
      <c r="AB33" s="35">
        <f t="shared" si="1"/>
        <v>69.999999999993179</v>
      </c>
      <c r="AC33" s="35">
        <f t="shared" si="1"/>
        <v>69.999999999993179</v>
      </c>
      <c r="AD33" s="35">
        <f t="shared" si="1"/>
        <v>69.999999999993179</v>
      </c>
      <c r="AE33" s="35">
        <f t="shared" si="1"/>
        <v>50.000000000011369</v>
      </c>
      <c r="AF33" s="17">
        <f t="shared" si="1"/>
        <v>79</v>
      </c>
      <c r="AG33" s="32">
        <f t="shared" si="1"/>
        <v>60.000000000002274</v>
      </c>
      <c r="AH33" s="32">
        <f t="shared" si="1"/>
        <v>50.000000000011369</v>
      </c>
      <c r="AI33" s="32">
        <f t="shared" si="1"/>
        <v>49.999999999982947</v>
      </c>
      <c r="AJ33" s="32">
        <f t="shared" si="1"/>
        <v>40.000000000020464</v>
      </c>
      <c r="AK33" s="32">
        <f t="shared" si="1"/>
        <v>69.999999999993179</v>
      </c>
      <c r="AL33" s="32">
        <f t="shared" si="1"/>
        <v>59</v>
      </c>
      <c r="AM33" s="32">
        <f t="shared" si="1"/>
        <v>49.999999999982947</v>
      </c>
      <c r="AN33" s="32">
        <f t="shared" si="1"/>
        <v>65</v>
      </c>
      <c r="AO33" s="32">
        <f t="shared" si="1"/>
        <v>39.999999999992042</v>
      </c>
      <c r="AP33" s="32">
        <f t="shared" si="1"/>
        <v>53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151.09999999999854</v>
      </c>
      <c r="AU33" s="17">
        <f t="shared" si="1"/>
        <v>764</v>
      </c>
      <c r="AV33" s="17">
        <f t="shared" si="1"/>
        <v>1669.9999999999591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20.1465</v>
      </c>
      <c r="BC33" s="17">
        <f t="shared" si="1"/>
        <v>16</v>
      </c>
    </row>
    <row r="35" spans="5:55" x14ac:dyDescent="0.25">
      <c r="E35" s="38">
        <f>E33/E37</f>
        <v>0.58358771772313955</v>
      </c>
      <c r="G35" s="29">
        <f>G33-M36</f>
        <v>4768.2999999996473</v>
      </c>
      <c r="AE35" s="35">
        <f>SUM(U33:AE33)</f>
        <v>5589.9999999998872</v>
      </c>
      <c r="AG35" s="32">
        <f>SUM(AG33:AP33)</f>
        <v>536.99999999998522</v>
      </c>
    </row>
    <row r="36" spans="5:55" x14ac:dyDescent="0.25">
      <c r="G36" s="29">
        <f>G35-633*14</f>
        <v>-4093.7000000003527</v>
      </c>
      <c r="M36" s="29">
        <f>M33+N33</f>
        <v>1831.7000000000698</v>
      </c>
    </row>
    <row r="37" spans="5:55" x14ac:dyDescent="0.25">
      <c r="E37" s="17">
        <f>E33+F33+G33+H33+J33-633*14</f>
        <v>11137.999999999352</v>
      </c>
      <c r="G37" s="37">
        <f>M36/E37</f>
        <v>0.16445501885438826</v>
      </c>
      <c r="M37" s="35">
        <f>AE35</f>
        <v>5589.9999999998872</v>
      </c>
    </row>
    <row r="38" spans="5:55" x14ac:dyDescent="0.25">
      <c r="L38" s="27">
        <f>M38/E37</f>
        <v>4.8213323756510724E-2</v>
      </c>
      <c r="M38" s="29">
        <f>AG35</f>
        <v>536.99999999998522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BG12" sqref="BG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/>
      <c r="D8" s="64" t="str">
        <f t="shared" si="0"/>
        <v>0</v>
      </c>
      <c r="E8" s="58"/>
      <c r="F8" s="64" t="str">
        <f t="shared" si="1"/>
        <v>0</v>
      </c>
      <c r="G8" s="58"/>
      <c r="H8" s="64" t="str">
        <f t="shared" si="2"/>
        <v>0</v>
      </c>
      <c r="I8" s="58"/>
      <c r="J8" s="64" t="str">
        <f t="shared" si="3"/>
        <v>0</v>
      </c>
      <c r="K8" s="58"/>
      <c r="L8" s="64" t="str">
        <f t="shared" si="4"/>
        <v>0</v>
      </c>
      <c r="M8" s="58"/>
      <c r="N8" s="64" t="str">
        <f t="shared" si="5"/>
        <v/>
      </c>
      <c r="O8" s="58"/>
      <c r="P8" s="67" t="str">
        <f t="shared" si="43"/>
        <v/>
      </c>
      <c r="Q8" s="58"/>
      <c r="R8" s="67" t="str">
        <f t="shared" si="6"/>
        <v/>
      </c>
      <c r="S8" s="58"/>
      <c r="T8" s="67" t="str">
        <f t="shared" si="7"/>
        <v/>
      </c>
      <c r="U8" s="58"/>
      <c r="V8" s="67" t="str">
        <f t="shared" si="8"/>
        <v/>
      </c>
      <c r="W8" s="58"/>
      <c r="X8" s="65" t="str">
        <f t="shared" si="9"/>
        <v/>
      </c>
      <c r="Y8" s="58"/>
      <c r="Z8" s="65" t="str">
        <f t="shared" si="10"/>
        <v/>
      </c>
      <c r="AA8" s="58"/>
      <c r="AB8" s="65" t="str">
        <f t="shared" si="11"/>
        <v/>
      </c>
      <c r="AC8" s="58"/>
      <c r="AD8" s="65" t="str">
        <f t="shared" si="12"/>
        <v/>
      </c>
      <c r="AE8" s="58"/>
      <c r="AF8" s="65" t="str">
        <f t="shared" si="13"/>
        <v/>
      </c>
      <c r="AG8" s="58"/>
      <c r="AH8" s="67" t="str">
        <f t="shared" si="14"/>
        <v/>
      </c>
      <c r="AI8" s="58"/>
      <c r="AJ8" s="65" t="str">
        <f t="shared" si="15"/>
        <v/>
      </c>
      <c r="AK8" s="58"/>
      <c r="AL8" s="65" t="str">
        <f t="shared" si="15"/>
        <v/>
      </c>
      <c r="AM8" s="58"/>
      <c r="AN8" s="65" t="str">
        <f t="shared" si="15"/>
        <v/>
      </c>
      <c r="AO8" s="58"/>
      <c r="AP8" s="65" t="str">
        <f t="shared" si="15"/>
        <v/>
      </c>
      <c r="AQ8" s="58"/>
      <c r="AR8" s="65" t="str">
        <f t="shared" si="16"/>
        <v/>
      </c>
      <c r="AS8" s="58"/>
      <c r="AT8" s="65" t="str">
        <f t="shared" si="17"/>
        <v/>
      </c>
      <c r="AU8" s="58"/>
      <c r="AV8" s="65" t="str">
        <f t="shared" si="18"/>
        <v/>
      </c>
      <c r="AW8" s="58"/>
      <c r="AX8" s="65" t="str">
        <f t="shared" si="19"/>
        <v/>
      </c>
      <c r="AY8" s="58"/>
      <c r="AZ8" s="65" t="str">
        <f t="shared" si="20"/>
        <v/>
      </c>
      <c r="BA8" s="58"/>
      <c r="BB8" s="65" t="str">
        <f t="shared" si="21"/>
        <v/>
      </c>
      <c r="BC8" s="58"/>
      <c r="BD8" s="65" t="str">
        <f t="shared" si="22"/>
        <v/>
      </c>
      <c r="BE8" s="59"/>
      <c r="BF8" s="67" t="str">
        <f t="shared" si="39"/>
        <v/>
      </c>
      <c r="BG8" s="60"/>
      <c r="BH8" s="65" t="str">
        <f t="shared" si="23"/>
        <v/>
      </c>
      <c r="BI8" s="60"/>
      <c r="BJ8" s="65" t="str">
        <f t="shared" si="40"/>
        <v/>
      </c>
      <c r="BK8" s="60"/>
      <c r="BL8" s="65" t="str">
        <f t="shared" si="24"/>
        <v/>
      </c>
      <c r="BM8" s="60"/>
      <c r="BN8" s="65" t="str">
        <f t="shared" si="25"/>
        <v/>
      </c>
      <c r="BO8" s="60"/>
      <c r="BP8" s="65" t="str">
        <f t="shared" si="26"/>
        <v/>
      </c>
      <c r="BQ8" s="60"/>
      <c r="BR8" s="65" t="str">
        <f t="shared" si="27"/>
        <v/>
      </c>
      <c r="BS8" s="60"/>
      <c r="BT8" s="65" t="str">
        <f t="shared" si="42"/>
        <v/>
      </c>
      <c r="BU8" s="60"/>
      <c r="BV8" s="65" t="str">
        <f t="shared" si="29"/>
        <v/>
      </c>
      <c r="BW8" s="60"/>
      <c r="BX8" s="65" t="str">
        <f t="shared" si="30"/>
        <v/>
      </c>
      <c r="BY8" s="60"/>
      <c r="BZ8" s="67" t="str">
        <f t="shared" si="31"/>
        <v/>
      </c>
      <c r="CA8" s="60"/>
      <c r="CB8" s="67" t="str">
        <f t="shared" si="32"/>
        <v/>
      </c>
      <c r="CC8" s="60"/>
      <c r="CD8" s="67" t="str">
        <f t="shared" si="33"/>
        <v/>
      </c>
      <c r="CE8" s="60"/>
      <c r="CF8" s="67" t="str">
        <f t="shared" si="34"/>
        <v/>
      </c>
      <c r="CG8" s="60"/>
      <c r="CH8" s="67" t="str">
        <f t="shared" si="35"/>
        <v/>
      </c>
      <c r="CI8" s="60"/>
      <c r="CJ8" s="67" t="str">
        <f t="shared" si="36"/>
        <v/>
      </c>
      <c r="CK8" s="60"/>
      <c r="CL8" s="64" t="str">
        <f t="shared" si="37"/>
        <v/>
      </c>
      <c r="CM8" s="65" t="e">
        <f t="shared" si="41"/>
        <v>#VALUE!</v>
      </c>
      <c r="CN8" s="62">
        <v>0</v>
      </c>
      <c r="CO8" s="62">
        <v>0</v>
      </c>
      <c r="CP8" s="68"/>
      <c r="CQ8" s="67" t="str">
        <f t="shared" si="38"/>
        <v/>
      </c>
      <c r="CR8" s="68"/>
      <c r="CS8" s="67" t="str">
        <f t="shared" si="38"/>
        <v/>
      </c>
      <c r="CT8" s="75"/>
      <c r="CU8" s="67" t="str">
        <f t="shared" si="38"/>
        <v/>
      </c>
      <c r="CV8" s="68"/>
      <c r="CW8" s="67" t="str">
        <f t="shared" si="38"/>
        <v/>
      </c>
    </row>
    <row r="9" spans="1:102" ht="25.5" customHeight="1" thickBot="1" x14ac:dyDescent="0.45">
      <c r="A9" s="63">
        <v>44080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44081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44082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8</v>
      </c>
      <c r="CN11" s="62">
        <v>0</v>
      </c>
      <c r="CO11" s="62">
        <v>0</v>
      </c>
      <c r="CP11" s="68"/>
      <c r="CQ11" s="67">
        <v>8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44083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44084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44085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44086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3" sqref="S1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-176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2020-09-05T12:34:22Z</dcterms:modified>
</cp:coreProperties>
</file>