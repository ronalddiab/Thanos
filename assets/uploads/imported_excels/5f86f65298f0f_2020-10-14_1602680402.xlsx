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<sst xmlns="http://schemas.openxmlformats.org/spreadsheetml/2006/main" count="313" uniqueCount="148">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</sst>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14599.999999999944</v>
      </c>
      <c r="F33" s="17">
        <f t="shared" ref="F33:BC33" si="1">SUM(F2:F32)</f>
        <v>8000.0000000000055</v>
      </c>
      <c r="G33" s="17">
        <f t="shared" si="1"/>
        <v>18499.99999999996</v>
      </c>
      <c r="H33" s="17">
        <f t="shared" si="1"/>
        <v>10999.999999999898</v>
      </c>
      <c r="I33" s="17">
        <f t="shared" si="1"/>
        <v>21300.000000000102</v>
      </c>
      <c r="J33" s="17">
        <f t="shared" si="1"/>
        <v>7100.0000000001064</v>
      </c>
      <c r="K33" s="17">
        <f t="shared" si="1"/>
        <v>8</v>
      </c>
      <c r="L33" s="17">
        <f t="shared" si="1"/>
        <v>64</v>
      </c>
      <c r="M33" s="17">
        <f t="shared" si="1"/>
        <v>1744</v>
      </c>
      <c r="N33" s="17">
        <f t="shared" si="1"/>
        <v>1067.7000000000116</v>
      </c>
      <c r="O33" s="17">
        <f t="shared" si="1"/>
        <v>1120.0000000000045</v>
      </c>
      <c r="P33" s="17">
        <f t="shared" si="1"/>
        <v>5700.0000000000391</v>
      </c>
      <c r="Q33" s="17">
        <f t="shared" si="1"/>
        <v>1139.9999999999864</v>
      </c>
      <c r="R33" s="17">
        <f t="shared" si="1"/>
        <v>1850.0000000000227</v>
      </c>
      <c r="S33" s="17">
        <f t="shared" si="1"/>
        <v>2780.0000000000296</v>
      </c>
      <c r="T33" s="17">
        <f t="shared" si="1"/>
        <v>15.799999999999955</v>
      </c>
      <c r="U33" s="35">
        <f t="shared" si="1"/>
        <v>3089.999999999975</v>
      </c>
      <c r="V33" s="35">
        <f t="shared" si="1"/>
        <v>1919.9999999999875</v>
      </c>
      <c r="W33" s="35">
        <f t="shared" si="1"/>
        <v>1717.2000000000023</v>
      </c>
      <c r="X33" s="35">
        <f t="shared" si="1"/>
        <v>1909.9999999999966</v>
      </c>
      <c r="Y33" s="35">
        <f t="shared" si="1"/>
        <v>450.00000000001705</v>
      </c>
      <c r="Z33" s="35">
        <f t="shared" si="1"/>
        <v>459.99999999997954</v>
      </c>
      <c r="AA33" s="35">
        <f t="shared" si="1"/>
        <v>459.99999999997954</v>
      </c>
      <c r="AB33" s="35">
        <f t="shared" si="1"/>
        <v>379.99999999999545</v>
      </c>
      <c r="AC33" s="35">
        <f t="shared" si="1"/>
        <v>350.00000000002274</v>
      </c>
      <c r="AD33" s="35">
        <f t="shared" si="1"/>
        <v>329.99999999998408</v>
      </c>
      <c r="AE33" s="35">
        <f t="shared" si="1"/>
        <v>269.99999999998181</v>
      </c>
      <c r="AF33" s="17">
        <f t="shared" si="1"/>
        <v>341</v>
      </c>
      <c r="AG33" s="32">
        <f t="shared" si="1"/>
        <v>150.00000000000568</v>
      </c>
      <c r="AH33" s="32">
        <f t="shared" si="1"/>
        <v>149.99999999997726</v>
      </c>
      <c r="AI33" s="32">
        <f t="shared" si="1"/>
        <v>69.999999999993179</v>
      </c>
      <c r="AJ33" s="32">
        <f t="shared" si="1"/>
        <v>409.99999999999659</v>
      </c>
      <c r="AK33" s="32">
        <f t="shared" si="1"/>
        <v>289.99999999996362</v>
      </c>
      <c r="AL33" s="32">
        <f t="shared" si="1"/>
        <v>127</v>
      </c>
      <c r="AM33" s="32">
        <f t="shared" si="1"/>
        <v>219.99999999999886</v>
      </c>
      <c r="AN33" s="32">
        <f t="shared" si="1"/>
        <v>425</v>
      </c>
      <c r="AO33" s="32">
        <f t="shared" si="1"/>
        <v>319.99999999999318</v>
      </c>
      <c r="AP33" s="32">
        <f t="shared" si="1"/>
        <v>287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255.20000000000437</v>
      </c>
      <c r="AU33" s="17">
        <f t="shared" si="1"/>
        <v>2587</v>
      </c>
      <c r="AV33" s="17">
        <f t="shared" si="1"/>
        <v>4700.0000000000455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64.102499999999992</v>
      </c>
      <c r="BC33" s="17">
        <f t="shared" si="1"/>
        <v>0</v>
      </c>
    </row>
    <row r="35" spans="5:55" x14ac:dyDescent="0.25">
      <c r="E35" s="38">
        <f>E33/E37</f>
        <v>0.29003933410147337</v>
      </c>
      <c r="G35" s="29">
        <f>G33-M36</f>
        <v>15688.299999999948</v>
      </c>
      <c r="AE35" s="35">
        <f>SUM(U33:AE33)</f>
        <v>11337.199999999923</v>
      </c>
      <c r="AG35" s="32">
        <f>SUM(AG33:AP33)</f>
        <v>2448.9999999999281</v>
      </c>
    </row>
    <row r="36" spans="5:55" x14ac:dyDescent="0.25">
      <c r="G36" s="29">
        <f>G35-633*14</f>
        <v>6826.2999999999483</v>
      </c>
      <c r="M36" s="29">
        <f>M33+N33</f>
        <v>2811.7000000000116</v>
      </c>
    </row>
    <row r="37" spans="5:55" x14ac:dyDescent="0.25">
      <c r="E37" s="17">
        <f>E33+F33+G33+H33+J33-633*14</f>
        <v>50337.99999999992</v>
      </c>
      <c r="G37" s="37">
        <f>M36/E37</f>
        <v>5.5856410663912275E-2</v>
      </c>
      <c r="M37" s="35">
        <f>AE35</f>
        <v>11337.199999999923</v>
      </c>
    </row>
    <row r="38" spans="5:55" x14ac:dyDescent="0.25">
      <c r="L38" s="27">
        <f>M38/E37</f>
        <v>4.8651118439348641E-2</v>
      </c>
      <c r="M38" s="29">
        <f>AG35</f>
        <v>2448.9999999999281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BH23" sqref="BH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/>
      <c r="D17" s="64" t="str">
        <f t="shared" si="0"/>
        <v>0</v>
      </c>
      <c r="E17" s="58"/>
      <c r="F17" s="64" t="str">
        <f t="shared" si="1"/>
        <v>0</v>
      </c>
      <c r="G17" s="58"/>
      <c r="H17" s="64" t="str">
        <f t="shared" si="2"/>
        <v>0</v>
      </c>
      <c r="I17" s="58"/>
      <c r="J17" s="64" t="str">
        <f t="shared" si="3"/>
        <v>0</v>
      </c>
      <c r="K17" s="58"/>
      <c r="L17" s="64" t="str">
        <f t="shared" si="4"/>
        <v>0</v>
      </c>
      <c r="M17" s="58"/>
      <c r="N17" s="64" t="str">
        <f t="shared" si="5"/>
        <v/>
      </c>
      <c r="O17" s="58"/>
      <c r="P17" s="67" t="str">
        <f t="shared" si="44"/>
        <v/>
      </c>
      <c r="Q17" s="58"/>
      <c r="R17" s="67" t="str">
        <f t="shared" si="6"/>
        <v/>
      </c>
      <c r="S17" s="58"/>
      <c r="T17" s="67" t="str">
        <f t="shared" si="7"/>
        <v/>
      </c>
      <c r="U17" s="58"/>
      <c r="V17" s="67" t="str">
        <f t="shared" si="8"/>
        <v/>
      </c>
      <c r="W17" s="58"/>
      <c r="X17" s="65" t="str">
        <f t="shared" si="9"/>
        <v/>
      </c>
      <c r="Y17" s="58"/>
      <c r="Z17" s="65" t="str">
        <f t="shared" si="10"/>
        <v/>
      </c>
      <c r="AA17" s="58"/>
      <c r="AB17" s="65" t="str">
        <f t="shared" si="11"/>
        <v/>
      </c>
      <c r="AC17" s="58"/>
      <c r="AD17" s="65" t="str">
        <f t="shared" si="12"/>
        <v/>
      </c>
      <c r="AE17" s="58"/>
      <c r="AF17" s="65" t="str">
        <f t="shared" si="13"/>
        <v/>
      </c>
      <c r="AG17" s="58"/>
      <c r="AH17" s="67" t="str">
        <f t="shared" si="14"/>
        <v/>
      </c>
      <c r="AI17" s="58"/>
      <c r="AJ17" s="65" t="str">
        <f t="shared" si="15"/>
        <v/>
      </c>
      <c r="AK17" s="58"/>
      <c r="AL17" s="65" t="str">
        <f t="shared" si="15"/>
        <v/>
      </c>
      <c r="AM17" s="58"/>
      <c r="AN17" s="65" t="str">
        <f t="shared" si="15"/>
        <v/>
      </c>
      <c r="AO17" s="58"/>
      <c r="AP17" s="65" t="str">
        <f t="shared" si="15"/>
        <v/>
      </c>
      <c r="AQ17" s="58"/>
      <c r="AR17" s="65" t="str">
        <f t="shared" si="16"/>
        <v/>
      </c>
      <c r="AS17" s="58"/>
      <c r="AT17" s="65" t="str">
        <f t="shared" si="17"/>
        <v/>
      </c>
      <c r="AU17" s="58"/>
      <c r="AV17" s="65" t="str">
        <f t="shared" si="18"/>
        <v/>
      </c>
      <c r="AW17" s="58"/>
      <c r="AX17" s="65" t="str">
        <f t="shared" si="19"/>
        <v/>
      </c>
      <c r="AY17" s="58"/>
      <c r="AZ17" s="65" t="str">
        <f t="shared" si="20"/>
        <v/>
      </c>
      <c r="BA17" s="58"/>
      <c r="BB17" s="65" t="str">
        <f t="shared" si="21"/>
        <v/>
      </c>
      <c r="BC17" s="58"/>
      <c r="BD17" s="65" t="str">
        <f t="shared" si="22"/>
        <v/>
      </c>
      <c r="BE17" s="59"/>
      <c r="BF17" s="67" t="str">
        <f t="shared" si="39"/>
        <v/>
      </c>
      <c r="BG17" s="60"/>
      <c r="BH17" s="65" t="str">
        <f t="shared" si="23"/>
        <v/>
      </c>
      <c r="BI17" s="60"/>
      <c r="BJ17" s="65" t="str">
        <f t="shared" si="40"/>
        <v/>
      </c>
      <c r="BK17" s="60"/>
      <c r="BL17" s="65" t="str">
        <f t="shared" si="24"/>
        <v/>
      </c>
      <c r="BM17" s="60"/>
      <c r="BN17" s="65" t="str">
        <f t="shared" si="25"/>
        <v/>
      </c>
      <c r="BO17" s="60"/>
      <c r="BP17" s="65" t="str">
        <f t="shared" si="26"/>
        <v/>
      </c>
      <c r="BQ17" s="60"/>
      <c r="BR17" s="65" t="str">
        <f t="shared" si="27"/>
        <v/>
      </c>
      <c r="BS17" s="60"/>
      <c r="BT17" s="65" t="str">
        <f t="shared" si="42"/>
        <v/>
      </c>
      <c r="BU17" s="60"/>
      <c r="BV17" s="65" t="str">
        <f t="shared" si="29"/>
        <v/>
      </c>
      <c r="BW17" s="60"/>
      <c r="BX17" s="65" t="str">
        <f t="shared" si="30"/>
        <v/>
      </c>
      <c r="BY17" s="60"/>
      <c r="BZ17" s="67" t="str">
        <f t="shared" si="31"/>
        <v/>
      </c>
      <c r="CA17" s="60"/>
      <c r="CB17" s="67" t="str">
        <f t="shared" si="32"/>
        <v/>
      </c>
      <c r="CC17" s="60"/>
      <c r="CD17" s="67" t="str">
        <f t="shared" si="33"/>
        <v/>
      </c>
      <c r="CE17" s="60"/>
      <c r="CF17" s="67" t="str">
        <f t="shared" si="34"/>
        <v/>
      </c>
      <c r="CG17" s="60"/>
      <c r="CH17" s="67" t="str">
        <f t="shared" si="35"/>
        <v/>
      </c>
      <c r="CI17" s="60"/>
      <c r="CJ17" s="67" t="str">
        <f t="shared" si="36"/>
        <v/>
      </c>
      <c r="CK17" s="60"/>
      <c r="CL17" s="64" t="str">
        <f t="shared" si="37"/>
        <v/>
      </c>
      <c r="CM17" s="65" t="e">
        <f t="shared" si="41"/>
        <v>#VALUE!</v>
      </c>
      <c r="CN17" s="62">
        <v>0</v>
      </c>
      <c r="CO17" s="62">
        <v>0</v>
      </c>
      <c r="CP17" s="68"/>
      <c r="CQ17" s="67" t="str">
        <f t="shared" si="38"/>
        <v/>
      </c>
      <c r="CR17" s="68"/>
      <c r="CS17" s="67" t="str">
        <f t="shared" si="38"/>
        <v/>
      </c>
      <c r="CT17" s="75"/>
      <c r="CU17" s="67" t="str">
        <f t="shared" si="38"/>
        <v/>
      </c>
      <c r="CV17" s="68"/>
      <c r="CW17" s="67" t="str">
        <f t="shared" si="38"/>
        <v/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V23" sqref="V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-196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2020-10-14T12:57:10Z</dcterms:modified>
</cp:coreProperties>
</file>