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8" i="7" l="1"/>
  <c r="AV7" i="7" l="1"/>
  <c r="AW7" i="7" s="1"/>
  <c r="AV8" i="7"/>
  <c r="AV9" i="7" l="1"/>
  <c r="R27" i="9" l="1"/>
  <c r="R28" i="9"/>
  <c r="R29" i="9"/>
  <c r="R30" i="9"/>
  <c r="R31" i="9"/>
  <c r="R32" i="9"/>
  <c r="Q27" i="9"/>
  <c r="Q28" i="9"/>
  <c r="Q29" i="9"/>
  <c r="Q30" i="9"/>
  <c r="Q31" i="9"/>
  <c r="Q32" i="9"/>
  <c r="P27" i="9"/>
  <c r="P28" i="9"/>
  <c r="P29" i="9"/>
  <c r="P30" i="9"/>
  <c r="P31" i="9"/>
  <c r="P32" i="9"/>
  <c r="O27" i="9"/>
  <c r="O28" i="9"/>
  <c r="O29" i="9"/>
  <c r="O30" i="9"/>
  <c r="O31" i="9"/>
  <c r="O32" i="9"/>
  <c r="N27" i="9"/>
  <c r="N28" i="9"/>
  <c r="N29" i="9"/>
  <c r="N30" i="9"/>
  <c r="N31" i="9"/>
  <c r="M27" i="9"/>
  <c r="M28" i="9"/>
  <c r="M29" i="9"/>
  <c r="M30" i="9"/>
  <c r="M31" i="9"/>
  <c r="M32" i="9"/>
  <c r="L27" i="9"/>
  <c r="L28" i="9"/>
  <c r="L29" i="9"/>
  <c r="L30" i="9"/>
  <c r="L31" i="9"/>
  <c r="L32" i="9"/>
  <c r="K27" i="9"/>
  <c r="K28" i="9"/>
  <c r="K29" i="9"/>
  <c r="K30" i="9"/>
  <c r="K31" i="9"/>
  <c r="K32" i="9"/>
  <c r="J27" i="9"/>
  <c r="J28" i="9"/>
  <c r="J29" i="9"/>
  <c r="J30" i="9"/>
  <c r="J31" i="9"/>
  <c r="J32" i="9"/>
  <c r="I27" i="9"/>
  <c r="I28" i="9"/>
  <c r="I29" i="9"/>
  <c r="I30" i="9"/>
  <c r="I31" i="9"/>
  <c r="I32" i="9"/>
  <c r="H27" i="9"/>
  <c r="H28" i="9"/>
  <c r="H29" i="9"/>
  <c r="H30" i="9"/>
  <c r="H31" i="9"/>
  <c r="H32" i="9"/>
  <c r="G27" i="9"/>
  <c r="G28" i="9"/>
  <c r="G29" i="9"/>
  <c r="G30" i="9"/>
  <c r="G31" i="9"/>
  <c r="G32" i="9"/>
  <c r="F27" i="9"/>
  <c r="F28" i="9"/>
  <c r="F29" i="9"/>
  <c r="F30" i="9"/>
  <c r="F31" i="9"/>
  <c r="F32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AB33" i="7"/>
  <c r="AB36" i="7"/>
  <c r="AB37" i="7"/>
  <c r="AC31" i="7" l="1"/>
  <c r="Q26" i="9" s="1"/>
  <c r="AC32" i="7"/>
  <c r="AC33" i="7"/>
  <c r="AC34" i="7"/>
  <c r="AC35" i="7"/>
  <c r="AC36" i="7"/>
  <c r="AC37" i="7"/>
  <c r="I29" i="5" l="1"/>
  <c r="S29" i="9"/>
  <c r="Q35" i="7" l="1"/>
  <c r="Q34" i="7"/>
  <c r="Q31" i="7"/>
  <c r="E26" i="9" s="1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R2" i="9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1" i="7" l="1"/>
  <c r="R26" i="9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W26" i="7"/>
  <c r="R21" i="9"/>
  <c r="G21" i="5" s="1"/>
  <c r="R20" i="9"/>
  <c r="G20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S38" i="7"/>
  <c r="AO7" i="7"/>
  <c r="Z38" i="7"/>
  <c r="AR7" i="7"/>
  <c r="AC38" i="7"/>
  <c r="I2" i="9"/>
  <c r="U38" i="7"/>
  <c r="AP7" i="7"/>
  <c r="AA38" i="7"/>
  <c r="AL7" i="7"/>
  <c r="W38" i="7"/>
  <c r="AG7" i="7"/>
  <c r="R38" i="7"/>
  <c r="J2" i="9"/>
  <c r="V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Q38" i="7" l="1"/>
  <c r="AJ38" i="7"/>
  <c r="AK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<sst xmlns="http://schemas.openxmlformats.org/spreadsheetml/2006/main" count="129" uniqueCount="50">
  <si>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</si>
  <si>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</si>
  <si>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</si>
  <si>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</si>
  <si>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</si>
  <si>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</si>
  <si>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</si>
  <si>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</si>
  <si>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</si>
  <si>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</si>
  <si>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</si>
  <si>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</si>
  <si>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</si>
  <si>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</si>
  <si>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</si>
  <si>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</si>
  <si>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</si>
  <si>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</si>
  <si>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</si>
  <si>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</si>
  <si>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</si>
  <si>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</si>
  <si>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</si>
  <si>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</si>
  <si>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</si>
  <si>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</si>
  <si>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</si>
  <si>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</si>
  <si>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</si>
  <si>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</si>
  <si>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</si>
  <si>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</si>
  <si>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</si>
  <si>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</si>
  <si>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</si>
  <si>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</si>
  <si>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</si>
  <si>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</si>
  <si>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</si>
  <si>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</si>
  <si>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</si>
  <si>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</si>
  <si>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</si>
  <si>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</si>
  <si>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</si>
  <si>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</si>
  <si>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</si>
  <si>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</si>
  <si>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</si>
  <si>
    <t xml:space="preserve">340998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</si>
</sst>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65260</v>
      </c>
      <c r="F2" s="11">
        <v>5.0000000000000001E-3</v>
      </c>
      <c r="G2" s="12">
        <f>Submetering!R2</f>
        <v>710.89999799999998</v>
      </c>
      <c r="H2" s="11">
        <v>0.52800000000000002</v>
      </c>
      <c r="I2" s="12">
        <f>Hotel!B7</f>
        <v>70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54830</v>
      </c>
      <c r="F3" s="11">
        <v>5.0000000000000001E-3</v>
      </c>
      <c r="G3" s="12">
        <f>Submetering!R3</f>
        <v>688.56607900000006</v>
      </c>
      <c r="H3" s="11">
        <v>0.52800000000000002</v>
      </c>
      <c r="I3" s="12">
        <f>Hotel!B8</f>
        <v>84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63800</v>
      </c>
      <c r="F4" s="11">
        <v>5.0000000000000001E-3</v>
      </c>
      <c r="G4" s="12">
        <f>Submetering!R4</f>
        <v>948.62374599999998</v>
      </c>
      <c r="H4" s="11">
        <v>0.52800000000000002</v>
      </c>
      <c r="I4" s="12">
        <f>Hotel!B9</f>
        <v>106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64620</v>
      </c>
      <c r="F5" s="11">
        <v>5.0000000000000001E-3</v>
      </c>
      <c r="G5" s="12">
        <f>Submetering!R5</f>
        <v>874.05116899999996</v>
      </c>
      <c r="H5" s="11">
        <v>0.52800000000000002</v>
      </c>
      <c r="I5" s="12">
        <f>Hotel!B10</f>
        <v>156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66420</v>
      </c>
      <c r="F6" s="11">
        <v>5.0000000000000001E-3</v>
      </c>
      <c r="G6" s="12">
        <f>Submetering!R6</f>
        <v>795.69318199999998</v>
      </c>
      <c r="H6" s="11">
        <v>0.52800000000000002</v>
      </c>
      <c r="I6" s="12">
        <f>Hotel!B11</f>
        <v>149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61270</v>
      </c>
      <c r="F7" s="11">
        <v>5.0000000000000001E-3</v>
      </c>
      <c r="G7" s="12">
        <f>Submetering!R7</f>
        <v>818.40564199999994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64760</v>
      </c>
      <c r="F8" s="11">
        <v>5.0000000000000001E-3</v>
      </c>
      <c r="G8" s="12">
        <f>Submetering!R8</f>
        <v>788.50090299999999</v>
      </c>
      <c r="H8" s="11">
        <v>0.52800000000000002</v>
      </c>
      <c r="I8" s="12">
        <f>Hotel!B13</f>
        <v>54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58440</v>
      </c>
      <c r="F9" s="11">
        <v>5.0000000000000001E-3</v>
      </c>
      <c r="G9" s="12">
        <f>Submetering!R9</f>
        <v>667.36778300000003</v>
      </c>
      <c r="H9" s="11">
        <v>0.52800000000000002</v>
      </c>
      <c r="I9" s="12">
        <f>Hotel!B14</f>
        <v>46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56630</v>
      </c>
      <c r="F10" s="11">
        <v>5.0000000000000001E-3</v>
      </c>
      <c r="G10" s="12">
        <f>Submetering!R10</f>
        <v>769.19531199999994</v>
      </c>
      <c r="H10" s="11">
        <v>0.52800000000000002</v>
      </c>
      <c r="I10" s="12">
        <f>Hotel!B15</f>
        <v>44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53550</v>
      </c>
      <c r="F11" s="11">
        <v>5.0000000000000001E-3</v>
      </c>
      <c r="G11" s="12">
        <f>Submetering!R11</f>
        <v>859.28807000000006</v>
      </c>
      <c r="H11" s="11">
        <v>0.52800000000000002</v>
      </c>
      <c r="I11" s="12">
        <f>Hotel!B16</f>
        <v>66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56930</v>
      </c>
      <c r="F12" s="11">
        <v>5.0000000000000001E-3</v>
      </c>
      <c r="G12" s="12">
        <f>Submetering!R12</f>
        <v>741.56181900000001</v>
      </c>
      <c r="H12" s="11">
        <v>0.52800000000000002</v>
      </c>
      <c r="I12" s="12">
        <f>Hotel!B17</f>
        <v>160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61290</v>
      </c>
      <c r="F13" s="11">
        <v>5.0000000000000001E-3</v>
      </c>
      <c r="G13" s="12">
        <f>Submetering!R13</f>
        <v>840.73956099999998</v>
      </c>
      <c r="H13" s="11">
        <v>0.52800000000000002</v>
      </c>
      <c r="I13" s="12">
        <f>Hotel!B18</f>
        <v>160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51180</v>
      </c>
      <c r="F14" s="11">
        <v>5.0000000000000001E-3</v>
      </c>
      <c r="G14" s="12">
        <f>Submetering!R14</f>
        <v>734.36953999999992</v>
      </c>
      <c r="H14" s="11">
        <v>0.52800000000000002</v>
      </c>
      <c r="I14" s="12">
        <f>Hotel!B19</f>
        <v>90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54980</v>
      </c>
      <c r="F15" s="11">
        <v>5.0000000000000001E-3</v>
      </c>
      <c r="G15" s="12">
        <f>Submetering!R15</f>
        <v>836.5756100000001</v>
      </c>
      <c r="H15" s="11">
        <v>0.52800000000000002</v>
      </c>
      <c r="I15" s="12">
        <f>Hotel!B20</f>
        <v>60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53100</v>
      </c>
      <c r="F16" s="11">
        <v>5.0000000000000001E-3</v>
      </c>
      <c r="G16" s="12">
        <f>Submetering!R16</f>
        <v>686.67337399999997</v>
      </c>
      <c r="H16" s="11">
        <v>0.52800000000000002</v>
      </c>
      <c r="I16" s="12">
        <f>Hotel!B21</f>
        <v>61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53120</v>
      </c>
      <c r="F17" s="11">
        <v>5.0000000000000001E-3</v>
      </c>
      <c r="G17" s="12">
        <f>Submetering!R17</f>
        <v>765.03136099999995</v>
      </c>
      <c r="H17" s="11">
        <v>0.52800000000000002</v>
      </c>
      <c r="I17" s="12">
        <f>Hotel!B22</f>
        <v>65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53180</v>
      </c>
      <c r="F18" s="11">
        <v>5.0000000000000001E-3</v>
      </c>
      <c r="G18" s="12">
        <f>Submetering!R18</f>
        <v>773.35926299999994</v>
      </c>
      <c r="H18" s="11">
        <v>0.52800000000000002</v>
      </c>
      <c r="I18" s="12">
        <f>Hotel!B23</f>
        <v>82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55800</v>
      </c>
      <c r="F19" s="11">
        <v>5.0000000000000001E-3</v>
      </c>
      <c r="G19" s="12">
        <f>Submetering!R19</f>
        <v>768.05968899999993</v>
      </c>
      <c r="H19" s="11">
        <v>0.52800000000000002</v>
      </c>
      <c r="I19" s="12">
        <f>Hotel!B24</f>
        <v>145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55410</v>
      </c>
      <c r="F20" s="11">
        <v>5.0000000000000001E-3</v>
      </c>
      <c r="G20" s="12">
        <f>Submetering!R20</f>
        <v>698.02960399999995</v>
      </c>
      <c r="H20" s="11">
        <v>0.52800000000000002</v>
      </c>
      <c r="I20" s="12">
        <f>Hotel!B25</f>
        <v>154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59690</v>
      </c>
      <c r="F21" s="11">
        <v>5.0000000000000001E-3</v>
      </c>
      <c r="G21" s="12">
        <f>Submetering!R21</f>
        <v>805.15670699999987</v>
      </c>
      <c r="H21" s="11">
        <v>0.52800000000000002</v>
      </c>
      <c r="I21" s="12">
        <f>Hotel!B26</f>
        <v>95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62130</v>
      </c>
      <c r="F22" s="11">
        <v>5.0000000000000001E-3</v>
      </c>
      <c r="G22" s="12">
        <f>Submetering!R22</f>
        <v>829.00478999999996</v>
      </c>
      <c r="H22" s="11">
        <v>0.52800000000000002</v>
      </c>
      <c r="I22" s="12">
        <f>Hotel!B27</f>
        <v>91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62130</v>
      </c>
      <c r="F23" s="11">
        <v>5.0000000000000001E-3</v>
      </c>
      <c r="G23" s="12">
        <f>Submetering!R23</f>
        <v>739.29057299999999</v>
      </c>
      <c r="H23" s="11">
        <v>0.52800000000000002</v>
      </c>
      <c r="I23" s="12">
        <f>Hotel!B28</f>
        <v>93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61590</v>
      </c>
      <c r="F24" s="11">
        <v>5.0000000000000001E-3</v>
      </c>
      <c r="G24" s="12">
        <f>Submetering!R24</f>
        <v>735.126622</v>
      </c>
      <c r="H24" s="11">
        <v>0.52800000000000002</v>
      </c>
      <c r="I24" s="12">
        <f>Hotel!B29</f>
        <v>111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60160</v>
      </c>
      <c r="F25" s="11">
        <v>5.0000000000000001E-3</v>
      </c>
      <c r="G25" s="12">
        <f>Submetering!R25</f>
        <v>765.40990199999999</v>
      </c>
      <c r="H25" s="11">
        <v>0.52800000000000002</v>
      </c>
      <c r="I25" s="12">
        <f>Hotel!B30</f>
        <v>120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11</v>
      </c>
      <c r="D2" s="11">
        <v>2021</v>
      </c>
      <c r="E2" s="4">
        <f>Hotel!Q7</f>
        <v>9580</v>
      </c>
      <c r="F2" s="4">
        <f>Hotel!R7</f>
        <v>3610</v>
      </c>
      <c r="G2" s="4">
        <f>Hotel!S7</f>
        <v>1530</v>
      </c>
      <c r="H2" s="4">
        <f>Hotel!T7</f>
        <v>4830</v>
      </c>
      <c r="I2" s="4">
        <f>Hotel!U7</f>
        <v>4280</v>
      </c>
      <c r="J2" s="4">
        <f>Hotel!V7</f>
        <v>4030</v>
      </c>
      <c r="K2" s="4">
        <f>Hotel!W7</f>
        <v>2400</v>
      </c>
      <c r="L2" s="4">
        <f>Hotel!X7</f>
        <v>4600</v>
      </c>
      <c r="M2" s="4">
        <f>Hotel!Y7</f>
        <v>6400</v>
      </c>
      <c r="N2" s="4">
        <f>Hotel!Z7</f>
        <v>2700</v>
      </c>
      <c r="O2" s="4">
        <f>Hotel!AA7</f>
        <v>3260</v>
      </c>
      <c r="P2" s="4">
        <f>Hotel!AB7</f>
        <v>7450</v>
      </c>
      <c r="Q2" s="4">
        <f>Hotel!AC7</f>
        <v>10590</v>
      </c>
      <c r="R2" s="4">
        <f>Hotel!AV7*0.00378541*100</f>
        <v>710.89999799999998</v>
      </c>
      <c r="S2" s="4">
        <f>Hotel!B7</f>
        <v>70</v>
      </c>
    </row>
    <row r="3" spans="1:19" x14ac:dyDescent="0.25">
      <c r="A3" s="21" t="s">
        <v>31</v>
      </c>
      <c r="B3" s="2">
        <f>B2+1</f>
        <v>2</v>
      </c>
      <c r="C3" s="3">
        <v>11</v>
      </c>
      <c r="D3" s="11">
        <v>2021</v>
      </c>
      <c r="E3" s="4">
        <f>Hotel!Q8</f>
        <v>8790</v>
      </c>
      <c r="F3" s="4">
        <f>Hotel!R8</f>
        <v>3610</v>
      </c>
      <c r="G3" s="4">
        <f>Hotel!S8</f>
        <v>110</v>
      </c>
      <c r="H3" s="4">
        <f>Hotel!T8</f>
        <v>3190</v>
      </c>
      <c r="I3" s="4">
        <f>Hotel!U8</f>
        <v>4170</v>
      </c>
      <c r="J3" s="4">
        <f>Hotel!V8</f>
        <v>4010</v>
      </c>
      <c r="K3" s="4">
        <f>Hotel!W8</f>
        <v>2440</v>
      </c>
      <c r="L3" s="4">
        <f>Hotel!X8</f>
        <v>4200</v>
      </c>
      <c r="M3" s="4">
        <f>Hotel!Y8</f>
        <v>4690</v>
      </c>
      <c r="N3" s="4">
        <f>Hotel!Z8</f>
        <v>2230</v>
      </c>
      <c r="O3" s="4">
        <f>Hotel!AA8</f>
        <v>2600</v>
      </c>
      <c r="P3" s="4">
        <f>Hotel!AB8</f>
        <v>6040</v>
      </c>
      <c r="Q3" s="4">
        <f>Hotel!AC8</f>
        <v>8750</v>
      </c>
      <c r="R3" s="4">
        <f>Hotel!AV8*0.00378541*100</f>
        <v>688.56607900000006</v>
      </c>
      <c r="S3" s="4">
        <f>Hotel!B8</f>
        <v>84</v>
      </c>
    </row>
    <row r="4" spans="1:19" x14ac:dyDescent="0.25">
      <c r="A4" s="21" t="s">
        <v>31</v>
      </c>
      <c r="B4" s="2">
        <f t="shared" ref="B4:B29" si="0">B3+1</f>
        <v>3</v>
      </c>
      <c r="C4" s="3">
        <v>11</v>
      </c>
      <c r="D4" s="11">
        <v>2021</v>
      </c>
      <c r="E4" s="4">
        <f>Hotel!Q9</f>
        <v>14200</v>
      </c>
      <c r="F4" s="4">
        <f>Hotel!R9</f>
        <v>3670</v>
      </c>
      <c r="G4" s="4">
        <f>Hotel!S9</f>
        <v>40</v>
      </c>
      <c r="H4" s="4">
        <f>Hotel!T9</f>
        <v>1670</v>
      </c>
      <c r="I4" s="4">
        <f>Hotel!U9</f>
        <v>4360</v>
      </c>
      <c r="J4" s="4">
        <f>Hotel!V9</f>
        <v>4000</v>
      </c>
      <c r="K4" s="4">
        <f>Hotel!W9</f>
        <v>2530</v>
      </c>
      <c r="L4" s="4">
        <f>Hotel!X9</f>
        <v>4830</v>
      </c>
      <c r="M4" s="4">
        <f>Hotel!Y9</f>
        <v>5260</v>
      </c>
      <c r="N4" s="4">
        <f>Hotel!Z9</f>
        <v>2710</v>
      </c>
      <c r="O4" s="4">
        <f>Hotel!AA9</f>
        <v>3060</v>
      </c>
      <c r="P4" s="4">
        <f>Hotel!AB9</f>
        <v>7060</v>
      </c>
      <c r="Q4" s="4">
        <f>Hotel!AC9</f>
        <v>10410</v>
      </c>
      <c r="R4" s="4">
        <f>Hotel!AV9*0.00378541*100</f>
        <v>948.62374599999998</v>
      </c>
      <c r="S4" s="4">
        <f>Hotel!B9</f>
        <v>106</v>
      </c>
    </row>
    <row r="5" spans="1:19" x14ac:dyDescent="0.25">
      <c r="A5" s="21" t="s">
        <v>31</v>
      </c>
      <c r="B5" s="2">
        <f t="shared" si="0"/>
        <v>4</v>
      </c>
      <c r="C5" s="3">
        <v>11</v>
      </c>
      <c r="D5" s="11">
        <v>2021</v>
      </c>
      <c r="E5" s="4">
        <f>Hotel!Q10</f>
        <v>13950</v>
      </c>
      <c r="F5" s="4">
        <f>Hotel!R10</f>
        <v>3650</v>
      </c>
      <c r="G5" s="4">
        <f>Hotel!S10</f>
        <v>80</v>
      </c>
      <c r="H5" s="4">
        <f>Hotel!T10</f>
        <v>1680</v>
      </c>
      <c r="I5" s="4">
        <f>Hotel!U10</f>
        <v>4600</v>
      </c>
      <c r="J5" s="4">
        <f>Hotel!V10</f>
        <v>4080</v>
      </c>
      <c r="K5" s="4">
        <f>Hotel!W10</f>
        <v>2470</v>
      </c>
      <c r="L5" s="4">
        <f>Hotel!X10</f>
        <v>4710</v>
      </c>
      <c r="M5" s="4">
        <f>Hotel!Y10</f>
        <v>5650</v>
      </c>
      <c r="N5" s="4">
        <f>Hotel!Z10</f>
        <v>2710</v>
      </c>
      <c r="O5" s="4">
        <f>Hotel!AA10</f>
        <v>3300</v>
      </c>
      <c r="P5" s="4">
        <f>Hotel!AB10</f>
        <v>7330</v>
      </c>
      <c r="Q5" s="4">
        <f>Hotel!AC10</f>
        <v>10410</v>
      </c>
      <c r="R5" s="4">
        <f>Hotel!AV10*0.00378541*100</f>
        <v>874.05116899999996</v>
      </c>
      <c r="S5" s="4">
        <f>Hotel!B10</f>
        <v>156</v>
      </c>
    </row>
    <row r="6" spans="1:19" x14ac:dyDescent="0.25">
      <c r="A6" s="21" t="s">
        <v>31</v>
      </c>
      <c r="B6" s="2">
        <f t="shared" si="0"/>
        <v>5</v>
      </c>
      <c r="C6" s="3">
        <v>11</v>
      </c>
      <c r="D6" s="11">
        <v>2021</v>
      </c>
      <c r="E6" s="4">
        <f>Hotel!Q11</f>
        <v>13290</v>
      </c>
      <c r="F6" s="4">
        <f>Hotel!R11</f>
        <v>3680</v>
      </c>
      <c r="G6" s="4">
        <f>Hotel!S11</f>
        <v>80</v>
      </c>
      <c r="H6" s="4">
        <f>Hotel!T11</f>
        <v>1680</v>
      </c>
      <c r="I6" s="4">
        <f>Hotel!U11</f>
        <v>4600</v>
      </c>
      <c r="J6" s="4">
        <f>Hotel!V11</f>
        <v>4170</v>
      </c>
      <c r="K6" s="4">
        <f>Hotel!W11</f>
        <v>2490</v>
      </c>
      <c r="L6" s="4">
        <f>Hotel!X11</f>
        <v>4820</v>
      </c>
      <c r="M6" s="4">
        <f>Hotel!Y11</f>
        <v>6060</v>
      </c>
      <c r="N6" s="4">
        <f>Hotel!Z11</f>
        <v>2780</v>
      </c>
      <c r="O6" s="4">
        <f>Hotel!AA11</f>
        <v>3280</v>
      </c>
      <c r="P6" s="4">
        <f>Hotel!AB11</f>
        <v>7290</v>
      </c>
      <c r="Q6" s="4">
        <f>Hotel!AC11</f>
        <v>12200</v>
      </c>
      <c r="R6" s="4">
        <f>Hotel!AV11*0.00378541*100</f>
        <v>795.69318199999998</v>
      </c>
      <c r="S6" s="4">
        <f>Hotel!B11</f>
        <v>149</v>
      </c>
    </row>
    <row r="7" spans="1:19" x14ac:dyDescent="0.25">
      <c r="A7" s="21" t="s">
        <v>31</v>
      </c>
      <c r="B7" s="2">
        <f t="shared" si="0"/>
        <v>6</v>
      </c>
      <c r="C7" s="3">
        <v>11</v>
      </c>
      <c r="D7" s="11">
        <v>2021</v>
      </c>
      <c r="E7" s="4">
        <f>Hotel!Q12</f>
        <v>12480</v>
      </c>
      <c r="F7" s="4">
        <f>Hotel!R12</f>
        <v>3530</v>
      </c>
      <c r="G7" s="4">
        <f>Hotel!S12</f>
        <v>70</v>
      </c>
      <c r="H7" s="4">
        <f>Hotel!T12</f>
        <v>1600</v>
      </c>
      <c r="I7" s="4">
        <f>Hotel!U12</f>
        <v>4450</v>
      </c>
      <c r="J7" s="4">
        <f>Hotel!V12</f>
        <v>4020</v>
      </c>
      <c r="K7" s="4">
        <f>Hotel!W12</f>
        <v>2370</v>
      </c>
      <c r="L7" s="4">
        <f>Hotel!X12</f>
        <v>4530</v>
      </c>
      <c r="M7" s="4">
        <f>Hotel!Y12</f>
        <v>5660</v>
      </c>
      <c r="N7" s="4">
        <f>Hotel!Z12</f>
        <v>2550</v>
      </c>
      <c r="O7" s="4">
        <f>Hotel!AA12</f>
        <v>3180</v>
      </c>
      <c r="P7" s="4">
        <f>Hotel!AB12</f>
        <v>6860</v>
      </c>
      <c r="Q7" s="4">
        <f>Hotel!AC12</f>
        <v>9970</v>
      </c>
      <c r="R7" s="4">
        <f>Hotel!AV12*0.00378541*100</f>
        <v>818.40564199999994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11</v>
      </c>
      <c r="D8" s="11">
        <v>2021</v>
      </c>
      <c r="E8" s="4">
        <f>Hotel!Q13</f>
        <v>8490</v>
      </c>
      <c r="F8" s="4">
        <f>Hotel!R13</f>
        <v>8760</v>
      </c>
      <c r="G8" s="4">
        <f>Hotel!S13</f>
        <v>90</v>
      </c>
      <c r="H8" s="4">
        <f>Hotel!T13</f>
        <v>1690</v>
      </c>
      <c r="I8" s="4">
        <f>Hotel!U13</f>
        <v>4340</v>
      </c>
      <c r="J8" s="4">
        <f>Hotel!V13</f>
        <v>3980</v>
      </c>
      <c r="K8" s="4">
        <f>Hotel!W13</f>
        <v>2610</v>
      </c>
      <c r="L8" s="4">
        <f>Hotel!X13</f>
        <v>4410</v>
      </c>
      <c r="M8" s="4">
        <f>Hotel!Y13</f>
        <v>6020</v>
      </c>
      <c r="N8" s="4">
        <f>Hotel!Z13</f>
        <v>2600</v>
      </c>
      <c r="O8" s="4">
        <f>Hotel!AA13</f>
        <v>3060</v>
      </c>
      <c r="P8" s="4">
        <f>Hotel!AB13</f>
        <v>7370</v>
      </c>
      <c r="Q8" s="4">
        <f>Hotel!AC13</f>
        <v>11340</v>
      </c>
      <c r="R8" s="4">
        <f>Hotel!AV13*0.00378541*100</f>
        <v>788.50090299999999</v>
      </c>
      <c r="S8" s="4">
        <f>Hotel!B13</f>
        <v>54</v>
      </c>
    </row>
    <row r="9" spans="1:19" x14ac:dyDescent="0.25">
      <c r="A9" s="21" t="s">
        <v>31</v>
      </c>
      <c r="B9" s="2">
        <f t="shared" si="0"/>
        <v>8</v>
      </c>
      <c r="C9" s="3">
        <v>11</v>
      </c>
      <c r="D9" s="11">
        <v>2021</v>
      </c>
      <c r="E9" s="4">
        <f>Hotel!Q14</f>
        <v>950</v>
      </c>
      <c r="F9" s="4">
        <f>Hotel!R14</f>
        <v>14180</v>
      </c>
      <c r="G9" s="4">
        <f>Hotel!S14</f>
        <v>70</v>
      </c>
      <c r="H9" s="4">
        <f>Hotel!T14</f>
        <v>1510</v>
      </c>
      <c r="I9" s="4">
        <f>Hotel!U14</f>
        <v>4040</v>
      </c>
      <c r="J9" s="4">
        <f>Hotel!V14</f>
        <v>3590</v>
      </c>
      <c r="K9" s="4">
        <f>Hotel!W14</f>
        <v>2290</v>
      </c>
      <c r="L9" s="4">
        <f>Hotel!X14</f>
        <v>4230</v>
      </c>
      <c r="M9" s="4">
        <f>Hotel!Y14</f>
        <v>6000</v>
      </c>
      <c r="N9" s="4">
        <f>Hotel!Z14</f>
        <v>2290</v>
      </c>
      <c r="O9" s="4">
        <f>Hotel!AA14</f>
        <v>2640</v>
      </c>
      <c r="P9" s="4">
        <f>Hotel!AB14</f>
        <v>6490</v>
      </c>
      <c r="Q9" s="4">
        <f>Hotel!AC14</f>
        <v>10160</v>
      </c>
      <c r="R9" s="4">
        <f>Hotel!AV14*0.00378541*100</f>
        <v>667.36778300000003</v>
      </c>
      <c r="S9" s="4">
        <f>Hotel!B14</f>
        <v>46</v>
      </c>
    </row>
    <row r="10" spans="1:19" x14ac:dyDescent="0.25">
      <c r="A10" s="21" t="s">
        <v>31</v>
      </c>
      <c r="B10" s="2">
        <f t="shared" si="0"/>
        <v>9</v>
      </c>
      <c r="C10" s="3">
        <v>11</v>
      </c>
      <c r="D10" s="11">
        <v>2021</v>
      </c>
      <c r="E10" s="4">
        <f>Hotel!Q15</f>
        <v>600</v>
      </c>
      <c r="F10" s="4">
        <f>Hotel!R15</f>
        <v>8630</v>
      </c>
      <c r="G10" s="4">
        <f>Hotel!S15</f>
        <v>1540</v>
      </c>
      <c r="H10" s="4">
        <f>Hotel!T15</f>
        <v>1480</v>
      </c>
      <c r="I10" s="4">
        <f>Hotel!U15</f>
        <v>3940</v>
      </c>
      <c r="J10" s="4">
        <f>Hotel!V15</f>
        <v>4080</v>
      </c>
      <c r="K10" s="4">
        <f>Hotel!W15</f>
        <v>2720</v>
      </c>
      <c r="L10" s="4">
        <f>Hotel!X15</f>
        <v>4750</v>
      </c>
      <c r="M10" s="4">
        <f>Hotel!Y15</f>
        <v>5180</v>
      </c>
      <c r="N10" s="4">
        <f>Hotel!Z15</f>
        <v>2270</v>
      </c>
      <c r="O10" s="4">
        <f>Hotel!AA15</f>
        <v>2710</v>
      </c>
      <c r="P10" s="4">
        <f>Hotel!AB15</f>
        <v>6870</v>
      </c>
      <c r="Q10" s="4">
        <f>Hotel!AC15</f>
        <v>11860</v>
      </c>
      <c r="R10" s="4">
        <f>Hotel!AV15*0.00378541*100</f>
        <v>769.19531199999994</v>
      </c>
      <c r="S10" s="4">
        <f>Hotel!B15</f>
        <v>44</v>
      </c>
    </row>
    <row r="11" spans="1:19" x14ac:dyDescent="0.25">
      <c r="A11" s="21" t="s">
        <v>31</v>
      </c>
      <c r="B11" s="2">
        <f t="shared" si="0"/>
        <v>10</v>
      </c>
      <c r="C11" s="3">
        <v>11</v>
      </c>
      <c r="D11" s="11">
        <v>2021</v>
      </c>
      <c r="E11" s="4">
        <f>Hotel!Q16</f>
        <v>550</v>
      </c>
      <c r="F11" s="4">
        <f>Hotel!R16</f>
        <v>1900</v>
      </c>
      <c r="G11" s="4">
        <f>Hotel!S16</f>
        <v>3630</v>
      </c>
      <c r="H11" s="4">
        <f>Hotel!T16</f>
        <v>1550</v>
      </c>
      <c r="I11" s="4">
        <f>Hotel!U16</f>
        <v>4270</v>
      </c>
      <c r="J11" s="4">
        <f>Hotel!V16</f>
        <v>4230</v>
      </c>
      <c r="K11" s="4">
        <f>Hotel!W16</f>
        <v>2820</v>
      </c>
      <c r="L11" s="4">
        <f>Hotel!X16</f>
        <v>4960</v>
      </c>
      <c r="M11" s="4">
        <f>Hotel!Y16</f>
        <v>5720</v>
      </c>
      <c r="N11" s="4">
        <f>Hotel!Z16</f>
        <v>2390</v>
      </c>
      <c r="O11" s="4">
        <f>Hotel!AA16</f>
        <v>2720</v>
      </c>
      <c r="P11" s="4">
        <f>Hotel!AB16</f>
        <v>7090</v>
      </c>
      <c r="Q11" s="4">
        <f>Hotel!AC16</f>
        <v>11720</v>
      </c>
      <c r="R11" s="4">
        <f>Hotel!AV16*0.00378541*100</f>
        <v>859.28807000000006</v>
      </c>
      <c r="S11" s="4">
        <f>Hotel!B16</f>
        <v>66</v>
      </c>
    </row>
    <row r="12" spans="1:19" x14ac:dyDescent="0.25">
      <c r="A12" s="21" t="s">
        <v>31</v>
      </c>
      <c r="B12" s="2">
        <f t="shared" si="0"/>
        <v>11</v>
      </c>
      <c r="C12" s="3">
        <v>11</v>
      </c>
      <c r="D12" s="11">
        <v>2021</v>
      </c>
      <c r="E12" s="4">
        <f>Hotel!Q17</f>
        <v>620</v>
      </c>
      <c r="F12" s="4">
        <f>Hotel!R17</f>
        <v>3720</v>
      </c>
      <c r="G12" s="4">
        <f>Hotel!S17</f>
        <v>3780</v>
      </c>
      <c r="H12" s="4">
        <f>Hotel!T17</f>
        <v>1540</v>
      </c>
      <c r="I12" s="4">
        <f>Hotel!U17</f>
        <v>4510</v>
      </c>
      <c r="J12" s="4">
        <f>Hotel!V17</f>
        <v>4130</v>
      </c>
      <c r="K12" s="4">
        <f>Hotel!W17</f>
        <v>2380</v>
      </c>
      <c r="L12" s="4">
        <f>Hotel!X17</f>
        <v>4930</v>
      </c>
      <c r="M12" s="4">
        <f>Hotel!Y17</f>
        <v>5870</v>
      </c>
      <c r="N12" s="4">
        <f>Hotel!Z17</f>
        <v>2630</v>
      </c>
      <c r="O12" s="4">
        <f>Hotel!AA17</f>
        <v>3090</v>
      </c>
      <c r="P12" s="4">
        <f>Hotel!AB17</f>
        <v>7280</v>
      </c>
      <c r="Q12" s="4">
        <f>Hotel!AC17</f>
        <v>12450</v>
      </c>
      <c r="R12" s="4">
        <f>Hotel!AV17*0.00378541*100</f>
        <v>741.56181900000001</v>
      </c>
      <c r="S12" s="4">
        <f>Hotel!B17</f>
        <v>160</v>
      </c>
    </row>
    <row r="13" spans="1:19" x14ac:dyDescent="0.25">
      <c r="A13" s="21" t="s">
        <v>31</v>
      </c>
      <c r="B13" s="2">
        <f t="shared" si="0"/>
        <v>12</v>
      </c>
      <c r="C13" s="3">
        <v>11</v>
      </c>
      <c r="D13" s="11">
        <v>2021</v>
      </c>
      <c r="E13" s="4">
        <f>Hotel!Q18</f>
        <v>890</v>
      </c>
      <c r="F13" s="4">
        <f>Hotel!R18</f>
        <v>3510</v>
      </c>
      <c r="G13" s="4">
        <f>Hotel!S18</f>
        <v>3830</v>
      </c>
      <c r="H13" s="4">
        <f>Hotel!T18</f>
        <v>1710</v>
      </c>
      <c r="I13" s="4">
        <f>Hotel!U18</f>
        <v>5020</v>
      </c>
      <c r="J13" s="4">
        <f>Hotel!V18</f>
        <v>4430</v>
      </c>
      <c r="K13" s="4">
        <f>Hotel!W18</f>
        <v>2500</v>
      </c>
      <c r="L13" s="4">
        <f>Hotel!X18</f>
        <v>5160</v>
      </c>
      <c r="M13" s="4">
        <f>Hotel!Y18</f>
        <v>6690</v>
      </c>
      <c r="N13" s="4">
        <f>Hotel!Z18</f>
        <v>2930</v>
      </c>
      <c r="O13" s="4">
        <f>Hotel!AA18</f>
        <v>3480</v>
      </c>
      <c r="P13" s="4">
        <f>Hotel!AB18</f>
        <v>7700</v>
      </c>
      <c r="Q13" s="4">
        <f>Hotel!AC18</f>
        <v>13440</v>
      </c>
      <c r="R13" s="4">
        <f>Hotel!AV18*0.00378541*100</f>
        <v>840.73956099999998</v>
      </c>
      <c r="S13" s="4">
        <f>Hotel!B18</f>
        <v>160</v>
      </c>
    </row>
    <row r="14" spans="1:19" x14ac:dyDescent="0.25">
      <c r="A14" s="21" t="s">
        <v>31</v>
      </c>
      <c r="B14" s="2">
        <f t="shared" si="0"/>
        <v>13</v>
      </c>
      <c r="C14" s="3">
        <v>11</v>
      </c>
      <c r="D14" s="11">
        <v>2021</v>
      </c>
      <c r="E14" s="4">
        <f>Hotel!Q19</f>
        <v>500</v>
      </c>
      <c r="F14" s="4">
        <f>Hotel!R19</f>
        <v>1750</v>
      </c>
      <c r="G14" s="4">
        <f>Hotel!S19</f>
        <v>3280</v>
      </c>
      <c r="H14" s="4">
        <f>Hotel!T19</f>
        <v>1490</v>
      </c>
      <c r="I14" s="4">
        <f>Hotel!U19</f>
        <v>4510</v>
      </c>
      <c r="J14" s="4">
        <f>Hotel!V19</f>
        <v>3870</v>
      </c>
      <c r="K14" s="4">
        <f>Hotel!W19</f>
        <v>2180</v>
      </c>
      <c r="L14" s="4">
        <f>Hotel!X19</f>
        <v>4590</v>
      </c>
      <c r="M14" s="4">
        <f>Hotel!Y19</f>
        <v>5660</v>
      </c>
      <c r="N14" s="4">
        <f>Hotel!Z19</f>
        <v>2510</v>
      </c>
      <c r="O14" s="4">
        <f>Hotel!AA19</f>
        <v>3040</v>
      </c>
      <c r="P14" s="4">
        <f>Hotel!AB19</f>
        <v>6920</v>
      </c>
      <c r="Q14" s="4">
        <f>Hotel!AC19</f>
        <v>10880</v>
      </c>
      <c r="R14" s="4">
        <f>Hotel!AV19*0.00378541*100</f>
        <v>734.36953999999992</v>
      </c>
      <c r="S14" s="4">
        <f>Hotel!B19</f>
        <v>90</v>
      </c>
    </row>
    <row r="15" spans="1:19" x14ac:dyDescent="0.25">
      <c r="A15" s="21" t="s">
        <v>31</v>
      </c>
      <c r="B15" s="2">
        <f t="shared" si="0"/>
        <v>14</v>
      </c>
      <c r="C15" s="3">
        <v>11</v>
      </c>
      <c r="D15" s="11">
        <v>2021</v>
      </c>
      <c r="E15" s="4">
        <f>Hotel!Q20</f>
        <v>550</v>
      </c>
      <c r="F15" s="4">
        <f>Hotel!R20</f>
        <v>1890</v>
      </c>
      <c r="G15" s="4">
        <f>Hotel!S20</f>
        <v>3410</v>
      </c>
      <c r="H15" s="4">
        <f>Hotel!T20</f>
        <v>1610</v>
      </c>
      <c r="I15" s="4">
        <f>Hotel!U20</f>
        <v>4420</v>
      </c>
      <c r="J15" s="4">
        <f>Hotel!V20</f>
        <v>4200</v>
      </c>
      <c r="K15" s="4">
        <f>Hotel!W20</f>
        <v>2360</v>
      </c>
      <c r="L15" s="4">
        <f>Hotel!X20</f>
        <v>4490</v>
      </c>
      <c r="M15" s="4">
        <f>Hotel!Y20</f>
        <v>5820</v>
      </c>
      <c r="N15" s="4">
        <f>Hotel!Z20</f>
        <v>2440</v>
      </c>
      <c r="O15" s="4">
        <f>Hotel!AA20</f>
        <v>3070</v>
      </c>
      <c r="P15" s="4">
        <f>Hotel!AB20</f>
        <v>7120</v>
      </c>
      <c r="Q15" s="4">
        <f>Hotel!AC20</f>
        <v>13600</v>
      </c>
      <c r="R15" s="4">
        <f>Hotel!AV20*0.00378541*100</f>
        <v>836.5756100000001</v>
      </c>
      <c r="S15" s="4">
        <f>Hotel!B20</f>
        <v>60</v>
      </c>
    </row>
    <row r="16" spans="1:19" x14ac:dyDescent="0.25">
      <c r="A16" s="21" t="s">
        <v>31</v>
      </c>
      <c r="B16" s="2">
        <f t="shared" si="0"/>
        <v>15</v>
      </c>
      <c r="C16" s="3">
        <v>11</v>
      </c>
      <c r="D16" s="11">
        <v>2021</v>
      </c>
      <c r="E16" s="4">
        <f>Hotel!Q21</f>
        <v>550</v>
      </c>
      <c r="F16" s="4">
        <f>Hotel!R21</f>
        <v>1880</v>
      </c>
      <c r="G16" s="4">
        <f>Hotel!S21</f>
        <v>3460</v>
      </c>
      <c r="H16" s="4">
        <f>Hotel!T21</f>
        <v>1590</v>
      </c>
      <c r="I16" s="4">
        <f>Hotel!U21</f>
        <v>4180</v>
      </c>
      <c r="J16" s="4">
        <f>Hotel!V21</f>
        <v>4030</v>
      </c>
      <c r="K16" s="4">
        <f>Hotel!W21</f>
        <v>2450</v>
      </c>
      <c r="L16" s="4">
        <f>Hotel!X21</f>
        <v>4570</v>
      </c>
      <c r="M16" s="4">
        <f>Hotel!Y21</f>
        <v>5840</v>
      </c>
      <c r="N16" s="4">
        <f>Hotel!Z21</f>
        <v>2350</v>
      </c>
      <c r="O16" s="4">
        <f>Hotel!AA21</f>
        <v>2840</v>
      </c>
      <c r="P16" s="4">
        <f>Hotel!AB21</f>
        <v>7050</v>
      </c>
      <c r="Q16" s="4">
        <f>Hotel!AC21</f>
        <v>12310</v>
      </c>
      <c r="R16" s="4">
        <f>Hotel!AV21*0.00378541*100</f>
        <v>686.67337399999997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11</v>
      </c>
      <c r="D17" s="11">
        <v>2021</v>
      </c>
      <c r="E17" s="4">
        <f>Hotel!Q22</f>
        <v>550</v>
      </c>
      <c r="F17" s="4">
        <f>Hotel!R22</f>
        <v>1880</v>
      </c>
      <c r="G17" s="4">
        <f>Hotel!S22</f>
        <v>3520</v>
      </c>
      <c r="H17" s="4">
        <f>Hotel!T22</f>
        <v>1580</v>
      </c>
      <c r="I17" s="4">
        <f>Hotel!U22</f>
        <v>4340</v>
      </c>
      <c r="J17" s="4">
        <f>Hotel!V22</f>
        <v>4170</v>
      </c>
      <c r="K17" s="4">
        <f>Hotel!W22</f>
        <v>2680</v>
      </c>
      <c r="L17" s="4">
        <f>Hotel!X22</f>
        <v>4640</v>
      </c>
      <c r="M17" s="4">
        <f>Hotel!Y22</f>
        <v>5500</v>
      </c>
      <c r="N17" s="4">
        <f>Hotel!Z22</f>
        <v>2440</v>
      </c>
      <c r="O17" s="4">
        <f>Hotel!AA22</f>
        <v>2880</v>
      </c>
      <c r="P17" s="4">
        <f>Hotel!AB22</f>
        <v>6870</v>
      </c>
      <c r="Q17" s="4">
        <f>Hotel!AC22</f>
        <v>12070</v>
      </c>
      <c r="R17" s="4">
        <f>Hotel!AV22*0.00378541*100</f>
        <v>765.03136099999995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11</v>
      </c>
      <c r="D18" s="11">
        <v>2021</v>
      </c>
      <c r="E18" s="4">
        <f>Hotel!Q23</f>
        <v>540</v>
      </c>
      <c r="F18" s="4">
        <f>Hotel!R23</f>
        <v>1860</v>
      </c>
      <c r="G18" s="4">
        <f>Hotel!S23</f>
        <v>3480</v>
      </c>
      <c r="H18" s="4">
        <f>Hotel!T23</f>
        <v>1550</v>
      </c>
      <c r="I18" s="4">
        <f>Hotel!U23</f>
        <v>4360</v>
      </c>
      <c r="J18" s="4">
        <f>Hotel!V23</f>
        <v>4080</v>
      </c>
      <c r="K18" s="4">
        <f>Hotel!W23</f>
        <v>2450</v>
      </c>
      <c r="L18" s="4">
        <f>Hotel!X23</f>
        <v>4580</v>
      </c>
      <c r="M18" s="4">
        <f>Hotel!Y23</f>
        <v>4760</v>
      </c>
      <c r="N18" s="4">
        <f>Hotel!Z23</f>
        <v>2570</v>
      </c>
      <c r="O18" s="4">
        <f>Hotel!AA23</f>
        <v>2920</v>
      </c>
      <c r="P18" s="4">
        <f>Hotel!AB23</f>
        <v>6940</v>
      </c>
      <c r="Q18" s="4">
        <f>Hotel!AC23</f>
        <v>13090</v>
      </c>
      <c r="R18" s="4">
        <f>Hotel!AV23*0.00378541*100</f>
        <v>773.35926299999994</v>
      </c>
      <c r="S18" s="4">
        <f>Hotel!B23</f>
        <v>82</v>
      </c>
    </row>
    <row r="19" spans="1:19" x14ac:dyDescent="0.25">
      <c r="A19" s="21" t="s">
        <v>31</v>
      </c>
      <c r="B19" s="2">
        <f t="shared" si="0"/>
        <v>18</v>
      </c>
      <c r="C19" s="3">
        <v>11</v>
      </c>
      <c r="D19" s="11">
        <v>2021</v>
      </c>
      <c r="E19" s="4">
        <f>Hotel!Q24</f>
        <v>550</v>
      </c>
      <c r="F19" s="4">
        <f>Hotel!R24</f>
        <v>1900</v>
      </c>
      <c r="G19" s="4">
        <f>Hotel!S24</f>
        <v>3570</v>
      </c>
      <c r="H19" s="4">
        <f>Hotel!T24</f>
        <v>1610</v>
      </c>
      <c r="I19" s="4">
        <f>Hotel!U24</f>
        <v>4700</v>
      </c>
      <c r="J19" s="4">
        <f>Hotel!V24</f>
        <v>4020</v>
      </c>
      <c r="K19" s="4">
        <f>Hotel!W24</f>
        <v>2450</v>
      </c>
      <c r="L19" s="4">
        <f>Hotel!X24</f>
        <v>4720</v>
      </c>
      <c r="M19" s="4">
        <f>Hotel!Y24</f>
        <v>5590</v>
      </c>
      <c r="N19" s="4">
        <f>Hotel!Z24</f>
        <v>2670</v>
      </c>
      <c r="O19" s="4">
        <f>Hotel!AA24</f>
        <v>3160</v>
      </c>
      <c r="P19" s="4">
        <f>Hotel!AB24</f>
        <v>7310</v>
      </c>
      <c r="Q19" s="4">
        <f>Hotel!AC24</f>
        <v>13550</v>
      </c>
      <c r="R19" s="4">
        <f>Hotel!AV24*0.00378541*100</f>
        <v>768.05968899999993</v>
      </c>
      <c r="S19" s="4">
        <f>Hotel!B24</f>
        <v>145</v>
      </c>
    </row>
    <row r="20" spans="1:19" x14ac:dyDescent="0.25">
      <c r="A20" s="21" t="s">
        <v>31</v>
      </c>
      <c r="B20" s="2">
        <f t="shared" si="0"/>
        <v>19</v>
      </c>
      <c r="C20" s="3">
        <v>11</v>
      </c>
      <c r="D20" s="11">
        <v>2021</v>
      </c>
      <c r="E20" s="4">
        <f>Hotel!Q25</f>
        <v>550</v>
      </c>
      <c r="F20" s="4">
        <f>Hotel!R25</f>
        <v>1850</v>
      </c>
      <c r="G20" s="4">
        <f>Hotel!S25</f>
        <v>3500</v>
      </c>
      <c r="H20" s="4">
        <f>Hotel!T25</f>
        <v>1570</v>
      </c>
      <c r="I20" s="4">
        <f>Hotel!U25</f>
        <v>4870</v>
      </c>
      <c r="J20" s="4">
        <f>Hotel!V25</f>
        <v>4260</v>
      </c>
      <c r="K20" s="4">
        <f>Hotel!W25</f>
        <v>2390</v>
      </c>
      <c r="L20" s="4">
        <f>Hotel!X25</f>
        <v>4720</v>
      </c>
      <c r="M20" s="4">
        <f>Hotel!Y25</f>
        <v>5770</v>
      </c>
      <c r="N20" s="4">
        <f>Hotel!Z25</f>
        <v>2670</v>
      </c>
      <c r="O20" s="4">
        <f>Hotel!AA25</f>
        <v>3280</v>
      </c>
      <c r="P20" s="4">
        <f>Hotel!AB25</f>
        <v>7100</v>
      </c>
      <c r="Q20" s="4">
        <f>Hotel!AC25</f>
        <v>12880</v>
      </c>
      <c r="R20" s="4">
        <f>Hotel!AV25*0.00378541*100</f>
        <v>698.02960399999995</v>
      </c>
      <c r="S20" s="4">
        <f>Hotel!B25</f>
        <v>154</v>
      </c>
    </row>
    <row r="21" spans="1:19" x14ac:dyDescent="0.25">
      <c r="A21" s="21" t="s">
        <v>31</v>
      </c>
      <c r="B21" s="2">
        <f t="shared" si="0"/>
        <v>20</v>
      </c>
      <c r="C21" s="3">
        <v>11</v>
      </c>
      <c r="D21" s="11">
        <v>2021</v>
      </c>
      <c r="E21" s="4">
        <f>Hotel!Q26</f>
        <v>520</v>
      </c>
      <c r="F21" s="4">
        <f>Hotel!R26</f>
        <v>8500</v>
      </c>
      <c r="G21" s="4">
        <f>Hotel!S26</f>
        <v>1580</v>
      </c>
      <c r="H21" s="4">
        <f>Hotel!T26</f>
        <v>1610</v>
      </c>
      <c r="I21" s="4">
        <f>Hotel!U26</f>
        <v>4900</v>
      </c>
      <c r="J21" s="4">
        <f>Hotel!V26</f>
        <v>4330</v>
      </c>
      <c r="K21" s="4">
        <f>Hotel!W26</f>
        <v>2440</v>
      </c>
      <c r="L21" s="4">
        <f>Hotel!X26</f>
        <v>4770</v>
      </c>
      <c r="M21" s="4">
        <f>Hotel!Y26</f>
        <v>5830</v>
      </c>
      <c r="N21" s="4">
        <f>Hotel!Z26</f>
        <v>2660</v>
      </c>
      <c r="O21" s="4">
        <f>Hotel!AA26</f>
        <v>3240</v>
      </c>
      <c r="P21" s="4">
        <f>Hotel!AB26</f>
        <v>7380</v>
      </c>
      <c r="Q21" s="4">
        <f>Hotel!AC26</f>
        <v>11930</v>
      </c>
      <c r="R21" s="4">
        <f>Hotel!AV26*0.00378541*100</f>
        <v>805.15670699999987</v>
      </c>
      <c r="S21" s="4">
        <f>Hotel!B26</f>
        <v>95</v>
      </c>
    </row>
    <row r="22" spans="1:19" x14ac:dyDescent="0.25">
      <c r="A22" s="21" t="s">
        <v>31</v>
      </c>
      <c r="B22" s="2">
        <f t="shared" si="0"/>
        <v>21</v>
      </c>
      <c r="C22" s="3">
        <v>11</v>
      </c>
      <c r="D22" s="11">
        <v>2021</v>
      </c>
      <c r="E22" s="4">
        <f>Hotel!Q27</f>
        <v>500</v>
      </c>
      <c r="F22" s="4">
        <f>Hotel!R27</f>
        <v>13690</v>
      </c>
      <c r="G22" s="4">
        <f>Hotel!S27</f>
        <v>70</v>
      </c>
      <c r="H22" s="4">
        <f>Hotel!T27</f>
        <v>1590</v>
      </c>
      <c r="I22" s="4">
        <f>Hotel!U27</f>
        <v>4500</v>
      </c>
      <c r="J22" s="4">
        <f>Hotel!V27</f>
        <v>4030</v>
      </c>
      <c r="K22" s="4">
        <f>Hotel!W27</f>
        <v>2490</v>
      </c>
      <c r="L22" s="4">
        <f>Hotel!X27</f>
        <v>4400</v>
      </c>
      <c r="M22" s="4">
        <f>Hotel!Y27</f>
        <v>5330</v>
      </c>
      <c r="N22" s="4">
        <f>Hotel!Z27</f>
        <v>2600</v>
      </c>
      <c r="O22" s="4">
        <f>Hotel!AA27</f>
        <v>2970</v>
      </c>
      <c r="P22" s="4">
        <f>Hotel!AB27</f>
        <v>7160</v>
      </c>
      <c r="Q22" s="4">
        <f>Hotel!AC27</f>
        <v>12800</v>
      </c>
      <c r="R22" s="4">
        <f>Hotel!AV27*0.00378541*100</f>
        <v>829.00478999999996</v>
      </c>
      <c r="S22" s="4">
        <f>Hotel!B27</f>
        <v>91</v>
      </c>
    </row>
    <row r="23" spans="1:19" x14ac:dyDescent="0.25">
      <c r="A23" s="21" t="s">
        <v>31</v>
      </c>
      <c r="B23" s="2">
        <f t="shared" si="0"/>
        <v>22</v>
      </c>
      <c r="C23" s="3">
        <v>11</v>
      </c>
      <c r="D23" s="11">
        <v>2021</v>
      </c>
      <c r="E23" s="4">
        <f>Hotel!Q28</f>
        <v>510</v>
      </c>
      <c r="F23" s="4">
        <f>Hotel!R28</f>
        <v>13940</v>
      </c>
      <c r="G23" s="4">
        <f>Hotel!S28</f>
        <v>80</v>
      </c>
      <c r="H23" s="4">
        <f>Hotel!T28</f>
        <v>1600</v>
      </c>
      <c r="I23" s="4">
        <f>Hotel!U28</f>
        <v>4430</v>
      </c>
      <c r="J23" s="4">
        <f>Hotel!V28</f>
        <v>4190</v>
      </c>
      <c r="K23" s="4">
        <f>Hotel!W28</f>
        <v>2610</v>
      </c>
      <c r="L23" s="4">
        <f>Hotel!X28</f>
        <v>4910</v>
      </c>
      <c r="M23" s="4">
        <f>Hotel!Y28</f>
        <v>5520</v>
      </c>
      <c r="N23" s="4">
        <f>Hotel!Z28</f>
        <v>2650</v>
      </c>
      <c r="O23" s="4">
        <f>Hotel!AA28</f>
        <v>2910</v>
      </c>
      <c r="P23" s="4">
        <f>Hotel!AB28</f>
        <v>7050</v>
      </c>
      <c r="Q23" s="4">
        <f>Hotel!AC28</f>
        <v>11730</v>
      </c>
      <c r="R23" s="4">
        <f>Hotel!AV28*0.00378541*100</f>
        <v>739.29057299999999</v>
      </c>
      <c r="S23" s="4">
        <f>Hotel!B28</f>
        <v>93</v>
      </c>
    </row>
    <row r="24" spans="1:19" x14ac:dyDescent="0.25">
      <c r="A24" s="21" t="s">
        <v>31</v>
      </c>
      <c r="B24" s="2">
        <f t="shared" si="0"/>
        <v>23</v>
      </c>
      <c r="C24" s="3">
        <v>11</v>
      </c>
      <c r="D24" s="11">
        <v>2021</v>
      </c>
      <c r="E24" s="4">
        <f>Hotel!Q29</f>
        <v>510</v>
      </c>
      <c r="F24" s="4">
        <f>Hotel!R29</f>
        <v>12740</v>
      </c>
      <c r="G24" s="4">
        <f>Hotel!S29</f>
        <v>50</v>
      </c>
      <c r="H24" s="4">
        <f>Hotel!T29</f>
        <v>1600</v>
      </c>
      <c r="I24" s="4">
        <f>Hotel!U29</f>
        <v>4440</v>
      </c>
      <c r="J24" s="4">
        <f>Hotel!V29</f>
        <v>4000</v>
      </c>
      <c r="K24" s="4">
        <f>Hotel!W29</f>
        <v>2470</v>
      </c>
      <c r="L24" s="4">
        <f>Hotel!X29</f>
        <v>4770</v>
      </c>
      <c r="M24" s="4">
        <f>Hotel!Y29</f>
        <v>5410</v>
      </c>
      <c r="N24" s="4">
        <f>Hotel!Z29</f>
        <v>2600</v>
      </c>
      <c r="O24" s="4">
        <f>Hotel!AA29</f>
        <v>2940</v>
      </c>
      <c r="P24" s="4">
        <f>Hotel!AB29</f>
        <v>7220</v>
      </c>
      <c r="Q24" s="4">
        <f>Hotel!AC29</f>
        <v>12840</v>
      </c>
      <c r="R24" s="4">
        <f>Hotel!AV29*0.00378541*100</f>
        <v>735.126622</v>
      </c>
      <c r="S24" s="4">
        <f>Hotel!B29</f>
        <v>111</v>
      </c>
    </row>
    <row r="25" spans="1:19" x14ac:dyDescent="0.25">
      <c r="A25" s="21" t="s">
        <v>31</v>
      </c>
      <c r="B25" s="2">
        <f t="shared" si="0"/>
        <v>24</v>
      </c>
      <c r="C25" s="3">
        <v>11</v>
      </c>
      <c r="D25" s="11">
        <v>2021</v>
      </c>
      <c r="E25" s="4">
        <f>Hotel!Q30</f>
        <v>510</v>
      </c>
      <c r="F25" s="4">
        <f>Hotel!R30</f>
        <v>11620</v>
      </c>
      <c r="G25" s="4">
        <f>Hotel!S30</f>
        <v>20</v>
      </c>
      <c r="H25" s="4">
        <f>Hotel!T30</f>
        <v>1560</v>
      </c>
      <c r="I25" s="4">
        <f>Hotel!U30</f>
        <v>4560</v>
      </c>
      <c r="J25" s="4">
        <f>Hotel!V30</f>
        <v>3940</v>
      </c>
      <c r="K25" s="4">
        <f>Hotel!W30</f>
        <v>2640</v>
      </c>
      <c r="L25" s="4">
        <f>Hotel!X30</f>
        <v>4780</v>
      </c>
      <c r="M25" s="4">
        <f>Hotel!Y30</f>
        <v>5440</v>
      </c>
      <c r="N25" s="4">
        <f>Hotel!Z30</f>
        <v>2660</v>
      </c>
      <c r="O25" s="4">
        <f>Hotel!AA30</f>
        <v>2980</v>
      </c>
      <c r="P25" s="4">
        <f>Hotel!AB30</f>
        <v>7130</v>
      </c>
      <c r="Q25" s="4">
        <f>Hotel!AC30</f>
        <v>12320</v>
      </c>
      <c r="R25" s="4">
        <f>Hotel!AV30*0.00378541*100</f>
        <v>765.40990199999999</v>
      </c>
      <c r="S25" s="4">
        <f>Hotel!B30</f>
        <v>120</v>
      </c>
    </row>
    <row r="26" spans="1:19" x14ac:dyDescent="0.25">
      <c r="A26" s="21" t="s">
        <v>31</v>
      </c>
      <c r="B26" s="2">
        <f>B25+1</f>
        <v>25</v>
      </c>
      <c r="C26" s="3">
        <v>11</v>
      </c>
      <c r="D26" s="11">
        <v>2021</v>
      </c>
      <c r="E26" s="4" t="str">
        <f>Hotel!Q31</f>
        <v>0</v>
      </c>
      <c r="F26" s="4" t="str">
        <f>Hotel!R31</f>
        <v>0</v>
      </c>
      <c r="G26" s="4" t="str">
        <f>Hotel!S31</f>
        <v>0</v>
      </c>
      <c r="H26" s="4" t="str">
        <f>Hotel!T31</f>
        <v>0</v>
      </c>
      <c r="I26" s="4" t="str">
        <f>Hotel!U31</f>
        <v>0</v>
      </c>
      <c r="J26" s="4" t="str">
        <f>Hotel!V31</f>
        <v>0</v>
      </c>
      <c r="K26" s="4" t="str">
        <f>Hotel!W31</f>
        <v>0</v>
      </c>
      <c r="L26" s="4" t="str">
        <f>Hotel!X31</f>
        <v>0</v>
      </c>
      <c r="M26" s="4" t="str">
        <f>Hotel!Y31</f>
        <v>0</v>
      </c>
      <c r="N26" s="4" t="str">
        <f>Hotel!Z31</f>
        <v>0</v>
      </c>
      <c r="O26" s="4" t="str">
        <f>Hotel!AA31</f>
        <v>0</v>
      </c>
      <c r="P26" s="4" t="str">
        <f>Hotel!AB31</f>
        <v>0</v>
      </c>
      <c r="Q26" s="4" t="str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11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11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11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11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11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11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J1" zoomScale="93" zoomScaleNormal="93" workbookViewId="0">
      <selection activeCell="AO26" sqref="AO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51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ht="30" x14ac:dyDescent="0.25">
      <c r="A2" s="23">
        <v>44500</v>
      </c>
      <c r="B2" s="40">
        <v>66</v>
      </c>
      <c r="C2" s="24">
        <v>7346180</v>
      </c>
      <c r="D2" s="24">
        <v>17454260</v>
      </c>
      <c r="E2" s="24">
        <v>3102240</v>
      </c>
      <c r="F2" s="24">
        <v>3729400</v>
      </c>
      <c r="G2" s="24">
        <v>11000320</v>
      </c>
      <c r="H2" s="24">
        <v>6032330</v>
      </c>
      <c r="I2" s="24">
        <v>5421080</v>
      </c>
      <c r="J2" s="24">
        <v>6531220</v>
      </c>
      <c r="K2" s="24">
        <v>9963680</v>
      </c>
      <c r="L2" s="24">
        <v>4206390</v>
      </c>
      <c r="M2" s="24">
        <v>8349450</v>
      </c>
      <c r="N2" s="24">
        <v>13067220</v>
      </c>
      <c r="O2" s="24">
        <v>18043070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2" t="s">
        <v>49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2">
        <v>340998</v>
      </c>
      <c r="AV6" s="37"/>
    </row>
    <row r="7" spans="1:49" x14ac:dyDescent="0.25">
      <c r="A7" s="23">
        <v>44501</v>
      </c>
      <c r="B7" s="40">
        <v>70</v>
      </c>
      <c r="C7" s="24">
        <v>7355760</v>
      </c>
      <c r="D7" s="24">
        <v>17457870</v>
      </c>
      <c r="E7" s="24">
        <v>3103770</v>
      </c>
      <c r="F7" s="24">
        <v>3734230</v>
      </c>
      <c r="G7" s="24">
        <v>11004600</v>
      </c>
      <c r="H7" s="24">
        <v>6036360</v>
      </c>
      <c r="I7" s="24">
        <v>5423480</v>
      </c>
      <c r="J7" s="24">
        <v>6535820</v>
      </c>
      <c r="K7" s="24">
        <v>9970080</v>
      </c>
      <c r="L7" s="24">
        <v>4209090</v>
      </c>
      <c r="M7" s="24">
        <v>8352710</v>
      </c>
      <c r="N7" s="24">
        <v>13074670</v>
      </c>
      <c r="O7" s="24">
        <v>18053660</v>
      </c>
      <c r="Q7" s="37">
        <f>IF((C7-C2&lt;0), "0",C7-C2)</f>
        <v>9580</v>
      </c>
      <c r="R7" s="37">
        <f t="shared" ref="R7:AC7" si="0">IF((D7-D2&lt;0), "0",D7-D2)</f>
        <v>3610</v>
      </c>
      <c r="S7" s="37">
        <f>IF((E7-E2&lt;0), "0",E7-E2)</f>
        <v>1530</v>
      </c>
      <c r="T7" s="37">
        <f t="shared" si="0"/>
        <v>4830</v>
      </c>
      <c r="U7" s="37">
        <f t="shared" si="0"/>
        <v>4280</v>
      </c>
      <c r="V7" s="37">
        <f t="shared" si="0"/>
        <v>4030</v>
      </c>
      <c r="W7" s="37">
        <f t="shared" si="0"/>
        <v>2400</v>
      </c>
      <c r="X7" s="37">
        <f t="shared" si="0"/>
        <v>4600</v>
      </c>
      <c r="Y7" s="37">
        <f t="shared" si="0"/>
        <v>6400</v>
      </c>
      <c r="Z7" s="37">
        <f t="shared" si="0"/>
        <v>2700</v>
      </c>
      <c r="AA7" s="37">
        <f t="shared" si="0"/>
        <v>3260</v>
      </c>
      <c r="AB7" s="37">
        <f t="shared" si="0"/>
        <v>7450</v>
      </c>
      <c r="AC7" s="37">
        <f t="shared" si="0"/>
        <v>10590</v>
      </c>
      <c r="AD7" s="34">
        <f>SUM(Q7:AC7)</f>
        <v>65260</v>
      </c>
      <c r="AF7" s="20">
        <f t="shared" ref="AF7:AF36" si="1">Q7*$D$39</f>
        <v>47.9</v>
      </c>
      <c r="AG7" s="20">
        <f t="shared" ref="AG7:AG36" si="2">R7*$D$39</f>
        <v>18.05</v>
      </c>
      <c r="AH7" s="20">
        <f t="shared" ref="AH7:AH36" si="3">S7*$D$39</f>
        <v>7.65</v>
      </c>
      <c r="AI7" s="20">
        <f t="shared" ref="AI7:AI36" si="4">T7*$D$39</f>
        <v>24.150000000000002</v>
      </c>
      <c r="AJ7" s="20">
        <f t="shared" ref="AJ7:AJ36" si="5">U7*$D$39</f>
        <v>21.400000000000002</v>
      </c>
      <c r="AK7" s="20">
        <f t="shared" ref="AK7:AK36" si="6">V7*$D$39</f>
        <v>20.150000000000002</v>
      </c>
      <c r="AL7" s="20">
        <f t="shared" ref="AL7:AL36" si="7">W7*$D$39</f>
        <v>12</v>
      </c>
      <c r="AM7" s="20">
        <f t="shared" ref="AM7:AM36" si="8">X7*$D$39</f>
        <v>23</v>
      </c>
      <c r="AN7" s="20">
        <f t="shared" ref="AN7:AN36" si="9">Y7*$D$39</f>
        <v>32</v>
      </c>
      <c r="AO7" s="20">
        <f t="shared" ref="AO7:AO36" si="10">Z7*$D$39</f>
        <v>13.5</v>
      </c>
      <c r="AP7" s="20">
        <f t="shared" ref="AP7:AP36" si="11">AA7*$D$39</f>
        <v>16.3</v>
      </c>
      <c r="AQ7" s="20">
        <f t="shared" ref="AQ7:AQ36" si="12">AB7*$D$39</f>
        <v>37.25</v>
      </c>
      <c r="AR7" s="20">
        <f t="shared" ref="AR7:AR36" si="13">AC7*$D$39</f>
        <v>52.95</v>
      </c>
      <c r="AS7" s="35">
        <f>SUM(AF7:AR7)</f>
        <v>326.3</v>
      </c>
      <c r="AU7" s="53">
        <v>342876</v>
      </c>
      <c r="AV7" s="37">
        <f>IF((AU7-AU6&lt;0),"0",AU7-AU6)</f>
        <v>1878</v>
      </c>
      <c r="AW7" s="35">
        <f t="shared" ref="AW7:AW35" si="14">AV7*$D$40</f>
        <v>3.7560000000000002</v>
      </c>
    </row>
    <row r="8" spans="1:49" x14ac:dyDescent="0.25">
      <c r="A8" s="23">
        <v>44502</v>
      </c>
      <c r="B8" s="40">
        <v>84</v>
      </c>
      <c r="C8" s="24">
        <v>7364550</v>
      </c>
      <c r="D8" s="24">
        <v>17461480</v>
      </c>
      <c r="E8" s="24">
        <v>3103880</v>
      </c>
      <c r="F8" s="24">
        <v>3737420</v>
      </c>
      <c r="G8" s="24">
        <v>11008770</v>
      </c>
      <c r="H8" s="24">
        <v>6040370</v>
      </c>
      <c r="I8" s="24">
        <v>5425920</v>
      </c>
      <c r="J8" s="24">
        <v>6540020</v>
      </c>
      <c r="K8" s="24">
        <v>9974770</v>
      </c>
      <c r="L8" s="24">
        <v>4211320</v>
      </c>
      <c r="M8" s="24">
        <v>8355310</v>
      </c>
      <c r="N8" s="24">
        <v>13080710</v>
      </c>
      <c r="O8" s="24">
        <v>18062410</v>
      </c>
      <c r="Q8" s="37">
        <f>IF((C8-C7&lt;0), "0",C8-C7)</f>
        <v>8790</v>
      </c>
      <c r="R8" s="37">
        <f t="shared" ref="R8:AC8" si="15">IF((D8-D7&lt;0), "0",D8-D7)</f>
        <v>3610</v>
      </c>
      <c r="S8" s="37">
        <f t="shared" ref="S8:S35" si="16">IF((E8-E7&lt;0), "0",E8-E7)</f>
        <v>110</v>
      </c>
      <c r="T8" s="37">
        <f t="shared" si="15"/>
        <v>3190</v>
      </c>
      <c r="U8" s="37">
        <f t="shared" si="15"/>
        <v>4170</v>
      </c>
      <c r="V8" s="37">
        <f t="shared" si="15"/>
        <v>4010</v>
      </c>
      <c r="W8" s="37">
        <f t="shared" si="15"/>
        <v>2440</v>
      </c>
      <c r="X8" s="37">
        <f t="shared" si="15"/>
        <v>4200</v>
      </c>
      <c r="Y8" s="37">
        <f t="shared" si="15"/>
        <v>4690</v>
      </c>
      <c r="Z8" s="37">
        <f t="shared" si="15"/>
        <v>2230</v>
      </c>
      <c r="AA8" s="37">
        <f t="shared" si="15"/>
        <v>2600</v>
      </c>
      <c r="AB8" s="37">
        <f t="shared" si="15"/>
        <v>6040</v>
      </c>
      <c r="AC8" s="37">
        <f t="shared" si="15"/>
        <v>8750</v>
      </c>
      <c r="AD8" s="35">
        <f>SUM(Q8:AC8)</f>
        <v>54830</v>
      </c>
      <c r="AF8" s="20">
        <f t="shared" si="1"/>
        <v>43.95</v>
      </c>
      <c r="AG8" s="20">
        <f t="shared" si="2"/>
        <v>18.05</v>
      </c>
      <c r="AH8" s="20">
        <f t="shared" si="3"/>
        <v>0.55000000000000004</v>
      </c>
      <c r="AI8" s="20">
        <f t="shared" si="4"/>
        <v>15.950000000000001</v>
      </c>
      <c r="AJ8" s="20">
        <f t="shared" si="5"/>
        <v>20.85</v>
      </c>
      <c r="AK8" s="20">
        <f t="shared" si="6"/>
        <v>20.05</v>
      </c>
      <c r="AL8" s="20">
        <f t="shared" si="7"/>
        <v>12.200000000000001</v>
      </c>
      <c r="AM8" s="20">
        <f t="shared" si="8"/>
        <v>21</v>
      </c>
      <c r="AN8" s="20">
        <f t="shared" si="9"/>
        <v>23.45</v>
      </c>
      <c r="AO8" s="20">
        <f t="shared" si="10"/>
        <v>11.15</v>
      </c>
      <c r="AP8" s="20">
        <f t="shared" si="11"/>
        <v>13</v>
      </c>
      <c r="AQ8" s="20">
        <f t="shared" si="12"/>
        <v>30.2</v>
      </c>
      <c r="AR8" s="20">
        <f t="shared" si="13"/>
        <v>43.75</v>
      </c>
      <c r="AS8" s="35">
        <f>SUM(AF8:AR8)</f>
        <v>274.14999999999998</v>
      </c>
      <c r="AU8" s="53">
        <v>344695</v>
      </c>
      <c r="AV8" s="37">
        <f>IF((AU8-AU7&lt;0),"0",AU8-AU7)</f>
        <v>1819</v>
      </c>
      <c r="AW8" s="35">
        <f t="shared" si="14"/>
        <v>3.6379999999999999</v>
      </c>
    </row>
    <row r="9" spans="1:49" x14ac:dyDescent="0.25">
      <c r="A9" s="23">
        <v>44503</v>
      </c>
      <c r="B9" s="40">
        <v>106</v>
      </c>
      <c r="C9" s="24">
        <v>7378750</v>
      </c>
      <c r="D9" s="24">
        <v>17465150</v>
      </c>
      <c r="E9" s="24">
        <v>3103920</v>
      </c>
      <c r="F9" s="24">
        <v>3739090</v>
      </c>
      <c r="G9" s="24">
        <v>11013130</v>
      </c>
      <c r="H9" s="24">
        <v>6044370</v>
      </c>
      <c r="I9" s="24">
        <v>5428450</v>
      </c>
      <c r="J9" s="24">
        <v>6544850</v>
      </c>
      <c r="K9" s="24">
        <v>9980030</v>
      </c>
      <c r="L9" s="24">
        <v>4214030</v>
      </c>
      <c r="M9" s="24">
        <v>8358370</v>
      </c>
      <c r="N9" s="24">
        <v>13087770</v>
      </c>
      <c r="O9" s="24">
        <v>18072820</v>
      </c>
      <c r="Q9" s="37">
        <f t="shared" ref="Q9:Q30" si="17">IF((C9-C8&lt;0), "0",C9-C8)</f>
        <v>14200</v>
      </c>
      <c r="R9" s="37">
        <f t="shared" ref="R9:R35" si="18">IF((D9-D8&lt;0), "0",D9-D8)</f>
        <v>3670</v>
      </c>
      <c r="S9" s="37">
        <f t="shared" si="16"/>
        <v>40</v>
      </c>
      <c r="T9" s="37">
        <f t="shared" ref="T9:T35" si="19">IF((F9-F8&lt;0), "0",F9-F8)</f>
        <v>1670</v>
      </c>
      <c r="U9" s="37">
        <f t="shared" ref="U9:U35" si="20">IF((G9-G8&lt;0), "0",G9-G8)</f>
        <v>4360</v>
      </c>
      <c r="V9" s="37">
        <f t="shared" ref="V9:V35" si="21">IF((H9-H8&lt;0), "0",H9-H8)</f>
        <v>4000</v>
      </c>
      <c r="W9" s="37">
        <f t="shared" ref="W9:W35" si="22">IF((I9-I8&lt;0), "0",I9-I8)</f>
        <v>2530</v>
      </c>
      <c r="X9" s="37">
        <f t="shared" ref="X9:X35" si="23">IF((J9-J8&lt;0), "0",J9-J8)</f>
        <v>4830</v>
      </c>
      <c r="Y9" s="37">
        <f t="shared" ref="Y9:Y35" si="24">IF((K9-K8&lt;0), "0",K9-K8)</f>
        <v>5260</v>
      </c>
      <c r="Z9" s="37">
        <f t="shared" ref="Z9:Z35" si="25">IF((L9-L8&lt;0), "0",L9-L8)</f>
        <v>2710</v>
      </c>
      <c r="AA9" s="37">
        <f t="shared" ref="AA9:AA35" si="26">IF((M9-M8&lt;0), "0",M9-M8)</f>
        <v>3060</v>
      </c>
      <c r="AB9" s="37">
        <f t="shared" ref="AB9:AB37" si="27">IF((N9-N8&lt;0), "0",N9-N8)</f>
        <v>7060</v>
      </c>
      <c r="AC9" s="37">
        <f t="shared" ref="AC9:AC37" si="28">IF((O9-O8&lt;0), "0",O9-O8)</f>
        <v>10410</v>
      </c>
      <c r="AD9" s="35">
        <f t="shared" ref="AD9:AD37" si="29">SUM(Q9:AC9)</f>
        <v>63800</v>
      </c>
      <c r="AF9" s="20">
        <f t="shared" si="1"/>
        <v>71</v>
      </c>
      <c r="AG9" s="20">
        <f t="shared" si="2"/>
        <v>18.350000000000001</v>
      </c>
      <c r="AH9" s="20">
        <f t="shared" si="3"/>
        <v>0.2</v>
      </c>
      <c r="AI9" s="20">
        <f t="shared" si="4"/>
        <v>8.35</v>
      </c>
      <c r="AJ9" s="20">
        <f t="shared" si="5"/>
        <v>21.8</v>
      </c>
      <c r="AK9" s="20">
        <f t="shared" si="6"/>
        <v>20</v>
      </c>
      <c r="AL9" s="20">
        <f t="shared" si="7"/>
        <v>12.65</v>
      </c>
      <c r="AM9" s="20">
        <f t="shared" si="8"/>
        <v>24.150000000000002</v>
      </c>
      <c r="AN9" s="20">
        <f t="shared" si="9"/>
        <v>26.3</v>
      </c>
      <c r="AO9" s="20">
        <f t="shared" si="10"/>
        <v>13.55</v>
      </c>
      <c r="AP9" s="20">
        <f t="shared" si="11"/>
        <v>15.3</v>
      </c>
      <c r="AQ9" s="20">
        <f t="shared" si="12"/>
        <v>35.300000000000004</v>
      </c>
      <c r="AR9" s="20">
        <f t="shared" si="13"/>
        <v>52.050000000000004</v>
      </c>
      <c r="AS9" s="35">
        <f t="shared" ref="AS9:AS33" si="30">SUM(AF9:AR9)</f>
        <v>319.00000000000006</v>
      </c>
      <c r="AU9" s="53">
        <v>347201</v>
      </c>
      <c r="AV9" s="37">
        <f t="shared" ref="AV9" si="31">IF((AU9-AU8&lt;0),"0",AU9-AU8)</f>
        <v>2506</v>
      </c>
      <c r="AW9" s="35">
        <f t="shared" si="14"/>
        <v>5.0120000000000005</v>
      </c>
    </row>
    <row r="10" spans="1:49" x14ac:dyDescent="0.25">
      <c r="A10" s="23">
        <v>44504</v>
      </c>
      <c r="B10" s="40">
        <v>156</v>
      </c>
      <c r="C10" s="24">
        <v>7392700</v>
      </c>
      <c r="D10" s="24">
        <v>17468800</v>
      </c>
      <c r="E10" s="24">
        <v>3104000</v>
      </c>
      <c r="F10" s="24">
        <v>3740770</v>
      </c>
      <c r="G10" s="24">
        <v>11017730</v>
      </c>
      <c r="H10" s="24">
        <v>6048450</v>
      </c>
      <c r="I10" s="24">
        <v>5430920</v>
      </c>
      <c r="J10" s="24">
        <v>6549560</v>
      </c>
      <c r="K10" s="24">
        <v>9985680</v>
      </c>
      <c r="L10" s="24">
        <v>4216740</v>
      </c>
      <c r="M10" s="24">
        <v>8361670</v>
      </c>
      <c r="N10" s="24">
        <v>13095100</v>
      </c>
      <c r="O10" s="24">
        <v>18083230</v>
      </c>
      <c r="Q10" s="37">
        <f t="shared" si="17"/>
        <v>13950</v>
      </c>
      <c r="R10" s="37">
        <f t="shared" si="18"/>
        <v>3650</v>
      </c>
      <c r="S10" s="37">
        <f t="shared" si="16"/>
        <v>80</v>
      </c>
      <c r="T10" s="37">
        <f t="shared" si="19"/>
        <v>1680</v>
      </c>
      <c r="U10" s="37">
        <f t="shared" si="20"/>
        <v>4600</v>
      </c>
      <c r="V10" s="37">
        <f t="shared" si="21"/>
        <v>4080</v>
      </c>
      <c r="W10" s="37">
        <f t="shared" si="22"/>
        <v>2470</v>
      </c>
      <c r="X10" s="37">
        <f t="shared" si="23"/>
        <v>4710</v>
      </c>
      <c r="Y10" s="37">
        <f t="shared" si="24"/>
        <v>5650</v>
      </c>
      <c r="Z10" s="37">
        <f t="shared" si="25"/>
        <v>2710</v>
      </c>
      <c r="AA10" s="37">
        <f t="shared" si="26"/>
        <v>3300</v>
      </c>
      <c r="AB10" s="37">
        <f t="shared" si="27"/>
        <v>7330</v>
      </c>
      <c r="AC10" s="37">
        <f t="shared" si="28"/>
        <v>10410</v>
      </c>
      <c r="AD10" s="35">
        <f t="shared" si="29"/>
        <v>64620</v>
      </c>
      <c r="AF10" s="20">
        <f t="shared" si="1"/>
        <v>69.75</v>
      </c>
      <c r="AG10" s="20">
        <f t="shared" si="2"/>
        <v>18.25</v>
      </c>
      <c r="AH10" s="20">
        <f t="shared" si="3"/>
        <v>0.4</v>
      </c>
      <c r="AI10" s="20">
        <f t="shared" si="4"/>
        <v>8.4</v>
      </c>
      <c r="AJ10" s="20">
        <f t="shared" si="5"/>
        <v>23</v>
      </c>
      <c r="AK10" s="20">
        <f t="shared" si="6"/>
        <v>20.400000000000002</v>
      </c>
      <c r="AL10" s="20">
        <f t="shared" si="7"/>
        <v>12.35</v>
      </c>
      <c r="AM10" s="20">
        <f t="shared" si="8"/>
        <v>23.55</v>
      </c>
      <c r="AN10" s="20">
        <f t="shared" si="9"/>
        <v>28.25</v>
      </c>
      <c r="AO10" s="20">
        <f t="shared" si="10"/>
        <v>13.55</v>
      </c>
      <c r="AP10" s="20">
        <f t="shared" si="11"/>
        <v>16.5</v>
      </c>
      <c r="AQ10" s="20">
        <f t="shared" si="12"/>
        <v>36.65</v>
      </c>
      <c r="AR10" s="20">
        <f t="shared" si="13"/>
        <v>52.050000000000004</v>
      </c>
      <c r="AS10" s="35">
        <f t="shared" si="30"/>
        <v>323.10000000000002</v>
      </c>
      <c r="AU10" s="53">
        <v>349510</v>
      </c>
      <c r="AV10" s="37">
        <f t="shared" ref="AV10:AV26" si="32">IF((AU10-AU9&lt;0),"0",AU10-AU9)</f>
        <v>2309</v>
      </c>
      <c r="AW10" s="35">
        <f t="shared" si="14"/>
        <v>4.6180000000000003</v>
      </c>
    </row>
    <row r="11" spans="1:49" x14ac:dyDescent="0.25">
      <c r="A11" s="23">
        <v>44505</v>
      </c>
      <c r="B11" s="40">
        <v>149</v>
      </c>
      <c r="C11" s="24">
        <v>7405990</v>
      </c>
      <c r="D11" s="24">
        <v>17472480</v>
      </c>
      <c r="E11" s="24">
        <v>3104080</v>
      </c>
      <c r="F11" s="24">
        <v>3742450</v>
      </c>
      <c r="G11" s="24">
        <v>11022330</v>
      </c>
      <c r="H11" s="24">
        <v>6052620</v>
      </c>
      <c r="I11" s="24">
        <v>5433410</v>
      </c>
      <c r="J11" s="24">
        <v>6554380</v>
      </c>
      <c r="K11" s="24">
        <v>9991740</v>
      </c>
      <c r="L11" s="24">
        <v>4219520</v>
      </c>
      <c r="M11" s="24">
        <v>8364950</v>
      </c>
      <c r="N11" s="24">
        <v>13102390</v>
      </c>
      <c r="O11" s="24">
        <v>18095430</v>
      </c>
      <c r="Q11" s="37">
        <f t="shared" si="17"/>
        <v>13290</v>
      </c>
      <c r="R11" s="37">
        <f t="shared" si="18"/>
        <v>3680</v>
      </c>
      <c r="S11" s="37">
        <f t="shared" si="16"/>
        <v>80</v>
      </c>
      <c r="T11" s="37">
        <f t="shared" si="19"/>
        <v>1680</v>
      </c>
      <c r="U11" s="37">
        <f t="shared" si="20"/>
        <v>4600</v>
      </c>
      <c r="V11" s="37">
        <f t="shared" si="21"/>
        <v>4170</v>
      </c>
      <c r="W11" s="37">
        <f t="shared" si="22"/>
        <v>2490</v>
      </c>
      <c r="X11" s="37">
        <f t="shared" si="23"/>
        <v>4820</v>
      </c>
      <c r="Y11" s="37">
        <f t="shared" si="24"/>
        <v>6060</v>
      </c>
      <c r="Z11" s="37">
        <f t="shared" si="25"/>
        <v>2780</v>
      </c>
      <c r="AA11" s="37">
        <f t="shared" si="26"/>
        <v>3280</v>
      </c>
      <c r="AB11" s="37">
        <f t="shared" si="27"/>
        <v>7290</v>
      </c>
      <c r="AC11" s="37">
        <f t="shared" si="28"/>
        <v>12200</v>
      </c>
      <c r="AD11" s="35">
        <f t="shared" si="29"/>
        <v>66420</v>
      </c>
      <c r="AF11" s="20">
        <f t="shared" si="1"/>
        <v>66.45</v>
      </c>
      <c r="AG11" s="20">
        <f t="shared" si="2"/>
        <v>18.400000000000002</v>
      </c>
      <c r="AH11" s="20">
        <f t="shared" si="3"/>
        <v>0.4</v>
      </c>
      <c r="AI11" s="20">
        <f t="shared" si="4"/>
        <v>8.4</v>
      </c>
      <c r="AJ11" s="20">
        <f t="shared" si="5"/>
        <v>23</v>
      </c>
      <c r="AK11" s="20">
        <f t="shared" si="6"/>
        <v>20.85</v>
      </c>
      <c r="AL11" s="20">
        <f t="shared" si="7"/>
        <v>12.450000000000001</v>
      </c>
      <c r="AM11" s="20">
        <f t="shared" si="8"/>
        <v>24.1</v>
      </c>
      <c r="AN11" s="20">
        <f t="shared" si="9"/>
        <v>30.3</v>
      </c>
      <c r="AO11" s="20">
        <f t="shared" si="10"/>
        <v>13.9</v>
      </c>
      <c r="AP11" s="20">
        <f t="shared" si="11"/>
        <v>16.399999999999999</v>
      </c>
      <c r="AQ11" s="20">
        <f t="shared" si="12"/>
        <v>36.450000000000003</v>
      </c>
      <c r="AR11" s="20">
        <f t="shared" si="13"/>
        <v>61</v>
      </c>
      <c r="AS11" s="35">
        <f t="shared" si="30"/>
        <v>332.1</v>
      </c>
      <c r="AU11" s="53">
        <v>351612</v>
      </c>
      <c r="AV11" s="37">
        <f t="shared" si="32"/>
        <v>2102</v>
      </c>
      <c r="AW11" s="35">
        <f t="shared" si="14"/>
        <v>4.2039999999999997</v>
      </c>
    </row>
    <row r="12" spans="1:49" x14ac:dyDescent="0.25">
      <c r="A12" s="23">
        <v>44506</v>
      </c>
      <c r="B12" s="40">
        <v>79</v>
      </c>
      <c r="C12" s="46">
        <v>7418470</v>
      </c>
      <c r="D12" s="24">
        <v>17476010</v>
      </c>
      <c r="E12" s="24">
        <v>3104150</v>
      </c>
      <c r="F12" s="24">
        <v>3744050</v>
      </c>
      <c r="G12" s="24">
        <v>11026780</v>
      </c>
      <c r="H12" s="24">
        <v>6056640</v>
      </c>
      <c r="I12" s="24">
        <v>5435780</v>
      </c>
      <c r="J12" s="24">
        <v>6558910</v>
      </c>
      <c r="K12" s="24">
        <v>9997400</v>
      </c>
      <c r="L12" s="24">
        <v>4222070</v>
      </c>
      <c r="M12" s="24">
        <v>8368130</v>
      </c>
      <c r="N12" s="24">
        <v>13109250</v>
      </c>
      <c r="O12" s="24">
        <v>18105400</v>
      </c>
      <c r="Q12" s="37">
        <f t="shared" si="17"/>
        <v>12480</v>
      </c>
      <c r="R12" s="37">
        <f t="shared" si="18"/>
        <v>3530</v>
      </c>
      <c r="S12" s="37">
        <f t="shared" si="16"/>
        <v>70</v>
      </c>
      <c r="T12" s="37">
        <f t="shared" ref="T12:W14" si="33">IF((F12-F11&lt;0), "0",F12-F11)</f>
        <v>1600</v>
      </c>
      <c r="U12" s="37">
        <f t="shared" si="33"/>
        <v>4450</v>
      </c>
      <c r="V12" s="37">
        <f t="shared" si="33"/>
        <v>4020</v>
      </c>
      <c r="W12" s="37">
        <f t="shared" si="33"/>
        <v>2370</v>
      </c>
      <c r="X12" s="37">
        <f t="shared" si="23"/>
        <v>4530</v>
      </c>
      <c r="Y12" s="37">
        <f t="shared" si="24"/>
        <v>5660</v>
      </c>
      <c r="Z12" s="37">
        <f>IF((L12-L11&lt;0), "0",L12-L11)</f>
        <v>2550</v>
      </c>
      <c r="AA12" s="37">
        <f t="shared" si="26"/>
        <v>3180</v>
      </c>
      <c r="AB12" s="37">
        <f t="shared" si="27"/>
        <v>6860</v>
      </c>
      <c r="AC12" s="37">
        <f t="shared" si="28"/>
        <v>9970</v>
      </c>
      <c r="AD12" s="35">
        <f t="shared" si="29"/>
        <v>61270</v>
      </c>
      <c r="AF12" s="20">
        <f t="shared" si="1"/>
        <v>62.4</v>
      </c>
      <c r="AG12" s="20">
        <f t="shared" si="2"/>
        <v>17.650000000000002</v>
      </c>
      <c r="AH12" s="20">
        <f t="shared" si="3"/>
        <v>0.35000000000000003</v>
      </c>
      <c r="AI12" s="20">
        <f t="shared" si="4"/>
        <v>8</v>
      </c>
      <c r="AJ12" s="20">
        <f t="shared" si="5"/>
        <v>22.25</v>
      </c>
      <c r="AK12" s="20">
        <f t="shared" si="6"/>
        <v>20.100000000000001</v>
      </c>
      <c r="AL12" s="20">
        <f t="shared" si="7"/>
        <v>11.85</v>
      </c>
      <c r="AM12" s="20">
        <f t="shared" si="8"/>
        <v>22.650000000000002</v>
      </c>
      <c r="AN12" s="20">
        <f t="shared" si="9"/>
        <v>28.3</v>
      </c>
      <c r="AO12" s="20">
        <f t="shared" si="10"/>
        <v>12.75</v>
      </c>
      <c r="AP12" s="20">
        <f t="shared" si="11"/>
        <v>15.9</v>
      </c>
      <c r="AQ12" s="20">
        <f t="shared" si="12"/>
        <v>34.300000000000004</v>
      </c>
      <c r="AR12" s="20">
        <f t="shared" si="13"/>
        <v>49.85</v>
      </c>
      <c r="AS12" s="35">
        <f t="shared" si="30"/>
        <v>306.35000000000002</v>
      </c>
      <c r="AU12" s="53">
        <v>353774</v>
      </c>
      <c r="AV12" s="37">
        <f t="shared" si="32"/>
        <v>2162</v>
      </c>
      <c r="AW12" s="35">
        <f t="shared" si="14"/>
        <v>4.3239999999999998</v>
      </c>
    </row>
    <row r="13" spans="1:49" x14ac:dyDescent="0.25">
      <c r="A13" s="23">
        <v>44507</v>
      </c>
      <c r="B13" s="40">
        <v>54</v>
      </c>
      <c r="C13" s="24">
        <v>7426960</v>
      </c>
      <c r="D13" s="24">
        <v>17484770</v>
      </c>
      <c r="E13" s="24">
        <v>3104240</v>
      </c>
      <c r="F13" s="24">
        <v>3745740</v>
      </c>
      <c r="G13" s="24">
        <v>11031120</v>
      </c>
      <c r="H13" s="24">
        <v>6060620</v>
      </c>
      <c r="I13" s="24">
        <v>5438390</v>
      </c>
      <c r="J13" s="24">
        <v>6563320</v>
      </c>
      <c r="K13" s="24">
        <v>10003420</v>
      </c>
      <c r="L13" s="24">
        <v>4224670</v>
      </c>
      <c r="M13" s="24">
        <v>8371190</v>
      </c>
      <c r="N13" s="24">
        <v>13116620</v>
      </c>
      <c r="O13" s="24">
        <v>18116740</v>
      </c>
      <c r="Q13" s="37">
        <f t="shared" si="17"/>
        <v>8490</v>
      </c>
      <c r="R13" s="37">
        <f t="shared" si="18"/>
        <v>8760</v>
      </c>
      <c r="S13" s="37">
        <f t="shared" si="16"/>
        <v>90</v>
      </c>
      <c r="T13" s="37">
        <f t="shared" si="33"/>
        <v>1690</v>
      </c>
      <c r="U13" s="37">
        <f t="shared" si="33"/>
        <v>4340</v>
      </c>
      <c r="V13" s="37">
        <f t="shared" si="33"/>
        <v>3980</v>
      </c>
      <c r="W13" s="37">
        <f t="shared" si="33"/>
        <v>2610</v>
      </c>
      <c r="X13" s="37">
        <f t="shared" si="23"/>
        <v>4410</v>
      </c>
      <c r="Y13" s="37">
        <f t="shared" si="24"/>
        <v>6020</v>
      </c>
      <c r="Z13" s="37">
        <f>IF((L13-L12&lt;0), "0",L13-L12)</f>
        <v>2600</v>
      </c>
      <c r="AA13" s="37">
        <f t="shared" si="26"/>
        <v>3060</v>
      </c>
      <c r="AB13" s="37">
        <f t="shared" si="27"/>
        <v>7370</v>
      </c>
      <c r="AC13" s="37">
        <f t="shared" si="28"/>
        <v>11340</v>
      </c>
      <c r="AD13" s="35">
        <f t="shared" si="29"/>
        <v>64760</v>
      </c>
      <c r="AF13" s="20">
        <f t="shared" si="1"/>
        <v>42.45</v>
      </c>
      <c r="AG13" s="20">
        <f t="shared" si="2"/>
        <v>43.800000000000004</v>
      </c>
      <c r="AH13" s="20">
        <f t="shared" si="3"/>
        <v>0.45</v>
      </c>
      <c r="AI13" s="20">
        <f t="shared" si="4"/>
        <v>8.4499999999999993</v>
      </c>
      <c r="AJ13" s="20">
        <f t="shared" si="5"/>
        <v>21.7</v>
      </c>
      <c r="AK13" s="20">
        <f t="shared" si="6"/>
        <v>19.900000000000002</v>
      </c>
      <c r="AL13" s="20">
        <f t="shared" si="7"/>
        <v>13.05</v>
      </c>
      <c r="AM13" s="20">
        <f t="shared" si="8"/>
        <v>22.05</v>
      </c>
      <c r="AN13" s="20">
        <f t="shared" si="9"/>
        <v>30.1</v>
      </c>
      <c r="AO13" s="20">
        <f t="shared" si="10"/>
        <v>13</v>
      </c>
      <c r="AP13" s="20">
        <f t="shared" si="11"/>
        <v>15.3</v>
      </c>
      <c r="AQ13" s="20">
        <f t="shared" si="12"/>
        <v>36.85</v>
      </c>
      <c r="AR13" s="20">
        <f t="shared" si="13"/>
        <v>56.7</v>
      </c>
      <c r="AS13" s="35">
        <f t="shared" si="30"/>
        <v>323.8</v>
      </c>
      <c r="AU13" s="53">
        <v>355857</v>
      </c>
      <c r="AV13" s="37">
        <f t="shared" si="32"/>
        <v>2083</v>
      </c>
      <c r="AW13" s="35">
        <f t="shared" si="14"/>
        <v>4.1660000000000004</v>
      </c>
    </row>
    <row r="14" spans="1:49" x14ac:dyDescent="0.25">
      <c r="A14" s="23">
        <v>44508</v>
      </c>
      <c r="B14" s="40">
        <v>46</v>
      </c>
      <c r="C14" s="24">
        <v>7427910</v>
      </c>
      <c r="D14" s="24">
        <v>17498950</v>
      </c>
      <c r="E14" s="24">
        <v>3104310</v>
      </c>
      <c r="F14" s="24">
        <v>3747250</v>
      </c>
      <c r="G14" s="24">
        <v>11035160</v>
      </c>
      <c r="H14" s="24">
        <v>6064210</v>
      </c>
      <c r="I14" s="24">
        <v>5440680</v>
      </c>
      <c r="J14" s="24">
        <v>6567550</v>
      </c>
      <c r="K14" s="24">
        <v>10009420</v>
      </c>
      <c r="L14" s="24">
        <v>4226960</v>
      </c>
      <c r="M14" s="24">
        <v>8373830</v>
      </c>
      <c r="N14" s="24">
        <v>13123110</v>
      </c>
      <c r="O14" s="24">
        <v>18126900</v>
      </c>
      <c r="P14" s="50"/>
      <c r="Q14" s="37">
        <f t="shared" si="17"/>
        <v>950</v>
      </c>
      <c r="R14" s="37">
        <f t="shared" si="18"/>
        <v>14180</v>
      </c>
      <c r="S14" s="37">
        <f t="shared" si="16"/>
        <v>70</v>
      </c>
      <c r="T14" s="37">
        <f t="shared" si="33"/>
        <v>1510</v>
      </c>
      <c r="U14" s="37">
        <f t="shared" si="33"/>
        <v>4040</v>
      </c>
      <c r="V14" s="37">
        <f t="shared" si="33"/>
        <v>3590</v>
      </c>
      <c r="W14" s="37">
        <f t="shared" si="33"/>
        <v>2290</v>
      </c>
      <c r="X14" s="37">
        <f t="shared" si="23"/>
        <v>4230</v>
      </c>
      <c r="Y14" s="37">
        <f t="shared" si="24"/>
        <v>6000</v>
      </c>
      <c r="Z14" s="37">
        <f>IF((L14-L13&lt;0), "0",L14-L13)</f>
        <v>2290</v>
      </c>
      <c r="AA14" s="37">
        <f t="shared" si="26"/>
        <v>2640</v>
      </c>
      <c r="AB14" s="37">
        <f t="shared" si="27"/>
        <v>6490</v>
      </c>
      <c r="AC14" s="37">
        <f t="shared" si="28"/>
        <v>10160</v>
      </c>
      <c r="AD14" s="35">
        <f t="shared" si="29"/>
        <v>58440</v>
      </c>
      <c r="AF14" s="20">
        <f t="shared" si="1"/>
        <v>4.75</v>
      </c>
      <c r="AG14" s="20">
        <f t="shared" si="2"/>
        <v>70.900000000000006</v>
      </c>
      <c r="AH14" s="20">
        <f t="shared" si="3"/>
        <v>0.35000000000000003</v>
      </c>
      <c r="AI14" s="20">
        <f t="shared" si="4"/>
        <v>7.55</v>
      </c>
      <c r="AJ14" s="20">
        <f t="shared" si="5"/>
        <v>20.2</v>
      </c>
      <c r="AK14" s="20">
        <f t="shared" si="6"/>
        <v>17.95</v>
      </c>
      <c r="AL14" s="20">
        <f t="shared" si="7"/>
        <v>11.450000000000001</v>
      </c>
      <c r="AM14" s="20">
        <f t="shared" si="8"/>
        <v>21.150000000000002</v>
      </c>
      <c r="AN14" s="20">
        <f t="shared" si="9"/>
        <v>30</v>
      </c>
      <c r="AO14" s="20">
        <f t="shared" si="10"/>
        <v>11.450000000000001</v>
      </c>
      <c r="AP14" s="20">
        <f t="shared" si="11"/>
        <v>13.200000000000001</v>
      </c>
      <c r="AQ14" s="20">
        <f t="shared" si="12"/>
        <v>32.450000000000003</v>
      </c>
      <c r="AR14" s="20">
        <f t="shared" si="13"/>
        <v>50.800000000000004</v>
      </c>
      <c r="AS14" s="35">
        <f t="shared" si="30"/>
        <v>292.2</v>
      </c>
      <c r="AU14" s="53">
        <v>357620</v>
      </c>
      <c r="AV14" s="37">
        <f t="shared" si="32"/>
        <v>1763</v>
      </c>
      <c r="AW14" s="35">
        <f t="shared" si="14"/>
        <v>3.5260000000000002</v>
      </c>
    </row>
    <row r="15" spans="1:49" x14ac:dyDescent="0.25">
      <c r="A15" s="23">
        <v>44509</v>
      </c>
      <c r="B15" s="40">
        <v>44</v>
      </c>
      <c r="C15" s="24">
        <v>7428510</v>
      </c>
      <c r="D15" s="24">
        <v>17507580</v>
      </c>
      <c r="E15" s="24">
        <v>3105850</v>
      </c>
      <c r="F15" s="24">
        <v>3748730</v>
      </c>
      <c r="G15" s="24">
        <v>11039100</v>
      </c>
      <c r="H15" s="24">
        <v>6068290</v>
      </c>
      <c r="I15" s="24">
        <v>5443400</v>
      </c>
      <c r="J15" s="24">
        <v>6572300</v>
      </c>
      <c r="K15" s="24">
        <v>10014600</v>
      </c>
      <c r="L15" s="24">
        <v>4229230</v>
      </c>
      <c r="M15" s="24">
        <v>8376540</v>
      </c>
      <c r="N15" s="24">
        <v>13129980</v>
      </c>
      <c r="O15" s="24">
        <v>18138760</v>
      </c>
      <c r="Q15" s="37">
        <f t="shared" si="17"/>
        <v>600</v>
      </c>
      <c r="R15" s="37">
        <f t="shared" si="18"/>
        <v>8630</v>
      </c>
      <c r="S15" s="37">
        <f t="shared" si="16"/>
        <v>1540</v>
      </c>
      <c r="T15" s="37">
        <f t="shared" si="19"/>
        <v>1480</v>
      </c>
      <c r="U15" s="37">
        <f t="shared" si="20"/>
        <v>3940</v>
      </c>
      <c r="V15" s="37">
        <f t="shared" si="21"/>
        <v>4080</v>
      </c>
      <c r="W15" s="37">
        <f t="shared" si="22"/>
        <v>2720</v>
      </c>
      <c r="X15" s="37">
        <f t="shared" si="23"/>
        <v>4750</v>
      </c>
      <c r="Y15" s="37">
        <f t="shared" si="24"/>
        <v>5180</v>
      </c>
      <c r="Z15" s="37">
        <f t="shared" si="25"/>
        <v>2270</v>
      </c>
      <c r="AA15" s="37">
        <f t="shared" si="26"/>
        <v>2710</v>
      </c>
      <c r="AB15" s="37">
        <f t="shared" si="27"/>
        <v>6870</v>
      </c>
      <c r="AC15" s="37">
        <f t="shared" si="28"/>
        <v>11860</v>
      </c>
      <c r="AD15" s="35">
        <f t="shared" si="29"/>
        <v>56630</v>
      </c>
      <c r="AF15" s="20">
        <f t="shared" si="1"/>
        <v>3</v>
      </c>
      <c r="AG15" s="20">
        <f t="shared" si="2"/>
        <v>43.15</v>
      </c>
      <c r="AH15" s="20">
        <f t="shared" si="3"/>
        <v>7.7</v>
      </c>
      <c r="AI15" s="20">
        <f t="shared" si="4"/>
        <v>7.4</v>
      </c>
      <c r="AJ15" s="20">
        <f t="shared" si="5"/>
        <v>19.7</v>
      </c>
      <c r="AK15" s="20">
        <f t="shared" si="6"/>
        <v>20.400000000000002</v>
      </c>
      <c r="AL15" s="20">
        <f t="shared" si="7"/>
        <v>13.6</v>
      </c>
      <c r="AM15" s="20">
        <f t="shared" si="8"/>
        <v>23.75</v>
      </c>
      <c r="AN15" s="20">
        <f t="shared" si="9"/>
        <v>25.900000000000002</v>
      </c>
      <c r="AO15" s="20">
        <f t="shared" si="10"/>
        <v>11.35</v>
      </c>
      <c r="AP15" s="20">
        <f t="shared" si="11"/>
        <v>13.55</v>
      </c>
      <c r="AQ15" s="20">
        <f t="shared" si="12"/>
        <v>34.35</v>
      </c>
      <c r="AR15" s="20">
        <f t="shared" si="13"/>
        <v>59.300000000000004</v>
      </c>
      <c r="AS15" s="35">
        <f t="shared" si="30"/>
        <v>283.14999999999998</v>
      </c>
      <c r="AU15" s="53">
        <v>359652</v>
      </c>
      <c r="AV15" s="37">
        <f t="shared" si="32"/>
        <v>2032</v>
      </c>
      <c r="AW15" s="35">
        <f t="shared" si="14"/>
        <v>4.0640000000000001</v>
      </c>
    </row>
    <row r="16" spans="1:49" x14ac:dyDescent="0.25">
      <c r="A16" s="23">
        <v>44510</v>
      </c>
      <c r="B16" s="40">
        <v>66</v>
      </c>
      <c r="C16" s="24">
        <v>7429060</v>
      </c>
      <c r="D16" s="24">
        <v>17509480</v>
      </c>
      <c r="E16" s="24">
        <v>3109480</v>
      </c>
      <c r="F16" s="24">
        <v>3750280</v>
      </c>
      <c r="G16" s="24">
        <v>11043370</v>
      </c>
      <c r="H16" s="24">
        <v>6072520</v>
      </c>
      <c r="I16" s="24">
        <v>5446220</v>
      </c>
      <c r="J16" s="24">
        <v>6577260</v>
      </c>
      <c r="K16" s="24">
        <v>10020320</v>
      </c>
      <c r="L16" s="24">
        <v>4231620</v>
      </c>
      <c r="M16" s="24">
        <v>8379260</v>
      </c>
      <c r="N16" s="24">
        <v>13137070</v>
      </c>
      <c r="O16" s="24">
        <v>18150480</v>
      </c>
      <c r="Q16" s="37">
        <f t="shared" si="17"/>
        <v>550</v>
      </c>
      <c r="R16" s="37">
        <f t="shared" si="18"/>
        <v>1900</v>
      </c>
      <c r="S16" s="37">
        <f t="shared" si="16"/>
        <v>3630</v>
      </c>
      <c r="T16" s="37">
        <f t="shared" si="19"/>
        <v>1550</v>
      </c>
      <c r="U16" s="37">
        <f t="shared" si="20"/>
        <v>4270</v>
      </c>
      <c r="V16" s="37">
        <f t="shared" si="21"/>
        <v>4230</v>
      </c>
      <c r="W16" s="37">
        <f t="shared" si="22"/>
        <v>2820</v>
      </c>
      <c r="X16" s="37">
        <f t="shared" si="23"/>
        <v>4960</v>
      </c>
      <c r="Y16" s="37">
        <f t="shared" si="24"/>
        <v>5720</v>
      </c>
      <c r="Z16" s="37">
        <f t="shared" si="25"/>
        <v>2390</v>
      </c>
      <c r="AA16" s="37">
        <f t="shared" si="26"/>
        <v>2720</v>
      </c>
      <c r="AB16" s="37">
        <f t="shared" si="27"/>
        <v>7090</v>
      </c>
      <c r="AC16" s="37">
        <f t="shared" si="28"/>
        <v>11720</v>
      </c>
      <c r="AD16" s="35">
        <f t="shared" si="29"/>
        <v>53550</v>
      </c>
      <c r="AF16" s="20">
        <f t="shared" si="1"/>
        <v>2.75</v>
      </c>
      <c r="AG16" s="20">
        <f t="shared" si="2"/>
        <v>9.5</v>
      </c>
      <c r="AH16" s="20">
        <f t="shared" si="3"/>
        <v>18.150000000000002</v>
      </c>
      <c r="AI16" s="20">
        <f t="shared" si="4"/>
        <v>7.75</v>
      </c>
      <c r="AJ16" s="20">
        <f t="shared" si="5"/>
        <v>21.35</v>
      </c>
      <c r="AK16" s="20">
        <f t="shared" si="6"/>
        <v>21.150000000000002</v>
      </c>
      <c r="AL16" s="20">
        <f t="shared" si="7"/>
        <v>14.1</v>
      </c>
      <c r="AM16" s="20">
        <f t="shared" si="8"/>
        <v>24.8</v>
      </c>
      <c r="AN16" s="20">
        <f t="shared" si="9"/>
        <v>28.6</v>
      </c>
      <c r="AO16" s="20">
        <f t="shared" si="10"/>
        <v>11.950000000000001</v>
      </c>
      <c r="AP16" s="20">
        <f t="shared" si="11"/>
        <v>13.6</v>
      </c>
      <c r="AQ16" s="20">
        <f t="shared" si="12"/>
        <v>35.450000000000003</v>
      </c>
      <c r="AR16" s="20">
        <f t="shared" si="13"/>
        <v>58.6</v>
      </c>
      <c r="AS16" s="35">
        <f t="shared" si="30"/>
        <v>267.75</v>
      </c>
      <c r="AU16" s="53">
        <v>361922</v>
      </c>
      <c r="AV16" s="37">
        <f t="shared" si="32"/>
        <v>2270</v>
      </c>
      <c r="AW16" s="35">
        <f t="shared" si="14"/>
        <v>4.54</v>
      </c>
    </row>
    <row r="17" spans="1:49" x14ac:dyDescent="0.25">
      <c r="A17" s="23">
        <v>44511</v>
      </c>
      <c r="B17" s="40">
        <v>160</v>
      </c>
      <c r="C17" s="24">
        <v>7429680</v>
      </c>
      <c r="D17" s="24">
        <v>17513200</v>
      </c>
      <c r="E17" s="24">
        <v>3113260</v>
      </c>
      <c r="F17" s="24">
        <v>3751820</v>
      </c>
      <c r="G17" s="24">
        <v>11047880</v>
      </c>
      <c r="H17" s="24">
        <v>6076650</v>
      </c>
      <c r="I17" s="24">
        <v>5448600</v>
      </c>
      <c r="J17" s="24">
        <v>6582190</v>
      </c>
      <c r="K17" s="24">
        <v>10026190</v>
      </c>
      <c r="L17" s="24">
        <v>4234250</v>
      </c>
      <c r="M17" s="24">
        <v>8382350</v>
      </c>
      <c r="N17" s="24">
        <v>13144350</v>
      </c>
      <c r="O17" s="24">
        <v>18162930</v>
      </c>
      <c r="Q17" s="37">
        <f t="shared" si="17"/>
        <v>620</v>
      </c>
      <c r="R17" s="37">
        <f t="shared" si="18"/>
        <v>3720</v>
      </c>
      <c r="S17" s="37">
        <f t="shared" si="16"/>
        <v>3780</v>
      </c>
      <c r="T17" s="37">
        <f t="shared" si="19"/>
        <v>1540</v>
      </c>
      <c r="U17" s="37">
        <f t="shared" si="20"/>
        <v>4510</v>
      </c>
      <c r="V17" s="37">
        <f t="shared" si="21"/>
        <v>4130</v>
      </c>
      <c r="W17" s="37">
        <f t="shared" si="22"/>
        <v>2380</v>
      </c>
      <c r="X17" s="37">
        <f t="shared" si="23"/>
        <v>4930</v>
      </c>
      <c r="Y17" s="37">
        <f t="shared" si="24"/>
        <v>5870</v>
      </c>
      <c r="Z17" s="37">
        <f t="shared" si="25"/>
        <v>2630</v>
      </c>
      <c r="AA17" s="37">
        <f t="shared" si="26"/>
        <v>3090</v>
      </c>
      <c r="AB17" s="37">
        <f t="shared" si="27"/>
        <v>7280</v>
      </c>
      <c r="AC17" s="37">
        <f t="shared" si="28"/>
        <v>12450</v>
      </c>
      <c r="AD17" s="35">
        <f t="shared" si="29"/>
        <v>56930</v>
      </c>
      <c r="AF17" s="20">
        <f t="shared" si="1"/>
        <v>3.1</v>
      </c>
      <c r="AG17" s="20">
        <f t="shared" si="2"/>
        <v>18.600000000000001</v>
      </c>
      <c r="AH17" s="20">
        <f t="shared" si="3"/>
        <v>18.900000000000002</v>
      </c>
      <c r="AI17" s="20">
        <f t="shared" si="4"/>
        <v>7.7</v>
      </c>
      <c r="AJ17" s="20">
        <f t="shared" si="5"/>
        <v>22.55</v>
      </c>
      <c r="AK17" s="20">
        <f t="shared" si="6"/>
        <v>20.650000000000002</v>
      </c>
      <c r="AL17" s="20">
        <f t="shared" si="7"/>
        <v>11.9</v>
      </c>
      <c r="AM17" s="20">
        <f t="shared" si="8"/>
        <v>24.650000000000002</v>
      </c>
      <c r="AN17" s="20">
        <f t="shared" si="9"/>
        <v>29.35</v>
      </c>
      <c r="AO17" s="20">
        <f t="shared" si="10"/>
        <v>13.15</v>
      </c>
      <c r="AP17" s="20">
        <f t="shared" si="11"/>
        <v>15.450000000000001</v>
      </c>
      <c r="AQ17" s="20">
        <f t="shared" si="12"/>
        <v>36.4</v>
      </c>
      <c r="AR17" s="20">
        <f t="shared" si="13"/>
        <v>62.25</v>
      </c>
      <c r="AS17" s="35">
        <f t="shared" si="30"/>
        <v>284.64999999999998</v>
      </c>
      <c r="AU17" s="53">
        <v>363881</v>
      </c>
      <c r="AV17" s="37">
        <f t="shared" si="32"/>
        <v>1959</v>
      </c>
      <c r="AW17" s="35">
        <f t="shared" si="14"/>
        <v>3.9180000000000001</v>
      </c>
    </row>
    <row r="18" spans="1:49" x14ac:dyDescent="0.25">
      <c r="A18" s="23">
        <v>44512</v>
      </c>
      <c r="B18" s="40">
        <v>160</v>
      </c>
      <c r="C18" s="24">
        <v>7430570</v>
      </c>
      <c r="D18" s="24">
        <v>17516710</v>
      </c>
      <c r="E18" s="24">
        <v>3117090</v>
      </c>
      <c r="F18" s="24">
        <v>3753530</v>
      </c>
      <c r="G18" s="24">
        <v>11052900</v>
      </c>
      <c r="H18" s="24">
        <v>6081080</v>
      </c>
      <c r="I18" s="24">
        <v>5451100</v>
      </c>
      <c r="J18" s="24">
        <v>6587350</v>
      </c>
      <c r="K18" s="24">
        <v>10032880</v>
      </c>
      <c r="L18" s="24">
        <v>4237180</v>
      </c>
      <c r="M18" s="24">
        <v>8385830</v>
      </c>
      <c r="N18" s="24">
        <v>13152050</v>
      </c>
      <c r="O18" s="24">
        <v>18176370</v>
      </c>
      <c r="Q18" s="37">
        <f t="shared" si="17"/>
        <v>890</v>
      </c>
      <c r="R18" s="37">
        <f t="shared" si="18"/>
        <v>3510</v>
      </c>
      <c r="S18" s="37">
        <f t="shared" si="16"/>
        <v>3830</v>
      </c>
      <c r="T18" s="37">
        <f t="shared" si="19"/>
        <v>1710</v>
      </c>
      <c r="U18" s="37">
        <f t="shared" si="20"/>
        <v>5020</v>
      </c>
      <c r="V18" s="37">
        <f t="shared" si="21"/>
        <v>4430</v>
      </c>
      <c r="W18" s="37">
        <f t="shared" si="22"/>
        <v>2500</v>
      </c>
      <c r="X18" s="37">
        <f t="shared" si="23"/>
        <v>5160</v>
      </c>
      <c r="Y18" s="37">
        <f t="shared" si="24"/>
        <v>6690</v>
      </c>
      <c r="Z18" s="37">
        <f t="shared" si="25"/>
        <v>2930</v>
      </c>
      <c r="AA18" s="37">
        <f t="shared" si="26"/>
        <v>3480</v>
      </c>
      <c r="AB18" s="37">
        <f t="shared" si="27"/>
        <v>7700</v>
      </c>
      <c r="AC18" s="37">
        <f t="shared" si="28"/>
        <v>13440</v>
      </c>
      <c r="AD18" s="35">
        <f t="shared" si="29"/>
        <v>61290</v>
      </c>
      <c r="AF18" s="20">
        <f t="shared" si="1"/>
        <v>4.45</v>
      </c>
      <c r="AG18" s="20">
        <f t="shared" si="2"/>
        <v>17.55</v>
      </c>
      <c r="AH18" s="20">
        <f t="shared" si="3"/>
        <v>19.150000000000002</v>
      </c>
      <c r="AI18" s="20">
        <f t="shared" si="4"/>
        <v>8.5500000000000007</v>
      </c>
      <c r="AJ18" s="20">
        <f t="shared" si="5"/>
        <v>25.1</v>
      </c>
      <c r="AK18" s="20">
        <f t="shared" si="6"/>
        <v>22.150000000000002</v>
      </c>
      <c r="AL18" s="20">
        <f t="shared" si="7"/>
        <v>12.5</v>
      </c>
      <c r="AM18" s="20">
        <f t="shared" si="8"/>
        <v>25.8</v>
      </c>
      <c r="AN18" s="20">
        <f t="shared" si="9"/>
        <v>33.450000000000003</v>
      </c>
      <c r="AO18" s="20">
        <f t="shared" si="10"/>
        <v>14.65</v>
      </c>
      <c r="AP18" s="20">
        <f t="shared" si="11"/>
        <v>17.400000000000002</v>
      </c>
      <c r="AQ18" s="20">
        <f t="shared" si="12"/>
        <v>38.5</v>
      </c>
      <c r="AR18" s="20">
        <f t="shared" si="13"/>
        <v>67.2</v>
      </c>
      <c r="AS18" s="35">
        <f t="shared" si="30"/>
        <v>306.45000000000005</v>
      </c>
      <c r="AU18" s="53">
        <v>366102</v>
      </c>
      <c r="AV18" s="37">
        <f t="shared" si="32"/>
        <v>2221</v>
      </c>
      <c r="AW18" s="35">
        <f t="shared" si="14"/>
        <v>4.4420000000000002</v>
      </c>
    </row>
    <row r="19" spans="1:49" x14ac:dyDescent="0.25">
      <c r="A19" s="23">
        <v>44513</v>
      </c>
      <c r="B19" s="40">
        <v>90</v>
      </c>
      <c r="C19" s="24">
        <v>7431070</v>
      </c>
      <c r="D19" s="24">
        <v>17518460</v>
      </c>
      <c r="E19" s="24">
        <v>3120370</v>
      </c>
      <c r="F19" s="24">
        <v>3755020</v>
      </c>
      <c r="G19" s="24">
        <v>11057410</v>
      </c>
      <c r="H19" s="24">
        <v>6084950</v>
      </c>
      <c r="I19" s="24">
        <v>5453280</v>
      </c>
      <c r="J19" s="24">
        <v>6591940</v>
      </c>
      <c r="K19" s="24">
        <v>10038540</v>
      </c>
      <c r="L19" s="24">
        <v>4239690</v>
      </c>
      <c r="M19" s="24">
        <v>8388870</v>
      </c>
      <c r="N19" s="24">
        <v>13158970</v>
      </c>
      <c r="O19" s="24">
        <v>18187250</v>
      </c>
      <c r="Q19" s="37">
        <f t="shared" si="17"/>
        <v>500</v>
      </c>
      <c r="R19" s="37">
        <f t="shared" si="18"/>
        <v>1750</v>
      </c>
      <c r="S19" s="37">
        <f t="shared" si="16"/>
        <v>3280</v>
      </c>
      <c r="T19" s="37">
        <f t="shared" si="19"/>
        <v>1490</v>
      </c>
      <c r="U19" s="37">
        <f t="shared" si="20"/>
        <v>4510</v>
      </c>
      <c r="V19" s="37">
        <f t="shared" si="21"/>
        <v>3870</v>
      </c>
      <c r="W19" s="37">
        <f t="shared" si="22"/>
        <v>2180</v>
      </c>
      <c r="X19" s="37">
        <f t="shared" si="23"/>
        <v>4590</v>
      </c>
      <c r="Y19" s="37">
        <f t="shared" si="24"/>
        <v>5660</v>
      </c>
      <c r="Z19" s="37">
        <f t="shared" si="25"/>
        <v>2510</v>
      </c>
      <c r="AA19" s="37">
        <f t="shared" si="26"/>
        <v>3040</v>
      </c>
      <c r="AB19" s="37">
        <f t="shared" si="27"/>
        <v>6920</v>
      </c>
      <c r="AC19" s="37">
        <f t="shared" si="28"/>
        <v>10880</v>
      </c>
      <c r="AD19" s="35">
        <f t="shared" si="29"/>
        <v>51180</v>
      </c>
      <c r="AF19" s="20">
        <f t="shared" si="1"/>
        <v>2.5</v>
      </c>
      <c r="AG19" s="20">
        <f t="shared" si="2"/>
        <v>8.75</v>
      </c>
      <c r="AH19" s="20">
        <f t="shared" si="3"/>
        <v>16.399999999999999</v>
      </c>
      <c r="AI19" s="20">
        <f t="shared" si="4"/>
        <v>7.45</v>
      </c>
      <c r="AJ19" s="20">
        <f t="shared" si="5"/>
        <v>22.55</v>
      </c>
      <c r="AK19" s="20">
        <f t="shared" si="6"/>
        <v>19.350000000000001</v>
      </c>
      <c r="AL19" s="20">
        <f t="shared" si="7"/>
        <v>10.9</v>
      </c>
      <c r="AM19" s="20">
        <f t="shared" si="8"/>
        <v>22.95</v>
      </c>
      <c r="AN19" s="20">
        <f t="shared" si="9"/>
        <v>28.3</v>
      </c>
      <c r="AO19" s="20">
        <f t="shared" si="10"/>
        <v>12.55</v>
      </c>
      <c r="AP19" s="20">
        <f t="shared" si="11"/>
        <v>15.200000000000001</v>
      </c>
      <c r="AQ19" s="20">
        <f t="shared" si="12"/>
        <v>34.6</v>
      </c>
      <c r="AR19" s="20">
        <f t="shared" si="13"/>
        <v>54.4</v>
      </c>
      <c r="AS19" s="35">
        <f t="shared" si="30"/>
        <v>255.9</v>
      </c>
      <c r="AU19" s="53">
        <v>368042</v>
      </c>
      <c r="AV19" s="37">
        <f t="shared" si="32"/>
        <v>1940</v>
      </c>
      <c r="AW19" s="35">
        <f t="shared" si="14"/>
        <v>3.88</v>
      </c>
    </row>
    <row r="20" spans="1:49" x14ac:dyDescent="0.25">
      <c r="A20" s="23">
        <v>44514</v>
      </c>
      <c r="B20" s="40">
        <v>60</v>
      </c>
      <c r="C20" s="24">
        <v>7431620</v>
      </c>
      <c r="D20" s="24">
        <v>17520350</v>
      </c>
      <c r="E20" s="24">
        <v>3123780</v>
      </c>
      <c r="F20" s="24">
        <v>3756630</v>
      </c>
      <c r="G20" s="24">
        <v>11061830</v>
      </c>
      <c r="H20" s="24">
        <v>6089150</v>
      </c>
      <c r="I20" s="24">
        <v>5455640</v>
      </c>
      <c r="J20" s="24">
        <v>6596430</v>
      </c>
      <c r="K20" s="24">
        <v>10044360</v>
      </c>
      <c r="L20" s="24">
        <v>4242130</v>
      </c>
      <c r="M20" s="24">
        <v>8391940</v>
      </c>
      <c r="N20" s="24">
        <v>13166090</v>
      </c>
      <c r="O20" s="24">
        <v>18200850</v>
      </c>
      <c r="Q20" s="37">
        <f t="shared" si="17"/>
        <v>550</v>
      </c>
      <c r="R20" s="37">
        <f t="shared" si="18"/>
        <v>1890</v>
      </c>
      <c r="S20" s="37">
        <f t="shared" si="16"/>
        <v>3410</v>
      </c>
      <c r="T20" s="37">
        <f t="shared" si="19"/>
        <v>1610</v>
      </c>
      <c r="U20" s="37">
        <f t="shared" si="20"/>
        <v>4420</v>
      </c>
      <c r="V20" s="37">
        <f t="shared" si="21"/>
        <v>4200</v>
      </c>
      <c r="W20" s="37">
        <f t="shared" si="22"/>
        <v>2360</v>
      </c>
      <c r="X20" s="37">
        <f t="shared" si="23"/>
        <v>4490</v>
      </c>
      <c r="Y20" s="37">
        <f t="shared" si="24"/>
        <v>5820</v>
      </c>
      <c r="Z20" s="37">
        <f t="shared" si="25"/>
        <v>2440</v>
      </c>
      <c r="AA20" s="37">
        <f t="shared" si="26"/>
        <v>3070</v>
      </c>
      <c r="AB20" s="37">
        <f t="shared" si="27"/>
        <v>7120</v>
      </c>
      <c r="AC20" s="37">
        <f t="shared" si="28"/>
        <v>13600</v>
      </c>
      <c r="AD20" s="35">
        <f t="shared" si="29"/>
        <v>54980</v>
      </c>
      <c r="AF20" s="20">
        <f t="shared" si="1"/>
        <v>2.75</v>
      </c>
      <c r="AG20" s="20">
        <f t="shared" si="2"/>
        <v>9.4500000000000011</v>
      </c>
      <c r="AH20" s="20">
        <f t="shared" si="3"/>
        <v>17.05</v>
      </c>
      <c r="AI20" s="20">
        <f t="shared" si="4"/>
        <v>8.0500000000000007</v>
      </c>
      <c r="AJ20" s="20">
        <f t="shared" si="5"/>
        <v>22.1</v>
      </c>
      <c r="AK20" s="20">
        <f t="shared" si="6"/>
        <v>21</v>
      </c>
      <c r="AL20" s="20">
        <f t="shared" si="7"/>
        <v>11.8</v>
      </c>
      <c r="AM20" s="20">
        <f t="shared" si="8"/>
        <v>22.45</v>
      </c>
      <c r="AN20" s="20">
        <f t="shared" si="9"/>
        <v>29.1</v>
      </c>
      <c r="AO20" s="20">
        <f t="shared" si="10"/>
        <v>12.200000000000001</v>
      </c>
      <c r="AP20" s="20">
        <f t="shared" si="11"/>
        <v>15.35</v>
      </c>
      <c r="AQ20" s="20">
        <f t="shared" si="12"/>
        <v>35.6</v>
      </c>
      <c r="AR20" s="20">
        <f t="shared" si="13"/>
        <v>68</v>
      </c>
      <c r="AS20" s="35">
        <f t="shared" si="30"/>
        <v>274.89999999999998</v>
      </c>
      <c r="AU20" s="53">
        <v>370252</v>
      </c>
      <c r="AV20" s="37">
        <f t="shared" si="32"/>
        <v>2210</v>
      </c>
      <c r="AW20" s="35">
        <f t="shared" si="14"/>
        <v>4.42</v>
      </c>
    </row>
    <row r="21" spans="1:49" x14ac:dyDescent="0.25">
      <c r="A21" s="23">
        <v>44515</v>
      </c>
      <c r="B21" s="40">
        <v>61</v>
      </c>
      <c r="C21" s="24">
        <v>7432170</v>
      </c>
      <c r="D21" s="24">
        <v>17522230</v>
      </c>
      <c r="E21" s="24">
        <v>3127240</v>
      </c>
      <c r="F21" s="24">
        <v>3758220</v>
      </c>
      <c r="G21" s="24">
        <v>11066010</v>
      </c>
      <c r="H21" s="24">
        <v>6093180</v>
      </c>
      <c r="I21" s="24">
        <v>5458090</v>
      </c>
      <c r="J21" s="24">
        <v>6601000</v>
      </c>
      <c r="K21" s="24">
        <v>10050200</v>
      </c>
      <c r="L21" s="24">
        <v>4244480</v>
      </c>
      <c r="M21" s="24">
        <v>8394780</v>
      </c>
      <c r="N21" s="24">
        <v>13173140</v>
      </c>
      <c r="O21" s="24">
        <v>18213160</v>
      </c>
      <c r="Q21" s="37">
        <f t="shared" si="17"/>
        <v>550</v>
      </c>
      <c r="R21" s="37">
        <f t="shared" si="18"/>
        <v>1880</v>
      </c>
      <c r="S21" s="37">
        <f t="shared" si="16"/>
        <v>3460</v>
      </c>
      <c r="T21" s="37">
        <f t="shared" si="19"/>
        <v>1590</v>
      </c>
      <c r="U21" s="37">
        <f t="shared" si="20"/>
        <v>4180</v>
      </c>
      <c r="V21" s="37">
        <f t="shared" si="21"/>
        <v>4030</v>
      </c>
      <c r="W21" s="37">
        <f t="shared" si="22"/>
        <v>2450</v>
      </c>
      <c r="X21" s="37">
        <f t="shared" si="23"/>
        <v>4570</v>
      </c>
      <c r="Y21" s="37">
        <f t="shared" si="24"/>
        <v>5840</v>
      </c>
      <c r="Z21" s="37">
        <f t="shared" si="25"/>
        <v>2350</v>
      </c>
      <c r="AA21" s="37">
        <f t="shared" si="26"/>
        <v>2840</v>
      </c>
      <c r="AB21" s="37">
        <f t="shared" si="27"/>
        <v>7050</v>
      </c>
      <c r="AC21" s="37">
        <f t="shared" si="28"/>
        <v>12310</v>
      </c>
      <c r="AD21" s="35">
        <f t="shared" si="29"/>
        <v>53100</v>
      </c>
      <c r="AF21" s="20">
        <f t="shared" si="1"/>
        <v>2.75</v>
      </c>
      <c r="AG21" s="20">
        <f t="shared" si="2"/>
        <v>9.4</v>
      </c>
      <c r="AH21" s="20">
        <f t="shared" si="3"/>
        <v>17.3</v>
      </c>
      <c r="AI21" s="20">
        <f t="shared" si="4"/>
        <v>7.95</v>
      </c>
      <c r="AJ21" s="20">
        <f t="shared" si="5"/>
        <v>20.900000000000002</v>
      </c>
      <c r="AK21" s="20">
        <f t="shared" si="6"/>
        <v>20.150000000000002</v>
      </c>
      <c r="AL21" s="20">
        <f t="shared" si="7"/>
        <v>12.25</v>
      </c>
      <c r="AM21" s="20">
        <f t="shared" si="8"/>
        <v>22.85</v>
      </c>
      <c r="AN21" s="20">
        <f t="shared" si="9"/>
        <v>29.2</v>
      </c>
      <c r="AO21" s="20">
        <f t="shared" si="10"/>
        <v>11.75</v>
      </c>
      <c r="AP21" s="20">
        <f t="shared" si="11"/>
        <v>14.200000000000001</v>
      </c>
      <c r="AQ21" s="20">
        <f t="shared" si="12"/>
        <v>35.25</v>
      </c>
      <c r="AR21" s="20">
        <f t="shared" si="13"/>
        <v>61.550000000000004</v>
      </c>
      <c r="AS21" s="35">
        <f t="shared" si="30"/>
        <v>265.5</v>
      </c>
      <c r="AU21" s="53">
        <v>372066</v>
      </c>
      <c r="AV21" s="37">
        <f t="shared" si="32"/>
        <v>1814</v>
      </c>
      <c r="AW21" s="35">
        <f t="shared" si="14"/>
        <v>3.6280000000000001</v>
      </c>
    </row>
    <row r="22" spans="1:49" x14ac:dyDescent="0.25">
      <c r="A22" s="23">
        <v>44516</v>
      </c>
      <c r="B22" s="40">
        <v>65</v>
      </c>
      <c r="C22" s="24">
        <v>7432720</v>
      </c>
      <c r="D22" s="24">
        <v>17524110</v>
      </c>
      <c r="E22" s="24">
        <v>3130760</v>
      </c>
      <c r="F22" s="24">
        <v>3759800</v>
      </c>
      <c r="G22" s="24">
        <v>11070350</v>
      </c>
      <c r="H22" s="24">
        <v>6097350</v>
      </c>
      <c r="I22" s="24">
        <v>5460770</v>
      </c>
      <c r="J22" s="44">
        <v>6605640</v>
      </c>
      <c r="K22" s="24">
        <v>10055700</v>
      </c>
      <c r="L22" s="24">
        <v>4246920</v>
      </c>
      <c r="M22" s="24">
        <v>8397660</v>
      </c>
      <c r="N22" s="24">
        <v>13180010</v>
      </c>
      <c r="O22" s="44">
        <v>18225230</v>
      </c>
      <c r="Q22" s="37">
        <f t="shared" si="17"/>
        <v>550</v>
      </c>
      <c r="R22" s="37">
        <f t="shared" si="18"/>
        <v>1880</v>
      </c>
      <c r="S22" s="37">
        <f t="shared" si="16"/>
        <v>3520</v>
      </c>
      <c r="T22" s="37">
        <f t="shared" si="19"/>
        <v>1580</v>
      </c>
      <c r="U22" s="37">
        <f t="shared" si="20"/>
        <v>4340</v>
      </c>
      <c r="V22" s="37">
        <f t="shared" si="21"/>
        <v>4170</v>
      </c>
      <c r="W22" s="37">
        <f t="shared" si="22"/>
        <v>2680</v>
      </c>
      <c r="X22" s="37">
        <f t="shared" si="23"/>
        <v>4640</v>
      </c>
      <c r="Y22" s="37">
        <f t="shared" si="24"/>
        <v>5500</v>
      </c>
      <c r="Z22" s="37">
        <f t="shared" si="25"/>
        <v>2440</v>
      </c>
      <c r="AA22" s="37">
        <f t="shared" si="26"/>
        <v>2880</v>
      </c>
      <c r="AB22" s="37">
        <f t="shared" si="27"/>
        <v>6870</v>
      </c>
      <c r="AC22" s="37">
        <f t="shared" si="28"/>
        <v>12070</v>
      </c>
      <c r="AD22" s="35">
        <f t="shared" si="29"/>
        <v>53120</v>
      </c>
      <c r="AF22" s="20">
        <f t="shared" si="1"/>
        <v>2.75</v>
      </c>
      <c r="AG22" s="20">
        <f t="shared" si="2"/>
        <v>9.4</v>
      </c>
      <c r="AH22" s="20">
        <f t="shared" si="3"/>
        <v>17.600000000000001</v>
      </c>
      <c r="AI22" s="20">
        <f t="shared" si="4"/>
        <v>7.9</v>
      </c>
      <c r="AJ22" s="20">
        <f t="shared" si="5"/>
        <v>21.7</v>
      </c>
      <c r="AK22" s="20">
        <f t="shared" si="6"/>
        <v>20.85</v>
      </c>
      <c r="AL22" s="20">
        <f t="shared" si="7"/>
        <v>13.4</v>
      </c>
      <c r="AM22" s="20">
        <f t="shared" si="8"/>
        <v>23.2</v>
      </c>
      <c r="AN22" s="20">
        <f t="shared" si="9"/>
        <v>27.5</v>
      </c>
      <c r="AO22" s="20">
        <f t="shared" si="10"/>
        <v>12.200000000000001</v>
      </c>
      <c r="AP22" s="20">
        <f t="shared" si="11"/>
        <v>14.4</v>
      </c>
      <c r="AQ22" s="20">
        <f t="shared" si="12"/>
        <v>34.35</v>
      </c>
      <c r="AR22" s="20">
        <f t="shared" si="13"/>
        <v>60.35</v>
      </c>
      <c r="AS22" s="35">
        <f t="shared" si="30"/>
        <v>265.60000000000002</v>
      </c>
      <c r="AU22" s="53">
        <v>374087</v>
      </c>
      <c r="AV22" s="37">
        <f t="shared" si="32"/>
        <v>2021</v>
      </c>
      <c r="AW22" s="35">
        <f t="shared" si="14"/>
        <v>4.0419999999999998</v>
      </c>
    </row>
    <row r="23" spans="1:49" x14ac:dyDescent="0.25">
      <c r="A23" s="23">
        <v>44517</v>
      </c>
      <c r="B23" s="40">
        <v>82</v>
      </c>
      <c r="C23" s="24">
        <v>7433260</v>
      </c>
      <c r="D23" s="24">
        <v>17525970</v>
      </c>
      <c r="E23" s="24">
        <v>3134240</v>
      </c>
      <c r="F23" s="24">
        <v>3761350</v>
      </c>
      <c r="G23" s="24">
        <v>11074710</v>
      </c>
      <c r="H23" s="24">
        <v>6101430</v>
      </c>
      <c r="I23" s="24">
        <v>5463220</v>
      </c>
      <c r="J23" s="24">
        <v>6610220</v>
      </c>
      <c r="K23" s="24">
        <v>10060460</v>
      </c>
      <c r="L23" s="24">
        <v>4249490</v>
      </c>
      <c r="M23" s="24">
        <v>8400580</v>
      </c>
      <c r="N23" s="24">
        <v>13186950</v>
      </c>
      <c r="O23" s="24">
        <v>18238320</v>
      </c>
      <c r="Q23" s="37">
        <f t="shared" si="17"/>
        <v>540</v>
      </c>
      <c r="R23" s="37">
        <f t="shared" si="18"/>
        <v>1860</v>
      </c>
      <c r="S23" s="37">
        <f t="shared" si="16"/>
        <v>3480</v>
      </c>
      <c r="T23" s="37">
        <f t="shared" si="19"/>
        <v>1550</v>
      </c>
      <c r="U23" s="37">
        <f t="shared" si="20"/>
        <v>4360</v>
      </c>
      <c r="V23" s="37">
        <f t="shared" si="21"/>
        <v>4080</v>
      </c>
      <c r="W23" s="37">
        <f t="shared" si="22"/>
        <v>2450</v>
      </c>
      <c r="X23" s="37">
        <f t="shared" si="23"/>
        <v>4580</v>
      </c>
      <c r="Y23" s="37">
        <f t="shared" si="24"/>
        <v>4760</v>
      </c>
      <c r="Z23" s="37">
        <f t="shared" si="25"/>
        <v>2570</v>
      </c>
      <c r="AA23" s="37">
        <f t="shared" si="26"/>
        <v>2920</v>
      </c>
      <c r="AB23" s="37">
        <f t="shared" si="27"/>
        <v>6940</v>
      </c>
      <c r="AC23" s="37">
        <f t="shared" si="28"/>
        <v>13090</v>
      </c>
      <c r="AD23" s="35">
        <f t="shared" si="29"/>
        <v>53180</v>
      </c>
      <c r="AF23" s="20">
        <f t="shared" si="1"/>
        <v>2.7</v>
      </c>
      <c r="AG23" s="20">
        <f t="shared" si="2"/>
        <v>9.3000000000000007</v>
      </c>
      <c r="AH23" s="20">
        <f t="shared" si="3"/>
        <v>17.400000000000002</v>
      </c>
      <c r="AI23" s="20">
        <f t="shared" si="4"/>
        <v>7.75</v>
      </c>
      <c r="AJ23" s="20">
        <f t="shared" si="5"/>
        <v>21.8</v>
      </c>
      <c r="AK23" s="20">
        <f t="shared" si="6"/>
        <v>20.400000000000002</v>
      </c>
      <c r="AL23" s="20">
        <f t="shared" si="7"/>
        <v>12.25</v>
      </c>
      <c r="AM23" s="20">
        <f t="shared" si="8"/>
        <v>22.900000000000002</v>
      </c>
      <c r="AN23" s="20">
        <f t="shared" si="9"/>
        <v>23.8</v>
      </c>
      <c r="AO23" s="20">
        <f t="shared" si="10"/>
        <v>12.85</v>
      </c>
      <c r="AP23" s="20">
        <f t="shared" si="11"/>
        <v>14.6</v>
      </c>
      <c r="AQ23" s="20">
        <f t="shared" si="12"/>
        <v>34.700000000000003</v>
      </c>
      <c r="AR23" s="20">
        <f t="shared" si="13"/>
        <v>65.45</v>
      </c>
      <c r="AS23" s="35">
        <f t="shared" si="30"/>
        <v>265.89999999999998</v>
      </c>
      <c r="AU23" s="53">
        <v>376130</v>
      </c>
      <c r="AV23" s="37">
        <f t="shared" si="32"/>
        <v>2043</v>
      </c>
      <c r="AW23" s="35">
        <f t="shared" si="14"/>
        <v>4.0860000000000003</v>
      </c>
    </row>
    <row r="24" spans="1:49" x14ac:dyDescent="0.25">
      <c r="A24" s="23">
        <v>44518</v>
      </c>
      <c r="B24" s="40">
        <v>145</v>
      </c>
      <c r="C24" s="24">
        <v>7433810</v>
      </c>
      <c r="D24" s="24">
        <v>17527870</v>
      </c>
      <c r="E24" s="24">
        <v>3137810</v>
      </c>
      <c r="F24" s="24">
        <v>3762960</v>
      </c>
      <c r="G24" s="24">
        <v>11079410</v>
      </c>
      <c r="H24" s="24">
        <v>6105450</v>
      </c>
      <c r="I24" s="24">
        <v>5465670</v>
      </c>
      <c r="J24" s="24">
        <v>6614940</v>
      </c>
      <c r="K24" s="24">
        <v>10066050</v>
      </c>
      <c r="L24" s="24">
        <v>4252160</v>
      </c>
      <c r="M24" s="24">
        <v>8403740</v>
      </c>
      <c r="N24" s="24">
        <v>13194260</v>
      </c>
      <c r="O24" s="24">
        <v>18251870</v>
      </c>
      <c r="Q24" s="37">
        <f t="shared" si="17"/>
        <v>550</v>
      </c>
      <c r="R24" s="37">
        <f t="shared" si="18"/>
        <v>1900</v>
      </c>
      <c r="S24" s="37">
        <f t="shared" si="16"/>
        <v>3570</v>
      </c>
      <c r="T24" s="37">
        <f t="shared" si="19"/>
        <v>1610</v>
      </c>
      <c r="U24" s="37">
        <f t="shared" si="20"/>
        <v>4700</v>
      </c>
      <c r="V24" s="37">
        <f t="shared" si="21"/>
        <v>4020</v>
      </c>
      <c r="W24" s="37">
        <f t="shared" si="22"/>
        <v>2450</v>
      </c>
      <c r="X24" s="37">
        <f t="shared" si="23"/>
        <v>4720</v>
      </c>
      <c r="Y24" s="37">
        <f t="shared" si="24"/>
        <v>5590</v>
      </c>
      <c r="Z24" s="37">
        <f t="shared" si="25"/>
        <v>2670</v>
      </c>
      <c r="AA24" s="37">
        <f t="shared" si="26"/>
        <v>3160</v>
      </c>
      <c r="AB24" s="37">
        <f t="shared" si="27"/>
        <v>7310</v>
      </c>
      <c r="AC24" s="37">
        <f t="shared" si="28"/>
        <v>13550</v>
      </c>
      <c r="AD24" s="35">
        <f t="shared" si="29"/>
        <v>55800</v>
      </c>
      <c r="AF24" s="20">
        <f t="shared" si="1"/>
        <v>2.75</v>
      </c>
      <c r="AG24" s="20">
        <f t="shared" si="2"/>
        <v>9.5</v>
      </c>
      <c r="AH24" s="20">
        <f t="shared" si="3"/>
        <v>17.850000000000001</v>
      </c>
      <c r="AI24" s="20">
        <f t="shared" si="4"/>
        <v>8.0500000000000007</v>
      </c>
      <c r="AJ24" s="20">
        <f t="shared" si="5"/>
        <v>23.5</v>
      </c>
      <c r="AK24" s="20">
        <f t="shared" si="6"/>
        <v>20.100000000000001</v>
      </c>
      <c r="AL24" s="20">
        <f t="shared" si="7"/>
        <v>12.25</v>
      </c>
      <c r="AM24" s="20">
        <f t="shared" si="8"/>
        <v>23.6</v>
      </c>
      <c r="AN24" s="20">
        <f t="shared" si="9"/>
        <v>27.95</v>
      </c>
      <c r="AO24" s="20">
        <f t="shared" si="10"/>
        <v>13.35</v>
      </c>
      <c r="AP24" s="20">
        <f t="shared" si="11"/>
        <v>15.8</v>
      </c>
      <c r="AQ24" s="20">
        <f t="shared" si="12"/>
        <v>36.550000000000004</v>
      </c>
      <c r="AR24" s="20">
        <f t="shared" si="13"/>
        <v>67.75</v>
      </c>
      <c r="AS24" s="35">
        <f t="shared" si="30"/>
        <v>279</v>
      </c>
      <c r="AU24" s="53">
        <v>378159</v>
      </c>
      <c r="AV24" s="37">
        <f t="shared" si="32"/>
        <v>2029</v>
      </c>
      <c r="AW24" s="35">
        <f t="shared" si="14"/>
        <v>4.0579999999999998</v>
      </c>
    </row>
    <row r="25" spans="1:49" x14ac:dyDescent="0.25">
      <c r="A25" s="23">
        <v>44519</v>
      </c>
      <c r="B25" s="40">
        <v>154</v>
      </c>
      <c r="C25" s="24">
        <v>7434360</v>
      </c>
      <c r="D25" s="24">
        <v>17529720</v>
      </c>
      <c r="E25" s="24">
        <v>3141310</v>
      </c>
      <c r="F25" s="24">
        <v>3764530</v>
      </c>
      <c r="G25" s="24">
        <v>11084280</v>
      </c>
      <c r="H25" s="24">
        <v>6109710</v>
      </c>
      <c r="I25" s="24">
        <v>5468060</v>
      </c>
      <c r="J25" s="24">
        <v>6619660</v>
      </c>
      <c r="K25" s="24">
        <v>10071820</v>
      </c>
      <c r="L25" s="24">
        <v>4254830</v>
      </c>
      <c r="M25" s="24">
        <v>8407020</v>
      </c>
      <c r="N25" s="24">
        <v>13201360</v>
      </c>
      <c r="O25" s="24">
        <v>18264750</v>
      </c>
      <c r="Q25" s="37">
        <f t="shared" ref="Q25:AC27" si="34">IF((C25-C24&lt;0), "0",C25-C24)</f>
        <v>550</v>
      </c>
      <c r="R25" s="37">
        <f t="shared" si="34"/>
        <v>1850</v>
      </c>
      <c r="S25" s="37">
        <f t="shared" si="34"/>
        <v>3500</v>
      </c>
      <c r="T25" s="37">
        <f t="shared" si="34"/>
        <v>1570</v>
      </c>
      <c r="U25" s="37">
        <f t="shared" si="34"/>
        <v>4870</v>
      </c>
      <c r="V25" s="37">
        <f t="shared" si="34"/>
        <v>4260</v>
      </c>
      <c r="W25" s="37">
        <f t="shared" si="34"/>
        <v>2390</v>
      </c>
      <c r="X25" s="37">
        <f t="shared" si="34"/>
        <v>4720</v>
      </c>
      <c r="Y25" s="37">
        <f t="shared" si="34"/>
        <v>5770</v>
      </c>
      <c r="Z25" s="37">
        <f t="shared" si="34"/>
        <v>2670</v>
      </c>
      <c r="AA25" s="37">
        <f t="shared" si="34"/>
        <v>3280</v>
      </c>
      <c r="AB25" s="37">
        <f t="shared" si="34"/>
        <v>7100</v>
      </c>
      <c r="AC25" s="37">
        <f t="shared" si="34"/>
        <v>12880</v>
      </c>
      <c r="AD25" s="35">
        <f t="shared" si="29"/>
        <v>55410</v>
      </c>
      <c r="AF25" s="20">
        <f t="shared" si="1"/>
        <v>2.75</v>
      </c>
      <c r="AG25" s="20">
        <f t="shared" si="2"/>
        <v>9.25</v>
      </c>
      <c r="AH25" s="20">
        <f t="shared" si="3"/>
        <v>17.5</v>
      </c>
      <c r="AI25" s="20">
        <f t="shared" si="4"/>
        <v>7.8500000000000005</v>
      </c>
      <c r="AJ25" s="20">
        <f t="shared" si="5"/>
        <v>24.35</v>
      </c>
      <c r="AK25" s="20">
        <f t="shared" si="6"/>
        <v>21.3</v>
      </c>
      <c r="AL25" s="20">
        <f t="shared" si="7"/>
        <v>11.950000000000001</v>
      </c>
      <c r="AM25" s="20">
        <f t="shared" si="8"/>
        <v>23.6</v>
      </c>
      <c r="AN25" s="20">
        <f t="shared" si="9"/>
        <v>28.85</v>
      </c>
      <c r="AO25" s="20">
        <f t="shared" si="10"/>
        <v>13.35</v>
      </c>
      <c r="AP25" s="20">
        <f t="shared" si="11"/>
        <v>16.399999999999999</v>
      </c>
      <c r="AQ25" s="20">
        <f t="shared" si="12"/>
        <v>35.5</v>
      </c>
      <c r="AR25" s="20">
        <f t="shared" si="13"/>
        <v>64.400000000000006</v>
      </c>
      <c r="AS25" s="35">
        <f t="shared" si="30"/>
        <v>277.05</v>
      </c>
      <c r="AU25" s="53">
        <v>380003</v>
      </c>
      <c r="AV25" s="37">
        <f t="shared" si="32"/>
        <v>1844</v>
      </c>
      <c r="AW25" s="35">
        <f t="shared" si="14"/>
        <v>3.6880000000000002</v>
      </c>
    </row>
    <row r="26" spans="1:49" x14ac:dyDescent="0.25">
      <c r="A26" s="23">
        <v>44520</v>
      </c>
      <c r="B26" s="40">
        <v>95</v>
      </c>
      <c r="C26" s="24">
        <v>7434880</v>
      </c>
      <c r="D26" s="24">
        <v>17538220</v>
      </c>
      <c r="E26" s="24">
        <v>3142890</v>
      </c>
      <c r="F26" s="24">
        <v>3766140</v>
      </c>
      <c r="G26" s="24">
        <v>11089180</v>
      </c>
      <c r="H26" s="24">
        <v>6114040</v>
      </c>
      <c r="I26" s="24">
        <v>5470500</v>
      </c>
      <c r="J26" s="24">
        <v>6624430</v>
      </c>
      <c r="K26" s="24">
        <v>10077650</v>
      </c>
      <c r="L26" s="24">
        <v>4257490</v>
      </c>
      <c r="M26" s="24">
        <v>8410260</v>
      </c>
      <c r="N26" s="24">
        <v>13208740</v>
      </c>
      <c r="O26" s="24">
        <v>18276680</v>
      </c>
      <c r="Q26" s="37">
        <f t="shared" si="34"/>
        <v>520</v>
      </c>
      <c r="R26" s="37">
        <f t="shared" si="34"/>
        <v>8500</v>
      </c>
      <c r="S26" s="37">
        <f t="shared" si="34"/>
        <v>1580</v>
      </c>
      <c r="T26" s="37">
        <f t="shared" si="34"/>
        <v>1610</v>
      </c>
      <c r="U26" s="37">
        <f t="shared" si="34"/>
        <v>4900</v>
      </c>
      <c r="V26" s="37">
        <f t="shared" si="34"/>
        <v>4330</v>
      </c>
      <c r="W26" s="37">
        <f t="shared" si="34"/>
        <v>2440</v>
      </c>
      <c r="X26" s="37">
        <f t="shared" si="34"/>
        <v>4770</v>
      </c>
      <c r="Y26" s="37">
        <f t="shared" si="34"/>
        <v>5830</v>
      </c>
      <c r="Z26" s="37">
        <f t="shared" si="34"/>
        <v>2660</v>
      </c>
      <c r="AA26" s="37">
        <f t="shared" si="34"/>
        <v>3240</v>
      </c>
      <c r="AB26" s="37">
        <f t="shared" si="34"/>
        <v>7380</v>
      </c>
      <c r="AC26" s="37">
        <f t="shared" si="34"/>
        <v>11930</v>
      </c>
      <c r="AD26" s="35">
        <f t="shared" si="29"/>
        <v>59690</v>
      </c>
      <c r="AF26" s="20">
        <f t="shared" si="1"/>
        <v>2.6</v>
      </c>
      <c r="AG26" s="20">
        <f t="shared" si="2"/>
        <v>42.5</v>
      </c>
      <c r="AH26" s="20">
        <f t="shared" si="3"/>
        <v>7.9</v>
      </c>
      <c r="AI26" s="20">
        <f t="shared" si="4"/>
        <v>8.0500000000000007</v>
      </c>
      <c r="AJ26" s="20">
        <f t="shared" si="5"/>
        <v>24.5</v>
      </c>
      <c r="AK26" s="20">
        <f t="shared" si="6"/>
        <v>21.650000000000002</v>
      </c>
      <c r="AL26" s="20">
        <f t="shared" si="7"/>
        <v>12.200000000000001</v>
      </c>
      <c r="AM26" s="20">
        <f t="shared" si="8"/>
        <v>23.85</v>
      </c>
      <c r="AN26" s="20">
        <f t="shared" si="9"/>
        <v>29.150000000000002</v>
      </c>
      <c r="AO26" s="20">
        <f t="shared" si="10"/>
        <v>13.3</v>
      </c>
      <c r="AP26" s="20">
        <f t="shared" si="11"/>
        <v>16.2</v>
      </c>
      <c r="AQ26" s="20">
        <f t="shared" si="12"/>
        <v>36.9</v>
      </c>
      <c r="AR26" s="20">
        <f t="shared" si="13"/>
        <v>59.65</v>
      </c>
      <c r="AS26" s="35">
        <f t="shared" si="30"/>
        <v>298.45</v>
      </c>
      <c r="AU26" s="53">
        <v>382130</v>
      </c>
      <c r="AV26" s="37">
        <f t="shared" si="32"/>
        <v>2127</v>
      </c>
      <c r="AW26" s="35">
        <f t="shared" si="14"/>
        <v>4.2540000000000004</v>
      </c>
    </row>
    <row r="27" spans="1:49" x14ac:dyDescent="0.25">
      <c r="A27" s="23">
        <v>44521</v>
      </c>
      <c r="B27" s="40">
        <v>91</v>
      </c>
      <c r="C27" s="24">
        <v>7435380</v>
      </c>
      <c r="D27" s="24">
        <v>17551910</v>
      </c>
      <c r="E27" s="24">
        <v>3142960</v>
      </c>
      <c r="F27" s="24">
        <v>3767730</v>
      </c>
      <c r="G27" s="24">
        <v>11093680</v>
      </c>
      <c r="H27" s="24">
        <v>6118070</v>
      </c>
      <c r="I27" s="24">
        <v>5472990</v>
      </c>
      <c r="J27" s="24">
        <v>6628830</v>
      </c>
      <c r="K27" s="24">
        <v>10082980</v>
      </c>
      <c r="L27" s="24">
        <v>4260090</v>
      </c>
      <c r="M27" s="24">
        <v>8413230</v>
      </c>
      <c r="N27" s="24">
        <v>13215900</v>
      </c>
      <c r="O27" s="24">
        <v>18289480</v>
      </c>
      <c r="Q27" s="37">
        <f t="shared" si="34"/>
        <v>500</v>
      </c>
      <c r="R27" s="37">
        <f t="shared" si="34"/>
        <v>13690</v>
      </c>
      <c r="S27" s="37">
        <f t="shared" si="34"/>
        <v>70</v>
      </c>
      <c r="T27" s="37">
        <f t="shared" si="34"/>
        <v>1590</v>
      </c>
      <c r="U27" s="37">
        <f t="shared" si="34"/>
        <v>4500</v>
      </c>
      <c r="V27" s="37">
        <f t="shared" si="34"/>
        <v>4030</v>
      </c>
      <c r="W27" s="37">
        <f t="shared" si="34"/>
        <v>2490</v>
      </c>
      <c r="X27" s="37">
        <f t="shared" si="34"/>
        <v>4400</v>
      </c>
      <c r="Y27" s="37">
        <f t="shared" si="34"/>
        <v>5330</v>
      </c>
      <c r="Z27" s="37">
        <f t="shared" si="34"/>
        <v>2600</v>
      </c>
      <c r="AA27" s="37">
        <f t="shared" si="34"/>
        <v>2970</v>
      </c>
      <c r="AB27" s="37">
        <f t="shared" si="34"/>
        <v>7160</v>
      </c>
      <c r="AC27" s="37">
        <f t="shared" si="34"/>
        <v>12800</v>
      </c>
      <c r="AD27" s="35">
        <f t="shared" si="29"/>
        <v>62130</v>
      </c>
      <c r="AF27" s="20">
        <f t="shared" si="1"/>
        <v>2.5</v>
      </c>
      <c r="AG27" s="20">
        <f t="shared" si="2"/>
        <v>68.45</v>
      </c>
      <c r="AH27" s="20">
        <f t="shared" si="3"/>
        <v>0.35000000000000003</v>
      </c>
      <c r="AI27" s="20">
        <f t="shared" si="4"/>
        <v>7.95</v>
      </c>
      <c r="AJ27" s="20">
        <f t="shared" si="5"/>
        <v>22.5</v>
      </c>
      <c r="AK27" s="20">
        <f t="shared" si="6"/>
        <v>20.150000000000002</v>
      </c>
      <c r="AL27" s="20">
        <f t="shared" si="7"/>
        <v>12.450000000000001</v>
      </c>
      <c r="AM27" s="20">
        <f t="shared" si="8"/>
        <v>22</v>
      </c>
      <c r="AN27" s="20">
        <f t="shared" si="9"/>
        <v>26.650000000000002</v>
      </c>
      <c r="AO27" s="20">
        <f t="shared" si="10"/>
        <v>13</v>
      </c>
      <c r="AP27" s="20">
        <f t="shared" si="11"/>
        <v>14.85</v>
      </c>
      <c r="AQ27" s="20">
        <f t="shared" si="12"/>
        <v>35.800000000000004</v>
      </c>
      <c r="AR27" s="20">
        <f t="shared" si="13"/>
        <v>64</v>
      </c>
      <c r="AS27" s="35">
        <f t="shared" si="30"/>
        <v>310.64999999999998</v>
      </c>
      <c r="AU27" s="53">
        <v>384320</v>
      </c>
      <c r="AV27" s="37">
        <f>IF((AU27-AU26&lt;0),"0",AU27-AU26)</f>
        <v>2190</v>
      </c>
      <c r="AW27" s="35">
        <f t="shared" si="14"/>
        <v>4.38</v>
      </c>
    </row>
    <row r="28" spans="1:49" x14ac:dyDescent="0.25">
      <c r="A28" s="23">
        <v>44522</v>
      </c>
      <c r="B28" s="40">
        <v>93</v>
      </c>
      <c r="C28" s="24">
        <v>7435890</v>
      </c>
      <c r="D28" s="24">
        <v>17565850</v>
      </c>
      <c r="E28" s="24">
        <v>3143040</v>
      </c>
      <c r="F28" s="24">
        <v>3769330</v>
      </c>
      <c r="G28" s="24">
        <v>11098110</v>
      </c>
      <c r="H28" s="24">
        <v>6122260</v>
      </c>
      <c r="I28" s="24">
        <v>5475600</v>
      </c>
      <c r="J28" s="24">
        <v>6633740</v>
      </c>
      <c r="K28" s="24">
        <v>10088500</v>
      </c>
      <c r="L28" s="24">
        <v>4262740</v>
      </c>
      <c r="M28" s="24">
        <v>8416140</v>
      </c>
      <c r="N28" s="24">
        <v>13222950</v>
      </c>
      <c r="O28" s="24">
        <v>18301210</v>
      </c>
      <c r="Q28" s="37">
        <f t="shared" si="17"/>
        <v>510</v>
      </c>
      <c r="R28" s="37">
        <f t="shared" si="18"/>
        <v>13940</v>
      </c>
      <c r="S28" s="37">
        <f t="shared" si="16"/>
        <v>80</v>
      </c>
      <c r="T28" s="37">
        <f t="shared" si="19"/>
        <v>1600</v>
      </c>
      <c r="U28" s="37">
        <f t="shared" si="20"/>
        <v>4430</v>
      </c>
      <c r="V28" s="37">
        <f t="shared" si="21"/>
        <v>4190</v>
      </c>
      <c r="W28" s="37">
        <f t="shared" si="22"/>
        <v>2610</v>
      </c>
      <c r="X28" s="37">
        <f t="shared" si="23"/>
        <v>4910</v>
      </c>
      <c r="Y28" s="37">
        <f t="shared" si="24"/>
        <v>5520</v>
      </c>
      <c r="Z28" s="37">
        <f t="shared" si="25"/>
        <v>2650</v>
      </c>
      <c r="AA28" s="37">
        <f t="shared" si="26"/>
        <v>2910</v>
      </c>
      <c r="AB28" s="37">
        <f t="shared" si="27"/>
        <v>7050</v>
      </c>
      <c r="AC28" s="37">
        <f t="shared" si="28"/>
        <v>11730</v>
      </c>
      <c r="AD28" s="35">
        <f t="shared" si="29"/>
        <v>62130</v>
      </c>
      <c r="AF28" s="20">
        <f t="shared" si="1"/>
        <v>2.5500000000000003</v>
      </c>
      <c r="AG28" s="20">
        <f t="shared" si="2"/>
        <v>69.7</v>
      </c>
      <c r="AH28" s="20">
        <f t="shared" si="3"/>
        <v>0.4</v>
      </c>
      <c r="AI28" s="20">
        <f t="shared" si="4"/>
        <v>8</v>
      </c>
      <c r="AJ28" s="20">
        <f t="shared" si="5"/>
        <v>22.150000000000002</v>
      </c>
      <c r="AK28" s="20">
        <f t="shared" si="6"/>
        <v>20.95</v>
      </c>
      <c r="AL28" s="20">
        <f t="shared" si="7"/>
        <v>13.05</v>
      </c>
      <c r="AM28" s="20">
        <f t="shared" si="8"/>
        <v>24.55</v>
      </c>
      <c r="AN28" s="20">
        <f t="shared" si="9"/>
        <v>27.6</v>
      </c>
      <c r="AO28" s="20">
        <f t="shared" si="10"/>
        <v>13.25</v>
      </c>
      <c r="AP28" s="20">
        <f t="shared" si="11"/>
        <v>14.55</v>
      </c>
      <c r="AQ28" s="20">
        <f t="shared" si="12"/>
        <v>35.25</v>
      </c>
      <c r="AR28" s="20">
        <f t="shared" si="13"/>
        <v>58.65</v>
      </c>
      <c r="AS28" s="35">
        <f t="shared" si="30"/>
        <v>310.65000000000003</v>
      </c>
      <c r="AU28" s="53">
        <v>386273</v>
      </c>
      <c r="AV28" s="37">
        <f>IF((AU28-AU27&lt;0),"0",AU28-AU27)</f>
        <v>1953</v>
      </c>
      <c r="AW28" s="35">
        <f t="shared" si="14"/>
        <v>3.9060000000000001</v>
      </c>
    </row>
    <row r="29" spans="1:49" x14ac:dyDescent="0.25">
      <c r="A29" s="23">
        <v>44523</v>
      </c>
      <c r="B29" s="40">
        <v>111</v>
      </c>
      <c r="C29" s="24">
        <v>7436400</v>
      </c>
      <c r="D29" s="24">
        <v>17578590</v>
      </c>
      <c r="E29" s="24">
        <v>3143090</v>
      </c>
      <c r="F29" s="24">
        <v>3770930</v>
      </c>
      <c r="G29" s="24">
        <v>11102550</v>
      </c>
      <c r="H29" s="24">
        <v>6126260</v>
      </c>
      <c r="I29" s="24">
        <v>5478070</v>
      </c>
      <c r="J29" s="24">
        <v>6638510</v>
      </c>
      <c r="K29" s="24">
        <v>10093910</v>
      </c>
      <c r="L29" s="24">
        <v>4265340</v>
      </c>
      <c r="M29" s="24">
        <v>8419080</v>
      </c>
      <c r="N29" s="24">
        <v>13230170</v>
      </c>
      <c r="O29" s="24">
        <v>18314050</v>
      </c>
      <c r="Q29" s="37">
        <f t="shared" si="17"/>
        <v>510</v>
      </c>
      <c r="R29" s="37">
        <f t="shared" si="18"/>
        <v>12740</v>
      </c>
      <c r="S29" s="37">
        <f t="shared" si="16"/>
        <v>50</v>
      </c>
      <c r="T29" s="37">
        <f t="shared" si="19"/>
        <v>1600</v>
      </c>
      <c r="U29" s="37">
        <f t="shared" si="20"/>
        <v>4440</v>
      </c>
      <c r="V29" s="37">
        <f t="shared" si="21"/>
        <v>4000</v>
      </c>
      <c r="W29" s="37">
        <f t="shared" si="22"/>
        <v>2470</v>
      </c>
      <c r="X29" s="37">
        <f t="shared" si="23"/>
        <v>4770</v>
      </c>
      <c r="Y29" s="37">
        <f t="shared" si="24"/>
        <v>5410</v>
      </c>
      <c r="Z29" s="37">
        <f t="shared" si="25"/>
        <v>2600</v>
      </c>
      <c r="AA29" s="37">
        <f t="shared" si="26"/>
        <v>2940</v>
      </c>
      <c r="AB29" s="37">
        <f t="shared" si="27"/>
        <v>7220</v>
      </c>
      <c r="AC29" s="37">
        <f t="shared" si="28"/>
        <v>12840</v>
      </c>
      <c r="AD29" s="35">
        <f t="shared" si="29"/>
        <v>61590</v>
      </c>
      <c r="AF29" s="20">
        <f t="shared" si="1"/>
        <v>2.5500000000000003</v>
      </c>
      <c r="AG29" s="20">
        <f t="shared" si="2"/>
        <v>63.7</v>
      </c>
      <c r="AH29" s="20">
        <f t="shared" si="3"/>
        <v>0.25</v>
      </c>
      <c r="AI29" s="20">
        <f t="shared" si="4"/>
        <v>8</v>
      </c>
      <c r="AJ29" s="20">
        <f t="shared" si="5"/>
        <v>22.2</v>
      </c>
      <c r="AK29" s="20">
        <f t="shared" si="6"/>
        <v>20</v>
      </c>
      <c r="AL29" s="20">
        <f t="shared" si="7"/>
        <v>12.35</v>
      </c>
      <c r="AM29" s="20">
        <f t="shared" si="8"/>
        <v>23.85</v>
      </c>
      <c r="AN29" s="20">
        <f t="shared" si="9"/>
        <v>27.05</v>
      </c>
      <c r="AO29" s="20">
        <f t="shared" si="10"/>
        <v>13</v>
      </c>
      <c r="AP29" s="20">
        <f t="shared" si="11"/>
        <v>14.700000000000001</v>
      </c>
      <c r="AQ29" s="20">
        <f t="shared" si="12"/>
        <v>36.1</v>
      </c>
      <c r="AR29" s="20">
        <f t="shared" si="13"/>
        <v>64.2</v>
      </c>
      <c r="AS29" s="35">
        <f t="shared" si="30"/>
        <v>307.95</v>
      </c>
      <c r="AU29" s="53">
        <v>388215</v>
      </c>
      <c r="AV29" s="37">
        <f t="shared" ref="AV29:AV35" si="35">IF((AU29-AU28&lt;0),"0",AU29-AU28)</f>
        <v>1942</v>
      </c>
      <c r="AW29" s="35">
        <f t="shared" si="14"/>
        <v>3.8839999999999999</v>
      </c>
    </row>
    <row r="30" spans="1:49" x14ac:dyDescent="0.25">
      <c r="A30" s="23">
        <v>44524</v>
      </c>
      <c r="B30" s="40">
        <v>120</v>
      </c>
      <c r="C30" s="24">
        <v>7436910</v>
      </c>
      <c r="D30" s="24">
        <v>17590210</v>
      </c>
      <c r="E30" s="24">
        <v>3143110</v>
      </c>
      <c r="F30" s="24">
        <v>3772490</v>
      </c>
      <c r="G30" s="24">
        <v>11107110</v>
      </c>
      <c r="H30" s="24">
        <v>6130200</v>
      </c>
      <c r="I30" s="24">
        <v>5480710</v>
      </c>
      <c r="J30" s="24">
        <v>6643290</v>
      </c>
      <c r="K30" s="24">
        <v>10099350</v>
      </c>
      <c r="L30" s="24">
        <v>4268000</v>
      </c>
      <c r="M30" s="24">
        <v>8422060</v>
      </c>
      <c r="N30" s="24">
        <v>13237300</v>
      </c>
      <c r="O30" s="24">
        <v>18326370</v>
      </c>
      <c r="Q30" s="37">
        <f t="shared" si="17"/>
        <v>510</v>
      </c>
      <c r="R30" s="37">
        <f t="shared" si="18"/>
        <v>11620</v>
      </c>
      <c r="S30" s="37">
        <f t="shared" si="16"/>
        <v>20</v>
      </c>
      <c r="T30" s="37">
        <f t="shared" si="19"/>
        <v>1560</v>
      </c>
      <c r="U30" s="37">
        <f t="shared" si="20"/>
        <v>4560</v>
      </c>
      <c r="V30" s="37">
        <f t="shared" si="21"/>
        <v>3940</v>
      </c>
      <c r="W30" s="37">
        <f t="shared" si="22"/>
        <v>2640</v>
      </c>
      <c r="X30" s="37">
        <f t="shared" si="23"/>
        <v>4780</v>
      </c>
      <c r="Y30" s="37">
        <f t="shared" si="24"/>
        <v>5440</v>
      </c>
      <c r="Z30" s="37">
        <f t="shared" si="25"/>
        <v>2660</v>
      </c>
      <c r="AA30" s="37">
        <f t="shared" si="26"/>
        <v>2980</v>
      </c>
      <c r="AB30" s="37">
        <f t="shared" si="27"/>
        <v>7130</v>
      </c>
      <c r="AC30" s="37">
        <f t="shared" si="28"/>
        <v>12320</v>
      </c>
      <c r="AD30" s="35">
        <f t="shared" si="29"/>
        <v>60160</v>
      </c>
      <c r="AF30" s="20">
        <f t="shared" si="1"/>
        <v>2.5500000000000003</v>
      </c>
      <c r="AG30" s="20">
        <f t="shared" si="2"/>
        <v>58.1</v>
      </c>
      <c r="AH30" s="20">
        <f t="shared" si="3"/>
        <v>0.1</v>
      </c>
      <c r="AI30" s="20">
        <f t="shared" si="4"/>
        <v>7.8</v>
      </c>
      <c r="AJ30" s="20">
        <f t="shared" si="5"/>
        <v>22.8</v>
      </c>
      <c r="AK30" s="20">
        <f t="shared" si="6"/>
        <v>19.7</v>
      </c>
      <c r="AL30" s="20">
        <f t="shared" si="7"/>
        <v>13.200000000000001</v>
      </c>
      <c r="AM30" s="20">
        <f t="shared" si="8"/>
        <v>23.900000000000002</v>
      </c>
      <c r="AN30" s="20">
        <f t="shared" si="9"/>
        <v>27.2</v>
      </c>
      <c r="AO30" s="20">
        <f t="shared" si="10"/>
        <v>13.3</v>
      </c>
      <c r="AP30" s="20">
        <f t="shared" si="11"/>
        <v>14.9</v>
      </c>
      <c r="AQ30" s="20">
        <f t="shared" si="12"/>
        <v>35.65</v>
      </c>
      <c r="AR30" s="20">
        <f t="shared" si="13"/>
        <v>61.6</v>
      </c>
      <c r="AS30" s="35">
        <f t="shared" si="30"/>
        <v>300.8</v>
      </c>
      <c r="AU30" s="53">
        <v>390237</v>
      </c>
      <c r="AV30" s="37">
        <f t="shared" si="35"/>
        <v>2022</v>
      </c>
      <c r="AW30" s="35">
        <f t="shared" si="14"/>
        <v>4.0440000000000005</v>
      </c>
    </row>
    <row r="31" spans="1:49" x14ac:dyDescent="0.25">
      <c r="A31" s="23">
        <v>44525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 t="str">
        <f>IF((C31-C30&lt;0), "0",C31-C30)</f>
        <v>0</v>
      </c>
      <c r="R31" s="37" t="str">
        <f t="shared" si="18"/>
        <v>0</v>
      </c>
      <c r="S31" s="37" t="str">
        <f t="shared" si="16"/>
        <v>0</v>
      </c>
      <c r="T31" s="37" t="str">
        <f t="shared" si="19"/>
        <v>0</v>
      </c>
      <c r="U31" s="37" t="str">
        <f t="shared" si="20"/>
        <v>0</v>
      </c>
      <c r="V31" s="37" t="str">
        <f t="shared" si="21"/>
        <v>0</v>
      </c>
      <c r="W31" s="37" t="str">
        <f t="shared" si="22"/>
        <v>0</v>
      </c>
      <c r="X31" s="37" t="str">
        <f t="shared" si="23"/>
        <v>0</v>
      </c>
      <c r="Y31" s="37" t="str">
        <f t="shared" si="24"/>
        <v>0</v>
      </c>
      <c r="Z31" s="37" t="str">
        <f t="shared" si="25"/>
        <v>0</v>
      </c>
      <c r="AA31" s="37" t="str">
        <f t="shared" si="26"/>
        <v>0</v>
      </c>
      <c r="AB31" s="37" t="str">
        <f t="shared" si="27"/>
        <v>0</v>
      </c>
      <c r="AC31" s="37" t="str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3"/>
      <c r="AV31" s="37" t="str">
        <f t="shared" si="35"/>
        <v>0</v>
      </c>
      <c r="AW31" s="35">
        <f t="shared" si="14"/>
        <v>0</v>
      </c>
    </row>
    <row r="32" spans="1:49" x14ac:dyDescent="0.25">
      <c r="A32" s="23">
        <v>44526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3"/>
      <c r="AV32" s="37">
        <f t="shared" si="35"/>
        <v>0</v>
      </c>
      <c r="AW32" s="35">
        <f t="shared" si="14"/>
        <v>0</v>
      </c>
    </row>
    <row r="33" spans="1:49" x14ac:dyDescent="0.25">
      <c r="A33" s="23">
        <v>44527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3"/>
      <c r="AV33" s="37">
        <f t="shared" si="35"/>
        <v>0</v>
      </c>
      <c r="AW33" s="35">
        <f t="shared" si="14"/>
        <v>0</v>
      </c>
    </row>
    <row r="34" spans="1:49" x14ac:dyDescent="0.25">
      <c r="A34" s="23">
        <v>44528</v>
      </c>
      <c r="B34" s="48"/>
      <c r="C34" s="4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3"/>
      <c r="AV34" s="37">
        <f t="shared" si="35"/>
        <v>0</v>
      </c>
      <c r="AW34" s="35">
        <f t="shared" si="14"/>
        <v>0</v>
      </c>
    </row>
    <row r="35" spans="1:49" x14ac:dyDescent="0.25">
      <c r="A35" s="23">
        <v>44529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3"/>
      <c r="AV35" s="37">
        <f t="shared" si="35"/>
        <v>0</v>
      </c>
      <c r="AW35" s="35">
        <f t="shared" si="14"/>
        <v>0</v>
      </c>
    </row>
    <row r="36" spans="1:49" x14ac:dyDescent="0.25">
      <c r="A36" s="23">
        <v>44530</v>
      </c>
      <c r="B36" s="40"/>
      <c r="C36" s="24"/>
      <c r="D36" s="24"/>
      <c r="E36" s="24"/>
      <c r="F36" s="24"/>
      <c r="G36" s="24"/>
      <c r="H36" s="24"/>
      <c r="I36" s="24"/>
      <c r="J36" s="49"/>
      <c r="K36" s="24"/>
      <c r="L36" s="24"/>
      <c r="M36" s="24"/>
      <c r="N36" s="24"/>
      <c r="O36" s="24"/>
      <c r="Q36" s="37">
        <f t="shared" ref="Q36:AA36" si="36">IF((C36-C35&lt;0), "0",C36-C35)</f>
        <v>0</v>
      </c>
      <c r="R36" s="37">
        <f t="shared" si="36"/>
        <v>0</v>
      </c>
      <c r="S36" s="37">
        <f t="shared" si="36"/>
        <v>0</v>
      </c>
      <c r="T36" s="37">
        <f t="shared" si="36"/>
        <v>0</v>
      </c>
      <c r="U36" s="37">
        <f t="shared" si="36"/>
        <v>0</v>
      </c>
      <c r="V36" s="37">
        <f t="shared" si="36"/>
        <v>0</v>
      </c>
      <c r="W36" s="37">
        <f t="shared" si="36"/>
        <v>0</v>
      </c>
      <c r="X36" s="37">
        <f t="shared" si="36"/>
        <v>0</v>
      </c>
      <c r="Y36" s="37">
        <f t="shared" si="36"/>
        <v>0</v>
      </c>
      <c r="Z36" s="37">
        <f t="shared" si="36"/>
        <v>0</v>
      </c>
      <c r="AA36" s="37">
        <f t="shared" si="36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3"/>
      <c r="AV36" s="37">
        <f t="shared" ref="AV36:AV37" si="37">IF((AU36-AU35&lt;0),"0",AU36-AU35)</f>
        <v>0</v>
      </c>
      <c r="AW36" s="35">
        <f t="shared" ref="AW36:AW37" si="38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9">IF((C37-C36&lt;0), "0",C37-C36)</f>
        <v>0</v>
      </c>
      <c r="R37" s="37">
        <f t="shared" ref="R37" si="40">IF((D37-D36&lt;0), "0",D37-D36)</f>
        <v>0</v>
      </c>
      <c r="S37" s="37">
        <f t="shared" ref="S37" si="41">IF((E37-E36&lt;0), "0",E37-E36)</f>
        <v>0</v>
      </c>
      <c r="T37" s="37">
        <f t="shared" ref="T37" si="42">IF((F37-F36&lt;0), "0",F37-F36)</f>
        <v>0</v>
      </c>
      <c r="U37" s="37">
        <f t="shared" ref="U37" si="43">IF((G37-G36&lt;0), "0",G37-G36)</f>
        <v>0</v>
      </c>
      <c r="V37" s="37">
        <f t="shared" ref="V37" si="44">IF((H37-H36&lt;0), "0",H37-H36)</f>
        <v>0</v>
      </c>
      <c r="W37" s="37">
        <f t="shared" ref="W37" si="45">IF((I37-I36&lt;0), "0",I37-I36)</f>
        <v>0</v>
      </c>
      <c r="X37" s="37">
        <f t="shared" ref="X37" si="46">IF((J37-J36&lt;0), "0",J37-J36)</f>
        <v>0</v>
      </c>
      <c r="Y37" s="37">
        <f t="shared" ref="Y37" si="47">IF((K37-K36&lt;0), "0",K37-K36)</f>
        <v>0</v>
      </c>
      <c r="Z37" s="37">
        <f t="shared" ref="Z37" si="48">IF((L37-L36&lt;0), "0",L37-L36)</f>
        <v>0</v>
      </c>
      <c r="AA37" s="37">
        <f t="shared" ref="AA37" si="49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50">Q37*$D$39</f>
        <v>0</v>
      </c>
      <c r="AG37" s="20">
        <f t="shared" ref="AG37" si="51">R37*$D$39</f>
        <v>0</v>
      </c>
      <c r="AH37" s="20">
        <f t="shared" ref="AH37" si="52">S37*$D$39</f>
        <v>0</v>
      </c>
      <c r="AI37" s="20">
        <f t="shared" ref="AI37" si="53">T37*$D$39</f>
        <v>0</v>
      </c>
      <c r="AJ37" s="20">
        <f t="shared" ref="AJ37" si="54">U37*$D$39</f>
        <v>0</v>
      </c>
      <c r="AK37" s="20">
        <f t="shared" ref="AK37" si="55">V37*$D$39</f>
        <v>0</v>
      </c>
      <c r="AL37" s="20">
        <f t="shared" ref="AL37" si="56">W37*$D$39</f>
        <v>0</v>
      </c>
      <c r="AM37" s="20">
        <f t="shared" ref="AM37" si="57">X37*$D$39</f>
        <v>0</v>
      </c>
      <c r="AN37" s="20">
        <f t="shared" ref="AN37" si="58">Y37*$D$39</f>
        <v>0</v>
      </c>
      <c r="AO37" s="20">
        <f t="shared" ref="AO37" si="59">Z37*$D$39</f>
        <v>0</v>
      </c>
      <c r="AP37" s="20">
        <f t="shared" ref="AP37" si="60">AA37*$D$39</f>
        <v>0</v>
      </c>
      <c r="AQ37" s="20">
        <f t="shared" ref="AQ37" si="61">AB37*$D$39</f>
        <v>0</v>
      </c>
      <c r="AR37" s="20">
        <f t="shared" ref="AR37" si="62">AC37*$D$39</f>
        <v>0</v>
      </c>
      <c r="AS37" s="35">
        <f>SUM(AF37:AR37)</f>
        <v>0</v>
      </c>
      <c r="AU37" s="53"/>
      <c r="AV37" s="37">
        <f t="shared" si="37"/>
        <v>0</v>
      </c>
      <c r="AW37" s="35">
        <f t="shared" si="38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90730</v>
      </c>
      <c r="R38" s="38">
        <f t="shared" ref="R38:AD38" si="63">SUM(R7:R37)</f>
        <v>135950</v>
      </c>
      <c r="S38" s="38">
        <f t="shared" si="63"/>
        <v>40870</v>
      </c>
      <c r="T38" s="38">
        <f t="shared" si="63"/>
        <v>43090</v>
      </c>
      <c r="U38" s="38">
        <f t="shared" si="63"/>
        <v>106790</v>
      </c>
      <c r="V38" s="38">
        <f t="shared" si="63"/>
        <v>97870</v>
      </c>
      <c r="W38" s="38">
        <f t="shared" si="63"/>
        <v>59630</v>
      </c>
      <c r="X38" s="38">
        <f t="shared" si="63"/>
        <v>112070</v>
      </c>
      <c r="Y38" s="38">
        <f t="shared" si="63"/>
        <v>135670</v>
      </c>
      <c r="Z38" s="38">
        <f t="shared" si="63"/>
        <v>61610</v>
      </c>
      <c r="AA38" s="38">
        <f t="shared" si="63"/>
        <v>72610</v>
      </c>
      <c r="AB38" s="38">
        <f t="shared" si="63"/>
        <v>170080</v>
      </c>
      <c r="AC38" s="38">
        <f t="shared" si="63"/>
        <v>283300</v>
      </c>
      <c r="AD38" s="38">
        <f t="shared" si="63"/>
        <v>1410270</v>
      </c>
      <c r="AF38" s="35">
        <f>SUM(AF7:AF37)</f>
        <v>453.65000000000003</v>
      </c>
      <c r="AG38" s="35">
        <f t="shared" ref="AG38:AS38" si="64">SUM(AG7:AG37)</f>
        <v>679.75000000000011</v>
      </c>
      <c r="AH38" s="35">
        <f t="shared" si="64"/>
        <v>204.35</v>
      </c>
      <c r="AI38" s="35">
        <f t="shared" si="64"/>
        <v>215.45000000000002</v>
      </c>
      <c r="AJ38" s="35">
        <f t="shared" si="64"/>
        <v>533.94999999999993</v>
      </c>
      <c r="AK38" s="35">
        <f t="shared" si="64"/>
        <v>489.34999999999997</v>
      </c>
      <c r="AL38" s="35">
        <f t="shared" si="64"/>
        <v>298.15000000000003</v>
      </c>
      <c r="AM38" s="35">
        <f t="shared" si="64"/>
        <v>560.35</v>
      </c>
      <c r="AN38" s="35">
        <f t="shared" si="64"/>
        <v>678.35</v>
      </c>
      <c r="AO38" s="35">
        <f t="shared" si="64"/>
        <v>308.05</v>
      </c>
      <c r="AP38" s="35">
        <f t="shared" si="64"/>
        <v>363.04999999999995</v>
      </c>
      <c r="AQ38" s="35">
        <f t="shared" si="64"/>
        <v>850.40000000000009</v>
      </c>
      <c r="AR38" s="35">
        <f t="shared" si="64"/>
        <v>1416.5000000000002</v>
      </c>
      <c r="AS38" s="35">
        <f t="shared" si="64"/>
        <v>7051.3499999999995</v>
      </c>
      <c r="AU38" s="54"/>
      <c r="AV38" s="35">
        <f>SUM(AV7:AV34)</f>
        <v>49239</v>
      </c>
      <c r="AW38" s="35">
        <f>SUM(AW7:AW34)</f>
        <v>98.478000000000009</v>
      </c>
    </row>
    <row r="39" spans="1:49" x14ac:dyDescent="0.25">
      <c r="D39">
        <v>5.0000000000000001E-3</v>
      </c>
      <c r="AV39" s="36">
        <f>AV38*0.00378541*1000</f>
        <v>186389.80299</v>
      </c>
    </row>
    <row r="40" spans="1:49" x14ac:dyDescent="0.25">
      <c r="D40">
        <v>2E-3</v>
      </c>
      <c r="AV40">
        <f>AV39/31</f>
        <v>6012.5742899999996</v>
      </c>
    </row>
    <row r="41" spans="1:49" x14ac:dyDescent="0.25">
      <c r="AV41">
        <f>AV38*0.00378541</f>
        <v>186.38980298999999</v>
      </c>
    </row>
    <row r="44" spans="1:49" x14ac:dyDescent="0.25">
      <c r="AU44" s="51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2021-11-25T08:14:50Z</dcterms:modified>
</cp:coreProperties>
</file>