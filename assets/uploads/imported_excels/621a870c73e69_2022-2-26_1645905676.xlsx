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15" i="7" l="1"/>
  <c r="BP17" i="7" l="1"/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<sst xmlns="http://schemas.openxmlformats.org/spreadsheetml/2006/main" count="315" uniqueCount="148">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</sst>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11869.999999999294</v>
      </c>
      <c r="F9" s="11">
        <f t="shared" si="1"/>
        <v>0.58765030286592534</v>
      </c>
      <c r="G9" s="12">
        <f>(Submetering!AX9+Submetering!AY9+Submetering!AZ9+Submetering!BA9+Submetering!BB9)</f>
        <v>36.629999999999995</v>
      </c>
      <c r="H9" s="11">
        <f t="shared" si="2"/>
        <v>0.99</v>
      </c>
      <c r="I9" s="12">
        <f>'FS Desroches Daily'!CM11</f>
        <v>159.29999999999927</v>
      </c>
      <c r="J9" s="11">
        <f t="shared" si="3"/>
        <v>10.487297712684205</v>
      </c>
      <c r="K9" s="13">
        <f>'FS Desroches Daily'!CN11</f>
        <v>17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11450.000000000131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103.20000000000073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12290.0000000002</v>
      </c>
      <c r="F11" s="11">
        <f t="shared" si="1"/>
        <v>0.58765030286592534</v>
      </c>
      <c r="G11" s="12">
        <f>(Submetering!AX11+Submetering!AY11+Submetering!AZ11+Submetering!BA11+Submetering!BB11)</f>
        <v>20.1465</v>
      </c>
      <c r="H11" s="11">
        <f t="shared" si="2"/>
        <v>0.99</v>
      </c>
      <c r="I11" s="12">
        <f>'FS Desroches Daily'!CM13</f>
        <v>94.5</v>
      </c>
      <c r="J11" s="11">
        <f t="shared" si="3"/>
        <v>10.487297712684205</v>
      </c>
      <c r="K11" s="13">
        <f>'FS Desroches Daily'!CN13</f>
        <v>24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11990.00000000012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93</v>
      </c>
      <c r="J12" s="11">
        <f t="shared" si="3"/>
        <v>10.487297712684205</v>
      </c>
      <c r="K12" s="13">
        <f>'FS Desroches Daily'!CN14</f>
        <v>24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12340.000000000153</v>
      </c>
      <c r="F13" s="11">
        <f t="shared" si="1"/>
        <v>0.58765030286592534</v>
      </c>
      <c r="G13" s="12">
        <f>(Submetering!AX13+Submetering!AY13+Submetering!AZ13+Submetering!BA13+Submetering!BB13)</f>
        <v>20.146499999999996</v>
      </c>
      <c r="H13" s="11">
        <f t="shared" si="2"/>
        <v>0.99</v>
      </c>
      <c r="I13" s="12">
        <f>'FS Desroches Daily'!CM15</f>
        <v>74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10979.999999999982</v>
      </c>
      <c r="F14" s="11">
        <f t="shared" si="1"/>
        <v>0.58765030286592534</v>
      </c>
      <c r="G14" s="12">
        <f>(Submetering!AX14+Submetering!AY14+Submetering!AZ14+Submetering!BA14+Submetering!BB14)</f>
        <v>23.809499999999996</v>
      </c>
      <c r="H14" s="11">
        <f t="shared" si="2"/>
        <v>0.99</v>
      </c>
      <c r="I14" s="12">
        <f>'FS Desroches Daily'!CM16</f>
        <v>87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11809.999999999383</v>
      </c>
      <c r="F15" s="11">
        <f t="shared" si="1"/>
        <v>0.58765030286592534</v>
      </c>
      <c r="G15" s="12">
        <f>(Submetering!AX15+Submetering!AY15+Submetering!AZ15+Submetering!BA15+Submetering!BB15)</f>
        <v>16.483499999999999</v>
      </c>
      <c r="H15" s="11">
        <f t="shared" si="2"/>
        <v>0.99</v>
      </c>
      <c r="I15" s="12">
        <f>'FS Desroches Daily'!CM17</f>
        <v>90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10790.000000000251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79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11290.000000000007</v>
      </c>
      <c r="F17" s="11">
        <f t="shared" si="1"/>
        <v>0.58765030286592534</v>
      </c>
      <c r="G17" s="12">
        <f>(Submetering!AX17+Submetering!AY17+Submetering!AZ17+Submetering!BA17+Submetering!BB17)</f>
        <v>31.135499999999997</v>
      </c>
      <c r="H17" s="11">
        <f t="shared" si="2"/>
        <v>0.99</v>
      </c>
      <c r="I17" s="12">
        <f>'FS Desroches Daily'!CM19</f>
        <v>74</v>
      </c>
      <c r="J17" s="11">
        <f t="shared" si="3"/>
        <v>10.487297712684205</v>
      </c>
      <c r="K17" s="13">
        <f>'FS Desroches Daily'!CN19</f>
        <v>22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10610.000000000255</v>
      </c>
      <c r="F18" s="11">
        <f t="shared" si="1"/>
        <v>0.58765030286592534</v>
      </c>
      <c r="G18" s="12">
        <f>(Submetering!AX18+Submetering!AY18+Submetering!AZ18+Submetering!BA18+Submetering!BB18)</f>
        <v>10.988999999999999</v>
      </c>
      <c r="H18" s="11">
        <f t="shared" si="2"/>
        <v>0.99</v>
      </c>
      <c r="I18" s="12">
        <f>'FS Desroches Daily'!CM20</f>
        <v>74</v>
      </c>
      <c r="J18" s="11">
        <f t="shared" si="3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10029.999999999971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83</v>
      </c>
      <c r="J19" s="11">
        <f t="shared" si="3"/>
        <v>10.487297712684205</v>
      </c>
      <c r="K19" s="13">
        <f>'FS Desroches Daily'!CN21</f>
        <v>22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10309.999999999876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69.5</v>
      </c>
      <c r="J20" s="11">
        <f t="shared" si="3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11950.000000000224</v>
      </c>
      <c r="F21" s="11">
        <f t="shared" si="1"/>
        <v>0.58765030286592534</v>
      </c>
      <c r="G21" s="12">
        <f>(Submetering!AX21+Submetering!AY21+Submetering!AZ21+Submetering!BA21+Submetering!BB21)</f>
        <v>18.314999999999998</v>
      </c>
      <c r="H21" s="11">
        <f t="shared" si="2"/>
        <v>0.99</v>
      </c>
      <c r="I21" s="12">
        <f>'FS Desroches Daily'!CM23</f>
        <v>77.700000000000728</v>
      </c>
      <c r="J21" s="11">
        <f t="shared" si="3"/>
        <v>10.487297712684205</v>
      </c>
      <c r="K21" s="13">
        <f>'FS Desroches Daily'!CN23</f>
        <v>27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10370.000000000091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89</v>
      </c>
      <c r="J22" s="11">
        <f t="shared" si="3"/>
        <v>10.487297712684205</v>
      </c>
      <c r="K22" s="13">
        <f>'FS Desroches Daily'!CN24</f>
        <v>29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12429.999999999218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96.799999999999272</v>
      </c>
      <c r="J23" s="11">
        <f t="shared" si="3"/>
        <v>10.487297712684205</v>
      </c>
      <c r="K23" s="13">
        <f>'FS Desroches Daily'!CN25</f>
        <v>29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12980.000000000495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90.200000000000728</v>
      </c>
      <c r="J24" s="11">
        <f t="shared" si="3"/>
        <v>10.487297712684205</v>
      </c>
      <c r="K24" s="13">
        <f>'FS Desroches Daily'!CN26</f>
        <v>29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12850.000000000091</v>
      </c>
      <c r="F25" s="11">
        <f t="shared" si="1"/>
        <v>0.58765030286592534</v>
      </c>
      <c r="G25" s="12">
        <f>(Submetering!AX25+Submetering!AY25+Submetering!AZ25+Submetering!BA25+Submetering!BB25)</f>
        <v>31.135499999999997</v>
      </c>
      <c r="H25" s="11">
        <f t="shared" si="2"/>
        <v>0.99</v>
      </c>
      <c r="I25" s="12">
        <f>'FS Desroches Daily'!CM27</f>
        <v>102.79999999999927</v>
      </c>
      <c r="J25" s="11">
        <f t="shared" si="3"/>
        <v>10.487297712684205</v>
      </c>
      <c r="K25" s="13">
        <f>'FS Desroches Daily'!CN27</f>
        <v>40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17539.999999999549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114</v>
      </c>
      <c r="J26" s="11">
        <f t="shared" si="3"/>
        <v>10.487297712684205</v>
      </c>
      <c r="K26" s="13">
        <f>'FS Desroches Daily'!CN28</f>
        <v>41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 t="e">
        <f>Submetering!E27+Submetering!F27+Submetering!G27+Submetering!H27+Submetering!J27-Submetering!AV27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'FS Desroches Daily'!CM29</f>
        <v>#VALUE!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3099.9999999998809</v>
      </c>
      <c r="F9" s="32">
        <f>'FS Desroches Daily'!F11</f>
        <v>3499.9999999998367</v>
      </c>
      <c r="G9" s="31">
        <f>'FS Desroches Daily'!H11</f>
        <v>2599.9999999997135</v>
      </c>
      <c r="H9" s="32">
        <f>'FS Desroches Daily'!J11</f>
        <v>1699.9999999998129</v>
      </c>
      <c r="I9" s="31">
        <f>'FS Desroches Daily'!L11</f>
        <v>2099.9999999999909</v>
      </c>
      <c r="J9" s="32">
        <f>'FS Desroches Daily'!N11</f>
        <v>1600.0000000000459</v>
      </c>
      <c r="K9" s="13">
        <f>'FS Desroches Daily'!P11</f>
        <v>41</v>
      </c>
      <c r="L9" s="31">
        <f>'FS Desroches Daily'!R11</f>
        <v>6</v>
      </c>
      <c r="M9" s="31">
        <f>'FS Desroches Daily'!T11</f>
        <v>0.79999999999995453</v>
      </c>
      <c r="N9" s="31">
        <f>'FS Desroches Daily'!V11</f>
        <v>374.89999999996508</v>
      </c>
      <c r="O9" s="31">
        <f>'FS Desroches Daily'!X11</f>
        <v>419.99999999995907</v>
      </c>
      <c r="P9" s="31">
        <f>'FS Desroches Daily'!Z11</f>
        <v>2999.9999999996694</v>
      </c>
      <c r="Q9" s="31">
        <f>'FS Desroches Daily'!AB11</f>
        <v>339.99999999997499</v>
      </c>
      <c r="R9" s="31">
        <f>'FS Desroches Daily'!AD11</f>
        <v>600.00000000002274</v>
      </c>
      <c r="S9" s="31">
        <f>'FS Desroches Daily'!AF11</f>
        <v>509.99999999999091</v>
      </c>
      <c r="T9" s="31">
        <f>'FS Desroches Daily'!AH11</f>
        <v>42</v>
      </c>
      <c r="U9" s="35">
        <f>'FS Desroches Daily'!AJ11</f>
        <v>850.00000000002274</v>
      </c>
      <c r="V9" s="35">
        <f>'FS Desroches Daily'!AL11</f>
        <v>130.00000000002387</v>
      </c>
      <c r="W9" s="35">
        <f>'FS Desroches Daily'!AN11</f>
        <v>219.99999999999886</v>
      </c>
      <c r="X9" s="35">
        <f>'FS Desroches Daily'!AP11</f>
        <v>250</v>
      </c>
      <c r="Y9" s="35">
        <f>'FS Desroches Daily'!AR11</f>
        <v>170.00000000001592</v>
      </c>
      <c r="Z9" s="35">
        <f>'FS Desroches Daily'!AT11</f>
        <v>269.99999999998181</v>
      </c>
      <c r="AA9" s="35">
        <f>'FS Desroches Daily'!AT11</f>
        <v>269.99999999998181</v>
      </c>
      <c r="AB9" s="35">
        <f>'FS Desroches Daily'!AV11</f>
        <v>180.00000000000682</v>
      </c>
      <c r="AC9" s="35">
        <f>'FS Desroches Daily'!AZ11</f>
        <v>159.99999999996817</v>
      </c>
      <c r="AD9" s="35">
        <f>'FS Desroches Daily'!BB11</f>
        <v>250</v>
      </c>
      <c r="AE9" s="35">
        <f>'FS Desroches Daily'!BD11</f>
        <v>180.00000000000682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42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37.69999999999709</v>
      </c>
      <c r="AR9" s="31">
        <f>'FS Desroches Daily'!CD11</f>
        <v>12.399999999999636</v>
      </c>
      <c r="AS9" s="31">
        <f>'FS Desroches Daily'!CF11</f>
        <v>0.3000000000001819</v>
      </c>
      <c r="AT9" s="31">
        <f>'FS Desroches Daily'!CH11</f>
        <v>38</v>
      </c>
      <c r="AU9" s="31">
        <f>'FS Desroches Daily'!CJ11</f>
        <v>280</v>
      </c>
      <c r="AV9" s="31">
        <f>'FS Desroches Daily'!CL11</f>
        <v>629.99999999999545</v>
      </c>
      <c r="AW9" s="31">
        <f>'FS Desroches Daily'!CM11</f>
        <v>159.29999999999927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5.4944999999999995</v>
      </c>
      <c r="BC9" s="13">
        <f>'FS Desroches Daily'!CN11</f>
        <v>17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3099.9999999998809</v>
      </c>
      <c r="F10" s="32">
        <f>'FS Desroches Daily'!F12</f>
        <v>3000.0000000001137</v>
      </c>
      <c r="G10" s="31">
        <f>'FS Desroches Daily'!H12</f>
        <v>2800.0000000001355</v>
      </c>
      <c r="H10" s="32">
        <f>'FS Desroches Daily'!J12</f>
        <v>1700.0000000000348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15</v>
      </c>
      <c r="L10" s="31">
        <f>'FS Desroches Daily'!R12</f>
        <v>5</v>
      </c>
      <c r="M10" s="31">
        <f>'FS Desroches Daily'!T12</f>
        <v>1</v>
      </c>
      <c r="N10" s="31">
        <f>'FS Desroches Daily'!V12</f>
        <v>363.40000000002328</v>
      </c>
      <c r="O10" s="31">
        <f>'FS Desroches Daily'!X12</f>
        <v>360.00000000001364</v>
      </c>
      <c r="P10" s="31">
        <f>'FS Desroches Daily'!Z12</f>
        <v>2700.0000000003688</v>
      </c>
      <c r="Q10" s="31">
        <f>'FS Desroches Daily'!AB12</f>
        <v>400.00000000003411</v>
      </c>
      <c r="R10" s="31">
        <f>'FS Desroches Daily'!AD12</f>
        <v>529.99999999997272</v>
      </c>
      <c r="S10" s="31">
        <f>'FS Desroches Daily'!AF12</f>
        <v>450.00000000004547</v>
      </c>
      <c r="T10" s="31">
        <f>'FS Desroches Daily'!AH12</f>
        <v>44</v>
      </c>
      <c r="U10" s="35">
        <f>'FS Desroches Daily'!AJ12</f>
        <v>809.99999999994543</v>
      </c>
      <c r="V10" s="35">
        <f>'FS Desroches Daily'!AL12</f>
        <v>139.99999999998636</v>
      </c>
      <c r="W10" s="35">
        <f>'FS Desroches Daily'!AN12</f>
        <v>210.00000000000796</v>
      </c>
      <c r="X10" s="35">
        <f>'FS Desroches Daily'!AP12</f>
        <v>219.99999999999886</v>
      </c>
      <c r="Y10" s="35">
        <f>'FS Desroches Daily'!AR12</f>
        <v>189.99999999999773</v>
      </c>
      <c r="Z10" s="35">
        <f>'FS Desroches Daily'!AT12</f>
        <v>269.99999999998181</v>
      </c>
      <c r="AA10" s="35">
        <f>'FS Desroches Daily'!AT12</f>
        <v>269.99999999998181</v>
      </c>
      <c r="AB10" s="35">
        <f>'FS Desroches Daily'!AV12</f>
        <v>199.99999999998863</v>
      </c>
      <c r="AC10" s="35">
        <f>'FS Desroches Daily'!AZ12</f>
        <v>139.99999999998636</v>
      </c>
      <c r="AD10" s="35">
        <f>'FS Desroches Daily'!BB12</f>
        <v>229.99999999996135</v>
      </c>
      <c r="AE10" s="35">
        <f>'FS Desroches Daily'!BD12</f>
        <v>109.9999999999568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60.000000000002274</v>
      </c>
      <c r="AL10" s="32">
        <f>'FS Desroches Daily'!BR12</f>
        <v>36</v>
      </c>
      <c r="AM10" s="32">
        <f>'FS Desroches Daily'!BT12</f>
        <v>50.000000000011369</v>
      </c>
      <c r="AN10" s="32">
        <f>'FS Desroches Daily'!BV12</f>
        <v>37</v>
      </c>
      <c r="AO10" s="32">
        <f>'FS Desroches Daily'!BX12</f>
        <v>40.000000000020464</v>
      </c>
      <c r="AP10" s="32">
        <f>'FS Desroches Daily'!BZ12</f>
        <v>39</v>
      </c>
      <c r="AQ10" s="31">
        <f>'FS Desroches Daily'!CB12</f>
        <v>39.5</v>
      </c>
      <c r="AR10" s="31">
        <f>'FS Desroches Daily'!CD12</f>
        <v>11.399999999999636</v>
      </c>
      <c r="AS10" s="31">
        <f>'FS Desroches Daily'!CF12</f>
        <v>1</v>
      </c>
      <c r="AT10" s="31">
        <f>'FS Desroches Daily'!CH12</f>
        <v>69</v>
      </c>
      <c r="AU10" s="31">
        <f>'FS Desroches Daily'!CJ12</f>
        <v>305</v>
      </c>
      <c r="AV10" s="31">
        <f>'FS Desroches Daily'!CL12</f>
        <v>650.00000000009095</v>
      </c>
      <c r="AW10" s="31">
        <f>'FS Desroches Daily'!CM12</f>
        <v>103.20000000000073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3300.0000000003029</v>
      </c>
      <c r="F11" s="32">
        <f>'FS Desroches Daily'!F13</f>
        <v>3600.0000000000477</v>
      </c>
      <c r="G11" s="31">
        <f>'FS Desroches Daily'!H13</f>
        <v>2899.9999999999027</v>
      </c>
      <c r="H11" s="32">
        <f>'FS Desroches Daily'!J13</f>
        <v>1700.0000000000348</v>
      </c>
      <c r="I11" s="31">
        <f>'FS Desroches Daily'!L13</f>
        <v>2199.9999999997576</v>
      </c>
      <c r="J11" s="32">
        <f>'FS Desroches Daily'!N13</f>
        <v>1499.9999999998347</v>
      </c>
      <c r="K11" s="13">
        <f>'FS Desroches Daily'!P13</f>
        <v>27</v>
      </c>
      <c r="L11" s="31">
        <f>'FS Desroches Daily'!R13</f>
        <v>6</v>
      </c>
      <c r="M11" s="31">
        <f>'FS Desroches Daily'!T13</f>
        <v>1.0999999999999091</v>
      </c>
      <c r="N11" s="31">
        <f>'FS Desroches Daily'!V13</f>
        <v>430</v>
      </c>
      <c r="O11" s="31">
        <f>'FS Desroches Daily'!X13</f>
        <v>480.00000000001819</v>
      </c>
      <c r="P11" s="31">
        <f>'FS Desroches Daily'!Z13</f>
        <v>3299.9999999998586</v>
      </c>
      <c r="Q11" s="31">
        <f>'FS Desroches Daily'!AB13</f>
        <v>259.99999999999091</v>
      </c>
      <c r="R11" s="31">
        <f>'FS Desroches Daily'!AD13</f>
        <v>639.99999999998636</v>
      </c>
      <c r="S11" s="31">
        <f>'FS Desroches Daily'!AF13</f>
        <v>580.00000000004093</v>
      </c>
      <c r="T11" s="31">
        <f>'FS Desroches Daily'!AH13</f>
        <v>46</v>
      </c>
      <c r="U11" s="35">
        <f>'FS Desroches Daily'!AJ13</f>
        <v>980.00000000001819</v>
      </c>
      <c r="V11" s="35">
        <f>'FS Desroches Daily'!AL13</f>
        <v>170.00000000001592</v>
      </c>
      <c r="W11" s="35">
        <f>'FS Desroches Daily'!AN13</f>
        <v>400.00000000000568</v>
      </c>
      <c r="X11" s="35">
        <f>'FS Desroches Daily'!AP13</f>
        <v>260.00000000001933</v>
      </c>
      <c r="Y11" s="35">
        <f>'FS Desroches Daily'!AR13</f>
        <v>269.99999999998181</v>
      </c>
      <c r="Z11" s="35">
        <f>'FS Desroches Daily'!AT13</f>
        <v>199.99999999998863</v>
      </c>
      <c r="AA11" s="35">
        <f>'FS Desroches Daily'!AT13</f>
        <v>199.99999999998863</v>
      </c>
      <c r="AB11" s="35">
        <f>'FS Desroches Daily'!AV13</f>
        <v>269.99999999998181</v>
      </c>
      <c r="AC11" s="35">
        <f>'FS Desroches Daily'!AZ13</f>
        <v>160.00000000002501</v>
      </c>
      <c r="AD11" s="35">
        <f>'FS Desroches Daily'!BB13</f>
        <v>270.00000000003865</v>
      </c>
      <c r="AE11" s="35">
        <f>'FS Desroches Daily'!BD13</f>
        <v>69.999999999993179</v>
      </c>
      <c r="AF11" s="31">
        <f>'FS Desroches Daily'!BF13</f>
        <v>33</v>
      </c>
      <c r="AG11" s="32">
        <f>'FS Desroches Daily'!BH13</f>
        <v>69.999999999993179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52</v>
      </c>
      <c r="AM11" s="32">
        <f>'FS Desroches Daily'!BT13</f>
        <v>69.999999999993179</v>
      </c>
      <c r="AN11" s="32">
        <f>'FS Desroches Daily'!BV13</f>
        <v>46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45.599999999998545</v>
      </c>
      <c r="AR11" s="31">
        <f>'FS Desroches Daily'!CD13</f>
        <v>16.5</v>
      </c>
      <c r="AS11" s="31">
        <f>'FS Desroches Daily'!CF13</f>
        <v>4.8999999999996362</v>
      </c>
      <c r="AT11" s="31">
        <f>'FS Desroches Daily'!CH13</f>
        <v>9.6999999999970896</v>
      </c>
      <c r="AU11" s="31">
        <f>'FS Desroches Daily'!CJ13</f>
        <v>304.40000000002328</v>
      </c>
      <c r="AV11" s="31">
        <f>'FS Desroches Daily'!CL13</f>
        <v>709.99999999992269</v>
      </c>
      <c r="AW11" s="31">
        <f>'FS Desroches Daily'!CM13</f>
        <v>94.5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3.6629999999999998</v>
      </c>
      <c r="BC11" s="13">
        <f>'FS Desroches Daily'!CN13</f>
        <v>24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3299.9999999998586</v>
      </c>
      <c r="F12" s="32">
        <f>'FS Desroches Daily'!F14</f>
        <v>3200.0000000000919</v>
      </c>
      <c r="G12" s="31">
        <f>'FS Desroches Daily'!H14</f>
        <v>2800.0000000001355</v>
      </c>
      <c r="H12" s="32">
        <f>'FS Desroches Daily'!J14</f>
        <v>1700.0000000000348</v>
      </c>
      <c r="I12" s="31">
        <f>'FS Desroches Daily'!L14</f>
        <v>2099.9999999999909</v>
      </c>
      <c r="J12" s="32">
        <f>'FS Desroches Daily'!N14</f>
        <v>1700.0000000000348</v>
      </c>
      <c r="K12" s="13">
        <f>'FS Desroches Daily'!P14</f>
        <v>63</v>
      </c>
      <c r="L12" s="31">
        <f>'FS Desroches Daily'!R14</f>
        <v>5</v>
      </c>
      <c r="M12" s="31">
        <f>'FS Desroches Daily'!T14</f>
        <v>0.90000000000009095</v>
      </c>
      <c r="N12" s="31">
        <f>'FS Desroches Daily'!V14</f>
        <v>320.40000000002328</v>
      </c>
      <c r="O12" s="31">
        <f>'FS Desroches Daily'!X14</f>
        <v>319.99999999999318</v>
      </c>
      <c r="P12" s="31">
        <f>'FS Desroches Daily'!Z14</f>
        <v>2699.9999999999245</v>
      </c>
      <c r="Q12" s="31">
        <f>'FS Desroches Daily'!AB14</f>
        <v>439.99999999999773</v>
      </c>
      <c r="R12" s="31">
        <f>'FS Desroches Daily'!AD14</f>
        <v>540.00000000002046</v>
      </c>
      <c r="S12" s="31">
        <f>'FS Desroches Daily'!AF14</f>
        <v>559.99999999994543</v>
      </c>
      <c r="T12" s="31">
        <f>'FS Desroches Daily'!AH14</f>
        <v>44</v>
      </c>
      <c r="U12" s="35">
        <f>'FS Desroches Daily'!AJ14</f>
        <v>809.99999999994543</v>
      </c>
      <c r="V12" s="35">
        <f>'FS Desroches Daily'!AL14</f>
        <v>259.99999999999091</v>
      </c>
      <c r="W12" s="35">
        <f>'FS Desroches Daily'!AN14</f>
        <v>329.99999999998408</v>
      </c>
      <c r="X12" s="35">
        <f>'FS Desroches Daily'!AP14</f>
        <v>209.99999999997954</v>
      </c>
      <c r="Y12" s="35">
        <f>'FS Desroches Daily'!AR14</f>
        <v>240.00000000000909</v>
      </c>
      <c r="Z12" s="35">
        <f>'FS Desroches Daily'!AT14</f>
        <v>300.00000000001137</v>
      </c>
      <c r="AA12" s="35">
        <f>'FS Desroches Daily'!AT14</f>
        <v>300.00000000001137</v>
      </c>
      <c r="AB12" s="35">
        <f>'FS Desroches Daily'!AV14</f>
        <v>180.00000000000682</v>
      </c>
      <c r="AC12" s="35">
        <f>'FS Desroches Daily'!AZ14</f>
        <v>149.99999999997726</v>
      </c>
      <c r="AD12" s="35">
        <f>'FS Desroches Daily'!BB14</f>
        <v>219.99999999997044</v>
      </c>
      <c r="AE12" s="35">
        <f>'FS Desroches Daily'!BD14</f>
        <v>90.000000000031832</v>
      </c>
      <c r="AF12" s="31">
        <f>'FS Desroches Daily'!BF14</f>
        <v>44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50.000000000011369</v>
      </c>
      <c r="AJ12" s="32">
        <f>'FS Desroches Daily'!BN14</f>
        <v>39.999999999992042</v>
      </c>
      <c r="AK12" s="32">
        <f>'FS Desroches Daily'!BP14</f>
        <v>49.999999999954525</v>
      </c>
      <c r="AL12" s="32">
        <f>'FS Desroches Daily'!BR14</f>
        <v>38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36.700000000004366</v>
      </c>
      <c r="AR12" s="31">
        <f>'FS Desroches Daily'!CD14</f>
        <v>9.5</v>
      </c>
      <c r="AS12" s="31">
        <f>'FS Desroches Daily'!CF14</f>
        <v>1.5</v>
      </c>
      <c r="AT12" s="31">
        <f>'FS Desroches Daily'!CH14</f>
        <v>38.700000000011642</v>
      </c>
      <c r="AU12" s="31">
        <f>'FS Desroches Daily'!CJ14</f>
        <v>327.59999999997672</v>
      </c>
      <c r="AV12" s="31">
        <f>'FS Desroches Daily'!CL14</f>
        <v>710.00000000003638</v>
      </c>
      <c r="AW12" s="31">
        <f>'FS Desroches Daily'!CM14</f>
        <v>93</v>
      </c>
      <c r="AX12" s="31">
        <f>IF(LPG!F19-LPG!F18&lt;0,"0",(LPG!F19-LPG!F18)*1.8315)</f>
        <v>10.988999999999999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24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3400.0000000000696</v>
      </c>
      <c r="F13" s="32">
        <f>'FS Desroches Daily'!F15</f>
        <v>3299.9999999998586</v>
      </c>
      <c r="G13" s="31">
        <f>'FS Desroches Daily'!H15</f>
        <v>3000.0000000001137</v>
      </c>
      <c r="H13" s="32">
        <f>'FS Desroches Daily'!J15</f>
        <v>1800.0000000000239</v>
      </c>
      <c r="I13" s="31">
        <f>'FS Desroches Daily'!L15</f>
        <v>2200.0000000002019</v>
      </c>
      <c r="J13" s="32">
        <f>'FS Desroches Daily'!N15</f>
        <v>1500.0000000000568</v>
      </c>
      <c r="K13" s="13">
        <f>'FS Desroches Daily'!P15</f>
        <v>64</v>
      </c>
      <c r="L13" s="31">
        <f>'FS Desroches Daily'!R15</f>
        <v>8</v>
      </c>
      <c r="M13" s="31">
        <f>'FS Desroches Daily'!T15</f>
        <v>2.0999999999999091</v>
      </c>
      <c r="N13" s="31">
        <f>'FS Desroches Daily'!V15</f>
        <v>866.79999999998836</v>
      </c>
      <c r="O13" s="31">
        <f>'FS Desroches Daily'!X15</f>
        <v>529.99999999997272</v>
      </c>
      <c r="P13" s="31">
        <f>'FS Desroches Daily'!Z15</f>
        <v>4000.0000000000036</v>
      </c>
      <c r="Q13" s="31">
        <f>'FS Desroches Daily'!AB15</f>
        <v>370.00000000000455</v>
      </c>
      <c r="R13" s="31">
        <f>'FS Desroches Daily'!AD15</f>
        <v>730.00000000001819</v>
      </c>
      <c r="S13" s="31">
        <f>'FS Desroches Daily'!AF15</f>
        <v>830.00000000004093</v>
      </c>
      <c r="T13" s="31">
        <f>'FS Desroches Daily'!AH15</f>
        <v>58</v>
      </c>
      <c r="U13" s="35">
        <f>'FS Desroches Daily'!AJ15</f>
        <v>1070.00000000005</v>
      </c>
      <c r="V13" s="35">
        <f>'FS Desroches Daily'!AL15</f>
        <v>420.00000000001592</v>
      </c>
      <c r="W13" s="35">
        <f>'FS Desroches Daily'!AN15</f>
        <v>500</v>
      </c>
      <c r="X13" s="35">
        <f>'FS Desroches Daily'!AP15</f>
        <v>210.00000000000796</v>
      </c>
      <c r="Y13" s="35">
        <f>'FS Desroches Daily'!AR15</f>
        <v>209.99999999997954</v>
      </c>
      <c r="Z13" s="35">
        <f>'FS Desroches Daily'!AT15</f>
        <v>389.99999999998636</v>
      </c>
      <c r="AA13" s="35">
        <f>'FS Desroches Daily'!AT15</f>
        <v>389.99999999998636</v>
      </c>
      <c r="AB13" s="35">
        <f>'FS Desroches Daily'!AV15</f>
        <v>290.00000000002046</v>
      </c>
      <c r="AC13" s="35">
        <f>'FS Desroches Daily'!AZ15</f>
        <v>330.00000000004093</v>
      </c>
      <c r="AD13" s="35">
        <f>'FS Desroches Daily'!BB15</f>
        <v>180.00000000000682</v>
      </c>
      <c r="AE13" s="35">
        <f>'FS Desroches Daily'!BD15</f>
        <v>289.99999999996362</v>
      </c>
      <c r="AF13" s="31">
        <f>'FS Desroches Daily'!BF15</f>
        <v>46</v>
      </c>
      <c r="AG13" s="32">
        <f>'FS Desroches Daily'!BH15</f>
        <v>80.000000000012506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60.000000000002274</v>
      </c>
      <c r="AK13" s="32">
        <f>'FS Desroches Daily'!BP15</f>
        <v>90.000000000031832</v>
      </c>
      <c r="AL13" s="32">
        <f>'FS Desroches Daily'!BR15</f>
        <v>43</v>
      </c>
      <c r="AM13" s="32">
        <f>'FS Desroches Daily'!BT15</f>
        <v>90.000000000003411</v>
      </c>
      <c r="AN13" s="32">
        <f>'FS Desroches Daily'!BV15</f>
        <v>62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38.19999999999709</v>
      </c>
      <c r="AR13" s="31">
        <f>'FS Desroches Daily'!CD15</f>
        <v>23.100000000000364</v>
      </c>
      <c r="AS13" s="31">
        <f>'FS Desroches Daily'!CF15</f>
        <v>1.3000000000001819</v>
      </c>
      <c r="AT13" s="31">
        <f>'FS Desroches Daily'!CH15</f>
        <v>64.899999999994179</v>
      </c>
      <c r="AU13" s="31">
        <f>'FS Desroches Daily'!CJ15</f>
        <v>431</v>
      </c>
      <c r="AV13" s="31">
        <f>'FS Desroches Daily'!CL15</f>
        <v>659.99999999996817</v>
      </c>
      <c r="AW13" s="31">
        <f>'FS Desroches Daily'!CM15</f>
        <v>74</v>
      </c>
      <c r="AX13" s="31">
        <f>IF(LPG!F20-LPG!F19&lt;0,"0",(LPG!F20-LPG!F19)*1.8315)</f>
        <v>5.4944999999999995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1.8314999999999999</v>
      </c>
      <c r="BB13" s="31">
        <f>IF(LPG!Q20-LPG!Q19&lt;0,"0",(LPG!Q20-LPG!Q19)*1.8315)</f>
        <v>9.1574999999999989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2499.9999999999468</v>
      </c>
      <c r="F14" s="32">
        <f>'FS Desroches Daily'!F16</f>
        <v>3299.9999999998586</v>
      </c>
      <c r="G14" s="31">
        <f>'FS Desroches Daily'!H16</f>
        <v>3200.0000000000919</v>
      </c>
      <c r="H14" s="32">
        <f>'FS Desroches Daily'!J16</f>
        <v>1400.0000000000678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14</v>
      </c>
      <c r="L14" s="31">
        <f>'FS Desroches Daily'!R16</f>
        <v>2</v>
      </c>
      <c r="M14" s="31">
        <f>'FS Desroches Daily'!T16</f>
        <v>0.70000000000004547</v>
      </c>
      <c r="N14" s="31">
        <f>'FS Desroches Daily'!V16</f>
        <v>206.70000000001164</v>
      </c>
      <c r="O14" s="31">
        <f>'FS Desroches Daily'!X16</f>
        <v>250</v>
      </c>
      <c r="P14" s="31">
        <f>'FS Desroches Daily'!Z16</f>
        <v>2000.0000000002237</v>
      </c>
      <c r="Q14" s="31">
        <f>'FS Desroches Daily'!AB16</f>
        <v>250</v>
      </c>
      <c r="R14" s="31">
        <f>'FS Desroches Daily'!AD16</f>
        <v>319.99999999999318</v>
      </c>
      <c r="S14" s="31">
        <f>'FS Desroches Daily'!AF16</f>
        <v>370.00000000000455</v>
      </c>
      <c r="T14" s="31">
        <f>'FS Desroches Daily'!AH16</f>
        <v>23</v>
      </c>
      <c r="U14" s="35">
        <f>'FS Desroches Daily'!AJ16</f>
        <v>330.00000000004093</v>
      </c>
      <c r="V14" s="35">
        <f>'FS Desroches Daily'!AL16</f>
        <v>139.99999999998636</v>
      </c>
      <c r="W14" s="35">
        <f>'FS Desroches Daily'!AN16</f>
        <v>90.000000000003411</v>
      </c>
      <c r="X14" s="35">
        <f>'FS Desroches Daily'!AP16</f>
        <v>69.999999999993179</v>
      </c>
      <c r="Y14" s="35">
        <f>'FS Desroches Daily'!AR16</f>
        <v>110.00000000001364</v>
      </c>
      <c r="Z14" s="35">
        <f>'FS Desroches Daily'!AT16</f>
        <v>70.000000000050022</v>
      </c>
      <c r="AA14" s="35">
        <f>'FS Desroches Daily'!AT16</f>
        <v>70.000000000050022</v>
      </c>
      <c r="AB14" s="35">
        <f>'FS Desroches Daily'!AV16</f>
        <v>100.00000000002274</v>
      </c>
      <c r="AC14" s="35">
        <f>'FS Desroches Daily'!AZ16</f>
        <v>180.00000000000682</v>
      </c>
      <c r="AD14" s="35">
        <f>'FS Desroches Daily'!BB16</f>
        <v>40.000000000020464</v>
      </c>
      <c r="AE14" s="35">
        <f>'FS Desroches Daily'!BD16</f>
        <v>60.000000000002274</v>
      </c>
      <c r="AF14" s="31">
        <f>'FS Desroches Daily'!BF16</f>
        <v>29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40.000000000020464</v>
      </c>
      <c r="AK14" s="32">
        <f>'FS Desroches Daily'!BP16</f>
        <v>29.999999999972715</v>
      </c>
      <c r="AL14" s="32">
        <f>'FS Desroches Daily'!BR16</f>
        <v>21</v>
      </c>
      <c r="AM14" s="32">
        <f>'FS Desroches Daily'!BT16</f>
        <v>30.000000000001137</v>
      </c>
      <c r="AN14" s="32">
        <f>'FS Desroches Daily'!BV16</f>
        <v>24</v>
      </c>
      <c r="AO14" s="32">
        <f>'FS Desroches Daily'!BX16</f>
        <v>19.99999999998181</v>
      </c>
      <c r="AP14" s="32">
        <f>'FS Desroches Daily'!BZ16</f>
        <v>15</v>
      </c>
      <c r="AQ14" s="31">
        <f>'FS Desroches Daily'!CB16</f>
        <v>23.80000000000291</v>
      </c>
      <c r="AR14" s="31">
        <f>'FS Desroches Daily'!CD16</f>
        <v>6.6999999999989086</v>
      </c>
      <c r="AS14" s="31">
        <f>'FS Desroches Daily'!CF16</f>
        <v>7.5</v>
      </c>
      <c r="AT14" s="31">
        <f>'FS Desroches Daily'!CH16</f>
        <v>28.69999999999709</v>
      </c>
      <c r="AU14" s="31">
        <f>'FS Desroches Daily'!CJ16</f>
        <v>215</v>
      </c>
      <c r="AV14" s="31">
        <f>'FS Desroches Daily'!CL16</f>
        <v>820.00000000005002</v>
      </c>
      <c r="AW14" s="31">
        <f>'FS Desroches Daily'!CM16</f>
        <v>87</v>
      </c>
      <c r="AX14" s="31">
        <f>IF(LPG!F21-LPG!F20&lt;0,"0",(LPG!F21-LPG!F20)*1.8315)</f>
        <v>9.1574999999999989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3.6629999999999998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2800.0000000001355</v>
      </c>
      <c r="F15" s="32">
        <f>'FS Desroches Daily'!F17</f>
        <v>3299.9999999998586</v>
      </c>
      <c r="G15" s="31">
        <f>'FS Desroches Daily'!H17</f>
        <v>2799.9999999996917</v>
      </c>
      <c r="H15" s="32">
        <f>'FS Desroches Daily'!J17</f>
        <v>1699.9999999998129</v>
      </c>
      <c r="I15" s="31">
        <f>'FS Desroches Daily'!L17</f>
        <v>1999.9999999997797</v>
      </c>
      <c r="J15" s="32">
        <f>'FS Desroches Daily'!N17</f>
        <v>1799.9999999998017</v>
      </c>
      <c r="K15" s="13">
        <f>'FS Desroches Daily'!P17</f>
        <v>38</v>
      </c>
      <c r="L15" s="31">
        <f>'FS Desroches Daily'!R17</f>
        <v>6</v>
      </c>
      <c r="M15" s="31">
        <f>'FS Desroches Daily'!T17</f>
        <v>1.1000000000001364</v>
      </c>
      <c r="N15" s="31">
        <f>'FS Desroches Daily'!V17</f>
        <v>435.39999999996508</v>
      </c>
      <c r="O15" s="31">
        <f>'FS Desroches Daily'!X17</f>
        <v>420.00000000001592</v>
      </c>
      <c r="P15" s="31">
        <f>'FS Desroches Daily'!Z17</f>
        <v>2999.9999999996694</v>
      </c>
      <c r="Q15" s="31">
        <f>'FS Desroches Daily'!AB17</f>
        <v>449.99999999998863</v>
      </c>
      <c r="R15" s="31">
        <f>'FS Desroches Daily'!AD17</f>
        <v>620.00000000000455</v>
      </c>
      <c r="S15" s="31">
        <f>'FS Desroches Daily'!AF17</f>
        <v>589.99999999991815</v>
      </c>
      <c r="T15" s="31">
        <f>'FS Desroches Daily'!AH17</f>
        <v>45</v>
      </c>
      <c r="U15" s="35">
        <f>'FS Desroches Daily'!AJ17</f>
        <v>750</v>
      </c>
      <c r="V15" s="35">
        <f>'FS Desroches Daily'!AL17</f>
        <v>329.99999999998408</v>
      </c>
      <c r="W15" s="35">
        <f>'FS Desroches Daily'!AN17</f>
        <v>180.00000000000682</v>
      </c>
      <c r="X15" s="35">
        <f>'FS Desroches Daily'!AP17</f>
        <v>180.00000000000682</v>
      </c>
      <c r="Y15" s="35">
        <f>'FS Desroches Daily'!AR17</f>
        <v>170.00000000001592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259.99999999999091</v>
      </c>
      <c r="AC15" s="35">
        <f>'FS Desroches Daily'!AZ17</f>
        <v>289.99999999996362</v>
      </c>
      <c r="AD15" s="35">
        <f>'FS Desroches Daily'!BB17</f>
        <v>89.999999999974989</v>
      </c>
      <c r="AE15" s="35">
        <f>'FS Desroches Daily'!BD17</f>
        <v>40.000000000020464</v>
      </c>
      <c r="AF15" s="31">
        <f>'FS Desroches Daily'!BF17</f>
        <v>41</v>
      </c>
      <c r="AG15" s="32">
        <f>'FS Desroches Daily'!BH17</f>
        <v>50.000000000011369</v>
      </c>
      <c r="AH15" s="32">
        <f>'FS Desroches Daily'!BJ17</f>
        <v>246.54</v>
      </c>
      <c r="AI15" s="32">
        <f>'FS Desroches Daily'!BL17</f>
        <v>49.999999999982947</v>
      </c>
      <c r="AJ15" s="32">
        <f>'FS Desroches Daily'!BN17</f>
        <v>49.999999999982947</v>
      </c>
      <c r="AK15" s="32">
        <f>'FS Desroches Daily'!BP17</f>
        <v>80.000000000040927</v>
      </c>
      <c r="AL15" s="32">
        <f>'FS Desroches Daily'!BR17</f>
        <v>41</v>
      </c>
      <c r="AM15" s="32">
        <f>'FS Desroches Daily'!BT17</f>
        <v>69.999999999993179</v>
      </c>
      <c r="AN15" s="32">
        <f>'FS Desroches Daily'!BV17</f>
        <v>46</v>
      </c>
      <c r="AO15" s="32">
        <f>'FS Desroches Daily'!BX17</f>
        <v>39.999999999992042</v>
      </c>
      <c r="AP15" s="32">
        <f>'FS Desroches Daily'!BZ17</f>
        <v>43</v>
      </c>
      <c r="AQ15" s="31">
        <f>'FS Desroches Daily'!CB17</f>
        <v>29.900000000001455</v>
      </c>
      <c r="AR15" s="31">
        <f>'FS Desroches Daily'!CD17</f>
        <v>11.5</v>
      </c>
      <c r="AS15" s="31">
        <f>'FS Desroches Daily'!CF17</f>
        <v>7.5</v>
      </c>
      <c r="AT15" s="31">
        <f>'FS Desroches Daily'!CH17</f>
        <v>44.19999999999709</v>
      </c>
      <c r="AU15" s="31">
        <f>'FS Desroches Daily'!CJ17</f>
        <v>263</v>
      </c>
      <c r="AV15" s="31">
        <f>'FS Desroches Daily'!CL17</f>
        <v>589.99999999991815</v>
      </c>
      <c r="AW15" s="31">
        <f>'FS Desroches Daily'!CM17</f>
        <v>90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2399.9999999997358</v>
      </c>
      <c r="F16" s="32">
        <f>'FS Desroches Daily'!F18</f>
        <v>3300.0000000003029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1300.0000000000789</v>
      </c>
      <c r="K16" s="13">
        <f>'FS Desroches Daily'!P18</f>
        <v>32</v>
      </c>
      <c r="L16" s="31">
        <f>'FS Desroches Daily'!R18</f>
        <v>3</v>
      </c>
      <c r="M16" s="31">
        <f>'FS Desroches Daily'!T18</f>
        <v>1</v>
      </c>
      <c r="N16" s="31">
        <f>'FS Desroches Daily'!V18</f>
        <v>402.5</v>
      </c>
      <c r="O16" s="31">
        <f>'FS Desroches Daily'!X18</f>
        <v>329.99999999998408</v>
      </c>
      <c r="P16" s="31">
        <f>'FS Desroches Daily'!Z18</f>
        <v>2699.9999999999245</v>
      </c>
      <c r="Q16" s="31">
        <f>'FS Desroches Daily'!AB18</f>
        <v>230.00000000001819</v>
      </c>
      <c r="R16" s="31">
        <f>'FS Desroches Daily'!AD18</f>
        <v>409.99999999996817</v>
      </c>
      <c r="S16" s="31">
        <f>'FS Desroches Daily'!AF18</f>
        <v>430.00000000006366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220.00000000002728</v>
      </c>
      <c r="W16" s="35">
        <f>'FS Desroches Daily'!AN18</f>
        <v>159.99999999999659</v>
      </c>
      <c r="X16" s="35">
        <f>'FS Desroches Daily'!AP18</f>
        <v>159.99999999999659</v>
      </c>
      <c r="Y16" s="35">
        <f>'FS Desroches Daily'!AR18</f>
        <v>129.99999999999545</v>
      </c>
      <c r="Z16" s="35">
        <f>'FS Desroches Daily'!AT18</f>
        <v>120.00000000000455</v>
      </c>
      <c r="AA16" s="35">
        <f>'FS Desroches Daily'!AT18</f>
        <v>120.00000000000455</v>
      </c>
      <c r="AB16" s="35">
        <f>'FS Desroches Daily'!AV18</f>
        <v>189.99999999999773</v>
      </c>
      <c r="AC16" s="35">
        <f>'FS Desroches Daily'!AZ18</f>
        <v>210.00000000003638</v>
      </c>
      <c r="AD16" s="35">
        <f>'FS Desroches Daily'!BB18</f>
        <v>90.000000000031832</v>
      </c>
      <c r="AE16" s="35">
        <f>'FS Desroches Daily'!BD18</f>
        <v>69.999999999993179</v>
      </c>
      <c r="AF16" s="31">
        <f>'FS Desroches Daily'!BF18</f>
        <v>33</v>
      </c>
      <c r="AG16" s="32">
        <f>'FS Desroches Daily'!BH18</f>
        <v>29.999999999972715</v>
      </c>
      <c r="AH16" s="32">
        <f>'FS Desroches Daily'!BJ18</f>
        <v>29.999999999972715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49.999999999954525</v>
      </c>
      <c r="AL16" s="32">
        <f>'FS Desroches Daily'!BR18</f>
        <v>26</v>
      </c>
      <c r="AM16" s="32">
        <f>'FS Desroches Daily'!BT18</f>
        <v>50.000000000011369</v>
      </c>
      <c r="AN16" s="32">
        <f>'FS Desroches Daily'!BV18</f>
        <v>38</v>
      </c>
      <c r="AO16" s="32">
        <f>'FS Desroches Daily'!BX18</f>
        <v>40.000000000020464</v>
      </c>
      <c r="AP16" s="32">
        <f>'FS Desroches Daily'!BZ18</f>
        <v>30</v>
      </c>
      <c r="AQ16" s="31">
        <f>'FS Desroches Daily'!CB18</f>
        <v>40.299999999995634</v>
      </c>
      <c r="AR16" s="31">
        <f>'FS Desroches Daily'!CD18</f>
        <v>9.7000000000007276</v>
      </c>
      <c r="AS16" s="31">
        <f>'FS Desroches Daily'!CF18</f>
        <v>2.1999999999998181</v>
      </c>
      <c r="AT16" s="31">
        <f>'FS Desroches Daily'!CH18</f>
        <v>4.9000000000087311</v>
      </c>
      <c r="AU16" s="31">
        <f>'FS Desroches Daily'!CJ18</f>
        <v>279</v>
      </c>
      <c r="AV16" s="31">
        <f>'FS Desroches Daily'!CL18</f>
        <v>710.00000000003638</v>
      </c>
      <c r="AW16" s="31">
        <f>'FS Desroches Daily'!CM18</f>
        <v>79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3.6629999999999998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2699.9999999999245</v>
      </c>
      <c r="F17" s="32">
        <f>'FS Desroches Daily'!F19</f>
        <v>3299.9999999998586</v>
      </c>
      <c r="G17" s="31">
        <f>'FS Desroches Daily'!H19</f>
        <v>2800.0000000001355</v>
      </c>
      <c r="H17" s="32">
        <f>'FS Desroches Daily'!J19</f>
        <v>1600.0000000000459</v>
      </c>
      <c r="I17" s="31">
        <f>'FS Desroches Daily'!L19</f>
        <v>2000.0000000002237</v>
      </c>
      <c r="J17" s="32">
        <f>'FS Desroches Daily'!N19</f>
        <v>1500.0000000000568</v>
      </c>
      <c r="K17" s="13">
        <f>'FS Desroches Daily'!P19</f>
        <v>34</v>
      </c>
      <c r="L17" s="31">
        <f>'FS Desroches Daily'!R19</f>
        <v>5</v>
      </c>
      <c r="M17" s="31">
        <f>'FS Desroches Daily'!T19</f>
        <v>1.0999999999999091</v>
      </c>
      <c r="N17" s="31">
        <f>'FS Desroches Daily'!V19</f>
        <v>482.40000000002328</v>
      </c>
      <c r="O17" s="31">
        <f>'FS Desroches Daily'!X19</f>
        <v>330.00000000004093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370.00000000000455</v>
      </c>
      <c r="S17" s="31">
        <f>'FS Desroches Daily'!AF19</f>
        <v>600.00000000002274</v>
      </c>
      <c r="T17" s="31">
        <f>'FS Desroches Daily'!AH19</f>
        <v>45</v>
      </c>
      <c r="U17" s="35">
        <f>'FS Desroches Daily'!AJ19</f>
        <v>669.99999999995907</v>
      </c>
      <c r="V17" s="35">
        <f>'FS Desroches Daily'!AL19</f>
        <v>259.99999999999091</v>
      </c>
      <c r="W17" s="35">
        <f>'FS Desroches Daily'!AN19</f>
        <v>240.00000000000909</v>
      </c>
      <c r="X17" s="35">
        <f>'FS Desroches Daily'!AP19</f>
        <v>150.00000000000568</v>
      </c>
      <c r="Y17" s="35">
        <f>'FS Desroches Daily'!AR19</f>
        <v>189.99999999999773</v>
      </c>
      <c r="Z17" s="35">
        <f>'FS Desroches Daily'!AU20</f>
        <v>322.73</v>
      </c>
      <c r="AA17" s="35">
        <f>'FS Desroches Daily'!AU20</f>
        <v>322.73</v>
      </c>
      <c r="AB17" s="35">
        <f>'FS Desroches Daily'!AV19</f>
        <v>169.99999999995907</v>
      </c>
      <c r="AC17" s="35">
        <f>'FS Desroches Daily'!AZ19</f>
        <v>259.99999999999091</v>
      </c>
      <c r="AD17" s="35">
        <f>'FS Desroches Daily'!BB19</f>
        <v>69.999999999993179</v>
      </c>
      <c r="AE17" s="35">
        <f>'FS Desroches Daily'!BD19</f>
        <v>79.999999999984084</v>
      </c>
      <c r="AF17" s="31">
        <f>'FS Desroches Daily'!BF19</f>
        <v>44</v>
      </c>
      <c r="AG17" s="32">
        <f>'FS Desroches Daily'!BH19</f>
        <v>40.000000000020464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36</v>
      </c>
      <c r="AM17" s="32">
        <f>'FS Desroches Daily'!BT19</f>
        <v>59.999999999973852</v>
      </c>
      <c r="AN17" s="32">
        <f>'FS Desroches Daily'!BV19</f>
        <v>42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54</v>
      </c>
      <c r="AR17" s="31">
        <f>'FS Desroches Daily'!CD19</f>
        <v>11.899999999999636</v>
      </c>
      <c r="AS17" s="31">
        <f>'FS Desroches Daily'!CF19</f>
        <v>6</v>
      </c>
      <c r="AT17" s="31">
        <f>'FS Desroches Daily'!CH19</f>
        <v>30.19999999999709</v>
      </c>
      <c r="AU17" s="31">
        <f>'FS Desroches Daily'!CJ19</f>
        <v>297</v>
      </c>
      <c r="AV17" s="31">
        <f>'FS Desroches Daily'!CL19</f>
        <v>610.00000000001364</v>
      </c>
      <c r="AW17" s="31">
        <f>'FS Desroches Daily'!CM19</f>
        <v>74</v>
      </c>
      <c r="AX17" s="31">
        <f>IF(LPG!F24-LPG!F23&lt;0,"0",(LPG!F24-LPG!F23)*1.8315)</f>
        <v>14.651999999999999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22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2500.0000000003906</v>
      </c>
      <c r="F18" s="32">
        <f>'FS Desroches Daily'!F20</f>
        <v>3099.9999999998809</v>
      </c>
      <c r="G18" s="31">
        <f>'FS Desroches Daily'!H20</f>
        <v>2899.9999999999027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38</v>
      </c>
      <c r="L18" s="31">
        <f>'FS Desroches Daily'!R20</f>
        <v>5</v>
      </c>
      <c r="M18" s="31">
        <f>'FS Desroches Daily'!T20</f>
        <v>1.5999999999999091</v>
      </c>
      <c r="N18" s="31">
        <f>'FS Desroches Daily'!V20</f>
        <v>492.59999999997672</v>
      </c>
      <c r="O18" s="31">
        <f>'FS Desroches Daily'!X20</f>
        <v>459.99999999997954</v>
      </c>
      <c r="P18" s="31">
        <f>'FS Desroches Daily'!Z20</f>
        <v>3700.0000000002588</v>
      </c>
      <c r="Q18" s="31">
        <f>'FS Desroches Daily'!AB20</f>
        <v>500</v>
      </c>
      <c r="R18" s="31">
        <f>'FS Desroches Daily'!AD20</f>
        <v>470.00000000002728</v>
      </c>
      <c r="S18" s="31">
        <f>'FS Desroches Daily'!AF20</f>
        <v>709.99999999992269</v>
      </c>
      <c r="T18" s="31">
        <f>'FS Desroches Daily'!AH20</f>
        <v>51</v>
      </c>
      <c r="U18" s="35">
        <f>'FS Desroches Daily'!AJ20</f>
        <v>840.00000000003183</v>
      </c>
      <c r="V18" s="35">
        <f>'FS Desroches Daily'!AL20</f>
        <v>319.99999999999318</v>
      </c>
      <c r="W18" s="35">
        <f>'FS Desroches Daily'!AN20</f>
        <v>280.00000000000114</v>
      </c>
      <c r="X18" s="35">
        <f>'FS Desroches Daily'!AP20</f>
        <v>270.00000000001023</v>
      </c>
      <c r="Y18" s="35">
        <f>'FS Desroches Daily'!AR20</f>
        <v>180.00000000000682</v>
      </c>
      <c r="Z18" s="35">
        <f>'FS Desroches Daily'!AT20</f>
        <v>169.99999999995907</v>
      </c>
      <c r="AA18" s="35">
        <f>'FS Desroches Daily'!AT20</f>
        <v>169.99999999995907</v>
      </c>
      <c r="AB18" s="35">
        <f>'FS Desroches Daily'!AV20</f>
        <v>200.00000000004547</v>
      </c>
      <c r="AC18" s="35">
        <f>'FS Desroches Daily'!AZ20</f>
        <v>319.99999999999318</v>
      </c>
      <c r="AD18" s="35">
        <f>'FS Desroches Daily'!BB20</f>
        <v>99.999999999965894</v>
      </c>
      <c r="AE18" s="35">
        <f>'FS Desroches Daily'!BD20</f>
        <v>60.000000000002274</v>
      </c>
      <c r="AF18" s="31">
        <f>'FS Desroches Daily'!BF20</f>
        <v>17</v>
      </c>
      <c r="AG18" s="32">
        <f>'FS Desroches Daily'!BH20</f>
        <v>69.999999999993179</v>
      </c>
      <c r="AH18" s="32">
        <f>'FS Desroches Daily'!BJ20</f>
        <v>39.99999999996362</v>
      </c>
      <c r="AI18" s="32">
        <f>'FS Desroches Daily'!BL20</f>
        <v>49.999999999982947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36</v>
      </c>
      <c r="AM18" s="32">
        <f>'FS Desroches Daily'!BT20</f>
        <v>60.000000000002274</v>
      </c>
      <c r="AN18" s="32">
        <f>'FS Desroches Daily'!BV20</f>
        <v>52</v>
      </c>
      <c r="AO18" s="32">
        <f>'FS Desroches Daily'!BX20</f>
        <v>39.999999999992042</v>
      </c>
      <c r="AP18" s="32">
        <f>'FS Desroches Daily'!BZ20</f>
        <v>49</v>
      </c>
      <c r="AQ18" s="31">
        <f>'FS Desroches Daily'!CB20</f>
        <v>55.400000000001455</v>
      </c>
      <c r="AR18" s="31">
        <f>'FS Desroches Daily'!CD20</f>
        <v>17.700000000000728</v>
      </c>
      <c r="AS18" s="31">
        <f>'FS Desroches Daily'!CF20</f>
        <v>3.1999999999998181</v>
      </c>
      <c r="AT18" s="31">
        <f>'FS Desroches Daily'!CH20</f>
        <v>62.600000000005821</v>
      </c>
      <c r="AU18" s="31">
        <f>'FS Desroches Daily'!CJ20</f>
        <v>374</v>
      </c>
      <c r="AV18" s="31">
        <f>'FS Desroches Daily'!CL20</f>
        <v>690.00000000005457</v>
      </c>
      <c r="AW18" s="31">
        <f>'FS Desroches Daily'!CM20</f>
        <v>74</v>
      </c>
      <c r="AX18" s="31">
        <f>IF(LPG!F25-LPG!F24&lt;0,"0",(LPG!F25-LPG!F24)*1.8315)</f>
        <v>5.4944999999999995</v>
      </c>
      <c r="AY18" s="31">
        <f>IF(LPG!H25-LPG!H24&lt;0,"0",(LPG!H25-LPG!H24)*1.8315)</f>
        <v>1.8314999999999999</v>
      </c>
      <c r="AZ18" s="31">
        <f>IF(LPG!J25-LPG!J24&lt;0,"0",(LPG!J25-LPG!J24)*1.8315)</f>
        <v>0</v>
      </c>
      <c r="BA18" s="31">
        <f>IF(LPG!M25-LPG!M24&lt;0,"0",(LPG!M25-LPG!M24)*1.8315)</f>
        <v>1.8314999999999999</v>
      </c>
      <c r="BB18" s="31">
        <f>IF(LPG!Q25-LPG!Q24&lt;0,"0",(LPG!Q25-LPG!Q24)*1.8315)</f>
        <v>1.8314999999999999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2099.9999999999909</v>
      </c>
      <c r="F19" s="32">
        <f>'FS Desroches Daily'!F21</f>
        <v>3000.0000000001137</v>
      </c>
      <c r="G19" s="31">
        <f>'FS Desroches Daily'!H21</f>
        <v>2800.0000000001355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20</v>
      </c>
      <c r="L19" s="31">
        <f>'FS Desroches Daily'!R21</f>
        <v>2</v>
      </c>
      <c r="M19" s="31">
        <f>'FS Desroches Daily'!T21</f>
        <v>0.5</v>
      </c>
      <c r="N19" s="31">
        <f>'FS Desroches Daily'!V21</f>
        <v>234.5</v>
      </c>
      <c r="O19" s="31">
        <f>'FS Desroches Daily'!X21</f>
        <v>189.99999999999773</v>
      </c>
      <c r="P19" s="31">
        <f>'FS Desroches Daily'!Z21</f>
        <v>1700.0000000000348</v>
      </c>
      <c r="Q19" s="31">
        <f>'FS Desroches Daily'!AB21</f>
        <v>240.00000000000909</v>
      </c>
      <c r="R19" s="31">
        <f>'FS Desroches Daily'!AD21</f>
        <v>240.00000000000909</v>
      </c>
      <c r="S19" s="31">
        <f>'FS Desroches Daily'!AF21</f>
        <v>360.00000000001364</v>
      </c>
      <c r="T19" s="31">
        <f>'FS Desroches Daily'!AH21</f>
        <v>19</v>
      </c>
      <c r="U19" s="35">
        <f>'FS Desroches Daily'!AJ21</f>
        <v>379.99999999999545</v>
      </c>
      <c r="V19" s="35">
        <f>'FS Desroches Daily'!AL21</f>
        <v>120.00000000000455</v>
      </c>
      <c r="W19" s="35">
        <f>'FS Desroches Daily'!AN21</f>
        <v>90.000000000003411</v>
      </c>
      <c r="X19" s="35">
        <f>'FS Desroches Daily'!AP21</f>
        <v>89.999999999974989</v>
      </c>
      <c r="Y19" s="35">
        <f>'FS Desroches Daily'!AR21</f>
        <v>79.999999999984084</v>
      </c>
      <c r="Z19" s="35">
        <f>'FS Desroches Daily'!AT21</f>
        <v>80.000000000040927</v>
      </c>
      <c r="AA19" s="35">
        <f>'FS Desroches Daily'!AT21</f>
        <v>80.000000000040927</v>
      </c>
      <c r="AB19" s="35">
        <f>'FS Desroches Daily'!AV21</f>
        <v>99.999999999965894</v>
      </c>
      <c r="AC19" s="35">
        <f>'FS Desroches Daily'!AZ21</f>
        <v>120.00000000000455</v>
      </c>
      <c r="AD19" s="35">
        <f>'FS Desroches Daily'!BB21</f>
        <v>40.000000000020464</v>
      </c>
      <c r="AE19" s="35">
        <f>'FS Desroches Daily'!BD21</f>
        <v>60.000000000002274</v>
      </c>
      <c r="AF19" s="31">
        <f>'FS Desroches Daily'!BF21</f>
        <v>36</v>
      </c>
      <c r="AG19" s="32">
        <f>'FS Desroches Daily'!BH21</f>
        <v>20.000000000010232</v>
      </c>
      <c r="AH19" s="32">
        <f>'FS Desroches Daily'!BJ21</f>
        <v>10.000000000047748</v>
      </c>
      <c r="AI19" s="32">
        <f>'FS Desroches Daily'!BL21</f>
        <v>20.000000000010232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21</v>
      </c>
      <c r="AM19" s="32">
        <f>'FS Desroches Daily'!BT21</f>
        <v>30.000000000001137</v>
      </c>
      <c r="AN19" s="32">
        <f>'FS Desroches Daily'!BV21</f>
        <v>27</v>
      </c>
      <c r="AO19" s="32">
        <f>'FS Desroches Daily'!BX21</f>
        <v>30.000000000001137</v>
      </c>
      <c r="AP19" s="32">
        <f>'FS Desroches Daily'!BZ21</f>
        <v>23</v>
      </c>
      <c r="AQ19" s="31">
        <f>'FS Desroches Daily'!CB21</f>
        <v>14</v>
      </c>
      <c r="AR19" s="31">
        <f>'FS Desroches Daily'!CD21</f>
        <v>4.3999999999996362</v>
      </c>
      <c r="AS19" s="31">
        <f>'FS Desroches Daily'!CF21</f>
        <v>1.8000000000001819</v>
      </c>
      <c r="AT19" s="31">
        <f>'FS Desroches Daily'!CH21</f>
        <v>22.899999999994179</v>
      </c>
      <c r="AU19" s="31">
        <f>'FS Desroches Daily'!CJ21</f>
        <v>191</v>
      </c>
      <c r="AV19" s="31">
        <f>'FS Desroches Daily'!CL21</f>
        <v>669.99999999995907</v>
      </c>
      <c r="AW19" s="31">
        <f>'FS Desroches Daily'!CM21</f>
        <v>83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22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2299.9999999999686</v>
      </c>
      <c r="F20" s="32">
        <f>'FS Desroches Daily'!F22</f>
        <v>3200.0000000000919</v>
      </c>
      <c r="G20" s="31">
        <f>'FS Desroches Daily'!H22</f>
        <v>2799.9999999996917</v>
      </c>
      <c r="H20" s="32">
        <f>'FS Desroches Daily'!J22</f>
        <v>1400.0000000000678</v>
      </c>
      <c r="I20" s="31">
        <f>'FS Desroches Daily'!L22</f>
        <v>1800.0000000002458</v>
      </c>
      <c r="J20" s="32">
        <f>'FS Desroches Daily'!N22</f>
        <v>1200.0000000000898</v>
      </c>
      <c r="K20" s="13">
        <f>'FS Desroches Daily'!P22</f>
        <v>23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343.5</v>
      </c>
      <c r="O20" s="31">
        <f>'FS Desroches Daily'!X22</f>
        <v>319.99999999999318</v>
      </c>
      <c r="P20" s="31">
        <f>'FS Desroches Daily'!Z22</f>
        <v>2999.9999999996694</v>
      </c>
      <c r="Q20" s="31">
        <f>'FS Desroches Daily'!AB22</f>
        <v>240.00000000000909</v>
      </c>
      <c r="R20" s="31">
        <f>'FS Desroches Daily'!AD22</f>
        <v>329.99999999998408</v>
      </c>
      <c r="S20" s="31">
        <f>'FS Desroches Daily'!AF22</f>
        <v>550.00000000006821</v>
      </c>
      <c r="T20" s="31">
        <f>'FS Desroches Daily'!AH22</f>
        <v>43</v>
      </c>
      <c r="U20" s="35">
        <f>'FS Desroches Daily'!AJ22</f>
        <v>580.00000000004093</v>
      </c>
      <c r="V20" s="35">
        <f>'FS Desroches Daily'!AL22</f>
        <v>269.99999999998181</v>
      </c>
      <c r="W20" s="35">
        <f>'FS Desroches Daily'!AN22</f>
        <v>239.99999999998067</v>
      </c>
      <c r="X20" s="35">
        <f>'FS Desroches Daily'!AP22</f>
        <v>219.99999999999886</v>
      </c>
      <c r="Y20" s="35">
        <f>'FS Desroches Daily'!AR22</f>
        <v>209.99999999997954</v>
      </c>
      <c r="Z20" s="35">
        <f>'FS Desroches Daily'!AT22</f>
        <v>129.99999999999545</v>
      </c>
      <c r="AA20" s="35">
        <f>'FS Desroches Daily'!AT22</f>
        <v>129.99999999999545</v>
      </c>
      <c r="AB20" s="35">
        <f>'FS Desroches Daily'!AV22</f>
        <v>140.0000000000432</v>
      </c>
      <c r="AC20" s="35">
        <f>'FS Desroches Daily'!AZ22</f>
        <v>139.99999999998636</v>
      </c>
      <c r="AD20" s="35">
        <f>'FS Desroches Daily'!BB22</f>
        <v>60.000000000002274</v>
      </c>
      <c r="AE20" s="35">
        <f>'FS Desroches Daily'!BD22</f>
        <v>70.000000000050022</v>
      </c>
      <c r="AF20" s="31">
        <f>'FS Desroches Daily'!BF22</f>
        <v>16</v>
      </c>
      <c r="AG20" s="32">
        <f>'FS Desroches Daily'!BH22</f>
        <v>60.000000000002274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30.000000000001137</v>
      </c>
      <c r="AK20" s="32">
        <f>'FS Desroches Daily'!BP22</f>
        <v>40.000000000020464</v>
      </c>
      <c r="AL20" s="32">
        <f>'FS Desroches Daily'!BR22</f>
        <v>29</v>
      </c>
      <c r="AM20" s="32">
        <f>'FS Desroches Daily'!BT22</f>
        <v>40.000000000020464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30</v>
      </c>
      <c r="AQ20" s="31">
        <f>'FS Desroches Daily'!CB22</f>
        <v>42.900000000001455</v>
      </c>
      <c r="AR20" s="31">
        <f>'FS Desroches Daily'!CD22</f>
        <v>9.6000000000003638</v>
      </c>
      <c r="AS20" s="31">
        <f>'FS Desroches Daily'!CF22</f>
        <v>5</v>
      </c>
      <c r="AT20" s="31">
        <f>'FS Desroches Daily'!CH22</f>
        <v>82</v>
      </c>
      <c r="AU20" s="31">
        <f>'FS Desroches Daily'!CJ22</f>
        <v>258</v>
      </c>
      <c r="AV20" s="31">
        <f>'FS Desroches Daily'!CL22</f>
        <v>590.00000000003183</v>
      </c>
      <c r="AW20" s="31">
        <f>'FS Desroches Daily'!CM22</f>
        <v>69.5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5.4944999999999995</v>
      </c>
      <c r="BB20" s="31">
        <f>IF(LPG!Q27-LPG!Q26&lt;0,"0",(LPG!Q27-LPG!Q26)*1.8315)</f>
        <v>5.4944999999999995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3099.9999999998809</v>
      </c>
      <c r="F21" s="32">
        <f>'FS Desroches Daily'!F23</f>
        <v>3099.9999999998809</v>
      </c>
      <c r="G21" s="31">
        <f>'FS Desroches Daily'!H23</f>
        <v>2900.0000000003465</v>
      </c>
      <c r="H21" s="32">
        <f>'FS Desroches Daily'!J23</f>
        <v>1600.0000000000459</v>
      </c>
      <c r="I21" s="31">
        <f>'FS Desroches Daily'!L23</f>
        <v>2099.9999999999909</v>
      </c>
      <c r="J21" s="32">
        <f>'FS Desroches Daily'!N23</f>
        <v>1800.0000000000239</v>
      </c>
      <c r="K21" s="13">
        <f>'FS Desroches Daily'!P23</f>
        <v>26</v>
      </c>
      <c r="L21" s="31">
        <f>'FS Desroches Daily'!R23</f>
        <v>6</v>
      </c>
      <c r="M21" s="31">
        <f>'FS Desroches Daily'!T23</f>
        <v>1.0999999999999091</v>
      </c>
      <c r="N21" s="31">
        <f>'FS Desroches Daily'!V23</f>
        <v>475.20000000001164</v>
      </c>
      <c r="O21" s="31">
        <f>'FS Desroches Daily'!X23</f>
        <v>290.00000000002046</v>
      </c>
      <c r="P21" s="31">
        <f>'FS Desroches Daily'!Z23</f>
        <v>2699.9999999999245</v>
      </c>
      <c r="Q21" s="31">
        <f>'FS Desroches Daily'!AB23</f>
        <v>410.00000000002501</v>
      </c>
      <c r="R21" s="31">
        <f>'FS Desroches Daily'!AD23</f>
        <v>589.99999999997499</v>
      </c>
      <c r="S21" s="31">
        <f>'FS Desroches Daily'!AF23</f>
        <v>649.99999999997726</v>
      </c>
      <c r="T21" s="31">
        <f>'FS Desroches Daily'!AH23</f>
        <v>41</v>
      </c>
      <c r="U21" s="35">
        <f>'FS Desroches Daily'!AJ23</f>
        <v>799.99999999995453</v>
      </c>
      <c r="V21" s="35">
        <f>'FS Desroches Daily'!AL23</f>
        <v>310.00000000000227</v>
      </c>
      <c r="W21" s="35">
        <f>'FS Desroches Daily'!AN23</f>
        <v>330.00000000001251</v>
      </c>
      <c r="X21" s="35">
        <f>'FS Desroches Daily'!AP23</f>
        <v>260.00000000001933</v>
      </c>
      <c r="Y21" s="35">
        <f>'FS Desroches Daily'!AR23</f>
        <v>200.00000000004547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89.999999999974989</v>
      </c>
      <c r="AC21" s="35">
        <f>'FS Desroches Daily'!AZ23</f>
        <v>199.99999999998863</v>
      </c>
      <c r="AD21" s="35">
        <f>'FS Desroches Daily'!BB23</f>
        <v>110.00000000001364</v>
      </c>
      <c r="AE21" s="35">
        <f>'FS Desroches Daily'!BD23</f>
        <v>79.999999999984084</v>
      </c>
      <c r="AF21" s="31">
        <f>'FS Desroches Daily'!BF23</f>
        <v>41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40.000000000020464</v>
      </c>
      <c r="AJ21" s="32">
        <f>'FS Desroches Daily'!BN23</f>
        <v>49.999999999982947</v>
      </c>
      <c r="AK21" s="32">
        <f>'FS Desroches Daily'!BP23</f>
        <v>69.999999999993179</v>
      </c>
      <c r="AL21" s="32">
        <f>'FS Desroches Daily'!BR23</f>
        <v>32</v>
      </c>
      <c r="AM21" s="32">
        <f>'FS Desroches Daily'!BT23</f>
        <v>49.999999999982947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41</v>
      </c>
      <c r="AQ21" s="31">
        <f>'FS Desroches Daily'!CB23</f>
        <v>38.099999999998545</v>
      </c>
      <c r="AR21" s="31">
        <f>'FS Desroches Daily'!CD23</f>
        <v>11.199999999998909</v>
      </c>
      <c r="AS21" s="31">
        <f>'FS Desroches Daily'!CF23</f>
        <v>9.6999999999998181</v>
      </c>
      <c r="AT21" s="31">
        <f>'FS Desroches Daily'!CH23</f>
        <v>0</v>
      </c>
      <c r="AU21" s="31">
        <f>'FS Desroches Daily'!CJ23</f>
        <v>305</v>
      </c>
      <c r="AV21" s="31">
        <f>'FS Desroches Daily'!CL23</f>
        <v>549.99999999995453</v>
      </c>
      <c r="AW21" s="31">
        <f>'FS Desroches Daily'!CM23</f>
        <v>77.700000000000728</v>
      </c>
      <c r="AX21" s="31">
        <f>IF(LPG!F28-LPG!F27&lt;0,"0",(LPG!F28-LPG!F27)*1.8315)</f>
        <v>7.3259999999999996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1.8314999999999999</v>
      </c>
      <c r="BB21" s="31">
        <f>IF(LPG!Q28-LPG!Q27&lt;0,"0",(LPG!Q28-LPG!Q27)*1.8315)</f>
        <v>5.4944999999999995</v>
      </c>
      <c r="BC21" s="13">
        <f>'FS Desroches Daily'!CN23</f>
        <v>27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2600.0000000001578</v>
      </c>
      <c r="F22" s="32">
        <f>'FS Desroches Daily'!F24</f>
        <v>3000.0000000001137</v>
      </c>
      <c r="G22" s="31">
        <f>'FS Desroches Daily'!H24</f>
        <v>2499.9999999999468</v>
      </c>
      <c r="H22" s="32">
        <f>'FS Desroches Daily'!J24</f>
        <v>1500.0000000000568</v>
      </c>
      <c r="I22" s="31">
        <f>'FS Desroches Daily'!L24</f>
        <v>1900.0000000000127</v>
      </c>
      <c r="J22" s="32">
        <f>'FS Desroches Daily'!N24</f>
        <v>1499.9999999998347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</v>
      </c>
      <c r="N22" s="31">
        <f>'FS Desroches Daily'!V24</f>
        <v>362.5</v>
      </c>
      <c r="O22" s="31">
        <f>'FS Desroches Daily'!X24</f>
        <v>300.00000000001137</v>
      </c>
      <c r="P22" s="31">
        <f>'FS Desroches Daily'!Z24</f>
        <v>2900.0000000003465</v>
      </c>
      <c r="Q22" s="31">
        <f>'FS Desroches Daily'!AB24</f>
        <v>399.99999999997726</v>
      </c>
      <c r="R22" s="31">
        <f>'FS Desroches Daily'!AD24</f>
        <v>480.00000000001819</v>
      </c>
      <c r="S22" s="31">
        <f>'FS Desroches Daily'!AF24</f>
        <v>649.99999999997726</v>
      </c>
      <c r="T22" s="31">
        <f>'FS Desroches Daily'!AH24</f>
        <v>46</v>
      </c>
      <c r="U22" s="35">
        <f>'FS Desroches Daily'!AJ24</f>
        <v>730.00000000001819</v>
      </c>
      <c r="V22" s="35">
        <f>'FS Desroches Daily'!AL24</f>
        <v>310.00000000000227</v>
      </c>
      <c r="W22" s="35">
        <f>'FS Desroches Daily'!AN24</f>
        <v>99.999999999994316</v>
      </c>
      <c r="X22" s="35">
        <f>'FS Desroches Daily'!AP24</f>
        <v>199.99999999998863</v>
      </c>
      <c r="Y22" s="35">
        <f>'FS Desroches Daily'!AR24</f>
        <v>199.99999999998863</v>
      </c>
      <c r="Z22" s="35">
        <f>'FS Desroches Daily'!AT24</f>
        <v>199.99999999998863</v>
      </c>
      <c r="AA22" s="35">
        <f>'FS Desroches Daily'!AT24</f>
        <v>199.99999999998863</v>
      </c>
      <c r="AB22" s="35">
        <f>'FS Desroches Daily'!AV24</f>
        <v>120.00000000000455</v>
      </c>
      <c r="AC22" s="35">
        <f>'FS Desroches Daily'!AZ24</f>
        <v>189.99999999999773</v>
      </c>
      <c r="AD22" s="35">
        <f>'FS Desroches Daily'!BB24</f>
        <v>60.000000000002274</v>
      </c>
      <c r="AE22" s="35">
        <f>'FS Desroches Daily'!BD24</f>
        <v>79.999999999984084</v>
      </c>
      <c r="AF22" s="31">
        <f>'FS Desroches Daily'!BF24</f>
        <v>30</v>
      </c>
      <c r="AG22" s="32">
        <f>'FS Desroches Daily'!BH24</f>
        <v>49.999999999982947</v>
      </c>
      <c r="AH22" s="32">
        <f>'FS Desroches Daily'!BJ24</f>
        <v>29.999999999972715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60.000000000002274</v>
      </c>
      <c r="AL22" s="32">
        <f>'FS Desroches Daily'!BR24</f>
        <v>30</v>
      </c>
      <c r="AM22" s="32">
        <f>'FS Desroches Daily'!BT24</f>
        <v>50.000000000011369</v>
      </c>
      <c r="AN22" s="32">
        <f>'FS Desroches Daily'!BV24</f>
        <v>43</v>
      </c>
      <c r="AO22" s="32">
        <f>'FS Desroches Daily'!BX24</f>
        <v>39.999999999992042</v>
      </c>
      <c r="AP22" s="32">
        <f>'FS Desroches Daily'!BZ24</f>
        <v>37</v>
      </c>
      <c r="AQ22" s="31">
        <f>'FS Desroches Daily'!CB24</f>
        <v>40.30000000000291</v>
      </c>
      <c r="AR22" s="31">
        <f>'FS Desroches Daily'!CD24</f>
        <v>12.200000000000728</v>
      </c>
      <c r="AS22" s="31">
        <f>'FS Desroches Daily'!CF24</f>
        <v>0.4000000000005457</v>
      </c>
      <c r="AT22" s="31">
        <f>'FS Desroches Daily'!CH24</f>
        <v>49.30000000000291</v>
      </c>
      <c r="AU22" s="31">
        <f>'FS Desroches Daily'!CJ24</f>
        <v>299</v>
      </c>
      <c r="AV22" s="31">
        <f>'FS Desroches Daily'!CL24</f>
        <v>730.00000000001819</v>
      </c>
      <c r="AW22" s="31">
        <f>'FS Desroches Daily'!CM24</f>
        <v>89</v>
      </c>
      <c r="AX22" s="31">
        <f>IF(LPG!F29-LPG!F28&lt;0,"0",(LPG!F29-LPG!F28)*1.8315)</f>
        <v>12.820499999999999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29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3099.9999999998809</v>
      </c>
      <c r="F23" s="32">
        <f>'FS Desroches Daily'!F25</f>
        <v>3499.9999999998367</v>
      </c>
      <c r="G23" s="31">
        <f>'FS Desroches Daily'!H25</f>
        <v>2999.9999999996694</v>
      </c>
      <c r="H23" s="32">
        <f>'FS Desroches Daily'!J25</f>
        <v>1699.9999999998129</v>
      </c>
      <c r="I23" s="31">
        <f>'FS Desroches Daily'!L25</f>
        <v>2099.9999999999909</v>
      </c>
      <c r="J23" s="32">
        <f>'FS Desroches Daily'!N25</f>
        <v>1600.0000000000459</v>
      </c>
      <c r="K23" s="13">
        <f>'FS Desroches Daily'!P25</f>
        <v>30</v>
      </c>
      <c r="L23" s="31">
        <f>'FS Desroches Daily'!R25</f>
        <v>6</v>
      </c>
      <c r="M23" s="31">
        <f>'FS Desroches Daily'!T25</f>
        <v>1.2999999999999545</v>
      </c>
      <c r="N23" s="31">
        <f>'FS Desroches Daily'!V25</f>
        <v>455</v>
      </c>
      <c r="O23" s="31">
        <f>'FS Desroches Daily'!X25</f>
        <v>369.9999999999477</v>
      </c>
      <c r="P23" s="31">
        <f>'FS Desroches Daily'!Z25</f>
        <v>2999.9999999996694</v>
      </c>
      <c r="Q23" s="31">
        <f>'FS Desroches Daily'!AB25</f>
        <v>220.00000000002728</v>
      </c>
      <c r="R23" s="31">
        <f>'FS Desroches Daily'!AD25</f>
        <v>490.00000000000909</v>
      </c>
      <c r="S23" s="31">
        <f>'FS Desroches Daily'!AF25</f>
        <v>700.00000000004547</v>
      </c>
      <c r="T23" s="31">
        <f>'FS Desroches Daily'!AH25</f>
        <v>48</v>
      </c>
      <c r="U23" s="35">
        <f>'FS Desroches Daily'!AJ25</f>
        <v>720.00000000002728</v>
      </c>
      <c r="V23" s="35">
        <f>'FS Desroches Daily'!AL25</f>
        <v>300.00000000001137</v>
      </c>
      <c r="W23" s="35">
        <f>'FS Desroches Daily'!AN25</f>
        <v>259.99999999999091</v>
      </c>
      <c r="X23" s="35">
        <f>'FS Desroches Daily'!AP25</f>
        <v>240.00000000000909</v>
      </c>
      <c r="Y23" s="35">
        <f>'FS Desroches Daily'!AR25</f>
        <v>240.00000000000909</v>
      </c>
      <c r="Z23" s="35">
        <f>'FS Desroches Daily'!AT25</f>
        <v>199.99999999998863</v>
      </c>
      <c r="AA23" s="35">
        <f>'FS Desroches Daily'!AT25</f>
        <v>199.99999999998863</v>
      </c>
      <c r="AB23" s="35">
        <f>'FS Desroches Daily'!AV25</f>
        <v>209.99999999997954</v>
      </c>
      <c r="AC23" s="35">
        <f>'FS Desroches Daily'!AZ25</f>
        <v>199.99999999998863</v>
      </c>
      <c r="AD23" s="35">
        <f>'FS Desroches Daily'!BB25</f>
        <v>169.99999999995907</v>
      </c>
      <c r="AE23" s="35">
        <f>'FS Desroches Daily'!BD25</f>
        <v>69.999999999993179</v>
      </c>
      <c r="AF23" s="31">
        <f>'FS Desroches Daily'!BF25</f>
        <v>52</v>
      </c>
      <c r="AG23" s="32">
        <f>'FS Desroches Daily'!BH25</f>
        <v>50.000000000011369</v>
      </c>
      <c r="AH23" s="32">
        <f>'FS Desroches Daily'!BJ25</f>
        <v>40.000000000020464</v>
      </c>
      <c r="AI23" s="32">
        <f>'FS Desroches Daily'!BL25</f>
        <v>50.000000000011369</v>
      </c>
      <c r="AJ23" s="32">
        <f>'FS Desroches Daily'!BN25</f>
        <v>39.999999999992042</v>
      </c>
      <c r="AK23" s="32">
        <f>'FS Desroches Daily'!BP25</f>
        <v>60.000000000002274</v>
      </c>
      <c r="AL23" s="32">
        <f>'FS Desroches Daily'!BR25</f>
        <v>36</v>
      </c>
      <c r="AM23" s="32">
        <f>'FS Desroches Daily'!BT25</f>
        <v>60.000000000002274</v>
      </c>
      <c r="AN23" s="32">
        <f>'FS Desroches Daily'!BV25</f>
        <v>56</v>
      </c>
      <c r="AO23" s="32">
        <f>'FS Desroches Daily'!BX25</f>
        <v>39.999999999992042</v>
      </c>
      <c r="AP23" s="32">
        <f>'FS Desroches Daily'!BZ25</f>
        <v>41</v>
      </c>
      <c r="AQ23" s="31">
        <f>'FS Desroches Daily'!CB25</f>
        <v>50.299999999995634</v>
      </c>
      <c r="AR23" s="31">
        <f>'FS Desroches Daily'!CD25</f>
        <v>12.299999999999272</v>
      </c>
      <c r="AS23" s="31">
        <f>'FS Desroches Daily'!CF25</f>
        <v>8.0999999999994543</v>
      </c>
      <c r="AT23" s="31">
        <f>'FS Desroches Daily'!CH25</f>
        <v>44</v>
      </c>
      <c r="AU23" s="31">
        <f>'FS Desroches Daily'!CJ25</f>
        <v>304</v>
      </c>
      <c r="AV23" s="31">
        <f>'FS Desroches Daily'!CL25</f>
        <v>470.00000000002728</v>
      </c>
      <c r="AW23" s="31">
        <f>'FS Desroches Daily'!CM25</f>
        <v>96.799999999999272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29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3400.0000000000696</v>
      </c>
      <c r="F24" s="32">
        <f>'FS Desroches Daily'!F26</f>
        <v>3600.0000000000477</v>
      </c>
      <c r="G24" s="31">
        <f>'FS Desroches Daily'!H26</f>
        <v>2900.0000000003465</v>
      </c>
      <c r="H24" s="32">
        <f>'FS Desroches Daily'!J26</f>
        <v>1700.0000000000348</v>
      </c>
      <c r="I24" s="31">
        <f>'FS Desroches Daily'!L26</f>
        <v>2099.9999999999909</v>
      </c>
      <c r="J24" s="32">
        <f>'FS Desroches Daily'!N26</f>
        <v>2000.0000000000018</v>
      </c>
      <c r="K24" s="13">
        <f>'FS Desroches Daily'!P26</f>
        <v>33</v>
      </c>
      <c r="L24" s="31">
        <f>'FS Desroches Daily'!R26</f>
        <v>7</v>
      </c>
      <c r="M24" s="31">
        <f>'FS Desroches Daily'!T26</f>
        <v>1.1000000000001364</v>
      </c>
      <c r="N24" s="31">
        <f>'FS Desroches Daily'!V26</f>
        <v>407</v>
      </c>
      <c r="O24" s="31">
        <f>'FS Desroches Daily'!X26</f>
        <v>390.0000000000432</v>
      </c>
      <c r="P24" s="31">
        <f>'FS Desroches Daily'!Z26</f>
        <v>3300.0000000003029</v>
      </c>
      <c r="Q24" s="31">
        <f>'FS Desroches Daily'!AB26</f>
        <v>389.99999999998636</v>
      </c>
      <c r="R24" s="31">
        <f>'FS Desroches Daily'!AD26</f>
        <v>550.00000000001137</v>
      </c>
      <c r="S24" s="31">
        <f>'FS Desroches Daily'!AF26</f>
        <v>959.99999999992269</v>
      </c>
      <c r="T24" s="31">
        <f>'FS Desroches Daily'!AH26</f>
        <v>43</v>
      </c>
      <c r="U24" s="35">
        <f>'FS Desroches Daily'!AJ26</f>
        <v>759.99999999999091</v>
      </c>
      <c r="V24" s="35">
        <f>'FS Desroches Daily'!AL26</f>
        <v>300.00000000001137</v>
      </c>
      <c r="W24" s="35">
        <f>'FS Desroches Daily'!AN26</f>
        <v>260.00000000001933</v>
      </c>
      <c r="X24" s="35">
        <f>'FS Desroches Daily'!AP26</f>
        <v>319.99999999999318</v>
      </c>
      <c r="Y24" s="35">
        <f>'FS Desroches Daily'!AR26</f>
        <v>250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259.99999999999091</v>
      </c>
      <c r="AC24" s="35">
        <f>'FS Desroches Daily'!AZ26</f>
        <v>189.99999999999773</v>
      </c>
      <c r="AD24" s="35">
        <f>'FS Desroches Daily'!BB26</f>
        <v>240.00000000000909</v>
      </c>
      <c r="AE24" s="35">
        <f>'FS Desroches Daily'!BD26</f>
        <v>79.999999999984084</v>
      </c>
      <c r="AF24" s="31">
        <f>'FS Desroches Daily'!BF26</f>
        <v>18</v>
      </c>
      <c r="AG24" s="32">
        <f>'FS Desroches Daily'!BH26</f>
        <v>50.000000000011369</v>
      </c>
      <c r="AH24" s="32">
        <f>'FS Desroches Daily'!BJ26</f>
        <v>29.999999999972715</v>
      </c>
      <c r="AI24" s="32">
        <f>'FS Desroches Daily'!BL26</f>
        <v>49.999999999982947</v>
      </c>
      <c r="AJ24" s="32">
        <f>'FS Desroches Daily'!BN26</f>
        <v>50.000000000011369</v>
      </c>
      <c r="AK24" s="32">
        <f>'FS Desroches Daily'!BP26</f>
        <v>60.000000000002274</v>
      </c>
      <c r="AL24" s="32">
        <f>'FS Desroches Daily'!BR26</f>
        <v>34</v>
      </c>
      <c r="AM24" s="32">
        <f>'FS Desroches Daily'!BT26</f>
        <v>49.999999999982947</v>
      </c>
      <c r="AN24" s="32">
        <f>'FS Desroches Daily'!BV26</f>
        <v>54</v>
      </c>
      <c r="AO24" s="32">
        <f>'FS Desroches Daily'!BX26</f>
        <v>40.000000000020464</v>
      </c>
      <c r="AP24" s="32">
        <f>'FS Desroches Daily'!BZ26</f>
        <v>47</v>
      </c>
      <c r="AQ24" s="31">
        <f>'FS Desroches Daily'!CB26</f>
        <v>56.099999999998545</v>
      </c>
      <c r="AR24" s="31">
        <f>'FS Desroches Daily'!CD26</f>
        <v>14.800000000001091</v>
      </c>
      <c r="AS24" s="31">
        <f>'FS Desroches Daily'!CF26</f>
        <v>0.8000000000001819</v>
      </c>
      <c r="AT24" s="31">
        <f>'FS Desroches Daily'!CH26</f>
        <v>48.30000000000291</v>
      </c>
      <c r="AU24" s="31">
        <f>'FS Desroches Daily'!CJ26</f>
        <v>295</v>
      </c>
      <c r="AV24" s="31">
        <f>'FS Desroches Daily'!CL26</f>
        <v>620.00000000000455</v>
      </c>
      <c r="AW24" s="31">
        <f>'FS Desroches Daily'!CM26</f>
        <v>90.200000000000728</v>
      </c>
      <c r="AX24" s="31">
        <f>IF(LPG!F31-LPG!F30&lt;0,"0",(LPG!F31-LPG!F30)*1.8315)</f>
        <v>7.3259999999999996</v>
      </c>
      <c r="AY24" s="31">
        <f>IF(LPG!H31-LPG!H30&lt;0,"0",(LPG!H31-LPG!H30)*1.8315)</f>
        <v>7.3259999999999996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29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3600.0000000000477</v>
      </c>
      <c r="F25" s="32">
        <f>'FS Desroches Daily'!F27</f>
        <v>3600.0000000000477</v>
      </c>
      <c r="G25" s="31">
        <f>'FS Desroches Daily'!H27</f>
        <v>2899.9999999999027</v>
      </c>
      <c r="H25" s="32">
        <f>'FS Desroches Daily'!J27</f>
        <v>1600.0000000000459</v>
      </c>
      <c r="I25" s="31">
        <f>'FS Desroches Daily'!L27</f>
        <v>1999.9999999997797</v>
      </c>
      <c r="J25" s="32">
        <f>'FS Desroches Daily'!N27</f>
        <v>1800.0000000000239</v>
      </c>
      <c r="K25" s="13">
        <f>'FS Desroches Daily'!P27</f>
        <v>37</v>
      </c>
      <c r="L25" s="31">
        <f>'FS Desroches Daily'!R27</f>
        <v>6</v>
      </c>
      <c r="M25" s="31">
        <f>'FS Desroches Daily'!T27</f>
        <v>1.2000000000000455</v>
      </c>
      <c r="N25" s="31">
        <f>'FS Desroches Daily'!V27</f>
        <v>401.79999999998836</v>
      </c>
      <c r="O25" s="31">
        <f>'FS Desroches Daily'!X27</f>
        <v>430.00000000000682</v>
      </c>
      <c r="P25" s="31">
        <f>'FS Desroches Daily'!Z27</f>
        <v>3499.9999999998367</v>
      </c>
      <c r="Q25" s="31">
        <f>'FS Desroches Daily'!AB27</f>
        <v>269.99999999998181</v>
      </c>
      <c r="R25" s="31">
        <f>'FS Desroches Daily'!AD27</f>
        <v>539.99999999996362</v>
      </c>
      <c r="S25" s="31">
        <f>'FS Desroches Daily'!AF27</f>
        <v>950.00000000004547</v>
      </c>
      <c r="T25" s="31">
        <f>'FS Desroches Daily'!AH27</f>
        <v>50</v>
      </c>
      <c r="U25" s="35">
        <f>'FS Desroches Daily'!AJ27</f>
        <v>730.00000000001819</v>
      </c>
      <c r="V25" s="35">
        <f>'FS Desroches Daily'!AL27</f>
        <v>319.99999999999318</v>
      </c>
      <c r="W25" s="35">
        <f>'FS Desroches Daily'!AN27</f>
        <v>280.00000000000114</v>
      </c>
      <c r="X25" s="35">
        <f>'FS Desroches Daily'!AP27</f>
        <v>349.99999999999432</v>
      </c>
      <c r="Y25" s="35">
        <f>'FS Desroches Daily'!AR27</f>
        <v>269.99999999998181</v>
      </c>
      <c r="Z25" s="35">
        <f>'FS Desroches Daily'!AT27</f>
        <v>220.00000000002728</v>
      </c>
      <c r="AA25" s="35">
        <f>'FS Desroches Daily'!AT27</f>
        <v>220.00000000002728</v>
      </c>
      <c r="AB25" s="35">
        <f>'FS Desroches Daily'!AV27</f>
        <v>350.00000000002274</v>
      </c>
      <c r="AC25" s="35">
        <f>'FS Desroches Daily'!AZ27</f>
        <v>270.00000000003865</v>
      </c>
      <c r="AD25" s="35">
        <f>'FS Desroches Daily'!BB27</f>
        <v>290.00000000002046</v>
      </c>
      <c r="AE25" s="35">
        <f>'FS Desroches Daily'!BD27</f>
        <v>160.00000000002501</v>
      </c>
      <c r="AF25" s="31">
        <f>'FS Desroches Daily'!BF27</f>
        <v>48</v>
      </c>
      <c r="AG25" s="32">
        <f>'FS Desroches Daily'!BH27</f>
        <v>60.000000000002274</v>
      </c>
      <c r="AH25" s="32">
        <f>'FS Desroches Daily'!BJ27</f>
        <v>30.000000000029559</v>
      </c>
      <c r="AI25" s="32">
        <f>'FS Desroches Daily'!BL27</f>
        <v>39.999999999992042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37</v>
      </c>
      <c r="AM25" s="32">
        <f>'FS Desroches Daily'!BT27</f>
        <v>40.000000000020464</v>
      </c>
      <c r="AN25" s="32">
        <f>'FS Desroches Daily'!BV27</f>
        <v>41</v>
      </c>
      <c r="AO25" s="32">
        <f>'FS Desroches Daily'!BX27</f>
        <v>39.999999999992042</v>
      </c>
      <c r="AP25" s="32">
        <f>'FS Desroches Daily'!BZ27</f>
        <v>40</v>
      </c>
      <c r="AQ25" s="31">
        <f>'FS Desroches Daily'!CB27</f>
        <v>47.400000000001455</v>
      </c>
      <c r="AR25" s="31">
        <f>'FS Desroches Daily'!CD27</f>
        <v>29.600000000000364</v>
      </c>
      <c r="AS25" s="31">
        <f>'FS Desroches Daily'!CF27</f>
        <v>14.5</v>
      </c>
      <c r="AT25" s="31">
        <f>'FS Desroches Daily'!CH27</f>
        <v>49.899999999994179</v>
      </c>
      <c r="AU25" s="31">
        <f>'FS Desroches Daily'!CJ27</f>
        <v>277</v>
      </c>
      <c r="AV25" s="31">
        <f>'FS Desroches Daily'!CL27</f>
        <v>649.99999999997726</v>
      </c>
      <c r="AW25" s="31">
        <f>'FS Desroches Daily'!CM27</f>
        <v>102.79999999999927</v>
      </c>
      <c r="AX25" s="31">
        <f>IF(LPG!F32-LPG!F31&lt;0,"0",(LPG!F32-LPG!F31)*1.8315)</f>
        <v>16.483499999999999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5.4944999999999995</v>
      </c>
      <c r="BB25" s="31">
        <f>IF(LPG!Q32-LPG!Q31&lt;0,"0",(LPG!Q32-LPG!Q31)*1.8315)</f>
        <v>5.4944999999999995</v>
      </c>
      <c r="BC25" s="13">
        <f>'FS Desroches Daily'!CN27</f>
        <v>40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4299.9999999997481</v>
      </c>
      <c r="F26" s="32">
        <f>'FS Desroches Daily'!F28</f>
        <v>3800.0000000000255</v>
      </c>
      <c r="G26" s="31">
        <f>'FS Desroches Daily'!H28</f>
        <v>6399.999999999739</v>
      </c>
      <c r="H26" s="32">
        <f>'FS Desroches Daily'!J28</f>
        <v>1800.0000000000239</v>
      </c>
      <c r="I26" s="31">
        <f>'FS Desroches Daily'!L28</f>
        <v>2000.0000000002237</v>
      </c>
      <c r="J26" s="32">
        <f>'FS Desroches Daily'!N28</f>
        <v>2000.0000000000018</v>
      </c>
      <c r="K26" s="13">
        <f>'FS Desroches Daily'!P28</f>
        <v>22</v>
      </c>
      <c r="L26" s="31">
        <f>'FS Desroches Daily'!R28</f>
        <v>6</v>
      </c>
      <c r="M26" s="31">
        <f>'FS Desroches Daily'!T28</f>
        <v>1.3999999999998636</v>
      </c>
      <c r="N26" s="31">
        <f>'FS Desroches Daily'!V28</f>
        <v>422.40000000002328</v>
      </c>
      <c r="O26" s="31">
        <f>'FS Desroches Daily'!X28</f>
        <v>409.99999999996817</v>
      </c>
      <c r="P26" s="31">
        <f>'FS Desroches Daily'!Z28</f>
        <v>3099.9999999998809</v>
      </c>
      <c r="Q26" s="31">
        <f>'FS Desroches Daily'!AB28</f>
        <v>439.99999999999773</v>
      </c>
      <c r="R26" s="31">
        <f>'FS Desroches Daily'!AD28</f>
        <v>560.00000000000227</v>
      </c>
      <c r="S26" s="31">
        <f>'FS Desroches Daily'!AF28</f>
        <v>870.00000000000455</v>
      </c>
      <c r="T26" s="31">
        <f>'FS Desroches Daily'!AH28</f>
        <v>47</v>
      </c>
      <c r="U26" s="35">
        <f>'FS Desroches Daily'!AJ28</f>
        <v>899.99999999997726</v>
      </c>
      <c r="V26" s="35">
        <f>'FS Desroches Daily'!AL28</f>
        <v>310.00000000000227</v>
      </c>
      <c r="W26" s="35">
        <f>'FS Desroches Daily'!AN28</f>
        <v>340.00000000000341</v>
      </c>
      <c r="X26" s="35">
        <f>'FS Desroches Daily'!AP28</f>
        <v>340.00000000000341</v>
      </c>
      <c r="Y26" s="35">
        <f>'FS Desroches Daily'!AR28</f>
        <v>290.00000000002046</v>
      </c>
      <c r="Z26" s="35">
        <f>'FS Desroches Daily'!AT28</f>
        <v>269.99999999998181</v>
      </c>
      <c r="AA26" s="35">
        <f>'FS Desroches Daily'!AT28</f>
        <v>269.99999999998181</v>
      </c>
      <c r="AB26" s="35">
        <f>'FS Desroches Daily'!AV28</f>
        <v>319.99999999999318</v>
      </c>
      <c r="AC26" s="35">
        <f>'FS Desroches Daily'!AZ28</f>
        <v>259.99999999999091</v>
      </c>
      <c r="AD26" s="35">
        <f>'FS Desroches Daily'!BB28</f>
        <v>259.99999999999091</v>
      </c>
      <c r="AE26" s="35">
        <f>'FS Desroches Daily'!BD28</f>
        <v>220.00000000002728</v>
      </c>
      <c r="AF26" s="31">
        <f>'FS Desroches Daily'!BF28</f>
        <v>36</v>
      </c>
      <c r="AG26" s="32">
        <f>'FS Desroches Daily'!BH28</f>
        <v>59.999999999973852</v>
      </c>
      <c r="AH26" s="32">
        <f>'FS Desroches Daily'!BJ28</f>
        <v>39.99999999996362</v>
      </c>
      <c r="AI26" s="32">
        <f>'FS Desroches Daily'!BL28</f>
        <v>40.000000000020464</v>
      </c>
      <c r="AJ26" s="32">
        <f>'FS Desroches Daily'!BN28</f>
        <v>50.000000000011369</v>
      </c>
      <c r="AK26" s="32">
        <f>'FS Desroches Daily'!BP28</f>
        <v>69.999999999993179</v>
      </c>
      <c r="AL26" s="32">
        <f>'FS Desroches Daily'!BR28</f>
        <v>39</v>
      </c>
      <c r="AM26" s="32">
        <f>'FS Desroches Daily'!BT28</f>
        <v>49.999999999982947</v>
      </c>
      <c r="AN26" s="32">
        <f>'FS Desroches Daily'!BV28</f>
        <v>41</v>
      </c>
      <c r="AO26" s="32">
        <f>'FS Desroches Daily'!BX28</f>
        <v>50.000000000011369</v>
      </c>
      <c r="AP26" s="32">
        <f>'FS Desroches Daily'!BZ28</f>
        <v>44</v>
      </c>
      <c r="AQ26" s="31">
        <f>'FS Desroches Daily'!CB28</f>
        <v>40.5</v>
      </c>
      <c r="AR26" s="31">
        <f>'FS Desroches Daily'!CD28</f>
        <v>11.899999999999636</v>
      </c>
      <c r="AS26" s="31">
        <f>'FS Desroches Daily'!CF28</f>
        <v>8.5</v>
      </c>
      <c r="AT26" s="31">
        <f>'FS Desroches Daily'!CH28</f>
        <v>40.5</v>
      </c>
      <c r="AU26" s="31">
        <f>'FS Desroches Daily'!CJ28</f>
        <v>328</v>
      </c>
      <c r="AV26" s="31">
        <f>'FS Desroches Daily'!CL28</f>
        <v>759.99999999999091</v>
      </c>
      <c r="AW26" s="31">
        <f>'FS Desroches Daily'!CM28</f>
        <v>114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41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75499.999999999927</v>
      </c>
      <c r="F33" s="17">
        <f t="shared" ref="F33:BC33" si="1">SUM(F2:F32)</f>
        <v>81799.999999999898</v>
      </c>
      <c r="G33" s="17">
        <f t="shared" si="1"/>
        <v>74299.999999999607</v>
      </c>
      <c r="H33" s="17">
        <f t="shared" si="1"/>
        <v>40400</v>
      </c>
      <c r="I33" s="17">
        <f t="shared" si="1"/>
        <v>51700.00000000032</v>
      </c>
      <c r="J33" s="17">
        <f t="shared" si="1"/>
        <v>39499.999999999876</v>
      </c>
      <c r="K33" s="17">
        <f t="shared" si="1"/>
        <v>846</v>
      </c>
      <c r="L33" s="17">
        <f t="shared" si="1"/>
        <v>130</v>
      </c>
      <c r="M33" s="17">
        <f t="shared" si="1"/>
        <v>27.5</v>
      </c>
      <c r="N33" s="17">
        <f t="shared" si="1"/>
        <v>10443.600000000035</v>
      </c>
      <c r="O33" s="17">
        <f t="shared" si="1"/>
        <v>9659.9999999999673</v>
      </c>
      <c r="P33" s="17">
        <f t="shared" si="1"/>
        <v>72299.999999999825</v>
      </c>
      <c r="Q33" s="17">
        <f t="shared" si="1"/>
        <v>8860.0000000000146</v>
      </c>
      <c r="R33" s="17">
        <f t="shared" si="1"/>
        <v>13069.999999999991</v>
      </c>
      <c r="S33" s="17">
        <f t="shared" si="1"/>
        <v>15060.000000000062</v>
      </c>
      <c r="T33" s="17">
        <f t="shared" si="1"/>
        <v>1091</v>
      </c>
      <c r="U33" s="35">
        <f t="shared" si="1"/>
        <v>18750.000000000004</v>
      </c>
      <c r="V33" s="35">
        <f t="shared" si="1"/>
        <v>5760.0000000000164</v>
      </c>
      <c r="W33" s="35">
        <f t="shared" si="1"/>
        <v>6189.9999999999982</v>
      </c>
      <c r="X33" s="35">
        <f t="shared" si="1"/>
        <v>5539.9999999999909</v>
      </c>
      <c r="Y33" s="35">
        <f t="shared" si="1"/>
        <v>5470.0000000000273</v>
      </c>
      <c r="Z33" s="35">
        <f t="shared" si="1"/>
        <v>5312.7299999999541</v>
      </c>
      <c r="AA33" s="35">
        <f t="shared" si="1"/>
        <v>5312.7299999999541</v>
      </c>
      <c r="AB33" s="35">
        <f t="shared" si="1"/>
        <v>4889.9999999999873</v>
      </c>
      <c r="AC33" s="35">
        <f t="shared" si="1"/>
        <v>4660.0000000000255</v>
      </c>
      <c r="AD33" s="35">
        <f t="shared" si="1"/>
        <v>4319.9999999999927</v>
      </c>
      <c r="AE33" s="35">
        <f t="shared" si="1"/>
        <v>3030.0000000000296</v>
      </c>
      <c r="AF33" s="17">
        <f t="shared" si="1"/>
        <v>927</v>
      </c>
      <c r="AG33" s="32">
        <f t="shared" si="1"/>
        <v>1229.9999999999898</v>
      </c>
      <c r="AH33" s="32">
        <f t="shared" si="1"/>
        <v>1036.5399999999636</v>
      </c>
      <c r="AI33" s="32">
        <f t="shared" si="1"/>
        <v>1140.0000000000148</v>
      </c>
      <c r="AJ33" s="32">
        <f t="shared" si="1"/>
        <v>1150.0000000000057</v>
      </c>
      <c r="AK33" s="32">
        <f t="shared" si="1"/>
        <v>1480.0000000000182</v>
      </c>
      <c r="AL33" s="32">
        <f t="shared" si="1"/>
        <v>894</v>
      </c>
      <c r="AM33" s="32">
        <f t="shared" si="1"/>
        <v>1409.9999999999966</v>
      </c>
      <c r="AN33" s="32">
        <f t="shared" si="1"/>
        <v>1056</v>
      </c>
      <c r="AO33" s="32">
        <f t="shared" si="1"/>
        <v>950.00000000001705</v>
      </c>
      <c r="AP33" s="32">
        <f t="shared" si="1"/>
        <v>1017</v>
      </c>
      <c r="AQ33" s="17">
        <f t="shared" si="1"/>
        <v>1038.7999999999956</v>
      </c>
      <c r="AR33" s="17">
        <f t="shared" si="1"/>
        <v>281.80000000000109</v>
      </c>
      <c r="AS33" s="17">
        <f t="shared" si="1"/>
        <v>120.89999999999964</v>
      </c>
      <c r="AT33" s="17">
        <f t="shared" si="1"/>
        <v>1003.6000000000058</v>
      </c>
      <c r="AU33" s="17">
        <f t="shared" si="1"/>
        <v>7379</v>
      </c>
      <c r="AV33" s="17">
        <f t="shared" si="1"/>
        <v>15750.000000000002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131.86799999999997</v>
      </c>
      <c r="BC33" s="17">
        <f t="shared" si="1"/>
        <v>624</v>
      </c>
    </row>
    <row r="35" spans="5:55" x14ac:dyDescent="0.25">
      <c r="E35" s="38">
        <f>E33/E37</f>
        <v>0.24947296770398991</v>
      </c>
      <c r="G35" s="29">
        <f>G33-M36</f>
        <v>63828.899999999572</v>
      </c>
      <c r="AE35" s="35">
        <f>SUM(U33:AE33)</f>
        <v>69235.459999999992</v>
      </c>
      <c r="AG35" s="32">
        <f>SUM(AG33:AP33)</f>
        <v>11363.540000000005</v>
      </c>
    </row>
    <row r="36" spans="5:55" x14ac:dyDescent="0.25">
      <c r="G36" s="29">
        <f>G35-633*14</f>
        <v>54966.899999999572</v>
      </c>
      <c r="M36" s="29">
        <f>M33+N33</f>
        <v>10471.100000000035</v>
      </c>
    </row>
    <row r="37" spans="5:55" x14ac:dyDescent="0.25">
      <c r="E37" s="17">
        <f>E33+F33+G33+H33+J33-633*14</f>
        <v>302637.9999999993</v>
      </c>
      <c r="G37" s="37">
        <f>M36/E37</f>
        <v>3.4599422412255103E-2</v>
      </c>
      <c r="M37" s="35">
        <f>AE35</f>
        <v>69235.459999999992</v>
      </c>
    </row>
    <row r="38" spans="5:55" x14ac:dyDescent="0.25">
      <c r="L38" s="27">
        <f>M38/E37</f>
        <v>3.7548292018847705E-2</v>
      </c>
      <c r="M38" s="29">
        <f>AG35</f>
        <v>11363.540000000005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G1" zoomScale="82" zoomScaleNormal="82" workbookViewId="0">
      <pane ySplit="1" topLeftCell="A11" activePane="bottomLeft" state="frozen"/>
      <selection pane="bottomLeft" activeCell="AA19" sqref="AA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>
        <v>2.8675999999999999</v>
      </c>
      <c r="D11" s="64">
        <f t="shared" si="1"/>
        <v>3099.9999999998809</v>
      </c>
      <c r="E11" s="58">
        <v>3.9499</v>
      </c>
      <c r="F11" s="64">
        <f t="shared" si="2"/>
        <v>3499.9999999998367</v>
      </c>
      <c r="G11" s="58">
        <v>3.9331999999999998</v>
      </c>
      <c r="H11" s="64">
        <f t="shared" si="3"/>
        <v>2599.9999999997135</v>
      </c>
      <c r="I11" s="58">
        <v>1.9644999999999999</v>
      </c>
      <c r="J11" s="64">
        <f t="shared" si="4"/>
        <v>1699.9999999998129</v>
      </c>
      <c r="K11" s="58">
        <v>3.1073</v>
      </c>
      <c r="L11" s="64">
        <f t="shared" si="5"/>
        <v>2099.9999999999909</v>
      </c>
      <c r="M11" s="58">
        <v>1.7295</v>
      </c>
      <c r="N11" s="64">
        <f t="shared" si="6"/>
        <v>1600.0000000000459</v>
      </c>
      <c r="O11" s="58">
        <v>17096</v>
      </c>
      <c r="P11" s="67">
        <f t="shared" si="7"/>
        <v>41</v>
      </c>
      <c r="Q11" s="58">
        <v>1957</v>
      </c>
      <c r="R11" s="67">
        <f t="shared" si="8"/>
        <v>6</v>
      </c>
      <c r="S11" s="58">
        <v>1212.5</v>
      </c>
      <c r="T11" s="67">
        <f t="shared" si="9"/>
        <v>0.79999999999995453</v>
      </c>
      <c r="U11" s="58">
        <v>501317.1</v>
      </c>
      <c r="V11" s="67">
        <f t="shared" si="10"/>
        <v>374.89999999996508</v>
      </c>
      <c r="W11" s="58">
        <v>468.83</v>
      </c>
      <c r="X11" s="65">
        <f t="shared" si="11"/>
        <v>419.99999999995907</v>
      </c>
      <c r="Y11" s="58">
        <v>3.4691999999999998</v>
      </c>
      <c r="Z11" s="65">
        <f t="shared" si="12"/>
        <v>2999.9999999996694</v>
      </c>
      <c r="AA11" s="58">
        <v>471.58</v>
      </c>
      <c r="AB11" s="65">
        <f t="shared" si="13"/>
        <v>339.99999999997499</v>
      </c>
      <c r="AC11" s="58">
        <v>453.98</v>
      </c>
      <c r="AD11" s="65">
        <f t="shared" si="14"/>
        <v>600.00000000002274</v>
      </c>
      <c r="AE11" s="58">
        <v>655.8</v>
      </c>
      <c r="AF11" s="65">
        <f t="shared" si="15"/>
        <v>509.99999999999091</v>
      </c>
      <c r="AG11" s="58">
        <v>12908</v>
      </c>
      <c r="AH11" s="67">
        <f t="shared" si="16"/>
        <v>42</v>
      </c>
      <c r="AI11" s="58">
        <v>767.44</v>
      </c>
      <c r="AJ11" s="65">
        <f t="shared" si="17"/>
        <v>850.00000000002274</v>
      </c>
      <c r="AK11" s="58">
        <v>256.05</v>
      </c>
      <c r="AL11" s="65">
        <f t="shared" si="18"/>
        <v>130.00000000002387</v>
      </c>
      <c r="AM11" s="58">
        <v>240.48</v>
      </c>
      <c r="AN11" s="65">
        <f t="shared" si="19"/>
        <v>219.99999999999886</v>
      </c>
      <c r="AO11" s="58">
        <v>231.63</v>
      </c>
      <c r="AP11" s="65">
        <f t="shared" si="20"/>
        <v>250</v>
      </c>
      <c r="AQ11" s="58">
        <v>288.98</v>
      </c>
      <c r="AR11" s="65">
        <f t="shared" si="21"/>
        <v>170.00000000001592</v>
      </c>
      <c r="AS11" s="58">
        <v>415.43</v>
      </c>
      <c r="AT11" s="65">
        <f t="shared" si="22"/>
        <v>269.99999999998181</v>
      </c>
      <c r="AU11" s="58">
        <v>320.87</v>
      </c>
      <c r="AV11" s="65">
        <f t="shared" si="23"/>
        <v>180.00000000000682</v>
      </c>
      <c r="AW11" s="58">
        <v>353.55</v>
      </c>
      <c r="AX11" s="65">
        <f t="shared" si="24"/>
        <v>210.00000000003638</v>
      </c>
      <c r="AY11" s="58">
        <v>387.7</v>
      </c>
      <c r="AZ11" s="65">
        <f t="shared" si="25"/>
        <v>159.99999999996817</v>
      </c>
      <c r="BA11" s="58">
        <v>408.61</v>
      </c>
      <c r="BB11" s="65">
        <f t="shared" si="26"/>
        <v>250</v>
      </c>
      <c r="BC11" s="58">
        <v>261.97000000000003</v>
      </c>
      <c r="BD11" s="65">
        <f t="shared" si="27"/>
        <v>180.00000000000682</v>
      </c>
      <c r="BE11" s="59">
        <v>47892</v>
      </c>
      <c r="BF11" s="67">
        <f t="shared" si="28"/>
        <v>38</v>
      </c>
      <c r="BG11" s="60">
        <v>243.53</v>
      </c>
      <c r="BH11" s="65">
        <f t="shared" si="29"/>
        <v>39.999999999992042</v>
      </c>
      <c r="BI11" s="60">
        <v>299.54000000000002</v>
      </c>
      <c r="BJ11" s="65">
        <f t="shared" si="30"/>
        <v>40.000000000020464</v>
      </c>
      <c r="BK11" s="60">
        <v>246.25</v>
      </c>
      <c r="BL11" s="65">
        <f t="shared" si="31"/>
        <v>50.000000000011369</v>
      </c>
      <c r="BM11" s="60">
        <v>233.36</v>
      </c>
      <c r="BN11" s="65">
        <f t="shared" si="32"/>
        <v>50.000000000011369</v>
      </c>
      <c r="BO11" s="60">
        <v>299.17</v>
      </c>
      <c r="BP11" s="65">
        <f t="shared" si="33"/>
        <v>50.000000000011369</v>
      </c>
      <c r="BQ11" s="60">
        <v>52279</v>
      </c>
      <c r="BR11" s="65">
        <f t="shared" si="34"/>
        <v>42</v>
      </c>
      <c r="BS11" s="60">
        <v>210.19</v>
      </c>
      <c r="BT11" s="65">
        <f t="shared" si="35"/>
        <v>60.000000000002274</v>
      </c>
      <c r="BU11" s="60">
        <v>49138</v>
      </c>
      <c r="BV11" s="65">
        <f t="shared" si="36"/>
        <v>49</v>
      </c>
      <c r="BW11" s="60">
        <v>238.7</v>
      </c>
      <c r="BX11" s="65">
        <f t="shared" si="37"/>
        <v>39.999999999992042</v>
      </c>
      <c r="BY11" s="60">
        <v>68946</v>
      </c>
      <c r="BZ11" s="67">
        <f t="shared" si="38"/>
        <v>46</v>
      </c>
      <c r="CA11" s="60">
        <v>42905.599999999999</v>
      </c>
      <c r="CB11" s="67">
        <f t="shared" si="39"/>
        <v>37.69999999999709</v>
      </c>
      <c r="CC11" s="60">
        <v>14251.1</v>
      </c>
      <c r="CD11" s="67">
        <f t="shared" si="40"/>
        <v>12.399999999999636</v>
      </c>
      <c r="CE11" s="60">
        <v>7579.1</v>
      </c>
      <c r="CF11" s="67">
        <f t="shared" si="41"/>
        <v>0.3000000000001819</v>
      </c>
      <c r="CG11" s="60">
        <v>69520.7</v>
      </c>
      <c r="CH11" s="67">
        <f t="shared" si="42"/>
        <v>38</v>
      </c>
      <c r="CI11" s="60">
        <v>1013351</v>
      </c>
      <c r="CJ11" s="67">
        <f t="shared" si="43"/>
        <v>280</v>
      </c>
      <c r="CK11" s="60">
        <v>908.17</v>
      </c>
      <c r="CL11" s="64">
        <f t="shared" si="44"/>
        <v>629.99999999999545</v>
      </c>
      <c r="CM11" s="65">
        <f t="shared" si="45"/>
        <v>159.29999999999927</v>
      </c>
      <c r="CN11" s="62">
        <v>17</v>
      </c>
      <c r="CO11" s="62">
        <v>38</v>
      </c>
      <c r="CP11" s="68">
        <v>21754</v>
      </c>
      <c r="CQ11" s="67">
        <f t="shared" si="46"/>
        <v>88</v>
      </c>
      <c r="CR11" s="68">
        <v>19150.3</v>
      </c>
      <c r="CS11" s="67">
        <f t="shared" si="47"/>
        <v>71.299999999999272</v>
      </c>
      <c r="CT11" s="75">
        <v>8803</v>
      </c>
      <c r="CU11" s="67">
        <f t="shared" si="48"/>
        <v>7</v>
      </c>
      <c r="CV11" s="68">
        <v>21799</v>
      </c>
      <c r="CW11" s="67">
        <f t="shared" si="49"/>
        <v>35</v>
      </c>
      <c r="CX11" s="58">
        <v>1795.8</v>
      </c>
      <c r="CY11" s="67">
        <f t="shared" si="50"/>
        <v>11.599999999999909</v>
      </c>
    </row>
    <row r="12" spans="1:103" ht="25.5" customHeight="1" thickBot="1" x14ac:dyDescent="0.45">
      <c r="A12" s="63">
        <v>44601</v>
      </c>
      <c r="B12" s="44"/>
      <c r="C12" s="58">
        <v>2.8706999999999998</v>
      </c>
      <c r="D12" s="64">
        <f t="shared" si="1"/>
        <v>3099.9999999998809</v>
      </c>
      <c r="E12" s="58">
        <v>3.9529000000000001</v>
      </c>
      <c r="F12" s="64">
        <f t="shared" si="2"/>
        <v>3000.0000000001137</v>
      </c>
      <c r="G12" s="58">
        <v>3.9359999999999999</v>
      </c>
      <c r="H12" s="64">
        <f t="shared" si="3"/>
        <v>2800.0000000001355</v>
      </c>
      <c r="I12" s="58">
        <v>1.9661999999999999</v>
      </c>
      <c r="J12" s="64">
        <f t="shared" si="4"/>
        <v>1700.0000000000348</v>
      </c>
      <c r="K12" s="58">
        <v>3.1095000000000002</v>
      </c>
      <c r="L12" s="64">
        <f t="shared" si="5"/>
        <v>2200.0000000002019</v>
      </c>
      <c r="M12" s="58">
        <v>1.7310000000000001</v>
      </c>
      <c r="N12" s="64">
        <f t="shared" si="6"/>
        <v>1500.0000000000568</v>
      </c>
      <c r="O12" s="58">
        <v>17111</v>
      </c>
      <c r="P12" s="67">
        <f t="shared" si="7"/>
        <v>15</v>
      </c>
      <c r="Q12" s="58">
        <v>1962</v>
      </c>
      <c r="R12" s="67">
        <f t="shared" si="8"/>
        <v>5</v>
      </c>
      <c r="S12" s="58">
        <v>1213.5</v>
      </c>
      <c r="T12" s="67">
        <f t="shared" si="9"/>
        <v>1</v>
      </c>
      <c r="U12" s="58">
        <v>501680.5</v>
      </c>
      <c r="V12" s="67">
        <f t="shared" si="10"/>
        <v>363.40000000002328</v>
      </c>
      <c r="W12" s="58">
        <v>469.19</v>
      </c>
      <c r="X12" s="65">
        <f t="shared" si="11"/>
        <v>360.00000000001364</v>
      </c>
      <c r="Y12" s="58">
        <v>3.4719000000000002</v>
      </c>
      <c r="Z12" s="65">
        <f t="shared" si="12"/>
        <v>2700.0000000003688</v>
      </c>
      <c r="AA12" s="58">
        <v>471.98</v>
      </c>
      <c r="AB12" s="65">
        <f t="shared" si="13"/>
        <v>400.00000000003411</v>
      </c>
      <c r="AC12" s="58">
        <v>454.51</v>
      </c>
      <c r="AD12" s="65">
        <f t="shared" si="14"/>
        <v>529.99999999997272</v>
      </c>
      <c r="AE12" s="58">
        <v>656.25</v>
      </c>
      <c r="AF12" s="65">
        <f t="shared" si="15"/>
        <v>450.00000000004547</v>
      </c>
      <c r="AG12" s="58">
        <v>12952</v>
      </c>
      <c r="AH12" s="67">
        <f t="shared" si="16"/>
        <v>44</v>
      </c>
      <c r="AI12" s="58">
        <v>768.25</v>
      </c>
      <c r="AJ12" s="65">
        <f t="shared" si="17"/>
        <v>809.99999999994543</v>
      </c>
      <c r="AK12" s="58">
        <v>256.19</v>
      </c>
      <c r="AL12" s="65">
        <f t="shared" si="18"/>
        <v>139.99999999998636</v>
      </c>
      <c r="AM12" s="58">
        <v>240.69</v>
      </c>
      <c r="AN12" s="65">
        <f t="shared" si="19"/>
        <v>210.00000000000796</v>
      </c>
      <c r="AO12" s="58">
        <v>231.85</v>
      </c>
      <c r="AP12" s="65">
        <f t="shared" si="20"/>
        <v>219.99999999999886</v>
      </c>
      <c r="AQ12" s="58">
        <v>289.17</v>
      </c>
      <c r="AR12" s="65">
        <f t="shared" si="21"/>
        <v>189.99999999999773</v>
      </c>
      <c r="AS12" s="58">
        <v>415.7</v>
      </c>
      <c r="AT12" s="65">
        <f t="shared" si="22"/>
        <v>269.99999999998181</v>
      </c>
      <c r="AU12" s="58">
        <v>321.07</v>
      </c>
      <c r="AV12" s="65">
        <f t="shared" si="23"/>
        <v>199.99999999998863</v>
      </c>
      <c r="AW12" s="58">
        <v>353.81</v>
      </c>
      <c r="AX12" s="65">
        <f t="shared" si="24"/>
        <v>259.99999999999091</v>
      </c>
      <c r="AY12" s="58">
        <v>387.84</v>
      </c>
      <c r="AZ12" s="65">
        <f t="shared" si="25"/>
        <v>139.99999999998636</v>
      </c>
      <c r="BA12" s="58">
        <v>408.84</v>
      </c>
      <c r="BB12" s="65">
        <f t="shared" si="26"/>
        <v>229.99999999996135</v>
      </c>
      <c r="BC12" s="58">
        <v>262.08</v>
      </c>
      <c r="BD12" s="65">
        <f t="shared" si="27"/>
        <v>109.9999999999568</v>
      </c>
      <c r="BE12" s="59">
        <v>47928</v>
      </c>
      <c r="BF12" s="67">
        <f t="shared" si="28"/>
        <v>36</v>
      </c>
      <c r="BG12" s="60">
        <v>243.58</v>
      </c>
      <c r="BH12" s="65">
        <f t="shared" si="29"/>
        <v>50.000000000011369</v>
      </c>
      <c r="BI12" s="60">
        <v>299.57</v>
      </c>
      <c r="BJ12" s="65">
        <f t="shared" si="30"/>
        <v>29.999999999972715</v>
      </c>
      <c r="BK12" s="60">
        <v>246.3</v>
      </c>
      <c r="BL12" s="65">
        <f t="shared" si="31"/>
        <v>50.000000000011369</v>
      </c>
      <c r="BM12" s="60">
        <v>233.4</v>
      </c>
      <c r="BN12" s="65">
        <f t="shared" si="32"/>
        <v>39.999999999992042</v>
      </c>
      <c r="BO12" s="60">
        <v>299.23</v>
      </c>
      <c r="BP12" s="65">
        <f t="shared" si="33"/>
        <v>60.000000000002274</v>
      </c>
      <c r="BQ12" s="60">
        <v>52315</v>
      </c>
      <c r="BR12" s="65">
        <f t="shared" si="34"/>
        <v>36</v>
      </c>
      <c r="BS12" s="60">
        <v>210.24</v>
      </c>
      <c r="BT12" s="65">
        <f t="shared" si="35"/>
        <v>50.000000000011369</v>
      </c>
      <c r="BU12" s="60">
        <v>49175</v>
      </c>
      <c r="BV12" s="65">
        <f t="shared" si="36"/>
        <v>37</v>
      </c>
      <c r="BW12" s="60">
        <v>238.74</v>
      </c>
      <c r="BX12" s="65">
        <f t="shared" si="37"/>
        <v>40.000000000020464</v>
      </c>
      <c r="BY12" s="60">
        <v>68985</v>
      </c>
      <c r="BZ12" s="67">
        <f t="shared" si="38"/>
        <v>39</v>
      </c>
      <c r="CA12" s="60">
        <v>42945.1</v>
      </c>
      <c r="CB12" s="67">
        <f t="shared" si="39"/>
        <v>39.5</v>
      </c>
      <c r="CC12" s="60">
        <v>14262.5</v>
      </c>
      <c r="CD12" s="67">
        <f t="shared" si="40"/>
        <v>11.399999999999636</v>
      </c>
      <c r="CE12" s="60">
        <v>7580.1</v>
      </c>
      <c r="CF12" s="67">
        <f t="shared" si="41"/>
        <v>1</v>
      </c>
      <c r="CG12" s="60">
        <v>69589.7</v>
      </c>
      <c r="CH12" s="67">
        <f t="shared" si="42"/>
        <v>69</v>
      </c>
      <c r="CI12" s="60">
        <v>1013656</v>
      </c>
      <c r="CJ12" s="67">
        <f t="shared" si="43"/>
        <v>305</v>
      </c>
      <c r="CK12" s="60">
        <v>908.82</v>
      </c>
      <c r="CL12" s="64">
        <f t="shared" si="44"/>
        <v>650.00000000009095</v>
      </c>
      <c r="CM12" s="65">
        <f t="shared" si="45"/>
        <v>103.20000000000073</v>
      </c>
      <c r="CN12" s="62">
        <v>18</v>
      </c>
      <c r="CO12" s="62">
        <v>44</v>
      </c>
      <c r="CP12" s="68">
        <v>21837</v>
      </c>
      <c r="CQ12" s="67">
        <f t="shared" si="46"/>
        <v>83</v>
      </c>
      <c r="CR12" s="68">
        <v>19170.5</v>
      </c>
      <c r="CS12" s="67">
        <f t="shared" si="47"/>
        <v>20.200000000000728</v>
      </c>
      <c r="CT12" s="75">
        <v>8812</v>
      </c>
      <c r="CU12" s="67">
        <f t="shared" si="48"/>
        <v>9</v>
      </c>
      <c r="CV12" s="68">
        <v>21834</v>
      </c>
      <c r="CW12" s="67">
        <f t="shared" si="49"/>
        <v>35</v>
      </c>
      <c r="CX12" s="58">
        <v>1806.6</v>
      </c>
      <c r="CY12" s="67">
        <f t="shared" si="50"/>
        <v>10.799999999999955</v>
      </c>
    </row>
    <row r="13" spans="1:103" ht="25.5" customHeight="1" thickBot="1" x14ac:dyDescent="0.45">
      <c r="A13" s="63">
        <v>44602</v>
      </c>
      <c r="B13" s="44"/>
      <c r="C13" s="58">
        <v>2.8740000000000001</v>
      </c>
      <c r="D13" s="64">
        <f t="shared" si="1"/>
        <v>3300.0000000003029</v>
      </c>
      <c r="E13" s="58">
        <v>3.9565000000000001</v>
      </c>
      <c r="F13" s="64">
        <f t="shared" si="2"/>
        <v>3600.0000000000477</v>
      </c>
      <c r="G13" s="58">
        <v>3.9388999999999998</v>
      </c>
      <c r="H13" s="64">
        <f t="shared" si="3"/>
        <v>2899.9999999999027</v>
      </c>
      <c r="I13" s="58">
        <v>1.9679</v>
      </c>
      <c r="J13" s="64">
        <f t="shared" si="4"/>
        <v>1700.0000000000348</v>
      </c>
      <c r="K13" s="58">
        <v>3.1116999999999999</v>
      </c>
      <c r="L13" s="64">
        <f t="shared" si="5"/>
        <v>2199.9999999997576</v>
      </c>
      <c r="M13" s="58">
        <v>1.7324999999999999</v>
      </c>
      <c r="N13" s="64">
        <f t="shared" si="6"/>
        <v>1499.9999999998347</v>
      </c>
      <c r="O13" s="58">
        <v>17138</v>
      </c>
      <c r="P13" s="67">
        <f t="shared" si="7"/>
        <v>27</v>
      </c>
      <c r="Q13" s="58">
        <v>1968</v>
      </c>
      <c r="R13" s="67">
        <f t="shared" si="8"/>
        <v>6</v>
      </c>
      <c r="S13" s="58">
        <v>1214.5999999999999</v>
      </c>
      <c r="T13" s="67">
        <f t="shared" si="9"/>
        <v>1.0999999999999091</v>
      </c>
      <c r="U13" s="58">
        <v>502110.5</v>
      </c>
      <c r="V13" s="67">
        <f t="shared" si="10"/>
        <v>430</v>
      </c>
      <c r="W13" s="58">
        <v>469.67</v>
      </c>
      <c r="X13" s="65">
        <f t="shared" si="11"/>
        <v>480.00000000001819</v>
      </c>
      <c r="Y13" s="58">
        <v>3.4752000000000001</v>
      </c>
      <c r="Z13" s="65">
        <f t="shared" si="12"/>
        <v>3299.9999999998586</v>
      </c>
      <c r="AA13" s="58">
        <v>472.24</v>
      </c>
      <c r="AB13" s="65">
        <f t="shared" si="13"/>
        <v>259.99999999999091</v>
      </c>
      <c r="AC13" s="58">
        <v>455.15</v>
      </c>
      <c r="AD13" s="65">
        <f t="shared" si="14"/>
        <v>639.99999999998636</v>
      </c>
      <c r="AE13" s="58">
        <v>656.83</v>
      </c>
      <c r="AF13" s="65">
        <f t="shared" si="15"/>
        <v>580.00000000004093</v>
      </c>
      <c r="AG13" s="58">
        <v>12998</v>
      </c>
      <c r="AH13" s="67">
        <f t="shared" si="16"/>
        <v>46</v>
      </c>
      <c r="AI13" s="58">
        <v>769.23</v>
      </c>
      <c r="AJ13" s="65">
        <f t="shared" si="17"/>
        <v>980.00000000001819</v>
      </c>
      <c r="AK13" s="58">
        <v>256.36</v>
      </c>
      <c r="AL13" s="65">
        <f t="shared" si="18"/>
        <v>170.00000000001592</v>
      </c>
      <c r="AM13" s="58">
        <v>241.09</v>
      </c>
      <c r="AN13" s="65">
        <f t="shared" si="19"/>
        <v>400.00000000000568</v>
      </c>
      <c r="AO13" s="58">
        <v>232.11</v>
      </c>
      <c r="AP13" s="65">
        <f t="shared" si="20"/>
        <v>260.00000000001933</v>
      </c>
      <c r="AQ13" s="58">
        <v>289.44</v>
      </c>
      <c r="AR13" s="65">
        <f t="shared" si="21"/>
        <v>269.99999999998181</v>
      </c>
      <c r="AS13" s="58">
        <v>415.9</v>
      </c>
      <c r="AT13" s="65">
        <f t="shared" si="22"/>
        <v>199.99999999998863</v>
      </c>
      <c r="AU13" s="58">
        <v>321.33999999999997</v>
      </c>
      <c r="AV13" s="65">
        <f t="shared" si="23"/>
        <v>269.99999999998181</v>
      </c>
      <c r="AW13" s="58">
        <v>354.01</v>
      </c>
      <c r="AX13" s="65">
        <f t="shared" si="24"/>
        <v>199.99999999998863</v>
      </c>
      <c r="AY13" s="58">
        <v>388</v>
      </c>
      <c r="AZ13" s="65">
        <f t="shared" si="25"/>
        <v>160.00000000002501</v>
      </c>
      <c r="BA13" s="58">
        <v>409.11</v>
      </c>
      <c r="BB13" s="65">
        <f t="shared" si="26"/>
        <v>270.00000000003865</v>
      </c>
      <c r="BC13" s="58">
        <v>262.14999999999998</v>
      </c>
      <c r="BD13" s="65">
        <f t="shared" si="27"/>
        <v>69.999999999993179</v>
      </c>
      <c r="BE13" s="59">
        <v>47961</v>
      </c>
      <c r="BF13" s="67">
        <f t="shared" si="28"/>
        <v>33</v>
      </c>
      <c r="BG13" s="60">
        <v>243.65</v>
      </c>
      <c r="BH13" s="65">
        <f t="shared" si="29"/>
        <v>69.999999999993179</v>
      </c>
      <c r="BI13" s="60">
        <v>299.60000000000002</v>
      </c>
      <c r="BJ13" s="65">
        <f t="shared" si="30"/>
        <v>30.000000000029559</v>
      </c>
      <c r="BK13" s="60">
        <v>246.35</v>
      </c>
      <c r="BL13" s="65">
        <f t="shared" si="31"/>
        <v>49.999999999982947</v>
      </c>
      <c r="BM13" s="60">
        <v>233.44</v>
      </c>
      <c r="BN13" s="65">
        <f t="shared" si="32"/>
        <v>39.999999999992042</v>
      </c>
      <c r="BO13" s="60">
        <v>299.29000000000002</v>
      </c>
      <c r="BP13" s="65">
        <f t="shared" si="33"/>
        <v>60.000000000002274</v>
      </c>
      <c r="BQ13" s="60">
        <v>52367</v>
      </c>
      <c r="BR13" s="65">
        <f t="shared" si="34"/>
        <v>52</v>
      </c>
      <c r="BS13" s="60">
        <v>210.31</v>
      </c>
      <c r="BT13" s="65">
        <f t="shared" si="35"/>
        <v>69.999999999993179</v>
      </c>
      <c r="BU13" s="60">
        <v>49221</v>
      </c>
      <c r="BV13" s="65">
        <f t="shared" si="36"/>
        <v>46</v>
      </c>
      <c r="BW13" s="60">
        <v>238.78</v>
      </c>
      <c r="BX13" s="65">
        <f t="shared" si="37"/>
        <v>39.999999999992042</v>
      </c>
      <c r="BY13" s="60">
        <v>69030</v>
      </c>
      <c r="BZ13" s="67">
        <f t="shared" si="38"/>
        <v>45</v>
      </c>
      <c r="CA13" s="60">
        <v>42990.7</v>
      </c>
      <c r="CB13" s="67">
        <f t="shared" si="39"/>
        <v>45.599999999998545</v>
      </c>
      <c r="CC13" s="60">
        <v>14279</v>
      </c>
      <c r="CD13" s="67">
        <f t="shared" si="40"/>
        <v>16.5</v>
      </c>
      <c r="CE13" s="60">
        <v>7585</v>
      </c>
      <c r="CF13" s="67">
        <f t="shared" si="41"/>
        <v>4.8999999999996362</v>
      </c>
      <c r="CG13" s="60">
        <v>69599.399999999994</v>
      </c>
      <c r="CH13" s="67">
        <f t="shared" si="42"/>
        <v>9.6999999999970896</v>
      </c>
      <c r="CI13" s="60">
        <v>1013960.4</v>
      </c>
      <c r="CJ13" s="67">
        <f t="shared" si="43"/>
        <v>304.40000000002328</v>
      </c>
      <c r="CK13" s="60">
        <v>909.53</v>
      </c>
      <c r="CL13" s="64">
        <f t="shared" si="44"/>
        <v>709.99999999992269</v>
      </c>
      <c r="CM13" s="65">
        <f t="shared" si="45"/>
        <v>94.5</v>
      </c>
      <c r="CN13" s="62">
        <v>24</v>
      </c>
      <c r="CO13" s="62">
        <v>57</v>
      </c>
      <c r="CP13" s="68">
        <v>21908</v>
      </c>
      <c r="CQ13" s="67">
        <f t="shared" si="46"/>
        <v>71</v>
      </c>
      <c r="CR13" s="68">
        <v>19194</v>
      </c>
      <c r="CS13" s="67">
        <f t="shared" si="47"/>
        <v>23.5</v>
      </c>
      <c r="CT13" s="75">
        <v>8827</v>
      </c>
      <c r="CU13" s="67">
        <f t="shared" si="48"/>
        <v>15</v>
      </c>
      <c r="CV13" s="68">
        <v>21877</v>
      </c>
      <c r="CW13" s="67">
        <f t="shared" si="49"/>
        <v>43</v>
      </c>
      <c r="CX13" s="58">
        <v>1818.5</v>
      </c>
      <c r="CY13" s="67">
        <f t="shared" si="50"/>
        <v>11.900000000000091</v>
      </c>
    </row>
    <row r="14" spans="1:103" ht="25.5" customHeight="1" thickBot="1" x14ac:dyDescent="0.45">
      <c r="A14" s="63">
        <v>44603</v>
      </c>
      <c r="B14" s="44"/>
      <c r="C14" s="58">
        <v>2.8773</v>
      </c>
      <c r="D14" s="64">
        <f t="shared" si="1"/>
        <v>3299.9999999998586</v>
      </c>
      <c r="E14" s="58">
        <v>3.9597000000000002</v>
      </c>
      <c r="F14" s="64">
        <f t="shared" si="2"/>
        <v>3200.0000000000919</v>
      </c>
      <c r="G14" s="58">
        <v>3.9417</v>
      </c>
      <c r="H14" s="64">
        <f t="shared" si="3"/>
        <v>2800.0000000001355</v>
      </c>
      <c r="I14" s="58">
        <v>1.9696</v>
      </c>
      <c r="J14" s="64">
        <f t="shared" si="4"/>
        <v>1700.0000000000348</v>
      </c>
      <c r="K14" s="58">
        <v>3.1137999999999999</v>
      </c>
      <c r="L14" s="64">
        <f t="shared" si="5"/>
        <v>2099.9999999999909</v>
      </c>
      <c r="M14" s="58">
        <v>1.7342</v>
      </c>
      <c r="N14" s="64">
        <f t="shared" si="6"/>
        <v>1700.0000000000348</v>
      </c>
      <c r="O14" s="58">
        <v>17201</v>
      </c>
      <c r="P14" s="67">
        <f t="shared" si="7"/>
        <v>63</v>
      </c>
      <c r="Q14" s="58">
        <v>1973</v>
      </c>
      <c r="R14" s="67">
        <f t="shared" si="8"/>
        <v>5</v>
      </c>
      <c r="S14" s="58">
        <v>1215.5</v>
      </c>
      <c r="T14" s="67">
        <f t="shared" si="9"/>
        <v>0.90000000000009095</v>
      </c>
      <c r="U14" s="58">
        <v>502430.9</v>
      </c>
      <c r="V14" s="67">
        <f t="shared" si="10"/>
        <v>320.40000000002328</v>
      </c>
      <c r="W14" s="58">
        <v>469.99</v>
      </c>
      <c r="X14" s="65">
        <f t="shared" si="11"/>
        <v>319.99999999999318</v>
      </c>
      <c r="Y14" s="58">
        <v>3.4779</v>
      </c>
      <c r="Z14" s="65">
        <f t="shared" si="12"/>
        <v>2699.9999999999245</v>
      </c>
      <c r="AA14" s="58">
        <v>472.68</v>
      </c>
      <c r="AB14" s="65">
        <f t="shared" si="13"/>
        <v>439.99999999999773</v>
      </c>
      <c r="AC14" s="58">
        <v>455.69</v>
      </c>
      <c r="AD14" s="65">
        <f t="shared" si="14"/>
        <v>540.00000000002046</v>
      </c>
      <c r="AE14" s="58">
        <v>657.39</v>
      </c>
      <c r="AF14" s="65">
        <f t="shared" si="15"/>
        <v>559.99999999994543</v>
      </c>
      <c r="AG14" s="58">
        <v>13042</v>
      </c>
      <c r="AH14" s="67">
        <f t="shared" si="16"/>
        <v>44</v>
      </c>
      <c r="AI14" s="58">
        <v>770.04</v>
      </c>
      <c r="AJ14" s="65">
        <f t="shared" si="17"/>
        <v>809.99999999994543</v>
      </c>
      <c r="AK14" s="58">
        <v>256.62</v>
      </c>
      <c r="AL14" s="65">
        <f t="shared" si="18"/>
        <v>259.99999999999091</v>
      </c>
      <c r="AM14" s="58">
        <v>241.42</v>
      </c>
      <c r="AN14" s="65">
        <f t="shared" si="19"/>
        <v>329.99999999998408</v>
      </c>
      <c r="AO14" s="58">
        <v>232.32</v>
      </c>
      <c r="AP14" s="65">
        <f t="shared" si="20"/>
        <v>209.99999999997954</v>
      </c>
      <c r="AQ14" s="58">
        <v>289.68</v>
      </c>
      <c r="AR14" s="65">
        <f t="shared" si="21"/>
        <v>240.00000000000909</v>
      </c>
      <c r="AS14" s="58">
        <v>416.2</v>
      </c>
      <c r="AT14" s="65">
        <f t="shared" si="22"/>
        <v>300.00000000001137</v>
      </c>
      <c r="AU14" s="58">
        <v>321.52</v>
      </c>
      <c r="AV14" s="65">
        <f t="shared" si="23"/>
        <v>180.00000000000682</v>
      </c>
      <c r="AW14" s="58">
        <v>354.19</v>
      </c>
      <c r="AX14" s="65">
        <f t="shared" si="24"/>
        <v>180.00000000000682</v>
      </c>
      <c r="AY14" s="58">
        <v>388.15</v>
      </c>
      <c r="AZ14" s="65">
        <f t="shared" si="25"/>
        <v>149.99999999997726</v>
      </c>
      <c r="BA14" s="58">
        <v>409.33</v>
      </c>
      <c r="BB14" s="65">
        <f t="shared" si="26"/>
        <v>219.99999999997044</v>
      </c>
      <c r="BC14" s="58">
        <v>262.24</v>
      </c>
      <c r="BD14" s="65">
        <f t="shared" si="27"/>
        <v>90.000000000031832</v>
      </c>
      <c r="BE14" s="59">
        <v>48005</v>
      </c>
      <c r="BF14" s="67">
        <f t="shared" si="28"/>
        <v>44</v>
      </c>
      <c r="BG14" s="60">
        <v>243.7</v>
      </c>
      <c r="BH14" s="65">
        <f t="shared" si="29"/>
        <v>49.999999999982947</v>
      </c>
      <c r="BI14" s="60">
        <v>299.64</v>
      </c>
      <c r="BJ14" s="65">
        <f t="shared" si="30"/>
        <v>39.99999999996362</v>
      </c>
      <c r="BK14" s="60">
        <v>246.4</v>
      </c>
      <c r="BL14" s="65">
        <f t="shared" si="31"/>
        <v>50.000000000011369</v>
      </c>
      <c r="BM14" s="60">
        <v>233.48</v>
      </c>
      <c r="BN14" s="65">
        <f t="shared" si="32"/>
        <v>39.999999999992042</v>
      </c>
      <c r="BO14" s="60">
        <v>299.33999999999997</v>
      </c>
      <c r="BP14" s="65">
        <f t="shared" si="33"/>
        <v>49.999999999954525</v>
      </c>
      <c r="BQ14" s="60">
        <v>52405</v>
      </c>
      <c r="BR14" s="65">
        <f t="shared" si="34"/>
        <v>38</v>
      </c>
      <c r="BS14" s="60">
        <v>210.37</v>
      </c>
      <c r="BT14" s="65">
        <f t="shared" si="35"/>
        <v>60.000000000002274</v>
      </c>
      <c r="BU14" s="60">
        <v>49261</v>
      </c>
      <c r="BV14" s="65">
        <f t="shared" si="36"/>
        <v>40</v>
      </c>
      <c r="BW14" s="60">
        <v>238.81</v>
      </c>
      <c r="BX14" s="65">
        <f t="shared" si="37"/>
        <v>30.000000000001137</v>
      </c>
      <c r="BY14" s="60">
        <v>69070</v>
      </c>
      <c r="BZ14" s="67">
        <f t="shared" si="38"/>
        <v>40</v>
      </c>
      <c r="CA14" s="60">
        <v>43027.4</v>
      </c>
      <c r="CB14" s="67">
        <f t="shared" si="39"/>
        <v>36.700000000004366</v>
      </c>
      <c r="CC14" s="60">
        <v>14288.5</v>
      </c>
      <c r="CD14" s="67">
        <f t="shared" si="40"/>
        <v>9.5</v>
      </c>
      <c r="CE14" s="60">
        <v>7586.5</v>
      </c>
      <c r="CF14" s="67">
        <f t="shared" si="41"/>
        <v>1.5</v>
      </c>
      <c r="CG14" s="60">
        <v>69638.100000000006</v>
      </c>
      <c r="CH14" s="67">
        <f t="shared" si="42"/>
        <v>38.700000000011642</v>
      </c>
      <c r="CI14" s="60">
        <v>1014288</v>
      </c>
      <c r="CJ14" s="67">
        <f t="shared" si="43"/>
        <v>327.59999999997672</v>
      </c>
      <c r="CK14" s="60">
        <v>910.24</v>
      </c>
      <c r="CL14" s="64">
        <f t="shared" si="44"/>
        <v>710.00000000003638</v>
      </c>
      <c r="CM14" s="65">
        <f t="shared" si="45"/>
        <v>93</v>
      </c>
      <c r="CN14" s="62">
        <v>24</v>
      </c>
      <c r="CO14" s="62">
        <v>57</v>
      </c>
      <c r="CP14" s="68">
        <v>21979</v>
      </c>
      <c r="CQ14" s="67">
        <f t="shared" si="46"/>
        <v>71</v>
      </c>
      <c r="CR14" s="68">
        <v>19216</v>
      </c>
      <c r="CS14" s="67">
        <f t="shared" si="47"/>
        <v>22</v>
      </c>
      <c r="CT14" s="75">
        <v>8841</v>
      </c>
      <c r="CU14" s="67">
        <f t="shared" si="48"/>
        <v>14</v>
      </c>
      <c r="CV14" s="68">
        <v>21922</v>
      </c>
      <c r="CW14" s="67">
        <f t="shared" si="49"/>
        <v>45</v>
      </c>
      <c r="CX14" s="58">
        <v>1830.2</v>
      </c>
      <c r="CY14" s="67">
        <f t="shared" si="50"/>
        <v>11.700000000000045</v>
      </c>
    </row>
    <row r="15" spans="1:103" ht="25.5" customHeight="1" thickBot="1" x14ac:dyDescent="0.45">
      <c r="A15" s="63">
        <v>44604</v>
      </c>
      <c r="B15" s="44"/>
      <c r="C15" s="58">
        <v>2.8807</v>
      </c>
      <c r="D15" s="64">
        <f t="shared" si="1"/>
        <v>3400.0000000000696</v>
      </c>
      <c r="E15" s="58">
        <v>3.9630000000000001</v>
      </c>
      <c r="F15" s="64">
        <f t="shared" si="2"/>
        <v>3299.9999999998586</v>
      </c>
      <c r="G15" s="58">
        <v>3.9447000000000001</v>
      </c>
      <c r="H15" s="64">
        <f t="shared" si="3"/>
        <v>3000.0000000001137</v>
      </c>
      <c r="I15" s="58">
        <v>1.9714</v>
      </c>
      <c r="J15" s="64">
        <f t="shared" si="4"/>
        <v>1800.0000000000239</v>
      </c>
      <c r="K15" s="58">
        <v>3.1160000000000001</v>
      </c>
      <c r="L15" s="64">
        <f t="shared" si="5"/>
        <v>2200.0000000002019</v>
      </c>
      <c r="M15" s="58">
        <v>1.7357</v>
      </c>
      <c r="N15" s="64">
        <f t="shared" si="6"/>
        <v>1500.0000000000568</v>
      </c>
      <c r="O15" s="58">
        <v>17265</v>
      </c>
      <c r="P15" s="67">
        <f t="shared" si="7"/>
        <v>64</v>
      </c>
      <c r="Q15" s="58">
        <v>1981</v>
      </c>
      <c r="R15" s="67">
        <f>IF((Q15-Q14&lt;0), "",Q15-Q14)</f>
        <v>8</v>
      </c>
      <c r="S15" s="58">
        <v>1217.5999999999999</v>
      </c>
      <c r="T15" s="67">
        <f t="shared" si="9"/>
        <v>2.0999999999999091</v>
      </c>
      <c r="U15" s="58">
        <v>503297.7</v>
      </c>
      <c r="V15" s="67">
        <f t="shared" si="10"/>
        <v>866.79999999998836</v>
      </c>
      <c r="W15" s="58">
        <v>470.52</v>
      </c>
      <c r="X15" s="65">
        <f t="shared" si="11"/>
        <v>529.99999999997272</v>
      </c>
      <c r="Y15" s="58">
        <v>3.4819</v>
      </c>
      <c r="Z15" s="65">
        <f t="shared" si="12"/>
        <v>4000.0000000000036</v>
      </c>
      <c r="AA15" s="58">
        <v>473.05</v>
      </c>
      <c r="AB15" s="65">
        <f t="shared" si="13"/>
        <v>370.00000000000455</v>
      </c>
      <c r="AC15" s="58">
        <v>456.42</v>
      </c>
      <c r="AD15" s="65">
        <f t="shared" si="14"/>
        <v>730.00000000001819</v>
      </c>
      <c r="AE15" s="58">
        <v>658.22</v>
      </c>
      <c r="AF15" s="65">
        <f t="shared" si="15"/>
        <v>830.00000000004093</v>
      </c>
      <c r="AG15" s="58">
        <v>13100</v>
      </c>
      <c r="AH15" s="67">
        <f t="shared" si="16"/>
        <v>58</v>
      </c>
      <c r="AI15" s="58">
        <v>771.11</v>
      </c>
      <c r="AJ15" s="65">
        <f t="shared" si="17"/>
        <v>1070.00000000005</v>
      </c>
      <c r="AK15" s="58">
        <v>257.04000000000002</v>
      </c>
      <c r="AL15" s="65">
        <f t="shared" si="18"/>
        <v>420.00000000001592</v>
      </c>
      <c r="AM15" s="58">
        <v>241.92</v>
      </c>
      <c r="AN15" s="65">
        <f t="shared" si="19"/>
        <v>500</v>
      </c>
      <c r="AO15" s="58">
        <v>232.53</v>
      </c>
      <c r="AP15" s="65">
        <f t="shared" si="20"/>
        <v>210.00000000000796</v>
      </c>
      <c r="AQ15" s="58">
        <v>289.89</v>
      </c>
      <c r="AR15" s="65">
        <f t="shared" si="21"/>
        <v>209.99999999997954</v>
      </c>
      <c r="AS15" s="58">
        <v>416.59</v>
      </c>
      <c r="AT15" s="65">
        <f t="shared" si="22"/>
        <v>389.99999999998636</v>
      </c>
      <c r="AU15" s="58">
        <v>321.81</v>
      </c>
      <c r="AV15" s="65">
        <f t="shared" si="23"/>
        <v>290.00000000002046</v>
      </c>
      <c r="AW15" s="58">
        <v>354.43</v>
      </c>
      <c r="AX15" s="65">
        <f t="shared" si="24"/>
        <v>240.00000000000909</v>
      </c>
      <c r="AY15" s="58">
        <v>388.48</v>
      </c>
      <c r="AZ15" s="65">
        <f t="shared" si="25"/>
        <v>330.00000000004093</v>
      </c>
      <c r="BA15" s="58">
        <v>409.51</v>
      </c>
      <c r="BB15" s="65">
        <f t="shared" si="26"/>
        <v>180.00000000000682</v>
      </c>
      <c r="BC15" s="58">
        <v>262.52999999999997</v>
      </c>
      <c r="BD15" s="65">
        <f t="shared" si="27"/>
        <v>289.99999999996362</v>
      </c>
      <c r="BE15" s="59">
        <v>48051</v>
      </c>
      <c r="BF15" s="67">
        <f t="shared" si="28"/>
        <v>46</v>
      </c>
      <c r="BG15" s="60">
        <v>243.78</v>
      </c>
      <c r="BH15" s="65">
        <f t="shared" si="29"/>
        <v>80.000000000012506</v>
      </c>
      <c r="BI15" s="60">
        <v>299.68</v>
      </c>
      <c r="BJ15" s="65">
        <f t="shared" si="30"/>
        <v>40.000000000020464</v>
      </c>
      <c r="BK15" s="60">
        <v>246.46</v>
      </c>
      <c r="BL15" s="65">
        <f t="shared" si="31"/>
        <v>60.000000000002274</v>
      </c>
      <c r="BM15" s="60">
        <v>233.54</v>
      </c>
      <c r="BN15" s="65">
        <f t="shared" si="32"/>
        <v>60.000000000002274</v>
      </c>
      <c r="BO15" s="60">
        <v>299.43</v>
      </c>
      <c r="BP15" s="65">
        <f t="shared" si="33"/>
        <v>90.000000000031832</v>
      </c>
      <c r="BQ15" s="60">
        <v>52448</v>
      </c>
      <c r="BR15" s="65">
        <f t="shared" si="34"/>
        <v>43</v>
      </c>
      <c r="BS15" s="60">
        <v>210.46</v>
      </c>
      <c r="BT15" s="65">
        <f t="shared" si="35"/>
        <v>90.000000000003411</v>
      </c>
      <c r="BU15" s="60">
        <v>49323</v>
      </c>
      <c r="BV15" s="65">
        <f t="shared" si="36"/>
        <v>62</v>
      </c>
      <c r="BW15" s="60">
        <v>238.86</v>
      </c>
      <c r="BX15" s="65">
        <f t="shared" si="37"/>
        <v>50.000000000011369</v>
      </c>
      <c r="BY15" s="60">
        <v>69121</v>
      </c>
      <c r="BZ15" s="67">
        <f t="shared" si="38"/>
        <v>51</v>
      </c>
      <c r="CA15" s="60">
        <v>43065.599999999999</v>
      </c>
      <c r="CB15" s="67">
        <f t="shared" si="39"/>
        <v>38.19999999999709</v>
      </c>
      <c r="CC15" s="60">
        <v>14311.6</v>
      </c>
      <c r="CD15" s="67">
        <f t="shared" si="40"/>
        <v>23.100000000000364</v>
      </c>
      <c r="CE15" s="60">
        <v>7587.8</v>
      </c>
      <c r="CF15" s="67">
        <f t="shared" si="41"/>
        <v>1.3000000000001819</v>
      </c>
      <c r="CG15" s="60">
        <v>69703</v>
      </c>
      <c r="CH15" s="67">
        <f t="shared" si="42"/>
        <v>64.899999999994179</v>
      </c>
      <c r="CI15" s="60">
        <v>1014719</v>
      </c>
      <c r="CJ15" s="67">
        <f t="shared" si="43"/>
        <v>431</v>
      </c>
      <c r="CK15" s="60">
        <v>910.9</v>
      </c>
      <c r="CL15" s="64">
        <f t="shared" si="44"/>
        <v>659.99999999996817</v>
      </c>
      <c r="CM15" s="65">
        <f t="shared" si="45"/>
        <v>74</v>
      </c>
      <c r="CN15" s="62">
        <v>23</v>
      </c>
      <c r="CO15" s="62">
        <v>53</v>
      </c>
      <c r="CP15" s="68">
        <v>22038</v>
      </c>
      <c r="CQ15" s="67">
        <f t="shared" si="46"/>
        <v>59</v>
      </c>
      <c r="CR15" s="68">
        <v>19231</v>
      </c>
      <c r="CS15" s="67">
        <f t="shared" si="47"/>
        <v>15</v>
      </c>
      <c r="CT15" s="75">
        <v>8861</v>
      </c>
      <c r="CU15" s="67">
        <f t="shared" si="48"/>
        <v>20</v>
      </c>
      <c r="CV15" s="68">
        <v>21936</v>
      </c>
      <c r="CW15" s="67">
        <f t="shared" si="49"/>
        <v>14</v>
      </c>
      <c r="CX15" s="58">
        <v>1842.3</v>
      </c>
      <c r="CY15" s="67">
        <f t="shared" si="50"/>
        <v>12.099999999999909</v>
      </c>
    </row>
    <row r="16" spans="1:103" ht="25.5" customHeight="1" thickBot="1" x14ac:dyDescent="0.45">
      <c r="A16" s="63">
        <v>44605</v>
      </c>
      <c r="B16" s="44"/>
      <c r="C16" s="58">
        <v>2.8832</v>
      </c>
      <c r="D16" s="64">
        <f t="shared" si="1"/>
        <v>2499.9999999999468</v>
      </c>
      <c r="E16" s="58">
        <v>3.9662999999999999</v>
      </c>
      <c r="F16" s="64">
        <f t="shared" si="2"/>
        <v>3299.9999999998586</v>
      </c>
      <c r="G16" s="58">
        <v>3.9479000000000002</v>
      </c>
      <c r="H16" s="64">
        <f t="shared" si="3"/>
        <v>3200.0000000000919</v>
      </c>
      <c r="I16" s="58">
        <v>1.9728000000000001</v>
      </c>
      <c r="J16" s="64">
        <f>IF((I16-I15&lt;0), "0",(I16-I15)*1000000)</f>
        <v>1400.0000000000678</v>
      </c>
      <c r="K16" s="58">
        <v>3.1179000000000001</v>
      </c>
      <c r="L16" s="64">
        <f t="shared" si="5"/>
        <v>1900.0000000000127</v>
      </c>
      <c r="M16" s="58">
        <v>1.7371000000000001</v>
      </c>
      <c r="N16" s="64">
        <f t="shared" si="6"/>
        <v>1400.0000000000678</v>
      </c>
      <c r="O16" s="58">
        <v>17279</v>
      </c>
      <c r="P16" s="67">
        <f t="shared" si="7"/>
        <v>14</v>
      </c>
      <c r="Q16" s="58">
        <v>1983</v>
      </c>
      <c r="R16" s="67">
        <f t="shared" si="8"/>
        <v>2</v>
      </c>
      <c r="S16" s="58">
        <v>1218.3</v>
      </c>
      <c r="T16" s="67">
        <f t="shared" si="9"/>
        <v>0.70000000000004547</v>
      </c>
      <c r="U16" s="58">
        <v>503504.4</v>
      </c>
      <c r="V16" s="67">
        <f t="shared" si="10"/>
        <v>206.70000000001164</v>
      </c>
      <c r="W16" s="58">
        <v>470.77</v>
      </c>
      <c r="X16" s="65">
        <f t="shared" si="11"/>
        <v>250</v>
      </c>
      <c r="Y16" s="58">
        <v>3.4839000000000002</v>
      </c>
      <c r="Z16" s="65">
        <f t="shared" si="12"/>
        <v>2000.0000000002237</v>
      </c>
      <c r="AA16" s="58">
        <v>473.3</v>
      </c>
      <c r="AB16" s="65">
        <f t="shared" si="13"/>
        <v>250</v>
      </c>
      <c r="AC16" s="58">
        <v>456.74</v>
      </c>
      <c r="AD16" s="65">
        <f t="shared" si="14"/>
        <v>319.99999999999318</v>
      </c>
      <c r="AE16" s="58">
        <v>658.59</v>
      </c>
      <c r="AF16" s="65">
        <f t="shared" si="15"/>
        <v>370.00000000000455</v>
      </c>
      <c r="AG16" s="58">
        <v>13123</v>
      </c>
      <c r="AH16" s="67">
        <f t="shared" si="16"/>
        <v>23</v>
      </c>
      <c r="AI16" s="58">
        <v>771.44</v>
      </c>
      <c r="AJ16" s="65">
        <f t="shared" si="17"/>
        <v>330.00000000004093</v>
      </c>
      <c r="AK16" s="58">
        <v>257.18</v>
      </c>
      <c r="AL16" s="65">
        <f t="shared" si="18"/>
        <v>139.99999999998636</v>
      </c>
      <c r="AM16" s="58">
        <v>242.01</v>
      </c>
      <c r="AN16" s="65">
        <f t="shared" si="19"/>
        <v>90.000000000003411</v>
      </c>
      <c r="AO16" s="58">
        <v>232.6</v>
      </c>
      <c r="AP16" s="65">
        <f t="shared" si="20"/>
        <v>69.999999999993179</v>
      </c>
      <c r="AQ16" s="58">
        <v>290</v>
      </c>
      <c r="AR16" s="65">
        <f t="shared" si="21"/>
        <v>110.00000000001364</v>
      </c>
      <c r="AS16" s="58">
        <v>416.66</v>
      </c>
      <c r="AT16" s="65">
        <f t="shared" si="22"/>
        <v>70.000000000050022</v>
      </c>
      <c r="AU16" s="58">
        <v>321.91000000000003</v>
      </c>
      <c r="AV16" s="65">
        <f t="shared" si="23"/>
        <v>100.00000000002274</v>
      </c>
      <c r="AW16" s="58">
        <v>354.52</v>
      </c>
      <c r="AX16" s="65">
        <f t="shared" si="24"/>
        <v>89.999999999974989</v>
      </c>
      <c r="AY16" s="58">
        <v>388.66</v>
      </c>
      <c r="AZ16" s="65">
        <f t="shared" si="25"/>
        <v>180.00000000000682</v>
      </c>
      <c r="BA16" s="58">
        <v>409.55</v>
      </c>
      <c r="BB16" s="65">
        <f t="shared" si="26"/>
        <v>40.000000000020464</v>
      </c>
      <c r="BC16" s="58">
        <v>262.58999999999997</v>
      </c>
      <c r="BD16" s="65">
        <f t="shared" si="27"/>
        <v>60.000000000002274</v>
      </c>
      <c r="BE16" s="59">
        <v>48080</v>
      </c>
      <c r="BF16" s="67">
        <f t="shared" si="28"/>
        <v>29</v>
      </c>
      <c r="BG16" s="60">
        <v>243.81</v>
      </c>
      <c r="BH16" s="65">
        <f t="shared" si="29"/>
        <v>30.000000000001137</v>
      </c>
      <c r="BI16" s="60">
        <v>299.7</v>
      </c>
      <c r="BJ16" s="65">
        <f t="shared" si="30"/>
        <v>19.99999999998181</v>
      </c>
      <c r="BK16" s="60">
        <v>246.49</v>
      </c>
      <c r="BL16" s="65">
        <f t="shared" si="31"/>
        <v>30.000000000001137</v>
      </c>
      <c r="BM16" s="60">
        <v>233.58</v>
      </c>
      <c r="BN16" s="65">
        <f t="shared" si="32"/>
        <v>40.000000000020464</v>
      </c>
      <c r="BO16" s="60">
        <v>299.45999999999998</v>
      </c>
      <c r="BP16" s="65">
        <f t="shared" si="33"/>
        <v>29.999999999972715</v>
      </c>
      <c r="BQ16" s="60">
        <v>52469</v>
      </c>
      <c r="BR16" s="65">
        <f t="shared" si="34"/>
        <v>21</v>
      </c>
      <c r="BS16" s="60">
        <v>210.49</v>
      </c>
      <c r="BT16" s="65">
        <f t="shared" si="35"/>
        <v>30.000000000001137</v>
      </c>
      <c r="BU16" s="60">
        <v>49347</v>
      </c>
      <c r="BV16" s="65">
        <f t="shared" si="36"/>
        <v>24</v>
      </c>
      <c r="BW16" s="60">
        <v>238.88</v>
      </c>
      <c r="BX16" s="65">
        <f t="shared" si="37"/>
        <v>19.99999999998181</v>
      </c>
      <c r="BY16" s="60">
        <v>69136</v>
      </c>
      <c r="BZ16" s="67">
        <f t="shared" si="38"/>
        <v>15</v>
      </c>
      <c r="CA16" s="60">
        <v>43089.4</v>
      </c>
      <c r="CB16" s="67">
        <f t="shared" si="39"/>
        <v>23.80000000000291</v>
      </c>
      <c r="CC16" s="60">
        <v>14318.3</v>
      </c>
      <c r="CD16" s="67">
        <f t="shared" si="40"/>
        <v>6.6999999999989086</v>
      </c>
      <c r="CE16" s="60">
        <v>7595.3</v>
      </c>
      <c r="CF16" s="67">
        <f t="shared" si="41"/>
        <v>7.5</v>
      </c>
      <c r="CG16" s="60">
        <v>69731.7</v>
      </c>
      <c r="CH16" s="67">
        <f t="shared" si="42"/>
        <v>28.69999999999709</v>
      </c>
      <c r="CI16" s="60">
        <v>1014934</v>
      </c>
      <c r="CJ16" s="67">
        <f t="shared" si="43"/>
        <v>215</v>
      </c>
      <c r="CK16" s="60">
        <v>911.72</v>
      </c>
      <c r="CL16" s="64">
        <f t="shared" si="44"/>
        <v>820.00000000005002</v>
      </c>
      <c r="CM16" s="65">
        <f t="shared" si="45"/>
        <v>87</v>
      </c>
      <c r="CN16" s="62">
        <v>22</v>
      </c>
      <c r="CO16" s="62">
        <v>52</v>
      </c>
      <c r="CP16" s="68">
        <v>22109</v>
      </c>
      <c r="CQ16" s="67">
        <f t="shared" si="46"/>
        <v>71</v>
      </c>
      <c r="CR16" s="68">
        <v>19247</v>
      </c>
      <c r="CS16" s="67">
        <f t="shared" si="47"/>
        <v>16</v>
      </c>
      <c r="CT16" s="75">
        <v>8868</v>
      </c>
      <c r="CU16" s="67">
        <f t="shared" si="48"/>
        <v>7</v>
      </c>
      <c r="CV16" s="68">
        <v>21971</v>
      </c>
      <c r="CW16" s="67">
        <f t="shared" si="49"/>
        <v>35</v>
      </c>
      <c r="CX16" s="58">
        <v>1844.2</v>
      </c>
      <c r="CY16" s="67">
        <f t="shared" si="50"/>
        <v>1.9000000000000909</v>
      </c>
    </row>
    <row r="17" spans="1:103" ht="25.5" customHeight="1" thickBot="1" x14ac:dyDescent="0.45">
      <c r="A17" s="63">
        <v>44606</v>
      </c>
      <c r="B17" s="44"/>
      <c r="C17" s="58">
        <v>2.8860000000000001</v>
      </c>
      <c r="D17" s="64">
        <f t="shared" si="1"/>
        <v>2800.0000000001355</v>
      </c>
      <c r="E17" s="58">
        <v>3.9695999999999998</v>
      </c>
      <c r="F17" s="64">
        <f t="shared" si="2"/>
        <v>3299.9999999998586</v>
      </c>
      <c r="G17" s="58">
        <v>3.9506999999999999</v>
      </c>
      <c r="H17" s="64">
        <f t="shared" si="3"/>
        <v>2799.9999999996917</v>
      </c>
      <c r="I17" s="58">
        <v>1.9744999999999999</v>
      </c>
      <c r="J17" s="64">
        <f t="shared" si="4"/>
        <v>1699.9999999998129</v>
      </c>
      <c r="K17" s="58">
        <v>3.1198999999999999</v>
      </c>
      <c r="L17" s="64">
        <f t="shared" si="5"/>
        <v>1999.9999999997797</v>
      </c>
      <c r="M17" s="58">
        <v>1.7388999999999999</v>
      </c>
      <c r="N17" s="64">
        <f t="shared" si="6"/>
        <v>1799.9999999998017</v>
      </c>
      <c r="O17" s="58">
        <v>17317</v>
      </c>
      <c r="P17" s="67">
        <f t="shared" si="7"/>
        <v>38</v>
      </c>
      <c r="Q17" s="58">
        <v>1989</v>
      </c>
      <c r="R17" s="67">
        <f t="shared" si="8"/>
        <v>6</v>
      </c>
      <c r="S17" s="58">
        <v>1219.4000000000001</v>
      </c>
      <c r="T17" s="67">
        <f t="shared" si="9"/>
        <v>1.1000000000001364</v>
      </c>
      <c r="U17" s="58">
        <v>503939.8</v>
      </c>
      <c r="V17" s="67">
        <f t="shared" si="10"/>
        <v>435.39999999996508</v>
      </c>
      <c r="W17" s="58">
        <v>471.19</v>
      </c>
      <c r="X17" s="65">
        <f t="shared" si="11"/>
        <v>420.00000000001592</v>
      </c>
      <c r="Y17" s="58">
        <v>3.4868999999999999</v>
      </c>
      <c r="Z17" s="65">
        <f t="shared" si="12"/>
        <v>2999.9999999996694</v>
      </c>
      <c r="AA17" s="58">
        <v>473.75</v>
      </c>
      <c r="AB17" s="65">
        <f t="shared" si="13"/>
        <v>449.99999999998863</v>
      </c>
      <c r="AC17" s="58">
        <v>457.36</v>
      </c>
      <c r="AD17" s="65">
        <f t="shared" si="14"/>
        <v>620.00000000000455</v>
      </c>
      <c r="AE17" s="58">
        <v>659.18</v>
      </c>
      <c r="AF17" s="65">
        <f t="shared" si="15"/>
        <v>589.99999999991815</v>
      </c>
      <c r="AG17" s="58">
        <v>13168</v>
      </c>
      <c r="AH17" s="67">
        <f t="shared" si="16"/>
        <v>45</v>
      </c>
      <c r="AI17" s="58">
        <v>772.19</v>
      </c>
      <c r="AJ17" s="65">
        <f t="shared" si="17"/>
        <v>750</v>
      </c>
      <c r="AK17" s="58">
        <v>257.51</v>
      </c>
      <c r="AL17" s="65">
        <f t="shared" si="18"/>
        <v>329.99999999998408</v>
      </c>
      <c r="AM17" s="58">
        <v>242.19</v>
      </c>
      <c r="AN17" s="65">
        <f t="shared" si="19"/>
        <v>180.00000000000682</v>
      </c>
      <c r="AO17" s="58">
        <v>232.78</v>
      </c>
      <c r="AP17" s="65">
        <f t="shared" si="20"/>
        <v>180.00000000000682</v>
      </c>
      <c r="AQ17" s="58">
        <v>290.17</v>
      </c>
      <c r="AR17" s="65">
        <f t="shared" si="21"/>
        <v>170.00000000001592</v>
      </c>
      <c r="AS17" s="58">
        <v>416.84</v>
      </c>
      <c r="AT17" s="65">
        <f t="shared" si="22"/>
        <v>179.99999999994998</v>
      </c>
      <c r="AU17" s="58">
        <v>322.17</v>
      </c>
      <c r="AV17" s="65">
        <f t="shared" si="23"/>
        <v>259.99999999999091</v>
      </c>
      <c r="AW17" s="58">
        <v>354.68</v>
      </c>
      <c r="AX17" s="65">
        <f t="shared" si="24"/>
        <v>160.00000000002501</v>
      </c>
      <c r="AY17" s="58">
        <v>388.95</v>
      </c>
      <c r="AZ17" s="65">
        <f t="shared" si="25"/>
        <v>289.99999999996362</v>
      </c>
      <c r="BA17" s="58">
        <v>409.64</v>
      </c>
      <c r="BB17" s="65">
        <f t="shared" si="26"/>
        <v>89.999999999974989</v>
      </c>
      <c r="BC17" s="58">
        <v>262.63</v>
      </c>
      <c r="BD17" s="65">
        <f t="shared" si="27"/>
        <v>40.000000000020464</v>
      </c>
      <c r="BE17" s="59">
        <v>48121</v>
      </c>
      <c r="BF17" s="67">
        <f t="shared" si="28"/>
        <v>41</v>
      </c>
      <c r="BG17" s="60">
        <v>243.86</v>
      </c>
      <c r="BH17" s="65">
        <f t="shared" si="29"/>
        <v>50.000000000011369</v>
      </c>
      <c r="BI17" s="60">
        <v>299.74</v>
      </c>
      <c r="BJ17" s="65">
        <v>246.54</v>
      </c>
      <c r="BK17" s="60">
        <v>246.54</v>
      </c>
      <c r="BL17" s="65">
        <f t="shared" si="31"/>
        <v>49.999999999982947</v>
      </c>
      <c r="BM17" s="60">
        <v>233.63</v>
      </c>
      <c r="BN17" s="65">
        <f t="shared" si="32"/>
        <v>49.999999999982947</v>
      </c>
      <c r="BO17" s="60">
        <v>299.54000000000002</v>
      </c>
      <c r="BP17" s="65">
        <f t="shared" si="33"/>
        <v>80.000000000040927</v>
      </c>
      <c r="BQ17" s="60">
        <v>52510</v>
      </c>
      <c r="BR17" s="65">
        <f t="shared" si="34"/>
        <v>41</v>
      </c>
      <c r="BS17" s="60">
        <v>210.56</v>
      </c>
      <c r="BT17" s="65">
        <f t="shared" si="35"/>
        <v>69.999999999993179</v>
      </c>
      <c r="BU17" s="60">
        <v>49393</v>
      </c>
      <c r="BV17" s="65">
        <f t="shared" si="36"/>
        <v>46</v>
      </c>
      <c r="BW17" s="60">
        <v>238.92</v>
      </c>
      <c r="BX17" s="65">
        <f t="shared" si="37"/>
        <v>39.999999999992042</v>
      </c>
      <c r="BY17" s="60">
        <v>69179</v>
      </c>
      <c r="BZ17" s="67">
        <f t="shared" si="38"/>
        <v>43</v>
      </c>
      <c r="CA17" s="60">
        <v>43119.3</v>
      </c>
      <c r="CB17" s="67">
        <f t="shared" si="39"/>
        <v>29.900000000001455</v>
      </c>
      <c r="CC17" s="60">
        <v>14329.8</v>
      </c>
      <c r="CD17" s="67">
        <f t="shared" si="40"/>
        <v>11.5</v>
      </c>
      <c r="CE17" s="60">
        <v>7602.8</v>
      </c>
      <c r="CF17" s="67">
        <f t="shared" si="41"/>
        <v>7.5</v>
      </c>
      <c r="CG17" s="60">
        <v>69775.899999999994</v>
      </c>
      <c r="CH17" s="67">
        <f t="shared" si="42"/>
        <v>44.19999999999709</v>
      </c>
      <c r="CI17" s="60">
        <v>1015197</v>
      </c>
      <c r="CJ17" s="67">
        <f t="shared" si="43"/>
        <v>263</v>
      </c>
      <c r="CK17" s="60">
        <v>912.31</v>
      </c>
      <c r="CL17" s="64">
        <f t="shared" si="44"/>
        <v>589.99999999991815</v>
      </c>
      <c r="CM17" s="65">
        <f t="shared" si="45"/>
        <v>90</v>
      </c>
      <c r="CN17" s="62">
        <v>22</v>
      </c>
      <c r="CO17" s="62">
        <v>52</v>
      </c>
      <c r="CP17" s="68">
        <v>22175</v>
      </c>
      <c r="CQ17" s="67">
        <f t="shared" si="46"/>
        <v>66</v>
      </c>
      <c r="CR17" s="68">
        <v>19271</v>
      </c>
      <c r="CS17" s="67">
        <f t="shared" si="47"/>
        <v>24</v>
      </c>
      <c r="CT17" s="75">
        <v>8879</v>
      </c>
      <c r="CU17" s="67">
        <f t="shared" si="48"/>
        <v>11</v>
      </c>
      <c r="CV17" s="68">
        <v>21992</v>
      </c>
      <c r="CW17" s="67">
        <f t="shared" si="49"/>
        <v>21</v>
      </c>
      <c r="CX17" s="58">
        <v>1856</v>
      </c>
      <c r="CY17" s="67">
        <f t="shared" si="50"/>
        <v>11.799999999999955</v>
      </c>
    </row>
    <row r="18" spans="1:103" ht="25.5" customHeight="1" thickBot="1" x14ac:dyDescent="0.45">
      <c r="A18" s="63">
        <v>44607</v>
      </c>
      <c r="B18" s="44"/>
      <c r="C18" s="58">
        <v>2.8883999999999999</v>
      </c>
      <c r="D18" s="64">
        <f t="shared" si="1"/>
        <v>2399.9999999997358</v>
      </c>
      <c r="E18" s="58">
        <v>3.9729000000000001</v>
      </c>
      <c r="F18" s="64">
        <f t="shared" si="2"/>
        <v>3300.0000000003029</v>
      </c>
      <c r="G18" s="58">
        <v>3.9537</v>
      </c>
      <c r="H18" s="64">
        <f t="shared" si="3"/>
        <v>3000.0000000001137</v>
      </c>
      <c r="I18" s="58">
        <v>1.976</v>
      </c>
      <c r="J18" s="64">
        <f t="shared" si="4"/>
        <v>1500.0000000000568</v>
      </c>
      <c r="K18" s="58">
        <v>3.1217999999999999</v>
      </c>
      <c r="L18" s="64">
        <f t="shared" si="5"/>
        <v>1900.0000000000127</v>
      </c>
      <c r="M18" s="58">
        <v>1.7402</v>
      </c>
      <c r="N18" s="64">
        <f t="shared" si="6"/>
        <v>1300.0000000000789</v>
      </c>
      <c r="O18" s="58">
        <v>17349</v>
      </c>
      <c r="P18" s="67">
        <f t="shared" si="7"/>
        <v>32</v>
      </c>
      <c r="Q18" s="58">
        <v>1992</v>
      </c>
      <c r="R18" s="67">
        <f t="shared" si="8"/>
        <v>3</v>
      </c>
      <c r="S18" s="58">
        <v>1220.4000000000001</v>
      </c>
      <c r="T18" s="67">
        <f t="shared" si="9"/>
        <v>1</v>
      </c>
      <c r="U18" s="58">
        <v>504342.3</v>
      </c>
      <c r="V18" s="67">
        <f t="shared" si="10"/>
        <v>402.5</v>
      </c>
      <c r="W18" s="58">
        <v>471.52</v>
      </c>
      <c r="X18" s="65">
        <f t="shared" si="11"/>
        <v>329.99999999998408</v>
      </c>
      <c r="Y18" s="58">
        <v>3.4895999999999998</v>
      </c>
      <c r="Z18" s="65">
        <f t="shared" si="12"/>
        <v>2699.9999999999245</v>
      </c>
      <c r="AA18" s="58">
        <v>473.98</v>
      </c>
      <c r="AB18" s="65">
        <f t="shared" si="13"/>
        <v>230.00000000001819</v>
      </c>
      <c r="AC18" s="58">
        <v>457.77</v>
      </c>
      <c r="AD18" s="65">
        <f t="shared" si="14"/>
        <v>409.99999999996817</v>
      </c>
      <c r="AE18" s="58">
        <v>659.61</v>
      </c>
      <c r="AF18" s="65">
        <f t="shared" si="15"/>
        <v>430.00000000006366</v>
      </c>
      <c r="AG18" s="58">
        <v>13204</v>
      </c>
      <c r="AH18" s="67">
        <f t="shared" si="16"/>
        <v>36</v>
      </c>
      <c r="AI18" s="58">
        <v>772.74</v>
      </c>
      <c r="AJ18" s="65">
        <f t="shared" si="17"/>
        <v>549.99999999995453</v>
      </c>
      <c r="AK18" s="58">
        <v>257.73</v>
      </c>
      <c r="AL18" s="65">
        <f t="shared" si="18"/>
        <v>220.00000000002728</v>
      </c>
      <c r="AM18" s="58">
        <v>242.35</v>
      </c>
      <c r="AN18" s="65">
        <f t="shared" si="19"/>
        <v>159.99999999999659</v>
      </c>
      <c r="AO18" s="58">
        <v>232.94</v>
      </c>
      <c r="AP18" s="65">
        <f t="shared" si="20"/>
        <v>159.99999999999659</v>
      </c>
      <c r="AQ18" s="58">
        <v>290.3</v>
      </c>
      <c r="AR18" s="65">
        <f t="shared" si="21"/>
        <v>129.99999999999545</v>
      </c>
      <c r="AS18" s="58">
        <v>416.96</v>
      </c>
      <c r="AT18" s="65">
        <f t="shared" si="22"/>
        <v>120.00000000000455</v>
      </c>
      <c r="AU18" s="58">
        <v>322.36</v>
      </c>
      <c r="AV18" s="65">
        <f t="shared" si="23"/>
        <v>189.99999999999773</v>
      </c>
      <c r="AW18" s="58">
        <v>354.82</v>
      </c>
      <c r="AX18" s="65">
        <f t="shared" si="24"/>
        <v>139.99999999998636</v>
      </c>
      <c r="AY18" s="58">
        <v>389.16</v>
      </c>
      <c r="AZ18" s="65">
        <f t="shared" si="25"/>
        <v>210.00000000003638</v>
      </c>
      <c r="BA18" s="58">
        <v>409.73</v>
      </c>
      <c r="BB18" s="65">
        <f t="shared" si="26"/>
        <v>90.000000000031832</v>
      </c>
      <c r="BC18" s="58">
        <v>262.7</v>
      </c>
      <c r="BD18" s="65">
        <f t="shared" si="27"/>
        <v>69.999999999993179</v>
      </c>
      <c r="BE18" s="59">
        <v>48154</v>
      </c>
      <c r="BF18" s="67">
        <f t="shared" si="28"/>
        <v>33</v>
      </c>
      <c r="BG18" s="60">
        <v>243.89</v>
      </c>
      <c r="BH18" s="65">
        <f t="shared" si="29"/>
        <v>29.999999999972715</v>
      </c>
      <c r="BI18" s="60">
        <v>299.77</v>
      </c>
      <c r="BJ18" s="65">
        <f t="shared" si="30"/>
        <v>29.999999999972715</v>
      </c>
      <c r="BK18" s="60">
        <v>246.58</v>
      </c>
      <c r="BL18" s="65">
        <f t="shared" si="31"/>
        <v>40.000000000020464</v>
      </c>
      <c r="BM18" s="60">
        <v>233.67</v>
      </c>
      <c r="BN18" s="65">
        <f t="shared" si="32"/>
        <v>39.999999999992042</v>
      </c>
      <c r="BO18" s="60">
        <v>299.58999999999997</v>
      </c>
      <c r="BP18" s="65">
        <f t="shared" si="33"/>
        <v>49.999999999954525</v>
      </c>
      <c r="BQ18" s="60">
        <v>52536</v>
      </c>
      <c r="BR18" s="65">
        <f t="shared" si="34"/>
        <v>26</v>
      </c>
      <c r="BS18" s="60">
        <v>210.61</v>
      </c>
      <c r="BT18" s="65">
        <f t="shared" si="35"/>
        <v>50.000000000011369</v>
      </c>
      <c r="BU18" s="60">
        <v>49431</v>
      </c>
      <c r="BV18" s="65">
        <f t="shared" si="36"/>
        <v>38</v>
      </c>
      <c r="BW18" s="60">
        <v>238.96</v>
      </c>
      <c r="BX18" s="65">
        <f t="shared" si="37"/>
        <v>40.000000000020464</v>
      </c>
      <c r="BY18" s="60">
        <v>69209</v>
      </c>
      <c r="BZ18" s="67">
        <f t="shared" si="38"/>
        <v>30</v>
      </c>
      <c r="CA18" s="60">
        <v>43159.6</v>
      </c>
      <c r="CB18" s="67">
        <f t="shared" si="39"/>
        <v>40.299999999995634</v>
      </c>
      <c r="CC18" s="60">
        <v>14339.5</v>
      </c>
      <c r="CD18" s="67">
        <f t="shared" si="40"/>
        <v>9.7000000000007276</v>
      </c>
      <c r="CE18" s="60">
        <v>7605</v>
      </c>
      <c r="CF18" s="67">
        <f t="shared" si="41"/>
        <v>2.1999999999998181</v>
      </c>
      <c r="CG18" s="60">
        <v>69780.800000000003</v>
      </c>
      <c r="CH18" s="67">
        <f t="shared" si="42"/>
        <v>4.9000000000087311</v>
      </c>
      <c r="CI18" s="60">
        <v>1015476</v>
      </c>
      <c r="CJ18" s="67">
        <f t="shared" si="43"/>
        <v>279</v>
      </c>
      <c r="CK18" s="60">
        <v>913.02</v>
      </c>
      <c r="CL18" s="64">
        <f t="shared" si="44"/>
        <v>710.00000000003638</v>
      </c>
      <c r="CM18" s="65">
        <f t="shared" si="45"/>
        <v>79</v>
      </c>
      <c r="CN18" s="62">
        <v>22</v>
      </c>
      <c r="CO18" s="62">
        <v>52</v>
      </c>
      <c r="CP18" s="68">
        <v>22243</v>
      </c>
      <c r="CQ18" s="67">
        <f t="shared" si="46"/>
        <v>68</v>
      </c>
      <c r="CR18" s="68">
        <v>19282</v>
      </c>
      <c r="CS18" s="67">
        <f t="shared" si="47"/>
        <v>11</v>
      </c>
      <c r="CT18" s="75">
        <v>8888</v>
      </c>
      <c r="CU18" s="67">
        <f t="shared" si="48"/>
        <v>9</v>
      </c>
      <c r="CV18" s="68">
        <v>22013</v>
      </c>
      <c r="CW18" s="67">
        <f t="shared" si="49"/>
        <v>21</v>
      </c>
      <c r="CX18" s="58">
        <v>1861.6</v>
      </c>
      <c r="CY18" s="67">
        <f t="shared" si="50"/>
        <v>5.5999999999999091</v>
      </c>
    </row>
    <row r="19" spans="1:103" ht="25.5" customHeight="1" thickBot="1" x14ac:dyDescent="0.45">
      <c r="A19" s="63">
        <v>44608</v>
      </c>
      <c r="B19" s="44"/>
      <c r="C19" s="58">
        <v>2.8910999999999998</v>
      </c>
      <c r="D19" s="64">
        <f t="shared" si="1"/>
        <v>2699.9999999999245</v>
      </c>
      <c r="E19" s="58">
        <v>3.9762</v>
      </c>
      <c r="F19" s="64">
        <f t="shared" si="2"/>
        <v>3299.9999999998586</v>
      </c>
      <c r="G19" s="58">
        <v>3.9565000000000001</v>
      </c>
      <c r="H19" s="64">
        <f t="shared" si="3"/>
        <v>2800.0000000001355</v>
      </c>
      <c r="I19" s="58">
        <v>1.9776</v>
      </c>
      <c r="J19" s="64">
        <f t="shared" si="4"/>
        <v>1600.0000000000459</v>
      </c>
      <c r="K19" s="58">
        <v>3.1238000000000001</v>
      </c>
      <c r="L19" s="64">
        <f t="shared" si="5"/>
        <v>2000.0000000002237</v>
      </c>
      <c r="M19" s="58">
        <v>1.7417</v>
      </c>
      <c r="N19" s="64">
        <f t="shared" si="6"/>
        <v>1500.0000000000568</v>
      </c>
      <c r="O19" s="58">
        <v>17383</v>
      </c>
      <c r="P19" s="67">
        <f t="shared" si="7"/>
        <v>34</v>
      </c>
      <c r="Q19" s="58">
        <v>1997</v>
      </c>
      <c r="R19" s="67">
        <f t="shared" si="8"/>
        <v>5</v>
      </c>
      <c r="S19" s="58">
        <v>1221.5</v>
      </c>
      <c r="T19" s="67">
        <f t="shared" si="9"/>
        <v>1.0999999999999091</v>
      </c>
      <c r="U19" s="58">
        <v>504824.7</v>
      </c>
      <c r="V19" s="67">
        <f t="shared" si="10"/>
        <v>482.40000000002328</v>
      </c>
      <c r="W19" s="58">
        <v>471.85</v>
      </c>
      <c r="X19" s="65">
        <f t="shared" si="11"/>
        <v>330.00000000004093</v>
      </c>
      <c r="Y19" s="58">
        <v>3.4925999999999999</v>
      </c>
      <c r="Z19" s="65">
        <f t="shared" si="12"/>
        <v>3000.0000000001137</v>
      </c>
      <c r="AA19" s="58">
        <v>474.4</v>
      </c>
      <c r="AB19" s="65">
        <f t="shared" si="13"/>
        <v>419.99999999995907</v>
      </c>
      <c r="AC19" s="58">
        <v>458.14</v>
      </c>
      <c r="AD19" s="65">
        <f t="shared" si="14"/>
        <v>370.00000000000455</v>
      </c>
      <c r="AE19" s="58">
        <v>660.21</v>
      </c>
      <c r="AF19" s="65">
        <f t="shared" si="15"/>
        <v>600.00000000002274</v>
      </c>
      <c r="AG19" s="58">
        <v>13249</v>
      </c>
      <c r="AH19" s="67">
        <f t="shared" si="16"/>
        <v>45</v>
      </c>
      <c r="AI19" s="58">
        <v>773.41</v>
      </c>
      <c r="AJ19" s="65">
        <f t="shared" si="17"/>
        <v>669.99999999995907</v>
      </c>
      <c r="AK19" s="58">
        <v>257.99</v>
      </c>
      <c r="AL19" s="65">
        <f t="shared" si="18"/>
        <v>259.99999999999091</v>
      </c>
      <c r="AM19" s="58">
        <v>242.59</v>
      </c>
      <c r="AN19" s="65">
        <f t="shared" si="19"/>
        <v>240.00000000000909</v>
      </c>
      <c r="AO19" s="58">
        <v>233.09</v>
      </c>
      <c r="AP19" s="65">
        <f t="shared" si="20"/>
        <v>150.00000000000568</v>
      </c>
      <c r="AQ19" s="58">
        <v>290.49</v>
      </c>
      <c r="AR19" s="65">
        <f t="shared" si="21"/>
        <v>189.99999999999773</v>
      </c>
      <c r="AS19" s="58">
        <v>417.11</v>
      </c>
      <c r="AT19" s="65">
        <f t="shared" si="22"/>
        <v>150.00000000003411</v>
      </c>
      <c r="AU19" s="58">
        <v>322.52999999999997</v>
      </c>
      <c r="AV19" s="65">
        <f t="shared" si="23"/>
        <v>169.99999999995907</v>
      </c>
      <c r="AW19" s="58">
        <v>355.02</v>
      </c>
      <c r="AX19" s="65">
        <f t="shared" si="24"/>
        <v>199.99999999998863</v>
      </c>
      <c r="AY19" s="58">
        <v>389.42</v>
      </c>
      <c r="AZ19" s="65">
        <f t="shared" si="25"/>
        <v>259.99999999999091</v>
      </c>
      <c r="BA19" s="58">
        <v>409.8</v>
      </c>
      <c r="BB19" s="65">
        <f t="shared" si="26"/>
        <v>69.999999999993179</v>
      </c>
      <c r="BC19" s="58">
        <v>262.77999999999997</v>
      </c>
      <c r="BD19" s="65">
        <f t="shared" si="27"/>
        <v>79.999999999984084</v>
      </c>
      <c r="BE19" s="59">
        <v>48198</v>
      </c>
      <c r="BF19" s="67">
        <f t="shared" si="28"/>
        <v>44</v>
      </c>
      <c r="BG19" s="60">
        <v>243.93</v>
      </c>
      <c r="BH19" s="65">
        <f t="shared" si="29"/>
        <v>40.000000000020464</v>
      </c>
      <c r="BI19" s="60">
        <v>299.8</v>
      </c>
      <c r="BJ19" s="65">
        <f t="shared" si="30"/>
        <v>30.000000000029559</v>
      </c>
      <c r="BK19" s="60">
        <v>246.62</v>
      </c>
      <c r="BL19" s="65">
        <f t="shared" si="31"/>
        <v>39.999999999992042</v>
      </c>
      <c r="BM19" s="60">
        <v>233.73</v>
      </c>
      <c r="BN19" s="65">
        <f t="shared" si="32"/>
        <v>60.000000000002274</v>
      </c>
      <c r="BO19" s="60">
        <v>299.64</v>
      </c>
      <c r="BP19" s="65">
        <f t="shared" si="33"/>
        <v>50.000000000011369</v>
      </c>
      <c r="BQ19" s="60">
        <v>52572</v>
      </c>
      <c r="BR19" s="65">
        <f t="shared" si="34"/>
        <v>36</v>
      </c>
      <c r="BS19" s="60">
        <v>210.67</v>
      </c>
      <c r="BT19" s="65">
        <f t="shared" si="35"/>
        <v>59.999999999973852</v>
      </c>
      <c r="BU19" s="60">
        <v>49473</v>
      </c>
      <c r="BV19" s="65">
        <f t="shared" si="36"/>
        <v>42</v>
      </c>
      <c r="BW19" s="60">
        <v>238.99</v>
      </c>
      <c r="BX19" s="65">
        <f t="shared" si="37"/>
        <v>30.000000000001137</v>
      </c>
      <c r="BY19" s="60">
        <v>69248</v>
      </c>
      <c r="BZ19" s="67">
        <f t="shared" si="38"/>
        <v>39</v>
      </c>
      <c r="CA19" s="60">
        <v>43213.599999999999</v>
      </c>
      <c r="CB19" s="67">
        <f t="shared" si="39"/>
        <v>54</v>
      </c>
      <c r="CC19" s="60">
        <v>14351.4</v>
      </c>
      <c r="CD19" s="67">
        <f t="shared" si="40"/>
        <v>11.899999999999636</v>
      </c>
      <c r="CE19" s="60">
        <v>7611</v>
      </c>
      <c r="CF19" s="67">
        <f t="shared" si="41"/>
        <v>6</v>
      </c>
      <c r="CG19" s="60">
        <v>69811</v>
      </c>
      <c r="CH19" s="67">
        <f t="shared" si="42"/>
        <v>30.19999999999709</v>
      </c>
      <c r="CI19" s="60">
        <v>1015773</v>
      </c>
      <c r="CJ19" s="67">
        <f t="shared" si="43"/>
        <v>297</v>
      </c>
      <c r="CK19" s="60">
        <v>913.63</v>
      </c>
      <c r="CL19" s="64">
        <f t="shared" si="44"/>
        <v>610.00000000001364</v>
      </c>
      <c r="CM19" s="65">
        <f t="shared" si="45"/>
        <v>74</v>
      </c>
      <c r="CN19" s="62">
        <v>22</v>
      </c>
      <c r="CO19" s="62">
        <v>52</v>
      </c>
      <c r="CP19" s="68">
        <v>22305</v>
      </c>
      <c r="CQ19" s="67">
        <f t="shared" si="46"/>
        <v>62</v>
      </c>
      <c r="CR19" s="68">
        <v>19294</v>
      </c>
      <c r="CS19" s="67">
        <f t="shared" si="47"/>
        <v>12</v>
      </c>
      <c r="CT19" s="75">
        <v>8897</v>
      </c>
      <c r="CU19" s="67">
        <f t="shared" si="48"/>
        <v>9</v>
      </c>
      <c r="CV19" s="68">
        <v>22034</v>
      </c>
      <c r="CW19" s="67">
        <f t="shared" si="49"/>
        <v>21</v>
      </c>
      <c r="CX19" s="58">
        <v>1872</v>
      </c>
      <c r="CY19" s="67">
        <f t="shared" si="50"/>
        <v>10.400000000000091</v>
      </c>
    </row>
    <row r="20" spans="1:103" ht="25.5" customHeight="1" thickBot="1" x14ac:dyDescent="0.45">
      <c r="A20" s="63">
        <v>44609</v>
      </c>
      <c r="B20" s="44"/>
      <c r="C20" s="58">
        <v>2.8936000000000002</v>
      </c>
      <c r="D20" s="64">
        <f t="shared" si="1"/>
        <v>2500.0000000003906</v>
      </c>
      <c r="E20" s="58">
        <v>3.9792999999999998</v>
      </c>
      <c r="F20" s="64">
        <f t="shared" si="2"/>
        <v>3099.9999999998809</v>
      </c>
      <c r="G20" s="58">
        <v>3.9594</v>
      </c>
      <c r="H20" s="64">
        <f t="shared" si="3"/>
        <v>2899.9999999999027</v>
      </c>
      <c r="I20" s="58">
        <v>1.9791000000000001</v>
      </c>
      <c r="J20" s="64">
        <f t="shared" si="4"/>
        <v>1500.0000000000568</v>
      </c>
      <c r="K20" s="58">
        <v>3.1257999999999999</v>
      </c>
      <c r="L20" s="64">
        <f t="shared" si="5"/>
        <v>1999.9999999997797</v>
      </c>
      <c r="M20" s="58">
        <v>1.7430000000000001</v>
      </c>
      <c r="N20" s="64">
        <f t="shared" si="6"/>
        <v>1300.0000000000789</v>
      </c>
      <c r="O20" s="58">
        <v>17421</v>
      </c>
      <c r="P20" s="67">
        <f t="shared" si="7"/>
        <v>38</v>
      </c>
      <c r="Q20" s="58">
        <v>2002</v>
      </c>
      <c r="R20" s="67">
        <f t="shared" si="8"/>
        <v>5</v>
      </c>
      <c r="S20" s="58">
        <v>1223.0999999999999</v>
      </c>
      <c r="T20" s="67">
        <f t="shared" si="9"/>
        <v>1.5999999999999091</v>
      </c>
      <c r="U20" s="58">
        <v>505317.3</v>
      </c>
      <c r="V20" s="67">
        <f t="shared" si="10"/>
        <v>492.59999999997672</v>
      </c>
      <c r="W20" s="58">
        <v>472.31</v>
      </c>
      <c r="X20" s="65">
        <f t="shared" si="11"/>
        <v>459.99999999997954</v>
      </c>
      <c r="Y20" s="58">
        <v>3.4963000000000002</v>
      </c>
      <c r="Z20" s="65">
        <f t="shared" si="12"/>
        <v>3700.0000000002588</v>
      </c>
      <c r="AA20" s="58">
        <v>474.9</v>
      </c>
      <c r="AB20" s="65">
        <f t="shared" si="13"/>
        <v>500</v>
      </c>
      <c r="AC20" s="58">
        <v>458.61</v>
      </c>
      <c r="AD20" s="65">
        <f t="shared" si="14"/>
        <v>470.00000000002728</v>
      </c>
      <c r="AE20" s="58">
        <v>660.92</v>
      </c>
      <c r="AF20" s="65">
        <f t="shared" si="15"/>
        <v>709.99999999992269</v>
      </c>
      <c r="AG20" s="58">
        <v>13300</v>
      </c>
      <c r="AH20" s="67">
        <f t="shared" si="16"/>
        <v>51</v>
      </c>
      <c r="AI20" s="58">
        <v>774.25</v>
      </c>
      <c r="AJ20" s="65">
        <f t="shared" si="17"/>
        <v>840.00000000003183</v>
      </c>
      <c r="AK20" s="58">
        <v>258.31</v>
      </c>
      <c r="AL20" s="65">
        <f t="shared" si="18"/>
        <v>319.99999999999318</v>
      </c>
      <c r="AM20" s="58">
        <v>242.87</v>
      </c>
      <c r="AN20" s="65">
        <f t="shared" si="19"/>
        <v>280.00000000000114</v>
      </c>
      <c r="AO20" s="58">
        <v>233.36</v>
      </c>
      <c r="AP20" s="65">
        <f t="shared" si="20"/>
        <v>270.00000000001023</v>
      </c>
      <c r="AQ20" s="58">
        <v>290.67</v>
      </c>
      <c r="AR20" s="65">
        <f t="shared" si="21"/>
        <v>180.00000000000682</v>
      </c>
      <c r="AS20" s="58">
        <v>417.28</v>
      </c>
      <c r="AT20" s="65">
        <f t="shared" si="22"/>
        <v>169.99999999995907</v>
      </c>
      <c r="AU20" s="58">
        <v>322.73</v>
      </c>
      <c r="AV20" s="65">
        <f t="shared" si="23"/>
        <v>200.00000000004547</v>
      </c>
      <c r="AW20" s="58">
        <v>355.19</v>
      </c>
      <c r="AX20" s="65">
        <f t="shared" si="24"/>
        <v>170.00000000001592</v>
      </c>
      <c r="AY20" s="58">
        <v>389.74</v>
      </c>
      <c r="AZ20" s="65">
        <f t="shared" si="25"/>
        <v>319.99999999999318</v>
      </c>
      <c r="BA20" s="58">
        <v>409.9</v>
      </c>
      <c r="BB20" s="65">
        <f t="shared" si="26"/>
        <v>99.999999999965894</v>
      </c>
      <c r="BC20" s="58">
        <v>262.83999999999997</v>
      </c>
      <c r="BD20" s="65">
        <f t="shared" si="27"/>
        <v>60.000000000002274</v>
      </c>
      <c r="BE20" s="59">
        <v>48215</v>
      </c>
      <c r="BF20" s="67">
        <f t="shared" si="28"/>
        <v>17</v>
      </c>
      <c r="BG20" s="60">
        <v>244</v>
      </c>
      <c r="BH20" s="65">
        <f t="shared" si="29"/>
        <v>69.999999999993179</v>
      </c>
      <c r="BI20" s="60">
        <v>299.83999999999997</v>
      </c>
      <c r="BJ20" s="65">
        <f t="shared" si="30"/>
        <v>39.99999999996362</v>
      </c>
      <c r="BK20" s="60">
        <v>246.67</v>
      </c>
      <c r="BL20" s="65">
        <f t="shared" si="31"/>
        <v>49.999999999982947</v>
      </c>
      <c r="BM20" s="60">
        <v>233.78</v>
      </c>
      <c r="BN20" s="65">
        <f t="shared" si="32"/>
        <v>50.000000000011369</v>
      </c>
      <c r="BO20" s="60">
        <v>299.70999999999998</v>
      </c>
      <c r="BP20" s="65">
        <f t="shared" si="33"/>
        <v>69.999999999993179</v>
      </c>
      <c r="BQ20" s="60">
        <v>52608</v>
      </c>
      <c r="BR20" s="65">
        <f t="shared" si="34"/>
        <v>36</v>
      </c>
      <c r="BS20" s="60">
        <v>210.73</v>
      </c>
      <c r="BT20" s="65">
        <f t="shared" si="35"/>
        <v>60.000000000002274</v>
      </c>
      <c r="BU20" s="60">
        <v>49525</v>
      </c>
      <c r="BV20" s="65">
        <f t="shared" si="36"/>
        <v>52</v>
      </c>
      <c r="BW20" s="60">
        <v>239.03</v>
      </c>
      <c r="BX20" s="65">
        <f t="shared" si="37"/>
        <v>39.999999999992042</v>
      </c>
      <c r="BY20" s="60">
        <v>69297</v>
      </c>
      <c r="BZ20" s="67">
        <f t="shared" si="38"/>
        <v>49</v>
      </c>
      <c r="CA20" s="60">
        <v>43269</v>
      </c>
      <c r="CB20" s="67">
        <f t="shared" si="39"/>
        <v>55.400000000001455</v>
      </c>
      <c r="CC20" s="60">
        <v>14369.1</v>
      </c>
      <c r="CD20" s="67">
        <f t="shared" si="40"/>
        <v>17.700000000000728</v>
      </c>
      <c r="CE20" s="60">
        <v>7614.2</v>
      </c>
      <c r="CF20" s="67">
        <f t="shared" si="41"/>
        <v>3.1999999999998181</v>
      </c>
      <c r="CG20" s="60">
        <v>69873.600000000006</v>
      </c>
      <c r="CH20" s="67">
        <f t="shared" si="42"/>
        <v>62.600000000005821</v>
      </c>
      <c r="CI20" s="60">
        <v>1016147</v>
      </c>
      <c r="CJ20" s="67">
        <f t="shared" si="43"/>
        <v>374</v>
      </c>
      <c r="CK20" s="60">
        <v>914.32</v>
      </c>
      <c r="CL20" s="64">
        <f t="shared" si="44"/>
        <v>690.00000000005457</v>
      </c>
      <c r="CM20" s="65">
        <f t="shared" si="45"/>
        <v>74</v>
      </c>
      <c r="CN20" s="62">
        <v>24</v>
      </c>
      <c r="CO20" s="62">
        <v>55</v>
      </c>
      <c r="CP20" s="68">
        <v>22364</v>
      </c>
      <c r="CQ20" s="67">
        <f t="shared" si="46"/>
        <v>59</v>
      </c>
      <c r="CR20" s="68">
        <v>19309</v>
      </c>
      <c r="CS20" s="67">
        <f t="shared" si="47"/>
        <v>15</v>
      </c>
      <c r="CT20" s="75">
        <v>8911</v>
      </c>
      <c r="CU20" s="67">
        <f t="shared" si="48"/>
        <v>14</v>
      </c>
      <c r="CV20" s="68">
        <v>22065</v>
      </c>
      <c r="CW20" s="67">
        <f t="shared" si="49"/>
        <v>31</v>
      </c>
      <c r="CX20" s="58">
        <v>1878.2</v>
      </c>
      <c r="CY20" s="67">
        <f t="shared" si="50"/>
        <v>6.2000000000000455</v>
      </c>
    </row>
    <row r="21" spans="1:103" ht="25.5" customHeight="1" thickBot="1" x14ac:dyDescent="0.45">
      <c r="A21" s="63">
        <v>44610</v>
      </c>
      <c r="B21" s="44"/>
      <c r="C21" s="58">
        <v>2.8957000000000002</v>
      </c>
      <c r="D21" s="64">
        <f t="shared" si="1"/>
        <v>2099.9999999999909</v>
      </c>
      <c r="E21" s="58">
        <v>3.9823</v>
      </c>
      <c r="F21" s="64">
        <f t="shared" si="2"/>
        <v>3000.0000000001137</v>
      </c>
      <c r="G21" s="58">
        <v>3.9622000000000002</v>
      </c>
      <c r="H21" s="64">
        <f t="shared" si="3"/>
        <v>2800.0000000001355</v>
      </c>
      <c r="I21" s="58">
        <v>1.9804999999999999</v>
      </c>
      <c r="J21" s="64">
        <f t="shared" si="4"/>
        <v>1399.9999999998458</v>
      </c>
      <c r="K21" s="58">
        <v>3.1276999999999999</v>
      </c>
      <c r="L21" s="64">
        <f t="shared" si="5"/>
        <v>1900.0000000000127</v>
      </c>
      <c r="M21" s="58">
        <v>1.7444</v>
      </c>
      <c r="N21" s="64">
        <f t="shared" si="6"/>
        <v>1399.9999999998458</v>
      </c>
      <c r="O21" s="58">
        <v>17441</v>
      </c>
      <c r="P21" s="67">
        <f t="shared" si="7"/>
        <v>20</v>
      </c>
      <c r="Q21" s="58">
        <v>2004</v>
      </c>
      <c r="R21" s="67">
        <f t="shared" si="8"/>
        <v>2</v>
      </c>
      <c r="S21" s="58">
        <v>1223.5999999999999</v>
      </c>
      <c r="T21" s="67">
        <f t="shared" si="9"/>
        <v>0.5</v>
      </c>
      <c r="U21" s="58">
        <v>505551.8</v>
      </c>
      <c r="V21" s="67">
        <f t="shared" si="10"/>
        <v>234.5</v>
      </c>
      <c r="W21" s="58">
        <v>472.5</v>
      </c>
      <c r="X21" s="65">
        <f t="shared" si="11"/>
        <v>189.99999999999773</v>
      </c>
      <c r="Y21" s="58">
        <v>3.4980000000000002</v>
      </c>
      <c r="Z21" s="65">
        <f t="shared" si="12"/>
        <v>1700.0000000000348</v>
      </c>
      <c r="AA21" s="58">
        <v>475.14</v>
      </c>
      <c r="AB21" s="65">
        <f t="shared" si="13"/>
        <v>240.00000000000909</v>
      </c>
      <c r="AC21" s="58">
        <v>458.85</v>
      </c>
      <c r="AD21" s="65">
        <f t="shared" si="14"/>
        <v>240.00000000000909</v>
      </c>
      <c r="AE21" s="58">
        <v>661.28</v>
      </c>
      <c r="AF21" s="65">
        <f t="shared" si="15"/>
        <v>360.00000000001364</v>
      </c>
      <c r="AG21" s="58">
        <v>13319</v>
      </c>
      <c r="AH21" s="67">
        <f t="shared" si="16"/>
        <v>19</v>
      </c>
      <c r="AI21" s="58">
        <v>774.63</v>
      </c>
      <c r="AJ21" s="65">
        <f t="shared" si="17"/>
        <v>379.99999999999545</v>
      </c>
      <c r="AK21" s="58">
        <v>258.43</v>
      </c>
      <c r="AL21" s="65">
        <f t="shared" si="18"/>
        <v>120.00000000000455</v>
      </c>
      <c r="AM21" s="58">
        <v>242.96</v>
      </c>
      <c r="AN21" s="65">
        <f t="shared" si="19"/>
        <v>90.000000000003411</v>
      </c>
      <c r="AO21" s="58">
        <v>233.45</v>
      </c>
      <c r="AP21" s="65">
        <f t="shared" si="20"/>
        <v>89.999999999974989</v>
      </c>
      <c r="AQ21" s="58">
        <v>290.75</v>
      </c>
      <c r="AR21" s="65">
        <f t="shared" si="21"/>
        <v>79.999999999984084</v>
      </c>
      <c r="AS21" s="58">
        <v>417.36</v>
      </c>
      <c r="AT21" s="65">
        <f t="shared" si="22"/>
        <v>80.000000000040927</v>
      </c>
      <c r="AU21" s="58">
        <v>322.83</v>
      </c>
      <c r="AV21" s="65">
        <f t="shared" si="23"/>
        <v>99.999999999965894</v>
      </c>
      <c r="AW21" s="58">
        <v>355.27</v>
      </c>
      <c r="AX21" s="65">
        <f t="shared" si="24"/>
        <v>79.999999999984084</v>
      </c>
      <c r="AY21" s="58">
        <v>389.86</v>
      </c>
      <c r="AZ21" s="65">
        <f t="shared" si="25"/>
        <v>120.00000000000455</v>
      </c>
      <c r="BA21" s="58">
        <v>409.94</v>
      </c>
      <c r="BB21" s="65">
        <f t="shared" si="26"/>
        <v>40.000000000020464</v>
      </c>
      <c r="BC21" s="58">
        <v>262.89999999999998</v>
      </c>
      <c r="BD21" s="65">
        <f t="shared" si="27"/>
        <v>60.000000000002274</v>
      </c>
      <c r="BE21" s="59">
        <v>48251</v>
      </c>
      <c r="BF21" s="67">
        <f t="shared" si="28"/>
        <v>36</v>
      </c>
      <c r="BG21" s="60">
        <v>244.02</v>
      </c>
      <c r="BH21" s="65">
        <f t="shared" si="29"/>
        <v>20.000000000010232</v>
      </c>
      <c r="BI21" s="60">
        <v>299.85000000000002</v>
      </c>
      <c r="BJ21" s="65">
        <f t="shared" si="30"/>
        <v>10.000000000047748</v>
      </c>
      <c r="BK21" s="60">
        <v>246.69</v>
      </c>
      <c r="BL21" s="65">
        <f t="shared" si="31"/>
        <v>20.000000000010232</v>
      </c>
      <c r="BM21" s="60">
        <v>233.81</v>
      </c>
      <c r="BN21" s="65">
        <f t="shared" si="32"/>
        <v>30.000000000001137</v>
      </c>
      <c r="BO21" s="60">
        <v>299.75</v>
      </c>
      <c r="BP21" s="65">
        <f t="shared" si="33"/>
        <v>40.000000000020464</v>
      </c>
      <c r="BQ21" s="60">
        <v>52629</v>
      </c>
      <c r="BR21" s="65">
        <f t="shared" si="34"/>
        <v>21</v>
      </c>
      <c r="BS21" s="60">
        <v>210.76</v>
      </c>
      <c r="BT21" s="65">
        <f t="shared" si="35"/>
        <v>30.000000000001137</v>
      </c>
      <c r="BU21" s="60">
        <v>49552</v>
      </c>
      <c r="BV21" s="65">
        <f t="shared" si="36"/>
        <v>27</v>
      </c>
      <c r="BW21" s="60">
        <v>239.06</v>
      </c>
      <c r="BX21" s="65">
        <f t="shared" si="37"/>
        <v>30.000000000001137</v>
      </c>
      <c r="BY21" s="60">
        <v>69320</v>
      </c>
      <c r="BZ21" s="67">
        <f t="shared" si="38"/>
        <v>23</v>
      </c>
      <c r="CA21" s="60">
        <v>43283</v>
      </c>
      <c r="CB21" s="67">
        <f t="shared" si="39"/>
        <v>14</v>
      </c>
      <c r="CC21" s="60">
        <v>14373.5</v>
      </c>
      <c r="CD21" s="67">
        <f t="shared" si="40"/>
        <v>4.3999999999996362</v>
      </c>
      <c r="CE21" s="60">
        <v>7616</v>
      </c>
      <c r="CF21" s="67">
        <f t="shared" si="41"/>
        <v>1.8000000000001819</v>
      </c>
      <c r="CG21" s="60">
        <v>69896.5</v>
      </c>
      <c r="CH21" s="67">
        <f t="shared" si="42"/>
        <v>22.899999999994179</v>
      </c>
      <c r="CI21" s="60">
        <v>1016338</v>
      </c>
      <c r="CJ21" s="67">
        <f t="shared" si="43"/>
        <v>191</v>
      </c>
      <c r="CK21" s="60">
        <v>914.99</v>
      </c>
      <c r="CL21" s="64">
        <f t="shared" si="44"/>
        <v>669.99999999995907</v>
      </c>
      <c r="CM21" s="65">
        <f t="shared" si="45"/>
        <v>83</v>
      </c>
      <c r="CN21" s="62">
        <v>22</v>
      </c>
      <c r="CO21" s="62">
        <v>48</v>
      </c>
      <c r="CP21" s="68">
        <v>22434</v>
      </c>
      <c r="CQ21" s="67">
        <f t="shared" si="46"/>
        <v>70</v>
      </c>
      <c r="CR21" s="68">
        <v>19322</v>
      </c>
      <c r="CS21" s="67">
        <f t="shared" si="47"/>
        <v>13</v>
      </c>
      <c r="CT21" s="75">
        <v>8919</v>
      </c>
      <c r="CU21" s="67">
        <f t="shared" si="48"/>
        <v>8</v>
      </c>
      <c r="CV21" s="68">
        <v>22079</v>
      </c>
      <c r="CW21" s="67">
        <f t="shared" si="49"/>
        <v>14</v>
      </c>
      <c r="CX21" s="58">
        <v>1880.1</v>
      </c>
      <c r="CY21" s="67">
        <f t="shared" si="50"/>
        <v>1.8999999999998636</v>
      </c>
    </row>
    <row r="22" spans="1:103" ht="25.5" customHeight="1" thickBot="1" x14ac:dyDescent="0.45">
      <c r="A22" s="63">
        <v>44611</v>
      </c>
      <c r="B22" s="44"/>
      <c r="C22" s="58">
        <v>2.8980000000000001</v>
      </c>
      <c r="D22" s="64">
        <f t="shared" si="1"/>
        <v>2299.9999999999686</v>
      </c>
      <c r="E22" s="58">
        <v>3.9855</v>
      </c>
      <c r="F22" s="64">
        <f t="shared" si="2"/>
        <v>3200.0000000000919</v>
      </c>
      <c r="G22" s="58">
        <v>3.9649999999999999</v>
      </c>
      <c r="H22" s="64">
        <f t="shared" si="3"/>
        <v>2799.9999999996917</v>
      </c>
      <c r="I22" s="58">
        <v>1.9819</v>
      </c>
      <c r="J22" s="64">
        <f t="shared" si="4"/>
        <v>1400.0000000000678</v>
      </c>
      <c r="K22" s="58">
        <v>3.1295000000000002</v>
      </c>
      <c r="L22" s="64">
        <f t="shared" si="5"/>
        <v>1800.0000000002458</v>
      </c>
      <c r="M22" s="58">
        <v>1.7456</v>
      </c>
      <c r="N22" s="64">
        <f t="shared" si="6"/>
        <v>1200.0000000000898</v>
      </c>
      <c r="O22" s="58">
        <v>17464</v>
      </c>
      <c r="P22" s="67">
        <f t="shared" si="7"/>
        <v>23</v>
      </c>
      <c r="Q22" s="58">
        <v>2007</v>
      </c>
      <c r="R22" s="67">
        <f t="shared" si="8"/>
        <v>3</v>
      </c>
      <c r="S22" s="58">
        <v>1224.7</v>
      </c>
      <c r="T22" s="67">
        <f t="shared" si="9"/>
        <v>1.1000000000001364</v>
      </c>
      <c r="U22" s="58">
        <v>505895.3</v>
      </c>
      <c r="V22" s="67">
        <f t="shared" si="10"/>
        <v>343.5</v>
      </c>
      <c r="W22" s="58">
        <v>472.82</v>
      </c>
      <c r="X22" s="65">
        <f t="shared" si="11"/>
        <v>319.99999999999318</v>
      </c>
      <c r="Y22" s="58">
        <v>3.5009999999999999</v>
      </c>
      <c r="Z22" s="65">
        <f t="shared" si="12"/>
        <v>2999.9999999996694</v>
      </c>
      <c r="AA22" s="58">
        <v>475.38</v>
      </c>
      <c r="AB22" s="65">
        <f t="shared" si="13"/>
        <v>240.00000000000909</v>
      </c>
      <c r="AC22" s="58">
        <v>459.18</v>
      </c>
      <c r="AD22" s="65">
        <f t="shared" si="14"/>
        <v>329.99999999998408</v>
      </c>
      <c r="AE22" s="58">
        <v>661.83</v>
      </c>
      <c r="AF22" s="65">
        <f t="shared" si="15"/>
        <v>550.00000000006821</v>
      </c>
      <c r="AG22" s="58">
        <v>13362</v>
      </c>
      <c r="AH22" s="67">
        <f t="shared" si="16"/>
        <v>43</v>
      </c>
      <c r="AI22" s="58">
        <v>775.21</v>
      </c>
      <c r="AJ22" s="65">
        <f t="shared" si="17"/>
        <v>580.00000000004093</v>
      </c>
      <c r="AK22" s="58">
        <v>258.7</v>
      </c>
      <c r="AL22" s="65">
        <f t="shared" si="18"/>
        <v>269.99999999998181</v>
      </c>
      <c r="AM22" s="58">
        <v>243.2</v>
      </c>
      <c r="AN22" s="65">
        <f t="shared" si="19"/>
        <v>239.99999999998067</v>
      </c>
      <c r="AO22" s="58">
        <v>233.67</v>
      </c>
      <c r="AP22" s="65">
        <f t="shared" si="20"/>
        <v>219.99999999999886</v>
      </c>
      <c r="AQ22" s="58">
        <v>290.95999999999998</v>
      </c>
      <c r="AR22" s="65">
        <f t="shared" si="21"/>
        <v>209.99999999997954</v>
      </c>
      <c r="AS22" s="58">
        <v>417.49</v>
      </c>
      <c r="AT22" s="65">
        <f t="shared" si="22"/>
        <v>129.99999999999545</v>
      </c>
      <c r="AU22" s="58">
        <v>322.97000000000003</v>
      </c>
      <c r="AV22" s="65">
        <f t="shared" si="23"/>
        <v>140.0000000000432</v>
      </c>
      <c r="AW22" s="58">
        <v>355.48</v>
      </c>
      <c r="AX22" s="65">
        <f t="shared" si="24"/>
        <v>210.00000000003638</v>
      </c>
      <c r="AY22" s="58">
        <v>390</v>
      </c>
      <c r="AZ22" s="65">
        <f t="shared" si="25"/>
        <v>139.99999999998636</v>
      </c>
      <c r="BA22" s="58">
        <v>410</v>
      </c>
      <c r="BB22" s="65">
        <f t="shared" si="26"/>
        <v>60.000000000002274</v>
      </c>
      <c r="BC22" s="58">
        <v>262.97000000000003</v>
      </c>
      <c r="BD22" s="65">
        <f t="shared" si="27"/>
        <v>70.000000000050022</v>
      </c>
      <c r="BE22" s="59">
        <v>48267</v>
      </c>
      <c r="BF22" s="67">
        <f t="shared" si="28"/>
        <v>16</v>
      </c>
      <c r="BG22" s="60">
        <v>244.08</v>
      </c>
      <c r="BH22" s="65">
        <f t="shared" si="29"/>
        <v>60.000000000002274</v>
      </c>
      <c r="BI22" s="60">
        <v>299.88</v>
      </c>
      <c r="BJ22" s="65">
        <f t="shared" si="30"/>
        <v>29.999999999972715</v>
      </c>
      <c r="BK22" s="60">
        <v>246.73</v>
      </c>
      <c r="BL22" s="65">
        <f t="shared" si="31"/>
        <v>39.999999999992042</v>
      </c>
      <c r="BM22" s="60">
        <v>233.84</v>
      </c>
      <c r="BN22" s="65">
        <f t="shared" si="32"/>
        <v>30.000000000001137</v>
      </c>
      <c r="BO22" s="60">
        <v>299.79000000000002</v>
      </c>
      <c r="BP22" s="65">
        <f t="shared" si="33"/>
        <v>40.000000000020464</v>
      </c>
      <c r="BQ22" s="60">
        <v>52658</v>
      </c>
      <c r="BR22" s="65">
        <f t="shared" si="34"/>
        <v>29</v>
      </c>
      <c r="BS22" s="60">
        <v>210.8</v>
      </c>
      <c r="BT22" s="65">
        <f t="shared" si="35"/>
        <v>40.000000000020464</v>
      </c>
      <c r="BU22" s="60">
        <v>49589</v>
      </c>
      <c r="BV22" s="65">
        <f t="shared" si="36"/>
        <v>37</v>
      </c>
      <c r="BW22" s="60">
        <v>239.09</v>
      </c>
      <c r="BX22" s="65">
        <f t="shared" si="37"/>
        <v>30.000000000001137</v>
      </c>
      <c r="BY22" s="60">
        <v>69350</v>
      </c>
      <c r="BZ22" s="67">
        <f t="shared" si="38"/>
        <v>30</v>
      </c>
      <c r="CA22" s="60">
        <v>43325.9</v>
      </c>
      <c r="CB22" s="67">
        <f t="shared" si="39"/>
        <v>42.900000000001455</v>
      </c>
      <c r="CC22" s="60">
        <v>14383.1</v>
      </c>
      <c r="CD22" s="67">
        <f t="shared" si="40"/>
        <v>9.6000000000003638</v>
      </c>
      <c r="CE22" s="60">
        <v>7621</v>
      </c>
      <c r="CF22" s="67">
        <f t="shared" si="41"/>
        <v>5</v>
      </c>
      <c r="CG22" s="60">
        <v>69978.5</v>
      </c>
      <c r="CH22" s="67">
        <f t="shared" si="42"/>
        <v>82</v>
      </c>
      <c r="CI22" s="60">
        <v>1016596</v>
      </c>
      <c r="CJ22" s="67">
        <f t="shared" si="43"/>
        <v>258</v>
      </c>
      <c r="CK22" s="60">
        <v>915.58</v>
      </c>
      <c r="CL22" s="64">
        <f t="shared" si="44"/>
        <v>590.00000000003183</v>
      </c>
      <c r="CM22" s="65">
        <f t="shared" si="45"/>
        <v>69.5</v>
      </c>
      <c r="CN22" s="62">
        <v>27</v>
      </c>
      <c r="CO22" s="62">
        <v>60</v>
      </c>
      <c r="CP22" s="68">
        <v>22491.5</v>
      </c>
      <c r="CQ22" s="67">
        <f t="shared" si="46"/>
        <v>57.5</v>
      </c>
      <c r="CR22" s="68">
        <v>19334</v>
      </c>
      <c r="CS22" s="67">
        <f t="shared" si="47"/>
        <v>12</v>
      </c>
      <c r="CT22" s="75">
        <v>8930</v>
      </c>
      <c r="CU22" s="67">
        <f t="shared" si="48"/>
        <v>11</v>
      </c>
      <c r="CV22" s="68">
        <v>22102</v>
      </c>
      <c r="CW22" s="67">
        <f t="shared" si="49"/>
        <v>23</v>
      </c>
      <c r="CX22" s="58">
        <v>1887.7</v>
      </c>
      <c r="CY22" s="67">
        <f t="shared" si="50"/>
        <v>7.6000000000001364</v>
      </c>
    </row>
    <row r="23" spans="1:103" ht="25.5" customHeight="1" thickBot="1" x14ac:dyDescent="0.45">
      <c r="A23" s="63">
        <v>44612</v>
      </c>
      <c r="B23" s="44"/>
      <c r="C23" s="58">
        <v>2.9011</v>
      </c>
      <c r="D23" s="64">
        <f t="shared" si="1"/>
        <v>3099.9999999998809</v>
      </c>
      <c r="E23" s="58">
        <v>3.9885999999999999</v>
      </c>
      <c r="F23" s="64">
        <f t="shared" si="2"/>
        <v>3099.9999999998809</v>
      </c>
      <c r="G23" s="58">
        <v>3.9679000000000002</v>
      </c>
      <c r="H23" s="64">
        <f t="shared" si="3"/>
        <v>2900.0000000003465</v>
      </c>
      <c r="I23" s="58">
        <v>1.9835</v>
      </c>
      <c r="J23" s="64">
        <f t="shared" si="4"/>
        <v>1600.0000000000459</v>
      </c>
      <c r="K23" s="58">
        <v>3.1316000000000002</v>
      </c>
      <c r="L23" s="64">
        <f t="shared" si="5"/>
        <v>2099.9999999999909</v>
      </c>
      <c r="M23" s="58">
        <v>1.7474000000000001</v>
      </c>
      <c r="N23" s="64">
        <f t="shared" si="6"/>
        <v>1800.0000000000239</v>
      </c>
      <c r="O23" s="58">
        <v>17490</v>
      </c>
      <c r="P23" s="67">
        <f t="shared" si="7"/>
        <v>26</v>
      </c>
      <c r="Q23" s="58">
        <v>2013</v>
      </c>
      <c r="R23" s="67">
        <f t="shared" si="8"/>
        <v>6</v>
      </c>
      <c r="S23" s="58">
        <v>1225.8</v>
      </c>
      <c r="T23" s="67">
        <f t="shared" si="9"/>
        <v>1.0999999999999091</v>
      </c>
      <c r="U23" s="58">
        <v>506370.5</v>
      </c>
      <c r="V23" s="67">
        <f t="shared" si="10"/>
        <v>475.20000000001164</v>
      </c>
      <c r="W23" s="58">
        <v>473.11</v>
      </c>
      <c r="X23" s="65">
        <f t="shared" si="11"/>
        <v>290.00000000002046</v>
      </c>
      <c r="Y23" s="58">
        <v>3.5036999999999998</v>
      </c>
      <c r="Z23" s="65">
        <f t="shared" si="12"/>
        <v>2699.9999999999245</v>
      </c>
      <c r="AA23" s="58">
        <v>475.79</v>
      </c>
      <c r="AB23" s="65">
        <f t="shared" si="13"/>
        <v>410.00000000002501</v>
      </c>
      <c r="AC23" s="58">
        <v>459.77</v>
      </c>
      <c r="AD23" s="65">
        <f t="shared" si="14"/>
        <v>589.99999999997499</v>
      </c>
      <c r="AE23" s="58">
        <v>662.48</v>
      </c>
      <c r="AF23" s="65">
        <f t="shared" si="15"/>
        <v>649.99999999997726</v>
      </c>
      <c r="AG23" s="58">
        <v>13403</v>
      </c>
      <c r="AH23" s="67">
        <f t="shared" si="16"/>
        <v>41</v>
      </c>
      <c r="AI23" s="58">
        <v>776.01</v>
      </c>
      <c r="AJ23" s="65">
        <f t="shared" si="17"/>
        <v>799.99999999995453</v>
      </c>
      <c r="AK23" s="58">
        <v>259.01</v>
      </c>
      <c r="AL23" s="65">
        <f t="shared" si="18"/>
        <v>310.00000000000227</v>
      </c>
      <c r="AM23" s="58">
        <v>243.53</v>
      </c>
      <c r="AN23" s="65">
        <f t="shared" si="19"/>
        <v>330.00000000001251</v>
      </c>
      <c r="AO23" s="58">
        <v>233.93</v>
      </c>
      <c r="AP23" s="65">
        <f t="shared" si="20"/>
        <v>260.00000000001933</v>
      </c>
      <c r="AQ23" s="58">
        <v>291.16000000000003</v>
      </c>
      <c r="AR23" s="65">
        <f t="shared" si="21"/>
        <v>200.00000000004547</v>
      </c>
      <c r="AS23" s="58">
        <v>417.67</v>
      </c>
      <c r="AT23" s="65">
        <f t="shared" si="22"/>
        <v>180.00000000000682</v>
      </c>
      <c r="AU23" s="58">
        <v>323.06</v>
      </c>
      <c r="AV23" s="65">
        <f t="shared" si="23"/>
        <v>89.999999999974989</v>
      </c>
      <c r="AW23" s="58">
        <v>355.65</v>
      </c>
      <c r="AX23" s="65">
        <f t="shared" si="24"/>
        <v>169.99999999995907</v>
      </c>
      <c r="AY23" s="58">
        <v>390.2</v>
      </c>
      <c r="AZ23" s="65">
        <f t="shared" si="25"/>
        <v>199.99999999998863</v>
      </c>
      <c r="BA23" s="58">
        <v>410.11</v>
      </c>
      <c r="BB23" s="65">
        <f t="shared" si="26"/>
        <v>110.00000000001364</v>
      </c>
      <c r="BC23" s="58">
        <v>263.05</v>
      </c>
      <c r="BD23" s="65">
        <f t="shared" si="27"/>
        <v>79.999999999984084</v>
      </c>
      <c r="BE23" s="59">
        <v>48308</v>
      </c>
      <c r="BF23" s="67">
        <f t="shared" si="28"/>
        <v>41</v>
      </c>
      <c r="BG23" s="60">
        <v>244.12</v>
      </c>
      <c r="BH23" s="65">
        <f t="shared" si="29"/>
        <v>39.999999999992042</v>
      </c>
      <c r="BI23" s="60">
        <v>299.92</v>
      </c>
      <c r="BJ23" s="65">
        <f t="shared" si="30"/>
        <v>40.000000000020464</v>
      </c>
      <c r="BK23" s="60">
        <v>246.77</v>
      </c>
      <c r="BL23" s="65">
        <f t="shared" si="31"/>
        <v>40.000000000020464</v>
      </c>
      <c r="BM23" s="60">
        <v>233.89</v>
      </c>
      <c r="BN23" s="65">
        <f t="shared" si="32"/>
        <v>49.999999999982947</v>
      </c>
      <c r="BO23" s="60">
        <v>299.86</v>
      </c>
      <c r="BP23" s="65">
        <f t="shared" si="33"/>
        <v>69.999999999993179</v>
      </c>
      <c r="BQ23" s="60">
        <v>52690</v>
      </c>
      <c r="BR23" s="65">
        <f t="shared" si="34"/>
        <v>32</v>
      </c>
      <c r="BS23" s="60">
        <v>210.85</v>
      </c>
      <c r="BT23" s="65">
        <f t="shared" si="35"/>
        <v>49.999999999982947</v>
      </c>
      <c r="BU23" s="60">
        <v>49638</v>
      </c>
      <c r="BV23" s="65">
        <f t="shared" si="36"/>
        <v>49</v>
      </c>
      <c r="BW23" s="60">
        <v>239.12</v>
      </c>
      <c r="BX23" s="65">
        <f t="shared" si="37"/>
        <v>30.000000000001137</v>
      </c>
      <c r="BY23" s="60">
        <v>69391</v>
      </c>
      <c r="BZ23" s="67">
        <f t="shared" si="38"/>
        <v>41</v>
      </c>
      <c r="CA23" s="60">
        <v>43364</v>
      </c>
      <c r="CB23" s="67">
        <f t="shared" si="39"/>
        <v>38.099999999998545</v>
      </c>
      <c r="CC23" s="60">
        <v>14394.3</v>
      </c>
      <c r="CD23" s="67">
        <f t="shared" si="40"/>
        <v>11.199999999998909</v>
      </c>
      <c r="CE23" s="60">
        <v>7630.7</v>
      </c>
      <c r="CF23" s="67">
        <f t="shared" si="41"/>
        <v>9.6999999999998181</v>
      </c>
      <c r="CG23" s="60">
        <v>69978.5</v>
      </c>
      <c r="CH23" s="67">
        <f t="shared" si="42"/>
        <v>0</v>
      </c>
      <c r="CI23" s="60">
        <v>1016901</v>
      </c>
      <c r="CJ23" s="67">
        <f t="shared" si="43"/>
        <v>305</v>
      </c>
      <c r="CK23" s="60">
        <v>916.13</v>
      </c>
      <c r="CL23" s="64">
        <f t="shared" si="44"/>
        <v>549.99999999995453</v>
      </c>
      <c r="CM23" s="65">
        <f>CQ23+CS23</f>
        <v>77.700000000000728</v>
      </c>
      <c r="CN23" s="62">
        <v>27</v>
      </c>
      <c r="CO23" s="62">
        <v>60</v>
      </c>
      <c r="CP23" s="68">
        <v>22553</v>
      </c>
      <c r="CQ23" s="67">
        <f t="shared" si="46"/>
        <v>61.5</v>
      </c>
      <c r="CR23" s="68">
        <v>19350.2</v>
      </c>
      <c r="CS23" s="67">
        <f t="shared" si="47"/>
        <v>16.200000000000728</v>
      </c>
      <c r="CT23" s="75">
        <v>8940</v>
      </c>
      <c r="CU23" s="67">
        <f t="shared" si="48"/>
        <v>10</v>
      </c>
      <c r="CV23" s="68">
        <v>22126</v>
      </c>
      <c r="CW23" s="67">
        <f t="shared" si="49"/>
        <v>24</v>
      </c>
      <c r="CX23" s="58">
        <v>1899</v>
      </c>
      <c r="CY23" s="67">
        <f t="shared" si="50"/>
        <v>11.299999999999955</v>
      </c>
    </row>
    <row r="24" spans="1:103" ht="25.5" customHeight="1" thickBot="1" x14ac:dyDescent="0.45">
      <c r="A24" s="63">
        <v>44613</v>
      </c>
      <c r="B24" s="44"/>
      <c r="C24" s="58">
        <v>2.9037000000000002</v>
      </c>
      <c r="D24" s="64">
        <f t="shared" si="1"/>
        <v>2600.0000000001578</v>
      </c>
      <c r="E24" s="58">
        <v>3.9916</v>
      </c>
      <c r="F24" s="64">
        <f t="shared" si="2"/>
        <v>3000.0000000001137</v>
      </c>
      <c r="G24" s="58">
        <v>3.9704000000000002</v>
      </c>
      <c r="H24" s="64">
        <f t="shared" si="3"/>
        <v>2499.9999999999468</v>
      </c>
      <c r="I24" s="58">
        <v>1.9850000000000001</v>
      </c>
      <c r="J24" s="64">
        <f t="shared" si="4"/>
        <v>1500.0000000000568</v>
      </c>
      <c r="K24" s="58">
        <v>3.1335000000000002</v>
      </c>
      <c r="L24" s="64">
        <f t="shared" si="5"/>
        <v>1900.0000000000127</v>
      </c>
      <c r="M24" s="58">
        <v>1.7488999999999999</v>
      </c>
      <c r="N24" s="64">
        <f t="shared" si="6"/>
        <v>1499.9999999998347</v>
      </c>
      <c r="O24" s="58">
        <v>17520</v>
      </c>
      <c r="P24" s="67">
        <f t="shared" si="7"/>
        <v>30</v>
      </c>
      <c r="Q24" s="58">
        <v>2017</v>
      </c>
      <c r="R24" s="67">
        <f t="shared" si="8"/>
        <v>4</v>
      </c>
      <c r="S24" s="58">
        <v>1226.8</v>
      </c>
      <c r="T24" s="67">
        <f t="shared" si="9"/>
        <v>1</v>
      </c>
      <c r="U24" s="58">
        <v>506733</v>
      </c>
      <c r="V24" s="67">
        <f t="shared" si="10"/>
        <v>362.5</v>
      </c>
      <c r="W24" s="58">
        <v>473.41</v>
      </c>
      <c r="X24" s="65">
        <f t="shared" si="11"/>
        <v>300.00000000001137</v>
      </c>
      <c r="Y24" s="58">
        <v>3.5066000000000002</v>
      </c>
      <c r="Z24" s="65">
        <f t="shared" si="12"/>
        <v>2900.0000000003465</v>
      </c>
      <c r="AA24" s="58">
        <v>476.19</v>
      </c>
      <c r="AB24" s="65">
        <f t="shared" si="13"/>
        <v>399.99999999997726</v>
      </c>
      <c r="AC24" s="58">
        <v>460.25</v>
      </c>
      <c r="AD24" s="65">
        <f t="shared" si="14"/>
        <v>480.00000000001819</v>
      </c>
      <c r="AE24" s="58">
        <v>663.13</v>
      </c>
      <c r="AF24" s="65">
        <f t="shared" si="15"/>
        <v>649.99999999997726</v>
      </c>
      <c r="AG24" s="58">
        <v>13449</v>
      </c>
      <c r="AH24" s="67">
        <f t="shared" si="16"/>
        <v>46</v>
      </c>
      <c r="AI24" s="58">
        <v>776.74</v>
      </c>
      <c r="AJ24" s="65">
        <f t="shared" si="17"/>
        <v>730.00000000001819</v>
      </c>
      <c r="AK24" s="58">
        <v>259.32</v>
      </c>
      <c r="AL24" s="65">
        <f t="shared" si="18"/>
        <v>310.00000000000227</v>
      </c>
      <c r="AM24" s="58">
        <v>243.63</v>
      </c>
      <c r="AN24" s="65">
        <f t="shared" si="19"/>
        <v>99.999999999994316</v>
      </c>
      <c r="AO24" s="58">
        <v>234.13</v>
      </c>
      <c r="AP24" s="65">
        <f t="shared" si="20"/>
        <v>199.99999999998863</v>
      </c>
      <c r="AQ24" s="58">
        <v>291.36</v>
      </c>
      <c r="AR24" s="65">
        <f t="shared" si="21"/>
        <v>199.99999999998863</v>
      </c>
      <c r="AS24" s="58">
        <v>417.87</v>
      </c>
      <c r="AT24" s="65">
        <f t="shared" si="22"/>
        <v>199.99999999998863</v>
      </c>
      <c r="AU24" s="58">
        <v>323.18</v>
      </c>
      <c r="AV24" s="65">
        <f t="shared" si="23"/>
        <v>120.00000000000455</v>
      </c>
      <c r="AW24" s="58">
        <v>355.81</v>
      </c>
      <c r="AX24" s="65">
        <f t="shared" si="24"/>
        <v>160.00000000002501</v>
      </c>
      <c r="AY24" s="58">
        <v>390.39</v>
      </c>
      <c r="AZ24" s="65">
        <f t="shared" si="25"/>
        <v>189.99999999999773</v>
      </c>
      <c r="BA24" s="58">
        <v>410.17</v>
      </c>
      <c r="BB24" s="65">
        <f t="shared" si="26"/>
        <v>60.000000000002274</v>
      </c>
      <c r="BC24" s="58">
        <v>263.13</v>
      </c>
      <c r="BD24" s="65">
        <f t="shared" si="27"/>
        <v>79.999999999984084</v>
      </c>
      <c r="BE24" s="59">
        <v>48338</v>
      </c>
      <c r="BF24" s="67">
        <f t="shared" si="28"/>
        <v>30</v>
      </c>
      <c r="BG24" s="60">
        <v>244.17</v>
      </c>
      <c r="BH24" s="65">
        <f t="shared" si="29"/>
        <v>49.999999999982947</v>
      </c>
      <c r="BI24" s="60">
        <v>299.95</v>
      </c>
      <c r="BJ24" s="65">
        <f t="shared" si="30"/>
        <v>29.999999999972715</v>
      </c>
      <c r="BK24" s="60">
        <v>246.81</v>
      </c>
      <c r="BL24" s="65">
        <f t="shared" si="31"/>
        <v>39.999999999992042</v>
      </c>
      <c r="BM24" s="60">
        <v>233.94</v>
      </c>
      <c r="BN24" s="65">
        <f t="shared" si="32"/>
        <v>50.000000000011369</v>
      </c>
      <c r="BO24" s="60">
        <v>299.92</v>
      </c>
      <c r="BP24" s="65">
        <f t="shared" si="33"/>
        <v>60.000000000002274</v>
      </c>
      <c r="BQ24" s="60">
        <v>52720</v>
      </c>
      <c r="BR24" s="65">
        <f t="shared" si="34"/>
        <v>30</v>
      </c>
      <c r="BS24" s="60">
        <v>210.9</v>
      </c>
      <c r="BT24" s="65">
        <f t="shared" si="35"/>
        <v>50.000000000011369</v>
      </c>
      <c r="BU24" s="60">
        <v>49681</v>
      </c>
      <c r="BV24" s="65">
        <f t="shared" si="36"/>
        <v>43</v>
      </c>
      <c r="BW24" s="60">
        <v>239.16</v>
      </c>
      <c r="BX24" s="65">
        <f t="shared" si="37"/>
        <v>39.999999999992042</v>
      </c>
      <c r="BY24" s="60">
        <v>69428</v>
      </c>
      <c r="BZ24" s="67">
        <f t="shared" si="38"/>
        <v>37</v>
      </c>
      <c r="CA24" s="60">
        <v>43404.3</v>
      </c>
      <c r="CB24" s="67">
        <f t="shared" si="39"/>
        <v>40.30000000000291</v>
      </c>
      <c r="CC24" s="60">
        <v>14406.5</v>
      </c>
      <c r="CD24" s="67">
        <f t="shared" si="40"/>
        <v>12.200000000000728</v>
      </c>
      <c r="CE24" s="60">
        <v>7631.1</v>
      </c>
      <c r="CF24" s="67">
        <f t="shared" si="41"/>
        <v>0.4000000000005457</v>
      </c>
      <c r="CG24" s="60">
        <v>70027.8</v>
      </c>
      <c r="CH24" s="67">
        <f t="shared" si="42"/>
        <v>49.30000000000291</v>
      </c>
      <c r="CI24" s="60">
        <v>1017200</v>
      </c>
      <c r="CJ24" s="67">
        <f t="shared" si="43"/>
        <v>299</v>
      </c>
      <c r="CK24" s="60">
        <v>916.86</v>
      </c>
      <c r="CL24" s="64">
        <f t="shared" si="44"/>
        <v>730.00000000001819</v>
      </c>
      <c r="CM24" s="65">
        <f t="shared" si="45"/>
        <v>89</v>
      </c>
      <c r="CN24" s="62">
        <v>29</v>
      </c>
      <c r="CO24" s="62">
        <v>63</v>
      </c>
      <c r="CP24" s="68">
        <v>22619</v>
      </c>
      <c r="CQ24" s="67">
        <f t="shared" si="46"/>
        <v>66</v>
      </c>
      <c r="CR24" s="68">
        <v>19373.2</v>
      </c>
      <c r="CS24" s="67">
        <f t="shared" si="47"/>
        <v>23</v>
      </c>
      <c r="CT24" s="75">
        <v>8951</v>
      </c>
      <c r="CU24" s="67">
        <f t="shared" si="48"/>
        <v>11</v>
      </c>
      <c r="CV24" s="68">
        <v>22153</v>
      </c>
      <c r="CW24" s="67">
        <f t="shared" si="49"/>
        <v>27</v>
      </c>
      <c r="CX24" s="58">
        <v>1909.9</v>
      </c>
      <c r="CY24" s="67">
        <f t="shared" si="50"/>
        <v>10.900000000000091</v>
      </c>
    </row>
    <row r="25" spans="1:103" ht="25.5" customHeight="1" thickBot="1" x14ac:dyDescent="0.45">
      <c r="A25" s="63">
        <v>44614</v>
      </c>
      <c r="B25" s="44"/>
      <c r="C25" s="58">
        <v>2.9068000000000001</v>
      </c>
      <c r="D25" s="64">
        <f t="shared" si="1"/>
        <v>3099.9999999998809</v>
      </c>
      <c r="E25" s="58">
        <v>3.9950999999999999</v>
      </c>
      <c r="F25" s="64">
        <f t="shared" si="2"/>
        <v>3499.9999999998367</v>
      </c>
      <c r="G25" s="58">
        <v>3.9733999999999998</v>
      </c>
      <c r="H25" s="64">
        <f t="shared" si="3"/>
        <v>2999.9999999996694</v>
      </c>
      <c r="I25" s="58">
        <v>1.9866999999999999</v>
      </c>
      <c r="J25" s="64">
        <f t="shared" si="4"/>
        <v>1699.9999999998129</v>
      </c>
      <c r="K25" s="58">
        <v>3.1356000000000002</v>
      </c>
      <c r="L25" s="64">
        <f t="shared" si="5"/>
        <v>2099.9999999999909</v>
      </c>
      <c r="M25" s="58">
        <v>1.7504999999999999</v>
      </c>
      <c r="N25" s="64">
        <f t="shared" si="6"/>
        <v>1600.0000000000459</v>
      </c>
      <c r="O25" s="58">
        <v>17550</v>
      </c>
      <c r="P25" s="67">
        <f t="shared" si="7"/>
        <v>30</v>
      </c>
      <c r="Q25" s="58">
        <v>2023</v>
      </c>
      <c r="R25" s="67">
        <f t="shared" si="8"/>
        <v>6</v>
      </c>
      <c r="S25" s="58">
        <v>1228.0999999999999</v>
      </c>
      <c r="T25" s="67">
        <f t="shared" si="9"/>
        <v>1.2999999999999545</v>
      </c>
      <c r="U25" s="58">
        <v>507188</v>
      </c>
      <c r="V25" s="67">
        <f t="shared" si="10"/>
        <v>455</v>
      </c>
      <c r="W25" s="58">
        <v>473.78</v>
      </c>
      <c r="X25" s="65">
        <f t="shared" si="11"/>
        <v>369.9999999999477</v>
      </c>
      <c r="Y25" s="58">
        <v>3.5095999999999998</v>
      </c>
      <c r="Z25" s="65">
        <f t="shared" si="12"/>
        <v>2999.9999999996694</v>
      </c>
      <c r="AA25" s="58">
        <v>476.41</v>
      </c>
      <c r="AB25" s="65">
        <f t="shared" si="13"/>
        <v>220.00000000002728</v>
      </c>
      <c r="AC25" s="58">
        <v>460.74</v>
      </c>
      <c r="AD25" s="65">
        <f t="shared" si="14"/>
        <v>490.00000000000909</v>
      </c>
      <c r="AE25" s="58">
        <v>663.83</v>
      </c>
      <c r="AF25" s="65">
        <f t="shared" si="15"/>
        <v>700.00000000004547</v>
      </c>
      <c r="AG25" s="58">
        <v>13497</v>
      </c>
      <c r="AH25" s="67">
        <f t="shared" si="16"/>
        <v>48</v>
      </c>
      <c r="AI25" s="58">
        <v>777.46</v>
      </c>
      <c r="AJ25" s="65">
        <f t="shared" si="17"/>
        <v>720.00000000002728</v>
      </c>
      <c r="AK25" s="58">
        <v>259.62</v>
      </c>
      <c r="AL25" s="65">
        <f t="shared" si="18"/>
        <v>300.00000000001137</v>
      </c>
      <c r="AM25" s="58">
        <v>243.89</v>
      </c>
      <c r="AN25" s="65">
        <f t="shared" si="19"/>
        <v>259.99999999999091</v>
      </c>
      <c r="AO25" s="58">
        <v>234.37</v>
      </c>
      <c r="AP25" s="65">
        <f t="shared" si="20"/>
        <v>240.00000000000909</v>
      </c>
      <c r="AQ25" s="58">
        <v>291.60000000000002</v>
      </c>
      <c r="AR25" s="65">
        <f t="shared" si="21"/>
        <v>240.00000000000909</v>
      </c>
      <c r="AS25" s="58">
        <v>418.07</v>
      </c>
      <c r="AT25" s="65">
        <f t="shared" si="22"/>
        <v>199.99999999998863</v>
      </c>
      <c r="AU25" s="58">
        <v>323.39</v>
      </c>
      <c r="AV25" s="65">
        <f t="shared" si="23"/>
        <v>209.99999999997954</v>
      </c>
      <c r="AW25" s="58">
        <v>356.05</v>
      </c>
      <c r="AX25" s="65">
        <f t="shared" si="24"/>
        <v>240.00000000000909</v>
      </c>
      <c r="AY25" s="58">
        <v>390.59</v>
      </c>
      <c r="AZ25" s="65">
        <f t="shared" si="25"/>
        <v>199.99999999998863</v>
      </c>
      <c r="BA25" s="58">
        <v>410.34</v>
      </c>
      <c r="BB25" s="65">
        <f t="shared" si="26"/>
        <v>169.99999999995907</v>
      </c>
      <c r="BC25" s="58">
        <v>263.2</v>
      </c>
      <c r="BD25" s="65">
        <f t="shared" si="27"/>
        <v>69.999999999993179</v>
      </c>
      <c r="BE25" s="59">
        <v>48390</v>
      </c>
      <c r="BF25" s="67">
        <f t="shared" si="28"/>
        <v>52</v>
      </c>
      <c r="BG25" s="60">
        <v>244.22</v>
      </c>
      <c r="BH25" s="65">
        <f t="shared" si="29"/>
        <v>50.000000000011369</v>
      </c>
      <c r="BI25" s="60">
        <v>299.99</v>
      </c>
      <c r="BJ25" s="65">
        <f t="shared" si="30"/>
        <v>40.000000000020464</v>
      </c>
      <c r="BK25" s="60">
        <v>246.86</v>
      </c>
      <c r="BL25" s="65">
        <f t="shared" si="31"/>
        <v>50.000000000011369</v>
      </c>
      <c r="BM25" s="60">
        <v>233.98</v>
      </c>
      <c r="BN25" s="65">
        <f t="shared" si="32"/>
        <v>39.999999999992042</v>
      </c>
      <c r="BO25" s="60">
        <v>299.98</v>
      </c>
      <c r="BP25" s="65">
        <f t="shared" si="33"/>
        <v>60.000000000002274</v>
      </c>
      <c r="BQ25" s="60">
        <v>52756</v>
      </c>
      <c r="BR25" s="65">
        <f t="shared" si="34"/>
        <v>36</v>
      </c>
      <c r="BS25" s="60">
        <v>210.96</v>
      </c>
      <c r="BT25" s="65">
        <f t="shared" si="35"/>
        <v>60.000000000002274</v>
      </c>
      <c r="BU25" s="60">
        <v>49737</v>
      </c>
      <c r="BV25" s="65">
        <f t="shared" si="36"/>
        <v>56</v>
      </c>
      <c r="BW25" s="60">
        <v>239.2</v>
      </c>
      <c r="BX25" s="65">
        <f t="shared" si="37"/>
        <v>39.999999999992042</v>
      </c>
      <c r="BY25" s="60">
        <v>69469</v>
      </c>
      <c r="BZ25" s="67">
        <f t="shared" si="38"/>
        <v>41</v>
      </c>
      <c r="CA25" s="60">
        <v>43454.6</v>
      </c>
      <c r="CB25" s="67">
        <f t="shared" si="39"/>
        <v>50.299999999995634</v>
      </c>
      <c r="CC25" s="60">
        <v>14418.8</v>
      </c>
      <c r="CD25" s="67">
        <f t="shared" si="40"/>
        <v>12.299999999999272</v>
      </c>
      <c r="CE25" s="60">
        <v>7639.2</v>
      </c>
      <c r="CF25" s="67">
        <f t="shared" si="41"/>
        <v>8.0999999999994543</v>
      </c>
      <c r="CG25" s="60">
        <v>70071.8</v>
      </c>
      <c r="CH25" s="67">
        <f t="shared" si="42"/>
        <v>44</v>
      </c>
      <c r="CI25" s="60">
        <v>1017504</v>
      </c>
      <c r="CJ25" s="67">
        <f t="shared" si="43"/>
        <v>304</v>
      </c>
      <c r="CK25" s="60">
        <v>917.33</v>
      </c>
      <c r="CL25" s="64">
        <f t="shared" si="44"/>
        <v>470.00000000002728</v>
      </c>
      <c r="CM25" s="65">
        <f t="shared" si="45"/>
        <v>96.799999999999272</v>
      </c>
      <c r="CN25" s="62">
        <v>29</v>
      </c>
      <c r="CO25" s="62">
        <v>63</v>
      </c>
      <c r="CP25" s="68">
        <v>22689</v>
      </c>
      <c r="CQ25" s="67">
        <f t="shared" si="46"/>
        <v>70</v>
      </c>
      <c r="CR25" s="68">
        <v>19400</v>
      </c>
      <c r="CS25" s="67">
        <f t="shared" si="47"/>
        <v>26.799999999999272</v>
      </c>
      <c r="CT25" s="75">
        <v>8960</v>
      </c>
      <c r="CU25" s="67">
        <f t="shared" si="48"/>
        <v>9</v>
      </c>
      <c r="CV25" s="68">
        <v>22176</v>
      </c>
      <c r="CW25" s="67">
        <f t="shared" si="49"/>
        <v>23</v>
      </c>
      <c r="CX25" s="58">
        <v>1921.9</v>
      </c>
      <c r="CY25" s="67">
        <f t="shared" si="50"/>
        <v>12</v>
      </c>
    </row>
    <row r="26" spans="1:103" ht="25.5" customHeight="1" thickBot="1" x14ac:dyDescent="0.45">
      <c r="A26" s="63">
        <v>44615</v>
      </c>
      <c r="B26" s="44"/>
      <c r="C26" s="58">
        <v>2.9102000000000001</v>
      </c>
      <c r="D26" s="64">
        <f t="shared" si="1"/>
        <v>3400.0000000000696</v>
      </c>
      <c r="E26" s="58">
        <v>3.9986999999999999</v>
      </c>
      <c r="F26" s="64">
        <f t="shared" si="2"/>
        <v>3600.0000000000477</v>
      </c>
      <c r="G26" s="58">
        <v>3.9763000000000002</v>
      </c>
      <c r="H26" s="64">
        <f t="shared" si="3"/>
        <v>2900.0000000003465</v>
      </c>
      <c r="I26" s="58">
        <v>1.9883999999999999</v>
      </c>
      <c r="J26" s="64">
        <f t="shared" si="4"/>
        <v>1700.0000000000348</v>
      </c>
      <c r="K26" s="58">
        <v>3.1377000000000002</v>
      </c>
      <c r="L26" s="64">
        <f t="shared" si="5"/>
        <v>2099.9999999999909</v>
      </c>
      <c r="M26" s="58">
        <v>1.7524999999999999</v>
      </c>
      <c r="N26" s="64">
        <f t="shared" si="6"/>
        <v>2000.0000000000018</v>
      </c>
      <c r="O26" s="58">
        <v>17583</v>
      </c>
      <c r="P26" s="67">
        <f t="shared" si="7"/>
        <v>33</v>
      </c>
      <c r="Q26" s="58">
        <v>2030</v>
      </c>
      <c r="R26" s="67">
        <f t="shared" si="8"/>
        <v>7</v>
      </c>
      <c r="S26" s="58">
        <v>1229.2</v>
      </c>
      <c r="T26" s="67">
        <f t="shared" si="9"/>
        <v>1.1000000000001364</v>
      </c>
      <c r="U26" s="58">
        <v>507595</v>
      </c>
      <c r="V26" s="67">
        <f t="shared" si="10"/>
        <v>407</v>
      </c>
      <c r="W26" s="58">
        <v>474.17</v>
      </c>
      <c r="X26" s="65">
        <f t="shared" si="11"/>
        <v>390.0000000000432</v>
      </c>
      <c r="Y26" s="58">
        <v>3.5129000000000001</v>
      </c>
      <c r="Z26" s="65">
        <f t="shared" si="12"/>
        <v>3300.0000000003029</v>
      </c>
      <c r="AA26" s="58">
        <v>476.8</v>
      </c>
      <c r="AB26" s="65">
        <f t="shared" si="13"/>
        <v>389.99999999998636</v>
      </c>
      <c r="AC26" s="58">
        <v>461.29</v>
      </c>
      <c r="AD26" s="65">
        <f t="shared" si="14"/>
        <v>550.00000000001137</v>
      </c>
      <c r="AE26" s="58">
        <v>664.79</v>
      </c>
      <c r="AF26" s="65">
        <f t="shared" si="15"/>
        <v>959.99999999992269</v>
      </c>
      <c r="AG26" s="58">
        <v>13540</v>
      </c>
      <c r="AH26" s="67">
        <f t="shared" si="16"/>
        <v>43</v>
      </c>
      <c r="AI26" s="58">
        <v>778.22</v>
      </c>
      <c r="AJ26" s="65">
        <f t="shared" si="17"/>
        <v>759.99999999999091</v>
      </c>
      <c r="AK26" s="58">
        <v>259.92</v>
      </c>
      <c r="AL26" s="65">
        <f t="shared" si="18"/>
        <v>300.00000000001137</v>
      </c>
      <c r="AM26" s="58">
        <v>244.15</v>
      </c>
      <c r="AN26" s="65">
        <f t="shared" si="19"/>
        <v>260.00000000001933</v>
      </c>
      <c r="AO26" s="58">
        <v>234.69</v>
      </c>
      <c r="AP26" s="65">
        <f t="shared" si="20"/>
        <v>319.99999999999318</v>
      </c>
      <c r="AQ26" s="58">
        <v>291.85000000000002</v>
      </c>
      <c r="AR26" s="65">
        <f t="shared" si="21"/>
        <v>250</v>
      </c>
      <c r="AS26" s="58">
        <v>418.28</v>
      </c>
      <c r="AT26" s="65">
        <f t="shared" si="22"/>
        <v>209.99999999997954</v>
      </c>
      <c r="AU26" s="58">
        <v>323.64999999999998</v>
      </c>
      <c r="AV26" s="65">
        <f t="shared" si="23"/>
        <v>259.99999999999091</v>
      </c>
      <c r="AW26" s="58">
        <v>356.33</v>
      </c>
      <c r="AX26" s="65">
        <f t="shared" si="24"/>
        <v>279.99999999997272</v>
      </c>
      <c r="AY26" s="58">
        <v>390.78</v>
      </c>
      <c r="AZ26" s="65">
        <f t="shared" si="25"/>
        <v>189.99999999999773</v>
      </c>
      <c r="BA26" s="58">
        <v>410.58</v>
      </c>
      <c r="BB26" s="65">
        <f t="shared" si="26"/>
        <v>240.00000000000909</v>
      </c>
      <c r="BC26" s="58">
        <v>263.27999999999997</v>
      </c>
      <c r="BD26" s="65">
        <f t="shared" si="27"/>
        <v>79.999999999984084</v>
      </c>
      <c r="BE26" s="59">
        <v>48408</v>
      </c>
      <c r="BF26" s="67">
        <f t="shared" si="28"/>
        <v>18</v>
      </c>
      <c r="BG26" s="60">
        <v>244.27</v>
      </c>
      <c r="BH26" s="65">
        <f t="shared" si="29"/>
        <v>50.000000000011369</v>
      </c>
      <c r="BI26" s="60">
        <v>300.02</v>
      </c>
      <c r="BJ26" s="65">
        <f t="shared" si="30"/>
        <v>29.999999999972715</v>
      </c>
      <c r="BK26" s="60">
        <v>246.91</v>
      </c>
      <c r="BL26" s="65">
        <f t="shared" si="31"/>
        <v>49.999999999982947</v>
      </c>
      <c r="BM26" s="60">
        <v>234.03</v>
      </c>
      <c r="BN26" s="65">
        <f t="shared" si="32"/>
        <v>50.000000000011369</v>
      </c>
      <c r="BO26" s="60">
        <v>300.04000000000002</v>
      </c>
      <c r="BP26" s="65">
        <f t="shared" si="33"/>
        <v>60.000000000002274</v>
      </c>
      <c r="BQ26" s="60">
        <v>52790</v>
      </c>
      <c r="BR26" s="65">
        <f t="shared" si="34"/>
        <v>34</v>
      </c>
      <c r="BS26" s="60">
        <v>211.01</v>
      </c>
      <c r="BT26" s="65">
        <f t="shared" si="35"/>
        <v>49.999999999982947</v>
      </c>
      <c r="BU26" s="60">
        <v>49791</v>
      </c>
      <c r="BV26" s="65">
        <f t="shared" si="36"/>
        <v>54</v>
      </c>
      <c r="BW26" s="60">
        <v>239.24</v>
      </c>
      <c r="BX26" s="65">
        <f t="shared" si="37"/>
        <v>40.000000000020464</v>
      </c>
      <c r="BY26" s="60">
        <v>69516</v>
      </c>
      <c r="BZ26" s="67">
        <f t="shared" si="38"/>
        <v>47</v>
      </c>
      <c r="CA26" s="60">
        <v>43510.7</v>
      </c>
      <c r="CB26" s="67">
        <f t="shared" si="39"/>
        <v>56.099999999998545</v>
      </c>
      <c r="CC26" s="60">
        <v>14433.6</v>
      </c>
      <c r="CD26" s="67">
        <f t="shared" si="40"/>
        <v>14.800000000001091</v>
      </c>
      <c r="CE26" s="60">
        <v>7640</v>
      </c>
      <c r="CF26" s="67">
        <f t="shared" si="41"/>
        <v>0.8000000000001819</v>
      </c>
      <c r="CG26" s="60">
        <v>70120.100000000006</v>
      </c>
      <c r="CH26" s="67">
        <f t="shared" si="42"/>
        <v>48.30000000000291</v>
      </c>
      <c r="CI26" s="60">
        <v>1017799</v>
      </c>
      <c r="CJ26" s="67">
        <f t="shared" si="43"/>
        <v>295</v>
      </c>
      <c r="CK26" s="60">
        <v>917.95</v>
      </c>
      <c r="CL26" s="64">
        <f t="shared" si="44"/>
        <v>620.00000000000455</v>
      </c>
      <c r="CM26" s="65">
        <f t="shared" si="45"/>
        <v>90.200000000000728</v>
      </c>
      <c r="CN26" s="62">
        <v>29</v>
      </c>
      <c r="CO26" s="62">
        <v>63</v>
      </c>
      <c r="CP26" s="68">
        <v>22763</v>
      </c>
      <c r="CQ26" s="67">
        <f t="shared" si="46"/>
        <v>74</v>
      </c>
      <c r="CR26" s="68">
        <v>19416.2</v>
      </c>
      <c r="CS26" s="67">
        <f t="shared" si="47"/>
        <v>16.200000000000728</v>
      </c>
      <c r="CT26" s="75">
        <v>8970</v>
      </c>
      <c r="CU26" s="67">
        <f t="shared" si="48"/>
        <v>10</v>
      </c>
      <c r="CV26" s="68">
        <v>22194</v>
      </c>
      <c r="CW26" s="67">
        <f t="shared" si="49"/>
        <v>18</v>
      </c>
      <c r="CX26" s="58">
        <v>1934.6</v>
      </c>
      <c r="CY26" s="67">
        <f t="shared" si="50"/>
        <v>12.699999999999818</v>
      </c>
    </row>
    <row r="27" spans="1:103" ht="25.5" customHeight="1" thickBot="1" x14ac:dyDescent="0.45">
      <c r="A27" s="63">
        <v>44616</v>
      </c>
      <c r="B27" s="44"/>
      <c r="C27" s="58">
        <v>2.9138000000000002</v>
      </c>
      <c r="D27" s="64">
        <f t="shared" si="1"/>
        <v>3600.0000000000477</v>
      </c>
      <c r="E27" s="58">
        <v>4.0023</v>
      </c>
      <c r="F27" s="64">
        <f t="shared" si="2"/>
        <v>3600.0000000000477</v>
      </c>
      <c r="G27" s="58">
        <v>3.9792000000000001</v>
      </c>
      <c r="H27" s="64">
        <f t="shared" si="3"/>
        <v>2899.9999999999027</v>
      </c>
      <c r="I27" s="58">
        <v>1.99</v>
      </c>
      <c r="J27" s="64">
        <f t="shared" si="4"/>
        <v>1600.0000000000459</v>
      </c>
      <c r="K27" s="58">
        <v>3.1396999999999999</v>
      </c>
      <c r="L27" s="64">
        <f t="shared" si="5"/>
        <v>1999.9999999997797</v>
      </c>
      <c r="M27" s="58">
        <v>1.7543</v>
      </c>
      <c r="N27" s="64">
        <f t="shared" si="6"/>
        <v>1800.0000000000239</v>
      </c>
      <c r="O27" s="58">
        <v>17620</v>
      </c>
      <c r="P27" s="67">
        <f t="shared" si="7"/>
        <v>37</v>
      </c>
      <c r="Q27" s="58">
        <v>2036</v>
      </c>
      <c r="R27" s="67">
        <f t="shared" si="8"/>
        <v>6</v>
      </c>
      <c r="S27" s="58">
        <v>1230.4000000000001</v>
      </c>
      <c r="T27" s="67">
        <f t="shared" si="9"/>
        <v>1.2000000000000455</v>
      </c>
      <c r="U27" s="58">
        <v>507996.8</v>
      </c>
      <c r="V27" s="67">
        <f t="shared" si="10"/>
        <v>401.79999999998836</v>
      </c>
      <c r="W27" s="58">
        <v>474.6</v>
      </c>
      <c r="X27" s="65">
        <f t="shared" si="11"/>
        <v>430.00000000000682</v>
      </c>
      <c r="Y27" s="58">
        <v>3.5164</v>
      </c>
      <c r="Z27" s="65">
        <f t="shared" si="12"/>
        <v>3499.9999999998367</v>
      </c>
      <c r="AA27" s="58">
        <v>477.07</v>
      </c>
      <c r="AB27" s="65">
        <f t="shared" si="13"/>
        <v>269.99999999998181</v>
      </c>
      <c r="AC27" s="58">
        <v>461.83</v>
      </c>
      <c r="AD27" s="65">
        <f t="shared" si="14"/>
        <v>539.99999999996362</v>
      </c>
      <c r="AE27" s="58">
        <v>665.74</v>
      </c>
      <c r="AF27" s="65">
        <f t="shared" si="15"/>
        <v>950.00000000004547</v>
      </c>
      <c r="AG27" s="58">
        <v>13590</v>
      </c>
      <c r="AH27" s="67">
        <f t="shared" si="16"/>
        <v>50</v>
      </c>
      <c r="AI27" s="58">
        <v>778.95</v>
      </c>
      <c r="AJ27" s="65">
        <f t="shared" si="17"/>
        <v>730.00000000001819</v>
      </c>
      <c r="AK27" s="58">
        <v>260.24</v>
      </c>
      <c r="AL27" s="65">
        <f t="shared" si="18"/>
        <v>319.99999999999318</v>
      </c>
      <c r="AM27" s="58">
        <v>244.43</v>
      </c>
      <c r="AN27" s="65">
        <f t="shared" si="19"/>
        <v>280.00000000000114</v>
      </c>
      <c r="AO27" s="58">
        <v>235.04</v>
      </c>
      <c r="AP27" s="65">
        <f t="shared" si="20"/>
        <v>349.99999999999432</v>
      </c>
      <c r="AQ27" s="58">
        <v>292.12</v>
      </c>
      <c r="AR27" s="65">
        <f t="shared" si="21"/>
        <v>269.99999999998181</v>
      </c>
      <c r="AS27" s="58">
        <v>418.5</v>
      </c>
      <c r="AT27" s="65">
        <f t="shared" si="22"/>
        <v>220.00000000002728</v>
      </c>
      <c r="AU27" s="58">
        <v>324</v>
      </c>
      <c r="AV27" s="65">
        <f t="shared" si="23"/>
        <v>350.00000000002274</v>
      </c>
      <c r="AW27" s="58">
        <v>356.61</v>
      </c>
      <c r="AX27" s="65">
        <f t="shared" si="24"/>
        <v>280.00000000002956</v>
      </c>
      <c r="AY27" s="58">
        <v>391.05</v>
      </c>
      <c r="AZ27" s="65">
        <f t="shared" si="25"/>
        <v>270.00000000003865</v>
      </c>
      <c r="BA27" s="58">
        <v>410.87</v>
      </c>
      <c r="BB27" s="65">
        <f t="shared" si="26"/>
        <v>290.00000000002046</v>
      </c>
      <c r="BC27" s="58">
        <v>263.44</v>
      </c>
      <c r="BD27" s="65">
        <f t="shared" si="27"/>
        <v>160.00000000002501</v>
      </c>
      <c r="BE27" s="59">
        <v>48456</v>
      </c>
      <c r="BF27" s="67">
        <f t="shared" si="28"/>
        <v>48</v>
      </c>
      <c r="BG27" s="60">
        <v>244.33</v>
      </c>
      <c r="BH27" s="65">
        <f t="shared" si="29"/>
        <v>60.000000000002274</v>
      </c>
      <c r="BI27" s="60">
        <v>300.05</v>
      </c>
      <c r="BJ27" s="65">
        <f t="shared" si="30"/>
        <v>30.000000000029559</v>
      </c>
      <c r="BK27" s="60">
        <v>246.95</v>
      </c>
      <c r="BL27" s="65">
        <f t="shared" si="31"/>
        <v>39.999999999992042</v>
      </c>
      <c r="BM27" s="60">
        <v>234.07</v>
      </c>
      <c r="BN27" s="65">
        <f t="shared" si="32"/>
        <v>39.999999999992042</v>
      </c>
      <c r="BO27" s="60">
        <v>300.10000000000002</v>
      </c>
      <c r="BP27" s="65">
        <f t="shared" si="33"/>
        <v>60.000000000002274</v>
      </c>
      <c r="BQ27" s="60">
        <v>52827</v>
      </c>
      <c r="BR27" s="65">
        <f t="shared" si="34"/>
        <v>37</v>
      </c>
      <c r="BS27" s="60">
        <v>211.05</v>
      </c>
      <c r="BT27" s="65">
        <f t="shared" si="35"/>
        <v>40.000000000020464</v>
      </c>
      <c r="BU27" s="60">
        <v>49832</v>
      </c>
      <c r="BV27" s="65">
        <f t="shared" si="36"/>
        <v>41</v>
      </c>
      <c r="BW27" s="60">
        <v>239.28</v>
      </c>
      <c r="BX27" s="65">
        <f t="shared" si="37"/>
        <v>39.999999999992042</v>
      </c>
      <c r="BY27" s="60">
        <v>69556</v>
      </c>
      <c r="BZ27" s="67">
        <f t="shared" si="38"/>
        <v>40</v>
      </c>
      <c r="CA27" s="60">
        <v>43558.1</v>
      </c>
      <c r="CB27" s="67">
        <f t="shared" si="39"/>
        <v>47.400000000001455</v>
      </c>
      <c r="CC27" s="60">
        <v>14463.2</v>
      </c>
      <c r="CD27" s="67">
        <f t="shared" si="40"/>
        <v>29.600000000000364</v>
      </c>
      <c r="CE27" s="60">
        <v>7654.5</v>
      </c>
      <c r="CF27" s="67">
        <f t="shared" si="41"/>
        <v>14.5</v>
      </c>
      <c r="CG27" s="60">
        <v>70170</v>
      </c>
      <c r="CH27" s="67">
        <f t="shared" si="42"/>
        <v>49.899999999994179</v>
      </c>
      <c r="CI27" s="60">
        <v>1018076</v>
      </c>
      <c r="CJ27" s="67">
        <f t="shared" si="43"/>
        <v>277</v>
      </c>
      <c r="CK27" s="60">
        <v>918.6</v>
      </c>
      <c r="CL27" s="64">
        <f t="shared" si="44"/>
        <v>649.99999999997726</v>
      </c>
      <c r="CM27" s="65">
        <f t="shared" si="45"/>
        <v>102.79999999999927</v>
      </c>
      <c r="CN27" s="62">
        <v>40</v>
      </c>
      <c r="CO27" s="62">
        <v>91</v>
      </c>
      <c r="CP27" s="68">
        <v>22843</v>
      </c>
      <c r="CQ27" s="67">
        <f t="shared" si="46"/>
        <v>80</v>
      </c>
      <c r="CR27" s="68">
        <v>19439</v>
      </c>
      <c r="CS27" s="67">
        <f t="shared" si="47"/>
        <v>22.799999999999272</v>
      </c>
      <c r="CT27" s="75">
        <v>8980</v>
      </c>
      <c r="CU27" s="67">
        <f t="shared" si="48"/>
        <v>10</v>
      </c>
      <c r="CV27" s="68">
        <v>22215</v>
      </c>
      <c r="CW27" s="67">
        <f t="shared" si="49"/>
        <v>21</v>
      </c>
      <c r="CX27" s="58">
        <v>1947.3</v>
      </c>
      <c r="CY27" s="67">
        <f t="shared" si="50"/>
        <v>12.700000000000045</v>
      </c>
    </row>
    <row r="28" spans="1:103" ht="25.5" customHeight="1" thickBot="1" x14ac:dyDescent="0.45">
      <c r="A28" s="63">
        <v>44617</v>
      </c>
      <c r="B28" s="44"/>
      <c r="C28" s="58">
        <v>2.9180999999999999</v>
      </c>
      <c r="D28" s="64">
        <f t="shared" si="1"/>
        <v>4299.9999999997481</v>
      </c>
      <c r="E28" s="58">
        <v>4.0061</v>
      </c>
      <c r="F28" s="64">
        <f t="shared" si="2"/>
        <v>3800.0000000000255</v>
      </c>
      <c r="G28" s="58">
        <v>3.9855999999999998</v>
      </c>
      <c r="H28" s="64">
        <f t="shared" si="3"/>
        <v>6399.999999999739</v>
      </c>
      <c r="I28" s="58">
        <v>1.9918</v>
      </c>
      <c r="J28" s="64">
        <f t="shared" si="4"/>
        <v>1800.0000000000239</v>
      </c>
      <c r="K28" s="58">
        <v>3.1417000000000002</v>
      </c>
      <c r="L28" s="64">
        <f t="shared" si="5"/>
        <v>2000.0000000002237</v>
      </c>
      <c r="M28" s="58">
        <v>1.7563</v>
      </c>
      <c r="N28" s="64">
        <f t="shared" si="6"/>
        <v>2000.0000000000018</v>
      </c>
      <c r="O28" s="58">
        <v>17642</v>
      </c>
      <c r="P28" s="67">
        <f t="shared" si="7"/>
        <v>22</v>
      </c>
      <c r="Q28" s="58">
        <v>2042</v>
      </c>
      <c r="R28" s="67">
        <f t="shared" si="8"/>
        <v>6</v>
      </c>
      <c r="S28" s="58">
        <v>1231.8</v>
      </c>
      <c r="T28" s="67">
        <f t="shared" si="9"/>
        <v>1.3999999999998636</v>
      </c>
      <c r="U28" s="58">
        <v>508419.2</v>
      </c>
      <c r="V28" s="67">
        <f t="shared" si="10"/>
        <v>422.40000000002328</v>
      </c>
      <c r="W28" s="58">
        <v>475.01</v>
      </c>
      <c r="X28" s="65">
        <f t="shared" si="11"/>
        <v>409.99999999996817</v>
      </c>
      <c r="Y28" s="58">
        <v>3.5194999999999999</v>
      </c>
      <c r="Z28" s="65">
        <f t="shared" si="12"/>
        <v>3099.9999999998809</v>
      </c>
      <c r="AA28" s="58">
        <v>477.51</v>
      </c>
      <c r="AB28" s="65">
        <f t="shared" si="13"/>
        <v>439.99999999999773</v>
      </c>
      <c r="AC28" s="58">
        <v>462.39</v>
      </c>
      <c r="AD28" s="65">
        <f t="shared" si="14"/>
        <v>560.00000000000227</v>
      </c>
      <c r="AE28" s="58">
        <v>666.61</v>
      </c>
      <c r="AF28" s="65">
        <f t="shared" si="15"/>
        <v>870.00000000000455</v>
      </c>
      <c r="AG28" s="58">
        <v>13637</v>
      </c>
      <c r="AH28" s="67">
        <f t="shared" si="16"/>
        <v>47</v>
      </c>
      <c r="AI28" s="58">
        <v>779.85</v>
      </c>
      <c r="AJ28" s="65">
        <f t="shared" si="17"/>
        <v>899.99999999997726</v>
      </c>
      <c r="AK28" s="58">
        <v>260.55</v>
      </c>
      <c r="AL28" s="65">
        <f t="shared" si="18"/>
        <v>310.00000000000227</v>
      </c>
      <c r="AM28" s="58">
        <v>244.77</v>
      </c>
      <c r="AN28" s="65">
        <f t="shared" si="19"/>
        <v>340.00000000000341</v>
      </c>
      <c r="AO28" s="58">
        <v>235.38</v>
      </c>
      <c r="AP28" s="65">
        <f t="shared" si="20"/>
        <v>340.00000000000341</v>
      </c>
      <c r="AQ28" s="58">
        <v>292.41000000000003</v>
      </c>
      <c r="AR28" s="65">
        <f t="shared" si="21"/>
        <v>290.00000000002046</v>
      </c>
      <c r="AS28" s="58">
        <v>418.77</v>
      </c>
      <c r="AT28" s="65">
        <f t="shared" si="22"/>
        <v>269.99999999998181</v>
      </c>
      <c r="AU28" s="58">
        <v>324.32</v>
      </c>
      <c r="AV28" s="65">
        <f t="shared" si="23"/>
        <v>319.99999999999318</v>
      </c>
      <c r="AW28" s="58">
        <v>356.91</v>
      </c>
      <c r="AX28" s="65">
        <f t="shared" si="24"/>
        <v>300.00000000001137</v>
      </c>
      <c r="AY28" s="58">
        <v>391.31</v>
      </c>
      <c r="AZ28" s="65">
        <f t="shared" si="25"/>
        <v>259.99999999999091</v>
      </c>
      <c r="BA28" s="58">
        <v>411.13</v>
      </c>
      <c r="BB28" s="65">
        <f t="shared" si="26"/>
        <v>259.99999999999091</v>
      </c>
      <c r="BC28" s="58">
        <v>263.66000000000003</v>
      </c>
      <c r="BD28" s="65">
        <f t="shared" si="27"/>
        <v>220.00000000002728</v>
      </c>
      <c r="BE28" s="59">
        <v>48492</v>
      </c>
      <c r="BF28" s="67">
        <f t="shared" si="28"/>
        <v>36</v>
      </c>
      <c r="BG28" s="60">
        <v>244.39</v>
      </c>
      <c r="BH28" s="65">
        <f t="shared" si="29"/>
        <v>59.999999999973852</v>
      </c>
      <c r="BI28" s="60">
        <v>300.08999999999997</v>
      </c>
      <c r="BJ28" s="65">
        <f t="shared" si="30"/>
        <v>39.99999999996362</v>
      </c>
      <c r="BK28" s="60">
        <v>246.99</v>
      </c>
      <c r="BL28" s="65">
        <f t="shared" si="31"/>
        <v>40.000000000020464</v>
      </c>
      <c r="BM28" s="60">
        <v>234.12</v>
      </c>
      <c r="BN28" s="65">
        <f t="shared" si="32"/>
        <v>50.000000000011369</v>
      </c>
      <c r="BO28" s="60">
        <v>300.17</v>
      </c>
      <c r="BP28" s="65">
        <f t="shared" si="33"/>
        <v>69.999999999993179</v>
      </c>
      <c r="BQ28" s="60">
        <v>52866</v>
      </c>
      <c r="BR28" s="65">
        <f t="shared" si="34"/>
        <v>39</v>
      </c>
      <c r="BS28" s="60">
        <v>211.1</v>
      </c>
      <c r="BT28" s="65">
        <f t="shared" si="35"/>
        <v>49.999999999982947</v>
      </c>
      <c r="BU28" s="60">
        <v>49873</v>
      </c>
      <c r="BV28" s="65">
        <f t="shared" si="36"/>
        <v>41</v>
      </c>
      <c r="BW28" s="60">
        <v>239.33</v>
      </c>
      <c r="BX28" s="65">
        <f t="shared" si="37"/>
        <v>50.000000000011369</v>
      </c>
      <c r="BY28" s="60">
        <v>69600</v>
      </c>
      <c r="BZ28" s="67">
        <f t="shared" si="38"/>
        <v>44</v>
      </c>
      <c r="CA28" s="60">
        <v>43598.6</v>
      </c>
      <c r="CB28" s="67">
        <f t="shared" si="39"/>
        <v>40.5</v>
      </c>
      <c r="CC28" s="60">
        <v>14475.1</v>
      </c>
      <c r="CD28" s="67">
        <f t="shared" si="40"/>
        <v>11.899999999999636</v>
      </c>
      <c r="CE28" s="60">
        <v>7663</v>
      </c>
      <c r="CF28" s="67">
        <f t="shared" si="41"/>
        <v>8.5</v>
      </c>
      <c r="CG28" s="60">
        <v>70210.5</v>
      </c>
      <c r="CH28" s="67">
        <f t="shared" si="42"/>
        <v>40.5</v>
      </c>
      <c r="CI28" s="60">
        <v>1018404</v>
      </c>
      <c r="CJ28" s="67">
        <f t="shared" si="43"/>
        <v>328</v>
      </c>
      <c r="CK28" s="60">
        <v>919.36</v>
      </c>
      <c r="CL28" s="64">
        <f t="shared" si="44"/>
        <v>759.99999999999091</v>
      </c>
      <c r="CM28" s="65">
        <f t="shared" si="45"/>
        <v>114</v>
      </c>
      <c r="CN28" s="62">
        <v>41</v>
      </c>
      <c r="CO28" s="62">
        <v>93</v>
      </c>
      <c r="CP28" s="68">
        <v>22932</v>
      </c>
      <c r="CQ28" s="67">
        <f t="shared" si="46"/>
        <v>89</v>
      </c>
      <c r="CR28" s="68">
        <v>19464</v>
      </c>
      <c r="CS28" s="67">
        <f t="shared" si="47"/>
        <v>25</v>
      </c>
      <c r="CT28" s="75">
        <v>8989</v>
      </c>
      <c r="CU28" s="67">
        <f t="shared" si="48"/>
        <v>9</v>
      </c>
      <c r="CV28" s="68">
        <v>22253</v>
      </c>
      <c r="CW28" s="67">
        <f t="shared" si="49"/>
        <v>38</v>
      </c>
      <c r="CX28" s="58">
        <v>1959.9</v>
      </c>
      <c r="CY28" s="67">
        <f t="shared" si="50"/>
        <v>12.600000000000136</v>
      </c>
    </row>
    <row r="29" spans="1:103" ht="25.5" customHeight="1" thickBot="1" x14ac:dyDescent="0.45">
      <c r="A29" s="63">
        <v>44618</v>
      </c>
      <c r="B29" s="44"/>
      <c r="C29" s="58"/>
      <c r="D29" s="64" t="str">
        <f t="shared" si="1"/>
        <v>0</v>
      </c>
      <c r="E29" s="58"/>
      <c r="F29" s="64" t="str">
        <f t="shared" si="2"/>
        <v>0</v>
      </c>
      <c r="G29" s="58"/>
      <c r="H29" s="64" t="str">
        <f t="shared" si="3"/>
        <v>0</v>
      </c>
      <c r="I29" s="58"/>
      <c r="J29" s="64" t="str">
        <f t="shared" si="4"/>
        <v>0</v>
      </c>
      <c r="K29" s="58"/>
      <c r="L29" s="64" t="str">
        <f t="shared" si="5"/>
        <v>0</v>
      </c>
      <c r="M29" s="58"/>
      <c r="N29" s="64" t="str">
        <f t="shared" si="6"/>
        <v/>
      </c>
      <c r="O29" s="58"/>
      <c r="P29" s="67" t="str">
        <f t="shared" si="7"/>
        <v/>
      </c>
      <c r="Q29" s="58"/>
      <c r="R29" s="67" t="str">
        <f t="shared" si="8"/>
        <v/>
      </c>
      <c r="S29" s="58"/>
      <c r="T29" s="67" t="str">
        <f t="shared" si="9"/>
        <v/>
      </c>
      <c r="U29" s="58"/>
      <c r="V29" s="67" t="str">
        <f t="shared" si="10"/>
        <v/>
      </c>
      <c r="W29" s="58"/>
      <c r="X29" s="65" t="str">
        <f t="shared" si="11"/>
        <v/>
      </c>
      <c r="Y29" s="58"/>
      <c r="Z29" s="65" t="str">
        <f t="shared" si="12"/>
        <v/>
      </c>
      <c r="AA29" s="58"/>
      <c r="AB29" s="65" t="str">
        <f t="shared" si="13"/>
        <v/>
      </c>
      <c r="AC29" s="58"/>
      <c r="AD29" s="65" t="str">
        <f t="shared" si="14"/>
        <v/>
      </c>
      <c r="AE29" s="58"/>
      <c r="AF29" s="65" t="str">
        <f t="shared" si="15"/>
        <v/>
      </c>
      <c r="AG29" s="58"/>
      <c r="AH29" s="67" t="str">
        <f t="shared" si="16"/>
        <v/>
      </c>
      <c r="AI29" s="58"/>
      <c r="AJ29" s="65" t="str">
        <f t="shared" si="17"/>
        <v/>
      </c>
      <c r="AK29" s="58"/>
      <c r="AL29" s="65" t="str">
        <f t="shared" si="18"/>
        <v/>
      </c>
      <c r="AM29" s="58"/>
      <c r="AN29" s="65" t="str">
        <f t="shared" si="19"/>
        <v/>
      </c>
      <c r="AO29" s="58"/>
      <c r="AP29" s="65" t="str">
        <f t="shared" si="20"/>
        <v/>
      </c>
      <c r="AQ29" s="58"/>
      <c r="AR29" s="65" t="str">
        <f t="shared" si="21"/>
        <v/>
      </c>
      <c r="AS29" s="58"/>
      <c r="AT29" s="65" t="str">
        <f t="shared" si="22"/>
        <v/>
      </c>
      <c r="AU29" s="58"/>
      <c r="AV29" s="65" t="str">
        <f t="shared" si="23"/>
        <v/>
      </c>
      <c r="AW29" s="58"/>
      <c r="AX29" s="65" t="str">
        <f t="shared" si="24"/>
        <v/>
      </c>
      <c r="AY29" s="58"/>
      <c r="AZ29" s="65" t="str">
        <f t="shared" si="25"/>
        <v/>
      </c>
      <c r="BA29" s="58"/>
      <c r="BB29" s="65" t="str">
        <f t="shared" si="26"/>
        <v/>
      </c>
      <c r="BC29" s="58"/>
      <c r="BD29" s="65" t="str">
        <f t="shared" si="27"/>
        <v/>
      </c>
      <c r="BE29" s="59"/>
      <c r="BF29" s="67" t="str">
        <f t="shared" si="28"/>
        <v/>
      </c>
      <c r="BG29" s="60"/>
      <c r="BH29" s="65" t="str">
        <f t="shared" si="29"/>
        <v/>
      </c>
      <c r="BI29" s="60"/>
      <c r="BJ29" s="65" t="str">
        <f t="shared" si="30"/>
        <v/>
      </c>
      <c r="BK29" s="60"/>
      <c r="BL29" s="65" t="str">
        <f t="shared" si="31"/>
        <v/>
      </c>
      <c r="BM29" s="60"/>
      <c r="BN29" s="65" t="str">
        <f t="shared" si="32"/>
        <v/>
      </c>
      <c r="BO29" s="60"/>
      <c r="BP29" s="65" t="str">
        <f t="shared" si="33"/>
        <v/>
      </c>
      <c r="BQ29" s="60"/>
      <c r="BR29" s="65" t="str">
        <f t="shared" si="34"/>
        <v/>
      </c>
      <c r="BS29" s="60"/>
      <c r="BT29" s="65" t="str">
        <f t="shared" si="35"/>
        <v/>
      </c>
      <c r="BU29" s="60"/>
      <c r="BV29" s="65" t="str">
        <f t="shared" si="36"/>
        <v/>
      </c>
      <c r="BW29" s="60"/>
      <c r="BX29" s="65" t="str">
        <f t="shared" si="37"/>
        <v/>
      </c>
      <c r="BY29" s="60"/>
      <c r="BZ29" s="67" t="str">
        <f t="shared" si="38"/>
        <v/>
      </c>
      <c r="CA29" s="60"/>
      <c r="CB29" s="67" t="str">
        <f t="shared" si="39"/>
        <v/>
      </c>
      <c r="CC29" s="60"/>
      <c r="CD29" s="67" t="str">
        <f t="shared" si="40"/>
        <v/>
      </c>
      <c r="CE29" s="60"/>
      <c r="CF29" s="67" t="str">
        <f t="shared" si="41"/>
        <v/>
      </c>
      <c r="CG29" s="60"/>
      <c r="CH29" s="67" t="str">
        <f t="shared" si="42"/>
        <v/>
      </c>
      <c r="CI29" s="60"/>
      <c r="CJ29" s="67" t="str">
        <f t="shared" si="43"/>
        <v/>
      </c>
      <c r="CK29" s="60"/>
      <c r="CL29" s="64" t="str">
        <f t="shared" si="44"/>
        <v/>
      </c>
      <c r="CM29" s="65" t="e">
        <f t="shared" si="45"/>
        <v>#VALUE!</v>
      </c>
      <c r="CN29" s="62"/>
      <c r="CO29" s="62"/>
      <c r="CP29" s="68"/>
      <c r="CQ29" s="67" t="str">
        <f t="shared" si="46"/>
        <v/>
      </c>
      <c r="CR29" s="68"/>
      <c r="CS29" s="67" t="str">
        <f t="shared" si="47"/>
        <v/>
      </c>
      <c r="CT29" s="75"/>
      <c r="CU29" s="67" t="str">
        <f t="shared" si="48"/>
        <v/>
      </c>
      <c r="CV29" s="68"/>
      <c r="CW29" s="67" t="str">
        <f t="shared" si="49"/>
        <v/>
      </c>
      <c r="CX29" s="58"/>
      <c r="CY29" s="67" t="str">
        <f t="shared" si="50"/>
        <v/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B33" sqref="B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>
        <v>0</v>
      </c>
      <c r="C15" s="40">
        <v>17</v>
      </c>
      <c r="D15" s="40">
        <v>38</v>
      </c>
      <c r="E15" s="41">
        <v>85</v>
      </c>
      <c r="F15" s="41">
        <v>6483</v>
      </c>
      <c r="G15" s="41">
        <v>20</v>
      </c>
      <c r="H15" s="41">
        <v>2029</v>
      </c>
      <c r="I15" s="41">
        <v>85</v>
      </c>
      <c r="J15" s="41">
        <v>541</v>
      </c>
      <c r="K15" s="42">
        <v>34</v>
      </c>
      <c r="L15" s="42">
        <v>85</v>
      </c>
      <c r="M15" s="42">
        <v>1576</v>
      </c>
      <c r="N15" s="39">
        <v>85</v>
      </c>
      <c r="O15" s="39">
        <v>65</v>
      </c>
      <c r="P15" s="39">
        <v>82</v>
      </c>
      <c r="Q15" s="39">
        <v>4662</v>
      </c>
      <c r="R15" s="77">
        <v>83</v>
      </c>
      <c r="S15" s="77">
        <v>220</v>
      </c>
      <c r="T15">
        <f t="shared" si="1"/>
        <v>0</v>
      </c>
    </row>
    <row r="16" spans="1:20" x14ac:dyDescent="0.25">
      <c r="A16" s="73">
        <v>44601</v>
      </c>
      <c r="B16" s="40">
        <v>0</v>
      </c>
      <c r="C16" s="40">
        <v>17</v>
      </c>
      <c r="D16" s="40">
        <v>38</v>
      </c>
      <c r="E16" s="41">
        <v>85</v>
      </c>
      <c r="F16" s="41">
        <v>6489</v>
      </c>
      <c r="G16" s="41">
        <v>15</v>
      </c>
      <c r="H16" s="41">
        <v>2031</v>
      </c>
      <c r="I16" s="41">
        <v>85</v>
      </c>
      <c r="J16" s="41">
        <v>541</v>
      </c>
      <c r="K16" s="42">
        <v>30</v>
      </c>
      <c r="L16" s="42">
        <v>85</v>
      </c>
      <c r="M16" s="42">
        <v>1578</v>
      </c>
      <c r="N16" s="39">
        <v>85</v>
      </c>
      <c r="O16" s="39">
        <v>61</v>
      </c>
      <c r="P16" s="39">
        <v>82</v>
      </c>
      <c r="Q16" s="39">
        <v>4665</v>
      </c>
      <c r="R16" s="77">
        <v>83</v>
      </c>
      <c r="S16" s="77">
        <v>220</v>
      </c>
      <c r="T16">
        <f t="shared" si="1"/>
        <v>0</v>
      </c>
    </row>
    <row r="17" spans="1:20" x14ac:dyDescent="0.25">
      <c r="A17" s="73">
        <v>44602</v>
      </c>
      <c r="B17" s="40">
        <v>0</v>
      </c>
      <c r="C17" s="40">
        <v>24</v>
      </c>
      <c r="D17" s="40">
        <v>57</v>
      </c>
      <c r="E17" s="41">
        <v>85</v>
      </c>
      <c r="F17" s="41">
        <v>6493</v>
      </c>
      <c r="G17" s="41">
        <v>8</v>
      </c>
      <c r="H17" s="41">
        <v>2034</v>
      </c>
      <c r="I17" s="41">
        <v>85</v>
      </c>
      <c r="J17" s="41">
        <v>541</v>
      </c>
      <c r="K17" s="42">
        <v>29</v>
      </c>
      <c r="L17" s="42">
        <v>85</v>
      </c>
      <c r="M17" s="42">
        <v>1578</v>
      </c>
      <c r="N17" s="39">
        <v>85</v>
      </c>
      <c r="O17" s="39">
        <v>60</v>
      </c>
      <c r="P17" s="39">
        <v>82</v>
      </c>
      <c r="Q17" s="39">
        <v>4667</v>
      </c>
      <c r="R17" s="77">
        <v>83</v>
      </c>
      <c r="S17" s="77">
        <v>220</v>
      </c>
      <c r="T17">
        <f t="shared" si="1"/>
        <v>0</v>
      </c>
    </row>
    <row r="18" spans="1:20" x14ac:dyDescent="0.25">
      <c r="A18" s="73">
        <v>44603</v>
      </c>
      <c r="B18" s="40">
        <v>0</v>
      </c>
      <c r="C18" s="40">
        <v>24</v>
      </c>
      <c r="D18" s="40">
        <v>57</v>
      </c>
      <c r="E18" s="41">
        <v>85</v>
      </c>
      <c r="F18" s="41">
        <v>6498</v>
      </c>
      <c r="G18" s="41">
        <v>0</v>
      </c>
      <c r="H18" s="41">
        <v>2036</v>
      </c>
      <c r="I18" s="41">
        <v>85</v>
      </c>
      <c r="J18" s="41">
        <v>541</v>
      </c>
      <c r="K18" s="42">
        <v>29</v>
      </c>
      <c r="L18" s="42">
        <v>85</v>
      </c>
      <c r="M18" s="42">
        <v>1580</v>
      </c>
      <c r="N18" s="39">
        <v>85</v>
      </c>
      <c r="O18" s="39">
        <v>55</v>
      </c>
      <c r="P18" s="39">
        <v>82</v>
      </c>
      <c r="Q18" s="39">
        <v>4669</v>
      </c>
      <c r="R18" s="77">
        <v>83</v>
      </c>
      <c r="S18" s="77">
        <v>220</v>
      </c>
      <c r="T18">
        <f t="shared" si="1"/>
        <v>0</v>
      </c>
    </row>
    <row r="19" spans="1:20" x14ac:dyDescent="0.25">
      <c r="A19" s="73">
        <v>44604</v>
      </c>
      <c r="B19" s="40">
        <v>0</v>
      </c>
      <c r="C19" s="40">
        <v>23</v>
      </c>
      <c r="D19" s="40">
        <v>53</v>
      </c>
      <c r="E19" s="41">
        <v>85</v>
      </c>
      <c r="F19" s="41">
        <v>6504</v>
      </c>
      <c r="G19" s="41">
        <v>0</v>
      </c>
      <c r="H19" s="41">
        <v>2039</v>
      </c>
      <c r="I19" s="41">
        <v>85</v>
      </c>
      <c r="J19" s="41">
        <v>541</v>
      </c>
      <c r="K19" s="42">
        <v>29</v>
      </c>
      <c r="L19" s="42">
        <v>85</v>
      </c>
      <c r="M19" s="42">
        <v>1580</v>
      </c>
      <c r="N19" s="39">
        <v>85</v>
      </c>
      <c r="O19" s="39">
        <v>50</v>
      </c>
      <c r="P19" s="39">
        <v>82</v>
      </c>
      <c r="Q19" s="39">
        <v>4671</v>
      </c>
      <c r="R19" s="77">
        <v>83</v>
      </c>
      <c r="S19" s="77">
        <v>220</v>
      </c>
      <c r="T19">
        <f t="shared" si="1"/>
        <v>0</v>
      </c>
    </row>
    <row r="20" spans="1:20" x14ac:dyDescent="0.25">
      <c r="A20" s="73">
        <v>44605</v>
      </c>
      <c r="B20" s="40">
        <v>0</v>
      </c>
      <c r="C20" s="40">
        <v>22</v>
      </c>
      <c r="D20" s="40">
        <v>52</v>
      </c>
      <c r="E20" s="41">
        <v>85</v>
      </c>
      <c r="F20" s="41">
        <v>6507</v>
      </c>
      <c r="G20" s="41">
        <v>0</v>
      </c>
      <c r="H20" s="41">
        <v>2041</v>
      </c>
      <c r="I20" s="41">
        <v>82</v>
      </c>
      <c r="J20" s="41">
        <v>541</v>
      </c>
      <c r="K20" s="42">
        <v>25</v>
      </c>
      <c r="L20" s="42">
        <v>85</v>
      </c>
      <c r="M20" s="42">
        <v>1581</v>
      </c>
      <c r="N20" s="39">
        <v>85</v>
      </c>
      <c r="O20" s="39">
        <v>46</v>
      </c>
      <c r="P20" s="39">
        <v>83</v>
      </c>
      <c r="Q20" s="39">
        <v>4676</v>
      </c>
      <c r="R20" s="77">
        <v>83</v>
      </c>
      <c r="S20" s="77">
        <v>220</v>
      </c>
      <c r="T20">
        <f t="shared" si="1"/>
        <v>0</v>
      </c>
    </row>
    <row r="21" spans="1:20" x14ac:dyDescent="0.25">
      <c r="A21" s="73">
        <v>44606</v>
      </c>
      <c r="B21" s="40">
        <v>0</v>
      </c>
      <c r="C21" s="40">
        <v>22</v>
      </c>
      <c r="D21" s="40">
        <v>52</v>
      </c>
      <c r="E21" s="41">
        <v>85</v>
      </c>
      <c r="F21" s="41">
        <v>6512</v>
      </c>
      <c r="G21" s="41">
        <v>0</v>
      </c>
      <c r="H21" s="41">
        <v>2044</v>
      </c>
      <c r="I21" s="41">
        <v>75</v>
      </c>
      <c r="J21" s="41">
        <v>541</v>
      </c>
      <c r="K21" s="42">
        <v>20</v>
      </c>
      <c r="L21" s="42">
        <v>85</v>
      </c>
      <c r="M21" s="42">
        <v>1584</v>
      </c>
      <c r="N21" s="39">
        <v>85</v>
      </c>
      <c r="O21" s="39">
        <v>45</v>
      </c>
      <c r="P21" s="39">
        <v>83</v>
      </c>
      <c r="Q21" s="39">
        <v>4678</v>
      </c>
      <c r="R21" s="77">
        <v>83</v>
      </c>
      <c r="S21" s="77">
        <v>220</v>
      </c>
      <c r="T21">
        <f t="shared" si="1"/>
        <v>0</v>
      </c>
    </row>
    <row r="22" spans="1:20" x14ac:dyDescent="0.25">
      <c r="A22" s="73">
        <v>44607</v>
      </c>
      <c r="B22" s="40">
        <v>0</v>
      </c>
      <c r="C22" s="40">
        <v>22</v>
      </c>
      <c r="D22" s="40">
        <v>52</v>
      </c>
      <c r="E22" s="41">
        <v>85</v>
      </c>
      <c r="F22" s="41">
        <v>6517</v>
      </c>
      <c r="G22" s="41">
        <v>0</v>
      </c>
      <c r="H22" s="41">
        <v>2046</v>
      </c>
      <c r="I22" s="41">
        <v>65</v>
      </c>
      <c r="J22" s="41">
        <v>541</v>
      </c>
      <c r="K22" s="42">
        <v>20</v>
      </c>
      <c r="L22" s="42">
        <v>85</v>
      </c>
      <c r="M22" s="42">
        <v>1584</v>
      </c>
      <c r="N22" s="39">
        <v>85</v>
      </c>
      <c r="O22" s="39">
        <v>43</v>
      </c>
      <c r="P22" s="39">
        <v>83</v>
      </c>
      <c r="Q22" s="39">
        <v>4680</v>
      </c>
      <c r="R22" s="77">
        <v>83</v>
      </c>
      <c r="S22" s="77">
        <v>220</v>
      </c>
      <c r="T22">
        <f t="shared" si="1"/>
        <v>0</v>
      </c>
    </row>
    <row r="23" spans="1:20" x14ac:dyDescent="0.25">
      <c r="A23" s="73">
        <v>44608</v>
      </c>
      <c r="B23" s="40">
        <v>0</v>
      </c>
      <c r="C23" s="40">
        <v>22</v>
      </c>
      <c r="D23" s="40">
        <v>52</v>
      </c>
      <c r="E23" s="41">
        <v>85</v>
      </c>
      <c r="F23" s="41">
        <v>6522</v>
      </c>
      <c r="G23" s="41">
        <v>0</v>
      </c>
      <c r="H23" s="41">
        <v>2048</v>
      </c>
      <c r="I23" s="41">
        <v>55</v>
      </c>
      <c r="J23" s="41">
        <v>541</v>
      </c>
      <c r="K23" s="42">
        <v>20</v>
      </c>
      <c r="L23" s="42">
        <v>85</v>
      </c>
      <c r="M23" s="42">
        <v>1586</v>
      </c>
      <c r="N23" s="39">
        <v>85</v>
      </c>
      <c r="O23" s="39">
        <v>40</v>
      </c>
      <c r="P23" s="39">
        <v>83</v>
      </c>
      <c r="Q23" s="39">
        <v>4682</v>
      </c>
      <c r="R23" s="77">
        <v>83</v>
      </c>
      <c r="S23" s="77">
        <v>220</v>
      </c>
      <c r="T23">
        <f t="shared" si="1"/>
        <v>0</v>
      </c>
    </row>
    <row r="24" spans="1:20" x14ac:dyDescent="0.25">
      <c r="A24" s="73">
        <v>44609</v>
      </c>
      <c r="B24" s="40">
        <v>0</v>
      </c>
      <c r="C24" s="40">
        <v>24</v>
      </c>
      <c r="D24" s="40">
        <v>55</v>
      </c>
      <c r="E24" s="41">
        <v>85</v>
      </c>
      <c r="F24" s="41">
        <v>6530</v>
      </c>
      <c r="G24" s="41">
        <v>0</v>
      </c>
      <c r="H24" s="41">
        <v>2051</v>
      </c>
      <c r="I24" s="41">
        <v>45</v>
      </c>
      <c r="J24" s="41">
        <v>541</v>
      </c>
      <c r="K24" s="42">
        <v>18</v>
      </c>
      <c r="L24" s="42">
        <v>85</v>
      </c>
      <c r="M24" s="42">
        <v>1587</v>
      </c>
      <c r="N24" s="39">
        <v>85</v>
      </c>
      <c r="O24" s="39">
        <v>34</v>
      </c>
      <c r="P24" s="39">
        <v>83</v>
      </c>
      <c r="Q24" s="39">
        <v>4687</v>
      </c>
      <c r="R24" s="77">
        <v>83</v>
      </c>
      <c r="S24" s="77">
        <v>220</v>
      </c>
      <c r="T24">
        <f t="shared" si="1"/>
        <v>0</v>
      </c>
    </row>
    <row r="25" spans="1:20" x14ac:dyDescent="0.25">
      <c r="A25" s="73">
        <v>44610</v>
      </c>
      <c r="B25" s="40">
        <v>0</v>
      </c>
      <c r="C25" s="40">
        <v>22</v>
      </c>
      <c r="D25" s="40">
        <v>48</v>
      </c>
      <c r="E25" s="41">
        <v>85</v>
      </c>
      <c r="F25" s="41">
        <v>6533</v>
      </c>
      <c r="G25" s="41">
        <v>0</v>
      </c>
      <c r="H25" s="41">
        <v>2052</v>
      </c>
      <c r="I25" s="41">
        <v>40</v>
      </c>
      <c r="J25" s="41">
        <v>541</v>
      </c>
      <c r="K25" s="42">
        <v>18</v>
      </c>
      <c r="L25" s="42">
        <v>85</v>
      </c>
      <c r="M25" s="42">
        <v>1588</v>
      </c>
      <c r="N25" s="39">
        <v>85</v>
      </c>
      <c r="O25" s="39">
        <v>30</v>
      </c>
      <c r="P25" s="39">
        <v>83</v>
      </c>
      <c r="Q25" s="39">
        <v>4688</v>
      </c>
      <c r="R25" s="77">
        <v>83</v>
      </c>
      <c r="S25" s="77">
        <v>220</v>
      </c>
      <c r="T25">
        <f t="shared" si="1"/>
        <v>0</v>
      </c>
    </row>
    <row r="26" spans="1:20" x14ac:dyDescent="0.25">
      <c r="A26" s="73">
        <v>44611</v>
      </c>
      <c r="B26" s="40">
        <v>0</v>
      </c>
      <c r="C26" s="79">
        <v>27</v>
      </c>
      <c r="D26" s="79">
        <v>60</v>
      </c>
      <c r="E26" s="41">
        <v>85</v>
      </c>
      <c r="F26" s="41">
        <v>6538</v>
      </c>
      <c r="G26" s="41">
        <v>0</v>
      </c>
      <c r="H26" s="41">
        <v>2055</v>
      </c>
      <c r="I26" s="41">
        <v>25</v>
      </c>
      <c r="J26" s="41">
        <v>541</v>
      </c>
      <c r="K26" s="42">
        <v>15</v>
      </c>
      <c r="L26" s="42">
        <v>85</v>
      </c>
      <c r="M26" s="42">
        <v>1588</v>
      </c>
      <c r="N26" s="39">
        <v>85</v>
      </c>
      <c r="O26" s="39">
        <v>30</v>
      </c>
      <c r="P26" s="39">
        <v>83</v>
      </c>
      <c r="Q26" s="39">
        <v>4690</v>
      </c>
      <c r="R26" s="77">
        <v>83</v>
      </c>
      <c r="S26" s="77">
        <v>220</v>
      </c>
      <c r="T26">
        <f t="shared" si="1"/>
        <v>0</v>
      </c>
    </row>
    <row r="27" spans="1:20" x14ac:dyDescent="0.25">
      <c r="A27" s="73">
        <v>44612</v>
      </c>
      <c r="B27" s="40">
        <v>0</v>
      </c>
      <c r="C27" s="40">
        <v>27</v>
      </c>
      <c r="D27" s="40">
        <v>60</v>
      </c>
      <c r="E27" s="41">
        <v>85</v>
      </c>
      <c r="F27" s="41">
        <v>6544</v>
      </c>
      <c r="G27" s="41">
        <v>0</v>
      </c>
      <c r="H27" s="41">
        <v>2057</v>
      </c>
      <c r="I27" s="41">
        <v>19</v>
      </c>
      <c r="J27" s="41">
        <v>541</v>
      </c>
      <c r="K27" s="42">
        <v>15</v>
      </c>
      <c r="L27" s="42">
        <v>85</v>
      </c>
      <c r="M27" s="42">
        <v>1591</v>
      </c>
      <c r="N27" s="39">
        <v>85</v>
      </c>
      <c r="O27" s="39">
        <v>29</v>
      </c>
      <c r="P27" s="39">
        <v>83</v>
      </c>
      <c r="Q27" s="39">
        <v>4693</v>
      </c>
      <c r="R27" s="77">
        <v>83</v>
      </c>
      <c r="S27" s="77">
        <v>220</v>
      </c>
      <c r="T27">
        <f t="shared" si="1"/>
        <v>0</v>
      </c>
    </row>
    <row r="28" spans="1:20" x14ac:dyDescent="0.25">
      <c r="A28" s="73">
        <v>44613</v>
      </c>
      <c r="B28" s="40">
        <v>0</v>
      </c>
      <c r="C28" s="40">
        <v>29</v>
      </c>
      <c r="D28" s="40">
        <v>63</v>
      </c>
      <c r="E28" s="41">
        <v>85</v>
      </c>
      <c r="F28" s="41">
        <v>6548</v>
      </c>
      <c r="G28" s="41">
        <v>0</v>
      </c>
      <c r="H28" s="41">
        <v>2059</v>
      </c>
      <c r="I28" s="41">
        <v>11</v>
      </c>
      <c r="J28" s="41">
        <v>541</v>
      </c>
      <c r="K28" s="42">
        <v>15</v>
      </c>
      <c r="L28" s="42">
        <v>85</v>
      </c>
      <c r="M28" s="42">
        <v>1592</v>
      </c>
      <c r="N28" s="39">
        <v>85</v>
      </c>
      <c r="O28" s="39">
        <v>20</v>
      </c>
      <c r="P28" s="39">
        <v>83</v>
      </c>
      <c r="Q28" s="39">
        <v>4696</v>
      </c>
      <c r="R28" s="77">
        <v>83</v>
      </c>
      <c r="S28" s="77">
        <v>220</v>
      </c>
      <c r="T28">
        <f t="shared" si="1"/>
        <v>0</v>
      </c>
    </row>
    <row r="29" spans="1:20" x14ac:dyDescent="0.25">
      <c r="A29" s="73">
        <v>44614</v>
      </c>
      <c r="B29" s="40">
        <v>0</v>
      </c>
      <c r="C29" s="40">
        <v>29</v>
      </c>
      <c r="D29" s="40">
        <v>63</v>
      </c>
      <c r="E29" s="41">
        <v>85</v>
      </c>
      <c r="F29" s="41">
        <v>6555</v>
      </c>
      <c r="G29" s="41">
        <v>84</v>
      </c>
      <c r="H29" s="41">
        <v>2061</v>
      </c>
      <c r="I29" s="41">
        <v>85</v>
      </c>
      <c r="J29" s="41">
        <v>541</v>
      </c>
      <c r="K29" s="42">
        <v>85</v>
      </c>
      <c r="L29" s="42">
        <v>85</v>
      </c>
      <c r="M29" s="42">
        <v>1592</v>
      </c>
      <c r="N29" s="39">
        <v>85</v>
      </c>
      <c r="O29" s="39">
        <v>85</v>
      </c>
      <c r="P29" s="39">
        <v>83</v>
      </c>
      <c r="Q29" s="39">
        <v>4699</v>
      </c>
      <c r="R29" s="77">
        <v>83</v>
      </c>
      <c r="S29" s="77">
        <v>220</v>
      </c>
      <c r="T29">
        <f t="shared" si="1"/>
        <v>0</v>
      </c>
    </row>
    <row r="30" spans="1:20" x14ac:dyDescent="0.25">
      <c r="A30" s="73">
        <v>44615</v>
      </c>
      <c r="B30" s="40">
        <v>0</v>
      </c>
      <c r="C30" s="40">
        <v>29</v>
      </c>
      <c r="D30" s="40">
        <v>63</v>
      </c>
      <c r="E30" s="41">
        <v>85</v>
      </c>
      <c r="F30" s="41">
        <v>6560</v>
      </c>
      <c r="G30" s="41">
        <v>76</v>
      </c>
      <c r="H30" s="41">
        <v>2064</v>
      </c>
      <c r="I30" s="41">
        <v>85</v>
      </c>
      <c r="J30" s="41">
        <v>541</v>
      </c>
      <c r="K30" s="42">
        <v>85</v>
      </c>
      <c r="L30" s="42">
        <v>85</v>
      </c>
      <c r="M30" s="42">
        <v>1594</v>
      </c>
      <c r="N30" s="39">
        <v>85</v>
      </c>
      <c r="O30" s="39">
        <v>85</v>
      </c>
      <c r="P30" s="39">
        <v>83</v>
      </c>
      <c r="Q30" s="39">
        <v>4701</v>
      </c>
      <c r="R30" s="77">
        <v>83</v>
      </c>
      <c r="S30" s="77">
        <v>220</v>
      </c>
      <c r="T30">
        <f t="shared" si="1"/>
        <v>0</v>
      </c>
    </row>
    <row r="31" spans="1:20" x14ac:dyDescent="0.25">
      <c r="A31" s="73">
        <v>44616</v>
      </c>
      <c r="B31" s="40">
        <v>0</v>
      </c>
      <c r="C31" s="40">
        <v>40</v>
      </c>
      <c r="D31" s="40">
        <v>91</v>
      </c>
      <c r="E31" s="41">
        <v>85</v>
      </c>
      <c r="F31" s="41">
        <v>6564</v>
      </c>
      <c r="G31" s="41">
        <v>60</v>
      </c>
      <c r="H31" s="41">
        <v>2068</v>
      </c>
      <c r="I31" s="41">
        <v>85</v>
      </c>
      <c r="J31" s="41">
        <v>541</v>
      </c>
      <c r="K31" s="42">
        <v>85</v>
      </c>
      <c r="L31" s="42">
        <v>85</v>
      </c>
      <c r="M31" s="42">
        <v>1594</v>
      </c>
      <c r="N31" s="39">
        <v>85</v>
      </c>
      <c r="O31" s="39">
        <v>80</v>
      </c>
      <c r="P31" s="39">
        <v>83</v>
      </c>
      <c r="Q31" s="39">
        <v>4705</v>
      </c>
      <c r="R31" s="77">
        <v>83</v>
      </c>
      <c r="S31" s="77">
        <v>220</v>
      </c>
      <c r="T31">
        <f t="shared" si="1"/>
        <v>0</v>
      </c>
    </row>
    <row r="32" spans="1:20" x14ac:dyDescent="0.25">
      <c r="A32" s="73">
        <v>44617</v>
      </c>
      <c r="B32" s="40">
        <v>0</v>
      </c>
      <c r="C32" s="40">
        <v>41</v>
      </c>
      <c r="D32" s="40">
        <v>93</v>
      </c>
      <c r="E32" s="41">
        <v>85</v>
      </c>
      <c r="F32" s="41">
        <v>6573</v>
      </c>
      <c r="G32" s="41">
        <v>50</v>
      </c>
      <c r="H32" s="41">
        <v>2070</v>
      </c>
      <c r="I32" s="41">
        <v>85</v>
      </c>
      <c r="J32" s="41">
        <v>541</v>
      </c>
      <c r="K32" s="42">
        <v>85</v>
      </c>
      <c r="L32" s="42">
        <v>83</v>
      </c>
      <c r="M32" s="42">
        <v>1597</v>
      </c>
      <c r="N32" s="39">
        <v>85</v>
      </c>
      <c r="O32" s="39">
        <v>80</v>
      </c>
      <c r="P32" s="39">
        <v>83</v>
      </c>
      <c r="Q32" s="39">
        <v>4708</v>
      </c>
      <c r="R32" s="77">
        <v>82</v>
      </c>
      <c r="S32" s="77">
        <v>220</v>
      </c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-220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2022-02-26T19:30:00Z</dcterms:modified>
</cp:coreProperties>
</file>