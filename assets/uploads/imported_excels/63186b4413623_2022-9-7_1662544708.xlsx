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0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4927" documentId="8_{5B502D95-7A37-4D5A-8B6B-374537CC2F26}" xr6:coauthVersionLast="47" xr6:coauthVersionMax="47" xr10:uidLastSave="{AF89169D-0FBD-4CD5-AADA-02B88298F208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4" i="2" l="1"/>
  <c r="V15" i="2"/>
  <c r="N15" i="2"/>
  <c r="N16" i="2"/>
  <c r="M15" i="2"/>
  <c r="M16" i="2"/>
  <c r="L15" i="2"/>
  <c r="L16" i="2"/>
  <c r="F15" i="2"/>
  <c r="F16" i="2"/>
  <c r="K14" i="6"/>
  <c r="K15" i="6"/>
  <c r="I14" i="6"/>
  <c r="I15" i="6"/>
  <c r="G14" i="6"/>
  <c r="G15" i="6"/>
  <c r="E14" i="6"/>
  <c r="E15" i="6"/>
  <c r="C14" i="6"/>
  <c r="C15" i="6"/>
  <c r="V12" i="2"/>
  <c r="V13" i="2"/>
  <c r="N13" i="2"/>
  <c r="N14" i="2"/>
  <c r="M13" i="2"/>
  <c r="M14" i="2"/>
  <c r="L13" i="2"/>
  <c r="L14" i="2"/>
  <c r="F13" i="2"/>
  <c r="F14" i="2"/>
  <c r="K13" i="6"/>
  <c r="I13" i="6"/>
  <c r="G13" i="6"/>
  <c r="E13" i="6"/>
  <c r="C13" i="6"/>
  <c r="K12" i="6"/>
  <c r="I12" i="6"/>
  <c r="G12" i="6"/>
  <c r="E12" i="6"/>
  <c r="C12" i="6"/>
  <c r="V11" i="2"/>
  <c r="N12" i="2"/>
  <c r="L12" i="2"/>
  <c r="F12" i="2"/>
  <c r="K11" i="6"/>
  <c r="I11" i="6"/>
  <c r="G11" i="6"/>
  <c r="E11" i="6"/>
  <c r="C11" i="6"/>
  <c r="M48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F11" i="2"/>
  <c r="V10" i="2"/>
  <c r="N11" i="2"/>
  <c r="M11" i="2"/>
  <c r="M12" i="2"/>
  <c r="L11" i="2"/>
  <c r="N10" i="2"/>
  <c r="M10" i="2"/>
  <c r="L10" i="2"/>
  <c r="F10" i="2"/>
  <c r="K10" i="6"/>
  <c r="I10" i="6"/>
  <c r="G10" i="6"/>
  <c r="E10" i="6"/>
  <c r="C10" i="6"/>
  <c r="G4" i="4"/>
  <c r="E4" i="4"/>
  <c r="C4" i="4"/>
  <c r="I25" i="21"/>
  <c r="I26" i="21"/>
  <c r="I27" i="21"/>
  <c r="I28" i="21"/>
  <c r="I29" i="21"/>
  <c r="I30" i="21"/>
  <c r="I31" i="21"/>
  <c r="H24" i="21"/>
  <c r="H25" i="21"/>
  <c r="H26" i="21"/>
  <c r="H27" i="21"/>
  <c r="H28" i="21"/>
  <c r="H29" i="21"/>
  <c r="H30" i="21"/>
  <c r="H31" i="21"/>
  <c r="L30" i="22"/>
  <c r="L31" i="22"/>
  <c r="K29" i="22"/>
  <c r="K30" i="22"/>
  <c r="K31" i="22"/>
  <c r="G30" i="22"/>
  <c r="G31" i="22"/>
  <c r="G31" i="21"/>
  <c r="F31" i="21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7" i="22" s="1"/>
  <c r="E28" i="21"/>
  <c r="E28" i="22" s="1"/>
  <c r="I28" i="22"/>
  <c r="G26" i="21"/>
  <c r="F26" i="21"/>
  <c r="E26" i="21"/>
  <c r="E26" i="22" s="1"/>
  <c r="G25" i="21"/>
  <c r="F25" i="21"/>
  <c r="E25" i="21"/>
  <c r="E25" i="22" s="1"/>
  <c r="G24" i="21"/>
  <c r="F24" i="21"/>
  <c r="E24" i="21"/>
  <c r="E24" i="22" s="1"/>
  <c r="G23" i="21"/>
  <c r="F23" i="21"/>
  <c r="E23" i="21"/>
  <c r="E23" i="22" s="1"/>
  <c r="F22" i="21"/>
  <c r="E22" i="21"/>
  <c r="E21" i="21"/>
  <c r="E20" i="21"/>
  <c r="E19" i="21"/>
  <c r="E18" i="21"/>
  <c r="E17" i="21"/>
  <c r="E16" i="21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7" i="22"/>
  <c r="G3" i="22"/>
  <c r="G4" i="22"/>
  <c r="G5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C31" i="4"/>
  <c r="G28" i="4"/>
  <c r="G31" i="4"/>
  <c r="G33" i="4"/>
  <c r="G35" i="4"/>
  <c r="E28" i="4"/>
  <c r="E31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J11" i="2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L9" i="4"/>
  <c r="N9" i="4"/>
  <c r="AC43" i="4"/>
  <c r="I9" i="4"/>
  <c r="O9" i="4"/>
  <c r="P9" i="4" s="1"/>
  <c r="E31" i="21" l="1"/>
  <c r="E31" i="22" s="1"/>
  <c r="Q39" i="2"/>
  <c r="O39" i="2"/>
  <c r="E22" i="22"/>
  <c r="E21" i="22"/>
  <c r="E20" i="22"/>
  <c r="E19" i="22"/>
  <c r="E18" i="22"/>
  <c r="E17" i="2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I31" i="22" l="1"/>
  <c r="H39" i="2"/>
  <c r="F40" i="2"/>
  <c r="Q40" i="2"/>
  <c r="M19" i="22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<sst xmlns="http://schemas.openxmlformats.org/spreadsheetml/2006/main" count="482" uniqueCount="186">
  <si>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</si>
  <si>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</si>
  <si>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</si>
  <si>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</si>
  <si>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</si>
  <si>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</si>
  <si>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</si>
  <si>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</si>
  <si>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</si>
  <si>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</si>
  <si>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</si>
  <si>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</si>
  <si>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</si>
  <si>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</si>
  <si>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</si>
  <si>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</si>
  <si>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</si>
  <si>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</si>
  <si>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</si>
  <si>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</si>
  <si>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</si>
  <si>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</si>
  <si>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</si>
  <si>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</si>
  <si>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</si>
  <si>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</si>
  <si>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</si>
  <si>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</si>
  <si>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</si>
  <si>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</si>
  <si>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</si>
  <si>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</si>
  <si>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</si>
  <si>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</si>
  <si>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</si>
  <si>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</si>
  <si>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</si>
  <si>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</si>
  <si>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</si>
  <si>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</si>
  <si>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</si>
  <si>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SEPT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</si>
  <si>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</si>
  <si>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</si>
  <si>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</si>
  <si>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</si>
  <si>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</si>
  <si>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</si>
  <si>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</si>
  <si>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</si>
  <si>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</si>
  <si>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</si>
  <si>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</si>
  <si>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</si>
  <si>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</si>
  <si>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</si>
  <si>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</si>
  <si>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SEPT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</si>
  <si>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</si>
  <si>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</si>
  <si>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</si>
  <si>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</si>
  <si>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</si>
  <si>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</si>
  <si>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</si>
  <si>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</si>
  <si>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</si>
  <si>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</si>
  <si>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</si>
  <si>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</si>
  <si>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</si>
  <si>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</si>
  <si>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</si>
  <si>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</si>
  <si>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</si>
  <si>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</si>
  <si>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</si>
  <si>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</si>
  <si>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</si>
  <si>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</si>
  <si>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</si>
  <si>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</si>
  <si>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</si>
  <si>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</si>
  <si>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</si>
  <si>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</si>
  <si>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</si>
  <si>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Sept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</si>
  <si>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</si>
  <si>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</si>
  <si>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</si>
  <si>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</si>
  <si>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</si>
  <si>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</si>
  <si>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</si>
  <si>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</si>
  <si>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</si>
  <si>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</si>
  <si>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</si>
  <si>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</si>
  <si>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</si>
  <si>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</si>
  <si>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</si>
  <si>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</si>
  <si>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</si>
  <si>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</si>
  <si>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</si>
  <si>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</si>
  <si>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</si>
  <si>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</si>
  <si>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</si>
  <si>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</si>
  <si>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</si>
  <si>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</si>
  <si>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</si>
  <si>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</si>
  <si>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</si>
  <si>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</si>
  <si>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</si>
  <si>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</si>
  <si>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</si>
  <si>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</si>
  <si>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</si>
  <si>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</si>
  <si>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</si>
  <si>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</si>
  <si>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</si>
  <si>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</si>
  <si>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</si>
  <si>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</si>
  <si>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</si>
  <si>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</si>
  <si>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Sept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</si>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</sst>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137.5</c:v>
                </c:pt>
                <c:pt idx="1">
                  <c:v>149.60000000000582</c:v>
                </c:pt>
                <c:pt idx="2">
                  <c:v>147</c:v>
                </c:pt>
                <c:pt idx="3">
                  <c:v>158</c:v>
                </c:pt>
                <c:pt idx="4">
                  <c:v>145</c:v>
                </c:pt>
                <c:pt idx="5">
                  <c:v>145</c:v>
                </c:pt>
                <c:pt idx="6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5500</c:v>
                </c:pt>
                <c:pt idx="1">
                  <c:v>4750</c:v>
                </c:pt>
                <c:pt idx="2">
                  <c:v>5322</c:v>
                </c:pt>
                <c:pt idx="3">
                  <c:v>5773</c:v>
                </c:pt>
                <c:pt idx="4">
                  <c:v>4679</c:v>
                </c:pt>
                <c:pt idx="5">
                  <c:v>4101</c:v>
                </c:pt>
                <c:pt idx="6">
                  <c:v>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10017</c:v>
                </c:pt>
                <c:pt idx="1">
                  <c:v>9616</c:v>
                </c:pt>
                <c:pt idx="2">
                  <c:v>10306</c:v>
                </c:pt>
                <c:pt idx="3">
                  <c:v>10680</c:v>
                </c:pt>
                <c:pt idx="4">
                  <c:v>9188</c:v>
                </c:pt>
                <c:pt idx="5">
                  <c:v>9545</c:v>
                </c:pt>
                <c:pt idx="6">
                  <c:v>9753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4137</c:v>
                </c:pt>
                <c:pt idx="1">
                  <c:v>4549</c:v>
                </c:pt>
                <c:pt idx="2">
                  <c:v>4357</c:v>
                </c:pt>
                <c:pt idx="3">
                  <c:v>4570</c:v>
                </c:pt>
                <c:pt idx="4">
                  <c:v>3747</c:v>
                </c:pt>
                <c:pt idx="5">
                  <c:v>3991</c:v>
                </c:pt>
                <c:pt idx="6">
                  <c:v>3958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44835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415.98973000000001</c:v>
                </c:pt>
                <c:pt idx="2">
                  <c:v>191.99526</c:v>
                </c:pt>
                <c:pt idx="3">
                  <c:v>192.35820000000001</c:v>
                </c:pt>
                <c:pt idx="4">
                  <c:v>383.99052</c:v>
                </c:pt>
                <c:pt idx="5">
                  <c:v>159.99605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8" workbookViewId="0">
      <selection activeCell="H2" sqref="H2:H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9</v>
      </c>
      <c r="D2" s="141">
        <v>2022</v>
      </c>
      <c r="E2" s="137">
        <f>submetering!E2+submetering!F2+submetering!G2</f>
        <v>19654</v>
      </c>
      <c r="F2" s="134">
        <v>1.05</v>
      </c>
      <c r="G2" s="134">
        <f>'Consommation mensuel énergie'!V10</f>
        <v>287.99288999999999</v>
      </c>
      <c r="H2" s="134">
        <v>12.84</v>
      </c>
      <c r="I2" s="134">
        <f>'Consommation mensuel énergie'!F10</f>
        <v>137.5</v>
      </c>
      <c r="J2" s="134">
        <v>11.4</v>
      </c>
      <c r="K2" s="137">
        <f>'Consommation mensuel énergie'!D10</f>
        <v>126</v>
      </c>
      <c r="L2" s="137">
        <f>'Consommation mensuel énergie'!E10</f>
        <v>205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submetering!E3+submetering!F3+submetering!G3</f>
        <v>18113</v>
      </c>
      <c r="F3" s="134">
        <v>1.05</v>
      </c>
      <c r="G3" s="134">
        <f>'Consommation mensuel énergie'!V11</f>
        <v>415.98973000000001</v>
      </c>
      <c r="H3" s="134">
        <v>12.84</v>
      </c>
      <c r="I3" s="134">
        <f>'Consommation mensuel énergie'!F11</f>
        <v>149.60000000000582</v>
      </c>
      <c r="J3" s="134">
        <v>11.4</v>
      </c>
      <c r="K3" s="137">
        <f>'Consommation mensuel énergie'!D11</f>
        <v>142</v>
      </c>
      <c r="L3" s="137">
        <f>'Consommation mensuel énergie'!E11</f>
        <v>241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submetering!E4+submetering!F4+submetering!G4</f>
        <v>19985</v>
      </c>
      <c r="F4" s="134">
        <v>1.05</v>
      </c>
      <c r="G4" s="134">
        <f>'Consommation mensuel énergie'!V12</f>
        <v>191.99526</v>
      </c>
      <c r="H4" s="134">
        <v>12.84</v>
      </c>
      <c r="I4" s="134">
        <f>'Consommation mensuel énergie'!F12</f>
        <v>147</v>
      </c>
      <c r="J4" s="134">
        <v>11.4</v>
      </c>
      <c r="K4" s="137">
        <f>'Consommation mensuel énergie'!D12</f>
        <v>161</v>
      </c>
      <c r="L4" s="137">
        <f>'Consommation mensuel énergie'!E12</f>
        <v>272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submetering!E5+submetering!F5+submetering!G5</f>
        <v>21023</v>
      </c>
      <c r="F5" s="134">
        <v>1.05</v>
      </c>
      <c r="G5" s="134">
        <f>'Consommation mensuel énergie'!V13</f>
        <v>192.35820000000001</v>
      </c>
      <c r="H5" s="134">
        <v>12.84</v>
      </c>
      <c r="I5" s="134">
        <f>'Consommation mensuel énergie'!F13</f>
        <v>158</v>
      </c>
      <c r="J5" s="134">
        <v>11.4</v>
      </c>
      <c r="K5" s="137">
        <f>'Consommation mensuel énergie'!D13</f>
        <v>131</v>
      </c>
      <c r="L5" s="137">
        <f>'Consommation mensuel énergie'!E13</f>
        <v>188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submetering!E6+submetering!F6+submetering!G6</f>
        <v>17614</v>
      </c>
      <c r="F6" s="134">
        <v>1.05</v>
      </c>
      <c r="G6" s="134">
        <f>'Consommation mensuel énergie'!V14</f>
        <v>383.99052</v>
      </c>
      <c r="H6" s="134">
        <v>12.84</v>
      </c>
      <c r="I6" s="134">
        <f>'Consommation mensuel énergie'!F14</f>
        <v>145</v>
      </c>
      <c r="J6" s="134">
        <v>11.4</v>
      </c>
      <c r="K6" s="137">
        <f>'Consommation mensuel énergie'!D14</f>
        <v>145</v>
      </c>
      <c r="L6" s="137">
        <f>'Consommation mensuel énergie'!E14</f>
        <v>211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submetering!E7+submetering!F7+submetering!G7</f>
        <v>17637</v>
      </c>
      <c r="F7" s="134">
        <v>1.05</v>
      </c>
      <c r="G7" s="134">
        <f>'Consommation mensuel énergie'!V15</f>
        <v>159.99605</v>
      </c>
      <c r="H7" s="134">
        <v>12.84</v>
      </c>
      <c r="I7" s="134">
        <f>'Consommation mensuel énergie'!F15</f>
        <v>145</v>
      </c>
      <c r="J7" s="134">
        <v>11.4</v>
      </c>
      <c r="K7" s="137">
        <f>'Consommation mensuel énergie'!D15</f>
        <v>162</v>
      </c>
      <c r="L7" s="137">
        <f>'Consommation mensuel énergie'!E15</f>
        <v>227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submetering!E8+submetering!F8+submetering!G8</f>
        <v>17910</v>
      </c>
      <c r="F8" s="134">
        <v>1.05</v>
      </c>
      <c r="G8" s="134">
        <f>'Consommation mensuel énergie'!V16</f>
        <v>0</v>
      </c>
      <c r="H8" s="134">
        <v>12.84</v>
      </c>
      <c r="I8" s="134">
        <f>'Consommation mensuel énergie'!F16</f>
        <v>142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12.84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énergie'!V18</f>
        <v>0</v>
      </c>
      <c r="H10" s="134">
        <v>12.84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énergie'!V19</f>
        <v>0</v>
      </c>
      <c r="H11" s="134">
        <v>12.84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énergie'!V20</f>
        <v>0</v>
      </c>
      <c r="H12" s="134">
        <v>12.84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énergie'!V21</f>
        <v>0</v>
      </c>
      <c r="H13" s="134">
        <v>12.84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énergie'!V22</f>
        <v>0</v>
      </c>
      <c r="H14" s="134">
        <v>12.84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énergie'!V23</f>
        <v>0</v>
      </c>
      <c r="H15" s="134">
        <v>12.84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énergie'!V24</f>
        <v>0</v>
      </c>
      <c r="H16" s="134">
        <v>12.84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énergie'!V25</f>
        <v>0</v>
      </c>
      <c r="H17" s="134">
        <v>12.84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12.84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12.84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12.84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12.84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12.84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12.84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12.84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12.84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12.84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12.84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12.84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12.84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12.84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12.84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9</v>
      </c>
      <c r="D2" s="141">
        <v>2022</v>
      </c>
      <c r="E2" s="137">
        <f>'Consommation mensuel énergie'!L10</f>
        <v>5500</v>
      </c>
      <c r="F2" s="137">
        <f>'Consommation mensuel énergie'!M10</f>
        <v>10017</v>
      </c>
      <c r="G2" s="137">
        <f>'Consommation mensuel énergie'!N10</f>
        <v>4137</v>
      </c>
      <c r="H2" s="137">
        <f>'Consommation mensuel énergie'!D10</f>
        <v>126</v>
      </c>
      <c r="I2" s="137">
        <f>'Consommation mensuel énergie'!E10</f>
        <v>205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9</v>
      </c>
      <c r="D3" s="141">
        <v>2022</v>
      </c>
      <c r="E3" s="137">
        <f>'Consommation mensuel énergie'!L11</f>
        <v>4750</v>
      </c>
      <c r="F3" s="137">
        <f>'Consommation mensuel énergie'!M11</f>
        <v>9616</v>
      </c>
      <c r="G3" s="137">
        <f>'Consommation mensuel énergie'!N14</f>
        <v>3747</v>
      </c>
      <c r="H3" s="137">
        <f>'Consommation mensuel énergie'!D11</f>
        <v>142</v>
      </c>
      <c r="I3" s="137">
        <f>'Consommation mensuel énergie'!E11</f>
        <v>241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9</v>
      </c>
      <c r="D4" s="141">
        <v>2022</v>
      </c>
      <c r="E4" s="137">
        <f>'Consommation mensuel énergie'!L12</f>
        <v>5322</v>
      </c>
      <c r="F4" s="137">
        <f>'Consommation mensuel énergie'!M12</f>
        <v>10306</v>
      </c>
      <c r="G4" s="137">
        <f>'Consommation mensuel énergie'!N12</f>
        <v>4357</v>
      </c>
      <c r="H4" s="137">
        <f>'Consommation mensuel énergie'!D12</f>
        <v>161</v>
      </c>
      <c r="I4" s="137">
        <f>'Consommation mensuel énergie'!E12</f>
        <v>272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9</v>
      </c>
      <c r="D5" s="141">
        <v>2022</v>
      </c>
      <c r="E5" s="137">
        <f>'Consommation mensuel énergie'!L13</f>
        <v>5773</v>
      </c>
      <c r="F5" s="137">
        <f>'Consommation mensuel énergie'!M13</f>
        <v>10680</v>
      </c>
      <c r="G5" s="137">
        <f>'Consommation mensuel énergie'!N13</f>
        <v>4570</v>
      </c>
      <c r="H5" s="137">
        <f>'Consommation mensuel énergie'!D13</f>
        <v>131</v>
      </c>
      <c r="I5" s="137">
        <f>'Consommation mensuel énergie'!E13</f>
        <v>188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9</v>
      </c>
      <c r="D6" s="141">
        <v>2022</v>
      </c>
      <c r="E6" s="137">
        <f>'Consommation mensuel énergie'!L14</f>
        <v>4679</v>
      </c>
      <c r="F6" s="137">
        <f>'Consommation mensuel énergie'!M14</f>
        <v>9188</v>
      </c>
      <c r="G6" s="137">
        <f>'Consommation mensuel énergie'!N14</f>
        <v>3747</v>
      </c>
      <c r="H6" s="137">
        <f>'Consommation mensuel énergie'!D14</f>
        <v>145</v>
      </c>
      <c r="I6" s="137">
        <f>'Consommation mensuel énergie'!E14</f>
        <v>211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9</v>
      </c>
      <c r="D7" s="141">
        <v>2022</v>
      </c>
      <c r="E7" s="137">
        <f>'Consommation mensuel énergie'!L15</f>
        <v>4101</v>
      </c>
      <c r="F7" s="137">
        <f>'Consommation mensuel énergie'!M15</f>
        <v>9545</v>
      </c>
      <c r="G7" s="137">
        <f>'Consommation mensuel énergie'!N15</f>
        <v>3991</v>
      </c>
      <c r="H7" s="137">
        <f>'Consommation mensuel énergie'!D15</f>
        <v>162</v>
      </c>
      <c r="I7" s="137">
        <f>'Consommation mensuel énergie'!E15</f>
        <v>227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9</v>
      </c>
      <c r="D8" s="141">
        <v>2022</v>
      </c>
      <c r="E8" s="137">
        <f>'Consommation mensuel énergie'!L16</f>
        <v>4199</v>
      </c>
      <c r="F8" s="137">
        <f>'Consommation mensuel énergie'!M16</f>
        <v>9753</v>
      </c>
      <c r="G8" s="137">
        <f>'Consommation mensuel énergie'!N16</f>
        <v>3958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9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9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9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9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9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9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9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9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9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9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9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9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9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9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9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9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9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9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9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9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9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9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9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F38" activePane="bottomRight" state="frozen"/>
      <selection pane="bottomRight" activeCell="E15" sqref="E15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44805</v>
      </c>
      <c r="C10" s="7"/>
      <c r="D10" s="143">
        <v>126</v>
      </c>
      <c r="E10" s="143">
        <v>205</v>
      </c>
      <c r="F10" s="13">
        <f>'Suivi EAU-ELEC'!E9</f>
        <v>137.5</v>
      </c>
      <c r="G10" s="11"/>
      <c r="H10" s="168">
        <f>F10*8.79</f>
        <v>1208.6249999999998</v>
      </c>
      <c r="I10" s="169"/>
      <c r="J10" s="169"/>
      <c r="K10" s="60">
        <v>42278</v>
      </c>
      <c r="L10" s="90">
        <f>'Suivi EAU-ELEC'!G9</f>
        <v>5500</v>
      </c>
      <c r="M10" s="91">
        <f>'Suivi EAU-ELEC'!I9</f>
        <v>10017</v>
      </c>
      <c r="N10" s="91">
        <f>'Suivi EAU-ELEC'!K9</f>
        <v>4137</v>
      </c>
      <c r="O10" s="91">
        <f>L10+M10+N10</f>
        <v>19654</v>
      </c>
      <c r="P10" s="11"/>
      <c r="Q10" s="34">
        <f>L10*0.6985+M10*0.9514+N10*1.3304</f>
        <v>18875.7886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V10*12.84</f>
        <v>3697.8287075999997</v>
      </c>
    </row>
    <row r="11" spans="1:24" ht="32.25" customHeight="1">
      <c r="A11" s="2"/>
      <c r="B11" s="6">
        <v>44806</v>
      </c>
      <c r="C11" s="7"/>
      <c r="D11" s="143">
        <v>142</v>
      </c>
      <c r="E11" s="143">
        <v>241</v>
      </c>
      <c r="F11" s="13">
        <f>'Suivi EAU-ELEC'!E10</f>
        <v>149.60000000000582</v>
      </c>
      <c r="G11" s="11"/>
      <c r="H11" s="168">
        <f t="shared" ref="H11:H21" si="0">F11*8.79</f>
        <v>1314.9840000000511</v>
      </c>
      <c r="I11" s="169"/>
      <c r="J11" s="169"/>
      <c r="K11" s="60">
        <v>42279</v>
      </c>
      <c r="L11" s="90">
        <f>'Suivi EAU-ELEC'!G10</f>
        <v>4750</v>
      </c>
      <c r="M11" s="91">
        <f>'Suivi EAU-ELEC'!I10</f>
        <v>9616</v>
      </c>
      <c r="N11" s="91">
        <f>'Suivi EAU-ELEC'!K10</f>
        <v>4549</v>
      </c>
      <c r="O11" s="91">
        <f>L11+M11+N11</f>
        <v>18915</v>
      </c>
      <c r="P11" s="11"/>
      <c r="Q11" s="34">
        <f>L11*0.6985+M11*0.9514+N14*1.3304</f>
        <v>17451.546200000001</v>
      </c>
      <c r="R11" s="11"/>
      <c r="S11" s="28"/>
      <c r="T11" s="11"/>
      <c r="U11" s="28"/>
      <c r="V11" s="146">
        <f>'Suvi Gaz'!O5</f>
        <v>415.98973000000001</v>
      </c>
      <c r="W11" s="11"/>
      <c r="X11" s="34">
        <f t="shared" ref="X11:X39" si="1">V11*12.84</f>
        <v>5341.3081332000002</v>
      </c>
    </row>
    <row r="12" spans="1:24" ht="32.25" customHeight="1">
      <c r="A12" s="2"/>
      <c r="B12" s="6">
        <v>44807</v>
      </c>
      <c r="C12" s="7"/>
      <c r="D12" s="143">
        <v>161</v>
      </c>
      <c r="E12" s="143">
        <v>272</v>
      </c>
      <c r="F12" s="13">
        <f>'Suivi EAU-ELEC'!E11</f>
        <v>147</v>
      </c>
      <c r="G12" s="11"/>
      <c r="H12" s="168">
        <f t="shared" si="0"/>
        <v>1292.1299999999999</v>
      </c>
      <c r="I12" s="169"/>
      <c r="J12" s="169"/>
      <c r="K12" s="60">
        <v>42280</v>
      </c>
      <c r="L12" s="90">
        <f>'Suivi EAU-ELEC'!G11</f>
        <v>5322</v>
      </c>
      <c r="M12" s="91">
        <f>'Suivi EAU-ELEC'!I11</f>
        <v>10306</v>
      </c>
      <c r="N12" s="91">
        <f>'Suivi EAU-ELEC'!K11</f>
        <v>4357</v>
      </c>
      <c r="O12" s="91">
        <f>L12+M12+N12</f>
        <v>19985</v>
      </c>
      <c r="P12" s="11"/>
      <c r="Q12" s="34">
        <f>L12*0.6985+M12*0.9514+N12*1.3304</f>
        <v>19319.0982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2465.2191383999998</v>
      </c>
    </row>
    <row r="13" spans="1:24" ht="32.25" customHeight="1">
      <c r="A13" s="2"/>
      <c r="B13" s="6">
        <v>44808</v>
      </c>
      <c r="C13" s="7"/>
      <c r="D13" s="143">
        <v>131</v>
      </c>
      <c r="E13" s="143">
        <v>188</v>
      </c>
      <c r="F13" s="13">
        <f>'Suivi EAU-ELEC'!E12</f>
        <v>158</v>
      </c>
      <c r="G13" s="11"/>
      <c r="H13" s="168">
        <f t="shared" si="0"/>
        <v>1388.82</v>
      </c>
      <c r="I13" s="169"/>
      <c r="J13" s="169"/>
      <c r="K13" s="60">
        <v>42281</v>
      </c>
      <c r="L13" s="90">
        <f>'Suivi EAU-ELEC'!G12</f>
        <v>5773</v>
      </c>
      <c r="M13" s="91">
        <f>'Suivi EAU-ELEC'!I12</f>
        <v>10680</v>
      </c>
      <c r="N13" s="91">
        <f>'Suivi EAU-ELEC'!K12</f>
        <v>4570</v>
      </c>
      <c r="O13" s="91">
        <f t="shared" ref="O13:O36" si="2">L13+M13+N13</f>
        <v>21023</v>
      </c>
      <c r="P13" s="11"/>
      <c r="Q13" s="34">
        <f t="shared" ref="Q13:Q36" si="3">L13*0.6985+M13*0.9514+N13*1.3304</f>
        <v>20273.320500000002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2469.8792880000001</v>
      </c>
    </row>
    <row r="14" spans="1:24" ht="32.25" customHeight="1">
      <c r="A14" s="2"/>
      <c r="B14" s="6">
        <v>44809</v>
      </c>
      <c r="C14" s="7"/>
      <c r="D14" s="143">
        <v>145</v>
      </c>
      <c r="E14" s="143">
        <v>211</v>
      </c>
      <c r="F14" s="13">
        <f>'Suivi EAU-ELEC'!E13</f>
        <v>145</v>
      </c>
      <c r="G14" s="12"/>
      <c r="H14" s="168">
        <f t="shared" si="0"/>
        <v>1274.55</v>
      </c>
      <c r="I14" s="169"/>
      <c r="J14" s="169"/>
      <c r="K14" s="60">
        <v>42282</v>
      </c>
      <c r="L14" s="90">
        <f>'Suivi EAU-ELEC'!G13</f>
        <v>4679</v>
      </c>
      <c r="M14" s="91">
        <f>'Suivi EAU-ELEC'!I13</f>
        <v>9188</v>
      </c>
      <c r="N14" s="91">
        <f>'Suivi EAU-ELEC'!K13</f>
        <v>3747</v>
      </c>
      <c r="O14" s="91">
        <f t="shared" si="2"/>
        <v>17614</v>
      </c>
      <c r="P14" s="12"/>
      <c r="Q14" s="34">
        <f t="shared" si="3"/>
        <v>16994.753499999999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4930.4382767999996</v>
      </c>
    </row>
    <row r="15" spans="1:24" ht="32.25" customHeight="1">
      <c r="A15" s="5"/>
      <c r="B15" s="6">
        <v>44810</v>
      </c>
      <c r="C15" s="7"/>
      <c r="D15" s="143">
        <v>162</v>
      </c>
      <c r="E15" s="143">
        <v>227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4101</v>
      </c>
      <c r="M15" s="91">
        <f>'Suivi EAU-ELEC'!I14</f>
        <v>9545</v>
      </c>
      <c r="N15" s="91">
        <f>'Suivi EAU-ELEC'!K14</f>
        <v>3991</v>
      </c>
      <c r="O15" s="91">
        <f t="shared" si="2"/>
        <v>17637</v>
      </c>
      <c r="P15" s="12"/>
      <c r="Q15" s="34">
        <f>L15*0.6985+M15*0.9514+N15*1.3304</f>
        <v>17255.287899999999</v>
      </c>
      <c r="R15" s="12"/>
      <c r="S15" s="28"/>
      <c r="T15" s="12"/>
      <c r="U15" s="28"/>
      <c r="V15" s="146">
        <f>'Suvi Gaz'!O9</f>
        <v>159.99605</v>
      </c>
      <c r="W15" s="11"/>
      <c r="X15" s="34">
        <f t="shared" si="1"/>
        <v>2054.3492820000001</v>
      </c>
    </row>
    <row r="16" spans="1:24" ht="32.25" customHeight="1">
      <c r="A16" s="5"/>
      <c r="B16" s="6">
        <v>44811</v>
      </c>
      <c r="C16" s="7"/>
      <c r="D16" s="143"/>
      <c r="E16" s="143"/>
      <c r="F16" s="13">
        <f>'Suivi EAU-ELEC'!E15</f>
        <v>142</v>
      </c>
      <c r="G16" s="11"/>
      <c r="H16" s="168">
        <f t="shared" si="0"/>
        <v>1248.1799999999998</v>
      </c>
      <c r="I16" s="169"/>
      <c r="J16" s="169"/>
      <c r="K16" s="60">
        <v>42284</v>
      </c>
      <c r="L16" s="90">
        <f>'Suivi EAU-ELEC'!G15</f>
        <v>4199</v>
      </c>
      <c r="M16" s="91">
        <f>'Suivi EAU-ELEC'!I15</f>
        <v>9753</v>
      </c>
      <c r="N16" s="91">
        <f>'Suivi EAU-ELEC'!K15</f>
        <v>3958</v>
      </c>
      <c r="O16" s="91">
        <f t="shared" si="2"/>
        <v>17910</v>
      </c>
      <c r="P16" s="11"/>
      <c r="Q16" s="34">
        <f t="shared" si="3"/>
        <v>17477.728900000002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44812</v>
      </c>
      <c r="C17" s="7"/>
      <c r="D17" s="143"/>
      <c r="E17" s="143"/>
      <c r="F17" s="13"/>
      <c r="G17" s="11"/>
      <c r="H17" s="168">
        <f t="shared" si="0"/>
        <v>0</v>
      </c>
      <c r="I17" s="169"/>
      <c r="J17" s="169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44813</v>
      </c>
      <c r="C18" s="7"/>
      <c r="D18" s="143"/>
      <c r="E18" s="143"/>
      <c r="F18" s="13"/>
      <c r="G18" s="11"/>
      <c r="H18" s="168">
        <f t="shared" si="0"/>
        <v>0</v>
      </c>
      <c r="I18" s="169"/>
      <c r="J18" s="169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44814</v>
      </c>
      <c r="C19" s="7"/>
      <c r="D19" s="143"/>
      <c r="E19" s="143"/>
      <c r="F19" s="13"/>
      <c r="G19" s="12"/>
      <c r="H19" s="168">
        <f t="shared" si="0"/>
        <v>0</v>
      </c>
      <c r="I19" s="169"/>
      <c r="J19" s="169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44815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44816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44817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44818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44819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44820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44821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44822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44823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44824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44825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44826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44827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44828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44829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44830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44831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44832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44833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44834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867</v>
      </c>
      <c r="E40" s="8">
        <f>SUM(E10:E39)</f>
        <v>1344</v>
      </c>
      <c r="F40" s="152">
        <f>SUM(F10:F39)</f>
        <v>1024.1000000000058</v>
      </c>
      <c r="G40" s="1"/>
      <c r="H40" s="249">
        <f>SUM(H10:H39)</f>
        <v>9001.8390000000509</v>
      </c>
      <c r="I40" s="250"/>
      <c r="J40" s="251"/>
      <c r="K40" s="1"/>
      <c r="L40" s="53">
        <f>SUM(L10:L39)</f>
        <v>34324</v>
      </c>
      <c r="M40" s="53">
        <f>SUM(M10:M39)</f>
        <v>69105</v>
      </c>
      <c r="N40" s="54">
        <f>SUM(N10:N39)</f>
        <v>29309</v>
      </c>
      <c r="O40" s="55">
        <f>SUM(O10:O39)</f>
        <v>132738</v>
      </c>
      <c r="P40" s="31"/>
      <c r="Q40" s="34">
        <f t="shared" ref="Q40" si="8">L40*0.6985+M40*0.9514+N40*1.3304</f>
        <v>128714.5046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1632.3226500000001</v>
      </c>
      <c r="W40" s="31"/>
      <c r="X40" s="32">
        <f>SUM(X10:X39)</f>
        <v>20959.022825999997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34324</v>
      </c>
      <c r="J43" s="210"/>
      <c r="K43" s="211"/>
      <c r="L43" s="170">
        <f>I43*H43</f>
        <v>23975.314000000002</v>
      </c>
      <c r="M43" s="171"/>
      <c r="N43" s="227">
        <f>L43+L44+L45</f>
        <v>128714.5046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69105</v>
      </c>
      <c r="J44" s="210"/>
      <c r="K44" s="211"/>
      <c r="L44" s="170">
        <f>I44*H44</f>
        <v>65746.497000000003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29309</v>
      </c>
      <c r="J45" s="241"/>
      <c r="K45" s="242"/>
      <c r="L45" s="170">
        <f>I45*H45</f>
        <v>38992.693599999999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167328.85597999999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1024.1000000000058</v>
      </c>
      <c r="J47" s="202"/>
      <c r="K47" s="203"/>
      <c r="L47" s="207">
        <f>I47*H47</f>
        <v>9001.8390000000509</v>
      </c>
      <c r="M47" s="208"/>
      <c r="N47" s="224">
        <f>L47</f>
        <v>9001.8390000000509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>
      <c r="A48" s="236" t="s">
        <v>40</v>
      </c>
      <c r="B48" s="237"/>
      <c r="C48" s="237"/>
      <c r="D48" s="237"/>
      <c r="E48" s="237"/>
      <c r="F48" s="238"/>
      <c r="G48" s="24"/>
      <c r="H48" s="25">
        <v>12.84</v>
      </c>
      <c r="I48" s="199">
        <f>V40</f>
        <v>1632.3226500000001</v>
      </c>
      <c r="J48" s="239"/>
      <c r="K48" s="200"/>
      <c r="L48" s="199">
        <f>I48*H48</f>
        <v>20959.022826</v>
      </c>
      <c r="M48" s="200"/>
      <c r="N48" s="221">
        <f>L48</f>
        <v>20959.022826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9" activePane="bottomRight" state="frozen"/>
      <selection pane="bottomRight" activeCell="B14" sqref="B14:K1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44805</v>
      </c>
      <c r="B9" s="116">
        <v>2560</v>
      </c>
      <c r="C9" s="115">
        <v>0</v>
      </c>
      <c r="D9" s="57">
        <v>163792.4</v>
      </c>
      <c r="E9" s="50">
        <v>137.5</v>
      </c>
      <c r="F9" s="51">
        <v>12318161</v>
      </c>
      <c r="G9" s="50">
        <v>5500</v>
      </c>
      <c r="H9" s="51">
        <v>21070927</v>
      </c>
      <c r="I9" s="50">
        <v>10017</v>
      </c>
      <c r="J9" s="51">
        <v>9218960</v>
      </c>
      <c r="K9" s="50">
        <v>4137</v>
      </c>
    </row>
    <row r="10" spans="1:12" ht="19.5">
      <c r="A10" s="59">
        <v>44806</v>
      </c>
      <c r="B10" s="116">
        <v>2560</v>
      </c>
      <c r="C10" s="115">
        <f>B10-B9</f>
        <v>0</v>
      </c>
      <c r="D10" s="57">
        <v>163942</v>
      </c>
      <c r="E10" s="50">
        <f>D10-D9</f>
        <v>149.60000000000582</v>
      </c>
      <c r="F10" s="51">
        <v>12322911</v>
      </c>
      <c r="G10" s="50">
        <f>F10-F9</f>
        <v>4750</v>
      </c>
      <c r="H10" s="51">
        <v>21080543</v>
      </c>
      <c r="I10" s="50">
        <f>H10-H9</f>
        <v>9616</v>
      </c>
      <c r="J10" s="51">
        <v>9223509</v>
      </c>
      <c r="K10" s="50">
        <f>J10-J9</f>
        <v>4549</v>
      </c>
    </row>
    <row r="11" spans="1:12" ht="19.5">
      <c r="A11" s="59">
        <v>44807</v>
      </c>
      <c r="B11" s="116">
        <v>2560</v>
      </c>
      <c r="C11" s="115">
        <f>B11-B10</f>
        <v>0</v>
      </c>
      <c r="D11" s="57">
        <v>164089</v>
      </c>
      <c r="E11" s="50">
        <f>D11-D10</f>
        <v>147</v>
      </c>
      <c r="F11" s="51">
        <v>12328233</v>
      </c>
      <c r="G11" s="50">
        <f>F11-F10</f>
        <v>5322</v>
      </c>
      <c r="H11" s="51">
        <v>21090849</v>
      </c>
      <c r="I11" s="50">
        <f>H11-H10</f>
        <v>10306</v>
      </c>
      <c r="J11" s="51">
        <v>9227866</v>
      </c>
      <c r="K11" s="50">
        <f>J11-J10</f>
        <v>4357</v>
      </c>
    </row>
    <row r="12" spans="1:12" ht="19.5">
      <c r="A12" s="59">
        <v>44808</v>
      </c>
      <c r="B12" s="116">
        <v>2560</v>
      </c>
      <c r="C12" s="115">
        <f>B12-B11</f>
        <v>0</v>
      </c>
      <c r="D12" s="57">
        <v>164247</v>
      </c>
      <c r="E12" s="50">
        <f>D12-D11</f>
        <v>158</v>
      </c>
      <c r="F12" s="51">
        <v>12334006</v>
      </c>
      <c r="G12" s="50">
        <f>F12-F11</f>
        <v>5773</v>
      </c>
      <c r="H12" s="51">
        <v>21101529</v>
      </c>
      <c r="I12" s="50">
        <f>H12-H11</f>
        <v>10680</v>
      </c>
      <c r="J12" s="51">
        <v>9232436</v>
      </c>
      <c r="K12" s="50">
        <f>J12-J11</f>
        <v>4570</v>
      </c>
    </row>
    <row r="13" spans="1:12" ht="19.5">
      <c r="A13" s="59">
        <v>44809</v>
      </c>
      <c r="B13" s="116">
        <v>2560</v>
      </c>
      <c r="C13" s="115">
        <f>B13-B12</f>
        <v>0</v>
      </c>
      <c r="D13" s="57">
        <v>164392</v>
      </c>
      <c r="E13" s="50">
        <f>D13-D12</f>
        <v>145</v>
      </c>
      <c r="F13" s="51">
        <v>12338685</v>
      </c>
      <c r="G13" s="50">
        <f>F13-F12</f>
        <v>4679</v>
      </c>
      <c r="H13" s="51">
        <v>21110717</v>
      </c>
      <c r="I13" s="50">
        <f>H13-H12</f>
        <v>9188</v>
      </c>
      <c r="J13" s="51">
        <v>9236183</v>
      </c>
      <c r="K13" s="50">
        <f>J13-J12</f>
        <v>3747</v>
      </c>
    </row>
    <row r="14" spans="1:12" ht="19.5">
      <c r="A14" s="59">
        <v>44810</v>
      </c>
      <c r="B14" s="116">
        <v>2560</v>
      </c>
      <c r="C14" s="115">
        <f t="shared" ref="C14:C15" si="0">B14-B13</f>
        <v>0</v>
      </c>
      <c r="D14" s="57">
        <v>164537</v>
      </c>
      <c r="E14" s="50">
        <f t="shared" ref="E14:E15" si="1">D14-D13</f>
        <v>145</v>
      </c>
      <c r="F14" s="51">
        <v>12342786</v>
      </c>
      <c r="G14" s="50">
        <f t="shared" ref="G14:G15" si="2">F14-F13</f>
        <v>4101</v>
      </c>
      <c r="H14" s="51">
        <v>21120262</v>
      </c>
      <c r="I14" s="50">
        <f t="shared" ref="I14:I15" si="3">H14-H13</f>
        <v>9545</v>
      </c>
      <c r="J14" s="51">
        <v>9240174</v>
      </c>
      <c r="K14" s="50">
        <f t="shared" ref="K14:K15" si="4">J14-J13</f>
        <v>3991</v>
      </c>
    </row>
    <row r="15" spans="1:12" ht="19.5">
      <c r="A15" s="59">
        <v>44811</v>
      </c>
      <c r="B15" s="116">
        <v>2560</v>
      </c>
      <c r="C15" s="115">
        <f t="shared" si="0"/>
        <v>0</v>
      </c>
      <c r="D15" s="57">
        <v>164679</v>
      </c>
      <c r="E15" s="50">
        <f t="shared" si="1"/>
        <v>142</v>
      </c>
      <c r="F15" s="51">
        <v>12346985</v>
      </c>
      <c r="G15" s="50">
        <f t="shared" si="2"/>
        <v>4199</v>
      </c>
      <c r="H15" s="51">
        <v>21130015</v>
      </c>
      <c r="I15" s="50">
        <f t="shared" si="3"/>
        <v>9753</v>
      </c>
      <c r="J15" s="51">
        <v>9244132</v>
      </c>
      <c r="K15" s="50">
        <f t="shared" si="4"/>
        <v>3958</v>
      </c>
    </row>
    <row r="16" spans="1:12" ht="19.5">
      <c r="A16" s="59">
        <v>44812</v>
      </c>
      <c r="B16" s="116"/>
      <c r="C16" s="115"/>
      <c r="D16" s="57"/>
      <c r="E16" s="50"/>
      <c r="F16" s="51"/>
      <c r="G16" s="50"/>
      <c r="H16" s="51"/>
      <c r="I16" s="50"/>
      <c r="J16" s="51"/>
      <c r="K16" s="50"/>
    </row>
    <row r="17" spans="1:29" ht="19.5">
      <c r="A17" s="59">
        <v>44813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44814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44815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44816</v>
      </c>
      <c r="B20" s="116"/>
      <c r="C20" s="115"/>
      <c r="D20" s="57"/>
      <c r="E20" s="50"/>
      <c r="F20" s="51"/>
      <c r="G20" s="50"/>
      <c r="H20" s="51"/>
      <c r="I20" s="50"/>
      <c r="J20" s="51"/>
      <c r="K20" s="50"/>
      <c r="L20" s="117" t="s">
        <v>18</v>
      </c>
      <c r="AC20" t="s">
        <v>56</v>
      </c>
    </row>
    <row r="21" spans="1:29" ht="19.5">
      <c r="A21" s="59">
        <v>44817</v>
      </c>
      <c r="B21" s="116"/>
      <c r="C21" s="115"/>
      <c r="D21" s="57"/>
      <c r="E21" s="50"/>
      <c r="F21" s="51"/>
      <c r="G21" s="50"/>
      <c r="H21" s="51"/>
      <c r="I21" s="50"/>
      <c r="J21" s="51"/>
      <c r="K21" s="50"/>
    </row>
    <row r="22" spans="1:29" ht="19.5">
      <c r="A22" s="59">
        <v>44818</v>
      </c>
      <c r="B22" s="116"/>
      <c r="C22" s="115"/>
      <c r="D22" s="57"/>
      <c r="E22" s="50"/>
      <c r="F22" s="51"/>
      <c r="G22" s="50"/>
      <c r="H22" s="51"/>
      <c r="I22" s="50"/>
      <c r="J22" s="51"/>
      <c r="K22" s="50"/>
    </row>
    <row r="23" spans="1:29" ht="19.5">
      <c r="A23" s="59">
        <v>44819</v>
      </c>
      <c r="B23" s="116"/>
      <c r="C23" s="115"/>
      <c r="D23" s="57"/>
      <c r="E23" s="50"/>
      <c r="F23" s="51"/>
      <c r="G23" s="50"/>
      <c r="H23" s="51"/>
      <c r="I23" s="50"/>
      <c r="J23" s="51"/>
      <c r="K23" s="50"/>
    </row>
    <row r="24" spans="1:29" ht="19.5">
      <c r="A24" s="59">
        <v>44820</v>
      </c>
      <c r="B24" s="116"/>
      <c r="C24" s="115"/>
      <c r="D24" s="57"/>
      <c r="E24" s="50"/>
      <c r="F24" s="51"/>
      <c r="G24" s="50"/>
      <c r="H24" s="51"/>
      <c r="I24" s="50"/>
      <c r="J24" s="51"/>
      <c r="K24" s="50"/>
    </row>
    <row r="25" spans="1:29" ht="19.5">
      <c r="A25" s="59">
        <v>44821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44822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44823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44824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44825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44826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44827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44828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44829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44830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44831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44832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44833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44834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44835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5" activePane="bottomRight" state="frozen"/>
      <selection pane="bottomRight" activeCell="B9" sqref="B9:H1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44805</v>
      </c>
      <c r="B4" s="41">
        <v>73</v>
      </c>
      <c r="C4" s="39">
        <f t="shared" ref="C4" si="0">IF(AC4&gt;0,((B4-R4)+(S4-B5)),IF(B5=0, ,(B4-B5)))</f>
        <v>2</v>
      </c>
      <c r="D4" s="41">
        <v>74</v>
      </c>
      <c r="E4" s="39">
        <f t="shared" ref="E4" si="1">IF(AC4&gt;0,((D4-U4)+(V4-D5)),IF(D5=0, ,(D4-D5)))</f>
        <v>4</v>
      </c>
      <c r="F4" s="41">
        <v>76</v>
      </c>
      <c r="G4" s="39">
        <f t="shared" ref="G4" si="2">IF(AC4&gt;0,((F4-X4)+(Y4-F5)),IF(F5=0, ,(F4-F5)))</f>
        <v>1</v>
      </c>
      <c r="H4" s="41">
        <v>77</v>
      </c>
      <c r="I4" s="39">
        <f>IF(AC4&gt;0,((H4-AA4)+(AB4-H5)),IF(H5=0, ,(H4-H5)))</f>
        <v>2</v>
      </c>
      <c r="J4" s="39">
        <f>B4+D4+F4+H4</f>
        <v>300</v>
      </c>
      <c r="K4" s="39">
        <f>J4/4</f>
        <v>75</v>
      </c>
      <c r="L4" s="39">
        <f>IF(AC4&gt;0,((K4-AD4)+(AE4-K5)),IF(K5=0, ,(K4-K5)))</f>
        <v>2.25</v>
      </c>
      <c r="M4" s="149">
        <f t="shared" ref="M4:M7" si="3">6049*4</f>
        <v>24196</v>
      </c>
      <c r="N4" s="39">
        <f>L4*M4/100</f>
        <v>544.41</v>
      </c>
      <c r="O4" s="167">
        <f>N4*0.529</f>
        <v>287.99288999999999</v>
      </c>
      <c r="P4" s="42">
        <f>O4*12.84</f>
        <v>3697.8287075999997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44806</v>
      </c>
      <c r="B5" s="41">
        <v>71</v>
      </c>
      <c r="C5" s="39">
        <f t="shared" ref="C4:C35" si="7">IF(AC5&gt;0,((B5-R5)+(S5-B6)),IF(B6=0, ,(B5-B6)))</f>
        <v>1</v>
      </c>
      <c r="D5" s="41">
        <v>70</v>
      </c>
      <c r="E5" s="39">
        <f t="shared" ref="E4:E35" si="8">IF(AC5&gt;0,((D5-U5)+(V5-D6)),IF(D6=0, ,(D5-D6)))</f>
        <v>5</v>
      </c>
      <c r="F5" s="41">
        <v>75</v>
      </c>
      <c r="G5" s="39">
        <f t="shared" ref="G4:G35" si="9">IF(AC5&gt;0,((F5-X5)+(Y5-F6)),IF(F6=0, ,(F5-F6)))</f>
        <v>3</v>
      </c>
      <c r="H5" s="41">
        <v>75</v>
      </c>
      <c r="I5" s="39">
        <f>IF(AC5&gt;0,((H5-AA5)+(AB5-H6)),IF(H6=0, ,(H5-H6)))</f>
        <v>4</v>
      </c>
      <c r="J5" s="39">
        <f>B5+D5+F5+H5</f>
        <v>291</v>
      </c>
      <c r="K5" s="39">
        <f>J5/4</f>
        <v>72.75</v>
      </c>
      <c r="L5" s="39">
        <f>IF(AC5&gt;0,((K5-AD5)+(AE5-K6)),IF(K6=0, ,(K5-K6)))</f>
        <v>3.25</v>
      </c>
      <c r="M5" s="149">
        <f t="shared" si="3"/>
        <v>24196</v>
      </c>
      <c r="N5" s="39">
        <f>L5*M5/100</f>
        <v>786.37</v>
      </c>
      <c r="O5" s="39">
        <f>N5*0.529</f>
        <v>415.98973000000001</v>
      </c>
      <c r="P5" s="42">
        <f t="shared" ref="P5:P40" si="10">O5*12.84</f>
        <v>5341.3081332000002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44807</v>
      </c>
      <c r="B6" s="41">
        <v>70</v>
      </c>
      <c r="C6" s="39">
        <f t="shared" si="7"/>
        <v>0</v>
      </c>
      <c r="D6" s="41">
        <v>65</v>
      </c>
      <c r="E6" s="39">
        <f t="shared" si="8"/>
        <v>0</v>
      </c>
      <c r="F6" s="41">
        <v>72</v>
      </c>
      <c r="G6" s="39">
        <f t="shared" si="9"/>
        <v>2</v>
      </c>
      <c r="H6" s="41">
        <v>71</v>
      </c>
      <c r="I6" s="39">
        <f t="shared" ref="I6:I36" si="11">IF(AC6&gt;0,((H6-AA6)+(AB6-H7)),IF(H7=0, ,(H6-H7)))</f>
        <v>4</v>
      </c>
      <c r="J6" s="39">
        <f t="shared" ref="J6:J42" si="12">B6+D6+F6+H6</f>
        <v>278</v>
      </c>
      <c r="K6" s="39">
        <f t="shared" ref="K6:K42" si="13">J6/4</f>
        <v>69.5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2465.2191383999998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44808</v>
      </c>
      <c r="B7" s="41">
        <v>70</v>
      </c>
      <c r="C7" s="39">
        <f t="shared" si="7"/>
        <v>5</v>
      </c>
      <c r="D7" s="41">
        <v>65</v>
      </c>
      <c r="E7" s="39">
        <f t="shared" si="8"/>
        <v>0</v>
      </c>
      <c r="F7" s="41">
        <v>70</v>
      </c>
      <c r="G7" s="39">
        <f t="shared" si="9"/>
        <v>0</v>
      </c>
      <c r="H7" s="41">
        <v>67</v>
      </c>
      <c r="I7" s="39">
        <f t="shared" si="11"/>
        <v>1</v>
      </c>
      <c r="J7" s="39">
        <f t="shared" si="12"/>
        <v>272</v>
      </c>
      <c r="K7" s="39">
        <f t="shared" si="13"/>
        <v>68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2469.8792880000001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44809</v>
      </c>
      <c r="B8" s="41">
        <v>65</v>
      </c>
      <c r="C8" s="39">
        <f t="shared" si="7"/>
        <v>2</v>
      </c>
      <c r="D8" s="41">
        <v>65</v>
      </c>
      <c r="E8" s="39">
        <f t="shared" si="8"/>
        <v>3</v>
      </c>
      <c r="F8" s="41">
        <v>70</v>
      </c>
      <c r="G8" s="39">
        <f t="shared" si="9"/>
        <v>5</v>
      </c>
      <c r="H8" s="41">
        <v>66</v>
      </c>
      <c r="I8" s="39">
        <f t="shared" si="11"/>
        <v>2</v>
      </c>
      <c r="J8" s="39">
        <f t="shared" si="12"/>
        <v>266</v>
      </c>
      <c r="K8" s="39">
        <f t="shared" si="13"/>
        <v>66.5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4930.4382767999996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44810</v>
      </c>
      <c r="B9" s="41">
        <v>63</v>
      </c>
      <c r="C9" s="39">
        <f t="shared" si="7"/>
        <v>3</v>
      </c>
      <c r="D9" s="41">
        <v>62</v>
      </c>
      <c r="E9" s="39">
        <f t="shared" si="8"/>
        <v>2</v>
      </c>
      <c r="F9" s="41">
        <v>65</v>
      </c>
      <c r="G9" s="39">
        <f t="shared" si="9"/>
        <v>0</v>
      </c>
      <c r="H9" s="41">
        <v>64</v>
      </c>
      <c r="I9" s="39">
        <f t="shared" si="11"/>
        <v>0</v>
      </c>
      <c r="J9" s="39">
        <f t="shared" si="12"/>
        <v>254</v>
      </c>
      <c r="K9" s="39">
        <f t="shared" si="13"/>
        <v>63.5</v>
      </c>
      <c r="L9" s="39">
        <f t="shared" si="14"/>
        <v>1.25</v>
      </c>
      <c r="M9" s="149">
        <f t="shared" ref="M9:M42" si="17">6049*4</f>
        <v>24196</v>
      </c>
      <c r="N9" s="39">
        <f t="shared" si="15"/>
        <v>302.45</v>
      </c>
      <c r="O9" s="39">
        <f t="shared" si="16"/>
        <v>159.99605</v>
      </c>
      <c r="P9" s="42">
        <f t="shared" si="10"/>
        <v>2054.3492820000001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44811</v>
      </c>
      <c r="B10" s="41">
        <v>60</v>
      </c>
      <c r="C10" s="39">
        <f t="shared" si="7"/>
        <v>0</v>
      </c>
      <c r="D10" s="41">
        <v>60</v>
      </c>
      <c r="E10" s="39">
        <f t="shared" si="8"/>
        <v>0</v>
      </c>
      <c r="F10" s="41">
        <v>65</v>
      </c>
      <c r="G10" s="39">
        <f t="shared" si="9"/>
        <v>0</v>
      </c>
      <c r="H10" s="41">
        <v>64</v>
      </c>
      <c r="I10" s="39">
        <f t="shared" si="11"/>
        <v>0</v>
      </c>
      <c r="J10" s="39">
        <f t="shared" si="12"/>
        <v>249</v>
      </c>
      <c r="K10" s="39">
        <f t="shared" si="13"/>
        <v>62.25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44812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44813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44814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44815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44816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44817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44818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44819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44820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44821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44822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44823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44824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44825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44826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44827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44828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44829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44830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44831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44832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44833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44834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44835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44836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30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3084.99</v>
      </c>
      <c r="O43" s="39">
        <f>N43*0.529</f>
        <v>1631.9597099999999</v>
      </c>
      <c r="P43" s="42">
        <f>O43*12.84</f>
        <v>20954.362676399996</v>
      </c>
      <c r="Q43" s="286">
        <f>SUM(Q4:Q42)</f>
        <v>0</v>
      </c>
      <c r="R43" s="287"/>
      <c r="S43" s="288"/>
      <c r="T43" s="289">
        <f>SUM(T4:T42)</f>
        <v>0</v>
      </c>
      <c r="U43" s="287"/>
      <c r="V43" s="288"/>
      <c r="W43" s="289">
        <f>SUM(W4:W42)</f>
        <v>0</v>
      </c>
      <c r="X43" s="287"/>
      <c r="Y43" s="288"/>
      <c r="Z43" s="289">
        <f>SUM(Z4:Z42)</f>
        <v>0</v>
      </c>
      <c r="AA43" s="287"/>
      <c r="AB43" s="288"/>
      <c r="AC43" s="39">
        <f t="shared" si="20"/>
        <v>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3084.99</v>
      </c>
      <c r="L47" s="46">
        <f>O43</f>
        <v>1631.9597099999999</v>
      </c>
      <c r="M47" s="46">
        <f>P43</f>
        <v>20954.362676399996</v>
      </c>
    </row>
    <row r="48" spans="1:31" ht="54.75" customHeight="1" thickBot="1">
      <c r="H48" s="282" t="s">
        <v>86</v>
      </c>
      <c r="I48" s="283"/>
      <c r="J48" s="284"/>
      <c r="K48" s="43">
        <f>AC44</f>
        <v>0</v>
      </c>
      <c r="L48" s="44">
        <f>K48*0.529</f>
        <v>0</v>
      </c>
      <c r="M48" s="44">
        <f>L48*12.84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44570</v>
      </c>
      <c r="D8" s="350"/>
      <c r="E8" s="113">
        <v>44601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1356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20429232</v>
      </c>
      <c r="D17" s="66">
        <v>20419391</v>
      </c>
      <c r="E17" s="67">
        <f>MIN(C17-D17)</f>
        <v>9841</v>
      </c>
      <c r="F17" s="67">
        <f>+E17</f>
        <v>9841</v>
      </c>
      <c r="G17" s="329"/>
      <c r="H17" s="330"/>
      <c r="I17" s="329">
        <f>+E17</f>
        <v>9841</v>
      </c>
      <c r="J17" s="330"/>
    </row>
    <row r="18" spans="1:10">
      <c r="A18" s="327" t="s">
        <v>111</v>
      </c>
      <c r="B18" s="328"/>
      <c r="C18" s="66">
        <v>11998647</v>
      </c>
      <c r="D18" s="66">
        <v>11991813</v>
      </c>
      <c r="E18" s="67">
        <f>MIN(C18-D18)</f>
        <v>6834</v>
      </c>
      <c r="F18" s="67">
        <f>+E18</f>
        <v>6834</v>
      </c>
      <c r="G18" s="329"/>
      <c r="H18" s="330"/>
      <c r="I18" s="329">
        <f>+E18</f>
        <v>6834</v>
      </c>
      <c r="J18" s="330"/>
    </row>
    <row r="19" spans="1:10">
      <c r="A19" s="327" t="s">
        <v>112</v>
      </c>
      <c r="B19" s="328"/>
      <c r="C19" s="66">
        <v>8957940</v>
      </c>
      <c r="D19" s="66">
        <v>8953138</v>
      </c>
      <c r="E19" s="67">
        <f>AVERAGE(C19-D19)</f>
        <v>4802</v>
      </c>
      <c r="F19" s="67">
        <f>+E19</f>
        <v>4802</v>
      </c>
      <c r="G19" s="329"/>
      <c r="H19" s="330"/>
      <c r="I19" s="329">
        <f>+E19</f>
        <v>4802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21477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9841</v>
      </c>
      <c r="E25" s="72">
        <v>0.95140000000000002</v>
      </c>
      <c r="F25" s="73">
        <f>PRODUCT(D25*E25)</f>
        <v>9362.7273999999998</v>
      </c>
      <c r="G25" s="151">
        <v>14</v>
      </c>
      <c r="H25" s="65">
        <f>PRODUCT(0.14,F25)</f>
        <v>1310.7818360000001</v>
      </c>
      <c r="I25" s="304">
        <f>SUM(H25,F25)</f>
        <v>10673.509236</v>
      </c>
      <c r="J25" s="305"/>
    </row>
    <row r="26" spans="1:10" ht="15">
      <c r="A26" s="301" t="s">
        <v>124</v>
      </c>
      <c r="B26" s="302"/>
      <c r="C26" s="303"/>
      <c r="D26" s="67">
        <f>+E18</f>
        <v>6834</v>
      </c>
      <c r="E26" s="74">
        <v>0.69850000000000001</v>
      </c>
      <c r="F26" s="73">
        <f>PRODUCT(D26*E26)</f>
        <v>4773.549</v>
      </c>
      <c r="G26">
        <v>14</v>
      </c>
      <c r="H26" s="67">
        <f>PRODUCT(0.14,F26)</f>
        <v>668.29686000000004</v>
      </c>
      <c r="I26" s="304">
        <f t="shared" ref="I26:I31" si="0">SUM(H26,F26)</f>
        <v>5441.8458600000004</v>
      </c>
      <c r="J26" s="305"/>
    </row>
    <row r="27" spans="1:10" ht="15">
      <c r="A27" s="301" t="s">
        <v>125</v>
      </c>
      <c r="B27" s="302"/>
      <c r="C27" s="303"/>
      <c r="D27" s="67">
        <f>+E19</f>
        <v>4802</v>
      </c>
      <c r="E27" s="74">
        <v>1.3304</v>
      </c>
      <c r="F27" s="73">
        <f>PRODUCT(D27*E27)</f>
        <v>6388.5807999999997</v>
      </c>
      <c r="G27">
        <v>14</v>
      </c>
      <c r="H27" s="67">
        <f>PRODUCT(0.14,F27)</f>
        <v>894.40131200000008</v>
      </c>
      <c r="I27" s="304">
        <f>SUM(H27,F27)</f>
        <v>7282.9821119999997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66739.527199999997</v>
      </c>
      <c r="G32" s="85"/>
      <c r="H32" s="86"/>
      <c r="I32" s="313">
        <f>SUM(I25:J31)</f>
        <v>76029.081007999994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44405</v>
      </c>
      <c r="D8" s="350"/>
      <c r="E8" s="113">
        <v>44801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1400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21031425</v>
      </c>
      <c r="D17" s="66">
        <v>20701572</v>
      </c>
      <c r="E17" s="67">
        <f>MIN(C17-D17)</f>
        <v>329853</v>
      </c>
      <c r="F17" s="67">
        <f>+E17</f>
        <v>329853</v>
      </c>
      <c r="G17" s="329"/>
      <c r="H17" s="330"/>
      <c r="I17" s="329">
        <f>+E17</f>
        <v>329853</v>
      </c>
      <c r="J17" s="330"/>
    </row>
    <row r="18" spans="1:10">
      <c r="A18" s="327" t="s">
        <v>111</v>
      </c>
      <c r="B18" s="328"/>
      <c r="C18" s="66">
        <v>12295980</v>
      </c>
      <c r="D18" s="66">
        <v>12124967</v>
      </c>
      <c r="E18" s="67">
        <f>MIN(C18-D18)</f>
        <v>171013</v>
      </c>
      <c r="F18" s="67">
        <f>+E18</f>
        <v>171013</v>
      </c>
      <c r="G18" s="329"/>
      <c r="H18" s="330"/>
      <c r="I18" s="329">
        <f>+E18</f>
        <v>171013</v>
      </c>
      <c r="J18" s="330"/>
    </row>
    <row r="19" spans="1:10">
      <c r="A19" s="327" t="s">
        <v>112</v>
      </c>
      <c r="B19" s="328"/>
      <c r="C19" s="66">
        <v>9202867</v>
      </c>
      <c r="D19" s="66">
        <v>9064689</v>
      </c>
      <c r="E19" s="67">
        <f>AVERAGE(C19-D19)</f>
        <v>138178</v>
      </c>
      <c r="F19" s="67">
        <f>+E19</f>
        <v>138178</v>
      </c>
      <c r="G19" s="329"/>
      <c r="H19" s="330"/>
      <c r="I19" s="329">
        <f>+E19</f>
        <v>138178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639044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329853</v>
      </c>
      <c r="E25" s="72">
        <v>0.95140000000000002</v>
      </c>
      <c r="F25" s="73">
        <f>PRODUCT(D25*E25)</f>
        <v>313822.14419999998</v>
      </c>
      <c r="G25" s="151">
        <v>14</v>
      </c>
      <c r="H25" s="65">
        <f>PRODUCT(0.14,F25)</f>
        <v>43935.100188000004</v>
      </c>
      <c r="I25" s="304">
        <f>SUM(H25,F25)</f>
        <v>357757.24438799999</v>
      </c>
      <c r="J25" s="305"/>
    </row>
    <row r="26" spans="1:10" ht="15">
      <c r="A26" s="301" t="s">
        <v>124</v>
      </c>
      <c r="B26" s="302"/>
      <c r="C26" s="303"/>
      <c r="D26" s="67">
        <f>+E18</f>
        <v>171013</v>
      </c>
      <c r="E26" s="74">
        <v>0.69850000000000001</v>
      </c>
      <c r="F26" s="73">
        <f>PRODUCT(D26*E26)</f>
        <v>119452.5805</v>
      </c>
      <c r="G26">
        <v>14</v>
      </c>
      <c r="H26" s="67">
        <f>PRODUCT(0.14,F26)</f>
        <v>16723.361270000001</v>
      </c>
      <c r="I26" s="304">
        <f t="shared" ref="I26:I31" si="0">SUM(H26,F26)</f>
        <v>136175.94177</v>
      </c>
      <c r="J26" s="305"/>
    </row>
    <row r="27" spans="1:10" ht="15">
      <c r="A27" s="301" t="s">
        <v>125</v>
      </c>
      <c r="B27" s="302"/>
      <c r="C27" s="303"/>
      <c r="D27" s="67">
        <f>+E19</f>
        <v>138178</v>
      </c>
      <c r="E27" s="74">
        <v>1.3304</v>
      </c>
      <c r="F27" s="73">
        <f>PRODUCT(D27*E27)</f>
        <v>183832.01120000001</v>
      </c>
      <c r="G27">
        <v>14</v>
      </c>
      <c r="H27" s="67">
        <f>PRODUCT(0.14,F27)</f>
        <v>25736.481568000003</v>
      </c>
      <c r="I27" s="304">
        <f>SUM(H27,F27)</f>
        <v>209568.492768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400</v>
      </c>
      <c r="E29" s="76">
        <f>E28*1.5</f>
        <v>65.822505000000007</v>
      </c>
      <c r="F29" s="77">
        <f>PRODUCT(D29,E29)</f>
        <v>26329.002000000004</v>
      </c>
      <c r="G29" s="78">
        <v>14</v>
      </c>
      <c r="H29" s="75">
        <f>PRODUCT(0.14,F29)</f>
        <v>3686.0602800000011</v>
      </c>
      <c r="I29" s="317">
        <f t="shared" si="0"/>
        <v>30015.062280000006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689650.40789999999</v>
      </c>
      <c r="G32" s="85"/>
      <c r="H32" s="86"/>
      <c r="I32" s="313">
        <f>SUM(I25:J31)</f>
        <v>786147.48500599992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158594</v>
      </c>
      <c r="D8" s="97">
        <v>44774</v>
      </c>
      <c r="E8" s="96">
        <v>163792.4</v>
      </c>
      <c r="F8" s="97">
        <v>44805</v>
      </c>
      <c r="G8" s="98">
        <f>E8-C8</f>
        <v>5198.3999999999942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5198.3999999999942</v>
      </c>
      <c r="C13" s="397"/>
      <c r="D13" s="397">
        <v>8.7899999999999991</v>
      </c>
      <c r="E13" s="397"/>
      <c r="F13" s="399">
        <f>PRODUCT(D13,B13)</f>
        <v>45693.935999999943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5198.3999999999942</v>
      </c>
      <c r="C19" s="397"/>
      <c r="D19" s="397">
        <v>2.61</v>
      </c>
      <c r="E19" s="397"/>
      <c r="F19" s="397">
        <f>PRODUCT(D19,B19)</f>
        <v>13567.823999999984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59284.759999999929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4149.9331999999958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4358.1931999999961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63642.953199999924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9" sqref="F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153382</v>
      </c>
      <c r="D8" s="97">
        <v>44805</v>
      </c>
      <c r="E8" s="96">
        <v>153581</v>
      </c>
      <c r="F8" s="97">
        <v>44806</v>
      </c>
      <c r="G8" s="98">
        <f>E8-C8</f>
        <v>199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199</v>
      </c>
      <c r="C13" s="397"/>
      <c r="D13" s="397">
        <v>8.5</v>
      </c>
      <c r="E13" s="397"/>
      <c r="F13" s="399">
        <f>PRODUCT(D13,B13)</f>
        <v>1691.5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7">
        <f>G8</f>
        <v>199</v>
      </c>
      <c r="C20" s="397"/>
      <c r="D20" s="397">
        <v>2.54</v>
      </c>
      <c r="E20" s="397"/>
      <c r="F20" s="397">
        <f>PRODUCT(D20,B20)</f>
        <v>505.46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2219.96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155.39720000000003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363.65719999999999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2583.6172000000001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154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44409</v>
      </c>
      <c r="E8" s="96">
        <v>2560</v>
      </c>
      <c r="F8" s="97">
        <v>44805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155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9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6" zoomScaleNormal="100" workbookViewId="0">
      <selection activeCell="J26" sqref="J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2022-09-07T09:55:30Z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