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7C32710-4575-4202-A7ED-781F701858D0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3" l="1"/>
  <c r="C12" i="2"/>
  <c r="C11" i="2"/>
  <c r="C10" i="2"/>
  <c r="C9" i="2"/>
  <c r="C8" i="2"/>
  <c r="C7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N33" i="2" l="1"/>
  <c r="N32" i="2"/>
  <c r="N31" i="2"/>
  <c r="N30" i="2"/>
  <c r="E32" i="2"/>
  <c r="E31" i="2"/>
  <c r="E30" i="2"/>
  <c r="C31" i="2"/>
  <c r="C30" i="2"/>
  <c r="Y25" i="2"/>
  <c r="W2" i="2"/>
  <c r="AB31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K31" i="3" s="1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AB30" i="2"/>
  <c r="AB29" i="2"/>
  <c r="AB28" i="2"/>
  <c r="Y30" i="2"/>
  <c r="Y29" i="2"/>
  <c r="N27" i="2"/>
  <c r="U31" i="2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U32" i="2"/>
  <c r="W31" i="2" s="1"/>
  <c r="U30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H11" i="2" s="1"/>
  <c r="E12" i="2"/>
  <c r="H12" i="2" s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3" i="2" l="1"/>
  <c r="H9" i="2"/>
  <c r="H8" i="2"/>
  <c r="H10" i="2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<sst xmlns="http://schemas.openxmlformats.org/spreadsheetml/2006/main" count="77" uniqueCount="40">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</sst>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L16" sqref="L1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10582</v>
      </c>
      <c r="F2" s="110">
        <f>('August 2025'!C2*0.27)/('August 2025'!C2+'August 2025'!E2)</f>
        <v>0.23455962955962958</v>
      </c>
      <c r="G2" s="97">
        <f>'August 2025'!U2</f>
        <v>195</v>
      </c>
      <c r="H2" s="113">
        <v>0.62</v>
      </c>
      <c r="I2" s="98">
        <f>'August 2025'!W2</f>
        <v>105</v>
      </c>
      <c r="J2" s="99">
        <v>2.42</v>
      </c>
      <c r="K2" s="106">
        <f>'August 2025'!AB2*5.04</f>
        <v>1335.6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184</v>
      </c>
      <c r="P2" s="100">
        <f>'August 2025'!AD2</f>
        <v>394</v>
      </c>
    </row>
    <row r="3" spans="1:16" ht="14.3" x14ac:dyDescent="0.25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10935</v>
      </c>
      <c r="F3" s="110">
        <f>('August 2025'!C3*0.27)/('August 2025'!C3+'August 2025'!E3)</f>
        <v>0.23530864197530868</v>
      </c>
      <c r="G3" s="97">
        <f>'August 2025'!U3</f>
        <v>270</v>
      </c>
      <c r="H3" s="113">
        <v>0.62</v>
      </c>
      <c r="I3" s="98">
        <f>'August 2025'!W3</f>
        <v>114</v>
      </c>
      <c r="J3" s="99">
        <v>2.42</v>
      </c>
      <c r="K3" s="106">
        <f>'August 2025'!AB3*5.04</f>
        <v>1638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204</v>
      </c>
      <c r="P3" s="100">
        <f>'August 2025'!AD3</f>
        <v>435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10487</v>
      </c>
      <c r="F4" s="110">
        <f>('August 2025'!C4*0.27)/('August 2025'!C4+'August 2025'!E4)</f>
        <v>0.23235911128063316</v>
      </c>
      <c r="G4" s="97">
        <f>'August 2025'!U4</f>
        <v>100</v>
      </c>
      <c r="H4" s="113">
        <v>0.62</v>
      </c>
      <c r="I4" s="98">
        <f>'August 2025'!W4</f>
        <v>127</v>
      </c>
      <c r="J4" s="99">
        <v>2.42</v>
      </c>
      <c r="K4" s="106">
        <f>'August 2025'!AB4*5.04</f>
        <v>1663.2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185</v>
      </c>
      <c r="P4" s="100">
        <f>'August 2025'!AD4</f>
        <v>404</v>
      </c>
    </row>
    <row r="5" spans="1:16" ht="14.3" x14ac:dyDescent="0.25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10833</v>
      </c>
      <c r="F5" s="110">
        <f>('August 2025'!C5*0.27)/('August 2025'!C5+'August 2025'!E5)</f>
        <v>0.23408474106895599</v>
      </c>
      <c r="G5" s="97">
        <f>'August 2025'!U5</f>
        <v>108</v>
      </c>
      <c r="H5" s="113">
        <v>0.62</v>
      </c>
      <c r="I5" s="98">
        <f>'August 2025'!W5</f>
        <v>117</v>
      </c>
      <c r="J5" s="99">
        <v>2.42</v>
      </c>
      <c r="K5" s="106">
        <f>'August 2025'!AB5*5.04</f>
        <v>1360.8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188</v>
      </c>
      <c r="P5" s="100">
        <f>'August 2025'!AD5</f>
        <v>414</v>
      </c>
    </row>
    <row r="6" spans="1:16" ht="14.3" x14ac:dyDescent="0.25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11278</v>
      </c>
      <c r="F6" s="110">
        <f>('August 2025'!C6*0.27)/('August 2025'!C6+'August 2025'!E6)</f>
        <v>0.23787196311402733</v>
      </c>
      <c r="G6" s="97">
        <f>'August 2025'!U6</f>
        <v>95</v>
      </c>
      <c r="H6" s="113">
        <v>0.62</v>
      </c>
      <c r="I6" s="98">
        <f>'August 2025'!W6</f>
        <v>131</v>
      </c>
      <c r="J6" s="99">
        <v>2.42</v>
      </c>
      <c r="K6" s="106">
        <f>'August 2025'!AB6*5.04</f>
        <v>1612.8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198</v>
      </c>
      <c r="P6" s="100">
        <f>'August 2025'!AD6</f>
        <v>437</v>
      </c>
    </row>
    <row r="7" spans="1:16" ht="14.3" x14ac:dyDescent="0.25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11901</v>
      </c>
      <c r="F7" s="110">
        <f>('August 2025'!C7*0.27)/('August 2025'!C7+'August 2025'!E7)</f>
        <v>0.23746659944542475</v>
      </c>
      <c r="G7" s="97">
        <f>'August 2025'!U7</f>
        <v>200</v>
      </c>
      <c r="H7" s="113">
        <v>0.62</v>
      </c>
      <c r="I7" s="98">
        <f>'August 2025'!W7</f>
        <v>124</v>
      </c>
      <c r="J7" s="99">
        <v>2.42</v>
      </c>
      <c r="K7" s="106">
        <f>'August 2025'!AB7*5.04</f>
        <v>1612.8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216</v>
      </c>
      <c r="P7" s="100">
        <f>'August 2025'!AD7</f>
        <v>472</v>
      </c>
    </row>
    <row r="8" spans="1:16" ht="14.3" x14ac:dyDescent="0.25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11457</v>
      </c>
      <c r="F8" s="110">
        <f>('August 2025'!C8*0.27)/('August 2025'!C8+'August 2025'!E8)</f>
        <v>0.23644147682639438</v>
      </c>
      <c r="G8" s="97">
        <f>'August 2025'!U8</f>
        <v>125</v>
      </c>
      <c r="H8" s="113">
        <v>0.62</v>
      </c>
      <c r="I8" s="98">
        <f>'August 2025'!W8</f>
        <v>139</v>
      </c>
      <c r="J8" s="99">
        <v>2.42</v>
      </c>
      <c r="K8" s="106">
        <f>'August 2025'!AB8*5.04</f>
        <v>1789.2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221</v>
      </c>
      <c r="P8" s="100">
        <f>'August 2025'!AD8</f>
        <v>485</v>
      </c>
    </row>
    <row r="9" spans="1:16" ht="14.3" x14ac:dyDescent="0.25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11723</v>
      </c>
      <c r="F9" s="110">
        <f>('August 2025'!C9*0.27)/('August 2025'!C9+'August 2025'!E9)</f>
        <v>0.23648895333958886</v>
      </c>
      <c r="G9" s="97">
        <f>'August 2025'!U9</f>
        <v>180</v>
      </c>
      <c r="H9" s="113">
        <v>0.62</v>
      </c>
      <c r="I9" s="98">
        <f>'August 2025'!W9</f>
        <v>141</v>
      </c>
      <c r="J9" s="99">
        <v>2.42</v>
      </c>
      <c r="K9" s="106">
        <f>'August 2025'!AB9*5.04</f>
        <v>1864.8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227</v>
      </c>
      <c r="P9" s="100">
        <f>'August 2025'!AD9</f>
        <v>508</v>
      </c>
    </row>
    <row r="10" spans="1:16" ht="14.3" x14ac:dyDescent="0.25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12227</v>
      </c>
      <c r="F10" s="110">
        <f>('August 2025'!C10*0.27)/('August 2025'!C10+'August 2025'!E10)</f>
        <v>0.23910689457757425</v>
      </c>
      <c r="G10" s="97">
        <f>'August 2025'!U10</f>
        <v>140</v>
      </c>
      <c r="H10" s="113">
        <v>0.62</v>
      </c>
      <c r="I10" s="98">
        <f>'August 2025'!W10</f>
        <v>144</v>
      </c>
      <c r="J10" s="99">
        <v>2.42</v>
      </c>
      <c r="K10" s="106">
        <f>'August 2025'!AB10*5.04</f>
        <v>1915.2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236</v>
      </c>
      <c r="P10" s="100">
        <f>'August 2025'!AD10</f>
        <v>524</v>
      </c>
    </row>
    <row r="11" spans="1:16" ht="14.3" x14ac:dyDescent="0.25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12349</v>
      </c>
      <c r="F11" s="110">
        <f>('August 2025'!C11*0.27)/('August 2025'!C11+'August 2025'!E11)</f>
        <v>0.23906227224876511</v>
      </c>
      <c r="G11" s="97">
        <f>'August 2025'!U11</f>
        <v>195</v>
      </c>
      <c r="H11" s="113">
        <v>0.62</v>
      </c>
      <c r="I11" s="98">
        <f>'August 2025'!W11</f>
        <v>131</v>
      </c>
      <c r="J11" s="99">
        <v>2.42</v>
      </c>
      <c r="K11" s="106">
        <f>'August 2025'!AB11*5.04</f>
        <v>1839.6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229</v>
      </c>
      <c r="P11" s="100">
        <f>'August 2025'!AD11</f>
        <v>514</v>
      </c>
    </row>
    <row r="12" spans="1:16" ht="14.3" x14ac:dyDescent="0.25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12036</v>
      </c>
      <c r="F12" s="110">
        <f>('August 2025'!C12*0.27)/('August 2025'!C12+'August 2025'!E12)</f>
        <v>0.23805583250249254</v>
      </c>
      <c r="G12" s="97">
        <f>'August 2025'!U12</f>
        <v>145</v>
      </c>
      <c r="H12" s="113">
        <v>0.62</v>
      </c>
      <c r="I12" s="98">
        <f>'August 2025'!W12</f>
        <v>151</v>
      </c>
      <c r="J12" s="99">
        <v>2.42</v>
      </c>
      <c r="K12" s="106">
        <f>'August 2025'!AB12*5.04</f>
        <v>1864.8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233</v>
      </c>
      <c r="P12" s="100">
        <f>'August 2025'!AD12</f>
        <v>523</v>
      </c>
    </row>
    <row r="13" spans="1:16" ht="14.3" x14ac:dyDescent="0.25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12191</v>
      </c>
      <c r="F13" s="110">
        <f>('August 2025'!C13*0.27)/('August 2025'!C13+'August 2025'!E13)</f>
        <v>0.23965794438520222</v>
      </c>
      <c r="G13" s="97">
        <f>'August 2025'!U13</f>
        <v>145</v>
      </c>
      <c r="H13" s="113">
        <v>0.62</v>
      </c>
      <c r="I13" s="98">
        <f>'August 2025'!W13</f>
        <v>133</v>
      </c>
      <c r="J13" s="99">
        <v>2.42</v>
      </c>
      <c r="K13" s="106">
        <f>'August 2025'!AB13*5.04</f>
        <v>1436.4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227</v>
      </c>
      <c r="P13" s="100">
        <f>'August 2025'!AD13</f>
        <v>505</v>
      </c>
    </row>
    <row r="14" spans="1:16" ht="14.3" x14ac:dyDescent="0.25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12340</v>
      </c>
      <c r="F14" s="110">
        <f>('August 2025'!C14*0.27)/('August 2025'!C14+'August 2025'!E14)</f>
        <v>0.24124959481361427</v>
      </c>
      <c r="G14" s="97">
        <f>'August 2025'!U14</f>
        <v>-150</v>
      </c>
      <c r="H14" s="113">
        <v>0.62</v>
      </c>
      <c r="I14" s="98">
        <f>'August 2025'!W14</f>
        <v>139</v>
      </c>
      <c r="J14" s="99">
        <v>2.42</v>
      </c>
      <c r="K14" s="106">
        <f>'August 2025'!AB14*5.04</f>
        <v>1814.4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222</v>
      </c>
      <c r="P14" s="100">
        <f>'August 2025'!AD14</f>
        <v>503</v>
      </c>
    </row>
    <row r="15" spans="1:16" ht="14.3" x14ac:dyDescent="0.25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12852</v>
      </c>
      <c r="F15" s="110">
        <f>('August 2025'!C15*0.27)/('August 2025'!C15+'August 2025'!E15)</f>
        <v>0.24172268907563027</v>
      </c>
      <c r="G15" s="97">
        <f>'August 2025'!U15</f>
        <v>415</v>
      </c>
      <c r="H15" s="113">
        <v>0.62</v>
      </c>
      <c r="I15" s="98">
        <f>'August 2025'!W15</f>
        <v>139</v>
      </c>
      <c r="J15" s="99">
        <v>2.42</v>
      </c>
      <c r="K15" s="106">
        <f>'August 2025'!AB15*5.04</f>
        <v>1638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228</v>
      </c>
      <c r="P15" s="100">
        <f>'August 2025'!AD15</f>
        <v>521</v>
      </c>
    </row>
    <row r="16" spans="1:16" ht="14.3" x14ac:dyDescent="0.25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13048</v>
      </c>
      <c r="F16" s="110">
        <f>('August 2025'!C16*0.27)/('August 2025'!C16+'August 2025'!E16)</f>
        <v>0.24100935009196811</v>
      </c>
      <c r="G16" s="97">
        <f>'August 2025'!U16</f>
        <v>150</v>
      </c>
      <c r="H16" s="113">
        <v>0.62</v>
      </c>
      <c r="I16" s="98">
        <f>'August 2025'!W16</f>
        <v>149</v>
      </c>
      <c r="J16" s="99">
        <v>2.42</v>
      </c>
      <c r="K16" s="106">
        <f>'August 2025'!AB16*5.04</f>
        <v>1738.8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243</v>
      </c>
      <c r="P16" s="100">
        <f>'August 2025'!AD16</f>
        <v>559</v>
      </c>
    </row>
    <row r="17" spans="1:16" ht="14.3" x14ac:dyDescent="0.25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12380</v>
      </c>
      <c r="F17" s="110">
        <f>('August 2025'!C17*0.27)/('August 2025'!C17+'August 2025'!E17)</f>
        <v>0.24140791599353797</v>
      </c>
      <c r="G17" s="97">
        <f>'August 2025'!U17</f>
        <v>140</v>
      </c>
      <c r="H17" s="113">
        <v>0.62</v>
      </c>
      <c r="I17" s="98">
        <f>'August 2025'!W17</f>
        <v>149</v>
      </c>
      <c r="J17" s="99">
        <v>2.42</v>
      </c>
      <c r="K17" s="106">
        <f>'August 2025'!AB17*5.04</f>
        <v>1436.4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241</v>
      </c>
      <c r="P17" s="100">
        <f>'August 2025'!AD17</f>
        <v>562</v>
      </c>
    </row>
    <row r="18" spans="1:16" ht="14.3" x14ac:dyDescent="0.25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11310</v>
      </c>
      <c r="F18" s="110">
        <f>('August 2025'!C18*0.27)/('August 2025'!C18+'August 2025'!E18)</f>
        <v>0.23898938992042443</v>
      </c>
      <c r="G18" s="97">
        <f>'August 2025'!U18</f>
        <v>110</v>
      </c>
      <c r="H18" s="113">
        <v>0.62</v>
      </c>
      <c r="I18" s="98">
        <f>'August 2025'!W18</f>
        <v>135</v>
      </c>
      <c r="J18" s="99">
        <v>2.42</v>
      </c>
      <c r="K18" s="106">
        <f>'August 2025'!AB18*5.04</f>
        <v>1839.6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214</v>
      </c>
      <c r="P18" s="100">
        <f>'August 2025'!AD18</f>
        <v>518</v>
      </c>
    </row>
    <row r="19" spans="1:16" ht="14.3" x14ac:dyDescent="0.25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11746</v>
      </c>
      <c r="F19" s="110">
        <f>('August 2025'!C19*0.27)/('August 2025'!C19+'August 2025'!E19)</f>
        <v>0.23896815937340371</v>
      </c>
      <c r="G19" s="97">
        <f>'August 2025'!U19</f>
        <v>178</v>
      </c>
      <c r="H19" s="113">
        <v>0.62</v>
      </c>
      <c r="I19" s="98">
        <f>'August 2025'!W19</f>
        <v>143</v>
      </c>
      <c r="J19" s="99">
        <v>2.42</v>
      </c>
      <c r="K19" s="106">
        <f>'August 2025'!AB19*5.04</f>
        <v>982.8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211</v>
      </c>
      <c r="P19" s="100">
        <f>'August 2025'!AD19</f>
        <v>514</v>
      </c>
    </row>
    <row r="20" spans="1:16" ht="14.3" x14ac:dyDescent="0.25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0</v>
      </c>
      <c r="F20" s="110" t="e">
        <f>('August 2025'!C20*0.27)/('August 2025'!C20+'August 2025'!E20)</f>
        <v>#DIV/0!</v>
      </c>
      <c r="G20" s="97" t="str">
        <f>'August 2025'!U20</f>
        <v>0</v>
      </c>
      <c r="H20" s="113">
        <v>0.62</v>
      </c>
      <c r="I20" s="98" t="str">
        <f>'August 2025'!W20</f>
        <v>0</v>
      </c>
      <c r="J20" s="99">
        <v>2.42</v>
      </c>
      <c r="K20" s="106">
        <f>'August 2025'!AB20*5.04</f>
        <v>0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207</v>
      </c>
      <c r="P20" s="100">
        <f>'August 2025'!AD20</f>
        <v>498</v>
      </c>
    </row>
    <row r="21" spans="1:16" ht="14.3" x14ac:dyDescent="0.25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0</v>
      </c>
      <c r="F21" s="110" t="e">
        <f>('August 2025'!C21*0.27)/('August 2025'!C21+'August 2025'!E21)</f>
        <v>#DIV/0!</v>
      </c>
      <c r="G21" s="97" t="str">
        <f>'August 2025'!U21</f>
        <v>0</v>
      </c>
      <c r="H21" s="113">
        <v>0.62</v>
      </c>
      <c r="I21" s="98">
        <f>'August 2025'!W21</f>
        <v>0</v>
      </c>
      <c r="J21" s="99">
        <v>2.42</v>
      </c>
      <c r="K21" s="106">
        <f>'August 2025'!AB21*5.04</f>
        <v>0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0</v>
      </c>
      <c r="P21" s="100">
        <f>'August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0</v>
      </c>
      <c r="F22" s="110" t="e">
        <f>('August 2025'!C22*0.27)/('August 2025'!C22+'August 2025'!E22)</f>
        <v>#DIV/0!</v>
      </c>
      <c r="G22" s="97" t="str">
        <f>'August 2025'!U22</f>
        <v>0</v>
      </c>
      <c r="H22" s="113">
        <v>0.62</v>
      </c>
      <c r="I22" s="98">
        <f>'August 2025'!W22</f>
        <v>0</v>
      </c>
      <c r="J22" s="99">
        <v>2.42</v>
      </c>
      <c r="K22" s="106">
        <f>'August 2025'!AB22*5.04</f>
        <v>0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0</v>
      </c>
      <c r="P22" s="100">
        <f>'August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0</v>
      </c>
      <c r="F23" s="110" t="e">
        <f>('August 2025'!C23*0.27)/('August 2025'!C23+'August 2025'!E23)</f>
        <v>#DIV/0!</v>
      </c>
      <c r="G23" s="97" t="str">
        <f>'August 2025'!U23</f>
        <v>0</v>
      </c>
      <c r="H23" s="113">
        <v>0.62</v>
      </c>
      <c r="I23" s="98">
        <f>'August 2025'!W23</f>
        <v>0</v>
      </c>
      <c r="J23" s="99">
        <v>2.42</v>
      </c>
      <c r="K23" s="106">
        <f>'August 2025'!AB23*5.04</f>
        <v>0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0</v>
      </c>
      <c r="P23" s="100">
        <f>'August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0</v>
      </c>
      <c r="F24" s="110" t="e">
        <f>('August 2025'!C24*0.27)/('August 2025'!C24+'August 2025'!E24)</f>
        <v>#DIV/0!</v>
      </c>
      <c r="G24" s="97" t="str">
        <f>'August 2025'!U24</f>
        <v>0</v>
      </c>
      <c r="H24" s="113">
        <v>0.62</v>
      </c>
      <c r="I24" s="98">
        <f>'August 2025'!W24</f>
        <v>0</v>
      </c>
      <c r="J24" s="99">
        <v>2.42</v>
      </c>
      <c r="K24" s="106">
        <f>'August 2025'!AB24*5.04</f>
        <v>0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0</v>
      </c>
      <c r="P24" s="100">
        <f>'August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0</v>
      </c>
      <c r="F25" s="110" t="e">
        <f>('August 2025'!C25*0.27)/('August 2025'!C25+'August 2025'!E25)</f>
        <v>#DIV/0!</v>
      </c>
      <c r="G25" s="97" t="str">
        <f>'August 2025'!U25</f>
        <v>0</v>
      </c>
      <c r="H25" s="113">
        <v>0.62</v>
      </c>
      <c r="I25" s="98">
        <f>'August 2025'!W25</f>
        <v>0</v>
      </c>
      <c r="J25" s="99">
        <v>2.42</v>
      </c>
      <c r="K25" s="106">
        <f>'August 2025'!AB25*5.04</f>
        <v>0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0</v>
      </c>
      <c r="P25" s="100">
        <f>'August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0</v>
      </c>
      <c r="F26" s="110" t="e">
        <f>('August 2025'!C26*0.27)/('August 2025'!C26+'August 2025'!E26)</f>
        <v>#DIV/0!</v>
      </c>
      <c r="G26" s="97" t="str">
        <f>'August 2025'!U26</f>
        <v>0</v>
      </c>
      <c r="H26" s="113">
        <v>0.62</v>
      </c>
      <c r="I26" s="98">
        <f>'August 2025'!W26</f>
        <v>0</v>
      </c>
      <c r="J26" s="99">
        <v>2.42</v>
      </c>
      <c r="K26" s="106">
        <f>'August 2025'!AB26*5.04</f>
        <v>0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0</v>
      </c>
      <c r="P26" s="100">
        <f>'August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0</v>
      </c>
      <c r="F27" s="110" t="e">
        <f>('August 2025'!C27*0.27)/('August 2025'!C27+'August 2025'!E27)</f>
        <v>#DIV/0!</v>
      </c>
      <c r="G27" s="97" t="str">
        <f>'August 2025'!U27</f>
        <v>0</v>
      </c>
      <c r="H27" s="113">
        <v>0.62</v>
      </c>
      <c r="I27" s="98">
        <f>'August 2025'!W27</f>
        <v>0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0</v>
      </c>
      <c r="P27" s="100">
        <f>'August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0</v>
      </c>
      <c r="F28" s="110" t="e">
        <f>('August 2025'!C28*0.27)/('August 2025'!C28+'August 2025'!E28)</f>
        <v>#DIV/0!</v>
      </c>
      <c r="G28" s="97" t="str">
        <f>'August 2025'!U28</f>
        <v>0</v>
      </c>
      <c r="H28" s="113">
        <v>0.62</v>
      </c>
      <c r="I28" s="98">
        <f>'August 2025'!W28</f>
        <v>0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0</v>
      </c>
      <c r="P28" s="100">
        <f>'August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0</v>
      </c>
      <c r="F29" s="110" t="e">
        <f>('August 2025'!C29*0.27)/('August 2025'!C29+'August 2025'!E29)</f>
        <v>#DIV/0!</v>
      </c>
      <c r="G29" s="97" t="str">
        <f>'August 2025'!U29</f>
        <v>0</v>
      </c>
      <c r="H29" s="113">
        <v>0.62</v>
      </c>
      <c r="I29" s="98">
        <f>'August 2025'!W29</f>
        <v>0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0</v>
      </c>
      <c r="P29" s="100">
        <f>'August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0</v>
      </c>
      <c r="F30" s="110" t="e">
        <f>('August 2025'!C30*0.27)/('August 2025'!C30+'August 2025'!E30)</f>
        <v>#DIV/0!</v>
      </c>
      <c r="G30" s="97" t="str">
        <f>'August 2025'!U30</f>
        <v>0</v>
      </c>
      <c r="H30" s="113">
        <v>0.62</v>
      </c>
      <c r="I30" s="98">
        <f>'August 2025'!W30</f>
        <v>0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0</v>
      </c>
      <c r="P30" s="100">
        <f>'August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2025'!C32&lt;0,"0",'August 2025'!C32)+(IF('August 2025'!E32&lt;0,"0",'August 2025'!E32)-(IF('August 2025'!G32&lt;0,"0",'August 2025'!G32)))</f>
        <v>0</v>
      </c>
      <c r="F31" s="110" t="e">
        <f>('August 2025'!C32*0.27)/('August 2025'!C32+'August 2025'!E32)</f>
        <v>#DIV/0!</v>
      </c>
      <c r="G31" s="97" t="str">
        <f>'August 2025'!U32</f>
        <v>0</v>
      </c>
      <c r="H31" s="113">
        <v>0.62</v>
      </c>
      <c r="I31" s="98">
        <f>'August 2025'!W32</f>
        <v>0</v>
      </c>
      <c r="J31" s="99">
        <v>2.42</v>
      </c>
      <c r="K31" s="106">
        <f>'August 2025'!AB32*5.04</f>
        <v>0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0</v>
      </c>
      <c r="P31" s="100">
        <f>'August 2025'!AD32</f>
        <v>0</v>
      </c>
    </row>
    <row r="32" spans="1:16" ht="14.3" x14ac:dyDescent="0.25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2025'!C33&lt;0,"0",'August 2025'!C33)+(IF('August 2025'!E33&lt;0,"0",'August 2025'!E33)-(IF('August 2025'!G33&lt;0,"0",'August 2025'!G33)))</f>
        <v>0</v>
      </c>
      <c r="F32" s="110" t="e">
        <f>('August 2025'!C33*0.27)/('August 2025'!C33+'August 2025'!E33)</f>
        <v>#DIV/0!</v>
      </c>
      <c r="G32" s="97">
        <f>'August 2025'!U33</f>
        <v>0</v>
      </c>
      <c r="H32" s="113">
        <v>0.62</v>
      </c>
      <c r="I32" s="98">
        <f>'August 2025'!W33</f>
        <v>0</v>
      </c>
      <c r="J32" s="99">
        <v>2.42</v>
      </c>
      <c r="K32" s="106">
        <f>'August 2025'!AB33*5.04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1" zoomScale="85" zoomScaleNormal="85" workbookViewId="0">
      <selection activeCell="AD21" sqref="AD2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45870</v>
      </c>
      <c r="B2" s="8">
        <v>483752</v>
      </c>
      <c r="C2" s="14">
        <f>IF((B3-B2)&lt;0,"0",B3-B2)</f>
        <v>9193</v>
      </c>
      <c r="D2" s="9">
        <v>868083</v>
      </c>
      <c r="E2" s="14">
        <f>IF((D3-D2)&lt;0,"0",D3-D2)</f>
        <v>1389</v>
      </c>
      <c r="F2" s="27">
        <v>1704</v>
      </c>
      <c r="G2" s="67">
        <f>F3-F2</f>
        <v>0</v>
      </c>
      <c r="H2" s="69">
        <f>C2+E2-G2</f>
        <v>10582</v>
      </c>
      <c r="I2" s="73">
        <f>H2-K2-M2-O2-Q2</f>
        <v>-35289.329999999994</v>
      </c>
      <c r="J2" s="32">
        <f t="shared" ref="J2:J29" si="0">I3-I2</f>
        <v>352.10999999999331</v>
      </c>
      <c r="K2" s="19">
        <f>A2</f>
        <v>45870</v>
      </c>
      <c r="L2" s="30">
        <v>7935</v>
      </c>
      <c r="M2" s="31">
        <v>0</v>
      </c>
      <c r="N2" s="32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>
        <f>(2500*O2)+(2500*P2)+(500*Q2)+(500*R2)</f>
        <v>4005</v>
      </c>
      <c r="T2" s="123"/>
      <c r="U2" s="32">
        <f>IF((S2-S3+T2)=S2,"0",(S2-S3+T2))</f>
        <v>195</v>
      </c>
      <c r="V2" s="40">
        <v>23567</v>
      </c>
      <c r="W2" s="32">
        <f t="shared" ref="W2:W29" si="1">IF(V3-V2&lt;0,"0",V3-V2)</f>
        <v>105</v>
      </c>
      <c r="X2" s="43">
        <v>61265</v>
      </c>
      <c r="Y2" s="14">
        <f>IF((X3-X2)&lt;0,"0",X3-X2)</f>
        <v>0</v>
      </c>
      <c r="Z2" s="46">
        <v>1400</v>
      </c>
      <c r="AA2" s="52">
        <v>3485</v>
      </c>
      <c r="AB2" s="32">
        <f>IF((Z2-Z3+AA2)=Z2,"0",(Z2-Z3+AA2))</f>
        <v>265</v>
      </c>
      <c r="AC2" s="12">
        <v>184</v>
      </c>
      <c r="AD2" s="17">
        <v>394</v>
      </c>
    </row>
    <row r="3" spans="1:30" ht="20.7" customHeight="1" x14ac:dyDescent="0.2">
      <c r="A3" s="19">
        <v>45871</v>
      </c>
      <c r="B3" s="10">
        <v>492945</v>
      </c>
      <c r="C3" s="14">
        <f t="shared" ref="C3:C31" si="2">IF((B4-B3)&lt;0,"0",B4-B3)</f>
        <v>9530</v>
      </c>
      <c r="D3" s="11">
        <v>869472</v>
      </c>
      <c r="E3" s="14">
        <f t="shared" ref="E3:E32" si="3">IF((D4-D3)&lt;0,"0",D4-D3)</f>
        <v>1405</v>
      </c>
      <c r="F3" s="27">
        <v>1704</v>
      </c>
      <c r="G3" s="67">
        <f t="shared" ref="G3:G29" si="4">F4-F3</f>
        <v>0</v>
      </c>
      <c r="H3" s="69">
        <f t="shared" ref="H3:H32" si="5">C3+E3-G3</f>
        <v>10935</v>
      </c>
      <c r="I3" s="73">
        <f t="shared" ref="I3:I32" si="6">H3-K3-M3-O3-Q3</f>
        <v>-34937.22</v>
      </c>
      <c r="J3" s="32">
        <f t="shared" si="0"/>
        <v>-448.84999999999854</v>
      </c>
      <c r="K3" s="20">
        <f t="shared" ref="K3:K33" si="7">A3</f>
        <v>45871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0.61</v>
      </c>
      <c r="P3" s="86">
        <v>0.68</v>
      </c>
      <c r="Q3" s="85">
        <v>0.61</v>
      </c>
      <c r="R3" s="86">
        <v>0.56000000000000005</v>
      </c>
      <c r="S3" s="38">
        <f t="shared" ref="S3:S33" si="9">(2500*O3)+(2500*P3)+(500*Q3)+(500*R3)</f>
        <v>3810</v>
      </c>
      <c r="T3" s="123"/>
      <c r="U3" s="32">
        <f t="shared" ref="U3:U29" si="10">IF((S3-S4+T3)=S3,"0",(S3-S4+T3))</f>
        <v>270</v>
      </c>
      <c r="V3" s="41">
        <v>23672</v>
      </c>
      <c r="W3" s="32">
        <f t="shared" si="1"/>
        <v>114</v>
      </c>
      <c r="X3" s="43">
        <v>61265</v>
      </c>
      <c r="Y3" s="14">
        <f t="shared" ref="Y3:Y29" si="11">IF((X4-X3)&lt;0,"0",X4-X3)</f>
        <v>0</v>
      </c>
      <c r="Z3" s="46">
        <v>4620</v>
      </c>
      <c r="AA3" s="52"/>
      <c r="AB3" s="32">
        <f t="shared" ref="AB3:AB29" si="12">IF((Z3-Z4+AA3)=Z3,"0",(Z3-Z4+AA3))</f>
        <v>325</v>
      </c>
      <c r="AC3" s="13">
        <v>204</v>
      </c>
      <c r="AD3" s="18">
        <v>435</v>
      </c>
    </row>
    <row r="4" spans="1:30" ht="20.7" customHeight="1" x14ac:dyDescent="0.2">
      <c r="A4" s="19">
        <v>45872</v>
      </c>
      <c r="B4" s="10">
        <v>502475</v>
      </c>
      <c r="C4" s="14">
        <f t="shared" si="2"/>
        <v>9025</v>
      </c>
      <c r="D4" s="11">
        <v>870877</v>
      </c>
      <c r="E4" s="14">
        <f t="shared" si="3"/>
        <v>1462</v>
      </c>
      <c r="F4" s="27">
        <v>1704</v>
      </c>
      <c r="G4" s="67">
        <f t="shared" si="4"/>
        <v>0</v>
      </c>
      <c r="H4" s="69">
        <f t="shared" si="5"/>
        <v>10487</v>
      </c>
      <c r="I4" s="73">
        <f t="shared" si="6"/>
        <v>-35386.07</v>
      </c>
      <c r="J4" s="32">
        <f t="shared" si="0"/>
        <v>345.02999999999884</v>
      </c>
      <c r="K4" s="20">
        <f t="shared" si="7"/>
        <v>45872</v>
      </c>
      <c r="L4" s="33">
        <v>7935</v>
      </c>
      <c r="M4" s="31">
        <v>0</v>
      </c>
      <c r="N4" s="32">
        <f t="shared" si="8"/>
        <v>0</v>
      </c>
      <c r="O4" s="85">
        <v>0.56000000000000005</v>
      </c>
      <c r="P4" s="86">
        <v>0.65</v>
      </c>
      <c r="Q4" s="85">
        <v>0.51</v>
      </c>
      <c r="R4" s="86">
        <v>0.52</v>
      </c>
      <c r="S4" s="38">
        <f t="shared" si="9"/>
        <v>3540</v>
      </c>
      <c r="T4" s="123"/>
      <c r="U4" s="32">
        <f t="shared" si="10"/>
        <v>100</v>
      </c>
      <c r="V4" s="41">
        <v>23786</v>
      </c>
      <c r="W4" s="32">
        <f t="shared" si="1"/>
        <v>127</v>
      </c>
      <c r="X4" s="43">
        <v>61265</v>
      </c>
      <c r="Y4" s="14">
        <f t="shared" si="11"/>
        <v>0</v>
      </c>
      <c r="Z4" s="46">
        <v>4295</v>
      </c>
      <c r="AA4" s="52"/>
      <c r="AB4" s="32">
        <f t="shared" si="12"/>
        <v>330</v>
      </c>
      <c r="AC4" s="13">
        <v>185</v>
      </c>
      <c r="AD4" s="18">
        <v>404</v>
      </c>
    </row>
    <row r="5" spans="1:30" ht="20.7" customHeight="1" x14ac:dyDescent="0.2">
      <c r="A5" s="19">
        <v>45873</v>
      </c>
      <c r="B5" s="10">
        <v>511500</v>
      </c>
      <c r="C5" s="14">
        <f t="shared" si="2"/>
        <v>9392</v>
      </c>
      <c r="D5" s="11">
        <v>872339</v>
      </c>
      <c r="E5" s="14">
        <f t="shared" si="3"/>
        <v>1441</v>
      </c>
      <c r="F5" s="27">
        <v>1704</v>
      </c>
      <c r="G5" s="67">
        <f t="shared" si="4"/>
        <v>0</v>
      </c>
      <c r="H5" s="69">
        <f t="shared" si="5"/>
        <v>10833</v>
      </c>
      <c r="I5" s="73">
        <f t="shared" si="6"/>
        <v>-35041.040000000001</v>
      </c>
      <c r="J5" s="32">
        <f t="shared" si="0"/>
        <v>443.38000000000466</v>
      </c>
      <c r="K5" s="20">
        <f t="shared" si="7"/>
        <v>45873</v>
      </c>
      <c r="L5" s="33">
        <v>7935</v>
      </c>
      <c r="M5" s="31">
        <v>0</v>
      </c>
      <c r="N5" s="32">
        <f t="shared" si="8"/>
        <v>0</v>
      </c>
      <c r="O5" s="85">
        <v>0.55000000000000004</v>
      </c>
      <c r="P5" s="86">
        <v>0.63</v>
      </c>
      <c r="Q5" s="85">
        <v>0.49</v>
      </c>
      <c r="R5" s="86">
        <v>0.49</v>
      </c>
      <c r="S5" s="38">
        <f t="shared" si="9"/>
        <v>3440</v>
      </c>
      <c r="T5" s="123">
        <v>1498</v>
      </c>
      <c r="U5" s="32">
        <f t="shared" si="10"/>
        <v>108</v>
      </c>
      <c r="V5" s="41">
        <v>23913</v>
      </c>
      <c r="W5" s="32">
        <f t="shared" si="1"/>
        <v>117</v>
      </c>
      <c r="X5" s="43">
        <v>61265</v>
      </c>
      <c r="Y5" s="14">
        <f t="shared" si="11"/>
        <v>0</v>
      </c>
      <c r="Z5" s="46">
        <v>3965</v>
      </c>
      <c r="AA5" s="52"/>
      <c r="AB5" s="32">
        <f t="shared" si="12"/>
        <v>270</v>
      </c>
      <c r="AC5" s="13">
        <v>188</v>
      </c>
      <c r="AD5" s="18">
        <v>414</v>
      </c>
    </row>
    <row r="6" spans="1:30" ht="20.7" customHeight="1" x14ac:dyDescent="0.2">
      <c r="A6" s="19">
        <v>45874</v>
      </c>
      <c r="B6" s="10">
        <v>520892</v>
      </c>
      <c r="C6" s="14">
        <f t="shared" si="2"/>
        <v>9936</v>
      </c>
      <c r="D6" s="11">
        <v>873780</v>
      </c>
      <c r="E6" s="14">
        <f t="shared" si="3"/>
        <v>1342</v>
      </c>
      <c r="F6" s="27">
        <v>1704</v>
      </c>
      <c r="G6" s="67">
        <f t="shared" si="4"/>
        <v>0</v>
      </c>
      <c r="H6" s="69">
        <f t="shared" si="5"/>
        <v>11278</v>
      </c>
      <c r="I6" s="73">
        <f t="shared" si="6"/>
        <v>-34597.659999999996</v>
      </c>
      <c r="J6" s="32">
        <f t="shared" si="0"/>
        <v>622.02999999999156</v>
      </c>
      <c r="K6" s="20">
        <f t="shared" si="7"/>
        <v>45874</v>
      </c>
      <c r="L6" s="33">
        <v>7935</v>
      </c>
      <c r="M6" s="31">
        <v>0</v>
      </c>
      <c r="N6" s="32">
        <f t="shared" si="8"/>
        <v>0</v>
      </c>
      <c r="O6" s="85">
        <v>0.81</v>
      </c>
      <c r="P6" s="86">
        <v>0.8</v>
      </c>
      <c r="Q6" s="85">
        <v>0.85</v>
      </c>
      <c r="R6" s="86">
        <v>0.76</v>
      </c>
      <c r="S6" s="38">
        <f t="shared" si="9"/>
        <v>4830</v>
      </c>
      <c r="T6" s="123"/>
      <c r="U6" s="32">
        <f t="shared" si="10"/>
        <v>95</v>
      </c>
      <c r="V6" s="41">
        <v>24030</v>
      </c>
      <c r="W6" s="32">
        <f t="shared" si="1"/>
        <v>131</v>
      </c>
      <c r="X6" s="43">
        <v>61265</v>
      </c>
      <c r="Y6" s="14">
        <f t="shared" si="11"/>
        <v>0</v>
      </c>
      <c r="Z6" s="46">
        <v>3695</v>
      </c>
      <c r="AA6" s="52"/>
      <c r="AB6" s="32">
        <f t="shared" si="12"/>
        <v>320</v>
      </c>
      <c r="AC6" s="13">
        <v>198</v>
      </c>
      <c r="AD6" s="18">
        <v>437</v>
      </c>
    </row>
    <row r="7" spans="1:30" ht="20.7" customHeight="1" x14ac:dyDescent="0.2">
      <c r="A7" s="19">
        <v>45875</v>
      </c>
      <c r="B7" s="10">
        <v>530828</v>
      </c>
      <c r="C7" s="14">
        <f t="shared" si="2"/>
        <v>10467</v>
      </c>
      <c r="D7" s="11">
        <v>875122</v>
      </c>
      <c r="E7" s="14">
        <f t="shared" si="3"/>
        <v>1434</v>
      </c>
      <c r="F7" s="27">
        <v>1704</v>
      </c>
      <c r="G7" s="67">
        <f t="shared" si="4"/>
        <v>0</v>
      </c>
      <c r="H7" s="69">
        <f t="shared" si="5"/>
        <v>11901</v>
      </c>
      <c r="I7" s="73">
        <f t="shared" si="6"/>
        <v>-33975.630000000005</v>
      </c>
      <c r="J7" s="32">
        <f t="shared" si="0"/>
        <v>-444.88999999999942</v>
      </c>
      <c r="K7" s="20">
        <f t="shared" si="7"/>
        <v>45875</v>
      </c>
      <c r="L7" s="33">
        <v>7935</v>
      </c>
      <c r="M7" s="31">
        <v>0</v>
      </c>
      <c r="N7" s="32">
        <f t="shared" si="8"/>
        <v>0</v>
      </c>
      <c r="O7" s="85">
        <v>0.8</v>
      </c>
      <c r="P7" s="86">
        <v>0.78</v>
      </c>
      <c r="Q7" s="85">
        <v>0.83</v>
      </c>
      <c r="R7" s="86">
        <v>0.74</v>
      </c>
      <c r="S7" s="38">
        <f t="shared" si="9"/>
        <v>4735</v>
      </c>
      <c r="T7" s="123"/>
      <c r="U7" s="32">
        <f t="shared" si="10"/>
        <v>200</v>
      </c>
      <c r="V7" s="41">
        <v>24161</v>
      </c>
      <c r="W7" s="32">
        <f t="shared" si="1"/>
        <v>124</v>
      </c>
      <c r="X7" s="43">
        <v>61265</v>
      </c>
      <c r="Y7" s="14">
        <f t="shared" si="11"/>
        <v>0</v>
      </c>
      <c r="Z7" s="46">
        <v>3375</v>
      </c>
      <c r="AA7" s="52"/>
      <c r="AB7" s="32">
        <f t="shared" si="12"/>
        <v>320</v>
      </c>
      <c r="AC7" s="13">
        <v>216</v>
      </c>
      <c r="AD7" s="18">
        <v>472</v>
      </c>
    </row>
    <row r="8" spans="1:30" ht="20.7" customHeight="1" x14ac:dyDescent="0.2">
      <c r="A8" s="19">
        <v>45876</v>
      </c>
      <c r="B8" s="10">
        <v>541295</v>
      </c>
      <c r="C8" s="14">
        <f t="shared" si="2"/>
        <v>10033</v>
      </c>
      <c r="D8" s="11">
        <v>876556</v>
      </c>
      <c r="E8" s="14">
        <f t="shared" si="3"/>
        <v>1424</v>
      </c>
      <c r="F8" s="27">
        <v>1704</v>
      </c>
      <c r="G8" s="67">
        <f t="shared" si="4"/>
        <v>0</v>
      </c>
      <c r="H8" s="69">
        <f t="shared" si="5"/>
        <v>11457</v>
      </c>
      <c r="I8" s="73">
        <f t="shared" si="6"/>
        <v>-34420.520000000004</v>
      </c>
      <c r="J8" s="32">
        <f t="shared" si="0"/>
        <v>265.08000000000902</v>
      </c>
      <c r="K8" s="20">
        <f t="shared" si="7"/>
        <v>45876</v>
      </c>
      <c r="L8" s="33">
        <v>7935</v>
      </c>
      <c r="M8" s="31">
        <v>0</v>
      </c>
      <c r="N8" s="32">
        <f t="shared" si="8"/>
        <v>0</v>
      </c>
      <c r="O8" s="85">
        <v>0.76</v>
      </c>
      <c r="P8" s="86">
        <v>0.77</v>
      </c>
      <c r="Q8" s="85">
        <v>0.76</v>
      </c>
      <c r="R8" s="86">
        <v>0.66</v>
      </c>
      <c r="S8" s="38">
        <f t="shared" si="9"/>
        <v>4535</v>
      </c>
      <c r="T8" s="123"/>
      <c r="U8" s="32">
        <f t="shared" si="10"/>
        <v>125</v>
      </c>
      <c r="V8" s="41">
        <v>24285</v>
      </c>
      <c r="W8" s="32">
        <f t="shared" si="1"/>
        <v>139</v>
      </c>
      <c r="X8" s="43">
        <v>61265</v>
      </c>
      <c r="Y8" s="14">
        <f t="shared" si="11"/>
        <v>0</v>
      </c>
      <c r="Z8" s="46">
        <v>3055</v>
      </c>
      <c r="AA8" s="52"/>
      <c r="AB8" s="32">
        <f t="shared" si="12"/>
        <v>355</v>
      </c>
      <c r="AC8" s="13">
        <v>221</v>
      </c>
      <c r="AD8" s="18">
        <v>485</v>
      </c>
    </row>
    <row r="9" spans="1:30" ht="20.7" customHeight="1" x14ac:dyDescent="0.2">
      <c r="A9" s="19">
        <v>45877</v>
      </c>
      <c r="B9" s="10">
        <v>551328</v>
      </c>
      <c r="C9" s="14">
        <f t="shared" si="2"/>
        <v>10268</v>
      </c>
      <c r="D9" s="11">
        <v>877980</v>
      </c>
      <c r="E9" s="14">
        <f t="shared" si="3"/>
        <v>1455</v>
      </c>
      <c r="F9" s="27">
        <v>1704</v>
      </c>
      <c r="G9" s="67">
        <f t="shared" si="4"/>
        <v>0</v>
      </c>
      <c r="H9" s="69">
        <f t="shared" si="5"/>
        <v>11723</v>
      </c>
      <c r="I9" s="73">
        <f t="shared" si="6"/>
        <v>-34155.439999999995</v>
      </c>
      <c r="J9" s="32">
        <f t="shared" si="0"/>
        <v>503.12999999999738</v>
      </c>
      <c r="K9" s="20">
        <f t="shared" si="7"/>
        <v>45877</v>
      </c>
      <c r="L9" s="33">
        <v>7935</v>
      </c>
      <c r="M9" s="31">
        <v>0</v>
      </c>
      <c r="N9" s="32">
        <f t="shared" si="8"/>
        <v>0</v>
      </c>
      <c r="O9" s="85">
        <v>0.74</v>
      </c>
      <c r="P9" s="86">
        <v>0.76</v>
      </c>
      <c r="Q9" s="85">
        <v>0.7</v>
      </c>
      <c r="R9" s="86">
        <v>0.62</v>
      </c>
      <c r="S9" s="38">
        <f t="shared" si="9"/>
        <v>4410</v>
      </c>
      <c r="T9" s="123"/>
      <c r="U9" s="32">
        <f t="shared" si="10"/>
        <v>180</v>
      </c>
      <c r="V9" s="41">
        <v>24424</v>
      </c>
      <c r="W9" s="32">
        <f t="shared" si="1"/>
        <v>141</v>
      </c>
      <c r="X9" s="43">
        <v>61265</v>
      </c>
      <c r="Y9" s="14">
        <f t="shared" si="11"/>
        <v>0</v>
      </c>
      <c r="Z9" s="47">
        <v>2700</v>
      </c>
      <c r="AA9" s="52"/>
      <c r="AB9" s="32">
        <f t="shared" si="12"/>
        <v>370</v>
      </c>
      <c r="AC9" s="13">
        <v>227</v>
      </c>
      <c r="AD9" s="18">
        <v>508</v>
      </c>
    </row>
    <row r="10" spans="1:30" ht="20.7" customHeight="1" x14ac:dyDescent="0.2">
      <c r="A10" s="19">
        <v>45878</v>
      </c>
      <c r="B10" s="10">
        <v>561596</v>
      </c>
      <c r="C10" s="14">
        <f t="shared" si="2"/>
        <v>10828</v>
      </c>
      <c r="D10" s="11">
        <v>879435</v>
      </c>
      <c r="E10" s="14">
        <f t="shared" si="3"/>
        <v>1399</v>
      </c>
      <c r="F10" s="27">
        <v>1704</v>
      </c>
      <c r="G10" s="67">
        <f t="shared" si="4"/>
        <v>0</v>
      </c>
      <c r="H10" s="69">
        <f t="shared" si="5"/>
        <v>12227</v>
      </c>
      <c r="I10" s="73">
        <f t="shared" si="6"/>
        <v>-33652.31</v>
      </c>
      <c r="J10" s="32">
        <f t="shared" si="0"/>
        <v>121.09999999999854</v>
      </c>
      <c r="K10" s="20">
        <f t="shared" si="7"/>
        <v>45878</v>
      </c>
      <c r="L10" s="33">
        <v>7935</v>
      </c>
      <c r="M10" s="31">
        <v>0</v>
      </c>
      <c r="N10" s="32">
        <f t="shared" si="8"/>
        <v>0</v>
      </c>
      <c r="O10" s="85">
        <v>0.71</v>
      </c>
      <c r="P10" s="86">
        <v>0.75</v>
      </c>
      <c r="Q10" s="85">
        <v>0.6</v>
      </c>
      <c r="R10" s="86">
        <v>0.56000000000000005</v>
      </c>
      <c r="S10" s="38">
        <f t="shared" si="9"/>
        <v>4230</v>
      </c>
      <c r="T10" s="123"/>
      <c r="U10" s="32">
        <f t="shared" si="10"/>
        <v>140</v>
      </c>
      <c r="V10" s="41">
        <v>24565</v>
      </c>
      <c r="W10" s="32">
        <f t="shared" si="1"/>
        <v>144</v>
      </c>
      <c r="X10" s="43">
        <v>61265</v>
      </c>
      <c r="Y10" s="14">
        <f t="shared" si="11"/>
        <v>0</v>
      </c>
      <c r="Z10" s="47">
        <v>2330</v>
      </c>
      <c r="AA10" s="52"/>
      <c r="AB10" s="32">
        <f t="shared" si="12"/>
        <v>380</v>
      </c>
      <c r="AC10" s="13">
        <v>236</v>
      </c>
      <c r="AD10" s="18">
        <v>524</v>
      </c>
    </row>
    <row r="11" spans="1:30" ht="20.7" customHeight="1" x14ac:dyDescent="0.2">
      <c r="A11" s="19">
        <v>45879</v>
      </c>
      <c r="B11" s="10">
        <v>572424</v>
      </c>
      <c r="C11" s="14">
        <f t="shared" si="2"/>
        <v>10934</v>
      </c>
      <c r="D11" s="11">
        <v>880834</v>
      </c>
      <c r="E11" s="14">
        <f t="shared" si="3"/>
        <v>1415</v>
      </c>
      <c r="F11" s="27">
        <v>1704</v>
      </c>
      <c r="G11" s="67">
        <f t="shared" si="4"/>
        <v>0</v>
      </c>
      <c r="H11" s="69">
        <f t="shared" si="5"/>
        <v>12349</v>
      </c>
      <c r="I11" s="73">
        <f t="shared" si="6"/>
        <v>-33531.21</v>
      </c>
      <c r="J11" s="32">
        <f t="shared" si="0"/>
        <v>-313.88999999999942</v>
      </c>
      <c r="K11" s="20">
        <f t="shared" si="7"/>
        <v>45879</v>
      </c>
      <c r="L11" s="33">
        <v>7935</v>
      </c>
      <c r="M11" s="31">
        <v>0</v>
      </c>
      <c r="N11" s="32">
        <f t="shared" si="8"/>
        <v>0</v>
      </c>
      <c r="O11" s="85">
        <v>0.7</v>
      </c>
      <c r="P11" s="86">
        <v>0.73</v>
      </c>
      <c r="Q11" s="85">
        <v>0.51</v>
      </c>
      <c r="R11" s="86">
        <v>0.52</v>
      </c>
      <c r="S11" s="38">
        <f t="shared" si="9"/>
        <v>4090</v>
      </c>
      <c r="T11" s="123"/>
      <c r="U11" s="32">
        <f t="shared" si="10"/>
        <v>195</v>
      </c>
      <c r="V11" s="41">
        <v>24709</v>
      </c>
      <c r="W11" s="32">
        <f t="shared" si="1"/>
        <v>131</v>
      </c>
      <c r="X11" s="43">
        <v>61265</v>
      </c>
      <c r="Y11" s="14">
        <f t="shared" si="11"/>
        <v>0</v>
      </c>
      <c r="Z11" s="47">
        <v>1950</v>
      </c>
      <c r="AA11" s="52"/>
      <c r="AB11" s="32">
        <f t="shared" si="12"/>
        <v>365</v>
      </c>
      <c r="AC11" s="13">
        <v>229</v>
      </c>
      <c r="AD11" s="18">
        <v>514</v>
      </c>
    </row>
    <row r="12" spans="1:30" ht="20.7" customHeight="1" x14ac:dyDescent="0.2">
      <c r="A12" s="19">
        <v>45880</v>
      </c>
      <c r="B12" s="10">
        <v>583358</v>
      </c>
      <c r="C12" s="14">
        <f t="shared" si="2"/>
        <v>10612</v>
      </c>
      <c r="D12" s="11">
        <v>882249</v>
      </c>
      <c r="E12" s="14">
        <f t="shared" si="3"/>
        <v>1424</v>
      </c>
      <c r="F12" s="27">
        <v>1704</v>
      </c>
      <c r="G12" s="67">
        <f t="shared" si="4"/>
        <v>0</v>
      </c>
      <c r="H12" s="69">
        <f t="shared" si="5"/>
        <v>12036</v>
      </c>
      <c r="I12" s="73">
        <f t="shared" si="6"/>
        <v>-33845.1</v>
      </c>
      <c r="J12" s="32">
        <f t="shared" si="0"/>
        <v>153.57999999999447</v>
      </c>
      <c r="K12" s="20">
        <f t="shared" si="7"/>
        <v>45880</v>
      </c>
      <c r="L12" s="33">
        <v>7935</v>
      </c>
      <c r="M12" s="34">
        <v>0</v>
      </c>
      <c r="N12" s="32">
        <f t="shared" si="8"/>
        <v>0</v>
      </c>
      <c r="O12" s="85">
        <v>0.65</v>
      </c>
      <c r="P12" s="86">
        <v>0.72</v>
      </c>
      <c r="Q12" s="85">
        <v>0.45</v>
      </c>
      <c r="R12" s="86">
        <v>0.49</v>
      </c>
      <c r="S12" s="38">
        <f t="shared" si="9"/>
        <v>3895</v>
      </c>
      <c r="T12" s="123">
        <v>470</v>
      </c>
      <c r="U12" s="32">
        <f t="shared" si="10"/>
        <v>145</v>
      </c>
      <c r="V12" s="41">
        <v>24840</v>
      </c>
      <c r="W12" s="32">
        <f t="shared" si="1"/>
        <v>151</v>
      </c>
      <c r="X12" s="43">
        <v>61265</v>
      </c>
      <c r="Y12" s="14">
        <f t="shared" si="11"/>
        <v>0</v>
      </c>
      <c r="Z12" s="47">
        <v>1585</v>
      </c>
      <c r="AA12" s="52"/>
      <c r="AB12" s="32">
        <f t="shared" si="12"/>
        <v>370</v>
      </c>
      <c r="AC12" s="13">
        <v>233</v>
      </c>
      <c r="AD12" s="18">
        <v>523</v>
      </c>
    </row>
    <row r="13" spans="1:30" ht="20.7" customHeight="1" x14ac:dyDescent="0.2">
      <c r="A13" s="19">
        <v>45881</v>
      </c>
      <c r="B13" s="10">
        <v>593970</v>
      </c>
      <c r="C13" s="14">
        <f t="shared" si="2"/>
        <v>10821</v>
      </c>
      <c r="D13" s="11">
        <v>883673</v>
      </c>
      <c r="E13" s="14">
        <f t="shared" si="3"/>
        <v>1370</v>
      </c>
      <c r="F13" s="27">
        <v>1704</v>
      </c>
      <c r="G13" s="67">
        <f t="shared" si="4"/>
        <v>0</v>
      </c>
      <c r="H13" s="69">
        <f t="shared" si="5"/>
        <v>12191</v>
      </c>
      <c r="I13" s="73">
        <f t="shared" si="6"/>
        <v>-33691.520000000004</v>
      </c>
      <c r="J13" s="32">
        <f t="shared" si="0"/>
        <v>148.07000000000698</v>
      </c>
      <c r="K13" s="20">
        <f t="shared" si="7"/>
        <v>45881</v>
      </c>
      <c r="L13" s="33">
        <v>7935</v>
      </c>
      <c r="M13" s="34">
        <v>0</v>
      </c>
      <c r="N13" s="32">
        <f t="shared" si="8"/>
        <v>0</v>
      </c>
      <c r="O13" s="85">
        <v>0.65</v>
      </c>
      <c r="P13" s="86">
        <v>0.7</v>
      </c>
      <c r="Q13" s="85">
        <v>0.87</v>
      </c>
      <c r="R13" s="86">
        <v>0.82</v>
      </c>
      <c r="S13" s="38">
        <f t="shared" si="9"/>
        <v>4220</v>
      </c>
      <c r="T13" s="123"/>
      <c r="U13" s="32">
        <f t="shared" si="10"/>
        <v>145</v>
      </c>
      <c r="V13" s="41">
        <v>24991</v>
      </c>
      <c r="W13" s="32">
        <f t="shared" si="1"/>
        <v>133</v>
      </c>
      <c r="X13" s="43">
        <v>61265</v>
      </c>
      <c r="Y13" s="14">
        <f t="shared" si="11"/>
        <v>0</v>
      </c>
      <c r="Z13" s="47">
        <v>1215</v>
      </c>
      <c r="AA13" s="52">
        <v>6015</v>
      </c>
      <c r="AB13" s="32">
        <f t="shared" si="12"/>
        <v>285</v>
      </c>
      <c r="AC13" s="13">
        <v>227</v>
      </c>
      <c r="AD13" s="18">
        <v>505</v>
      </c>
    </row>
    <row r="14" spans="1:30" ht="20.7" customHeight="1" x14ac:dyDescent="0.2">
      <c r="A14" s="19">
        <v>45882</v>
      </c>
      <c r="B14" s="10">
        <v>604791</v>
      </c>
      <c r="C14" s="14">
        <f t="shared" si="2"/>
        <v>11026</v>
      </c>
      <c r="D14" s="11">
        <v>885043</v>
      </c>
      <c r="E14" s="14">
        <f t="shared" si="3"/>
        <v>1314</v>
      </c>
      <c r="F14" s="27">
        <v>1704</v>
      </c>
      <c r="G14" s="67">
        <f t="shared" si="4"/>
        <v>0</v>
      </c>
      <c r="H14" s="69">
        <f t="shared" si="5"/>
        <v>12340</v>
      </c>
      <c r="I14" s="73">
        <f t="shared" si="6"/>
        <v>-33543.449999999997</v>
      </c>
      <c r="J14" s="32">
        <f t="shared" si="0"/>
        <v>511.05000000000291</v>
      </c>
      <c r="K14" s="20">
        <f t="shared" si="7"/>
        <v>45882</v>
      </c>
      <c r="L14" s="33">
        <v>7935</v>
      </c>
      <c r="M14" s="34">
        <v>0</v>
      </c>
      <c r="N14" s="32">
        <f t="shared" si="8"/>
        <v>0</v>
      </c>
      <c r="O14" s="85">
        <v>0.64</v>
      </c>
      <c r="P14" s="86">
        <v>0.68</v>
      </c>
      <c r="Q14" s="85">
        <v>0.81</v>
      </c>
      <c r="R14" s="86">
        <v>0.74</v>
      </c>
      <c r="S14" s="38">
        <f t="shared" si="9"/>
        <v>4075</v>
      </c>
      <c r="T14" s="123"/>
      <c r="U14" s="32">
        <f t="shared" si="10"/>
        <v>-150</v>
      </c>
      <c r="V14" s="41">
        <v>25124</v>
      </c>
      <c r="W14" s="32">
        <f t="shared" si="1"/>
        <v>139</v>
      </c>
      <c r="X14" s="43">
        <v>61265</v>
      </c>
      <c r="Y14" s="14">
        <f t="shared" si="11"/>
        <v>0</v>
      </c>
      <c r="Z14" s="47">
        <v>6945</v>
      </c>
      <c r="AA14" s="52"/>
      <c r="AB14" s="32">
        <f t="shared" si="12"/>
        <v>360</v>
      </c>
      <c r="AC14" s="13">
        <v>222</v>
      </c>
      <c r="AD14" s="18">
        <v>503</v>
      </c>
    </row>
    <row r="15" spans="1:30" ht="20.7" customHeight="1" x14ac:dyDescent="0.2">
      <c r="A15" s="19">
        <v>45883</v>
      </c>
      <c r="B15" s="10">
        <v>615817</v>
      </c>
      <c r="C15" s="14">
        <f t="shared" si="2"/>
        <v>11506</v>
      </c>
      <c r="D15" s="11">
        <v>886357</v>
      </c>
      <c r="E15" s="14">
        <f t="shared" si="3"/>
        <v>1346</v>
      </c>
      <c r="F15" s="27">
        <v>1704</v>
      </c>
      <c r="G15" s="67">
        <f t="shared" si="4"/>
        <v>0</v>
      </c>
      <c r="H15" s="69">
        <f t="shared" si="5"/>
        <v>12852</v>
      </c>
      <c r="I15" s="73">
        <f t="shared" si="6"/>
        <v>-33032.399999999994</v>
      </c>
      <c r="J15" s="32">
        <f t="shared" si="0"/>
        <v>195.07999999999447</v>
      </c>
      <c r="K15" s="20">
        <f t="shared" si="7"/>
        <v>45883</v>
      </c>
      <c r="L15" s="33">
        <v>7935</v>
      </c>
      <c r="M15" s="34">
        <v>0</v>
      </c>
      <c r="N15" s="32">
        <f t="shared" si="8"/>
        <v>0</v>
      </c>
      <c r="O15" s="85">
        <v>0.7</v>
      </c>
      <c r="P15" s="86">
        <v>0.69</v>
      </c>
      <c r="Q15" s="85">
        <v>0.7</v>
      </c>
      <c r="R15" s="86">
        <v>0.8</v>
      </c>
      <c r="S15" s="38">
        <f t="shared" si="9"/>
        <v>4225</v>
      </c>
      <c r="T15" s="123"/>
      <c r="U15" s="32">
        <f t="shared" si="10"/>
        <v>415</v>
      </c>
      <c r="V15" s="41">
        <v>25263</v>
      </c>
      <c r="W15" s="32">
        <f t="shared" si="1"/>
        <v>139</v>
      </c>
      <c r="X15" s="44">
        <v>61265</v>
      </c>
      <c r="Y15" s="14">
        <f t="shared" si="11"/>
        <v>0</v>
      </c>
      <c r="Z15" s="47">
        <v>6585</v>
      </c>
      <c r="AA15" s="52"/>
      <c r="AB15" s="32">
        <f t="shared" si="12"/>
        <v>325</v>
      </c>
      <c r="AC15" s="13">
        <v>228</v>
      </c>
      <c r="AD15" s="18">
        <v>521</v>
      </c>
    </row>
    <row r="16" spans="1:30" ht="20.7" customHeight="1" x14ac:dyDescent="0.2">
      <c r="A16" s="19">
        <v>45884</v>
      </c>
      <c r="B16" s="10">
        <v>627323</v>
      </c>
      <c r="C16" s="14">
        <f t="shared" si="2"/>
        <v>11647</v>
      </c>
      <c r="D16" s="11">
        <v>887703</v>
      </c>
      <c r="E16" s="14">
        <f t="shared" si="3"/>
        <v>1401</v>
      </c>
      <c r="F16" s="27">
        <v>1704</v>
      </c>
      <c r="G16" s="67">
        <f t="shared" si="4"/>
        <v>0</v>
      </c>
      <c r="H16" s="69">
        <f t="shared" si="5"/>
        <v>13048</v>
      </c>
      <c r="I16" s="73">
        <f t="shared" si="6"/>
        <v>-32837.32</v>
      </c>
      <c r="J16" s="32">
        <f t="shared" si="0"/>
        <v>-668.91000000000349</v>
      </c>
      <c r="K16" s="20">
        <f t="shared" si="7"/>
        <v>45884</v>
      </c>
      <c r="L16" s="33">
        <v>7935</v>
      </c>
      <c r="M16" s="34">
        <v>0</v>
      </c>
      <c r="N16" s="32">
        <f t="shared" si="8"/>
        <v>0</v>
      </c>
      <c r="O16" s="85">
        <v>0.6</v>
      </c>
      <c r="P16" s="86">
        <v>0.65</v>
      </c>
      <c r="Q16" s="85">
        <v>0.72</v>
      </c>
      <c r="R16" s="86">
        <v>0.65</v>
      </c>
      <c r="S16" s="38">
        <f t="shared" si="9"/>
        <v>3810</v>
      </c>
      <c r="T16" s="123"/>
      <c r="U16" s="32">
        <f t="shared" si="10"/>
        <v>150</v>
      </c>
      <c r="V16" s="41">
        <v>25402</v>
      </c>
      <c r="W16" s="32">
        <f t="shared" si="1"/>
        <v>149</v>
      </c>
      <c r="X16" s="124">
        <v>61265</v>
      </c>
      <c r="Y16" s="14">
        <f t="shared" si="11"/>
        <v>0</v>
      </c>
      <c r="Z16" s="47">
        <v>6260</v>
      </c>
      <c r="AA16" s="52"/>
      <c r="AB16" s="32">
        <f t="shared" si="12"/>
        <v>345</v>
      </c>
      <c r="AC16" s="13">
        <v>243</v>
      </c>
      <c r="AD16" s="18">
        <v>559</v>
      </c>
    </row>
    <row r="17" spans="1:30" ht="20.7" customHeight="1" x14ac:dyDescent="0.2">
      <c r="A17" s="19">
        <v>45885</v>
      </c>
      <c r="B17" s="10">
        <v>638970</v>
      </c>
      <c r="C17" s="14">
        <f t="shared" si="2"/>
        <v>11069</v>
      </c>
      <c r="D17" s="11">
        <v>889104</v>
      </c>
      <c r="E17" s="14">
        <f t="shared" si="3"/>
        <v>1311</v>
      </c>
      <c r="F17" s="27">
        <v>1704</v>
      </c>
      <c r="G17" s="67">
        <f t="shared" si="4"/>
        <v>0</v>
      </c>
      <c r="H17" s="69">
        <f t="shared" si="5"/>
        <v>12380</v>
      </c>
      <c r="I17" s="73">
        <f t="shared" si="6"/>
        <v>-33506.230000000003</v>
      </c>
      <c r="J17" s="32">
        <f t="shared" si="0"/>
        <v>-1070.9099999999962</v>
      </c>
      <c r="K17" s="20">
        <f t="shared" si="7"/>
        <v>45885</v>
      </c>
      <c r="L17" s="33">
        <v>7935</v>
      </c>
      <c r="M17" s="34">
        <v>0</v>
      </c>
      <c r="N17" s="32">
        <f t="shared" si="8"/>
        <v>0</v>
      </c>
      <c r="O17" s="85">
        <v>0.57999999999999996</v>
      </c>
      <c r="P17" s="86">
        <v>0.63</v>
      </c>
      <c r="Q17" s="85">
        <v>0.65</v>
      </c>
      <c r="R17" s="86">
        <v>0.62</v>
      </c>
      <c r="S17" s="38">
        <f t="shared" si="9"/>
        <v>3660</v>
      </c>
      <c r="T17" s="123"/>
      <c r="U17" s="32">
        <f t="shared" si="10"/>
        <v>140</v>
      </c>
      <c r="V17" s="41">
        <v>25551</v>
      </c>
      <c r="W17" s="32">
        <f t="shared" si="1"/>
        <v>149</v>
      </c>
      <c r="X17" s="44">
        <v>61265</v>
      </c>
      <c r="Y17" s="14">
        <f t="shared" si="11"/>
        <v>0</v>
      </c>
      <c r="Z17" s="47">
        <v>5915</v>
      </c>
      <c r="AA17" s="52"/>
      <c r="AB17" s="32">
        <f t="shared" si="12"/>
        <v>285</v>
      </c>
      <c r="AC17" s="13">
        <v>241</v>
      </c>
      <c r="AD17" s="18">
        <v>562</v>
      </c>
    </row>
    <row r="18" spans="1:30" ht="20.7" customHeight="1" x14ac:dyDescent="0.2">
      <c r="A18" s="19">
        <v>45886</v>
      </c>
      <c r="B18" s="10">
        <v>650039</v>
      </c>
      <c r="C18" s="14">
        <f t="shared" si="2"/>
        <v>10011</v>
      </c>
      <c r="D18" s="11">
        <v>890415</v>
      </c>
      <c r="E18" s="14">
        <f t="shared" si="3"/>
        <v>1299</v>
      </c>
      <c r="F18" s="27">
        <v>1704</v>
      </c>
      <c r="G18" s="67">
        <f t="shared" si="4"/>
        <v>0</v>
      </c>
      <c r="H18" s="69">
        <f t="shared" si="5"/>
        <v>11310</v>
      </c>
      <c r="I18" s="73">
        <f t="shared" si="6"/>
        <v>-34577.14</v>
      </c>
      <c r="J18" s="32">
        <f t="shared" si="0"/>
        <v>435.06999999999971</v>
      </c>
      <c r="K18" s="20">
        <f t="shared" si="7"/>
        <v>45886</v>
      </c>
      <c r="L18" s="33">
        <v>7935</v>
      </c>
      <c r="M18" s="34">
        <v>0</v>
      </c>
      <c r="N18" s="32">
        <f t="shared" si="8"/>
        <v>0</v>
      </c>
      <c r="O18" s="85">
        <v>0.55000000000000004</v>
      </c>
      <c r="P18" s="86">
        <v>0.63</v>
      </c>
      <c r="Q18" s="85">
        <v>0.59</v>
      </c>
      <c r="R18" s="86">
        <v>0.55000000000000004</v>
      </c>
      <c r="S18" s="38">
        <f t="shared" si="9"/>
        <v>3520</v>
      </c>
      <c r="T18" s="123"/>
      <c r="U18" s="32">
        <f t="shared" si="10"/>
        <v>110</v>
      </c>
      <c r="V18" s="41">
        <v>25700</v>
      </c>
      <c r="W18" s="32">
        <f t="shared" si="1"/>
        <v>135</v>
      </c>
      <c r="X18" s="44">
        <v>61265</v>
      </c>
      <c r="Y18" s="14">
        <f t="shared" si="11"/>
        <v>0</v>
      </c>
      <c r="Z18" s="47">
        <v>5630</v>
      </c>
      <c r="AA18" s="52"/>
      <c r="AB18" s="32">
        <f t="shared" si="12"/>
        <v>365</v>
      </c>
      <c r="AC18" s="13">
        <v>214</v>
      </c>
      <c r="AD18" s="18">
        <v>518</v>
      </c>
    </row>
    <row r="19" spans="1:30" ht="20.7" customHeight="1" x14ac:dyDescent="0.2">
      <c r="A19" s="19">
        <v>45887</v>
      </c>
      <c r="B19" s="10">
        <v>660050</v>
      </c>
      <c r="C19" s="14">
        <f t="shared" si="2"/>
        <v>10396</v>
      </c>
      <c r="D19" s="11">
        <v>891714</v>
      </c>
      <c r="E19" s="14">
        <f t="shared" si="3"/>
        <v>1350</v>
      </c>
      <c r="F19" s="27">
        <v>1704</v>
      </c>
      <c r="G19" s="67">
        <f t="shared" si="4"/>
        <v>0</v>
      </c>
      <c r="H19" s="69">
        <f t="shared" si="5"/>
        <v>11746</v>
      </c>
      <c r="I19" s="73">
        <f t="shared" si="6"/>
        <v>-34142.07</v>
      </c>
      <c r="J19" s="32">
        <f t="shared" si="0"/>
        <v>-11747.589999999997</v>
      </c>
      <c r="K19" s="20">
        <f t="shared" si="7"/>
        <v>45887</v>
      </c>
      <c r="L19" s="33">
        <v>7935</v>
      </c>
      <c r="M19" s="34">
        <v>0</v>
      </c>
      <c r="N19" s="32">
        <f t="shared" si="8"/>
        <v>0</v>
      </c>
      <c r="O19" s="85">
        <v>0.54</v>
      </c>
      <c r="P19" s="86">
        <v>0.62</v>
      </c>
      <c r="Q19" s="85">
        <v>0.53</v>
      </c>
      <c r="R19" s="86">
        <v>0.49</v>
      </c>
      <c r="S19" s="38">
        <f t="shared" si="9"/>
        <v>3410</v>
      </c>
      <c r="T19" s="123">
        <v>1618</v>
      </c>
      <c r="U19" s="32">
        <f t="shared" si="10"/>
        <v>178</v>
      </c>
      <c r="V19" s="41">
        <v>25835</v>
      </c>
      <c r="W19" s="32">
        <f t="shared" si="1"/>
        <v>143</v>
      </c>
      <c r="X19" s="44">
        <v>61265</v>
      </c>
      <c r="Y19" s="14">
        <f t="shared" si="11"/>
        <v>0</v>
      </c>
      <c r="Z19" s="47">
        <v>5265</v>
      </c>
      <c r="AA19" s="52"/>
      <c r="AB19" s="32">
        <f t="shared" si="12"/>
        <v>195</v>
      </c>
      <c r="AC19" s="13">
        <v>211</v>
      </c>
      <c r="AD19" s="18">
        <v>514</v>
      </c>
    </row>
    <row r="20" spans="1:30" ht="20.7" customHeight="1" x14ac:dyDescent="0.2">
      <c r="A20" s="19">
        <v>45888</v>
      </c>
      <c r="B20" s="10">
        <v>670446</v>
      </c>
      <c r="C20" s="14" t="str">
        <f t="shared" si="2"/>
        <v>0</v>
      </c>
      <c r="D20" s="11">
        <v>893064</v>
      </c>
      <c r="E20" s="14" t="str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-45889.659999999996</v>
      </c>
      <c r="J20" s="32">
        <f t="shared" si="0"/>
        <v>0.6599999999962165</v>
      </c>
      <c r="K20" s="20">
        <f t="shared" si="7"/>
        <v>45888</v>
      </c>
      <c r="L20" s="33">
        <v>7935</v>
      </c>
      <c r="M20" s="34">
        <v>0</v>
      </c>
      <c r="N20" s="32" t="str">
        <f t="shared" si="8"/>
        <v>0</v>
      </c>
      <c r="O20" s="85">
        <v>0.81</v>
      </c>
      <c r="P20" s="86">
        <v>0.8</v>
      </c>
      <c r="Q20" s="85">
        <v>0.85</v>
      </c>
      <c r="R20" s="86">
        <v>0.8</v>
      </c>
      <c r="S20" s="38">
        <f t="shared" si="9"/>
        <v>4850</v>
      </c>
      <c r="T20" s="123"/>
      <c r="U20" s="32" t="str">
        <f t="shared" si="10"/>
        <v>0</v>
      </c>
      <c r="V20" s="41">
        <v>25978</v>
      </c>
      <c r="W20" s="32" t="str">
        <f t="shared" si="1"/>
        <v>0</v>
      </c>
      <c r="X20" s="44">
        <v>61265</v>
      </c>
      <c r="Y20" s="14" t="str">
        <f t="shared" si="11"/>
        <v>0</v>
      </c>
      <c r="Z20" s="47">
        <v>5070</v>
      </c>
      <c r="AA20" s="52"/>
      <c r="AB20" s="32" t="str">
        <f t="shared" si="12"/>
        <v>0</v>
      </c>
      <c r="AC20" s="13">
        <v>207</v>
      </c>
      <c r="AD20" s="18">
        <v>498</v>
      </c>
    </row>
    <row r="21" spans="1:30" ht="20.7" customHeight="1" x14ac:dyDescent="0.2">
      <c r="A21" s="19">
        <v>45889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-45889</v>
      </c>
      <c r="J21" s="32">
        <f t="shared" si="0"/>
        <v>-1</v>
      </c>
      <c r="K21" s="20">
        <f t="shared" si="7"/>
        <v>45889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45890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-45890</v>
      </c>
      <c r="J22" s="32">
        <f t="shared" si="0"/>
        <v>-1</v>
      </c>
      <c r="K22" s="20">
        <f t="shared" si="7"/>
        <v>45890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45891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-45891</v>
      </c>
      <c r="J23" s="32">
        <f t="shared" si="0"/>
        <v>-1</v>
      </c>
      <c r="K23" s="20">
        <f t="shared" si="7"/>
        <v>45891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45892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-45892</v>
      </c>
      <c r="J24" s="32">
        <f t="shared" si="0"/>
        <v>-1</v>
      </c>
      <c r="K24" s="20">
        <f t="shared" si="7"/>
        <v>45892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45893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-45893</v>
      </c>
      <c r="J25" s="32">
        <f t="shared" si="0"/>
        <v>-1</v>
      </c>
      <c r="K25" s="20">
        <f t="shared" si="7"/>
        <v>45893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45894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-45894</v>
      </c>
      <c r="J26" s="32">
        <f t="shared" si="0"/>
        <v>-1</v>
      </c>
      <c r="K26" s="20">
        <f t="shared" si="7"/>
        <v>45894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45895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-45895</v>
      </c>
      <c r="J27" s="32">
        <f t="shared" si="0"/>
        <v>-1</v>
      </c>
      <c r="K27" s="20">
        <f t="shared" si="7"/>
        <v>45895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45896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-45896</v>
      </c>
      <c r="J28" s="32">
        <f t="shared" si="0"/>
        <v>-1</v>
      </c>
      <c r="K28" s="20">
        <f t="shared" si="7"/>
        <v>45896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45897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-45897</v>
      </c>
      <c r="J29" s="32">
        <f t="shared" si="0"/>
        <v>-1</v>
      </c>
      <c r="K29" s="20">
        <f t="shared" si="7"/>
        <v>45897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45898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-45898</v>
      </c>
      <c r="J30" s="32">
        <f>I32-I30</f>
        <v>-2</v>
      </c>
      <c r="K30" s="20">
        <f t="shared" si="7"/>
        <v>45898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45899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-45899</v>
      </c>
      <c r="J31" s="32">
        <f>I32-I31</f>
        <v>-1</v>
      </c>
      <c r="K31" s="20">
        <f t="shared" ref="K31" si="15">A31</f>
        <v>45899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45900</v>
      </c>
      <c r="B32" s="10"/>
      <c r="C32" s="14">
        <f>IF((B33-B32)&lt;0,"0",B33-B32)</f>
        <v>0</v>
      </c>
      <c r="D32" s="11"/>
      <c r="E32" s="14">
        <f t="shared" si="3"/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-45900</v>
      </c>
      <c r="J32" s="32">
        <f>I33-I32</f>
        <v>45900</v>
      </c>
      <c r="K32" s="20">
        <f t="shared" si="7"/>
        <v>45900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45901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186694</v>
      </c>
      <c r="D34" s="77"/>
      <c r="E34" s="76">
        <f>SUM(E2:E33)</f>
        <v>24981</v>
      </c>
      <c r="F34" s="78"/>
      <c r="G34" s="76">
        <f>SUM(G2:G33)</f>
        <v>0</v>
      </c>
      <c r="H34" s="77">
        <f>SUM(H2:H33)</f>
        <v>211675</v>
      </c>
      <c r="I34" s="76">
        <f>SUM(I2:I32)</f>
        <v>-1210785.32</v>
      </c>
      <c r="J34" s="76">
        <f>SUM(J2:J33)</f>
        <v>35288.329999999994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3586</v>
      </c>
      <c r="U34" s="76">
        <f>SUM(U2:U33)</f>
        <v>2741</v>
      </c>
      <c r="V34" s="75"/>
      <c r="W34" s="76">
        <f>SUM(W2:W33)</f>
        <v>2411</v>
      </c>
      <c r="X34" s="75"/>
      <c r="Y34" s="76">
        <f>SUM(Y2:Y33)</f>
        <v>0</v>
      </c>
      <c r="Z34" s="75"/>
      <c r="AA34" s="75">
        <f>SUM(AA2:AA33)</f>
        <v>9500</v>
      </c>
      <c r="AB34" s="76">
        <f>SUM(AB2:AB33)</f>
        <v>5830</v>
      </c>
      <c r="AC34" s="79">
        <f>SUM(AC2:AC33)</f>
        <v>4288</v>
      </c>
      <c r="AD34" s="80">
        <f>SUM(AD2:AD33)</f>
        <v>9660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2025-08-19T06:09:02Z</dcterms:modified>
  <cp:category/>
  <cp:contentStatus/>
</cp:coreProperties>
</file>