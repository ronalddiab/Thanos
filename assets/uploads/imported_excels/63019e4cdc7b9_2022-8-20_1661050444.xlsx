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Q:\Engineering\Daily Meter Readings\Hotel\2022\"/>
    </mc:Choice>
  </mc:AlternateContent>
  <bookViews>
    <workbookView xWindow="0" yWindow="0" windowWidth="20400" windowHeight="7755" activeTab="1"/>
  </bookViews>
  <sheets>
    <sheet name="TOTAL" sheetId="2" r:id="rId1"/>
    <sheet name="FSRW Meter Readings" sheetId="3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5" i="3" l="1"/>
  <c r="B32" i="2" l="1"/>
  <c r="B31" i="2"/>
  <c r="L31" i="2"/>
  <c r="K31" i="2"/>
  <c r="K34" i="3" l="1"/>
  <c r="K33" i="3"/>
  <c r="L33" i="3" s="1"/>
  <c r="H34" i="3"/>
  <c r="H33" i="3"/>
  <c r="I33" i="3" s="1"/>
  <c r="E31" i="2" s="1"/>
  <c r="E34" i="3"/>
  <c r="E33" i="3"/>
  <c r="F33" i="3" s="1"/>
  <c r="G31" i="2" s="1"/>
  <c r="I31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2" i="2"/>
  <c r="K3" i="2"/>
  <c r="K2" i="2"/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2" i="2"/>
  <c r="L2" i="2"/>
  <c r="K5" i="3"/>
  <c r="K6" i="3"/>
  <c r="K7" i="3"/>
  <c r="K8" i="3"/>
  <c r="K9" i="3"/>
  <c r="K10" i="3"/>
  <c r="K11" i="3"/>
  <c r="K12" i="3"/>
  <c r="K13" i="3"/>
  <c r="L13" i="3" s="1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L34" i="3"/>
  <c r="K4" i="3"/>
  <c r="H5" i="3"/>
  <c r="I5" i="3" s="1"/>
  <c r="E3" i="2" s="1"/>
  <c r="H6" i="3"/>
  <c r="I6" i="3" s="1"/>
  <c r="E4" i="2" s="1"/>
  <c r="H7" i="3"/>
  <c r="I7" i="3" s="1"/>
  <c r="E5" i="2" s="1"/>
  <c r="H8" i="3"/>
  <c r="I8" i="3" s="1"/>
  <c r="E6" i="2" s="1"/>
  <c r="H9" i="3"/>
  <c r="I9" i="3" s="1"/>
  <c r="E7" i="2" s="1"/>
  <c r="H10" i="3"/>
  <c r="I10" i="3" s="1"/>
  <c r="E8" i="2" s="1"/>
  <c r="H11" i="3"/>
  <c r="I11" i="3" s="1"/>
  <c r="E9" i="2" s="1"/>
  <c r="H12" i="3"/>
  <c r="I12" i="3" s="1"/>
  <c r="E10" i="2" s="1"/>
  <c r="H13" i="3"/>
  <c r="I13" i="3" s="1"/>
  <c r="E11" i="2" s="1"/>
  <c r="H14" i="3"/>
  <c r="I14" i="3" s="1"/>
  <c r="E12" i="2" s="1"/>
  <c r="H15" i="3"/>
  <c r="I15" i="3" s="1"/>
  <c r="E13" i="2" s="1"/>
  <c r="H16" i="3"/>
  <c r="I16" i="3" s="1"/>
  <c r="E14" i="2" s="1"/>
  <c r="H17" i="3"/>
  <c r="I17" i="3" s="1"/>
  <c r="E15" i="2" s="1"/>
  <c r="H18" i="3"/>
  <c r="I18" i="3" s="1"/>
  <c r="E16" i="2" s="1"/>
  <c r="H19" i="3"/>
  <c r="I19" i="3" s="1"/>
  <c r="E17" i="2" s="1"/>
  <c r="H20" i="3"/>
  <c r="I20" i="3" s="1"/>
  <c r="E18" i="2" s="1"/>
  <c r="H21" i="3"/>
  <c r="I21" i="3" s="1"/>
  <c r="E19" i="2" s="1"/>
  <c r="H22" i="3"/>
  <c r="I22" i="3" s="1"/>
  <c r="E20" i="2" s="1"/>
  <c r="H23" i="3"/>
  <c r="I23" i="3" s="1"/>
  <c r="E21" i="2" s="1"/>
  <c r="H24" i="3"/>
  <c r="I24" i="3" s="1"/>
  <c r="E22" i="2" s="1"/>
  <c r="H25" i="3"/>
  <c r="I25" i="3" s="1"/>
  <c r="E23" i="2" s="1"/>
  <c r="H26" i="3"/>
  <c r="I26" i="3" s="1"/>
  <c r="E24" i="2" s="1"/>
  <c r="H27" i="3"/>
  <c r="I27" i="3" s="1"/>
  <c r="E25" i="2" s="1"/>
  <c r="H28" i="3"/>
  <c r="I28" i="3" s="1"/>
  <c r="E26" i="2" s="1"/>
  <c r="H29" i="3"/>
  <c r="I29" i="3" s="1"/>
  <c r="E27" i="2" s="1"/>
  <c r="H30" i="3"/>
  <c r="I30" i="3" s="1"/>
  <c r="E28" i="2" s="1"/>
  <c r="H31" i="3"/>
  <c r="I31" i="3" s="1"/>
  <c r="E29" i="2" s="1"/>
  <c r="H32" i="3"/>
  <c r="I32" i="3" s="1"/>
  <c r="E30" i="2" s="1"/>
  <c r="I34" i="3"/>
  <c r="E32" i="2" s="1"/>
  <c r="H4" i="3"/>
  <c r="I4" i="3" s="1"/>
  <c r="E5" i="3"/>
  <c r="F5" i="3" s="1"/>
  <c r="G3" i="2" s="1"/>
  <c r="E6" i="3"/>
  <c r="F6" i="3" s="1"/>
  <c r="G4" i="2" s="1"/>
  <c r="E7" i="3"/>
  <c r="F7" i="3" s="1"/>
  <c r="G5" i="2" s="1"/>
  <c r="E8" i="3"/>
  <c r="F8" i="3" s="1"/>
  <c r="G6" i="2" s="1"/>
  <c r="E9" i="3"/>
  <c r="F9" i="3" s="1"/>
  <c r="G7" i="2" s="1"/>
  <c r="E10" i="3"/>
  <c r="F10" i="3" s="1"/>
  <c r="G8" i="2" s="1"/>
  <c r="E11" i="3"/>
  <c r="F11" i="3" s="1"/>
  <c r="G9" i="2" s="1"/>
  <c r="E12" i="3"/>
  <c r="F12" i="3" s="1"/>
  <c r="G10" i="2" s="1"/>
  <c r="E13" i="3"/>
  <c r="F13" i="3" s="1"/>
  <c r="G11" i="2" s="1"/>
  <c r="E14" i="3"/>
  <c r="F14" i="3" s="1"/>
  <c r="G12" i="2" s="1"/>
  <c r="E15" i="3"/>
  <c r="F15" i="3" s="1"/>
  <c r="G13" i="2" s="1"/>
  <c r="E16" i="3"/>
  <c r="F16" i="3" s="1"/>
  <c r="G14" i="2" s="1"/>
  <c r="E17" i="3"/>
  <c r="F17" i="3" s="1"/>
  <c r="G15" i="2" s="1"/>
  <c r="E18" i="3"/>
  <c r="F18" i="3" s="1"/>
  <c r="G16" i="2" s="1"/>
  <c r="E19" i="3"/>
  <c r="F19" i="3" s="1"/>
  <c r="G17" i="2" s="1"/>
  <c r="E20" i="3"/>
  <c r="F20" i="3" s="1"/>
  <c r="G18" i="2" s="1"/>
  <c r="E21" i="3"/>
  <c r="F21" i="3" s="1"/>
  <c r="G19" i="2" s="1"/>
  <c r="E22" i="3"/>
  <c r="F22" i="3" s="1"/>
  <c r="G20" i="2" s="1"/>
  <c r="E23" i="3"/>
  <c r="F23" i="3" s="1"/>
  <c r="G21" i="2" s="1"/>
  <c r="E24" i="3"/>
  <c r="F24" i="3" s="1"/>
  <c r="G22" i="2" s="1"/>
  <c r="E25" i="3"/>
  <c r="F25" i="3" s="1"/>
  <c r="G23" i="2" s="1"/>
  <c r="E26" i="3"/>
  <c r="F26" i="3" s="1"/>
  <c r="G24" i="2" s="1"/>
  <c r="E27" i="3"/>
  <c r="F27" i="3" s="1"/>
  <c r="G25" i="2" s="1"/>
  <c r="E28" i="3"/>
  <c r="F28" i="3" s="1"/>
  <c r="G26" i="2" s="1"/>
  <c r="E29" i="3"/>
  <c r="F29" i="3" s="1"/>
  <c r="G27" i="2" s="1"/>
  <c r="E30" i="3"/>
  <c r="F30" i="3" s="1"/>
  <c r="G28" i="2" s="1"/>
  <c r="E31" i="3"/>
  <c r="F31" i="3" s="1"/>
  <c r="G29" i="2" s="1"/>
  <c r="E32" i="3"/>
  <c r="F32" i="3" s="1"/>
  <c r="G30" i="2" s="1"/>
  <c r="F34" i="3"/>
  <c r="G32" i="2" s="1"/>
  <c r="E4" i="3"/>
  <c r="F4" i="3" s="1"/>
  <c r="K35" i="3" l="1"/>
  <c r="E2" i="2"/>
  <c r="I35" i="3"/>
  <c r="G2" i="2"/>
  <c r="F35" i="3"/>
  <c r="I22" i="2"/>
  <c r="L24" i="3"/>
  <c r="I16" i="2"/>
  <c r="L18" i="3"/>
  <c r="I21" i="2"/>
  <c r="L23" i="3"/>
  <c r="I15" i="2"/>
  <c r="L17" i="3"/>
  <c r="I9" i="2"/>
  <c r="L11" i="3"/>
  <c r="I3" i="2"/>
  <c r="L5" i="3"/>
  <c r="I23" i="2"/>
  <c r="L25" i="3"/>
  <c r="I5" i="2"/>
  <c r="L7" i="3"/>
  <c r="I2" i="2"/>
  <c r="L4" i="3"/>
  <c r="I20" i="2"/>
  <c r="L22" i="3"/>
  <c r="I14" i="2"/>
  <c r="L16" i="3"/>
  <c r="I8" i="2"/>
  <c r="L10" i="3"/>
  <c r="I10" i="2"/>
  <c r="L12" i="3"/>
  <c r="I25" i="2"/>
  <c r="L27" i="3"/>
  <c r="I19" i="2"/>
  <c r="L21" i="3"/>
  <c r="I13" i="2"/>
  <c r="L15" i="3"/>
  <c r="I7" i="2"/>
  <c r="L9" i="3"/>
  <c r="I11" i="2"/>
  <c r="I17" i="2"/>
  <c r="L19" i="3"/>
  <c r="I4" i="2"/>
  <c r="L6" i="3"/>
  <c r="I24" i="2"/>
  <c r="L26" i="3"/>
  <c r="I18" i="2"/>
  <c r="L20" i="3"/>
  <c r="I12" i="2"/>
  <c r="L14" i="3"/>
  <c r="I6" i="2"/>
  <c r="L8" i="3"/>
  <c r="I32" i="2"/>
  <c r="I30" i="2"/>
  <c r="L32" i="3"/>
  <c r="I29" i="2"/>
  <c r="L31" i="3"/>
  <c r="I28" i="2"/>
  <c r="L30" i="3"/>
  <c r="I26" i="2"/>
  <c r="L28" i="3"/>
  <c r="I27" i="2"/>
  <c r="L29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l="1"/>
  <c r="L35" i="3"/>
</calcChain>
</file>

<file path=xl/sharedStrings.xml><?xml version="1.0" encoding="utf-8"?>
<sst xmlns="http://schemas.openxmlformats.org/spreadsheetml/2006/main" count="64" uniqueCount="29">
  <si>
    <t>Day</t>
  </si>
  <si>
    <t>Month</t>
  </si>
  <si>
    <t>Year</t>
  </si>
  <si>
    <t>Gas (GJ)</t>
  </si>
  <si>
    <t>Hydro (Kw/h)</t>
  </si>
  <si>
    <t>Kw/h with multiplier</t>
  </si>
  <si>
    <t>Site Name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</si>
  <si>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</si>
  <si>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</si>
  <si>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</si>
  <si>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</si>
  <si>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</si>
  <si>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</si>
  <si>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</si>
  <si>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Whistler</t>
  </si>
  <si>
    <t>Natual Gas (m3)</t>
  </si>
  <si>
    <t xml:space="preserve">Date </t>
  </si>
  <si>
    <t xml:space="preserve"> Reading M³</t>
  </si>
  <si>
    <t>Daily consumption M³</t>
  </si>
  <si>
    <t xml:space="preserve">Room Night </t>
  </si>
  <si>
    <t xml:space="preserve"> </t>
  </si>
  <si>
    <t>Daily consumption GJ</t>
  </si>
  <si>
    <t>Daily consumption m3</t>
  </si>
  <si>
    <t>Natural Gas</t>
  </si>
  <si>
    <t>Electricity (Hydro)</t>
  </si>
  <si>
    <t xml:space="preserve"> Reading KWh</t>
  </si>
  <si>
    <t xml:space="preserve">Water </t>
  </si>
  <si>
    <t>Conv x 4.7</t>
  </si>
  <si>
    <t>233?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</si>
</sst>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_ ;[Red]\-0\ "/>
    <numFmt numFmtId="166" formatCode="[$-809]dd\ mmmm\ yyyy;@"/>
    <numFmt numFmtId="167" formatCode="0;[Red]0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auto="1"/>
      </patternFill>
    </fill>
    <fill>
      <patternFill patternType="solid">
        <fgColor theme="4" tint="0.79998168889431442"/>
        <bgColor auto="1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64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3" fillId="0" borderId="0" xfId="1"/>
    <xf numFmtId="0" fontId="5" fillId="0" borderId="1" xfId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" fontId="3" fillId="0" borderId="1" xfId="1" applyNumberFormat="1" applyBorder="1" applyAlignment="1">
      <alignment horizontal="center"/>
    </xf>
    <xf numFmtId="2" fontId="1" fillId="0" borderId="1" xfId="1" applyNumberFormat="1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2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164" fontId="0" fillId="0" borderId="17" xfId="0" applyNumberFormat="1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15" fontId="2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left" vertical="center" wrapText="1"/>
    </xf>
    <xf numFmtId="165" fontId="7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left" wrapText="1"/>
    </xf>
    <xf numFmtId="0" fontId="0" fillId="0" borderId="0" xfId="0" applyFont="1" applyAlignment="1">
      <alignment horizontal="left"/>
    </xf>
    <xf numFmtId="165" fontId="7" fillId="0" borderId="13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1" fontId="2" fillId="0" borderId="14" xfId="0" applyNumberFormat="1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 vertical="center"/>
    </xf>
    <xf numFmtId="1" fontId="2" fillId="0" borderId="0" xfId="0" applyNumberFormat="1" applyFont="1"/>
    <xf numFmtId="1" fontId="0" fillId="0" borderId="17" xfId="0" applyNumberFormat="1" applyFont="1" applyBorder="1" applyAlignment="1">
      <alignment horizontal="center"/>
    </xf>
    <xf numFmtId="166" fontId="2" fillId="2" borderId="16" xfId="0" applyNumberFormat="1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center" vertical="center" wrapText="1"/>
    </xf>
    <xf numFmtId="165" fontId="2" fillId="3" borderId="8" xfId="0" applyNumberFormat="1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wrapText="1"/>
    </xf>
    <xf numFmtId="167" fontId="7" fillId="0" borderId="13" xfId="0" applyNumberFormat="1" applyFont="1" applyBorder="1" applyAlignment="1">
      <alignment horizontal="center" vertical="center"/>
    </xf>
    <xf numFmtId="164" fontId="0" fillId="4" borderId="12" xfId="0" applyNumberFormat="1" applyFont="1" applyFill="1" applyBorder="1" applyAlignment="1">
      <alignment horizontal="center" vertical="center"/>
    </xf>
    <xf numFmtId="164" fontId="0" fillId="4" borderId="18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2" fontId="0" fillId="0" borderId="11" xfId="0" applyNumberFormat="1" applyFont="1" applyBorder="1" applyAlignment="1">
      <alignment horizontal="center" vertical="center"/>
    </xf>
    <xf numFmtId="165" fontId="7" fillId="0" borderId="18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64" fontId="0" fillId="0" borderId="19" xfId="0" applyNumberFormat="1" applyFont="1" applyBorder="1" applyAlignment="1">
      <alignment horizontal="center"/>
    </xf>
    <xf numFmtId="0" fontId="0" fillId="0" borderId="13" xfId="0" applyFont="1" applyBorder="1"/>
    <xf numFmtId="0" fontId="2" fillId="5" borderId="20" xfId="0" applyFont="1" applyFill="1" applyBorder="1" applyAlignment="1">
      <alignment horizontal="center" vertical="center" wrapText="1"/>
    </xf>
    <xf numFmtId="0" fontId="0" fillId="0" borderId="21" xfId="0" applyFont="1" applyFill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0" fontId="2" fillId="3" borderId="12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1" fontId="2" fillId="3" borderId="9" xfId="0" applyNumberFormat="1" applyFont="1" applyFill="1" applyBorder="1" applyAlignment="1">
      <alignment horizontal="center" vertical="center" wrapText="1"/>
    </xf>
    <xf numFmtId="1" fontId="2" fillId="3" borderId="15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5050"/>
      <color rgb="FFFF85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opLeftCell="A11" workbookViewId="0">
      <selection activeCell="K21" sqref="K21"/>
    </sheetView>
  </sheetViews>
  <sheetFormatPr defaultColWidth="9.140625" defaultRowHeight="12.75" x14ac:dyDescent="0.2"/>
  <cols>
    <col min="1" max="1" width="12.7109375" style="4" bestFit="1" customWidth="1"/>
    <col min="2" max="4" width="9.140625" style="4"/>
    <col min="5" max="5" width="10.7109375" style="4" customWidth="1"/>
    <col min="6" max="6" width="12.140625" style="4" customWidth="1"/>
    <col min="7" max="8" width="9.140625" style="4"/>
    <col min="9" max="9" width="10.85546875" style="4" customWidth="1"/>
    <col min="10" max="10" width="11.28515625" style="4" customWidth="1"/>
    <col min="11" max="16384" width="9.140625" style="4"/>
  </cols>
  <sheetData>
    <row r="1" spans="1:12" ht="60" x14ac:dyDescent="0.25">
      <c r="A1" s="1" t="s">
        <v>6</v>
      </c>
      <c r="B1" s="1" t="s">
        <v>0</v>
      </c>
      <c r="C1" s="2" t="s">
        <v>1</v>
      </c>
      <c r="D1" s="1" t="s">
        <v>2</v>
      </c>
      <c r="E1" s="10" t="s">
        <v>7</v>
      </c>
      <c r="F1" s="11" t="s">
        <v>8</v>
      </c>
      <c r="G1" s="10" t="s">
        <v>15</v>
      </c>
      <c r="H1" s="11" t="s">
        <v>9</v>
      </c>
      <c r="I1" s="10" t="s">
        <v>10</v>
      </c>
      <c r="J1" s="12" t="s">
        <v>11</v>
      </c>
      <c r="K1" s="3" t="s">
        <v>12</v>
      </c>
      <c r="L1" s="3" t="s">
        <v>13</v>
      </c>
    </row>
    <row r="2" spans="1:12" ht="15" x14ac:dyDescent="0.25">
      <c r="A2" s="5" t="s">
        <v>14</v>
      </c>
      <c r="B2" s="6">
        <v>1</v>
      </c>
      <c r="C2" s="7">
        <v>8</v>
      </c>
      <c r="D2" s="6">
        <v>2022</v>
      </c>
      <c r="E2" s="8">
        <f>'FSRW Meter Readings'!I4</f>
        <v>22800</v>
      </c>
      <c r="F2" s="9">
        <v>0.06</v>
      </c>
      <c r="G2" s="8">
        <f>'FSRW Meter Readings'!F4</f>
        <v>1395.1599999999999</v>
      </c>
      <c r="H2" s="9">
        <v>0.4</v>
      </c>
      <c r="I2" s="8">
        <f>'FSRW Meter Readings'!K4</f>
        <v>54</v>
      </c>
      <c r="J2" s="9"/>
      <c r="K2" s="8">
        <f>'FSRW Meter Readings'!B4</f>
        <v>174</v>
      </c>
      <c r="L2" s="8">
        <f>'FSRW Meter Readings'!C4</f>
        <v>0</v>
      </c>
    </row>
    <row r="3" spans="1:12" ht="15" x14ac:dyDescent="0.25">
      <c r="A3" s="5" t="s">
        <v>14</v>
      </c>
      <c r="B3" s="6">
        <f>B2+1</f>
        <v>2</v>
      </c>
      <c r="C3" s="7">
        <v>8</v>
      </c>
      <c r="D3" s="6">
        <v>2022</v>
      </c>
      <c r="E3" s="8">
        <f>'FSRW Meter Readings'!I5</f>
        <v>25200</v>
      </c>
      <c r="F3" s="9">
        <v>0.06</v>
      </c>
      <c r="G3" s="8">
        <f>'FSRW Meter Readings'!F5</f>
        <v>1368.33</v>
      </c>
      <c r="H3" s="9">
        <v>0.4</v>
      </c>
      <c r="I3" s="8">
        <f>'FSRW Meter Readings'!K5</f>
        <v>57</v>
      </c>
      <c r="J3" s="9"/>
      <c r="K3" s="8">
        <f>'FSRW Meter Readings'!B5</f>
        <v>173</v>
      </c>
      <c r="L3" s="8">
        <f>'FSRW Meter Readings'!C5</f>
        <v>0</v>
      </c>
    </row>
    <row r="4" spans="1:12" ht="15" x14ac:dyDescent="0.25">
      <c r="A4" s="5" t="s">
        <v>14</v>
      </c>
      <c r="B4" s="6">
        <f t="shared" ref="B4:B30" si="0">B3+1</f>
        <v>3</v>
      </c>
      <c r="C4" s="7">
        <v>8</v>
      </c>
      <c r="D4" s="6">
        <v>2022</v>
      </c>
      <c r="E4" s="8">
        <f>'FSRW Meter Readings'!I6</f>
        <v>21600</v>
      </c>
      <c r="F4" s="9">
        <v>0.06</v>
      </c>
      <c r="G4" s="8">
        <f>'FSRW Meter Readings'!F6</f>
        <v>1395.1599999999999</v>
      </c>
      <c r="H4" s="9">
        <v>0.4</v>
      </c>
      <c r="I4" s="8">
        <f>'FSRW Meter Readings'!K6</f>
        <v>41</v>
      </c>
      <c r="J4" s="9"/>
      <c r="K4" s="8">
        <f>'FSRW Meter Readings'!B6</f>
        <v>161</v>
      </c>
      <c r="L4" s="8">
        <f>'FSRW Meter Readings'!C6</f>
        <v>0</v>
      </c>
    </row>
    <row r="5" spans="1:12" ht="15" x14ac:dyDescent="0.25">
      <c r="A5" s="5" t="s">
        <v>14</v>
      </c>
      <c r="B5" s="6">
        <f t="shared" si="0"/>
        <v>4</v>
      </c>
      <c r="C5" s="7">
        <v>8</v>
      </c>
      <c r="D5" s="6">
        <v>2022</v>
      </c>
      <c r="E5" s="8">
        <f>'FSRW Meter Readings'!I7</f>
        <v>21600</v>
      </c>
      <c r="F5" s="9">
        <v>0.06</v>
      </c>
      <c r="G5" s="8">
        <f>'FSRW Meter Readings'!F7</f>
        <v>1770.78</v>
      </c>
      <c r="H5" s="9">
        <v>0.4</v>
      </c>
      <c r="I5" s="8">
        <f>'FSRW Meter Readings'!K7</f>
        <v>33</v>
      </c>
      <c r="J5" s="9"/>
      <c r="K5" s="8">
        <f>'FSRW Meter Readings'!B7</f>
        <v>182</v>
      </c>
      <c r="L5" s="8">
        <f>'FSRW Meter Readings'!C7</f>
        <v>0</v>
      </c>
    </row>
    <row r="6" spans="1:12" ht="15" x14ac:dyDescent="0.25">
      <c r="A6" s="5" t="s">
        <v>14</v>
      </c>
      <c r="B6" s="6">
        <f t="shared" si="0"/>
        <v>5</v>
      </c>
      <c r="C6" s="7">
        <v>8</v>
      </c>
      <c r="D6" s="6">
        <v>2022</v>
      </c>
      <c r="E6" s="8">
        <f>'FSRW Meter Readings'!I8</f>
        <v>20400</v>
      </c>
      <c r="F6" s="9">
        <v>0.06</v>
      </c>
      <c r="G6" s="8">
        <f>'FSRW Meter Readings'!F8</f>
        <v>1448.82</v>
      </c>
      <c r="H6" s="9">
        <v>0.4</v>
      </c>
      <c r="I6" s="8">
        <f>'FSRW Meter Readings'!K8</f>
        <v>31</v>
      </c>
      <c r="J6" s="9"/>
      <c r="K6" s="8">
        <f>'FSRW Meter Readings'!B8</f>
        <v>217</v>
      </c>
      <c r="L6" s="8">
        <f>'FSRW Meter Readings'!C8</f>
        <v>0</v>
      </c>
    </row>
    <row r="7" spans="1:12" ht="15" x14ac:dyDescent="0.25">
      <c r="A7" s="5" t="s">
        <v>14</v>
      </c>
      <c r="B7" s="6">
        <f t="shared" si="0"/>
        <v>6</v>
      </c>
      <c r="C7" s="7">
        <v>8</v>
      </c>
      <c r="D7" s="6">
        <v>2022</v>
      </c>
      <c r="E7" s="8">
        <f>'FSRW Meter Readings'!I9</f>
        <v>16800</v>
      </c>
      <c r="F7" s="9">
        <v>0.06</v>
      </c>
      <c r="G7" s="8">
        <f>'FSRW Meter Readings'!F9</f>
        <v>1100.03</v>
      </c>
      <c r="H7" s="9">
        <v>0.4</v>
      </c>
      <c r="I7" s="8">
        <f>'FSRW Meter Readings'!K9</f>
        <v>37</v>
      </c>
      <c r="J7" s="9"/>
      <c r="K7" s="8">
        <f>'FSRW Meter Readings'!B9</f>
        <v>240</v>
      </c>
      <c r="L7" s="8">
        <f>'FSRW Meter Readings'!C9</f>
        <v>0</v>
      </c>
    </row>
    <row r="8" spans="1:12" ht="15" x14ac:dyDescent="0.25">
      <c r="A8" s="5" t="s">
        <v>14</v>
      </c>
      <c r="B8" s="6">
        <f t="shared" si="0"/>
        <v>7</v>
      </c>
      <c r="C8" s="7">
        <v>8</v>
      </c>
      <c r="D8" s="6">
        <v>2022</v>
      </c>
      <c r="E8" s="8">
        <f>'FSRW Meter Readings'!I10</f>
        <v>21600</v>
      </c>
      <c r="F8" s="9">
        <v>0.06</v>
      </c>
      <c r="G8" s="8">
        <f>'FSRW Meter Readings'!F10</f>
        <v>1502.48</v>
      </c>
      <c r="H8" s="9">
        <v>0.4</v>
      </c>
      <c r="I8" s="8">
        <f>'FSRW Meter Readings'!K10</f>
        <v>43</v>
      </c>
      <c r="J8" s="9"/>
      <c r="K8" s="8">
        <f>'FSRW Meter Readings'!B10</f>
        <v>178</v>
      </c>
      <c r="L8" s="8">
        <f>'FSRW Meter Readings'!C10</f>
        <v>0</v>
      </c>
    </row>
    <row r="9" spans="1:12" ht="15" x14ac:dyDescent="0.25">
      <c r="A9" s="5" t="s">
        <v>14</v>
      </c>
      <c r="B9" s="6">
        <f t="shared" si="0"/>
        <v>8</v>
      </c>
      <c r="C9" s="7">
        <v>8</v>
      </c>
      <c r="D9" s="6">
        <v>2022</v>
      </c>
      <c r="E9" s="8">
        <f>'FSRW Meter Readings'!I11</f>
        <v>22800</v>
      </c>
      <c r="F9" s="9">
        <v>0.06</v>
      </c>
      <c r="G9" s="8">
        <f>'FSRW Meter Readings'!F11</f>
        <v>1261.01</v>
      </c>
      <c r="H9" s="9">
        <v>0.4</v>
      </c>
      <c r="I9" s="8">
        <f>'FSRW Meter Readings'!K11</f>
        <v>42</v>
      </c>
      <c r="J9" s="9"/>
      <c r="K9" s="8">
        <f>'FSRW Meter Readings'!B11</f>
        <v>171</v>
      </c>
      <c r="L9" s="8">
        <f>'FSRW Meter Readings'!C11</f>
        <v>0</v>
      </c>
    </row>
    <row r="10" spans="1:12" ht="15" x14ac:dyDescent="0.25">
      <c r="A10" s="5" t="s">
        <v>14</v>
      </c>
      <c r="B10" s="6">
        <f t="shared" si="0"/>
        <v>9</v>
      </c>
      <c r="C10" s="7">
        <v>8</v>
      </c>
      <c r="D10" s="6">
        <v>2022</v>
      </c>
      <c r="E10" s="8">
        <f>'FSRW Meter Readings'!I12</f>
        <v>24000</v>
      </c>
      <c r="F10" s="9">
        <v>0.06</v>
      </c>
      <c r="G10" s="8">
        <f>'FSRW Meter Readings'!F12</f>
        <v>1341.5</v>
      </c>
      <c r="H10" s="9">
        <v>0.4</v>
      </c>
      <c r="I10" s="8">
        <f>'FSRW Meter Readings'!K12</f>
        <v>44</v>
      </c>
      <c r="J10" s="9"/>
      <c r="K10" s="8">
        <f>'FSRW Meter Readings'!B12</f>
        <v>179</v>
      </c>
      <c r="L10" s="8">
        <f>'FSRW Meter Readings'!C12</f>
        <v>0</v>
      </c>
    </row>
    <row r="11" spans="1:12" ht="15" x14ac:dyDescent="0.25">
      <c r="A11" s="5" t="s">
        <v>14</v>
      </c>
      <c r="B11" s="6">
        <f t="shared" si="0"/>
        <v>10</v>
      </c>
      <c r="C11" s="7">
        <v>8</v>
      </c>
      <c r="D11" s="6">
        <v>2022</v>
      </c>
      <c r="E11" s="8">
        <f>'FSRW Meter Readings'!I13</f>
        <v>24000</v>
      </c>
      <c r="F11" s="9">
        <v>0.06</v>
      </c>
      <c r="G11" s="8">
        <f>'FSRW Meter Readings'!F13</f>
        <v>1314.6699999999998</v>
      </c>
      <c r="H11" s="9">
        <v>0.4</v>
      </c>
      <c r="I11" s="8">
        <f>'FSRW Meter Readings'!K13</f>
        <v>38</v>
      </c>
      <c r="J11" s="9"/>
      <c r="K11" s="8">
        <f>'FSRW Meter Readings'!B13</f>
        <v>163</v>
      </c>
      <c r="L11" s="8">
        <f>'FSRW Meter Readings'!C13</f>
        <v>0</v>
      </c>
    </row>
    <row r="12" spans="1:12" ht="15" x14ac:dyDescent="0.25">
      <c r="A12" s="5" t="s">
        <v>14</v>
      </c>
      <c r="B12" s="6">
        <f t="shared" si="0"/>
        <v>11</v>
      </c>
      <c r="C12" s="7">
        <v>8</v>
      </c>
      <c r="D12" s="6">
        <v>2022</v>
      </c>
      <c r="E12" s="8">
        <f>'FSRW Meter Readings'!I14</f>
        <v>20400</v>
      </c>
      <c r="F12" s="9">
        <v>0.06</v>
      </c>
      <c r="G12" s="8">
        <f>'FSRW Meter Readings'!F14</f>
        <v>1234.1799999999998</v>
      </c>
      <c r="H12" s="9">
        <v>0.4</v>
      </c>
      <c r="I12" s="8">
        <f>'FSRW Meter Readings'!K14</f>
        <v>41</v>
      </c>
      <c r="J12" s="9"/>
      <c r="K12" s="8">
        <f>'FSRW Meter Readings'!B14</f>
        <v>163</v>
      </c>
      <c r="L12" s="8">
        <f>'FSRW Meter Readings'!C14</f>
        <v>0</v>
      </c>
    </row>
    <row r="13" spans="1:12" ht="15" x14ac:dyDescent="0.25">
      <c r="A13" s="5" t="s">
        <v>14</v>
      </c>
      <c r="B13" s="6">
        <f t="shared" si="0"/>
        <v>12</v>
      </c>
      <c r="C13" s="7">
        <v>8</v>
      </c>
      <c r="D13" s="6">
        <v>2022</v>
      </c>
      <c r="E13" s="8">
        <f>'FSRW Meter Readings'!I15</f>
        <v>21600</v>
      </c>
      <c r="F13" s="9">
        <v>0.06</v>
      </c>
      <c r="G13" s="8">
        <f>'FSRW Meter Readings'!F15</f>
        <v>1153.6899999999998</v>
      </c>
      <c r="H13" s="9">
        <v>0.4</v>
      </c>
      <c r="I13" s="8">
        <f>'FSRW Meter Readings'!K15</f>
        <v>40</v>
      </c>
      <c r="J13" s="9"/>
      <c r="K13" s="8">
        <f>'FSRW Meter Readings'!B15</f>
        <v>217</v>
      </c>
      <c r="L13" s="8">
        <f>'FSRW Meter Readings'!C15</f>
        <v>0</v>
      </c>
    </row>
    <row r="14" spans="1:12" ht="15" x14ac:dyDescent="0.25">
      <c r="A14" s="5" t="s">
        <v>14</v>
      </c>
      <c r="B14" s="6">
        <f t="shared" si="0"/>
        <v>13</v>
      </c>
      <c r="C14" s="7">
        <v>8</v>
      </c>
      <c r="D14" s="6">
        <v>2022</v>
      </c>
      <c r="E14" s="8">
        <f>'FSRW Meter Readings'!I16</f>
        <v>16800</v>
      </c>
      <c r="F14" s="9">
        <v>0.06</v>
      </c>
      <c r="G14" s="8">
        <f>'FSRW Meter Readings'!F16</f>
        <v>1046.3699999999999</v>
      </c>
      <c r="H14" s="9">
        <v>0.4</v>
      </c>
      <c r="I14" s="8">
        <f>'FSRW Meter Readings'!K16</f>
        <v>31</v>
      </c>
      <c r="J14" s="9"/>
      <c r="K14" s="8">
        <f>'FSRW Meter Readings'!B16</f>
        <v>216</v>
      </c>
      <c r="L14" s="8">
        <f>'FSRW Meter Readings'!C16</f>
        <v>0</v>
      </c>
    </row>
    <row r="15" spans="1:12" ht="15" x14ac:dyDescent="0.25">
      <c r="A15" s="5" t="s">
        <v>14</v>
      </c>
      <c r="B15" s="6">
        <f t="shared" si="0"/>
        <v>14</v>
      </c>
      <c r="C15" s="7">
        <v>8</v>
      </c>
      <c r="D15" s="6">
        <v>2022</v>
      </c>
      <c r="E15" s="8">
        <f>'FSRW Meter Readings'!I17</f>
        <v>21600</v>
      </c>
      <c r="F15" s="9">
        <v>0.06</v>
      </c>
      <c r="G15" s="8">
        <f>'FSRW Meter Readings'!F17</f>
        <v>1556.1399999999999</v>
      </c>
      <c r="H15" s="9">
        <v>0.4</v>
      </c>
      <c r="I15" s="8">
        <f>'FSRW Meter Readings'!K17</f>
        <v>37</v>
      </c>
      <c r="J15" s="9"/>
      <c r="K15" s="8">
        <f>'FSRW Meter Readings'!B17</f>
        <v>202</v>
      </c>
      <c r="L15" s="8">
        <f>'FSRW Meter Readings'!C17</f>
        <v>0</v>
      </c>
    </row>
    <row r="16" spans="1:12" ht="15" x14ac:dyDescent="0.25">
      <c r="A16" s="5" t="s">
        <v>14</v>
      </c>
      <c r="B16" s="6">
        <f t="shared" si="0"/>
        <v>15</v>
      </c>
      <c r="C16" s="7">
        <v>8</v>
      </c>
      <c r="D16" s="6">
        <v>2022</v>
      </c>
      <c r="E16" s="8">
        <f>'FSRW Meter Readings'!I18</f>
        <v>22800</v>
      </c>
      <c r="F16" s="9">
        <v>0.06</v>
      </c>
      <c r="G16" s="8">
        <f>'FSRW Meter Readings'!F18</f>
        <v>1395.1599999999999</v>
      </c>
      <c r="H16" s="9">
        <v>0.4</v>
      </c>
      <c r="I16" s="8">
        <f>'FSRW Meter Readings'!K18</f>
        <v>36</v>
      </c>
      <c r="J16" s="9"/>
      <c r="K16" s="8">
        <f>'FSRW Meter Readings'!B18</f>
        <v>221</v>
      </c>
      <c r="L16" s="8">
        <f>'FSRW Meter Readings'!C18</f>
        <v>0</v>
      </c>
    </row>
    <row r="17" spans="1:12" ht="15" x14ac:dyDescent="0.25">
      <c r="A17" s="5" t="s">
        <v>14</v>
      </c>
      <c r="B17" s="6">
        <f t="shared" si="0"/>
        <v>16</v>
      </c>
      <c r="C17" s="7">
        <v>8</v>
      </c>
      <c r="D17" s="6">
        <v>2022</v>
      </c>
      <c r="E17" s="8">
        <f>'FSRW Meter Readings'!I19</f>
        <v>21600</v>
      </c>
      <c r="F17" s="9">
        <v>0.06</v>
      </c>
      <c r="G17" s="8">
        <f>'FSRW Meter Readings'!F19</f>
        <v>1368.33</v>
      </c>
      <c r="H17" s="9">
        <v>0.4</v>
      </c>
      <c r="I17" s="8">
        <f>'FSRW Meter Readings'!K19</f>
        <v>50</v>
      </c>
      <c r="J17" s="9"/>
      <c r="K17" s="8">
        <f>'FSRW Meter Readings'!B19</f>
        <v>210</v>
      </c>
      <c r="L17" s="8">
        <f>'FSRW Meter Readings'!C19</f>
        <v>0</v>
      </c>
    </row>
    <row r="18" spans="1:12" ht="15" x14ac:dyDescent="0.25">
      <c r="A18" s="5" t="s">
        <v>14</v>
      </c>
      <c r="B18" s="6">
        <f t="shared" si="0"/>
        <v>17</v>
      </c>
      <c r="C18" s="7">
        <v>8</v>
      </c>
      <c r="D18" s="6">
        <v>2022</v>
      </c>
      <c r="E18" s="8">
        <f>'FSRW Meter Readings'!I20</f>
        <v>21600</v>
      </c>
      <c r="F18" s="9">
        <v>0.06</v>
      </c>
      <c r="G18" s="8">
        <f>'FSRW Meter Readings'!F20</f>
        <v>1368.33</v>
      </c>
      <c r="H18" s="9">
        <v>0.4</v>
      </c>
      <c r="I18" s="8">
        <f>'FSRW Meter Readings'!K20</f>
        <v>35</v>
      </c>
      <c r="J18" s="9"/>
      <c r="K18" s="8">
        <f>'FSRW Meter Readings'!B20</f>
        <v>211</v>
      </c>
      <c r="L18" s="8">
        <f>'FSRW Meter Readings'!C20</f>
        <v>0</v>
      </c>
    </row>
    <row r="19" spans="1:12" ht="15" x14ac:dyDescent="0.25">
      <c r="A19" s="5" t="s">
        <v>14</v>
      </c>
      <c r="B19" s="6">
        <f t="shared" si="0"/>
        <v>18</v>
      </c>
      <c r="C19" s="7">
        <v>8</v>
      </c>
      <c r="D19" s="6">
        <v>2022</v>
      </c>
      <c r="E19" s="8">
        <f>'FSRW Meter Readings'!I21</f>
        <v>25200</v>
      </c>
      <c r="F19" s="9">
        <v>0.06</v>
      </c>
      <c r="G19" s="8">
        <f>'FSRW Meter Readings'!F21</f>
        <v>1341.5</v>
      </c>
      <c r="H19" s="9">
        <v>0.4</v>
      </c>
      <c r="I19" s="8">
        <f>'FSRW Meter Readings'!K21</f>
        <v>48</v>
      </c>
      <c r="J19" s="9"/>
      <c r="K19" s="8">
        <f>'FSRW Meter Readings'!B21</f>
        <v>205</v>
      </c>
      <c r="L19" s="8">
        <f>'FSRW Meter Readings'!C21</f>
        <v>0</v>
      </c>
    </row>
    <row r="20" spans="1:12" ht="15" x14ac:dyDescent="0.25">
      <c r="A20" s="5" t="s">
        <v>14</v>
      </c>
      <c r="B20" s="6">
        <f t="shared" si="0"/>
        <v>19</v>
      </c>
      <c r="C20" s="7">
        <v>8</v>
      </c>
      <c r="D20" s="6">
        <v>2022</v>
      </c>
      <c r="E20" s="8">
        <f>'FSRW Meter Readings'!I22</f>
        <v>22800</v>
      </c>
      <c r="F20" s="9">
        <v>0.06</v>
      </c>
      <c r="G20" s="8">
        <f>'FSRW Meter Readings'!F22</f>
        <v>1314.6699999999998</v>
      </c>
      <c r="H20" s="9">
        <v>0.4</v>
      </c>
      <c r="I20" s="8">
        <f>'FSRW Meter Readings'!K22</f>
        <v>45</v>
      </c>
      <c r="J20" s="9"/>
      <c r="K20" s="8">
        <f>'FSRW Meter Readings'!B22</f>
        <v>218</v>
      </c>
      <c r="L20" s="8">
        <f>'FSRW Meter Readings'!C22</f>
        <v>0</v>
      </c>
    </row>
    <row r="21" spans="1:12" ht="15" x14ac:dyDescent="0.25">
      <c r="A21" s="5" t="s">
        <v>14</v>
      </c>
      <c r="B21" s="6">
        <f t="shared" si="0"/>
        <v>20</v>
      </c>
      <c r="C21" s="7">
        <v>8</v>
      </c>
      <c r="D21" s="6">
        <v>2022</v>
      </c>
      <c r="E21" s="8">
        <f>'FSRW Meter Readings'!I23</f>
        <v>20400</v>
      </c>
      <c r="F21" s="9">
        <v>0.06</v>
      </c>
      <c r="G21" s="8">
        <f>'FSRW Meter Readings'!F23</f>
        <v>1368.33</v>
      </c>
      <c r="H21" s="9">
        <v>0.4</v>
      </c>
      <c r="I21" s="8">
        <f>'FSRW Meter Readings'!K23</f>
        <v>39</v>
      </c>
      <c r="J21" s="9"/>
      <c r="K21" s="8" t="str">
        <f>'FSRW Meter Readings'!B23</f>
        <v>233?</v>
      </c>
      <c r="L21" s="8">
        <f>'FSRW Meter Readings'!C23</f>
        <v>0</v>
      </c>
    </row>
    <row r="22" spans="1:12" ht="15" x14ac:dyDescent="0.25">
      <c r="A22" s="5" t="s">
        <v>14</v>
      </c>
      <c r="B22" s="6">
        <f t="shared" si="0"/>
        <v>21</v>
      </c>
      <c r="C22" s="7">
        <v>8</v>
      </c>
      <c r="D22" s="6">
        <v>2022</v>
      </c>
      <c r="E22" s="8">
        <f>'FSRW Meter Readings'!I24</f>
        <v>0</v>
      </c>
      <c r="F22" s="9">
        <v>0.06</v>
      </c>
      <c r="G22" s="8">
        <f>'FSRW Meter Readings'!F24</f>
        <v>0</v>
      </c>
      <c r="H22" s="9">
        <v>0.4</v>
      </c>
      <c r="I22" s="8" t="str">
        <f>'FSRW Meter Readings'!K24</f>
        <v>0</v>
      </c>
      <c r="J22" s="9"/>
      <c r="K22" s="8">
        <f>'FSRW Meter Readings'!B24</f>
        <v>0</v>
      </c>
      <c r="L22" s="8">
        <f>'FSRW Meter Readings'!C24</f>
        <v>0</v>
      </c>
    </row>
    <row r="23" spans="1:12" ht="15" x14ac:dyDescent="0.25">
      <c r="A23" s="5" t="s">
        <v>14</v>
      </c>
      <c r="B23" s="6">
        <f t="shared" si="0"/>
        <v>22</v>
      </c>
      <c r="C23" s="7">
        <v>8</v>
      </c>
      <c r="D23" s="6">
        <v>2022</v>
      </c>
      <c r="E23" s="8">
        <f>'FSRW Meter Readings'!I25</f>
        <v>0</v>
      </c>
      <c r="F23" s="9">
        <v>0.06</v>
      </c>
      <c r="G23" s="8">
        <f>'FSRW Meter Readings'!F25</f>
        <v>0</v>
      </c>
      <c r="H23" s="9">
        <v>0.4</v>
      </c>
      <c r="I23" s="8">
        <f>'FSRW Meter Readings'!K25</f>
        <v>0</v>
      </c>
      <c r="J23" s="9"/>
      <c r="K23" s="8">
        <f>'FSRW Meter Readings'!B25</f>
        <v>0</v>
      </c>
      <c r="L23" s="8">
        <f>'FSRW Meter Readings'!C25</f>
        <v>0</v>
      </c>
    </row>
    <row r="24" spans="1:12" ht="15" x14ac:dyDescent="0.25">
      <c r="A24" s="5" t="s">
        <v>14</v>
      </c>
      <c r="B24" s="6">
        <f t="shared" si="0"/>
        <v>23</v>
      </c>
      <c r="C24" s="7">
        <v>8</v>
      </c>
      <c r="D24" s="6">
        <v>2022</v>
      </c>
      <c r="E24" s="8">
        <f>'FSRW Meter Readings'!I26</f>
        <v>0</v>
      </c>
      <c r="F24" s="9">
        <v>0.06</v>
      </c>
      <c r="G24" s="8">
        <f>'FSRW Meter Readings'!F26</f>
        <v>0</v>
      </c>
      <c r="H24" s="9">
        <v>0.4</v>
      </c>
      <c r="I24" s="8">
        <f>'FSRW Meter Readings'!K26</f>
        <v>0</v>
      </c>
      <c r="J24" s="9"/>
      <c r="K24" s="8">
        <f>'FSRW Meter Readings'!B26</f>
        <v>0</v>
      </c>
      <c r="L24" s="8">
        <f>'FSRW Meter Readings'!C26</f>
        <v>0</v>
      </c>
    </row>
    <row r="25" spans="1:12" ht="15" x14ac:dyDescent="0.25">
      <c r="A25" s="5" t="s">
        <v>14</v>
      </c>
      <c r="B25" s="6">
        <f t="shared" si="0"/>
        <v>24</v>
      </c>
      <c r="C25" s="7">
        <v>8</v>
      </c>
      <c r="D25" s="6">
        <v>2022</v>
      </c>
      <c r="E25" s="8">
        <f>'FSRW Meter Readings'!I27</f>
        <v>0</v>
      </c>
      <c r="F25" s="9">
        <v>0.06</v>
      </c>
      <c r="G25" s="8">
        <f>'FSRW Meter Readings'!F27</f>
        <v>0</v>
      </c>
      <c r="H25" s="9">
        <v>0.4</v>
      </c>
      <c r="I25" s="8">
        <f>'FSRW Meter Readings'!K27</f>
        <v>0</v>
      </c>
      <c r="J25" s="9"/>
      <c r="K25" s="8">
        <f>'FSRW Meter Readings'!B27</f>
        <v>0</v>
      </c>
      <c r="L25" s="8">
        <f>'FSRW Meter Readings'!C27</f>
        <v>0</v>
      </c>
    </row>
    <row r="26" spans="1:12" ht="15" x14ac:dyDescent="0.25">
      <c r="A26" s="5" t="s">
        <v>14</v>
      </c>
      <c r="B26" s="6">
        <f>B25+1</f>
        <v>25</v>
      </c>
      <c r="C26" s="7">
        <v>8</v>
      </c>
      <c r="D26" s="6">
        <v>2022</v>
      </c>
      <c r="E26" s="8">
        <f>'FSRW Meter Readings'!I28</f>
        <v>0</v>
      </c>
      <c r="F26" s="9">
        <v>0.06</v>
      </c>
      <c r="G26" s="8">
        <f>'FSRW Meter Readings'!F28</f>
        <v>0</v>
      </c>
      <c r="H26" s="9">
        <v>0.4</v>
      </c>
      <c r="I26" s="8">
        <f>'FSRW Meter Readings'!K28</f>
        <v>0</v>
      </c>
      <c r="J26" s="9"/>
      <c r="K26" s="8">
        <f>'FSRW Meter Readings'!B28</f>
        <v>0</v>
      </c>
      <c r="L26" s="8">
        <f>'FSRW Meter Readings'!C28</f>
        <v>0</v>
      </c>
    </row>
    <row r="27" spans="1:12" ht="15" x14ac:dyDescent="0.25">
      <c r="A27" s="5" t="s">
        <v>14</v>
      </c>
      <c r="B27" s="6">
        <f t="shared" si="0"/>
        <v>26</v>
      </c>
      <c r="C27" s="7">
        <v>8</v>
      </c>
      <c r="D27" s="6">
        <v>2022</v>
      </c>
      <c r="E27" s="8">
        <f>'FSRW Meter Readings'!I29</f>
        <v>0</v>
      </c>
      <c r="F27" s="9">
        <v>0.06</v>
      </c>
      <c r="G27" s="8">
        <f>'FSRW Meter Readings'!F29</f>
        <v>0</v>
      </c>
      <c r="H27" s="9">
        <v>0.4</v>
      </c>
      <c r="I27" s="8">
        <f>'FSRW Meter Readings'!K29</f>
        <v>0</v>
      </c>
      <c r="J27" s="9"/>
      <c r="K27" s="8">
        <f>'FSRW Meter Readings'!B29</f>
        <v>0</v>
      </c>
      <c r="L27" s="8">
        <f>'FSRW Meter Readings'!C29</f>
        <v>0</v>
      </c>
    </row>
    <row r="28" spans="1:12" ht="15" x14ac:dyDescent="0.25">
      <c r="A28" s="5" t="s">
        <v>14</v>
      </c>
      <c r="B28" s="6">
        <f t="shared" si="0"/>
        <v>27</v>
      </c>
      <c r="C28" s="7">
        <v>8</v>
      </c>
      <c r="D28" s="6">
        <v>2022</v>
      </c>
      <c r="E28" s="8">
        <f>'FSRW Meter Readings'!I30</f>
        <v>0</v>
      </c>
      <c r="F28" s="9">
        <v>0.06</v>
      </c>
      <c r="G28" s="8">
        <f>'FSRW Meter Readings'!F30</f>
        <v>0</v>
      </c>
      <c r="H28" s="9">
        <v>0.4</v>
      </c>
      <c r="I28" s="8">
        <f>'FSRW Meter Readings'!K30</f>
        <v>0</v>
      </c>
      <c r="J28" s="9"/>
      <c r="K28" s="8">
        <f>'FSRW Meter Readings'!B30</f>
        <v>0</v>
      </c>
      <c r="L28" s="8">
        <f>'FSRW Meter Readings'!C30</f>
        <v>0</v>
      </c>
    </row>
    <row r="29" spans="1:12" ht="15" x14ac:dyDescent="0.25">
      <c r="A29" s="5" t="s">
        <v>14</v>
      </c>
      <c r="B29" s="6">
        <f t="shared" si="0"/>
        <v>28</v>
      </c>
      <c r="C29" s="7">
        <v>8</v>
      </c>
      <c r="D29" s="6">
        <v>2022</v>
      </c>
      <c r="E29" s="8">
        <f>'FSRW Meter Readings'!I31</f>
        <v>0</v>
      </c>
      <c r="F29" s="9">
        <v>0.06</v>
      </c>
      <c r="G29" s="8">
        <f>'FSRW Meter Readings'!F31</f>
        <v>0</v>
      </c>
      <c r="H29" s="9">
        <v>0.4</v>
      </c>
      <c r="I29" s="8">
        <f>'FSRW Meter Readings'!K31</f>
        <v>0</v>
      </c>
      <c r="J29" s="9"/>
      <c r="K29" s="8">
        <f>'FSRW Meter Readings'!B31</f>
        <v>0</v>
      </c>
      <c r="L29" s="8">
        <f>'FSRW Meter Readings'!C31</f>
        <v>0</v>
      </c>
    </row>
    <row r="30" spans="1:12" ht="15" x14ac:dyDescent="0.25">
      <c r="A30" s="5" t="s">
        <v>14</v>
      </c>
      <c r="B30" s="6">
        <f t="shared" si="0"/>
        <v>29</v>
      </c>
      <c r="C30" s="7">
        <v>8</v>
      </c>
      <c r="D30" s="6">
        <v>2022</v>
      </c>
      <c r="E30" s="8">
        <f>'FSRW Meter Readings'!I32</f>
        <v>0</v>
      </c>
      <c r="F30" s="9">
        <v>0.06</v>
      </c>
      <c r="G30" s="8">
        <f>'FSRW Meter Readings'!F32</f>
        <v>0</v>
      </c>
      <c r="H30" s="9">
        <v>0.4</v>
      </c>
      <c r="I30" s="8">
        <f>'FSRW Meter Readings'!K32</f>
        <v>0</v>
      </c>
      <c r="J30" s="9"/>
      <c r="K30" s="8">
        <f>'FSRW Meter Readings'!B32</f>
        <v>0</v>
      </c>
      <c r="L30" s="8">
        <f>'FSRW Meter Readings'!C32</f>
        <v>0</v>
      </c>
    </row>
    <row r="31" spans="1:12" ht="15" x14ac:dyDescent="0.25">
      <c r="A31" s="5" t="s">
        <v>14</v>
      </c>
      <c r="B31" s="6">
        <f>B30+1</f>
        <v>30</v>
      </c>
      <c r="C31" s="7">
        <v>8</v>
      </c>
      <c r="D31" s="6">
        <v>2022</v>
      </c>
      <c r="E31" s="8">
        <f>'FSRW Meter Readings'!I33</f>
        <v>0</v>
      </c>
      <c r="F31" s="9">
        <v>0.06</v>
      </c>
      <c r="G31" s="8">
        <f>'FSRW Meter Readings'!F33</f>
        <v>0</v>
      </c>
      <c r="H31" s="9">
        <v>0.4</v>
      </c>
      <c r="I31" s="8">
        <f>'FSRW Meter Readings'!K33</f>
        <v>0</v>
      </c>
      <c r="J31" s="9"/>
      <c r="K31" s="8">
        <f>'FSRW Meter Readings'!B33</f>
        <v>0</v>
      </c>
      <c r="L31" s="8">
        <f>'FSRW Meter Readings'!C33</f>
        <v>0</v>
      </c>
    </row>
    <row r="32" spans="1:12" ht="15" x14ac:dyDescent="0.25">
      <c r="A32" s="5" t="s">
        <v>14</v>
      </c>
      <c r="B32" s="6">
        <f>B31+1</f>
        <v>31</v>
      </c>
      <c r="C32" s="7">
        <v>8</v>
      </c>
      <c r="D32" s="6">
        <v>2022</v>
      </c>
      <c r="E32" s="8">
        <f>'FSRW Meter Readings'!I34</f>
        <v>0</v>
      </c>
      <c r="F32" s="9">
        <v>0.06</v>
      </c>
      <c r="G32" s="8">
        <f>'FSRW Meter Readings'!F34</f>
        <v>0</v>
      </c>
      <c r="H32" s="9">
        <v>0.4</v>
      </c>
      <c r="I32" s="8">
        <f>'FSRW Meter Readings'!K34</f>
        <v>0</v>
      </c>
      <c r="J32" s="9"/>
      <c r="K32" s="8">
        <f>'FSRW Meter Readings'!B34</f>
        <v>0</v>
      </c>
      <c r="L32" s="8">
        <f>'FSRW Meter Readings'!C34</f>
        <v>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0"/>
  <sheetViews>
    <sheetView tabSelected="1" topLeftCell="A8" zoomScale="85" zoomScaleNormal="85" workbookViewId="0">
      <selection activeCell="B17" sqref="B17"/>
    </sheetView>
  </sheetViews>
  <sheetFormatPr defaultColWidth="8.85546875" defaultRowHeight="15" x14ac:dyDescent="0.25"/>
  <cols>
    <col min="1" max="1" width="16.85546875" style="28" bestFit="1" customWidth="1"/>
    <col min="2" max="3" width="15.140625" style="34" customWidth="1"/>
    <col min="4" max="4" width="13.7109375" style="17" bestFit="1" customWidth="1"/>
    <col min="5" max="5" width="12.85546875" style="15" customWidth="1"/>
    <col min="6" max="6" width="12.85546875" style="17" customWidth="1"/>
    <col min="7" max="7" width="10.5703125" style="16" bestFit="1" customWidth="1"/>
    <col min="8" max="8" width="12.85546875" style="14" customWidth="1"/>
    <col min="9" max="9" width="12.85546875" style="17" customWidth="1"/>
    <col min="10" max="10" width="11" style="16" customWidth="1"/>
    <col min="11" max="11" width="12.85546875" style="14" customWidth="1"/>
    <col min="12" max="16384" width="8.85546875" style="16"/>
  </cols>
  <sheetData>
    <row r="1" spans="1:12" ht="45" customHeight="1" thickBot="1" x14ac:dyDescent="0.3">
      <c r="A1" s="56" t="s">
        <v>16</v>
      </c>
      <c r="B1" s="58" t="s">
        <v>19</v>
      </c>
      <c r="C1" s="58" t="s">
        <v>13</v>
      </c>
      <c r="D1" s="60" t="s">
        <v>23</v>
      </c>
      <c r="E1" s="61"/>
      <c r="F1" s="62"/>
      <c r="G1" s="60" t="s">
        <v>24</v>
      </c>
      <c r="H1" s="61"/>
      <c r="I1" s="63"/>
      <c r="J1" s="54" t="s">
        <v>26</v>
      </c>
      <c r="K1" s="55"/>
      <c r="L1" s="55"/>
    </row>
    <row r="2" spans="1:12" s="13" customFormat="1" ht="64.900000000000006" customHeight="1" thickBot="1" x14ac:dyDescent="0.3">
      <c r="A2" s="57"/>
      <c r="B2" s="59"/>
      <c r="C2" s="59"/>
      <c r="D2" s="37" t="s">
        <v>3</v>
      </c>
      <c r="E2" s="38" t="s">
        <v>21</v>
      </c>
      <c r="F2" s="38" t="s">
        <v>22</v>
      </c>
      <c r="G2" s="37" t="s">
        <v>25</v>
      </c>
      <c r="H2" s="39" t="s">
        <v>4</v>
      </c>
      <c r="I2" s="43" t="s">
        <v>5</v>
      </c>
      <c r="J2" s="37" t="s">
        <v>17</v>
      </c>
      <c r="K2" s="39" t="s">
        <v>18</v>
      </c>
      <c r="L2" s="49" t="s">
        <v>27</v>
      </c>
    </row>
    <row r="3" spans="1:12" ht="30" customHeight="1" x14ac:dyDescent="0.25">
      <c r="A3" s="36">
        <v>44773</v>
      </c>
      <c r="B3" s="31" t="s">
        <v>20</v>
      </c>
      <c r="C3" s="31" t="s">
        <v>20</v>
      </c>
      <c r="D3" s="18">
        <v>189921</v>
      </c>
      <c r="E3" s="29"/>
      <c r="F3" s="41" t="s">
        <v>20</v>
      </c>
      <c r="G3" s="18">
        <v>52569</v>
      </c>
      <c r="H3" s="29"/>
      <c r="I3" s="44" t="s">
        <v>20</v>
      </c>
      <c r="J3" s="47">
        <v>107150</v>
      </c>
      <c r="K3" s="40" t="s">
        <v>20</v>
      </c>
      <c r="L3" s="48"/>
    </row>
    <row r="4" spans="1:12" ht="30" customHeight="1" x14ac:dyDescent="0.25">
      <c r="A4" s="36">
        <v>44774</v>
      </c>
      <c r="B4" s="31">
        <v>174</v>
      </c>
      <c r="C4" s="31">
        <v>0</v>
      </c>
      <c r="D4" s="35">
        <v>189973</v>
      </c>
      <c r="E4" s="30">
        <f>IF(D4-D3&lt;0,"0",D4-D3)</f>
        <v>52</v>
      </c>
      <c r="F4" s="42">
        <f>E4*26.83</f>
        <v>1395.1599999999999</v>
      </c>
      <c r="G4" s="35">
        <v>52588</v>
      </c>
      <c r="H4" s="30">
        <f>IF(G4-G3&lt;0,"0",G4-G3)</f>
        <v>19</v>
      </c>
      <c r="I4" s="45">
        <f>H4*1200</f>
        <v>22800</v>
      </c>
      <c r="J4" s="18">
        <v>107204</v>
      </c>
      <c r="K4" s="30">
        <f>IF(J4-J3&lt;0,"0",J4-J3)</f>
        <v>54</v>
      </c>
      <c r="L4" s="46">
        <f>SUM(K4*4.7)</f>
        <v>253.8</v>
      </c>
    </row>
    <row r="5" spans="1:12" ht="30" customHeight="1" x14ac:dyDescent="0.25">
      <c r="A5" s="36">
        <v>44775</v>
      </c>
      <c r="B5" s="31">
        <v>173</v>
      </c>
      <c r="C5" s="31">
        <v>0</v>
      </c>
      <c r="D5" s="35">
        <v>190024</v>
      </c>
      <c r="E5" s="30">
        <f t="shared" ref="E5:E32" si="0">IF(D5-D4&lt;0,"0",D5-D4)</f>
        <v>51</v>
      </c>
      <c r="F5" s="42">
        <f t="shared" ref="F5:F34" si="1">E5*26.83</f>
        <v>1368.33</v>
      </c>
      <c r="G5" s="35">
        <v>52609</v>
      </c>
      <c r="H5" s="30">
        <f t="shared" ref="H5:H32" si="2">IF(G5-G4&lt;0,"0",G5-G4)</f>
        <v>21</v>
      </c>
      <c r="I5" s="45">
        <f t="shared" ref="I5:I34" si="3">H5*1200</f>
        <v>25200</v>
      </c>
      <c r="J5" s="18">
        <v>107261</v>
      </c>
      <c r="K5" s="30">
        <f t="shared" ref="K5:K32" si="4">IF(J5-J4&lt;0,"0",J5-J4)</f>
        <v>57</v>
      </c>
      <c r="L5" s="46">
        <f>SUM(K5*4.7)</f>
        <v>267.90000000000003</v>
      </c>
    </row>
    <row r="6" spans="1:12" ht="30" customHeight="1" x14ac:dyDescent="0.25">
      <c r="A6" s="36">
        <v>44776</v>
      </c>
      <c r="B6" s="31">
        <v>161</v>
      </c>
      <c r="C6" s="31">
        <v>0</v>
      </c>
      <c r="D6" s="35">
        <v>190076</v>
      </c>
      <c r="E6" s="30">
        <f t="shared" si="0"/>
        <v>52</v>
      </c>
      <c r="F6" s="42">
        <f t="shared" si="1"/>
        <v>1395.1599999999999</v>
      </c>
      <c r="G6" s="35">
        <v>52627</v>
      </c>
      <c r="H6" s="30">
        <f t="shared" si="2"/>
        <v>18</v>
      </c>
      <c r="I6" s="45">
        <f t="shared" si="3"/>
        <v>21600</v>
      </c>
      <c r="J6" s="18">
        <v>107302</v>
      </c>
      <c r="K6" s="30">
        <f t="shared" si="4"/>
        <v>41</v>
      </c>
      <c r="L6" s="46">
        <f t="shared" ref="L6:L14" si="5">SUM(K6*4.7)</f>
        <v>192.70000000000002</v>
      </c>
    </row>
    <row r="7" spans="1:12" ht="30" customHeight="1" x14ac:dyDescent="0.25">
      <c r="A7" s="36">
        <v>44777</v>
      </c>
      <c r="B7" s="31">
        <v>182</v>
      </c>
      <c r="C7" s="31">
        <v>0</v>
      </c>
      <c r="D7" s="35">
        <v>190142</v>
      </c>
      <c r="E7" s="30">
        <f t="shared" si="0"/>
        <v>66</v>
      </c>
      <c r="F7" s="42">
        <f t="shared" si="1"/>
        <v>1770.78</v>
      </c>
      <c r="G7" s="35">
        <v>52645</v>
      </c>
      <c r="H7" s="30">
        <f t="shared" si="2"/>
        <v>18</v>
      </c>
      <c r="I7" s="45">
        <f t="shared" si="3"/>
        <v>21600</v>
      </c>
      <c r="J7" s="18">
        <v>107335</v>
      </c>
      <c r="K7" s="30">
        <f t="shared" si="4"/>
        <v>33</v>
      </c>
      <c r="L7" s="46">
        <f t="shared" si="5"/>
        <v>155.1</v>
      </c>
    </row>
    <row r="8" spans="1:12" ht="30" customHeight="1" x14ac:dyDescent="0.25">
      <c r="A8" s="36">
        <v>44778</v>
      </c>
      <c r="B8" s="31">
        <v>217</v>
      </c>
      <c r="C8" s="31">
        <v>0</v>
      </c>
      <c r="D8" s="35">
        <v>190196</v>
      </c>
      <c r="E8" s="30">
        <f t="shared" si="0"/>
        <v>54</v>
      </c>
      <c r="F8" s="42">
        <f t="shared" si="1"/>
        <v>1448.82</v>
      </c>
      <c r="G8" s="35">
        <v>52662</v>
      </c>
      <c r="H8" s="30">
        <f t="shared" si="2"/>
        <v>17</v>
      </c>
      <c r="I8" s="45">
        <f t="shared" si="3"/>
        <v>20400</v>
      </c>
      <c r="J8" s="18">
        <v>107366</v>
      </c>
      <c r="K8" s="30">
        <f t="shared" si="4"/>
        <v>31</v>
      </c>
      <c r="L8" s="46">
        <f t="shared" si="5"/>
        <v>145.70000000000002</v>
      </c>
    </row>
    <row r="9" spans="1:12" ht="30" customHeight="1" x14ac:dyDescent="0.25">
      <c r="A9" s="36">
        <v>44779</v>
      </c>
      <c r="B9" s="31">
        <v>240</v>
      </c>
      <c r="C9" s="31">
        <v>0</v>
      </c>
      <c r="D9" s="35">
        <v>190237</v>
      </c>
      <c r="E9" s="30">
        <f t="shared" si="0"/>
        <v>41</v>
      </c>
      <c r="F9" s="42">
        <f t="shared" si="1"/>
        <v>1100.03</v>
      </c>
      <c r="G9" s="35">
        <v>52676</v>
      </c>
      <c r="H9" s="30">
        <f t="shared" si="2"/>
        <v>14</v>
      </c>
      <c r="I9" s="45">
        <f t="shared" si="3"/>
        <v>16800</v>
      </c>
      <c r="J9" s="18">
        <v>107403</v>
      </c>
      <c r="K9" s="30">
        <f t="shared" si="4"/>
        <v>37</v>
      </c>
      <c r="L9" s="46">
        <f t="shared" si="5"/>
        <v>173.9</v>
      </c>
    </row>
    <row r="10" spans="1:12" ht="30" customHeight="1" x14ac:dyDescent="0.25">
      <c r="A10" s="36">
        <v>44780</v>
      </c>
      <c r="B10" s="31">
        <v>178</v>
      </c>
      <c r="C10" s="31">
        <v>0</v>
      </c>
      <c r="D10" s="35">
        <v>190293</v>
      </c>
      <c r="E10" s="30">
        <f t="shared" si="0"/>
        <v>56</v>
      </c>
      <c r="F10" s="42">
        <f t="shared" si="1"/>
        <v>1502.48</v>
      </c>
      <c r="G10" s="35">
        <v>52694</v>
      </c>
      <c r="H10" s="30">
        <f t="shared" si="2"/>
        <v>18</v>
      </c>
      <c r="I10" s="45">
        <f t="shared" si="3"/>
        <v>21600</v>
      </c>
      <c r="J10" s="18">
        <v>107446</v>
      </c>
      <c r="K10" s="30">
        <f t="shared" si="4"/>
        <v>43</v>
      </c>
      <c r="L10" s="46">
        <f t="shared" si="5"/>
        <v>202.1</v>
      </c>
    </row>
    <row r="11" spans="1:12" ht="30" customHeight="1" x14ac:dyDescent="0.25">
      <c r="A11" s="36">
        <v>44781</v>
      </c>
      <c r="B11" s="31">
        <v>171</v>
      </c>
      <c r="C11" s="31">
        <v>0</v>
      </c>
      <c r="D11" s="35">
        <v>190340</v>
      </c>
      <c r="E11" s="30">
        <f t="shared" si="0"/>
        <v>47</v>
      </c>
      <c r="F11" s="42">
        <f t="shared" si="1"/>
        <v>1261.01</v>
      </c>
      <c r="G11" s="35">
        <v>52713</v>
      </c>
      <c r="H11" s="30">
        <f t="shared" si="2"/>
        <v>19</v>
      </c>
      <c r="I11" s="45">
        <f t="shared" si="3"/>
        <v>22800</v>
      </c>
      <c r="J11" s="18">
        <v>107488</v>
      </c>
      <c r="K11" s="30">
        <f t="shared" si="4"/>
        <v>42</v>
      </c>
      <c r="L11" s="46">
        <f t="shared" si="5"/>
        <v>197.4</v>
      </c>
    </row>
    <row r="12" spans="1:12" ht="30" customHeight="1" x14ac:dyDescent="0.25">
      <c r="A12" s="36">
        <v>44782</v>
      </c>
      <c r="B12" s="31">
        <v>179</v>
      </c>
      <c r="C12" s="31">
        <v>0</v>
      </c>
      <c r="D12" s="35">
        <v>190390</v>
      </c>
      <c r="E12" s="30">
        <f t="shared" si="0"/>
        <v>50</v>
      </c>
      <c r="F12" s="42">
        <f t="shared" si="1"/>
        <v>1341.5</v>
      </c>
      <c r="G12" s="35">
        <v>52733</v>
      </c>
      <c r="H12" s="30">
        <f>IF(G12-G11&lt;0,"0",G12-G11)</f>
        <v>20</v>
      </c>
      <c r="I12" s="45">
        <f t="shared" si="3"/>
        <v>24000</v>
      </c>
      <c r="J12" s="18">
        <v>107532</v>
      </c>
      <c r="K12" s="30">
        <f t="shared" si="4"/>
        <v>44</v>
      </c>
      <c r="L12" s="46">
        <f t="shared" si="5"/>
        <v>206.8</v>
      </c>
    </row>
    <row r="13" spans="1:12" ht="30" customHeight="1" x14ac:dyDescent="0.25">
      <c r="A13" s="36">
        <v>44783</v>
      </c>
      <c r="B13" s="31">
        <v>163</v>
      </c>
      <c r="C13" s="31">
        <v>0</v>
      </c>
      <c r="D13" s="35">
        <v>190439</v>
      </c>
      <c r="E13" s="30">
        <f t="shared" si="0"/>
        <v>49</v>
      </c>
      <c r="F13" s="42">
        <f t="shared" si="1"/>
        <v>1314.6699999999998</v>
      </c>
      <c r="G13" s="35">
        <v>52753</v>
      </c>
      <c r="H13" s="30">
        <f>IF(G13-G12&lt;0,"0",G13-G12)</f>
        <v>20</v>
      </c>
      <c r="I13" s="45">
        <f t="shared" si="3"/>
        <v>24000</v>
      </c>
      <c r="J13" s="18">
        <v>107570</v>
      </c>
      <c r="K13" s="30">
        <f t="shared" si="4"/>
        <v>38</v>
      </c>
      <c r="L13" s="46">
        <f t="shared" si="5"/>
        <v>178.6</v>
      </c>
    </row>
    <row r="14" spans="1:12" ht="30" customHeight="1" x14ac:dyDescent="0.25">
      <c r="A14" s="36">
        <v>44784</v>
      </c>
      <c r="B14" s="31">
        <v>163</v>
      </c>
      <c r="C14" s="31">
        <v>0</v>
      </c>
      <c r="D14" s="35">
        <v>190485</v>
      </c>
      <c r="E14" s="30">
        <f t="shared" si="0"/>
        <v>46</v>
      </c>
      <c r="F14" s="42">
        <f t="shared" si="1"/>
        <v>1234.1799999999998</v>
      </c>
      <c r="G14" s="35">
        <v>52770</v>
      </c>
      <c r="H14" s="30">
        <f>IF(G14-G13&lt;0,"0",G14-G13)</f>
        <v>17</v>
      </c>
      <c r="I14" s="45">
        <f t="shared" si="3"/>
        <v>20400</v>
      </c>
      <c r="J14" s="18">
        <v>107611</v>
      </c>
      <c r="K14" s="30">
        <f t="shared" si="4"/>
        <v>41</v>
      </c>
      <c r="L14" s="46">
        <f t="shared" si="5"/>
        <v>192.70000000000002</v>
      </c>
    </row>
    <row r="15" spans="1:12" ht="30" customHeight="1" x14ac:dyDescent="0.25">
      <c r="A15" s="36">
        <v>44785</v>
      </c>
      <c r="B15" s="31">
        <v>217</v>
      </c>
      <c r="C15" s="31">
        <v>0</v>
      </c>
      <c r="D15" s="35">
        <v>190528</v>
      </c>
      <c r="E15" s="30">
        <f t="shared" si="0"/>
        <v>43</v>
      </c>
      <c r="F15" s="42">
        <f t="shared" si="1"/>
        <v>1153.6899999999998</v>
      </c>
      <c r="G15" s="35">
        <v>52788</v>
      </c>
      <c r="H15" s="30">
        <f>IF(G15-G14&lt;0,"0",G15-G14)</f>
        <v>18</v>
      </c>
      <c r="I15" s="45">
        <f t="shared" si="3"/>
        <v>21600</v>
      </c>
      <c r="J15" s="18">
        <v>107651</v>
      </c>
      <c r="K15" s="30">
        <f t="shared" si="4"/>
        <v>40</v>
      </c>
      <c r="L15" s="46">
        <f>SUM(K15*4.7)</f>
        <v>188</v>
      </c>
    </row>
    <row r="16" spans="1:12" ht="30" customHeight="1" x14ac:dyDescent="0.25">
      <c r="A16" s="36">
        <v>44786</v>
      </c>
      <c r="B16" s="31">
        <v>216</v>
      </c>
      <c r="C16" s="31">
        <v>0</v>
      </c>
      <c r="D16" s="35">
        <v>190567</v>
      </c>
      <c r="E16" s="30">
        <f t="shared" si="0"/>
        <v>39</v>
      </c>
      <c r="F16" s="42">
        <f t="shared" si="1"/>
        <v>1046.3699999999999</v>
      </c>
      <c r="G16" s="35">
        <v>52802</v>
      </c>
      <c r="H16" s="30">
        <f>IF(G16-G15&lt;0,"0",G16-G15)</f>
        <v>14</v>
      </c>
      <c r="I16" s="45">
        <f t="shared" si="3"/>
        <v>16800</v>
      </c>
      <c r="J16" s="18">
        <v>107682</v>
      </c>
      <c r="K16" s="30">
        <f t="shared" si="4"/>
        <v>31</v>
      </c>
      <c r="L16" s="46">
        <f>SUM(K16*4.7)</f>
        <v>145.70000000000002</v>
      </c>
    </row>
    <row r="17" spans="1:12" ht="30" customHeight="1" x14ac:dyDescent="0.25">
      <c r="A17" s="36">
        <v>44787</v>
      </c>
      <c r="B17" s="31">
        <v>202</v>
      </c>
      <c r="C17" s="31">
        <v>0</v>
      </c>
      <c r="D17" s="35">
        <v>190625</v>
      </c>
      <c r="E17" s="30">
        <f t="shared" si="0"/>
        <v>58</v>
      </c>
      <c r="F17" s="42">
        <f t="shared" si="1"/>
        <v>1556.1399999999999</v>
      </c>
      <c r="G17" s="35">
        <v>52820</v>
      </c>
      <c r="H17" s="30">
        <f t="shared" si="2"/>
        <v>18</v>
      </c>
      <c r="I17" s="45">
        <f t="shared" si="3"/>
        <v>21600</v>
      </c>
      <c r="J17" s="18">
        <v>107719</v>
      </c>
      <c r="K17" s="30">
        <f t="shared" si="4"/>
        <v>37</v>
      </c>
      <c r="L17" s="46">
        <f t="shared" ref="L17:L24" si="6">SUM(K17*4.7)</f>
        <v>173.9</v>
      </c>
    </row>
    <row r="18" spans="1:12" ht="30" customHeight="1" x14ac:dyDescent="0.25">
      <c r="A18" s="36">
        <v>44788</v>
      </c>
      <c r="B18" s="31">
        <v>221</v>
      </c>
      <c r="C18" s="31">
        <v>0</v>
      </c>
      <c r="D18" s="35">
        <v>190677</v>
      </c>
      <c r="E18" s="30">
        <f t="shared" si="0"/>
        <v>52</v>
      </c>
      <c r="F18" s="42">
        <f t="shared" si="1"/>
        <v>1395.1599999999999</v>
      </c>
      <c r="G18" s="35">
        <v>52839</v>
      </c>
      <c r="H18" s="30">
        <f t="shared" si="2"/>
        <v>19</v>
      </c>
      <c r="I18" s="45">
        <f t="shared" si="3"/>
        <v>22800</v>
      </c>
      <c r="J18" s="18">
        <v>107755</v>
      </c>
      <c r="K18" s="30">
        <f t="shared" si="4"/>
        <v>36</v>
      </c>
      <c r="L18" s="46">
        <f t="shared" si="6"/>
        <v>169.20000000000002</v>
      </c>
    </row>
    <row r="19" spans="1:12" ht="30" customHeight="1" x14ac:dyDescent="0.25">
      <c r="A19" s="36">
        <v>44789</v>
      </c>
      <c r="B19" s="31">
        <v>210</v>
      </c>
      <c r="C19" s="31">
        <v>0</v>
      </c>
      <c r="D19" s="35">
        <v>190728</v>
      </c>
      <c r="E19" s="30">
        <f t="shared" si="0"/>
        <v>51</v>
      </c>
      <c r="F19" s="42">
        <f t="shared" si="1"/>
        <v>1368.33</v>
      </c>
      <c r="G19" s="35">
        <v>52857</v>
      </c>
      <c r="H19" s="30">
        <f t="shared" si="2"/>
        <v>18</v>
      </c>
      <c r="I19" s="45">
        <f t="shared" si="3"/>
        <v>21600</v>
      </c>
      <c r="J19" s="18">
        <v>107805</v>
      </c>
      <c r="K19" s="30">
        <f t="shared" si="4"/>
        <v>50</v>
      </c>
      <c r="L19" s="46">
        <f t="shared" si="6"/>
        <v>235</v>
      </c>
    </row>
    <row r="20" spans="1:12" ht="30" customHeight="1" x14ac:dyDescent="0.25">
      <c r="A20" s="36">
        <v>44790</v>
      </c>
      <c r="B20" s="31">
        <v>211</v>
      </c>
      <c r="C20" s="31">
        <v>0</v>
      </c>
      <c r="D20" s="35">
        <v>190779</v>
      </c>
      <c r="E20" s="30">
        <f t="shared" si="0"/>
        <v>51</v>
      </c>
      <c r="F20" s="42">
        <f t="shared" si="1"/>
        <v>1368.33</v>
      </c>
      <c r="G20" s="35">
        <v>52875</v>
      </c>
      <c r="H20" s="30">
        <f t="shared" si="2"/>
        <v>18</v>
      </c>
      <c r="I20" s="45">
        <f t="shared" si="3"/>
        <v>21600</v>
      </c>
      <c r="J20" s="18">
        <v>107840</v>
      </c>
      <c r="K20" s="30">
        <f t="shared" si="4"/>
        <v>35</v>
      </c>
      <c r="L20" s="46">
        <f t="shared" si="6"/>
        <v>164.5</v>
      </c>
    </row>
    <row r="21" spans="1:12" ht="30" customHeight="1" x14ac:dyDescent="0.25">
      <c r="A21" s="36">
        <v>44791</v>
      </c>
      <c r="B21" s="31">
        <v>205</v>
      </c>
      <c r="C21" s="31">
        <v>0</v>
      </c>
      <c r="D21" s="35">
        <v>190829</v>
      </c>
      <c r="E21" s="30">
        <f t="shared" si="0"/>
        <v>50</v>
      </c>
      <c r="F21" s="42">
        <f t="shared" si="1"/>
        <v>1341.5</v>
      </c>
      <c r="G21" s="35">
        <v>52896</v>
      </c>
      <c r="H21" s="30">
        <f t="shared" si="2"/>
        <v>21</v>
      </c>
      <c r="I21" s="45">
        <f t="shared" si="3"/>
        <v>25200</v>
      </c>
      <c r="J21" s="18">
        <v>107888</v>
      </c>
      <c r="K21" s="30">
        <f t="shared" si="4"/>
        <v>48</v>
      </c>
      <c r="L21" s="46">
        <f t="shared" si="6"/>
        <v>225.60000000000002</v>
      </c>
    </row>
    <row r="22" spans="1:12" ht="30" customHeight="1" x14ac:dyDescent="0.25">
      <c r="A22" s="36">
        <v>44792</v>
      </c>
      <c r="B22" s="31">
        <v>218</v>
      </c>
      <c r="C22" s="31">
        <v>0</v>
      </c>
      <c r="D22" s="35">
        <v>190878</v>
      </c>
      <c r="E22" s="30">
        <f t="shared" si="0"/>
        <v>49</v>
      </c>
      <c r="F22" s="42">
        <f t="shared" si="1"/>
        <v>1314.6699999999998</v>
      </c>
      <c r="G22" s="35">
        <v>52915</v>
      </c>
      <c r="H22" s="30">
        <f t="shared" si="2"/>
        <v>19</v>
      </c>
      <c r="I22" s="45">
        <f t="shared" si="3"/>
        <v>22800</v>
      </c>
      <c r="J22" s="18">
        <v>107933</v>
      </c>
      <c r="K22" s="30">
        <f t="shared" si="4"/>
        <v>45</v>
      </c>
      <c r="L22" s="46">
        <f t="shared" si="6"/>
        <v>211.5</v>
      </c>
    </row>
    <row r="23" spans="1:12" ht="30" customHeight="1" x14ac:dyDescent="0.25">
      <c r="A23" s="36">
        <v>44793</v>
      </c>
      <c r="B23" s="31" t="s">
        <v>28</v>
      </c>
      <c r="C23" s="31">
        <v>0</v>
      </c>
      <c r="D23" s="35">
        <v>190929</v>
      </c>
      <c r="E23" s="30">
        <f t="shared" si="0"/>
        <v>51</v>
      </c>
      <c r="F23" s="42">
        <f t="shared" si="1"/>
        <v>1368.33</v>
      </c>
      <c r="G23" s="35">
        <v>52932</v>
      </c>
      <c r="H23" s="30">
        <f t="shared" si="2"/>
        <v>17</v>
      </c>
      <c r="I23" s="45">
        <f t="shared" si="3"/>
        <v>20400</v>
      </c>
      <c r="J23" s="18">
        <v>107972</v>
      </c>
      <c r="K23" s="30">
        <f t="shared" si="4"/>
        <v>39</v>
      </c>
      <c r="L23" s="46">
        <f t="shared" si="6"/>
        <v>183.3</v>
      </c>
    </row>
    <row r="24" spans="1:12" ht="30" customHeight="1" x14ac:dyDescent="0.25">
      <c r="A24" s="36">
        <v>44794</v>
      </c>
      <c r="B24" s="31">
        <v>0</v>
      </c>
      <c r="C24" s="31">
        <v>0</v>
      </c>
      <c r="D24" s="35"/>
      <c r="E24" s="30" t="str">
        <f t="shared" si="0"/>
        <v>0</v>
      </c>
      <c r="F24" s="42">
        <f t="shared" si="1"/>
        <v>0</v>
      </c>
      <c r="G24" s="35"/>
      <c r="H24" s="30" t="str">
        <f t="shared" si="2"/>
        <v>0</v>
      </c>
      <c r="I24" s="45">
        <f t="shared" si="3"/>
        <v>0</v>
      </c>
      <c r="J24" s="18"/>
      <c r="K24" s="30" t="str">
        <f t="shared" si="4"/>
        <v>0</v>
      </c>
      <c r="L24" s="46">
        <f t="shared" si="6"/>
        <v>0</v>
      </c>
    </row>
    <row r="25" spans="1:12" ht="30" customHeight="1" x14ac:dyDescent="0.25">
      <c r="A25" s="36">
        <v>44795</v>
      </c>
      <c r="B25" s="31">
        <v>0</v>
      </c>
      <c r="C25" s="31">
        <v>0</v>
      </c>
      <c r="D25" s="35"/>
      <c r="E25" s="30">
        <f t="shared" si="0"/>
        <v>0</v>
      </c>
      <c r="F25" s="42">
        <f t="shared" si="1"/>
        <v>0</v>
      </c>
      <c r="G25" s="35"/>
      <c r="H25" s="30">
        <f t="shared" si="2"/>
        <v>0</v>
      </c>
      <c r="I25" s="45">
        <f t="shared" si="3"/>
        <v>0</v>
      </c>
      <c r="J25" s="18"/>
      <c r="K25" s="30">
        <f t="shared" si="4"/>
        <v>0</v>
      </c>
      <c r="L25" s="46">
        <f>SUM(K25*4.7)</f>
        <v>0</v>
      </c>
    </row>
    <row r="26" spans="1:12" ht="30" customHeight="1" x14ac:dyDescent="0.25">
      <c r="A26" s="36">
        <v>44796</v>
      </c>
      <c r="B26" s="31">
        <v>0</v>
      </c>
      <c r="C26" s="31">
        <v>0</v>
      </c>
      <c r="D26" s="18"/>
      <c r="E26" s="30">
        <f t="shared" si="0"/>
        <v>0</v>
      </c>
      <c r="F26" s="42">
        <f t="shared" si="1"/>
        <v>0</v>
      </c>
      <c r="G26" s="18"/>
      <c r="H26" s="30">
        <f t="shared" si="2"/>
        <v>0</v>
      </c>
      <c r="I26" s="45">
        <f t="shared" si="3"/>
        <v>0</v>
      </c>
      <c r="J26" s="18"/>
      <c r="K26" s="30">
        <f t="shared" si="4"/>
        <v>0</v>
      </c>
      <c r="L26" s="46">
        <f>SUM(K26*4.7)</f>
        <v>0</v>
      </c>
    </row>
    <row r="27" spans="1:12" ht="30" customHeight="1" x14ac:dyDescent="0.25">
      <c r="A27" s="36">
        <v>44797</v>
      </c>
      <c r="B27" s="31">
        <v>0</v>
      </c>
      <c r="C27" s="31">
        <v>0</v>
      </c>
      <c r="D27" s="18"/>
      <c r="E27" s="30">
        <f t="shared" si="0"/>
        <v>0</v>
      </c>
      <c r="F27" s="42">
        <f t="shared" si="1"/>
        <v>0</v>
      </c>
      <c r="G27" s="18"/>
      <c r="H27" s="30">
        <f t="shared" si="2"/>
        <v>0</v>
      </c>
      <c r="I27" s="45">
        <f t="shared" si="3"/>
        <v>0</v>
      </c>
      <c r="J27" s="18"/>
      <c r="K27" s="30">
        <f t="shared" si="4"/>
        <v>0</v>
      </c>
      <c r="L27" s="46">
        <f t="shared" ref="L27:L34" si="7">SUM(K27*4.7)</f>
        <v>0</v>
      </c>
    </row>
    <row r="28" spans="1:12" ht="30" customHeight="1" x14ac:dyDescent="0.25">
      <c r="A28" s="36">
        <v>44798</v>
      </c>
      <c r="B28" s="31">
        <v>0</v>
      </c>
      <c r="C28" s="31">
        <v>0</v>
      </c>
      <c r="D28" s="18"/>
      <c r="E28" s="30">
        <f t="shared" si="0"/>
        <v>0</v>
      </c>
      <c r="F28" s="42">
        <f t="shared" si="1"/>
        <v>0</v>
      </c>
      <c r="G28" s="18"/>
      <c r="H28" s="30">
        <f t="shared" si="2"/>
        <v>0</v>
      </c>
      <c r="I28" s="45">
        <f t="shared" si="3"/>
        <v>0</v>
      </c>
      <c r="J28" s="18"/>
      <c r="K28" s="30">
        <f t="shared" si="4"/>
        <v>0</v>
      </c>
      <c r="L28" s="46">
        <f t="shared" si="7"/>
        <v>0</v>
      </c>
    </row>
    <row r="29" spans="1:12" ht="30" customHeight="1" x14ac:dyDescent="0.25">
      <c r="A29" s="36">
        <v>44799</v>
      </c>
      <c r="B29" s="31">
        <v>0</v>
      </c>
      <c r="C29" s="31">
        <v>0</v>
      </c>
      <c r="D29" s="18"/>
      <c r="E29" s="30">
        <f t="shared" si="0"/>
        <v>0</v>
      </c>
      <c r="F29" s="42">
        <f t="shared" si="1"/>
        <v>0</v>
      </c>
      <c r="G29" s="18"/>
      <c r="H29" s="30">
        <f t="shared" si="2"/>
        <v>0</v>
      </c>
      <c r="I29" s="45">
        <f t="shared" si="3"/>
        <v>0</v>
      </c>
      <c r="J29" s="18"/>
      <c r="K29" s="30">
        <f t="shared" si="4"/>
        <v>0</v>
      </c>
      <c r="L29" s="46">
        <f t="shared" si="7"/>
        <v>0</v>
      </c>
    </row>
    <row r="30" spans="1:12" ht="30" customHeight="1" x14ac:dyDescent="0.25">
      <c r="A30" s="36">
        <v>44800</v>
      </c>
      <c r="B30" s="31">
        <v>0</v>
      </c>
      <c r="C30" s="31">
        <v>0</v>
      </c>
      <c r="D30" s="18"/>
      <c r="E30" s="30">
        <f t="shared" si="0"/>
        <v>0</v>
      </c>
      <c r="F30" s="42">
        <f t="shared" si="1"/>
        <v>0</v>
      </c>
      <c r="G30" s="18"/>
      <c r="H30" s="30">
        <f t="shared" si="2"/>
        <v>0</v>
      </c>
      <c r="I30" s="45">
        <f t="shared" si="3"/>
        <v>0</v>
      </c>
      <c r="J30" s="18"/>
      <c r="K30" s="30">
        <f t="shared" si="4"/>
        <v>0</v>
      </c>
      <c r="L30" s="46">
        <f t="shared" si="7"/>
        <v>0</v>
      </c>
    </row>
    <row r="31" spans="1:12" ht="30" customHeight="1" x14ac:dyDescent="0.25">
      <c r="A31" s="36">
        <v>44801</v>
      </c>
      <c r="B31" s="31">
        <v>0</v>
      </c>
      <c r="C31" s="31">
        <v>0</v>
      </c>
      <c r="D31" s="18"/>
      <c r="E31" s="30">
        <f t="shared" si="0"/>
        <v>0</v>
      </c>
      <c r="F31" s="42">
        <f t="shared" si="1"/>
        <v>0</v>
      </c>
      <c r="G31" s="18"/>
      <c r="H31" s="30">
        <f t="shared" si="2"/>
        <v>0</v>
      </c>
      <c r="I31" s="45">
        <f t="shared" si="3"/>
        <v>0</v>
      </c>
      <c r="J31" s="18"/>
      <c r="K31" s="30">
        <f t="shared" si="4"/>
        <v>0</v>
      </c>
      <c r="L31" s="46">
        <f t="shared" si="7"/>
        <v>0</v>
      </c>
    </row>
    <row r="32" spans="1:12" ht="30" customHeight="1" x14ac:dyDescent="0.25">
      <c r="A32" s="36">
        <v>44802</v>
      </c>
      <c r="B32" s="31">
        <v>0</v>
      </c>
      <c r="C32" s="31">
        <v>0</v>
      </c>
      <c r="D32" s="18"/>
      <c r="E32" s="30">
        <f t="shared" si="0"/>
        <v>0</v>
      </c>
      <c r="F32" s="42">
        <f t="shared" si="1"/>
        <v>0</v>
      </c>
      <c r="G32" s="18"/>
      <c r="H32" s="30">
        <f t="shared" si="2"/>
        <v>0</v>
      </c>
      <c r="I32" s="45">
        <f t="shared" si="3"/>
        <v>0</v>
      </c>
      <c r="J32" s="18"/>
      <c r="K32" s="30">
        <f t="shared" si="4"/>
        <v>0</v>
      </c>
      <c r="L32" s="46">
        <f t="shared" si="7"/>
        <v>0</v>
      </c>
    </row>
    <row r="33" spans="1:12" ht="30" customHeight="1" x14ac:dyDescent="0.25">
      <c r="A33" s="36">
        <v>44803</v>
      </c>
      <c r="B33" s="31">
        <v>0</v>
      </c>
      <c r="C33" s="31">
        <v>0</v>
      </c>
      <c r="D33" s="18"/>
      <c r="E33" s="30">
        <f>IF(D33-D32&lt;0,"0",D33-D32)</f>
        <v>0</v>
      </c>
      <c r="F33" s="42">
        <f t="shared" ref="F33" si="8">E33*26.83</f>
        <v>0</v>
      </c>
      <c r="G33" s="18"/>
      <c r="H33" s="30">
        <f>IF(G33-G32&lt;0,"0",G33-G32)</f>
        <v>0</v>
      </c>
      <c r="I33" s="45">
        <f t="shared" ref="I33" si="9">H33*1200</f>
        <v>0</v>
      </c>
      <c r="J33" s="18"/>
      <c r="K33" s="30">
        <f>IF(J33-J32&lt;0,"0",J33-J32)</f>
        <v>0</v>
      </c>
      <c r="L33" s="46">
        <f t="shared" si="7"/>
        <v>0</v>
      </c>
    </row>
    <row r="34" spans="1:12" ht="30" customHeight="1" x14ac:dyDescent="0.25">
      <c r="A34" s="36">
        <v>44804</v>
      </c>
      <c r="B34" s="31">
        <v>0</v>
      </c>
      <c r="C34" s="31">
        <v>0</v>
      </c>
      <c r="D34" s="18"/>
      <c r="E34" s="30">
        <f>IF(D34-D33&lt;0,"0",D34-D33)</f>
        <v>0</v>
      </c>
      <c r="F34" s="42">
        <f t="shared" si="1"/>
        <v>0</v>
      </c>
      <c r="G34" s="18"/>
      <c r="H34" s="30">
        <f>IF(G34-G33&lt;0,"0",G34-G33)</f>
        <v>0</v>
      </c>
      <c r="I34" s="45">
        <f t="shared" si="3"/>
        <v>0</v>
      </c>
      <c r="J34" s="18"/>
      <c r="K34" s="30">
        <f>IF(J34-J33&lt;0,"0",J34-J33)</f>
        <v>0</v>
      </c>
      <c r="L34" s="46">
        <f t="shared" si="7"/>
        <v>0</v>
      </c>
    </row>
    <row r="35" spans="1:12" ht="25.9" customHeight="1" x14ac:dyDescent="0.25">
      <c r="A35" s="20"/>
      <c r="B35" s="32">
        <f>SUM(B4:B34)</f>
        <v>3701</v>
      </c>
      <c r="C35" s="32"/>
      <c r="F35" s="52">
        <f>SUM(F4:F34)</f>
        <v>27044.639999999999</v>
      </c>
      <c r="G35" s="17"/>
      <c r="H35" s="23"/>
      <c r="I35" s="53">
        <f>SUM(I4:I34)</f>
        <v>435600</v>
      </c>
      <c r="J35" s="24"/>
      <c r="K35" s="15">
        <f>SUM(K4:K34)</f>
        <v>822</v>
      </c>
      <c r="L35" s="50">
        <f>SUM(L4:L34)</f>
        <v>3863.3999999999996</v>
      </c>
    </row>
    <row r="36" spans="1:12" x14ac:dyDescent="0.25">
      <c r="A36" s="25"/>
      <c r="B36" s="33"/>
      <c r="C36" s="33"/>
      <c r="D36" s="21"/>
      <c r="E36" s="26"/>
      <c r="F36" s="51"/>
      <c r="G36" s="21"/>
      <c r="H36" s="22"/>
      <c r="I36" s="22"/>
      <c r="J36" s="21"/>
      <c r="K36" s="22"/>
    </row>
    <row r="37" spans="1:12" x14ac:dyDescent="0.25">
      <c r="A37" s="19"/>
      <c r="B37" s="32"/>
      <c r="C37" s="32"/>
      <c r="G37" s="17"/>
      <c r="J37" s="17"/>
    </row>
    <row r="38" spans="1:12" x14ac:dyDescent="0.25">
      <c r="A38" s="25"/>
      <c r="B38" s="32"/>
      <c r="C38" s="32"/>
      <c r="G38" s="17"/>
      <c r="J38" s="17"/>
    </row>
    <row r="39" spans="1:12" x14ac:dyDescent="0.25">
      <c r="A39" s="25"/>
      <c r="B39" s="32"/>
      <c r="C39" s="32"/>
      <c r="G39" s="17"/>
      <c r="J39" s="17"/>
    </row>
    <row r="40" spans="1:12" x14ac:dyDescent="0.25">
      <c r="A40" s="27"/>
      <c r="B40" s="32"/>
      <c r="C40" s="32"/>
      <c r="J40" s="17"/>
      <c r="K40" s="13"/>
    </row>
  </sheetData>
  <mergeCells count="6">
    <mergeCell ref="J1:L1"/>
    <mergeCell ref="A1:A2"/>
    <mergeCell ref="C1:C2"/>
    <mergeCell ref="D1:F1"/>
    <mergeCell ref="G1:I1"/>
    <mergeCell ref="B1:B2"/>
  </mergeCells>
  <pageMargins left="0.7" right="0.7" top="0.75" bottom="0.75" header="0.3" footer="0.3"/>
  <pageSetup scale="5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FSRW Meter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Hartwell</dc:creator>
  <cp:lastModifiedBy>Chris Elaschuk</cp:lastModifiedBy>
  <cp:lastPrinted>2021-04-27T16:37:22Z</cp:lastPrinted>
  <dcterms:created xsi:type="dcterms:W3CDTF">2021-03-09T05:20:06Z</dcterms:created>
  <dcterms:modified xsi:type="dcterms:W3CDTF">2022-08-21T02:50:59Z</dcterms:modified>
</cp:coreProperties>
</file>