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7 au 31.07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01.07 au 31.07'!$A$1:$AE$49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5" i="4" l="1"/>
  <c r="E35" i="4"/>
  <c r="C35" i="4"/>
  <c r="G40" i="6"/>
  <c r="E40" i="6"/>
  <c r="C40" i="6"/>
  <c r="G39" i="6" l="1"/>
  <c r="E39" i="6"/>
  <c r="C39" i="6"/>
  <c r="G34" i="4"/>
  <c r="E34" i="4"/>
  <c r="C34" i="4"/>
  <c r="Y32" i="10" l="1"/>
  <c r="Y33" i="10"/>
  <c r="G38" i="6"/>
  <c r="E38" i="6"/>
  <c r="C38" i="6"/>
  <c r="G33" i="4"/>
  <c r="E33" i="4"/>
  <c r="C33" i="4"/>
  <c r="G32" i="4" l="1"/>
  <c r="E32" i="4"/>
  <c r="C32" i="4"/>
  <c r="G37" i="6"/>
  <c r="E37" i="6"/>
  <c r="C37" i="6"/>
  <c r="G36" i="6" l="1"/>
  <c r="E36" i="6"/>
  <c r="C36" i="6"/>
  <c r="G35" i="6" l="1"/>
  <c r="E35" i="6"/>
  <c r="C35" i="6"/>
  <c r="G34" i="6"/>
  <c r="E34" i="6"/>
  <c r="C34" i="6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/>
  <c r="E25" i="6"/>
  <c r="C25" i="6"/>
  <c r="G24" i="6"/>
  <c r="E24" i="6"/>
  <c r="C24" i="6"/>
  <c r="G31" i="4"/>
  <c r="E31" i="4"/>
  <c r="C31" i="4"/>
  <c r="G30" i="4"/>
  <c r="E30" i="4"/>
  <c r="C30" i="4"/>
  <c r="G29" i="4"/>
  <c r="E29" i="4"/>
  <c r="C29" i="4"/>
  <c r="G28" i="4"/>
  <c r="E28" i="4"/>
  <c r="C28" i="4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G22" i="4"/>
  <c r="E22" i="4"/>
  <c r="C22" i="4"/>
  <c r="G21" i="4"/>
  <c r="E21" i="4"/>
  <c r="C21" i="4"/>
  <c r="G20" i="4"/>
  <c r="E20" i="4"/>
  <c r="C20" i="4"/>
  <c r="I20" i="4"/>
  <c r="G19" i="4" l="1"/>
  <c r="E19" i="4"/>
  <c r="C19" i="4"/>
  <c r="G18" i="4" l="1"/>
  <c r="E18" i="4"/>
  <c r="C18" i="4"/>
  <c r="G23" i="6"/>
  <c r="E23" i="6"/>
  <c r="C23" i="6"/>
  <c r="G17" i="4" l="1"/>
  <c r="E17" i="4"/>
  <c r="C17" i="4"/>
  <c r="G22" i="6"/>
  <c r="E22" i="6"/>
  <c r="C22" i="6"/>
  <c r="G16" i="4" l="1"/>
  <c r="E16" i="4"/>
  <c r="C16" i="4"/>
  <c r="G21" i="6"/>
  <c r="E21" i="6"/>
  <c r="C21" i="6"/>
  <c r="K32" i="13" l="1"/>
  <c r="G32" i="13"/>
  <c r="B32" i="13"/>
  <c r="E32" i="13"/>
  <c r="M32" i="13"/>
  <c r="J11" i="10"/>
  <c r="K11" i="10"/>
  <c r="L11" i="10"/>
  <c r="J12" i="10"/>
  <c r="K12" i="10"/>
  <c r="L12" i="10"/>
  <c r="J13" i="10"/>
  <c r="K13" i="10"/>
  <c r="L13" i="10"/>
  <c r="J14" i="10"/>
  <c r="K14" i="10"/>
  <c r="L14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5" i="4"/>
  <c r="E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20" i="6"/>
  <c r="K15" i="10" s="1"/>
  <c r="E20" i="6"/>
  <c r="J15" i="10" s="1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J41" i="10" l="1"/>
  <c r="K41" i="10"/>
  <c r="Z43" i="4"/>
  <c r="W43" i="4"/>
  <c r="T43" i="4"/>
  <c r="Q43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O11" i="10" s="1"/>
  <c r="I37" i="6"/>
  <c r="L32" i="10" s="1"/>
  <c r="I38" i="6"/>
  <c r="I39" i="6"/>
  <c r="L34" i="10" s="1"/>
  <c r="I40" i="6"/>
  <c r="I41" i="6"/>
  <c r="I42" i="6"/>
  <c r="O36" i="10" s="1"/>
  <c r="I43" i="6"/>
  <c r="O37" i="10" s="1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O32" i="13" s="1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O13" i="10" s="1"/>
  <c r="I20" i="6"/>
  <c r="I21" i="6"/>
  <c r="I22" i="6"/>
  <c r="L17" i="10" s="1"/>
  <c r="I23" i="6"/>
  <c r="L18" i="10" s="1"/>
  <c r="I24" i="6"/>
  <c r="L19" i="10" s="1"/>
  <c r="I25" i="6"/>
  <c r="L20" i="10" s="1"/>
  <c r="I26" i="6"/>
  <c r="L21" i="10" s="1"/>
  <c r="I27" i="6"/>
  <c r="L22" i="10" s="1"/>
  <c r="I28" i="6"/>
  <c r="I29" i="6"/>
  <c r="I30" i="6"/>
  <c r="I31" i="6"/>
  <c r="L26" i="10" s="1"/>
  <c r="I32" i="6"/>
  <c r="I33" i="6"/>
  <c r="I34" i="6"/>
  <c r="I35" i="6"/>
  <c r="L30" i="10" s="1"/>
  <c r="I36" i="6"/>
  <c r="L31" i="10" s="1"/>
  <c r="I44" i="6"/>
  <c r="O38" i="10" s="1"/>
  <c r="I45" i="6"/>
  <c r="I46" i="6"/>
  <c r="O40" i="10" s="1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Z11" i="10"/>
  <c r="F33" i="10"/>
  <c r="F10" i="10"/>
  <c r="K7" i="13"/>
  <c r="Z17" i="10"/>
  <c r="E48" i="6"/>
  <c r="K14" i="13"/>
  <c r="K16" i="13"/>
  <c r="O34" i="10" l="1"/>
  <c r="L35" i="10"/>
  <c r="O35" i="10" s="1"/>
  <c r="Z36" i="10"/>
  <c r="Z31" i="10"/>
  <c r="O32" i="10"/>
  <c r="L33" i="10"/>
  <c r="O33" i="10" s="1"/>
  <c r="O31" i="10"/>
  <c r="O26" i="10"/>
  <c r="L27" i="10"/>
  <c r="O30" i="10"/>
  <c r="O24" i="10"/>
  <c r="L25" i="10"/>
  <c r="M25" i="10" s="1"/>
  <c r="E17" i="13" s="1"/>
  <c r="O23" i="10"/>
  <c r="L24" i="10"/>
  <c r="O28" i="10"/>
  <c r="L29" i="10"/>
  <c r="O22" i="10"/>
  <c r="L23" i="10"/>
  <c r="M23" i="10" s="1"/>
  <c r="E15" i="13" s="1"/>
  <c r="O27" i="10"/>
  <c r="L28" i="10"/>
  <c r="O19" i="10"/>
  <c r="I7" i="13"/>
  <c r="Y41" i="10"/>
  <c r="O14" i="10"/>
  <c r="L15" i="10"/>
  <c r="O15" i="10" s="1"/>
  <c r="L16" i="10"/>
  <c r="M16" i="10" s="1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O25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O29" i="10"/>
  <c r="I4" i="4"/>
  <c r="I41" i="4"/>
  <c r="L25" i="4"/>
  <c r="N25" i="4" s="1"/>
  <c r="O25" i="4" s="1"/>
  <c r="U24" i="10" s="1"/>
  <c r="I21" i="4"/>
  <c r="G43" i="4"/>
  <c r="I18" i="4"/>
  <c r="I15" i="4"/>
  <c r="M40" i="10"/>
  <c r="I6" i="4"/>
  <c r="Z38" i="10"/>
  <c r="U38" i="10"/>
  <c r="G30" i="13" s="1"/>
  <c r="L36" i="4"/>
  <c r="N36" i="4" s="1"/>
  <c r="O36" i="4" s="1"/>
  <c r="U35" i="10" s="1"/>
  <c r="G27" i="13" s="1"/>
  <c r="L24" i="4"/>
  <c r="N24" i="4" s="1"/>
  <c r="O24" i="4" s="1"/>
  <c r="P24" i="4" s="1"/>
  <c r="L21" i="4"/>
  <c r="N21" i="4" s="1"/>
  <c r="O21" i="4" s="1"/>
  <c r="U20" i="10" s="1"/>
  <c r="G12" i="13" s="1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P17" i="4" s="1"/>
  <c r="L12" i="4"/>
  <c r="N12" i="4" s="1"/>
  <c r="O12" i="4" s="1"/>
  <c r="P12" i="4" s="1"/>
  <c r="E43" i="4"/>
  <c r="AC43" i="4"/>
  <c r="K48" i="4" s="1"/>
  <c r="L48" i="4" s="1"/>
  <c r="M48" i="4" s="1"/>
  <c r="I5" i="4"/>
  <c r="Z20" i="10"/>
  <c r="Z27" i="10"/>
  <c r="Z22" i="10"/>
  <c r="U23" i="10"/>
  <c r="G15" i="13" s="1"/>
  <c r="Z19" i="10"/>
  <c r="Z18" i="10"/>
  <c r="M19" i="10"/>
  <c r="E11" i="13" s="1"/>
  <c r="O18" i="10"/>
  <c r="Z13" i="10"/>
  <c r="O12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8" i="10"/>
  <c r="E30" i="13" s="1"/>
  <c r="M34" i="10"/>
  <c r="E26" i="13" s="1"/>
  <c r="M37" i="10"/>
  <c r="E29" i="13" s="1"/>
  <c r="M27" i="10"/>
  <c r="E19" i="13" s="1"/>
  <c r="M22" i="10"/>
  <c r="E14" i="13" s="1"/>
  <c r="M36" i="10"/>
  <c r="E28" i="13" s="1"/>
  <c r="M33" i="10"/>
  <c r="E25" i="13" s="1"/>
  <c r="M35" i="10" l="1"/>
  <c r="E27" i="13" s="1"/>
  <c r="O27" i="13" s="1"/>
  <c r="O24" i="13"/>
  <c r="O26" i="13"/>
  <c r="P33" i="4"/>
  <c r="W20" i="10"/>
  <c r="Z41" i="10"/>
  <c r="O16" i="10"/>
  <c r="O41" i="10" s="1"/>
  <c r="L41" i="10"/>
  <c r="G45" i="10" s="1"/>
  <c r="J45" i="10" s="1"/>
  <c r="F41" i="10"/>
  <c r="O12" i="13"/>
  <c r="W23" i="10"/>
  <c r="U11" i="10"/>
  <c r="U16" i="10"/>
  <c r="G8" i="13" s="1"/>
  <c r="O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AJ16" i="10" s="1"/>
  <c r="AK16" i="10" s="1"/>
  <c r="M12" i="10"/>
  <c r="E4" i="13" s="1"/>
  <c r="O17" i="13"/>
  <c r="AJ25" i="10"/>
  <c r="AK25" i="10" s="1"/>
  <c r="AJ20" i="10"/>
  <c r="AK20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N43" i="4"/>
  <c r="M41" i="10" l="1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W41" i="10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O33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<sst xmlns="http://schemas.openxmlformats.org/spreadsheetml/2006/main" count="227" uniqueCount="86">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</sst>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110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90</c:v>
                </c:pt>
                <c:pt idx="15">
                  <c:v>90</c:v>
                </c:pt>
                <c:pt idx="16">
                  <c:v>80</c:v>
                </c:pt>
                <c:pt idx="17">
                  <c:v>80</c:v>
                </c:pt>
                <c:pt idx="18">
                  <c:v>90</c:v>
                </c:pt>
                <c:pt idx="19">
                  <c:v>90</c:v>
                </c:pt>
                <c:pt idx="20">
                  <c:v>100</c:v>
                </c:pt>
                <c:pt idx="21">
                  <c:v>130</c:v>
                </c:pt>
                <c:pt idx="22">
                  <c:v>100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74112"/>
        <c:axId val="188949632"/>
      </c:lineChart>
      <c:dateAx>
        <c:axId val="18887411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949632"/>
        <c:crosses val="autoZero"/>
        <c:auto val="1"/>
        <c:lblOffset val="100"/>
        <c:baseTimeUnit val="days"/>
      </c:dateAx>
      <c:valAx>
        <c:axId val="188949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8741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913</c:v>
                </c:pt>
                <c:pt idx="1">
                  <c:v>989</c:v>
                </c:pt>
                <c:pt idx="2">
                  <c:v>933</c:v>
                </c:pt>
                <c:pt idx="3">
                  <c:v>934</c:v>
                </c:pt>
                <c:pt idx="4">
                  <c:v>898</c:v>
                </c:pt>
                <c:pt idx="5">
                  <c:v>963</c:v>
                </c:pt>
                <c:pt idx="6">
                  <c:v>968</c:v>
                </c:pt>
                <c:pt idx="7">
                  <c:v>970</c:v>
                </c:pt>
                <c:pt idx="8">
                  <c:v>955</c:v>
                </c:pt>
                <c:pt idx="9">
                  <c:v>804</c:v>
                </c:pt>
                <c:pt idx="10">
                  <c:v>912</c:v>
                </c:pt>
                <c:pt idx="11">
                  <c:v>905</c:v>
                </c:pt>
                <c:pt idx="12">
                  <c:v>894</c:v>
                </c:pt>
                <c:pt idx="13">
                  <c:v>933</c:v>
                </c:pt>
                <c:pt idx="14">
                  <c:v>1007</c:v>
                </c:pt>
                <c:pt idx="15">
                  <c:v>954</c:v>
                </c:pt>
                <c:pt idx="16">
                  <c:v>948</c:v>
                </c:pt>
                <c:pt idx="17">
                  <c:v>936</c:v>
                </c:pt>
                <c:pt idx="18">
                  <c:v>983</c:v>
                </c:pt>
                <c:pt idx="19">
                  <c:v>904</c:v>
                </c:pt>
                <c:pt idx="20">
                  <c:v>943</c:v>
                </c:pt>
                <c:pt idx="21">
                  <c:v>920</c:v>
                </c:pt>
                <c:pt idx="22">
                  <c:v>938</c:v>
                </c:pt>
                <c:pt idx="23">
                  <c:v>932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1366</c:v>
                </c:pt>
                <c:pt idx="1">
                  <c:v>1448</c:v>
                </c:pt>
                <c:pt idx="2">
                  <c:v>1321</c:v>
                </c:pt>
                <c:pt idx="3">
                  <c:v>1294</c:v>
                </c:pt>
                <c:pt idx="4">
                  <c:v>1426</c:v>
                </c:pt>
                <c:pt idx="5">
                  <c:v>1581</c:v>
                </c:pt>
                <c:pt idx="6">
                  <c:v>1414</c:v>
                </c:pt>
                <c:pt idx="7">
                  <c:v>1456</c:v>
                </c:pt>
                <c:pt idx="8">
                  <c:v>1387</c:v>
                </c:pt>
                <c:pt idx="9">
                  <c:v>1366</c:v>
                </c:pt>
                <c:pt idx="10">
                  <c:v>1366</c:v>
                </c:pt>
                <c:pt idx="11">
                  <c:v>1497</c:v>
                </c:pt>
                <c:pt idx="12">
                  <c:v>1500</c:v>
                </c:pt>
                <c:pt idx="13">
                  <c:v>1482</c:v>
                </c:pt>
                <c:pt idx="14">
                  <c:v>1480</c:v>
                </c:pt>
                <c:pt idx="15">
                  <c:v>1522</c:v>
                </c:pt>
                <c:pt idx="16">
                  <c:v>1409</c:v>
                </c:pt>
                <c:pt idx="17">
                  <c:v>1364</c:v>
                </c:pt>
                <c:pt idx="18">
                  <c:v>1449</c:v>
                </c:pt>
                <c:pt idx="19">
                  <c:v>1559</c:v>
                </c:pt>
                <c:pt idx="20">
                  <c:v>1466</c:v>
                </c:pt>
                <c:pt idx="21">
                  <c:v>1416</c:v>
                </c:pt>
                <c:pt idx="22">
                  <c:v>1504</c:v>
                </c:pt>
                <c:pt idx="23">
                  <c:v>1411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582</c:v>
                </c:pt>
                <c:pt idx="1">
                  <c:v>608</c:v>
                </c:pt>
                <c:pt idx="2">
                  <c:v>591</c:v>
                </c:pt>
                <c:pt idx="3">
                  <c:v>607</c:v>
                </c:pt>
                <c:pt idx="4">
                  <c:v>621</c:v>
                </c:pt>
                <c:pt idx="5">
                  <c:v>651</c:v>
                </c:pt>
                <c:pt idx="6">
                  <c:v>631</c:v>
                </c:pt>
                <c:pt idx="7">
                  <c:v>634</c:v>
                </c:pt>
                <c:pt idx="8">
                  <c:v>584</c:v>
                </c:pt>
                <c:pt idx="9">
                  <c:v>540</c:v>
                </c:pt>
                <c:pt idx="10">
                  <c:v>601</c:v>
                </c:pt>
                <c:pt idx="11">
                  <c:v>616</c:v>
                </c:pt>
                <c:pt idx="12">
                  <c:v>610</c:v>
                </c:pt>
                <c:pt idx="13">
                  <c:v>639</c:v>
                </c:pt>
                <c:pt idx="14">
                  <c:v>618</c:v>
                </c:pt>
                <c:pt idx="15">
                  <c:v>615</c:v>
                </c:pt>
                <c:pt idx="16">
                  <c:v>581</c:v>
                </c:pt>
                <c:pt idx="17">
                  <c:v>587</c:v>
                </c:pt>
                <c:pt idx="18">
                  <c:v>624</c:v>
                </c:pt>
                <c:pt idx="19">
                  <c:v>613</c:v>
                </c:pt>
                <c:pt idx="20">
                  <c:v>606</c:v>
                </c:pt>
                <c:pt idx="21">
                  <c:v>579</c:v>
                </c:pt>
                <c:pt idx="22">
                  <c:v>606</c:v>
                </c:pt>
                <c:pt idx="23">
                  <c:v>600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73120"/>
        <c:axId val="189174912"/>
      </c:lineChart>
      <c:dateAx>
        <c:axId val="18917312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174912"/>
        <c:crosses val="autoZero"/>
        <c:auto val="1"/>
        <c:lblOffset val="100"/>
        <c:baseTimeUnit val="days"/>
      </c:dateAx>
      <c:valAx>
        <c:axId val="1891749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17312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  <c:pt idx="31">
                  <c:v>44044</c:v>
                </c:pt>
                <c:pt idx="32">
                  <c:v>44045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154112"/>
        <c:axId val="216155648"/>
      </c:lineChart>
      <c:dateAx>
        <c:axId val="21615411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6155648"/>
        <c:crosses val="autoZero"/>
        <c:auto val="1"/>
        <c:lblOffset val="100"/>
        <c:baseTimeUnit val="days"/>
      </c:dateAx>
      <c:valAx>
        <c:axId val="2161556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6154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6" sqref="A26:XFD26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70</v>
      </c>
      <c r="B1" s="155" t="s">
        <v>71</v>
      </c>
      <c r="C1" s="155" t="s">
        <v>72</v>
      </c>
      <c r="D1" s="155" t="s">
        <v>73</v>
      </c>
      <c r="E1" s="156" t="s">
        <v>74</v>
      </c>
      <c r="F1" s="156" t="s">
        <v>75</v>
      </c>
      <c r="G1" s="156" t="s">
        <v>76</v>
      </c>
      <c r="H1" s="156" t="s">
        <v>77</v>
      </c>
      <c r="I1" s="157" t="s">
        <v>78</v>
      </c>
      <c r="J1" s="157" t="s">
        <v>79</v>
      </c>
      <c r="K1" s="156" t="s">
        <v>80</v>
      </c>
      <c r="L1" s="156" t="s">
        <v>81</v>
      </c>
      <c r="M1" s="156" t="s">
        <v>82</v>
      </c>
      <c r="N1" s="156" t="s">
        <v>83</v>
      </c>
      <c r="O1" s="156" t="s">
        <v>84</v>
      </c>
    </row>
    <row r="2" spans="1:15" x14ac:dyDescent="0.2">
      <c r="A2" s="158" t="s">
        <v>85</v>
      </c>
      <c r="B2" s="159">
        <v>1</v>
      </c>
      <c r="C2" s="159">
        <v>7</v>
      </c>
      <c r="D2" s="160">
        <v>2020</v>
      </c>
      <c r="E2" s="161">
        <f>'Consommation du 01.07 au 31.07'!M10</f>
        <v>3031</v>
      </c>
      <c r="F2" s="161">
        <v>0.99</v>
      </c>
      <c r="G2" s="161">
        <f>'Consommation du 01.07 au 31.07'!U10</f>
        <v>0</v>
      </c>
      <c r="H2" s="161">
        <v>7.8338000000000001</v>
      </c>
      <c r="I2" s="161">
        <f>'Consommation du 01.07 au 31.07'!Y10*1000</f>
        <v>0</v>
      </c>
      <c r="J2" s="161">
        <v>0.53</v>
      </c>
      <c r="K2" s="161">
        <f>'Consommation du 01.07 au 31.07'!D10</f>
        <v>70</v>
      </c>
      <c r="L2" s="161">
        <v>12.67</v>
      </c>
      <c r="M2" s="160">
        <f>'Consommation du 01.07 au 31.07'!AC10</f>
        <v>0</v>
      </c>
      <c r="N2" s="160">
        <v>0</v>
      </c>
      <c r="O2" s="161">
        <f>E2*F2+G2*H2+I2*J2+K2*L2</f>
        <v>3887.59</v>
      </c>
    </row>
    <row r="3" spans="1:15" x14ac:dyDescent="0.2">
      <c r="A3" s="158" t="s">
        <v>85</v>
      </c>
      <c r="B3" s="159">
        <f>B2+1</f>
        <v>2</v>
      </c>
      <c r="C3" s="159">
        <v>7</v>
      </c>
      <c r="D3" s="160">
        <v>2020</v>
      </c>
      <c r="E3" s="161">
        <f>'Consommation du 01.07 au 31.07'!M11</f>
        <v>2861</v>
      </c>
      <c r="F3" s="161">
        <v>0.99</v>
      </c>
      <c r="G3" s="161">
        <f>'Consommation du 01.07 au 31.07'!U11</f>
        <v>0</v>
      </c>
      <c r="H3" s="161">
        <v>7.8338000000000001</v>
      </c>
      <c r="I3" s="161">
        <f>'Consommation du 01.07 au 31.07'!Y11*1000</f>
        <v>0</v>
      </c>
      <c r="J3" s="161">
        <v>0.53</v>
      </c>
      <c r="K3" s="161">
        <f>'Consommation du 01.07 au 31.07'!D11</f>
        <v>60</v>
      </c>
      <c r="L3" s="161">
        <v>12.67</v>
      </c>
      <c r="M3" s="160">
        <f>'Consommation du 01.07 au 31.07'!AC11</f>
        <v>0</v>
      </c>
      <c r="N3" s="160">
        <v>0</v>
      </c>
      <c r="O3" s="161">
        <f t="shared" ref="O3:O31" si="0">E3*F3+G3*H3+I3*J3+K3*L3</f>
        <v>3592.59</v>
      </c>
    </row>
    <row r="4" spans="1:15" x14ac:dyDescent="0.2">
      <c r="A4" s="158" t="s">
        <v>85</v>
      </c>
      <c r="B4" s="159">
        <f t="shared" ref="B4:B32" si="1">B3+1</f>
        <v>3</v>
      </c>
      <c r="C4" s="159">
        <v>7</v>
      </c>
      <c r="D4" s="160">
        <v>2020</v>
      </c>
      <c r="E4" s="161">
        <f>'Consommation du 01.07 au 31.07'!M12</f>
        <v>3045</v>
      </c>
      <c r="F4" s="161">
        <v>0.99</v>
      </c>
      <c r="G4" s="161">
        <f>'Consommation du 01.07 au 31.07'!U12</f>
        <v>0</v>
      </c>
      <c r="H4" s="161">
        <v>7.8338000000000001</v>
      </c>
      <c r="I4" s="161">
        <f>'Consommation du 01.07 au 31.07'!Y12*1000</f>
        <v>0</v>
      </c>
      <c r="J4" s="161">
        <v>0.53</v>
      </c>
      <c r="K4" s="161">
        <f>'Consommation du 01.07 au 31.07'!D12</f>
        <v>70</v>
      </c>
      <c r="L4" s="161">
        <v>12.67</v>
      </c>
      <c r="M4" s="160">
        <f>'Consommation du 01.07 au 31.07'!AC12</f>
        <v>0</v>
      </c>
      <c r="N4" s="160">
        <v>0</v>
      </c>
      <c r="O4" s="161">
        <f t="shared" si="0"/>
        <v>3901.4500000000003</v>
      </c>
    </row>
    <row r="5" spans="1:15" x14ac:dyDescent="0.2">
      <c r="A5" s="158" t="s">
        <v>85</v>
      </c>
      <c r="B5" s="159">
        <f t="shared" si="1"/>
        <v>4</v>
      </c>
      <c r="C5" s="159">
        <v>7</v>
      </c>
      <c r="D5" s="160">
        <v>2020</v>
      </c>
      <c r="E5" s="161">
        <f>'Consommation du 01.07 au 31.07'!M13</f>
        <v>2845</v>
      </c>
      <c r="F5" s="161">
        <v>0.99</v>
      </c>
      <c r="G5" s="161">
        <f>'Consommation du 01.07 au 31.07'!U13</f>
        <v>0</v>
      </c>
      <c r="H5" s="161">
        <v>7.8338000000000001</v>
      </c>
      <c r="I5" s="161">
        <f>'Consommation du 01.07 au 31.07'!Y13*1000</f>
        <v>0</v>
      </c>
      <c r="J5" s="161">
        <v>0.53</v>
      </c>
      <c r="K5" s="161">
        <f>'Consommation du 01.07 au 31.07'!D13</f>
        <v>60</v>
      </c>
      <c r="L5" s="161">
        <v>12.67</v>
      </c>
      <c r="M5" s="160">
        <f>'Consommation du 01.07 au 31.07'!AC13</f>
        <v>0</v>
      </c>
      <c r="N5" s="160">
        <v>0</v>
      </c>
      <c r="O5" s="161">
        <f t="shared" si="0"/>
        <v>3576.75</v>
      </c>
    </row>
    <row r="6" spans="1:15" x14ac:dyDescent="0.2">
      <c r="A6" s="158" t="s">
        <v>85</v>
      </c>
      <c r="B6" s="159">
        <f t="shared" si="1"/>
        <v>5</v>
      </c>
      <c r="C6" s="159">
        <v>7</v>
      </c>
      <c r="D6" s="160">
        <v>2020</v>
      </c>
      <c r="E6" s="161">
        <f>'Consommation du 01.07 au 31.07'!M14</f>
        <v>2835</v>
      </c>
      <c r="F6" s="161">
        <v>0.99</v>
      </c>
      <c r="G6" s="161">
        <f>'Consommation du 01.07 au 31.07'!U14</f>
        <v>0</v>
      </c>
      <c r="H6" s="161">
        <v>7.8338000000000001</v>
      </c>
      <c r="I6" s="161">
        <f>'Consommation du 01.07 au 31.07'!Y14*1000</f>
        <v>0</v>
      </c>
      <c r="J6" s="161">
        <v>0.53</v>
      </c>
      <c r="K6" s="161">
        <f>'Consommation du 01.07 au 31.07'!D14</f>
        <v>80</v>
      </c>
      <c r="L6" s="161">
        <v>12.67</v>
      </c>
      <c r="M6" s="160">
        <f>'Consommation du 01.07 au 31.07'!AC14</f>
        <v>0</v>
      </c>
      <c r="N6" s="160">
        <v>0</v>
      </c>
      <c r="O6" s="161">
        <f t="shared" si="0"/>
        <v>3820.25</v>
      </c>
    </row>
    <row r="7" spans="1:15" x14ac:dyDescent="0.2">
      <c r="A7" s="158" t="s">
        <v>85</v>
      </c>
      <c r="B7" s="159">
        <f t="shared" si="1"/>
        <v>6</v>
      </c>
      <c r="C7" s="159">
        <v>7</v>
      </c>
      <c r="D7" s="160">
        <v>2020</v>
      </c>
      <c r="E7" s="161">
        <f>'Consommation du 01.07 au 31.07'!M15</f>
        <v>2945</v>
      </c>
      <c r="F7" s="161">
        <v>0.99</v>
      </c>
      <c r="G7" s="161">
        <f>'Consommation du 01.07 au 31.07'!U15</f>
        <v>0</v>
      </c>
      <c r="H7" s="161">
        <v>7.8338000000000001</v>
      </c>
      <c r="I7" s="161">
        <f>'Consommation du 01.07 au 31.07'!Y15*1000</f>
        <v>0</v>
      </c>
      <c r="J7" s="161">
        <v>0.53</v>
      </c>
      <c r="K7" s="161">
        <f>'Consommation du 01.07 au 31.07'!D15</f>
        <v>80</v>
      </c>
      <c r="L7" s="161">
        <v>12.67</v>
      </c>
      <c r="M7" s="160">
        <f>'Consommation du 01.07 au 31.07'!AC15</f>
        <v>0</v>
      </c>
      <c r="N7" s="160">
        <v>0</v>
      </c>
      <c r="O7" s="161">
        <f t="shared" si="0"/>
        <v>3929.15</v>
      </c>
    </row>
    <row r="8" spans="1:15" x14ac:dyDescent="0.2">
      <c r="A8" s="158" t="s">
        <v>85</v>
      </c>
      <c r="B8" s="159">
        <f t="shared" si="1"/>
        <v>7</v>
      </c>
      <c r="C8" s="159">
        <v>7</v>
      </c>
      <c r="D8" s="160">
        <v>2020</v>
      </c>
      <c r="E8" s="161">
        <f>'Consommation du 01.07 au 31.07'!M16</f>
        <v>3195</v>
      </c>
      <c r="F8" s="161">
        <v>0.99</v>
      </c>
      <c r="G8" s="161">
        <f>'Consommation du 01.07 au 31.07'!U16</f>
        <v>0</v>
      </c>
      <c r="H8" s="161">
        <v>7.8338000000000001</v>
      </c>
      <c r="I8" s="161">
        <f>'Consommation du 01.07 au 31.07'!Y16*1000</f>
        <v>0</v>
      </c>
      <c r="J8" s="161">
        <v>0.53</v>
      </c>
      <c r="K8" s="161">
        <f>'Consommation du 01.07 au 31.07'!D16</f>
        <v>70</v>
      </c>
      <c r="L8" s="161">
        <v>12.67</v>
      </c>
      <c r="M8" s="160">
        <f>'Consommation du 01.07 au 31.07'!AC16</f>
        <v>0</v>
      </c>
      <c r="N8" s="160">
        <v>0</v>
      </c>
      <c r="O8" s="161">
        <f t="shared" si="0"/>
        <v>4049.9500000000003</v>
      </c>
    </row>
    <row r="9" spans="1:15" x14ac:dyDescent="0.2">
      <c r="A9" s="158" t="s">
        <v>85</v>
      </c>
      <c r="B9" s="159">
        <f t="shared" si="1"/>
        <v>8</v>
      </c>
      <c r="C9" s="159">
        <v>7</v>
      </c>
      <c r="D9" s="160">
        <v>2020</v>
      </c>
      <c r="E9" s="161">
        <f>'Consommation du 01.07 au 31.07'!M17</f>
        <v>3013</v>
      </c>
      <c r="F9" s="161">
        <v>0.99</v>
      </c>
      <c r="G9" s="161">
        <f>'Consommation du 01.07 au 31.07'!U17</f>
        <v>0</v>
      </c>
      <c r="H9" s="161">
        <v>7.8338000000000001</v>
      </c>
      <c r="I9" s="161">
        <f>'Consommation du 01.07 au 31.07'!Y17*1000</f>
        <v>0</v>
      </c>
      <c r="J9" s="161">
        <v>0.53</v>
      </c>
      <c r="K9" s="161">
        <f>'Consommation du 01.07 au 31.07'!D17</f>
        <v>90</v>
      </c>
      <c r="L9" s="161">
        <v>12.67</v>
      </c>
      <c r="M9" s="160">
        <f>'Consommation du 01.07 au 31.07'!AC17</f>
        <v>0</v>
      </c>
      <c r="N9" s="160">
        <v>0</v>
      </c>
      <c r="O9" s="161">
        <f t="shared" si="0"/>
        <v>4123.17</v>
      </c>
    </row>
    <row r="10" spans="1:15" x14ac:dyDescent="0.2">
      <c r="A10" s="158" t="s">
        <v>85</v>
      </c>
      <c r="B10" s="159">
        <f t="shared" si="1"/>
        <v>9</v>
      </c>
      <c r="C10" s="159">
        <v>7</v>
      </c>
      <c r="D10" s="160">
        <v>2020</v>
      </c>
      <c r="E10" s="161">
        <f>'Consommation du 01.07 au 31.07'!M18</f>
        <v>3060</v>
      </c>
      <c r="F10" s="161">
        <v>0.99</v>
      </c>
      <c r="G10" s="161">
        <f>'Consommation du 01.07 au 31.07'!U18</f>
        <v>0</v>
      </c>
      <c r="H10" s="161">
        <v>7.8338000000000001</v>
      </c>
      <c r="I10" s="161">
        <f>'Consommation du 01.07 au 31.07'!Y18*1000</f>
        <v>0</v>
      </c>
      <c r="J10" s="161">
        <v>0.53</v>
      </c>
      <c r="K10" s="161">
        <f>'Consommation du 01.07 au 31.07'!D18</f>
        <v>110</v>
      </c>
      <c r="L10" s="161">
        <v>12.67</v>
      </c>
      <c r="M10" s="160">
        <f>'Consommation du 01.07 au 31.07'!AC18</f>
        <v>0</v>
      </c>
      <c r="N10" s="160">
        <v>0</v>
      </c>
      <c r="O10" s="161">
        <f t="shared" si="0"/>
        <v>4423.1000000000004</v>
      </c>
    </row>
    <row r="11" spans="1:15" x14ac:dyDescent="0.2">
      <c r="A11" s="158" t="s">
        <v>85</v>
      </c>
      <c r="B11" s="159">
        <f t="shared" si="1"/>
        <v>10</v>
      </c>
      <c r="C11" s="159">
        <v>7</v>
      </c>
      <c r="D11" s="160">
        <v>2020</v>
      </c>
      <c r="E11" s="161">
        <f>'Consommation du 01.07 au 31.07'!M19</f>
        <v>2926</v>
      </c>
      <c r="F11" s="161">
        <v>0.99</v>
      </c>
      <c r="G11" s="161">
        <f>'Consommation du 01.07 au 31.07'!U19</f>
        <v>0</v>
      </c>
      <c r="H11" s="161">
        <v>7.8338000000000001</v>
      </c>
      <c r="I11" s="161">
        <f>'Consommation du 01.07 au 31.07'!Y19*1000</f>
        <v>0</v>
      </c>
      <c r="J11" s="161">
        <v>0.53</v>
      </c>
      <c r="K11" s="161">
        <f>'Consommation du 01.07 au 31.07'!D19</f>
        <v>130</v>
      </c>
      <c r="L11" s="161">
        <v>12.67</v>
      </c>
      <c r="M11" s="160">
        <f>'Consommation du 01.07 au 31.07'!AC19</f>
        <v>0</v>
      </c>
      <c r="N11" s="160">
        <v>0</v>
      </c>
      <c r="O11" s="161">
        <f t="shared" si="0"/>
        <v>4543.84</v>
      </c>
    </row>
    <row r="12" spans="1:15" x14ac:dyDescent="0.2">
      <c r="A12" s="158" t="s">
        <v>85</v>
      </c>
      <c r="B12" s="159">
        <f t="shared" si="1"/>
        <v>11</v>
      </c>
      <c r="C12" s="159">
        <v>7</v>
      </c>
      <c r="D12" s="160">
        <v>2020</v>
      </c>
      <c r="E12" s="161">
        <f>'Consommation du 01.07 au 31.07'!M20</f>
        <v>2710</v>
      </c>
      <c r="F12" s="161">
        <v>0.99</v>
      </c>
      <c r="G12" s="161">
        <f>'Consommation du 01.07 au 31.07'!U20</f>
        <v>0</v>
      </c>
      <c r="H12" s="161">
        <v>7.8338000000000001</v>
      </c>
      <c r="I12" s="161">
        <f>'Consommation du 01.07 au 31.07'!Y20*1000</f>
        <v>0</v>
      </c>
      <c r="J12" s="161">
        <v>0.53</v>
      </c>
      <c r="K12" s="161">
        <f>'Consommation du 01.07 au 31.07'!D20</f>
        <v>110</v>
      </c>
      <c r="L12" s="161">
        <v>12.67</v>
      </c>
      <c r="M12" s="160">
        <f>'Consommation du 01.07 au 31.07'!AC20</f>
        <v>0</v>
      </c>
      <c r="N12" s="160">
        <v>0</v>
      </c>
      <c r="O12" s="161">
        <f t="shared" si="0"/>
        <v>4076.6000000000004</v>
      </c>
    </row>
    <row r="13" spans="1:15" x14ac:dyDescent="0.2">
      <c r="A13" s="158" t="s">
        <v>85</v>
      </c>
      <c r="B13" s="159">
        <f t="shared" si="1"/>
        <v>12</v>
      </c>
      <c r="C13" s="159">
        <v>7</v>
      </c>
      <c r="D13" s="160">
        <v>2020</v>
      </c>
      <c r="E13" s="161">
        <f>'Consommation du 01.07 au 31.07'!M21</f>
        <v>2879</v>
      </c>
      <c r="F13" s="161">
        <v>0.99</v>
      </c>
      <c r="G13" s="161">
        <f>'Consommation du 01.07 au 31.07'!U21</f>
        <v>0</v>
      </c>
      <c r="H13" s="161">
        <v>7.8338000000000001</v>
      </c>
      <c r="I13" s="161">
        <f>'Consommation du 01.07 au 31.07'!Y21*1000</f>
        <v>0</v>
      </c>
      <c r="J13" s="161">
        <v>0.53</v>
      </c>
      <c r="K13" s="161">
        <f>'Consommation du 01.07 au 31.07'!D21</f>
        <v>100</v>
      </c>
      <c r="L13" s="161">
        <v>12.67</v>
      </c>
      <c r="M13" s="160">
        <f>'Consommation du 01.07 au 31.07'!AC21</f>
        <v>0</v>
      </c>
      <c r="N13" s="160">
        <v>0</v>
      </c>
      <c r="O13" s="161">
        <f t="shared" si="0"/>
        <v>4117.21</v>
      </c>
    </row>
    <row r="14" spans="1:15" x14ac:dyDescent="0.2">
      <c r="A14" s="158" t="s">
        <v>85</v>
      </c>
      <c r="B14" s="159">
        <f t="shared" si="1"/>
        <v>13</v>
      </c>
      <c r="C14" s="159">
        <v>7</v>
      </c>
      <c r="D14" s="160">
        <v>2020</v>
      </c>
      <c r="E14" s="161">
        <f>'Consommation du 01.07 au 31.07'!M22</f>
        <v>3018</v>
      </c>
      <c r="F14" s="161">
        <v>0.99</v>
      </c>
      <c r="G14" s="161">
        <f>'Consommation du 01.07 au 31.07'!U22</f>
        <v>0</v>
      </c>
      <c r="H14" s="161">
        <v>7.8338000000000001</v>
      </c>
      <c r="I14" s="161">
        <f>'Consommation du 01.07 au 31.07'!Y22*1000</f>
        <v>0</v>
      </c>
      <c r="J14" s="161">
        <v>0.53</v>
      </c>
      <c r="K14" s="161">
        <f>'Consommation du 01.07 au 31.07'!D22</f>
        <v>100</v>
      </c>
      <c r="L14" s="161">
        <v>12.67</v>
      </c>
      <c r="M14" s="160">
        <f>'Consommation du 01.07 au 31.07'!AC22</f>
        <v>0</v>
      </c>
      <c r="N14" s="160">
        <v>0</v>
      </c>
      <c r="O14" s="161">
        <f t="shared" si="0"/>
        <v>4254.82</v>
      </c>
    </row>
    <row r="15" spans="1:15" x14ac:dyDescent="0.2">
      <c r="A15" s="158" t="s">
        <v>85</v>
      </c>
      <c r="B15" s="159">
        <f t="shared" si="1"/>
        <v>14</v>
      </c>
      <c r="C15" s="159">
        <v>7</v>
      </c>
      <c r="D15" s="160">
        <v>2020</v>
      </c>
      <c r="E15" s="161">
        <f>'Consommation du 01.07 au 31.07'!M23</f>
        <v>3004</v>
      </c>
      <c r="F15" s="161">
        <v>0.99</v>
      </c>
      <c r="G15" s="161">
        <f>'Consommation du 01.07 au 31.07'!U23</f>
        <v>0</v>
      </c>
      <c r="H15" s="161">
        <v>7.8338000000000001</v>
      </c>
      <c r="I15" s="161">
        <f>'Consommation du 01.07 au 31.07'!Y23*1000</f>
        <v>0</v>
      </c>
      <c r="J15" s="161">
        <v>0.53</v>
      </c>
      <c r="K15" s="161">
        <f>'Consommation du 01.07 au 31.07'!D23</f>
        <v>100</v>
      </c>
      <c r="L15" s="161">
        <v>12.67</v>
      </c>
      <c r="M15" s="160">
        <f>'Consommation du 01.07 au 31.07'!AC23</f>
        <v>0</v>
      </c>
      <c r="N15" s="160">
        <v>0</v>
      </c>
      <c r="O15" s="161">
        <f t="shared" si="0"/>
        <v>4240.96</v>
      </c>
    </row>
    <row r="16" spans="1:15" x14ac:dyDescent="0.2">
      <c r="A16" s="158" t="s">
        <v>85</v>
      </c>
      <c r="B16" s="159">
        <f t="shared" si="1"/>
        <v>15</v>
      </c>
      <c r="C16" s="159">
        <v>7</v>
      </c>
      <c r="D16" s="160">
        <v>2020</v>
      </c>
      <c r="E16" s="161">
        <f>'Consommation du 01.07 au 31.07'!M24</f>
        <v>3054</v>
      </c>
      <c r="F16" s="161">
        <v>0.99</v>
      </c>
      <c r="G16" s="161">
        <f>'Consommation du 01.07 au 31.07'!U24</f>
        <v>0</v>
      </c>
      <c r="H16" s="161">
        <v>7.8338000000000001</v>
      </c>
      <c r="I16" s="161">
        <f>'Consommation du 01.07 au 31.07'!Y24*1000</f>
        <v>0</v>
      </c>
      <c r="J16" s="161">
        <v>0.53</v>
      </c>
      <c r="K16" s="161">
        <f>'Consommation du 01.07 au 31.07'!D24</f>
        <v>100</v>
      </c>
      <c r="L16" s="161">
        <v>12.67</v>
      </c>
      <c r="M16" s="160">
        <f>'Consommation du 01.07 au 31.07'!AC24</f>
        <v>0</v>
      </c>
      <c r="N16" s="160">
        <v>0</v>
      </c>
      <c r="O16" s="161">
        <f t="shared" si="0"/>
        <v>4290.46</v>
      </c>
    </row>
    <row r="17" spans="1:15" x14ac:dyDescent="0.2">
      <c r="A17" s="158" t="s">
        <v>85</v>
      </c>
      <c r="B17" s="159">
        <f t="shared" si="1"/>
        <v>16</v>
      </c>
      <c r="C17" s="159">
        <v>7</v>
      </c>
      <c r="D17" s="160">
        <v>2020</v>
      </c>
      <c r="E17" s="161">
        <f>'Consommation du 01.07 au 31.07'!M25</f>
        <v>3105</v>
      </c>
      <c r="F17" s="161">
        <v>0.99</v>
      </c>
      <c r="G17" s="161">
        <f>'Consommation du 01.07 au 31.07'!U25</f>
        <v>0</v>
      </c>
      <c r="H17" s="161">
        <v>7.8338000000000001</v>
      </c>
      <c r="I17" s="161">
        <f>'Consommation du 01.07 au 31.07'!Y25*1000</f>
        <v>0</v>
      </c>
      <c r="J17" s="161">
        <v>0.53</v>
      </c>
      <c r="K17" s="161">
        <f>'Consommation du 01.07 au 31.07'!D25</f>
        <v>90</v>
      </c>
      <c r="L17" s="161">
        <v>12.67</v>
      </c>
      <c r="M17" s="160">
        <f>'Consommation du 01.07 au 31.07'!AC25</f>
        <v>0</v>
      </c>
      <c r="N17" s="160">
        <v>0</v>
      </c>
      <c r="O17" s="161">
        <f t="shared" si="0"/>
        <v>4214.25</v>
      </c>
    </row>
    <row r="18" spans="1:15" x14ac:dyDescent="0.2">
      <c r="A18" s="158" t="s">
        <v>85</v>
      </c>
      <c r="B18" s="159">
        <f t="shared" si="1"/>
        <v>17</v>
      </c>
      <c r="C18" s="159">
        <v>7</v>
      </c>
      <c r="D18" s="160">
        <v>2020</v>
      </c>
      <c r="E18" s="161">
        <f>'Consommation du 01.07 au 31.07'!M26</f>
        <v>3091</v>
      </c>
      <c r="F18" s="161">
        <v>0.99</v>
      </c>
      <c r="G18" s="161">
        <f>'Consommation du 01.07 au 31.07'!U26</f>
        <v>0</v>
      </c>
      <c r="H18" s="161">
        <v>7.8338000000000001</v>
      </c>
      <c r="I18" s="161">
        <f>'Consommation du 01.07 au 31.07'!Y26*1000</f>
        <v>0</v>
      </c>
      <c r="J18" s="161">
        <v>0.53</v>
      </c>
      <c r="K18" s="161">
        <f>'Consommation du 01.07 au 31.07'!D26</f>
        <v>90</v>
      </c>
      <c r="L18" s="161">
        <v>12.67</v>
      </c>
      <c r="M18" s="160">
        <f>'Consommation du 01.07 au 31.07'!AC26</f>
        <v>0</v>
      </c>
      <c r="N18" s="160">
        <v>0</v>
      </c>
      <c r="O18" s="161">
        <f t="shared" si="0"/>
        <v>4200.3900000000003</v>
      </c>
    </row>
    <row r="19" spans="1:15" x14ac:dyDescent="0.2">
      <c r="A19" s="158" t="s">
        <v>85</v>
      </c>
      <c r="B19" s="159">
        <f t="shared" si="1"/>
        <v>18</v>
      </c>
      <c r="C19" s="159">
        <v>7</v>
      </c>
      <c r="D19" s="160">
        <v>2020</v>
      </c>
      <c r="E19" s="161">
        <f>'Consommation du 01.07 au 31.07'!M27</f>
        <v>2938</v>
      </c>
      <c r="F19" s="161">
        <v>0.99</v>
      </c>
      <c r="G19" s="161">
        <f>'Consommation du 01.07 au 31.07'!U27</f>
        <v>0</v>
      </c>
      <c r="H19" s="161">
        <v>7.8338000000000001</v>
      </c>
      <c r="I19" s="161">
        <f>'Consommation du 01.07 au 31.07'!Y27*1000</f>
        <v>0</v>
      </c>
      <c r="J19" s="161">
        <v>0.53</v>
      </c>
      <c r="K19" s="161">
        <f>'Consommation du 01.07 au 31.07'!D27</f>
        <v>80</v>
      </c>
      <c r="L19" s="161">
        <v>12.67</v>
      </c>
      <c r="M19" s="160">
        <f>'Consommation du 01.07 au 31.07'!AC27</f>
        <v>0</v>
      </c>
      <c r="N19" s="160">
        <v>0</v>
      </c>
      <c r="O19" s="161">
        <f t="shared" si="0"/>
        <v>3922.22</v>
      </c>
    </row>
    <row r="20" spans="1:15" x14ac:dyDescent="0.2">
      <c r="A20" s="158" t="s">
        <v>85</v>
      </c>
      <c r="B20" s="159">
        <f t="shared" si="1"/>
        <v>19</v>
      </c>
      <c r="C20" s="159">
        <v>7</v>
      </c>
      <c r="D20" s="160">
        <v>2020</v>
      </c>
      <c r="E20" s="161">
        <f>'Consommation du 01.07 au 31.07'!M28</f>
        <v>2887</v>
      </c>
      <c r="F20" s="161">
        <v>0.99</v>
      </c>
      <c r="G20" s="161">
        <f>'Consommation du 01.07 au 31.07'!U28</f>
        <v>0</v>
      </c>
      <c r="H20" s="161">
        <v>7.8338000000000001</v>
      </c>
      <c r="I20" s="161">
        <f>'Consommation du 01.07 au 31.07'!Y28*1000</f>
        <v>0</v>
      </c>
      <c r="J20" s="161">
        <v>0.53</v>
      </c>
      <c r="K20" s="161">
        <f>'Consommation du 01.07 au 31.07'!D28</f>
        <v>80</v>
      </c>
      <c r="L20" s="161">
        <v>12.67</v>
      </c>
      <c r="M20" s="160">
        <f>'Consommation du 01.07 au 31.07'!AC28</f>
        <v>0</v>
      </c>
      <c r="N20" s="160">
        <v>0</v>
      </c>
      <c r="O20" s="161">
        <f t="shared" si="0"/>
        <v>3871.73</v>
      </c>
    </row>
    <row r="21" spans="1:15" x14ac:dyDescent="0.2">
      <c r="A21" s="158" t="s">
        <v>85</v>
      </c>
      <c r="B21" s="159">
        <f t="shared" si="1"/>
        <v>20</v>
      </c>
      <c r="C21" s="159">
        <v>7</v>
      </c>
      <c r="D21" s="160">
        <v>2020</v>
      </c>
      <c r="E21" s="161">
        <f>'Consommation du 01.07 au 31.07'!M29</f>
        <v>3056</v>
      </c>
      <c r="F21" s="161">
        <v>0.99</v>
      </c>
      <c r="G21" s="161">
        <f>'Consommation du 01.07 au 31.07'!U29</f>
        <v>0</v>
      </c>
      <c r="H21" s="161">
        <v>7.8338000000000001</v>
      </c>
      <c r="I21" s="161">
        <f>'Consommation du 01.07 au 31.07'!Y29*1000</f>
        <v>0</v>
      </c>
      <c r="J21" s="161">
        <v>0.53</v>
      </c>
      <c r="K21" s="161">
        <f>'Consommation du 01.07 au 31.07'!D29</f>
        <v>90</v>
      </c>
      <c r="L21" s="161">
        <v>12.67</v>
      </c>
      <c r="M21" s="160">
        <f>'Consommation du 01.07 au 31.07'!AC29</f>
        <v>0</v>
      </c>
      <c r="N21" s="160">
        <v>0</v>
      </c>
      <c r="O21" s="161">
        <f t="shared" si="0"/>
        <v>4165.74</v>
      </c>
    </row>
    <row r="22" spans="1:15" x14ac:dyDescent="0.2">
      <c r="A22" s="158" t="s">
        <v>85</v>
      </c>
      <c r="B22" s="159">
        <f t="shared" si="1"/>
        <v>21</v>
      </c>
      <c r="C22" s="159">
        <v>7</v>
      </c>
      <c r="D22" s="160">
        <v>2020</v>
      </c>
      <c r="E22" s="161">
        <f>'Consommation du 01.07 au 31.07'!M30</f>
        <v>3076</v>
      </c>
      <c r="F22" s="161">
        <v>0.99</v>
      </c>
      <c r="G22" s="161">
        <f>'Consommation du 01.07 au 31.07'!U30</f>
        <v>0</v>
      </c>
      <c r="H22" s="161">
        <v>7.8338000000000001</v>
      </c>
      <c r="I22" s="161">
        <f>'Consommation du 01.07 au 31.07'!Y30*1000</f>
        <v>170.00000000189175</v>
      </c>
      <c r="J22" s="161">
        <v>0.53</v>
      </c>
      <c r="K22" s="161">
        <f>'Consommation du 01.07 au 31.07'!D30</f>
        <v>90</v>
      </c>
      <c r="L22" s="161">
        <v>12.67</v>
      </c>
      <c r="M22" s="160">
        <f>'Consommation du 01.07 au 31.07'!AC30</f>
        <v>0</v>
      </c>
      <c r="N22" s="160">
        <v>0</v>
      </c>
      <c r="O22" s="161">
        <f t="shared" si="0"/>
        <v>4275.6400000010026</v>
      </c>
    </row>
    <row r="23" spans="1:15" x14ac:dyDescent="0.2">
      <c r="A23" s="158" t="s">
        <v>85</v>
      </c>
      <c r="B23" s="159">
        <f t="shared" si="1"/>
        <v>22</v>
      </c>
      <c r="C23" s="159">
        <v>7</v>
      </c>
      <c r="D23" s="160">
        <v>2020</v>
      </c>
      <c r="E23" s="161">
        <f>'Consommation du 01.07 au 31.07'!M31</f>
        <v>3015</v>
      </c>
      <c r="F23" s="161">
        <v>0.99</v>
      </c>
      <c r="G23" s="161">
        <f>'Consommation du 01.07 au 31.07'!U31</f>
        <v>0</v>
      </c>
      <c r="H23" s="161">
        <v>7.8338000000000001</v>
      </c>
      <c r="I23" s="161">
        <f>'Consommation du 01.07 au 31.07'!Y31*1000</f>
        <v>0</v>
      </c>
      <c r="J23" s="161">
        <v>0.53</v>
      </c>
      <c r="K23" s="161">
        <f>'Consommation du 01.07 au 31.07'!D31</f>
        <v>100</v>
      </c>
      <c r="L23" s="161">
        <v>12.67</v>
      </c>
      <c r="M23" s="160">
        <f>'Consommation du 01.07 au 31.07'!AC31</f>
        <v>0</v>
      </c>
      <c r="N23" s="160">
        <v>0</v>
      </c>
      <c r="O23" s="161">
        <f t="shared" si="0"/>
        <v>4251.8500000000004</v>
      </c>
    </row>
    <row r="24" spans="1:15" x14ac:dyDescent="0.2">
      <c r="A24" s="158" t="s">
        <v>85</v>
      </c>
      <c r="B24" s="159">
        <f t="shared" si="1"/>
        <v>23</v>
      </c>
      <c r="C24" s="159">
        <v>7</v>
      </c>
      <c r="D24" s="160">
        <v>2020</v>
      </c>
      <c r="E24" s="161">
        <f>'Consommation du 01.07 au 31.07'!M32</f>
        <v>2915</v>
      </c>
      <c r="F24" s="161">
        <v>0.99</v>
      </c>
      <c r="G24" s="161">
        <f>'Consommation du 01.07 au 31.07'!U32</f>
        <v>0</v>
      </c>
      <c r="H24" s="161">
        <v>7.8338000000000001</v>
      </c>
      <c r="I24" s="161">
        <f>'Consommation du 01.07 au 31.07'!Y32*1000</f>
        <v>0</v>
      </c>
      <c r="J24" s="161">
        <v>0.53</v>
      </c>
      <c r="K24" s="161">
        <f>'Consommation du 01.07 au 31.07'!D32</f>
        <v>130</v>
      </c>
      <c r="L24" s="161">
        <v>12.67</v>
      </c>
      <c r="M24" s="160">
        <f>'Consommation du 01.07 au 31.07'!AC32</f>
        <v>0</v>
      </c>
      <c r="N24" s="160">
        <v>0</v>
      </c>
      <c r="O24" s="161">
        <f t="shared" si="0"/>
        <v>4532.95</v>
      </c>
    </row>
    <row r="25" spans="1:15" x14ac:dyDescent="0.2">
      <c r="A25" s="158" t="s">
        <v>85</v>
      </c>
      <c r="B25" s="159">
        <f t="shared" si="1"/>
        <v>24</v>
      </c>
      <c r="C25" s="159">
        <v>7</v>
      </c>
      <c r="D25" s="160">
        <v>2020</v>
      </c>
      <c r="E25" s="161">
        <f>'Consommation du 01.07 au 31.07'!M33</f>
        <v>3048</v>
      </c>
      <c r="F25" s="161">
        <v>0.99</v>
      </c>
      <c r="G25" s="161">
        <f>'Consommation du 01.07 au 31.07'!U33</f>
        <v>0</v>
      </c>
      <c r="H25" s="161">
        <v>7.8338000000000001</v>
      </c>
      <c r="I25" s="161">
        <f>'Consommation du 01.07 au 31.07'!Y33*1000</f>
        <v>0</v>
      </c>
      <c r="J25" s="161">
        <v>0.53</v>
      </c>
      <c r="K25" s="161">
        <f>'Consommation du 01.07 au 31.07'!D33</f>
        <v>100</v>
      </c>
      <c r="L25" s="161">
        <v>12.67</v>
      </c>
      <c r="M25" s="160">
        <f>'Consommation du 01.07 au 31.07'!AC33</f>
        <v>0</v>
      </c>
      <c r="N25" s="160">
        <v>0</v>
      </c>
      <c r="O25" s="161">
        <f t="shared" si="0"/>
        <v>4284.5200000000004</v>
      </c>
    </row>
    <row r="26" spans="1:15" x14ac:dyDescent="0.2">
      <c r="A26" s="158" t="s">
        <v>85</v>
      </c>
      <c r="B26" s="159">
        <f>B25+1</f>
        <v>25</v>
      </c>
      <c r="C26" s="159">
        <v>7</v>
      </c>
      <c r="D26" s="160">
        <v>2020</v>
      </c>
      <c r="E26" s="161">
        <f>'Consommation du 01.07 au 31.07'!M34</f>
        <v>2943</v>
      </c>
      <c r="F26" s="161">
        <v>0.99</v>
      </c>
      <c r="G26" s="161">
        <f>'Consommation du 01.07 au 31.07'!U34</f>
        <v>0</v>
      </c>
      <c r="H26" s="161">
        <v>7.8338000000000001</v>
      </c>
      <c r="I26" s="161">
        <f>'Consommation du 01.07 au 31.07'!Y34*1000</f>
        <v>0</v>
      </c>
      <c r="J26" s="161">
        <v>0.53</v>
      </c>
      <c r="K26" s="161">
        <f>'Consommation du 01.07 au 31.07'!D34</f>
        <v>70</v>
      </c>
      <c r="L26" s="161">
        <v>12.67</v>
      </c>
      <c r="M26" s="160">
        <f>'Consommation du 01.07 au 31.07'!AC34</f>
        <v>0</v>
      </c>
      <c r="N26" s="160">
        <v>0</v>
      </c>
      <c r="O26" s="161">
        <f t="shared" si="0"/>
        <v>3800.4700000000003</v>
      </c>
    </row>
    <row r="27" spans="1:15" x14ac:dyDescent="0.2">
      <c r="A27" s="158" t="s">
        <v>85</v>
      </c>
      <c r="B27" s="159">
        <f t="shared" si="1"/>
        <v>26</v>
      </c>
      <c r="C27" s="159">
        <v>7</v>
      </c>
      <c r="D27" s="160">
        <v>2020</v>
      </c>
      <c r="E27" s="161">
        <f>'Consommation du 01.07 au 31.07'!M35</f>
        <v>0</v>
      </c>
      <c r="F27" s="161">
        <v>0.99</v>
      </c>
      <c r="G27" s="161">
        <f>'Consommation du 01.07 au 31.07'!U35</f>
        <v>0</v>
      </c>
      <c r="H27" s="161">
        <v>7.8338000000000001</v>
      </c>
      <c r="I27" s="161">
        <f>'Consommation du 01.07 au 31.07'!Y35*1000</f>
        <v>0</v>
      </c>
      <c r="J27" s="161">
        <v>0.53</v>
      </c>
      <c r="K27" s="161">
        <f>'Consommation du 01.07 au 31.07'!D35</f>
        <v>0</v>
      </c>
      <c r="L27" s="161">
        <v>12.67</v>
      </c>
      <c r="M27" s="160">
        <f>'Consommation du 01.07 au 31.07'!AC35</f>
        <v>0</v>
      </c>
      <c r="N27" s="160"/>
      <c r="O27" s="161">
        <f t="shared" si="0"/>
        <v>0</v>
      </c>
    </row>
    <row r="28" spans="1:15" x14ac:dyDescent="0.2">
      <c r="A28" s="158" t="s">
        <v>85</v>
      </c>
      <c r="B28" s="159">
        <f t="shared" si="1"/>
        <v>27</v>
      </c>
      <c r="C28" s="159">
        <v>7</v>
      </c>
      <c r="D28" s="160">
        <v>2020</v>
      </c>
      <c r="E28" s="161">
        <f>'Consommation du 01.07 au 31.07'!M36</f>
        <v>0</v>
      </c>
      <c r="F28" s="161">
        <v>0.99</v>
      </c>
      <c r="G28" s="161">
        <f>'Consommation du 01.07 au 31.07'!U36</f>
        <v>0</v>
      </c>
      <c r="H28" s="161">
        <v>7.8338000000000001</v>
      </c>
      <c r="I28" s="161">
        <f>'Consommation du 01.07 au 31.07'!Y36*1000</f>
        <v>0</v>
      </c>
      <c r="J28" s="161">
        <v>0.53</v>
      </c>
      <c r="K28" s="161">
        <f>'Consommation du 01.07 au 31.07'!D36</f>
        <v>0</v>
      </c>
      <c r="L28" s="161">
        <v>12.67</v>
      </c>
      <c r="M28" s="160">
        <f>'Consommation du 01.07 au 31.07'!AC36</f>
        <v>0</v>
      </c>
      <c r="N28" s="160"/>
      <c r="O28" s="161">
        <f t="shared" si="0"/>
        <v>0</v>
      </c>
    </row>
    <row r="29" spans="1:15" x14ac:dyDescent="0.2">
      <c r="A29" s="158" t="s">
        <v>85</v>
      </c>
      <c r="B29" s="159">
        <f t="shared" si="1"/>
        <v>28</v>
      </c>
      <c r="C29" s="159">
        <v>7</v>
      </c>
      <c r="D29" s="160">
        <v>2020</v>
      </c>
      <c r="E29" s="161">
        <f>'Consommation du 01.07 au 31.07'!M37</f>
        <v>0</v>
      </c>
      <c r="F29" s="161">
        <v>0.99</v>
      </c>
      <c r="G29" s="161">
        <f>'Consommation du 01.07 au 31.07'!U37</f>
        <v>0</v>
      </c>
      <c r="H29" s="161">
        <v>7.8338000000000001</v>
      </c>
      <c r="I29" s="161">
        <f>'Consommation du 01.07 au 31.07'!Y37*1000</f>
        <v>0</v>
      </c>
      <c r="J29" s="161">
        <v>0.53</v>
      </c>
      <c r="K29" s="161">
        <f>'Consommation du 01.07 au 31.07'!D37</f>
        <v>0</v>
      </c>
      <c r="L29" s="161">
        <v>12.67</v>
      </c>
      <c r="M29" s="160">
        <f>'Consommation du 01.07 au 31.07'!AC37</f>
        <v>0</v>
      </c>
      <c r="N29" s="160"/>
      <c r="O29" s="161">
        <f t="shared" si="0"/>
        <v>0</v>
      </c>
    </row>
    <row r="30" spans="1:15" x14ac:dyDescent="0.2">
      <c r="A30" s="158" t="s">
        <v>85</v>
      </c>
      <c r="B30" s="159">
        <f t="shared" si="1"/>
        <v>29</v>
      </c>
      <c r="C30" s="159">
        <v>7</v>
      </c>
      <c r="D30" s="160">
        <v>2020</v>
      </c>
      <c r="E30" s="161">
        <f>'Consommation du 01.07 au 31.07'!M38</f>
        <v>0</v>
      </c>
      <c r="F30" s="161">
        <v>0.99</v>
      </c>
      <c r="G30" s="161">
        <f>'Consommation du 01.07 au 31.07'!U38</f>
        <v>0</v>
      </c>
      <c r="H30" s="161">
        <v>7.8338000000000001</v>
      </c>
      <c r="I30" s="161">
        <f>'Consommation du 01.07 au 31.07'!Y38*1000</f>
        <v>0</v>
      </c>
      <c r="J30" s="161">
        <v>0.53</v>
      </c>
      <c r="K30" s="161">
        <f>'Consommation du 01.07 au 31.07'!D38</f>
        <v>0</v>
      </c>
      <c r="L30" s="161">
        <v>12.67</v>
      </c>
      <c r="M30" s="160">
        <f>'Consommation du 01.07 au 31.07'!AC38</f>
        <v>0</v>
      </c>
      <c r="N30" s="160"/>
      <c r="O30" s="161">
        <f t="shared" si="0"/>
        <v>0</v>
      </c>
    </row>
    <row r="31" spans="1:15" x14ac:dyDescent="0.2">
      <c r="A31" s="158" t="s">
        <v>85</v>
      </c>
      <c r="B31" s="159">
        <f t="shared" si="1"/>
        <v>30</v>
      </c>
      <c r="C31" s="159">
        <v>7</v>
      </c>
      <c r="D31" s="160">
        <v>2020</v>
      </c>
      <c r="E31" s="161">
        <f>'Consommation du 01.07 au 31.07'!M39</f>
        <v>0</v>
      </c>
      <c r="F31" s="161">
        <v>0.99</v>
      </c>
      <c r="G31" s="161">
        <f>'Consommation du 01.07 au 31.07'!U39</f>
        <v>0</v>
      </c>
      <c r="H31" s="161">
        <v>7.8338000000000001</v>
      </c>
      <c r="I31" s="161">
        <f>'Consommation du 01.07 au 31.07'!Y39*1000</f>
        <v>0</v>
      </c>
      <c r="J31" s="161">
        <v>0.53</v>
      </c>
      <c r="K31" s="161">
        <f>'Consommation du 01.07 au 31.07'!D39</f>
        <v>0</v>
      </c>
      <c r="L31" s="161">
        <v>12.67</v>
      </c>
      <c r="M31" s="160">
        <f>'Consommation du 01.07 au 31.07'!AC39</f>
        <v>0</v>
      </c>
      <c r="N31" s="160"/>
      <c r="O31" s="161">
        <f t="shared" si="0"/>
        <v>0</v>
      </c>
    </row>
    <row r="32" spans="1:15" x14ac:dyDescent="0.2">
      <c r="A32" s="158" t="s">
        <v>85</v>
      </c>
      <c r="B32" s="159">
        <f t="shared" si="1"/>
        <v>31</v>
      </c>
      <c r="C32" s="159">
        <v>7</v>
      </c>
      <c r="D32" s="160">
        <v>2020</v>
      </c>
      <c r="E32" s="161">
        <f>'Consommation du 01.07 au 31.07'!M40</f>
        <v>0</v>
      </c>
      <c r="F32" s="161">
        <v>0.99</v>
      </c>
      <c r="G32" s="161">
        <f>'Consommation du 01.07 au 31.07'!U40</f>
        <v>0</v>
      </c>
      <c r="H32" s="161">
        <v>7.8338000000000001</v>
      </c>
      <c r="I32" s="161">
        <f>'Consommation du 01.07 au 31.07'!Y40*1000</f>
        <v>0</v>
      </c>
      <c r="J32" s="161">
        <v>0.53</v>
      </c>
      <c r="K32" s="161">
        <f>'Consommation du 01.07 au 31.07'!D40</f>
        <v>0</v>
      </c>
      <c r="L32" s="161">
        <v>12.67</v>
      </c>
      <c r="M32" s="160">
        <f>'Consommation du 01.07 au 31.07'!AC40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102347.65000000101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X34" sqref="X34:X3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44013</v>
      </c>
      <c r="C10" s="93"/>
      <c r="D10" s="148">
        <f>'Suivi EAU-ELEC'!C15</f>
        <v>70</v>
      </c>
      <c r="E10" s="152"/>
      <c r="F10" s="186">
        <f t="shared" ref="F10:F40" si="0">D10*12.67</f>
        <v>886.9</v>
      </c>
      <c r="G10" s="187"/>
      <c r="H10" s="188"/>
      <c r="I10" s="143"/>
      <c r="J10" s="94">
        <f>'Suivi EAU-ELEC'!E15</f>
        <v>1016</v>
      </c>
      <c r="K10" s="95">
        <f>'Suivi EAU-ELEC'!G15</f>
        <v>1382</v>
      </c>
      <c r="L10" s="95">
        <f>'Suivi EAU-ELEC'!I15</f>
        <v>633</v>
      </c>
      <c r="M10" s="82">
        <f>L10+K10+J10</f>
        <v>3031</v>
      </c>
      <c r="N10" s="58"/>
      <c r="O10" s="59">
        <f>J10*0.99+K10*0.99+L10*0.99</f>
        <v>3000.69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17028.419999999998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39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6"/>
      <c r="AJ10" s="128">
        <f t="shared" ref="AJ10:AJ40" si="2">(F10+O10+W10+Z10)</f>
        <v>3887.59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44014</v>
      </c>
      <c r="C11" s="93"/>
      <c r="D11" s="148">
        <f>'Suivi EAU-ELEC'!C16</f>
        <v>60</v>
      </c>
      <c r="E11" s="96"/>
      <c r="F11" s="186">
        <f t="shared" si="0"/>
        <v>760.2</v>
      </c>
      <c r="G11" s="187"/>
      <c r="H11" s="188"/>
      <c r="I11" s="143"/>
      <c r="J11" s="94">
        <f>'Suivi EAU-ELEC'!E16</f>
        <v>913</v>
      </c>
      <c r="K11" s="95">
        <f>'Suivi EAU-ELEC'!G16</f>
        <v>1366</v>
      </c>
      <c r="L11" s="95">
        <f>'Suivi EAU-ELEC'!I16</f>
        <v>582</v>
      </c>
      <c r="M11" s="82">
        <f t="shared" ref="M11:M40" si="4">L11+K11+J11</f>
        <v>2861</v>
      </c>
      <c r="N11" s="58"/>
      <c r="O11" s="59">
        <f t="shared" ref="O11:O40" si="5">J11*0.99+K11*0.99+L11*0.99</f>
        <v>2832.39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17028.419999999998</v>
      </c>
      <c r="Y11" s="149">
        <f t="shared" si="1"/>
        <v>0</v>
      </c>
      <c r="Z11" s="64">
        <f t="shared" ref="Z11:Z40" si="7">Y11*0.53*1000</f>
        <v>0</v>
      </c>
      <c r="AA11" s="58"/>
      <c r="AB11" s="84">
        <v>40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6"/>
      <c r="AJ11" s="130">
        <f t="shared" si="2"/>
        <v>3592.59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44015</v>
      </c>
      <c r="C12" s="93"/>
      <c r="D12" s="148">
        <f>'Suivi EAU-ELEC'!C17</f>
        <v>70</v>
      </c>
      <c r="E12" s="96"/>
      <c r="F12" s="186">
        <f t="shared" si="0"/>
        <v>886.9</v>
      </c>
      <c r="G12" s="187"/>
      <c r="H12" s="188"/>
      <c r="I12" s="143"/>
      <c r="J12" s="94">
        <f>'Suivi EAU-ELEC'!E17</f>
        <v>989</v>
      </c>
      <c r="K12" s="95">
        <f>'Suivi EAU-ELEC'!G17</f>
        <v>1448</v>
      </c>
      <c r="L12" s="95">
        <f>'Suivi EAU-ELEC'!I17</f>
        <v>608</v>
      </c>
      <c r="M12" s="82">
        <f t="shared" si="4"/>
        <v>3045</v>
      </c>
      <c r="N12" s="58"/>
      <c r="O12" s="59">
        <f t="shared" si="5"/>
        <v>3014.55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17028.419999999998</v>
      </c>
      <c r="Y12" s="149">
        <f t="shared" si="1"/>
        <v>0</v>
      </c>
      <c r="Z12" s="64">
        <f t="shared" si="7"/>
        <v>0</v>
      </c>
      <c r="AA12" s="58"/>
      <c r="AB12" s="84">
        <v>38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3901.4500000000003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44016</v>
      </c>
      <c r="C13" s="93"/>
      <c r="D13" s="148">
        <f>'Suivi EAU-ELEC'!C18</f>
        <v>60</v>
      </c>
      <c r="E13" s="96"/>
      <c r="F13" s="205">
        <f t="shared" si="0"/>
        <v>760.2</v>
      </c>
      <c r="G13" s="206"/>
      <c r="H13" s="207"/>
      <c r="I13" s="143"/>
      <c r="J13" s="94">
        <f>'Suivi EAU-ELEC'!E18</f>
        <v>933</v>
      </c>
      <c r="K13" s="95">
        <f>'Suivi EAU-ELEC'!G18</f>
        <v>1321</v>
      </c>
      <c r="L13" s="95">
        <f>'Suivi EAU-ELEC'!I18</f>
        <v>591</v>
      </c>
      <c r="M13" s="82">
        <f t="shared" si="4"/>
        <v>2845</v>
      </c>
      <c r="N13" s="58"/>
      <c r="O13" s="59">
        <f t="shared" si="5"/>
        <v>2816.55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17028.419999999998</v>
      </c>
      <c r="Y13" s="149">
        <f t="shared" si="1"/>
        <v>0</v>
      </c>
      <c r="Z13" s="64">
        <f t="shared" si="7"/>
        <v>0</v>
      </c>
      <c r="AA13" s="58"/>
      <c r="AB13" s="61">
        <v>38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3576.75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44017</v>
      </c>
      <c r="C14" s="93"/>
      <c r="D14" s="148">
        <f>'Suivi EAU-ELEC'!C19</f>
        <v>80</v>
      </c>
      <c r="E14" s="96"/>
      <c r="F14" s="186">
        <f t="shared" si="0"/>
        <v>1013.6</v>
      </c>
      <c r="G14" s="187"/>
      <c r="H14" s="188"/>
      <c r="I14" s="143"/>
      <c r="J14" s="94">
        <f>'Suivi EAU-ELEC'!E19</f>
        <v>934</v>
      </c>
      <c r="K14" s="95">
        <f>'Suivi EAU-ELEC'!G19</f>
        <v>1294</v>
      </c>
      <c r="L14" s="95">
        <f>'Suivi EAU-ELEC'!I19</f>
        <v>607</v>
      </c>
      <c r="M14" s="82">
        <f t="shared" si="4"/>
        <v>2835</v>
      </c>
      <c r="N14" s="58"/>
      <c r="O14" s="59">
        <f t="shared" si="5"/>
        <v>2806.6499999999996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17028.419999999998</v>
      </c>
      <c r="Y14" s="149">
        <f t="shared" si="1"/>
        <v>0</v>
      </c>
      <c r="Z14" s="64">
        <f t="shared" si="7"/>
        <v>0</v>
      </c>
      <c r="AA14" s="58"/>
      <c r="AB14" s="61">
        <v>42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3820.2499999999995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44018</v>
      </c>
      <c r="C15" s="93"/>
      <c r="D15" s="148">
        <f>'Suivi EAU-ELEC'!C20</f>
        <v>80</v>
      </c>
      <c r="E15" s="96"/>
      <c r="F15" s="208">
        <f t="shared" si="0"/>
        <v>1013.6</v>
      </c>
      <c r="G15" s="209"/>
      <c r="H15" s="210"/>
      <c r="I15" s="145"/>
      <c r="J15" s="94">
        <f>'Suivi EAU-ELEC'!E20</f>
        <v>898</v>
      </c>
      <c r="K15" s="95">
        <f>'Suivi EAU-ELEC'!G20</f>
        <v>1426</v>
      </c>
      <c r="L15" s="95">
        <f>'Suivi EAU-ELEC'!I20</f>
        <v>621</v>
      </c>
      <c r="M15" s="82">
        <f t="shared" si="4"/>
        <v>2945</v>
      </c>
      <c r="N15" s="58"/>
      <c r="O15" s="59">
        <f t="shared" si="5"/>
        <v>2915.55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17028.419999999998</v>
      </c>
      <c r="Y15" s="149">
        <f t="shared" si="1"/>
        <v>0</v>
      </c>
      <c r="Z15" s="64">
        <f t="shared" si="7"/>
        <v>0</v>
      </c>
      <c r="AA15" s="58"/>
      <c r="AB15" s="61">
        <v>43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3929.15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44019</v>
      </c>
      <c r="C16" s="93"/>
      <c r="D16" s="148">
        <f>'Suivi EAU-ELEC'!C21</f>
        <v>70</v>
      </c>
      <c r="E16" s="96"/>
      <c r="F16" s="205">
        <f t="shared" si="0"/>
        <v>886.9</v>
      </c>
      <c r="G16" s="206"/>
      <c r="H16" s="207"/>
      <c r="I16" s="142"/>
      <c r="J16" s="94">
        <f>'Suivi EAU-ELEC'!E21</f>
        <v>963</v>
      </c>
      <c r="K16" s="95">
        <f>'Suivi EAU-ELEC'!G21</f>
        <v>1581</v>
      </c>
      <c r="L16" s="95">
        <f>'Suivi EAU-ELEC'!I21</f>
        <v>651</v>
      </c>
      <c r="M16" s="82">
        <f t="shared" si="4"/>
        <v>3195</v>
      </c>
      <c r="N16" s="58"/>
      <c r="O16" s="59">
        <f t="shared" si="5"/>
        <v>3163.05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17028.419999999998</v>
      </c>
      <c r="Y16" s="149">
        <f t="shared" si="1"/>
        <v>0</v>
      </c>
      <c r="Z16" s="64">
        <f t="shared" si="7"/>
        <v>0</v>
      </c>
      <c r="AA16" s="58"/>
      <c r="AB16" s="61">
        <v>44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4049.9500000000003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44020</v>
      </c>
      <c r="C17" s="93"/>
      <c r="D17" s="148">
        <f>'Suivi EAU-ELEC'!C22</f>
        <v>90</v>
      </c>
      <c r="E17" s="96"/>
      <c r="F17" s="186">
        <f t="shared" si="0"/>
        <v>1140.3</v>
      </c>
      <c r="G17" s="187"/>
      <c r="H17" s="188"/>
      <c r="I17" s="143"/>
      <c r="J17" s="94">
        <f>'Suivi EAU-ELEC'!E22</f>
        <v>968</v>
      </c>
      <c r="K17" s="95">
        <f>'Suivi EAU-ELEC'!G22</f>
        <v>1414</v>
      </c>
      <c r="L17" s="95">
        <f>'Suivi EAU-ELEC'!I22</f>
        <v>631</v>
      </c>
      <c r="M17" s="82">
        <f t="shared" si="4"/>
        <v>3013</v>
      </c>
      <c r="N17" s="58"/>
      <c r="O17" s="59">
        <f t="shared" si="5"/>
        <v>2982.87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17028.419999999998</v>
      </c>
      <c r="Y17" s="149">
        <f t="shared" si="1"/>
        <v>0</v>
      </c>
      <c r="Z17" s="64">
        <f t="shared" si="7"/>
        <v>0</v>
      </c>
      <c r="AA17" s="67"/>
      <c r="AB17" s="61">
        <v>40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4123.17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44021</v>
      </c>
      <c r="C18" s="93"/>
      <c r="D18" s="148">
        <f>'Suivi EAU-ELEC'!C23</f>
        <v>110</v>
      </c>
      <c r="E18" s="96"/>
      <c r="F18" s="208">
        <f t="shared" si="0"/>
        <v>1393.7</v>
      </c>
      <c r="G18" s="209"/>
      <c r="H18" s="210"/>
      <c r="I18" s="143"/>
      <c r="J18" s="94">
        <f>'Suivi EAU-ELEC'!E23</f>
        <v>970</v>
      </c>
      <c r="K18" s="95">
        <f>'Suivi EAU-ELEC'!G23</f>
        <v>1456</v>
      </c>
      <c r="L18" s="95">
        <f>'Suivi EAU-ELEC'!I23</f>
        <v>634</v>
      </c>
      <c r="M18" s="82">
        <f t="shared" si="4"/>
        <v>3060</v>
      </c>
      <c r="N18" s="58"/>
      <c r="O18" s="59">
        <f t="shared" si="5"/>
        <v>3029.3999999999996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17028.419999999998</v>
      </c>
      <c r="Y18" s="149">
        <f t="shared" si="1"/>
        <v>0</v>
      </c>
      <c r="Z18" s="64">
        <f t="shared" si="7"/>
        <v>0</v>
      </c>
      <c r="AA18" s="67"/>
      <c r="AB18" s="61">
        <v>35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4423.0999999999995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44022</v>
      </c>
      <c r="C19" s="93"/>
      <c r="D19" s="148">
        <f>'Suivi EAU-ELEC'!C24</f>
        <v>130</v>
      </c>
      <c r="E19" s="96"/>
      <c r="F19" s="186">
        <f t="shared" si="0"/>
        <v>1647.1</v>
      </c>
      <c r="G19" s="187"/>
      <c r="H19" s="188"/>
      <c r="I19" s="143"/>
      <c r="J19" s="94">
        <f>'Suivi EAU-ELEC'!E24</f>
        <v>955</v>
      </c>
      <c r="K19" s="95">
        <f>'Suivi EAU-ELEC'!G24</f>
        <v>1387</v>
      </c>
      <c r="L19" s="95">
        <f>'Suivi EAU-ELEC'!I24</f>
        <v>584</v>
      </c>
      <c r="M19" s="82">
        <f t="shared" si="4"/>
        <v>2926</v>
      </c>
      <c r="N19" s="58"/>
      <c r="O19" s="59">
        <f t="shared" si="5"/>
        <v>2896.74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17028.419999999998</v>
      </c>
      <c r="Y19" s="149">
        <f t="shared" si="1"/>
        <v>0</v>
      </c>
      <c r="Z19" s="64">
        <f t="shared" si="7"/>
        <v>0</v>
      </c>
      <c r="AA19" s="67"/>
      <c r="AB19" s="61">
        <v>37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4543.84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44023</v>
      </c>
      <c r="C20" s="93"/>
      <c r="D20" s="148">
        <f>'Suivi EAU-ELEC'!C25</f>
        <v>110</v>
      </c>
      <c r="E20" s="96"/>
      <c r="F20" s="205">
        <f t="shared" si="0"/>
        <v>1393.7</v>
      </c>
      <c r="G20" s="206"/>
      <c r="H20" s="207"/>
      <c r="I20" s="143"/>
      <c r="J20" s="94">
        <f>'Suivi EAU-ELEC'!E25</f>
        <v>804</v>
      </c>
      <c r="K20" s="95">
        <f>'Suivi EAU-ELEC'!G25</f>
        <v>1366</v>
      </c>
      <c r="L20" s="95">
        <f>'Suivi EAU-ELEC'!I25</f>
        <v>540</v>
      </c>
      <c r="M20" s="82">
        <f t="shared" si="4"/>
        <v>2710</v>
      </c>
      <c r="N20" s="58"/>
      <c r="O20" s="59">
        <f t="shared" si="5"/>
        <v>2682.9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17028.419999999998</v>
      </c>
      <c r="Y20" s="149">
        <f t="shared" si="1"/>
        <v>0</v>
      </c>
      <c r="Z20" s="64">
        <f t="shared" si="7"/>
        <v>0</v>
      </c>
      <c r="AA20" s="67">
        <v>14</v>
      </c>
      <c r="AB20" s="61">
        <v>42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4076.6000000000004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44024</v>
      </c>
      <c r="C21" s="93"/>
      <c r="D21" s="148">
        <f>'Suivi EAU-ELEC'!C26</f>
        <v>100</v>
      </c>
      <c r="E21" s="96"/>
      <c r="F21" s="186">
        <f t="shared" si="0"/>
        <v>1267</v>
      </c>
      <c r="G21" s="187"/>
      <c r="H21" s="188"/>
      <c r="I21" s="143"/>
      <c r="J21" s="94">
        <f>'Suivi EAU-ELEC'!E26</f>
        <v>912</v>
      </c>
      <c r="K21" s="95">
        <f>'Suivi EAU-ELEC'!G26</f>
        <v>1366</v>
      </c>
      <c r="L21" s="95">
        <f>'Suivi EAU-ELEC'!I26</f>
        <v>601</v>
      </c>
      <c r="M21" s="82">
        <f t="shared" si="4"/>
        <v>2879</v>
      </c>
      <c r="N21" s="58"/>
      <c r="O21" s="59">
        <f t="shared" si="5"/>
        <v>2850.21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17028.419999999998</v>
      </c>
      <c r="Y21" s="149">
        <f t="shared" si="1"/>
        <v>0</v>
      </c>
      <c r="Z21" s="64">
        <f t="shared" si="7"/>
        <v>0</v>
      </c>
      <c r="AA21" s="67">
        <v>14</v>
      </c>
      <c r="AB21" s="61">
        <v>40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4117.21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44025</v>
      </c>
      <c r="C22" s="93"/>
      <c r="D22" s="148">
        <f>'Suivi EAU-ELEC'!C27</f>
        <v>100</v>
      </c>
      <c r="E22" s="96"/>
      <c r="F22" s="208">
        <f t="shared" si="0"/>
        <v>1267</v>
      </c>
      <c r="G22" s="209"/>
      <c r="H22" s="210"/>
      <c r="I22" s="143"/>
      <c r="J22" s="94">
        <f>'Suivi EAU-ELEC'!E27</f>
        <v>905</v>
      </c>
      <c r="K22" s="95">
        <f>'Suivi EAU-ELEC'!G27</f>
        <v>1497</v>
      </c>
      <c r="L22" s="95">
        <f>'Suivi EAU-ELEC'!I27</f>
        <v>616</v>
      </c>
      <c r="M22" s="82">
        <f t="shared" si="4"/>
        <v>3018</v>
      </c>
      <c r="N22" s="58"/>
      <c r="O22" s="59">
        <f t="shared" si="5"/>
        <v>2987.82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17028.419999999998</v>
      </c>
      <c r="Y22" s="149">
        <f t="shared" si="1"/>
        <v>0</v>
      </c>
      <c r="Z22" s="64">
        <f t="shared" si="7"/>
        <v>0</v>
      </c>
      <c r="AA22" s="58"/>
      <c r="AB22" s="61">
        <v>42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4254.82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44026</v>
      </c>
      <c r="C23" s="93"/>
      <c r="D23" s="148">
        <f>'Suivi EAU-ELEC'!C28</f>
        <v>100</v>
      </c>
      <c r="E23" s="96"/>
      <c r="F23" s="186">
        <f t="shared" si="0"/>
        <v>1267</v>
      </c>
      <c r="G23" s="187"/>
      <c r="H23" s="188"/>
      <c r="I23" s="143"/>
      <c r="J23" s="94">
        <f>'Suivi EAU-ELEC'!E28</f>
        <v>894</v>
      </c>
      <c r="K23" s="95">
        <f>'Suivi EAU-ELEC'!G28</f>
        <v>1500</v>
      </c>
      <c r="L23" s="95">
        <f>'Suivi EAU-ELEC'!I28</f>
        <v>610</v>
      </c>
      <c r="M23" s="82">
        <f t="shared" si="4"/>
        <v>3004</v>
      </c>
      <c r="N23" s="58"/>
      <c r="O23" s="59">
        <f t="shared" si="5"/>
        <v>2973.96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17028.419999999998</v>
      </c>
      <c r="Y23" s="149">
        <f t="shared" si="1"/>
        <v>0</v>
      </c>
      <c r="Z23" s="64">
        <f t="shared" si="7"/>
        <v>0</v>
      </c>
      <c r="AA23" s="58"/>
      <c r="AB23" s="61">
        <v>42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4240.96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44027</v>
      </c>
      <c r="C24" s="93"/>
      <c r="D24" s="148">
        <f>'Suivi EAU-ELEC'!C29</f>
        <v>100</v>
      </c>
      <c r="E24" s="96"/>
      <c r="F24" s="186">
        <f t="shared" si="0"/>
        <v>1267</v>
      </c>
      <c r="G24" s="187"/>
      <c r="H24" s="188"/>
      <c r="I24" s="143"/>
      <c r="J24" s="94">
        <f>'Suivi EAU-ELEC'!E29</f>
        <v>933</v>
      </c>
      <c r="K24" s="95">
        <f>'Suivi EAU-ELEC'!G29</f>
        <v>1482</v>
      </c>
      <c r="L24" s="95">
        <f>'Suivi EAU-ELEC'!I29</f>
        <v>639</v>
      </c>
      <c r="M24" s="82">
        <f t="shared" si="4"/>
        <v>3054</v>
      </c>
      <c r="N24" s="58"/>
      <c r="O24" s="59">
        <f t="shared" si="5"/>
        <v>3023.46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17028.419999999998</v>
      </c>
      <c r="Y24" s="149">
        <f t="shared" si="1"/>
        <v>0</v>
      </c>
      <c r="Z24" s="64">
        <f t="shared" si="7"/>
        <v>0</v>
      </c>
      <c r="AA24" s="58"/>
      <c r="AB24" s="61">
        <v>44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4290.46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44028</v>
      </c>
      <c r="C25" s="93"/>
      <c r="D25" s="148">
        <f>'Suivi EAU-ELEC'!C30</f>
        <v>90</v>
      </c>
      <c r="E25" s="96"/>
      <c r="F25" s="186">
        <f t="shared" si="0"/>
        <v>1140.3</v>
      </c>
      <c r="G25" s="187"/>
      <c r="H25" s="188"/>
      <c r="I25" s="143"/>
      <c r="J25" s="94">
        <f>'Suivi EAU-ELEC'!E30</f>
        <v>1007</v>
      </c>
      <c r="K25" s="95">
        <f>'Suivi EAU-ELEC'!G30</f>
        <v>1480</v>
      </c>
      <c r="L25" s="95">
        <f>'Suivi EAU-ELEC'!I30</f>
        <v>618</v>
      </c>
      <c r="M25" s="82">
        <f t="shared" si="4"/>
        <v>3105</v>
      </c>
      <c r="N25" s="58"/>
      <c r="O25" s="59">
        <f t="shared" si="5"/>
        <v>3073.9500000000003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17028.419999999998</v>
      </c>
      <c r="Y25" s="149">
        <f t="shared" si="1"/>
        <v>0</v>
      </c>
      <c r="Z25" s="64">
        <f t="shared" si="7"/>
        <v>0</v>
      </c>
      <c r="AA25" s="58"/>
      <c r="AB25" s="61">
        <v>42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4214.25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44029</v>
      </c>
      <c r="C26" s="93"/>
      <c r="D26" s="148">
        <f>'Suivi EAU-ELEC'!C31</f>
        <v>90</v>
      </c>
      <c r="E26" s="151"/>
      <c r="F26" s="186">
        <f t="shared" si="0"/>
        <v>1140.3</v>
      </c>
      <c r="G26" s="187"/>
      <c r="H26" s="188"/>
      <c r="I26" s="143"/>
      <c r="J26" s="94">
        <f>'Suivi EAU-ELEC'!E31</f>
        <v>954</v>
      </c>
      <c r="K26" s="95">
        <f>'Suivi EAU-ELEC'!G31</f>
        <v>1522</v>
      </c>
      <c r="L26" s="95">
        <f>'Suivi EAU-ELEC'!I31</f>
        <v>615</v>
      </c>
      <c r="M26" s="82">
        <f t="shared" si="4"/>
        <v>3091</v>
      </c>
      <c r="N26" s="58"/>
      <c r="O26" s="59">
        <f t="shared" si="5"/>
        <v>3060.0899999999997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17028.419999999998</v>
      </c>
      <c r="Y26" s="149">
        <f t="shared" si="1"/>
        <v>0</v>
      </c>
      <c r="Z26" s="64">
        <f t="shared" si="7"/>
        <v>0</v>
      </c>
      <c r="AA26" s="85"/>
      <c r="AB26" s="61">
        <v>41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4200.3899999999994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44030</v>
      </c>
      <c r="C27" s="93"/>
      <c r="D27" s="148">
        <f>'Suivi EAU-ELEC'!C32</f>
        <v>80</v>
      </c>
      <c r="E27" s="151"/>
      <c r="F27" s="186">
        <f t="shared" si="0"/>
        <v>1013.6</v>
      </c>
      <c r="G27" s="187"/>
      <c r="H27" s="188"/>
      <c r="I27" s="143"/>
      <c r="J27" s="94">
        <f>'Suivi EAU-ELEC'!E32</f>
        <v>948</v>
      </c>
      <c r="K27" s="95">
        <f>'Suivi EAU-ELEC'!G32</f>
        <v>1409</v>
      </c>
      <c r="L27" s="95">
        <f>'Suivi EAU-ELEC'!I32</f>
        <v>581</v>
      </c>
      <c r="M27" s="82">
        <f t="shared" si="4"/>
        <v>2938</v>
      </c>
      <c r="N27" s="58"/>
      <c r="O27" s="59">
        <f t="shared" si="5"/>
        <v>2908.6200000000003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17028.419999999998</v>
      </c>
      <c r="Y27" s="149">
        <f t="shared" si="1"/>
        <v>0</v>
      </c>
      <c r="Z27" s="64">
        <f t="shared" si="7"/>
        <v>0</v>
      </c>
      <c r="AA27" s="85"/>
      <c r="AB27" s="61">
        <v>40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3922.2200000000003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44031</v>
      </c>
      <c r="C28" s="93"/>
      <c r="D28" s="148">
        <f>'Suivi EAU-ELEC'!C33</f>
        <v>80</v>
      </c>
      <c r="E28" s="151"/>
      <c r="F28" s="205">
        <f t="shared" si="0"/>
        <v>1013.6</v>
      </c>
      <c r="G28" s="206"/>
      <c r="H28" s="207"/>
      <c r="I28" s="144"/>
      <c r="J28" s="94">
        <f>'Suivi EAU-ELEC'!E33</f>
        <v>936</v>
      </c>
      <c r="K28" s="95">
        <f>'Suivi EAU-ELEC'!G33</f>
        <v>1364</v>
      </c>
      <c r="L28" s="95">
        <f>'Suivi EAU-ELEC'!I33</f>
        <v>587</v>
      </c>
      <c r="M28" s="82">
        <f t="shared" si="4"/>
        <v>2887</v>
      </c>
      <c r="N28" s="58"/>
      <c r="O28" s="59">
        <f t="shared" si="5"/>
        <v>2858.13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17028.419999999998</v>
      </c>
      <c r="Y28" s="149">
        <f t="shared" si="1"/>
        <v>0</v>
      </c>
      <c r="Z28" s="64">
        <f t="shared" si="7"/>
        <v>0</v>
      </c>
      <c r="AA28" s="85"/>
      <c r="AB28" s="61">
        <v>38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3871.73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44032</v>
      </c>
      <c r="C29" s="93"/>
      <c r="D29" s="148">
        <f>'Suivi EAU-ELEC'!C34</f>
        <v>90</v>
      </c>
      <c r="E29" s="151"/>
      <c r="F29" s="186">
        <f t="shared" si="0"/>
        <v>1140.3</v>
      </c>
      <c r="G29" s="187"/>
      <c r="H29" s="188"/>
      <c r="I29" s="144"/>
      <c r="J29" s="94">
        <f>'Suivi EAU-ELEC'!E34</f>
        <v>983</v>
      </c>
      <c r="K29" s="95">
        <f>'Suivi EAU-ELEC'!G34</f>
        <v>1449</v>
      </c>
      <c r="L29" s="95">
        <f>'Suivi EAU-ELEC'!I34</f>
        <v>624</v>
      </c>
      <c r="M29" s="82">
        <f t="shared" si="4"/>
        <v>3056</v>
      </c>
      <c r="N29" s="58"/>
      <c r="O29" s="59">
        <f t="shared" si="5"/>
        <v>3025.4399999999996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17028.419999999998</v>
      </c>
      <c r="Y29" s="149">
        <f t="shared" si="1"/>
        <v>0</v>
      </c>
      <c r="Z29" s="64">
        <f t="shared" si="7"/>
        <v>0</v>
      </c>
      <c r="AA29" s="85"/>
      <c r="AB29" s="61">
        <v>37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4165.74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44033</v>
      </c>
      <c r="C30" s="98"/>
      <c r="D30" s="148">
        <f>'Suivi EAU-ELEC'!C35</f>
        <v>90</v>
      </c>
      <c r="E30" s="151"/>
      <c r="F30" s="205">
        <f t="shared" si="0"/>
        <v>1140.3</v>
      </c>
      <c r="G30" s="206"/>
      <c r="H30" s="207"/>
      <c r="I30" s="144"/>
      <c r="J30" s="94">
        <f>'Suivi EAU-ELEC'!E35</f>
        <v>904</v>
      </c>
      <c r="K30" s="95">
        <f>'Suivi EAU-ELEC'!G35</f>
        <v>1559</v>
      </c>
      <c r="L30" s="95">
        <f>'Suivi EAU-ELEC'!I35</f>
        <v>613</v>
      </c>
      <c r="M30" s="82">
        <f t="shared" si="4"/>
        <v>3076</v>
      </c>
      <c r="N30" s="58"/>
      <c r="O30" s="59">
        <f t="shared" si="5"/>
        <v>3045.24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17028.419999999998</v>
      </c>
      <c r="Y30" s="149">
        <f t="shared" si="1"/>
        <v>0.17000000000189175</v>
      </c>
      <c r="Z30" s="64">
        <f t="shared" si="7"/>
        <v>90.100000001002627</v>
      </c>
      <c r="AA30" s="85"/>
      <c r="AB30" s="61">
        <v>36</v>
      </c>
      <c r="AC30" s="78">
        <v>0</v>
      </c>
      <c r="AD30" s="79">
        <v>0</v>
      </c>
      <c r="AE30" s="83" t="s">
        <v>69</v>
      </c>
      <c r="AF30" s="83" t="s">
        <v>69</v>
      </c>
      <c r="AG30" s="80" t="s">
        <v>69</v>
      </c>
      <c r="AH30" s="81" t="s">
        <v>69</v>
      </c>
      <c r="AI30" s="44"/>
      <c r="AJ30" s="130">
        <f t="shared" si="2"/>
        <v>4275.6400000010026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44034</v>
      </c>
      <c r="C31" s="93"/>
      <c r="D31" s="148">
        <f>'Suivi EAU-ELEC'!C36</f>
        <v>100</v>
      </c>
      <c r="E31" s="96"/>
      <c r="F31" s="186">
        <f t="shared" si="0"/>
        <v>1267</v>
      </c>
      <c r="G31" s="187"/>
      <c r="H31" s="188"/>
      <c r="I31" s="145"/>
      <c r="J31" s="94">
        <f>'Suivi EAU-ELEC'!E36</f>
        <v>943</v>
      </c>
      <c r="K31" s="95">
        <f>'Suivi EAU-ELEC'!G36</f>
        <v>1466</v>
      </c>
      <c r="L31" s="95">
        <f>'Suivi EAU-ELEC'!I36</f>
        <v>606</v>
      </c>
      <c r="M31" s="82">
        <f t="shared" si="4"/>
        <v>3015</v>
      </c>
      <c r="N31" s="58"/>
      <c r="O31" s="59">
        <f t="shared" si="5"/>
        <v>2984.85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17028.59</v>
      </c>
      <c r="Y31" s="149">
        <f>IF(X33&lt;X31,0,X33-X31)</f>
        <v>0</v>
      </c>
      <c r="Z31" s="64">
        <f t="shared" si="7"/>
        <v>0</v>
      </c>
      <c r="AA31" s="58"/>
      <c r="AB31" s="61">
        <v>36</v>
      </c>
      <c r="AC31" s="78">
        <v>0</v>
      </c>
      <c r="AD31" s="79">
        <v>0</v>
      </c>
      <c r="AE31" s="83" t="s">
        <v>69</v>
      </c>
      <c r="AF31" s="83" t="s">
        <v>69</v>
      </c>
      <c r="AG31" s="80" t="s">
        <v>69</v>
      </c>
      <c r="AH31" s="81" t="s">
        <v>69</v>
      </c>
      <c r="AI31" s="44"/>
      <c r="AJ31" s="130">
        <f t="shared" si="2"/>
        <v>4251.8500000000004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44035</v>
      </c>
      <c r="C32" s="93"/>
      <c r="D32" s="148">
        <f>'Suivi EAU-ELEC'!C37</f>
        <v>130</v>
      </c>
      <c r="E32" s="96"/>
      <c r="F32" s="186">
        <f t="shared" si="0"/>
        <v>1647.1</v>
      </c>
      <c r="G32" s="187"/>
      <c r="H32" s="188"/>
      <c r="I32" s="142"/>
      <c r="J32" s="94">
        <f>'Suivi EAU-ELEC'!E37</f>
        <v>920</v>
      </c>
      <c r="K32" s="95">
        <f>'Suivi EAU-ELEC'!G37</f>
        <v>1416</v>
      </c>
      <c r="L32" s="95">
        <f>'Suivi EAU-ELEC'!I37</f>
        <v>579</v>
      </c>
      <c r="M32" s="82">
        <f t="shared" si="4"/>
        <v>2915</v>
      </c>
      <c r="N32" s="58"/>
      <c r="O32" s="59">
        <f t="shared" si="5"/>
        <v>2885.85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17028.59</v>
      </c>
      <c r="Y32" s="149">
        <f t="shared" ref="Y32:Y33" si="9">IF(X34&lt;X32,0,X34-X32)</f>
        <v>0</v>
      </c>
      <c r="Z32" s="64">
        <f t="shared" si="7"/>
        <v>0</v>
      </c>
      <c r="AA32" s="58"/>
      <c r="AB32" s="61">
        <v>37</v>
      </c>
      <c r="AC32" s="78">
        <v>0</v>
      </c>
      <c r="AD32" s="79">
        <v>0</v>
      </c>
      <c r="AE32" s="83" t="s">
        <v>69</v>
      </c>
      <c r="AF32" s="83" t="s">
        <v>69</v>
      </c>
      <c r="AG32" s="80" t="s">
        <v>69</v>
      </c>
      <c r="AH32" s="81" t="s">
        <v>69</v>
      </c>
      <c r="AI32" s="44"/>
      <c r="AJ32" s="130">
        <f t="shared" si="2"/>
        <v>4532.95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44036</v>
      </c>
      <c r="C33" s="93"/>
      <c r="D33" s="148">
        <f>'Suivi EAU-ELEC'!C38</f>
        <v>100</v>
      </c>
      <c r="E33" s="96"/>
      <c r="F33" s="186">
        <f t="shared" si="0"/>
        <v>1267</v>
      </c>
      <c r="G33" s="187"/>
      <c r="H33" s="188"/>
      <c r="I33" s="143"/>
      <c r="J33" s="94">
        <f>'Suivi EAU-ELEC'!E38</f>
        <v>938</v>
      </c>
      <c r="K33" s="95">
        <f>'Suivi EAU-ELEC'!G38</f>
        <v>1504</v>
      </c>
      <c r="L33" s="95">
        <f>'Suivi EAU-ELEC'!I38</f>
        <v>606</v>
      </c>
      <c r="M33" s="82">
        <f t="shared" si="4"/>
        <v>3048</v>
      </c>
      <c r="N33" s="58"/>
      <c r="O33" s="59">
        <f t="shared" si="5"/>
        <v>3017.52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>
        <v>17028.59</v>
      </c>
      <c r="Y33" s="149">
        <f t="shared" si="9"/>
        <v>0</v>
      </c>
      <c r="Z33" s="64">
        <f t="shared" si="7"/>
        <v>0</v>
      </c>
      <c r="AA33" s="58"/>
      <c r="AB33" s="61">
        <v>36</v>
      </c>
      <c r="AC33" s="78">
        <v>0</v>
      </c>
      <c r="AD33" s="79">
        <v>0</v>
      </c>
      <c r="AE33" s="83" t="s">
        <v>69</v>
      </c>
      <c r="AF33" s="83" t="s">
        <v>69</v>
      </c>
      <c r="AG33" s="80" t="s">
        <v>69</v>
      </c>
      <c r="AH33" s="81" t="s">
        <v>69</v>
      </c>
      <c r="AI33" s="44"/>
      <c r="AJ33" s="130">
        <f t="shared" si="2"/>
        <v>4284.5200000000004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44037</v>
      </c>
      <c r="C34" s="93"/>
      <c r="D34" s="148">
        <f>'Suivi EAU-ELEC'!C39</f>
        <v>70</v>
      </c>
      <c r="E34" s="96"/>
      <c r="F34" s="186">
        <f t="shared" si="0"/>
        <v>886.9</v>
      </c>
      <c r="G34" s="187"/>
      <c r="H34" s="188"/>
      <c r="I34" s="143"/>
      <c r="J34" s="94">
        <f>'Suivi EAU-ELEC'!E39</f>
        <v>932</v>
      </c>
      <c r="K34" s="95">
        <f>'Suivi EAU-ELEC'!G39</f>
        <v>1411</v>
      </c>
      <c r="L34" s="95">
        <f>'Suivi EAU-ELEC'!I39</f>
        <v>600</v>
      </c>
      <c r="M34" s="82">
        <f t="shared" si="4"/>
        <v>2943</v>
      </c>
      <c r="N34" s="58"/>
      <c r="O34" s="59">
        <f t="shared" si="5"/>
        <v>2913.57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>
        <v>17028.59</v>
      </c>
      <c r="Y34" s="149">
        <f t="shared" si="1"/>
        <v>0</v>
      </c>
      <c r="Z34" s="64">
        <f t="shared" si="7"/>
        <v>0</v>
      </c>
      <c r="AA34" s="58"/>
      <c r="AB34" s="61">
        <v>35</v>
      </c>
      <c r="AC34" s="78">
        <v>0</v>
      </c>
      <c r="AD34" s="79">
        <v>0</v>
      </c>
      <c r="AE34" s="83" t="s">
        <v>69</v>
      </c>
      <c r="AF34" s="83" t="s">
        <v>69</v>
      </c>
      <c r="AG34" s="80" t="s">
        <v>69</v>
      </c>
      <c r="AH34" s="81" t="s">
        <v>69</v>
      </c>
      <c r="AI34" s="44"/>
      <c r="AJ34" s="130">
        <f t="shared" si="2"/>
        <v>3800.4700000000003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44038</v>
      </c>
      <c r="C35" s="93"/>
      <c r="D35" s="148">
        <f>'Suivi EAU-ELEC'!C40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>
        <v>17028.59</v>
      </c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44039</v>
      </c>
      <c r="C36" s="93"/>
      <c r="D36" s="148">
        <f>'Suivi EAU-ELEC'!C41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44040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44041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44042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44043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28507.499999999996</v>
      </c>
      <c r="G41" s="218"/>
      <c r="H41" s="219"/>
      <c r="I41" s="102"/>
      <c r="J41" s="104">
        <f>SUM(J10:J40)</f>
        <v>23452</v>
      </c>
      <c r="K41" s="104">
        <f>SUM(K10:K40)</f>
        <v>35866</v>
      </c>
      <c r="L41" s="104">
        <f>SUM(L10:L40)</f>
        <v>15177</v>
      </c>
      <c r="M41" s="104">
        <f>SUM(M10:M40)</f>
        <v>74495</v>
      </c>
      <c r="N41" s="103"/>
      <c r="O41" s="104">
        <f>SUM(O10:O40)</f>
        <v>73750.05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0.17000000000189175</v>
      </c>
      <c r="Z41" s="104">
        <f>SUM(Z10:Z40)</f>
        <v>90.100000001002627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102347.65000000101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23452</v>
      </c>
      <c r="H43" s="228"/>
      <c r="I43" s="229"/>
      <c r="J43" s="230">
        <f>G43*F43</f>
        <v>15219.1754</v>
      </c>
      <c r="K43" s="231"/>
      <c r="L43" s="232">
        <f>J43+J44+J45</f>
        <v>65845.650379999992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35866</v>
      </c>
      <c r="H44" s="228"/>
      <c r="I44" s="229"/>
      <c r="J44" s="230">
        <f>G44*F44</f>
        <v>31779.069299999999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15177</v>
      </c>
      <c r="H45" s="242"/>
      <c r="I45" s="243"/>
      <c r="J45" s="230">
        <f>G45*F45</f>
        <v>18847.40568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0</v>
      </c>
      <c r="H47" s="257"/>
      <c r="I47" s="258"/>
      <c r="J47" s="256">
        <f>G47*F47</f>
        <v>0</v>
      </c>
      <c r="K47" s="258"/>
      <c r="L47" s="259">
        <f>J47</f>
        <v>0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B35" sqref="B35:H35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44007</v>
      </c>
      <c r="B4" s="20">
        <v>76</v>
      </c>
      <c r="C4" s="18">
        <f t="shared" ref="C4:C15" si="0">IF(AC4&gt;0,((B4-R4)+(S4-B5)),IF(B5=0, ,(B4-B5)))</f>
        <v>0</v>
      </c>
      <c r="D4" s="20">
        <v>77</v>
      </c>
      <c r="E4" s="18">
        <f t="shared" ref="E4:E15" si="1">IF(AC4&gt;0,((D4-U4)+(V4-D5)),IF(D5=0, ,(D4-D5)))</f>
        <v>0</v>
      </c>
      <c r="F4" s="20">
        <v>72</v>
      </c>
      <c r="G4" s="18">
        <f t="shared" ref="G4:G15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44008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44009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44010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300</v>
      </c>
      <c r="K7" s="18">
        <f t="shared" si="5"/>
        <v>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44011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300</v>
      </c>
      <c r="K8" s="18">
        <f t="shared" si="5"/>
        <v>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44012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300</v>
      </c>
      <c r="K9" s="18">
        <f t="shared" si="5"/>
        <v>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44013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300</v>
      </c>
      <c r="K10" s="18">
        <f t="shared" si="5"/>
        <v>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44014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300</v>
      </c>
      <c r="K11" s="18">
        <f t="shared" si="5"/>
        <v>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44015</v>
      </c>
      <c r="B12" s="20">
        <v>76</v>
      </c>
      <c r="C12" s="18">
        <f t="shared" si="0"/>
        <v>0</v>
      </c>
      <c r="D12" s="20">
        <v>77</v>
      </c>
      <c r="E12" s="18">
        <f t="shared" si="1"/>
        <v>0</v>
      </c>
      <c r="F12" s="20">
        <v>72</v>
      </c>
      <c r="G12" s="18">
        <f t="shared" si="2"/>
        <v>0</v>
      </c>
      <c r="H12" s="20">
        <v>75</v>
      </c>
      <c r="I12" s="18">
        <f t="shared" si="3"/>
        <v>0</v>
      </c>
      <c r="J12" s="18">
        <f t="shared" ref="J12:J42" si="16">B12+D12+F12+H12</f>
        <v>300</v>
      </c>
      <c r="K12" s="18">
        <f t="shared" ref="K12:K42" si="17">J12/4</f>
        <v>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18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44016</v>
      </c>
      <c r="B13" s="20">
        <v>76</v>
      </c>
      <c r="C13" s="18">
        <f t="shared" si="0"/>
        <v>0</v>
      </c>
      <c r="D13" s="20">
        <v>77</v>
      </c>
      <c r="E13" s="18">
        <f t="shared" si="1"/>
        <v>0</v>
      </c>
      <c r="F13" s="20">
        <v>72</v>
      </c>
      <c r="G13" s="18">
        <f t="shared" si="2"/>
        <v>0</v>
      </c>
      <c r="H13" s="20">
        <v>75</v>
      </c>
      <c r="I13" s="18">
        <f t="shared" si="3"/>
        <v>0</v>
      </c>
      <c r="J13" s="18">
        <f t="shared" si="16"/>
        <v>300</v>
      </c>
      <c r="K13" s="18">
        <f t="shared" si="17"/>
        <v>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8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44017</v>
      </c>
      <c r="B14" s="20">
        <v>76</v>
      </c>
      <c r="C14" s="18">
        <f t="shared" si="0"/>
        <v>0</v>
      </c>
      <c r="D14" s="20">
        <v>77</v>
      </c>
      <c r="E14" s="18">
        <f t="shared" si="1"/>
        <v>0</v>
      </c>
      <c r="F14" s="20">
        <v>72</v>
      </c>
      <c r="G14" s="18">
        <f t="shared" si="2"/>
        <v>0</v>
      </c>
      <c r="H14" s="20">
        <v>75</v>
      </c>
      <c r="I14" s="18">
        <f t="shared" si="3"/>
        <v>0</v>
      </c>
      <c r="J14" s="18">
        <f t="shared" si="16"/>
        <v>300</v>
      </c>
      <c r="K14" s="18">
        <f t="shared" si="17"/>
        <v>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8"/>
        <v>0</v>
      </c>
      <c r="AD14" s="49">
        <f t="shared" ref="AD14:AD42" si="19">(R14+U14+X14+AA14)/4</f>
        <v>0</v>
      </c>
      <c r="AE14" s="49">
        <f t="shared" ref="AE14:AE42" si="20">(S14+V14+Y14+AB14)/4</f>
        <v>0</v>
      </c>
    </row>
    <row r="15" spans="1:31" ht="32.25" customHeight="1" x14ac:dyDescent="0.3">
      <c r="A15" s="19">
        <f t="shared" si="13"/>
        <v>44018</v>
      </c>
      <c r="B15" s="20">
        <v>76</v>
      </c>
      <c r="C15" s="18">
        <f t="shared" si="0"/>
        <v>0</v>
      </c>
      <c r="D15" s="20">
        <v>77</v>
      </c>
      <c r="E15" s="18">
        <f t="shared" si="1"/>
        <v>0</v>
      </c>
      <c r="F15" s="20">
        <v>72</v>
      </c>
      <c r="G15" s="18">
        <f t="shared" si="2"/>
        <v>0</v>
      </c>
      <c r="H15" s="20">
        <v>75</v>
      </c>
      <c r="I15" s="18">
        <f t="shared" si="3"/>
        <v>0</v>
      </c>
      <c r="J15" s="18">
        <f t="shared" si="16"/>
        <v>300</v>
      </c>
      <c r="K15" s="18">
        <f t="shared" si="17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8"/>
        <v>0</v>
      </c>
      <c r="AD15" s="49">
        <f t="shared" si="19"/>
        <v>0</v>
      </c>
      <c r="AE15" s="49">
        <f t="shared" si="20"/>
        <v>0</v>
      </c>
    </row>
    <row r="16" spans="1:31" ht="32.25" customHeight="1" x14ac:dyDescent="0.3">
      <c r="A16" s="19">
        <f t="shared" si="13"/>
        <v>44019</v>
      </c>
      <c r="B16" s="20">
        <v>76</v>
      </c>
      <c r="C16" s="18">
        <f t="shared" ref="C16" si="21">IF(AC16&gt;0,((B16-R16)+(S16-B17)),IF(B17=0, ,(B16-B17)))</f>
        <v>0</v>
      </c>
      <c r="D16" s="20">
        <v>77</v>
      </c>
      <c r="E16" s="18">
        <f t="shared" ref="E16" si="22">IF(AC16&gt;0,((D16-U16)+(V16-D17)),IF(D17=0, ,(D16-D17)))</f>
        <v>0</v>
      </c>
      <c r="F16" s="20">
        <v>72</v>
      </c>
      <c r="G16" s="18">
        <f t="shared" ref="G16" si="23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6"/>
        <v>300</v>
      </c>
      <c r="K16" s="18">
        <f t="shared" si="17"/>
        <v>75</v>
      </c>
      <c r="L16" s="18">
        <f t="shared" si="6"/>
        <v>0</v>
      </c>
      <c r="M16" s="18">
        <f t="shared" si="7"/>
        <v>28000</v>
      </c>
      <c r="N16" s="18">
        <f t="shared" ref="N16:N42" si="24">L16*M16/100</f>
        <v>0</v>
      </c>
      <c r="O16" s="18">
        <f t="shared" ref="O16:O42" si="25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8"/>
        <v>0</v>
      </c>
      <c r="AD16" s="49">
        <f t="shared" si="19"/>
        <v>0</v>
      </c>
      <c r="AE16" s="49">
        <f t="shared" si="20"/>
        <v>0</v>
      </c>
    </row>
    <row r="17" spans="1:31" ht="32.25" customHeight="1" x14ac:dyDescent="0.3">
      <c r="A17" s="19">
        <f t="shared" si="13"/>
        <v>44020</v>
      </c>
      <c r="B17" s="20">
        <v>76</v>
      </c>
      <c r="C17" s="18">
        <f t="shared" ref="C17" si="26">IF(AC17&gt;0,((B17-R17)+(S17-B18)),IF(B18=0, ,(B17-B18)))</f>
        <v>0</v>
      </c>
      <c r="D17" s="20">
        <v>77</v>
      </c>
      <c r="E17" s="18">
        <f t="shared" ref="E17" si="27">IF(AC17&gt;0,((D17-U17)+(V17-D18)),IF(D18=0, ,(D17-D18)))</f>
        <v>0</v>
      </c>
      <c r="F17" s="20">
        <v>72</v>
      </c>
      <c r="G17" s="18">
        <f t="shared" ref="G17" si="28">IF(AC17&gt;0,((F17-X17)+(Y17-F18)),IF(F18=0, ,(F17-F18)))</f>
        <v>0</v>
      </c>
      <c r="H17" s="20">
        <v>75</v>
      </c>
      <c r="I17" s="18">
        <f t="shared" si="3"/>
        <v>0</v>
      </c>
      <c r="J17" s="18">
        <f t="shared" si="16"/>
        <v>300</v>
      </c>
      <c r="K17" s="18">
        <f t="shared" si="17"/>
        <v>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4"/>
        <v>0</v>
      </c>
      <c r="O17" s="18">
        <f t="shared" si="25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8"/>
        <v>0</v>
      </c>
      <c r="AD17" s="49">
        <f t="shared" si="19"/>
        <v>0</v>
      </c>
      <c r="AE17" s="49">
        <f t="shared" si="20"/>
        <v>0</v>
      </c>
    </row>
    <row r="18" spans="1:31" ht="32.25" customHeight="1" x14ac:dyDescent="0.3">
      <c r="A18" s="19">
        <f t="shared" si="13"/>
        <v>44021</v>
      </c>
      <c r="B18" s="20">
        <v>76</v>
      </c>
      <c r="C18" s="18">
        <f t="shared" ref="C18" si="30">IF(AC18&gt;0,((B18-R18)+(S18-B19)),IF(B19=0, ,(B18-B19)))</f>
        <v>0</v>
      </c>
      <c r="D18" s="20">
        <v>77</v>
      </c>
      <c r="E18" s="18">
        <f t="shared" ref="E18" si="31">IF(AC18&gt;0,((D18-U18)+(V18-D19)),IF(D19=0, ,(D18-D19)))</f>
        <v>0</v>
      </c>
      <c r="F18" s="20">
        <v>72</v>
      </c>
      <c r="G18" s="18">
        <f t="shared" ref="G18" si="32">IF(AC18&gt;0,((F18-X18)+(Y18-F19)),IF(F19=0, ,(F18-F19)))</f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6"/>
        <v>300</v>
      </c>
      <c r="K18" s="18">
        <f t="shared" si="17"/>
        <v>75</v>
      </c>
      <c r="L18" s="18">
        <f t="shared" si="29"/>
        <v>0</v>
      </c>
      <c r="M18" s="18">
        <f t="shared" si="7"/>
        <v>28000</v>
      </c>
      <c r="N18" s="18">
        <f t="shared" si="24"/>
        <v>0</v>
      </c>
      <c r="O18" s="18">
        <f t="shared" si="25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8"/>
        <v>0</v>
      </c>
      <c r="AD18" s="49">
        <f t="shared" si="19"/>
        <v>0</v>
      </c>
      <c r="AE18" s="49">
        <f t="shared" si="20"/>
        <v>0</v>
      </c>
    </row>
    <row r="19" spans="1:31" ht="32.25" customHeight="1" x14ac:dyDescent="0.3">
      <c r="A19" s="19">
        <f t="shared" si="13"/>
        <v>44022</v>
      </c>
      <c r="B19" s="20">
        <v>76</v>
      </c>
      <c r="C19" s="18">
        <f t="shared" ref="C19:C31" si="34">IF(AC19&gt;0,((B19-R19)+(S19-B20)),IF(B20=0, ,(B19-B20)))</f>
        <v>0</v>
      </c>
      <c r="D19" s="20">
        <v>77</v>
      </c>
      <c r="E19" s="18">
        <f t="shared" ref="E19:E31" si="35">IF(AC19&gt;0,((D19-U19)+(V19-D20)),IF(D20=0, ,(D19-D20)))</f>
        <v>0</v>
      </c>
      <c r="F19" s="20">
        <v>72</v>
      </c>
      <c r="G19" s="18">
        <f t="shared" ref="G19:G31" si="36">IF(AC19&gt;0,((F19-X19)+(Y19-F20)),IF(F20=0, ,(F19-F20)))</f>
        <v>0</v>
      </c>
      <c r="H19" s="20">
        <v>75</v>
      </c>
      <c r="I19" s="18">
        <f t="shared" si="33"/>
        <v>0</v>
      </c>
      <c r="J19" s="18">
        <f t="shared" si="16"/>
        <v>300</v>
      </c>
      <c r="K19" s="18">
        <f t="shared" si="17"/>
        <v>75</v>
      </c>
      <c r="L19" s="18">
        <f t="shared" si="29"/>
        <v>0</v>
      </c>
      <c r="M19" s="18">
        <f t="shared" si="7"/>
        <v>28000</v>
      </c>
      <c r="N19" s="18">
        <f t="shared" si="24"/>
        <v>0</v>
      </c>
      <c r="O19" s="18">
        <f t="shared" si="25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8"/>
        <v>0</v>
      </c>
      <c r="AD19" s="49">
        <f t="shared" si="19"/>
        <v>0</v>
      </c>
      <c r="AE19" s="49">
        <f t="shared" si="20"/>
        <v>0</v>
      </c>
    </row>
    <row r="20" spans="1:31" ht="32.25" customHeight="1" x14ac:dyDescent="0.3">
      <c r="A20" s="19">
        <f t="shared" si="13"/>
        <v>44023</v>
      </c>
      <c r="B20" s="20">
        <v>76</v>
      </c>
      <c r="C20" s="18">
        <f t="shared" si="34"/>
        <v>0</v>
      </c>
      <c r="D20" s="20">
        <v>77</v>
      </c>
      <c r="E20" s="18">
        <f t="shared" si="35"/>
        <v>0</v>
      </c>
      <c r="F20" s="20">
        <v>72</v>
      </c>
      <c r="G20" s="18">
        <f t="shared" si="36"/>
        <v>0</v>
      </c>
      <c r="H20" s="20">
        <v>75</v>
      </c>
      <c r="I20" s="18">
        <f t="shared" si="33"/>
        <v>0</v>
      </c>
      <c r="J20" s="18">
        <f t="shared" si="16"/>
        <v>300</v>
      </c>
      <c r="K20" s="18">
        <f t="shared" si="17"/>
        <v>75</v>
      </c>
      <c r="L20" s="18">
        <f t="shared" si="29"/>
        <v>0</v>
      </c>
      <c r="M20" s="18">
        <f t="shared" si="7"/>
        <v>28000</v>
      </c>
      <c r="N20" s="18">
        <f t="shared" si="24"/>
        <v>0</v>
      </c>
      <c r="O20" s="18">
        <f t="shared" si="25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8"/>
        <v>0</v>
      </c>
      <c r="AD20" s="49">
        <f t="shared" si="19"/>
        <v>0</v>
      </c>
      <c r="AE20" s="49">
        <f t="shared" si="20"/>
        <v>0</v>
      </c>
    </row>
    <row r="21" spans="1:31" ht="32.25" customHeight="1" x14ac:dyDescent="0.3">
      <c r="A21" s="19">
        <f t="shared" si="13"/>
        <v>44024</v>
      </c>
      <c r="B21" s="20">
        <v>76</v>
      </c>
      <c r="C21" s="18">
        <f t="shared" si="34"/>
        <v>0</v>
      </c>
      <c r="D21" s="20">
        <v>77</v>
      </c>
      <c r="E21" s="18">
        <f t="shared" si="35"/>
        <v>0</v>
      </c>
      <c r="F21" s="20">
        <v>72</v>
      </c>
      <c r="G21" s="18">
        <f t="shared" si="36"/>
        <v>0</v>
      </c>
      <c r="H21" s="20">
        <v>75</v>
      </c>
      <c r="I21" s="18">
        <f t="shared" si="33"/>
        <v>0</v>
      </c>
      <c r="J21" s="18">
        <f t="shared" si="16"/>
        <v>300</v>
      </c>
      <c r="K21" s="18">
        <f t="shared" si="17"/>
        <v>75</v>
      </c>
      <c r="L21" s="18">
        <f t="shared" si="29"/>
        <v>0</v>
      </c>
      <c r="M21" s="18">
        <f t="shared" si="7"/>
        <v>28000</v>
      </c>
      <c r="N21" s="18">
        <f t="shared" si="24"/>
        <v>0</v>
      </c>
      <c r="O21" s="18">
        <f t="shared" si="25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8"/>
        <v>0</v>
      </c>
      <c r="AD21" s="49">
        <f t="shared" si="19"/>
        <v>0</v>
      </c>
      <c r="AE21" s="49">
        <f t="shared" si="20"/>
        <v>0</v>
      </c>
    </row>
    <row r="22" spans="1:31" ht="32.25" customHeight="1" x14ac:dyDescent="0.3">
      <c r="A22" s="19">
        <f t="shared" si="13"/>
        <v>44025</v>
      </c>
      <c r="B22" s="20">
        <v>76</v>
      </c>
      <c r="C22" s="18">
        <f t="shared" si="34"/>
        <v>0</v>
      </c>
      <c r="D22" s="20">
        <v>77</v>
      </c>
      <c r="E22" s="18">
        <f t="shared" si="35"/>
        <v>0</v>
      </c>
      <c r="F22" s="20">
        <v>72</v>
      </c>
      <c r="G22" s="18">
        <f t="shared" si="36"/>
        <v>0</v>
      </c>
      <c r="H22" s="20">
        <v>75</v>
      </c>
      <c r="I22" s="18">
        <f t="shared" si="33"/>
        <v>0</v>
      </c>
      <c r="J22" s="18">
        <f t="shared" si="16"/>
        <v>300</v>
      </c>
      <c r="K22" s="18">
        <f t="shared" si="17"/>
        <v>75</v>
      </c>
      <c r="L22" s="18">
        <f t="shared" si="29"/>
        <v>0</v>
      </c>
      <c r="M22" s="18">
        <f t="shared" si="7"/>
        <v>28000</v>
      </c>
      <c r="N22" s="18">
        <f t="shared" si="24"/>
        <v>0</v>
      </c>
      <c r="O22" s="18">
        <f t="shared" si="25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8"/>
        <v>0</v>
      </c>
      <c r="AD22" s="49">
        <f t="shared" si="19"/>
        <v>0</v>
      </c>
      <c r="AE22" s="49">
        <f t="shared" si="20"/>
        <v>0</v>
      </c>
    </row>
    <row r="23" spans="1:31" ht="32.25" customHeight="1" x14ac:dyDescent="0.3">
      <c r="A23" s="19">
        <f t="shared" si="13"/>
        <v>44026</v>
      </c>
      <c r="B23" s="20">
        <v>76</v>
      </c>
      <c r="C23" s="18">
        <f t="shared" si="34"/>
        <v>0</v>
      </c>
      <c r="D23" s="20">
        <v>77</v>
      </c>
      <c r="E23" s="18">
        <f t="shared" si="35"/>
        <v>0</v>
      </c>
      <c r="F23" s="20">
        <v>72</v>
      </c>
      <c r="G23" s="18">
        <f t="shared" si="36"/>
        <v>0</v>
      </c>
      <c r="H23" s="20">
        <v>75</v>
      </c>
      <c r="I23" s="18">
        <f t="shared" si="33"/>
        <v>0</v>
      </c>
      <c r="J23" s="18">
        <f t="shared" si="16"/>
        <v>300</v>
      </c>
      <c r="K23" s="18">
        <f t="shared" si="17"/>
        <v>75</v>
      </c>
      <c r="L23" s="18">
        <f t="shared" si="29"/>
        <v>0</v>
      </c>
      <c r="M23" s="18">
        <f t="shared" si="7"/>
        <v>28000</v>
      </c>
      <c r="N23" s="18">
        <f t="shared" si="24"/>
        <v>0</v>
      </c>
      <c r="O23" s="18">
        <f t="shared" si="25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8"/>
        <v>0</v>
      </c>
      <c r="AD23" s="49">
        <f t="shared" si="19"/>
        <v>0</v>
      </c>
      <c r="AE23" s="49">
        <f t="shared" si="20"/>
        <v>0</v>
      </c>
    </row>
    <row r="24" spans="1:31" ht="32.25" customHeight="1" x14ac:dyDescent="0.3">
      <c r="A24" s="19">
        <f t="shared" si="13"/>
        <v>44027</v>
      </c>
      <c r="B24" s="20">
        <v>76</v>
      </c>
      <c r="C24" s="18">
        <f t="shared" si="34"/>
        <v>0</v>
      </c>
      <c r="D24" s="20">
        <v>77</v>
      </c>
      <c r="E24" s="18">
        <f t="shared" si="35"/>
        <v>0</v>
      </c>
      <c r="F24" s="20">
        <v>72</v>
      </c>
      <c r="G24" s="18">
        <f t="shared" si="36"/>
        <v>0</v>
      </c>
      <c r="H24" s="20">
        <v>75</v>
      </c>
      <c r="I24" s="18">
        <f t="shared" si="33"/>
        <v>0</v>
      </c>
      <c r="J24" s="18">
        <f t="shared" si="16"/>
        <v>300</v>
      </c>
      <c r="K24" s="18">
        <f t="shared" si="17"/>
        <v>75</v>
      </c>
      <c r="L24" s="18">
        <f t="shared" si="29"/>
        <v>0</v>
      </c>
      <c r="M24" s="18">
        <f t="shared" si="7"/>
        <v>28000</v>
      </c>
      <c r="N24" s="18">
        <f t="shared" si="24"/>
        <v>0</v>
      </c>
      <c r="O24" s="18">
        <f t="shared" si="25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8"/>
        <v>0</v>
      </c>
      <c r="AD24" s="49">
        <f t="shared" si="19"/>
        <v>0</v>
      </c>
      <c r="AE24" s="49">
        <f t="shared" si="20"/>
        <v>0</v>
      </c>
    </row>
    <row r="25" spans="1:31" ht="32.25" customHeight="1" x14ac:dyDescent="0.3">
      <c r="A25" s="19">
        <f t="shared" si="13"/>
        <v>44028</v>
      </c>
      <c r="B25" s="20">
        <v>76</v>
      </c>
      <c r="C25" s="18">
        <f t="shared" si="34"/>
        <v>0</v>
      </c>
      <c r="D25" s="20">
        <v>77</v>
      </c>
      <c r="E25" s="18">
        <f t="shared" si="35"/>
        <v>0</v>
      </c>
      <c r="F25" s="20">
        <v>72</v>
      </c>
      <c r="G25" s="18">
        <f t="shared" si="36"/>
        <v>0</v>
      </c>
      <c r="H25" s="20">
        <v>75</v>
      </c>
      <c r="I25" s="18">
        <f t="shared" si="33"/>
        <v>0</v>
      </c>
      <c r="J25" s="18">
        <f t="shared" si="16"/>
        <v>300</v>
      </c>
      <c r="K25" s="18">
        <f t="shared" si="17"/>
        <v>75</v>
      </c>
      <c r="L25" s="18">
        <f t="shared" si="29"/>
        <v>0</v>
      </c>
      <c r="M25" s="18">
        <f t="shared" si="7"/>
        <v>28000</v>
      </c>
      <c r="N25" s="18">
        <f t="shared" si="24"/>
        <v>0</v>
      </c>
      <c r="O25" s="18">
        <f t="shared" si="25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8"/>
        <v>0</v>
      </c>
      <c r="AD25" s="49">
        <f t="shared" si="19"/>
        <v>0</v>
      </c>
      <c r="AE25" s="49">
        <f t="shared" si="20"/>
        <v>0</v>
      </c>
    </row>
    <row r="26" spans="1:31" ht="32.25" customHeight="1" x14ac:dyDescent="0.3">
      <c r="A26" s="19">
        <f t="shared" si="13"/>
        <v>44029</v>
      </c>
      <c r="B26" s="20">
        <v>76</v>
      </c>
      <c r="C26" s="18">
        <f t="shared" si="34"/>
        <v>0</v>
      </c>
      <c r="D26" s="20">
        <v>77</v>
      </c>
      <c r="E26" s="18">
        <f t="shared" si="35"/>
        <v>0</v>
      </c>
      <c r="F26" s="20">
        <v>72</v>
      </c>
      <c r="G26" s="18">
        <f t="shared" si="36"/>
        <v>0</v>
      </c>
      <c r="H26" s="20">
        <v>75</v>
      </c>
      <c r="I26" s="18">
        <f t="shared" si="33"/>
        <v>0</v>
      </c>
      <c r="J26" s="18">
        <f t="shared" si="16"/>
        <v>300</v>
      </c>
      <c r="K26" s="18">
        <f t="shared" si="17"/>
        <v>75</v>
      </c>
      <c r="L26" s="18">
        <f t="shared" si="29"/>
        <v>0</v>
      </c>
      <c r="M26" s="18">
        <f t="shared" si="7"/>
        <v>28000</v>
      </c>
      <c r="N26" s="18">
        <f t="shared" si="24"/>
        <v>0</v>
      </c>
      <c r="O26" s="18">
        <f t="shared" si="25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8"/>
        <v>0</v>
      </c>
      <c r="AD26" s="49">
        <f t="shared" si="19"/>
        <v>0</v>
      </c>
      <c r="AE26" s="49">
        <f t="shared" si="20"/>
        <v>0</v>
      </c>
    </row>
    <row r="27" spans="1:31" ht="32.25" customHeight="1" x14ac:dyDescent="0.3">
      <c r="A27" s="19">
        <f t="shared" si="13"/>
        <v>44030</v>
      </c>
      <c r="B27" s="20">
        <v>76</v>
      </c>
      <c r="C27" s="18">
        <f t="shared" si="34"/>
        <v>0</v>
      </c>
      <c r="D27" s="20">
        <v>77</v>
      </c>
      <c r="E27" s="18">
        <f t="shared" si="35"/>
        <v>0</v>
      </c>
      <c r="F27" s="20">
        <v>72</v>
      </c>
      <c r="G27" s="18">
        <f t="shared" si="36"/>
        <v>0</v>
      </c>
      <c r="H27" s="20">
        <v>75</v>
      </c>
      <c r="I27" s="18">
        <f t="shared" si="33"/>
        <v>0</v>
      </c>
      <c r="J27" s="18">
        <f t="shared" si="16"/>
        <v>300</v>
      </c>
      <c r="K27" s="18">
        <f t="shared" si="17"/>
        <v>75</v>
      </c>
      <c r="L27" s="18">
        <f t="shared" si="29"/>
        <v>0</v>
      </c>
      <c r="M27" s="18">
        <f t="shared" si="7"/>
        <v>28000</v>
      </c>
      <c r="N27" s="18">
        <f t="shared" si="24"/>
        <v>0</v>
      </c>
      <c r="O27" s="18">
        <f t="shared" si="25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8"/>
        <v>0</v>
      </c>
      <c r="AD27" s="49">
        <f t="shared" si="19"/>
        <v>0</v>
      </c>
      <c r="AE27" s="49">
        <f t="shared" si="20"/>
        <v>0</v>
      </c>
    </row>
    <row r="28" spans="1:31" ht="32.25" customHeight="1" x14ac:dyDescent="0.3">
      <c r="A28" s="19">
        <f t="shared" si="13"/>
        <v>44031</v>
      </c>
      <c r="B28" s="20">
        <v>76</v>
      </c>
      <c r="C28" s="18">
        <f t="shared" si="34"/>
        <v>0</v>
      </c>
      <c r="D28" s="20">
        <v>77</v>
      </c>
      <c r="E28" s="18">
        <f t="shared" si="35"/>
        <v>0</v>
      </c>
      <c r="F28" s="20">
        <v>72</v>
      </c>
      <c r="G28" s="18">
        <f t="shared" si="36"/>
        <v>0</v>
      </c>
      <c r="H28" s="20">
        <v>75</v>
      </c>
      <c r="I28" s="18">
        <f t="shared" si="33"/>
        <v>0</v>
      </c>
      <c r="J28" s="18">
        <f t="shared" si="16"/>
        <v>300</v>
      </c>
      <c r="K28" s="18">
        <f t="shared" si="17"/>
        <v>75</v>
      </c>
      <c r="L28" s="18">
        <f t="shared" si="29"/>
        <v>0</v>
      </c>
      <c r="M28" s="18">
        <f t="shared" si="7"/>
        <v>28000</v>
      </c>
      <c r="N28" s="18">
        <f t="shared" si="24"/>
        <v>0</v>
      </c>
      <c r="O28" s="18">
        <f t="shared" si="25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8"/>
        <v>0</v>
      </c>
      <c r="AD28" s="49">
        <f t="shared" si="19"/>
        <v>0</v>
      </c>
      <c r="AE28" s="49">
        <f t="shared" si="20"/>
        <v>0</v>
      </c>
    </row>
    <row r="29" spans="1:31" ht="32.25" customHeight="1" x14ac:dyDescent="0.3">
      <c r="A29" s="19">
        <f t="shared" si="13"/>
        <v>44032</v>
      </c>
      <c r="B29" s="20">
        <v>76</v>
      </c>
      <c r="C29" s="18">
        <f t="shared" si="34"/>
        <v>0</v>
      </c>
      <c r="D29" s="20">
        <v>77</v>
      </c>
      <c r="E29" s="18">
        <f t="shared" si="35"/>
        <v>0</v>
      </c>
      <c r="F29" s="20">
        <v>72</v>
      </c>
      <c r="G29" s="18">
        <f t="shared" si="36"/>
        <v>0</v>
      </c>
      <c r="H29" s="20">
        <v>75</v>
      </c>
      <c r="I29" s="18">
        <f t="shared" si="33"/>
        <v>0</v>
      </c>
      <c r="J29" s="18">
        <f t="shared" si="16"/>
        <v>300</v>
      </c>
      <c r="K29" s="18">
        <f t="shared" si="17"/>
        <v>75</v>
      </c>
      <c r="L29" s="18">
        <f t="shared" si="29"/>
        <v>0</v>
      </c>
      <c r="M29" s="18">
        <f t="shared" si="7"/>
        <v>28000</v>
      </c>
      <c r="N29" s="18">
        <f t="shared" si="24"/>
        <v>0</v>
      </c>
      <c r="O29" s="18">
        <f t="shared" si="25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8"/>
        <v>0</v>
      </c>
      <c r="AD29" s="49">
        <f t="shared" si="19"/>
        <v>0</v>
      </c>
      <c r="AE29" s="49">
        <f t="shared" si="20"/>
        <v>0</v>
      </c>
    </row>
    <row r="30" spans="1:31" ht="32.25" customHeight="1" x14ac:dyDescent="0.3">
      <c r="A30" s="19">
        <f t="shared" si="13"/>
        <v>44033</v>
      </c>
      <c r="B30" s="20">
        <v>76</v>
      </c>
      <c r="C30" s="18">
        <f t="shared" si="34"/>
        <v>0</v>
      </c>
      <c r="D30" s="20">
        <v>77</v>
      </c>
      <c r="E30" s="18">
        <f t="shared" si="35"/>
        <v>0</v>
      </c>
      <c r="F30" s="20">
        <v>72</v>
      </c>
      <c r="G30" s="18">
        <f t="shared" si="36"/>
        <v>0</v>
      </c>
      <c r="H30" s="20">
        <v>75</v>
      </c>
      <c r="I30" s="18">
        <f t="shared" si="33"/>
        <v>0</v>
      </c>
      <c r="J30" s="18">
        <f t="shared" si="16"/>
        <v>300</v>
      </c>
      <c r="K30" s="18">
        <f t="shared" si="17"/>
        <v>75</v>
      </c>
      <c r="L30" s="18">
        <f t="shared" si="29"/>
        <v>0</v>
      </c>
      <c r="M30" s="18">
        <f t="shared" si="7"/>
        <v>28000</v>
      </c>
      <c r="N30" s="18">
        <f t="shared" si="24"/>
        <v>0</v>
      </c>
      <c r="O30" s="18">
        <f t="shared" si="25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8"/>
        <v>0</v>
      </c>
      <c r="AD30" s="49">
        <f t="shared" si="19"/>
        <v>0</v>
      </c>
      <c r="AE30" s="49">
        <f t="shared" si="20"/>
        <v>0</v>
      </c>
    </row>
    <row r="31" spans="1:31" ht="32.25" customHeight="1" x14ac:dyDescent="0.3">
      <c r="A31" s="19">
        <f t="shared" si="13"/>
        <v>44034</v>
      </c>
      <c r="B31" s="20">
        <v>76</v>
      </c>
      <c r="C31" s="18">
        <f t="shared" si="34"/>
        <v>0</v>
      </c>
      <c r="D31" s="20">
        <v>77</v>
      </c>
      <c r="E31" s="18">
        <f t="shared" si="35"/>
        <v>0</v>
      </c>
      <c r="F31" s="20">
        <v>72</v>
      </c>
      <c r="G31" s="18">
        <f t="shared" si="36"/>
        <v>0</v>
      </c>
      <c r="H31" s="20">
        <v>75</v>
      </c>
      <c r="I31" s="18">
        <f t="shared" si="33"/>
        <v>0</v>
      </c>
      <c r="J31" s="18">
        <f t="shared" si="16"/>
        <v>300</v>
      </c>
      <c r="K31" s="18">
        <f t="shared" si="17"/>
        <v>75</v>
      </c>
      <c r="L31" s="18">
        <f t="shared" si="29"/>
        <v>0</v>
      </c>
      <c r="M31" s="18">
        <f t="shared" si="7"/>
        <v>28000</v>
      </c>
      <c r="N31" s="18">
        <f t="shared" si="24"/>
        <v>0</v>
      </c>
      <c r="O31" s="18">
        <f t="shared" si="25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8"/>
        <v>0</v>
      </c>
      <c r="AD31" s="49">
        <f t="shared" si="19"/>
        <v>0</v>
      </c>
      <c r="AE31" s="49">
        <f t="shared" si="20"/>
        <v>0</v>
      </c>
    </row>
    <row r="32" spans="1:31" ht="32.25" customHeight="1" x14ac:dyDescent="0.3">
      <c r="A32" s="19">
        <f t="shared" si="13"/>
        <v>44035</v>
      </c>
      <c r="B32" s="20">
        <v>76</v>
      </c>
      <c r="C32" s="18">
        <f t="shared" ref="C32" si="37">IF(AC32&gt;0,((B32-R32)+(S32-B33)),IF(B33=0, ,(B32-B33)))</f>
        <v>0</v>
      </c>
      <c r="D32" s="20">
        <v>77</v>
      </c>
      <c r="E32" s="18">
        <f t="shared" ref="E32" si="38">IF(AC32&gt;0,((D32-U32)+(V32-D33)),IF(D33=0, ,(D32-D33)))</f>
        <v>0</v>
      </c>
      <c r="F32" s="20">
        <v>72</v>
      </c>
      <c r="G32" s="18">
        <f t="shared" ref="G32" si="39">IF(AC32&gt;0,((F32-X32)+(Y32-F33)),IF(F33=0, ,(F32-F33)))</f>
        <v>0</v>
      </c>
      <c r="H32" s="20">
        <v>75</v>
      </c>
      <c r="I32" s="18">
        <f t="shared" si="33"/>
        <v>0</v>
      </c>
      <c r="J32" s="18">
        <f t="shared" si="16"/>
        <v>300</v>
      </c>
      <c r="K32" s="18">
        <f t="shared" si="17"/>
        <v>75</v>
      </c>
      <c r="L32" s="18">
        <f t="shared" si="29"/>
        <v>0</v>
      </c>
      <c r="M32" s="18">
        <f t="shared" si="7"/>
        <v>28000</v>
      </c>
      <c r="N32" s="18">
        <f t="shared" si="24"/>
        <v>0</v>
      </c>
      <c r="O32" s="18">
        <f t="shared" si="25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8"/>
        <v>0</v>
      </c>
      <c r="AD32" s="49">
        <f t="shared" si="19"/>
        <v>0</v>
      </c>
      <c r="AE32" s="49">
        <f t="shared" si="20"/>
        <v>0</v>
      </c>
    </row>
    <row r="33" spans="1:31" ht="32.25" customHeight="1" x14ac:dyDescent="0.3">
      <c r="A33" s="19">
        <f t="shared" si="13"/>
        <v>44036</v>
      </c>
      <c r="B33" s="20">
        <v>76</v>
      </c>
      <c r="C33" s="18">
        <f t="shared" ref="C33" si="40">IF(AC33&gt;0,((B33-R33)+(S33-B34)),IF(B34=0, ,(B33-B34)))</f>
        <v>0</v>
      </c>
      <c r="D33" s="20">
        <v>77</v>
      </c>
      <c r="E33" s="18">
        <f t="shared" ref="E33" si="41">IF(AC33&gt;0,((D33-U33)+(V33-D34)),IF(D34=0, ,(D33-D34)))</f>
        <v>0</v>
      </c>
      <c r="F33" s="20">
        <v>72</v>
      </c>
      <c r="G33" s="18">
        <f t="shared" ref="G33" si="42">IF(AC33&gt;0,((F33-X33)+(Y33-F34)),IF(F34=0, ,(F33-F34)))</f>
        <v>0</v>
      </c>
      <c r="H33" s="20">
        <v>75</v>
      </c>
      <c r="I33" s="18">
        <f t="shared" si="33"/>
        <v>0</v>
      </c>
      <c r="J33" s="18">
        <f t="shared" si="16"/>
        <v>300</v>
      </c>
      <c r="K33" s="18">
        <f t="shared" si="17"/>
        <v>75</v>
      </c>
      <c r="L33" s="18">
        <f t="shared" si="29"/>
        <v>0</v>
      </c>
      <c r="M33" s="18">
        <f t="shared" si="7"/>
        <v>28000</v>
      </c>
      <c r="N33" s="18">
        <f t="shared" si="24"/>
        <v>0</v>
      </c>
      <c r="O33" s="18">
        <f t="shared" si="25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8"/>
        <v>0</v>
      </c>
      <c r="AD33" s="49">
        <f t="shared" si="19"/>
        <v>0</v>
      </c>
      <c r="AE33" s="49">
        <f t="shared" si="20"/>
        <v>0</v>
      </c>
    </row>
    <row r="34" spans="1:31" ht="32.25" customHeight="1" x14ac:dyDescent="0.3">
      <c r="A34" s="19">
        <f t="shared" si="13"/>
        <v>44037</v>
      </c>
      <c r="B34" s="20">
        <v>76</v>
      </c>
      <c r="C34" s="18">
        <f t="shared" ref="C34" si="43">IF(AC34&gt;0,((B34-R34)+(S34-B35)),IF(B35=0, ,(B34-B35)))</f>
        <v>0</v>
      </c>
      <c r="D34" s="20">
        <v>77</v>
      </c>
      <c r="E34" s="18">
        <f t="shared" ref="E34" si="44">IF(AC34&gt;0,((D34-U34)+(V34-D35)),IF(D35=0, ,(D34-D35)))</f>
        <v>0</v>
      </c>
      <c r="F34" s="20">
        <v>72</v>
      </c>
      <c r="G34" s="18">
        <f t="shared" ref="G34" si="45">IF(AC34&gt;0,((F34-X34)+(Y34-F35)),IF(F35=0, ,(F34-F35)))</f>
        <v>0</v>
      </c>
      <c r="H34" s="20">
        <v>75</v>
      </c>
      <c r="I34" s="18">
        <f t="shared" si="33"/>
        <v>0</v>
      </c>
      <c r="J34" s="18">
        <f t="shared" si="16"/>
        <v>300</v>
      </c>
      <c r="K34" s="18">
        <f t="shared" si="17"/>
        <v>75</v>
      </c>
      <c r="L34" s="18">
        <f t="shared" si="29"/>
        <v>0</v>
      </c>
      <c r="M34" s="18">
        <f t="shared" si="7"/>
        <v>28000</v>
      </c>
      <c r="N34" s="18">
        <f t="shared" si="24"/>
        <v>0</v>
      </c>
      <c r="O34" s="18">
        <f t="shared" si="25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8"/>
        <v>0</v>
      </c>
      <c r="AD34" s="49">
        <f t="shared" si="19"/>
        <v>0</v>
      </c>
      <c r="AE34" s="49">
        <f t="shared" si="20"/>
        <v>0</v>
      </c>
    </row>
    <row r="35" spans="1:31" ht="32.25" customHeight="1" x14ac:dyDescent="0.3">
      <c r="A35" s="19">
        <f t="shared" si="13"/>
        <v>44038</v>
      </c>
      <c r="B35" s="20">
        <v>76</v>
      </c>
      <c r="C35" s="18">
        <f t="shared" ref="C35" si="46">IF(AC35&gt;0,((B35-R35)+(S35-B36)),IF(B36=0, ,(B35-B36)))</f>
        <v>0</v>
      </c>
      <c r="D35" s="20">
        <v>77</v>
      </c>
      <c r="E35" s="18">
        <f t="shared" ref="E35" si="47">IF(AC35&gt;0,((D35-U35)+(V35-D36)),IF(D36=0, ,(D35-D36)))</f>
        <v>0</v>
      </c>
      <c r="F35" s="20">
        <v>72</v>
      </c>
      <c r="G35" s="18">
        <f t="shared" ref="G35" si="48">IF(AC35&gt;0,((F35-X35)+(Y35-F36)),IF(F36=0, ,(F35-F36)))</f>
        <v>0</v>
      </c>
      <c r="H35" s="20">
        <v>75</v>
      </c>
      <c r="I35" s="18">
        <f t="shared" si="33"/>
        <v>0</v>
      </c>
      <c r="J35" s="18">
        <f t="shared" si="16"/>
        <v>300</v>
      </c>
      <c r="K35" s="18">
        <f t="shared" si="17"/>
        <v>75</v>
      </c>
      <c r="L35" s="18">
        <f t="shared" si="29"/>
        <v>0</v>
      </c>
      <c r="M35" s="18">
        <f t="shared" si="7"/>
        <v>28000</v>
      </c>
      <c r="N35" s="18">
        <f t="shared" si="24"/>
        <v>0</v>
      </c>
      <c r="O35" s="18">
        <f t="shared" si="25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8"/>
        <v>0</v>
      </c>
      <c r="AD35" s="49">
        <f t="shared" si="19"/>
        <v>0</v>
      </c>
      <c r="AE35" s="49">
        <f t="shared" si="20"/>
        <v>0</v>
      </c>
    </row>
    <row r="36" spans="1:31" ht="32.25" customHeight="1" x14ac:dyDescent="0.3">
      <c r="A36" s="19">
        <f t="shared" si="13"/>
        <v>44039</v>
      </c>
      <c r="B36" s="20"/>
      <c r="C36" s="18">
        <f t="shared" ref="C35:C42" si="49">IF(AC36&gt;0,((B36-R36)+(S36-B37)),IF(B37=0, ,(B36-B37)))</f>
        <v>0</v>
      </c>
      <c r="D36" s="20"/>
      <c r="E36" s="18">
        <f t="shared" ref="E35:E42" si="50">IF(AC36&gt;0,((D36-U36)+(V36-D37)),IF(D37=0, ,(D36-D37)))</f>
        <v>0</v>
      </c>
      <c r="F36" s="20"/>
      <c r="G36" s="18">
        <f t="shared" ref="G35:G42" si="51">IF(AC36&gt;0,((F36-X36)+(Y36-F37)),IF(F37=0, ,(F36-F37)))</f>
        <v>0</v>
      </c>
      <c r="H36" s="20"/>
      <c r="I36" s="18">
        <f t="shared" si="33"/>
        <v>0</v>
      </c>
      <c r="J36" s="18">
        <f t="shared" si="16"/>
        <v>0</v>
      </c>
      <c r="K36" s="18">
        <f t="shared" si="17"/>
        <v>0</v>
      </c>
      <c r="L36" s="18">
        <f t="shared" si="29"/>
        <v>0</v>
      </c>
      <c r="M36" s="18">
        <f t="shared" si="7"/>
        <v>28000</v>
      </c>
      <c r="N36" s="18">
        <f t="shared" si="24"/>
        <v>0</v>
      </c>
      <c r="O36" s="18">
        <f t="shared" si="25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8"/>
        <v>0</v>
      </c>
      <c r="AD36" s="49">
        <f t="shared" si="19"/>
        <v>0</v>
      </c>
      <c r="AE36" s="49">
        <f t="shared" si="20"/>
        <v>0</v>
      </c>
    </row>
    <row r="37" spans="1:31" ht="32.25" customHeight="1" x14ac:dyDescent="0.3">
      <c r="A37" s="19">
        <f t="shared" si="13"/>
        <v>44040</v>
      </c>
      <c r="B37" s="20"/>
      <c r="C37" s="18">
        <f t="shared" si="49"/>
        <v>0</v>
      </c>
      <c r="D37" s="20"/>
      <c r="E37" s="18">
        <f t="shared" si="50"/>
        <v>0</v>
      </c>
      <c r="F37" s="20"/>
      <c r="G37" s="18">
        <f t="shared" si="51"/>
        <v>0</v>
      </c>
      <c r="H37" s="20"/>
      <c r="I37" s="18">
        <f t="shared" si="33"/>
        <v>0</v>
      </c>
      <c r="J37" s="18">
        <f t="shared" si="16"/>
        <v>0</v>
      </c>
      <c r="K37" s="18">
        <f t="shared" si="17"/>
        <v>0</v>
      </c>
      <c r="L37" s="18">
        <f t="shared" si="29"/>
        <v>0</v>
      </c>
      <c r="M37" s="18">
        <f t="shared" si="7"/>
        <v>28000</v>
      </c>
      <c r="N37" s="18">
        <f t="shared" si="24"/>
        <v>0</v>
      </c>
      <c r="O37" s="18">
        <f t="shared" si="25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8"/>
        <v>0</v>
      </c>
      <c r="AD37" s="49">
        <f t="shared" si="19"/>
        <v>0</v>
      </c>
      <c r="AE37" s="49">
        <f t="shared" si="20"/>
        <v>0</v>
      </c>
    </row>
    <row r="38" spans="1:31" ht="32.25" customHeight="1" x14ac:dyDescent="0.3">
      <c r="A38" s="19">
        <f t="shared" si="13"/>
        <v>44041</v>
      </c>
      <c r="B38" s="20"/>
      <c r="C38" s="18">
        <f t="shared" si="49"/>
        <v>0</v>
      </c>
      <c r="D38" s="20"/>
      <c r="E38" s="18">
        <f t="shared" si="50"/>
        <v>0</v>
      </c>
      <c r="F38" s="20"/>
      <c r="G38" s="18">
        <f t="shared" si="51"/>
        <v>0</v>
      </c>
      <c r="H38" s="20"/>
      <c r="I38" s="18">
        <f t="shared" si="33"/>
        <v>0</v>
      </c>
      <c r="J38" s="18">
        <f t="shared" si="16"/>
        <v>0</v>
      </c>
      <c r="K38" s="18">
        <f t="shared" si="17"/>
        <v>0</v>
      </c>
      <c r="L38" s="18">
        <f t="shared" si="29"/>
        <v>0</v>
      </c>
      <c r="M38" s="18">
        <f t="shared" si="7"/>
        <v>28000</v>
      </c>
      <c r="N38" s="18">
        <f t="shared" si="24"/>
        <v>0</v>
      </c>
      <c r="O38" s="18">
        <f t="shared" si="25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8"/>
        <v>0</v>
      </c>
      <c r="AD38" s="49">
        <f t="shared" si="19"/>
        <v>0</v>
      </c>
      <c r="AE38" s="49">
        <f t="shared" si="20"/>
        <v>0</v>
      </c>
    </row>
    <row r="39" spans="1:31" ht="32.25" customHeight="1" x14ac:dyDescent="0.3">
      <c r="A39" s="19">
        <f t="shared" si="13"/>
        <v>44042</v>
      </c>
      <c r="B39" s="20"/>
      <c r="C39" s="18">
        <f t="shared" si="49"/>
        <v>0</v>
      </c>
      <c r="D39" s="20"/>
      <c r="E39" s="18">
        <f t="shared" si="50"/>
        <v>0</v>
      </c>
      <c r="F39" s="20"/>
      <c r="G39" s="18">
        <f t="shared" si="51"/>
        <v>0</v>
      </c>
      <c r="H39" s="20"/>
      <c r="I39" s="18">
        <f t="shared" si="33"/>
        <v>0</v>
      </c>
      <c r="J39" s="18">
        <f t="shared" si="16"/>
        <v>0</v>
      </c>
      <c r="K39" s="18">
        <f t="shared" si="17"/>
        <v>0</v>
      </c>
      <c r="L39" s="18">
        <f t="shared" si="29"/>
        <v>0</v>
      </c>
      <c r="M39" s="18">
        <f t="shared" si="7"/>
        <v>28000</v>
      </c>
      <c r="N39" s="18">
        <f t="shared" si="24"/>
        <v>0</v>
      </c>
      <c r="O39" s="18">
        <f t="shared" si="25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8"/>
        <v>0</v>
      </c>
      <c r="AD39" s="49">
        <f t="shared" si="19"/>
        <v>0</v>
      </c>
      <c r="AE39" s="49">
        <f t="shared" si="20"/>
        <v>0</v>
      </c>
    </row>
    <row r="40" spans="1:31" ht="32.25" customHeight="1" x14ac:dyDescent="0.3">
      <c r="A40" s="19">
        <f t="shared" si="13"/>
        <v>44043</v>
      </c>
      <c r="B40" s="20"/>
      <c r="C40" s="18">
        <f t="shared" si="49"/>
        <v>0</v>
      </c>
      <c r="D40" s="20"/>
      <c r="E40" s="18">
        <f t="shared" si="50"/>
        <v>0</v>
      </c>
      <c r="F40" s="20"/>
      <c r="G40" s="18">
        <f t="shared" si="51"/>
        <v>0</v>
      </c>
      <c r="H40" s="20"/>
      <c r="I40" s="18">
        <f t="shared" si="33"/>
        <v>0</v>
      </c>
      <c r="J40" s="18">
        <f t="shared" si="16"/>
        <v>0</v>
      </c>
      <c r="K40" s="18">
        <f t="shared" si="17"/>
        <v>0</v>
      </c>
      <c r="L40" s="18">
        <f t="shared" si="29"/>
        <v>0</v>
      </c>
      <c r="M40" s="18">
        <f t="shared" si="7"/>
        <v>28000</v>
      </c>
      <c r="N40" s="18">
        <f t="shared" si="24"/>
        <v>0</v>
      </c>
      <c r="O40" s="18">
        <f t="shared" si="25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8"/>
        <v>0</v>
      </c>
      <c r="AD40" s="49">
        <f t="shared" si="19"/>
        <v>0</v>
      </c>
      <c r="AE40" s="49">
        <f t="shared" si="20"/>
        <v>0</v>
      </c>
    </row>
    <row r="41" spans="1:31" ht="32.25" customHeight="1" x14ac:dyDescent="0.3">
      <c r="A41" s="19">
        <f t="shared" si="13"/>
        <v>44044</v>
      </c>
      <c r="B41" s="20"/>
      <c r="C41" s="18">
        <f t="shared" si="49"/>
        <v>0</v>
      </c>
      <c r="D41" s="20"/>
      <c r="E41" s="18">
        <f t="shared" si="50"/>
        <v>0</v>
      </c>
      <c r="F41" s="20"/>
      <c r="G41" s="18">
        <f t="shared" si="51"/>
        <v>0</v>
      </c>
      <c r="H41" s="20"/>
      <c r="I41" s="18">
        <f t="shared" si="33"/>
        <v>0</v>
      </c>
      <c r="J41" s="18">
        <f t="shared" si="16"/>
        <v>0</v>
      </c>
      <c r="K41" s="18">
        <f t="shared" si="17"/>
        <v>0</v>
      </c>
      <c r="L41" s="18">
        <f t="shared" si="29"/>
        <v>0</v>
      </c>
      <c r="M41" s="18">
        <f t="shared" si="7"/>
        <v>28000</v>
      </c>
      <c r="N41" s="18">
        <f t="shared" si="24"/>
        <v>0</v>
      </c>
      <c r="O41" s="18">
        <f t="shared" si="25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8"/>
        <v>0</v>
      </c>
      <c r="AD41" s="49">
        <f t="shared" si="19"/>
        <v>0</v>
      </c>
      <c r="AE41" s="49">
        <f t="shared" si="20"/>
        <v>0</v>
      </c>
    </row>
    <row r="42" spans="1:31" ht="32.25" customHeight="1" x14ac:dyDescent="0.3">
      <c r="A42" s="19">
        <f t="shared" si="13"/>
        <v>44045</v>
      </c>
      <c r="B42" s="20"/>
      <c r="C42" s="18">
        <f t="shared" si="49"/>
        <v>0</v>
      </c>
      <c r="D42" s="20"/>
      <c r="E42" s="18">
        <f t="shared" si="50"/>
        <v>0</v>
      </c>
      <c r="F42" s="20"/>
      <c r="G42" s="18">
        <f t="shared" si="51"/>
        <v>0</v>
      </c>
      <c r="H42" s="20"/>
      <c r="I42" s="18">
        <f t="shared" si="33"/>
        <v>0</v>
      </c>
      <c r="J42" s="18">
        <f t="shared" si="16"/>
        <v>0</v>
      </c>
      <c r="K42" s="18">
        <f t="shared" si="17"/>
        <v>0</v>
      </c>
      <c r="L42" s="18">
        <f t="shared" si="29"/>
        <v>0</v>
      </c>
      <c r="M42" s="18">
        <f t="shared" si="7"/>
        <v>28000</v>
      </c>
      <c r="N42" s="18">
        <f t="shared" si="24"/>
        <v>0</v>
      </c>
      <c r="O42" s="18">
        <f t="shared" si="25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8"/>
        <v>0</v>
      </c>
      <c r="AD42" s="49">
        <f t="shared" si="19"/>
        <v>0</v>
      </c>
      <c r="AE42" s="49">
        <f t="shared" si="20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0</v>
      </c>
      <c r="O43" s="18">
        <f>N43*0.53</f>
        <v>0</v>
      </c>
      <c r="P43" s="21">
        <f>O43*7.8338</f>
        <v>0</v>
      </c>
      <c r="Q43" s="277">
        <f>SUM(Q11:Q40)</f>
        <v>0</v>
      </c>
      <c r="R43" s="278"/>
      <c r="S43" s="279"/>
      <c r="T43" s="277">
        <f>SUM(T11:T40)</f>
        <v>0</v>
      </c>
      <c r="U43" s="278"/>
      <c r="V43" s="279"/>
      <c r="W43" s="277">
        <f>SUM(W11:W40)</f>
        <v>0</v>
      </c>
      <c r="X43" s="278"/>
      <c r="Y43" s="279"/>
      <c r="Z43" s="277">
        <f>SUM(Z11:Z40)</f>
        <v>0</v>
      </c>
      <c r="AA43" s="278"/>
      <c r="AB43" s="279"/>
      <c r="AC43" s="138">
        <f>SUM(AC11:AC40)</f>
        <v>0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0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41" sqref="B41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2180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44007</v>
      </c>
      <c r="B9" s="40">
        <v>123440</v>
      </c>
      <c r="C9" s="41">
        <f t="shared" ref="C9:C14" si="0">IF(B10&lt;B9,0,B10-B9)*10</f>
        <v>60</v>
      </c>
      <c r="D9" s="42">
        <v>18477293</v>
      </c>
      <c r="E9" s="41">
        <f t="shared" ref="E9:E14" si="1">IF(D10&lt;D9,0,D10-D9)</f>
        <v>841</v>
      </c>
      <c r="F9" s="42">
        <v>33210717</v>
      </c>
      <c r="G9" s="41">
        <f t="shared" ref="G9:G14" si="2">IF(F10&lt;F9,0,F10-F9)</f>
        <v>1345</v>
      </c>
      <c r="H9" s="42">
        <v>14701599</v>
      </c>
      <c r="I9" s="41">
        <f t="shared" ref="I9:I16" si="3">IF(H10&lt;H9,0,H10-H9)</f>
        <v>550</v>
      </c>
    </row>
    <row r="10" spans="1:20" ht="21" thickTop="1" thickBot="1" x14ac:dyDescent="0.35">
      <c r="A10" s="39">
        <f>(A9+1)</f>
        <v>44008</v>
      </c>
      <c r="B10" s="40">
        <v>123446</v>
      </c>
      <c r="C10" s="41">
        <f t="shared" si="0"/>
        <v>70</v>
      </c>
      <c r="D10" s="42">
        <v>18478134</v>
      </c>
      <c r="E10" s="41">
        <f t="shared" si="1"/>
        <v>862</v>
      </c>
      <c r="F10" s="42">
        <v>33212062</v>
      </c>
      <c r="G10" s="41">
        <f t="shared" si="2"/>
        <v>1381</v>
      </c>
      <c r="H10" s="42">
        <v>14702149</v>
      </c>
      <c r="I10" s="41">
        <f t="shared" si="3"/>
        <v>621</v>
      </c>
    </row>
    <row r="11" spans="1:20" ht="21" thickTop="1" thickBot="1" x14ac:dyDescent="0.35">
      <c r="A11" s="39">
        <f t="shared" ref="A11:A47" si="4">(A10+1)</f>
        <v>44009</v>
      </c>
      <c r="B11" s="40">
        <v>123453</v>
      </c>
      <c r="C11" s="41">
        <f t="shared" si="0"/>
        <v>70</v>
      </c>
      <c r="D11" s="42">
        <v>18478996</v>
      </c>
      <c r="E11" s="41">
        <f t="shared" si="1"/>
        <v>826</v>
      </c>
      <c r="F11" s="42">
        <v>33213443</v>
      </c>
      <c r="G11" s="41">
        <f t="shared" si="2"/>
        <v>1453</v>
      </c>
      <c r="H11" s="42">
        <v>14702770</v>
      </c>
      <c r="I11" s="41">
        <f t="shared" si="3"/>
        <v>568</v>
      </c>
    </row>
    <row r="12" spans="1:20" ht="21" thickTop="1" thickBot="1" x14ac:dyDescent="0.35">
      <c r="A12" s="39">
        <f t="shared" si="4"/>
        <v>44010</v>
      </c>
      <c r="B12" s="40">
        <v>123460</v>
      </c>
      <c r="C12" s="41">
        <f t="shared" si="0"/>
        <v>60</v>
      </c>
      <c r="D12" s="42">
        <v>18479822</v>
      </c>
      <c r="E12" s="41">
        <f t="shared" si="1"/>
        <v>969</v>
      </c>
      <c r="F12" s="42">
        <v>33214896</v>
      </c>
      <c r="G12" s="41">
        <f t="shared" si="2"/>
        <v>1393</v>
      </c>
      <c r="H12" s="42">
        <v>14703338</v>
      </c>
      <c r="I12" s="41">
        <f t="shared" si="3"/>
        <v>624</v>
      </c>
    </row>
    <row r="13" spans="1:20" ht="21" thickTop="1" thickBot="1" x14ac:dyDescent="0.35">
      <c r="A13" s="39">
        <f t="shared" si="4"/>
        <v>44011</v>
      </c>
      <c r="B13" s="40">
        <v>123466</v>
      </c>
      <c r="C13" s="41">
        <f t="shared" si="0"/>
        <v>60</v>
      </c>
      <c r="D13" s="42">
        <v>18480791</v>
      </c>
      <c r="E13" s="41">
        <f t="shared" si="1"/>
        <v>986</v>
      </c>
      <c r="F13" s="42">
        <v>33216289</v>
      </c>
      <c r="G13" s="41">
        <f t="shared" si="2"/>
        <v>1427</v>
      </c>
      <c r="H13" s="42">
        <v>14703962</v>
      </c>
      <c r="I13" s="41">
        <f t="shared" si="3"/>
        <v>630</v>
      </c>
    </row>
    <row r="14" spans="1:20" ht="21" thickTop="1" thickBot="1" x14ac:dyDescent="0.35">
      <c r="A14" s="39">
        <f t="shared" si="4"/>
        <v>44012</v>
      </c>
      <c r="B14" s="40">
        <v>123472</v>
      </c>
      <c r="C14" s="41">
        <f t="shared" si="0"/>
        <v>60</v>
      </c>
      <c r="D14" s="42">
        <v>18481777</v>
      </c>
      <c r="E14" s="41">
        <f t="shared" si="1"/>
        <v>855</v>
      </c>
      <c r="F14" s="42">
        <v>33217716</v>
      </c>
      <c r="G14" s="41">
        <f t="shared" si="2"/>
        <v>1400</v>
      </c>
      <c r="H14" s="42">
        <v>14704592</v>
      </c>
      <c r="I14" s="41">
        <f t="shared" si="3"/>
        <v>543</v>
      </c>
    </row>
    <row r="15" spans="1:20" ht="21" thickTop="1" thickBot="1" x14ac:dyDescent="0.35">
      <c r="A15" s="39">
        <f t="shared" si="4"/>
        <v>44013</v>
      </c>
      <c r="B15" s="40">
        <v>123478</v>
      </c>
      <c r="C15" s="41">
        <f>IF(B16&lt;B15,0,B16-B15)*10</f>
        <v>70</v>
      </c>
      <c r="D15" s="42">
        <v>18482632</v>
      </c>
      <c r="E15" s="41">
        <f>IF(D16&lt;D15,0,D16-D15)</f>
        <v>1016</v>
      </c>
      <c r="F15" s="42">
        <v>33219116</v>
      </c>
      <c r="G15" s="41">
        <f>IF(F16&lt;F15,0,F16-F15)</f>
        <v>1382</v>
      </c>
      <c r="H15" s="42">
        <v>14705135</v>
      </c>
      <c r="I15" s="41">
        <f t="shared" si="3"/>
        <v>633</v>
      </c>
    </row>
    <row r="16" spans="1:20" ht="21" thickTop="1" thickBot="1" x14ac:dyDescent="0.35">
      <c r="A16" s="39">
        <f t="shared" si="4"/>
        <v>44014</v>
      </c>
      <c r="B16" s="40">
        <v>123485</v>
      </c>
      <c r="C16" s="41">
        <f t="shared" ref="C16:C40" si="5">IF(B17&lt;B16,0,B17-B16)*10</f>
        <v>60</v>
      </c>
      <c r="D16" s="42">
        <v>18483648</v>
      </c>
      <c r="E16" s="41">
        <f t="shared" ref="E16:E40" si="6">IF(D17&lt;D16,0,D17-D16)</f>
        <v>913</v>
      </c>
      <c r="F16" s="42">
        <v>33220498</v>
      </c>
      <c r="G16" s="41">
        <f t="shared" ref="G16:G40" si="7">IF(F17&lt;F16,0,F17-F16)</f>
        <v>1366</v>
      </c>
      <c r="H16" s="42">
        <v>14705768</v>
      </c>
      <c r="I16" s="41">
        <f t="shared" si="3"/>
        <v>582</v>
      </c>
    </row>
    <row r="17" spans="1:9" ht="21" thickTop="1" thickBot="1" x14ac:dyDescent="0.35">
      <c r="A17" s="39">
        <f t="shared" si="4"/>
        <v>44015</v>
      </c>
      <c r="B17" s="40">
        <v>123491</v>
      </c>
      <c r="C17" s="41">
        <f t="shared" si="5"/>
        <v>70</v>
      </c>
      <c r="D17" s="42">
        <v>18484561</v>
      </c>
      <c r="E17" s="41">
        <f t="shared" si="6"/>
        <v>989</v>
      </c>
      <c r="F17" s="42">
        <v>33221864</v>
      </c>
      <c r="G17" s="41">
        <f t="shared" si="7"/>
        <v>1448</v>
      </c>
      <c r="H17" s="42">
        <v>14706350</v>
      </c>
      <c r="I17" s="41">
        <f t="shared" ref="I17:I43" si="8">IF(H18&lt;H17,0,H18-H17)</f>
        <v>608</v>
      </c>
    </row>
    <row r="18" spans="1:9" ht="21" thickTop="1" thickBot="1" x14ac:dyDescent="0.35">
      <c r="A18" s="39">
        <f t="shared" si="4"/>
        <v>44016</v>
      </c>
      <c r="B18" s="40">
        <v>123498</v>
      </c>
      <c r="C18" s="41">
        <f t="shared" si="5"/>
        <v>60</v>
      </c>
      <c r="D18" s="42">
        <v>18485550</v>
      </c>
      <c r="E18" s="41">
        <f t="shared" si="6"/>
        <v>933</v>
      </c>
      <c r="F18" s="42">
        <v>33223312</v>
      </c>
      <c r="G18" s="41">
        <f t="shared" si="7"/>
        <v>1321</v>
      </c>
      <c r="H18" s="42">
        <v>14706958</v>
      </c>
      <c r="I18" s="41">
        <f t="shared" si="8"/>
        <v>591</v>
      </c>
    </row>
    <row r="19" spans="1:9" ht="21" thickTop="1" thickBot="1" x14ac:dyDescent="0.35">
      <c r="A19" s="39">
        <f t="shared" si="4"/>
        <v>44017</v>
      </c>
      <c r="B19" s="40">
        <v>123504</v>
      </c>
      <c r="C19" s="41">
        <f t="shared" si="5"/>
        <v>80</v>
      </c>
      <c r="D19" s="42">
        <v>18486483</v>
      </c>
      <c r="E19" s="41">
        <f t="shared" si="6"/>
        <v>934</v>
      </c>
      <c r="F19" s="42">
        <v>33224633</v>
      </c>
      <c r="G19" s="41">
        <f t="shared" si="7"/>
        <v>1294</v>
      </c>
      <c r="H19" s="42">
        <v>14707549</v>
      </c>
      <c r="I19" s="41">
        <f t="shared" si="8"/>
        <v>607</v>
      </c>
    </row>
    <row r="20" spans="1:9" ht="21" thickTop="1" thickBot="1" x14ac:dyDescent="0.35">
      <c r="A20" s="39">
        <f t="shared" si="4"/>
        <v>44018</v>
      </c>
      <c r="B20" s="40">
        <v>123512</v>
      </c>
      <c r="C20" s="41">
        <f t="shared" si="5"/>
        <v>80</v>
      </c>
      <c r="D20" s="42">
        <v>18487417</v>
      </c>
      <c r="E20" s="41">
        <f t="shared" si="6"/>
        <v>898</v>
      </c>
      <c r="F20" s="42">
        <v>33225927</v>
      </c>
      <c r="G20" s="41">
        <f t="shared" si="7"/>
        <v>1426</v>
      </c>
      <c r="H20" s="42">
        <v>14708156</v>
      </c>
      <c r="I20" s="41">
        <f t="shared" si="8"/>
        <v>621</v>
      </c>
    </row>
    <row r="21" spans="1:9" ht="21" thickTop="1" thickBot="1" x14ac:dyDescent="0.35">
      <c r="A21" s="39">
        <f t="shared" si="4"/>
        <v>44019</v>
      </c>
      <c r="B21" s="40">
        <v>123520</v>
      </c>
      <c r="C21" s="41">
        <f t="shared" si="5"/>
        <v>70</v>
      </c>
      <c r="D21" s="42">
        <v>18488315</v>
      </c>
      <c r="E21" s="41">
        <f t="shared" si="6"/>
        <v>963</v>
      </c>
      <c r="F21" s="42">
        <v>33227353</v>
      </c>
      <c r="G21" s="41">
        <f t="shared" si="7"/>
        <v>1581</v>
      </c>
      <c r="H21" s="42">
        <v>14708777</v>
      </c>
      <c r="I21" s="41">
        <f t="shared" si="8"/>
        <v>651</v>
      </c>
    </row>
    <row r="22" spans="1:9" ht="21" thickTop="1" thickBot="1" x14ac:dyDescent="0.35">
      <c r="A22" s="39">
        <f t="shared" si="4"/>
        <v>44020</v>
      </c>
      <c r="B22" s="40">
        <v>123527</v>
      </c>
      <c r="C22" s="41">
        <f t="shared" si="5"/>
        <v>90</v>
      </c>
      <c r="D22" s="42">
        <v>18489278</v>
      </c>
      <c r="E22" s="41">
        <f t="shared" si="6"/>
        <v>968</v>
      </c>
      <c r="F22" s="42">
        <v>33228934</v>
      </c>
      <c r="G22" s="41">
        <f t="shared" si="7"/>
        <v>1414</v>
      </c>
      <c r="H22" s="42">
        <v>14709428</v>
      </c>
      <c r="I22" s="41">
        <f t="shared" si="8"/>
        <v>631</v>
      </c>
    </row>
    <row r="23" spans="1:9" ht="21" thickTop="1" thickBot="1" x14ac:dyDescent="0.35">
      <c r="A23" s="39">
        <f t="shared" si="4"/>
        <v>44021</v>
      </c>
      <c r="B23" s="40">
        <v>123536</v>
      </c>
      <c r="C23" s="41">
        <f t="shared" si="5"/>
        <v>110</v>
      </c>
      <c r="D23" s="42">
        <v>18490246</v>
      </c>
      <c r="E23" s="41">
        <f t="shared" si="6"/>
        <v>970</v>
      </c>
      <c r="F23" s="42">
        <v>33230348</v>
      </c>
      <c r="G23" s="41">
        <f t="shared" si="7"/>
        <v>1456</v>
      </c>
      <c r="H23" s="42">
        <v>14710059</v>
      </c>
      <c r="I23" s="41">
        <f t="shared" si="8"/>
        <v>634</v>
      </c>
    </row>
    <row r="24" spans="1:9" ht="21" thickTop="1" thickBot="1" x14ac:dyDescent="0.35">
      <c r="A24" s="39">
        <f t="shared" si="4"/>
        <v>44022</v>
      </c>
      <c r="B24" s="40">
        <v>123547</v>
      </c>
      <c r="C24" s="41">
        <f t="shared" si="5"/>
        <v>130</v>
      </c>
      <c r="D24" s="42">
        <v>18491216</v>
      </c>
      <c r="E24" s="41">
        <f t="shared" si="6"/>
        <v>955</v>
      </c>
      <c r="F24" s="42">
        <v>33231804</v>
      </c>
      <c r="G24" s="41">
        <f t="shared" si="7"/>
        <v>1387</v>
      </c>
      <c r="H24" s="42">
        <v>14710693</v>
      </c>
      <c r="I24" s="41">
        <f t="shared" si="8"/>
        <v>584</v>
      </c>
    </row>
    <row r="25" spans="1:9" ht="21" thickTop="1" thickBot="1" x14ac:dyDescent="0.35">
      <c r="A25" s="39">
        <f t="shared" si="4"/>
        <v>44023</v>
      </c>
      <c r="B25" s="40">
        <v>123560</v>
      </c>
      <c r="C25" s="41">
        <f t="shared" si="5"/>
        <v>110</v>
      </c>
      <c r="D25" s="42">
        <v>18492171</v>
      </c>
      <c r="E25" s="41">
        <f t="shared" si="6"/>
        <v>804</v>
      </c>
      <c r="F25" s="42">
        <v>33233191</v>
      </c>
      <c r="G25" s="41">
        <f t="shared" si="7"/>
        <v>1366</v>
      </c>
      <c r="H25" s="42">
        <v>14711277</v>
      </c>
      <c r="I25" s="41">
        <f t="shared" si="8"/>
        <v>540</v>
      </c>
    </row>
    <row r="26" spans="1:9" ht="21" thickTop="1" thickBot="1" x14ac:dyDescent="0.35">
      <c r="A26" s="39">
        <f t="shared" si="4"/>
        <v>44024</v>
      </c>
      <c r="B26" s="40">
        <v>123571</v>
      </c>
      <c r="C26" s="41">
        <f t="shared" si="5"/>
        <v>100</v>
      </c>
      <c r="D26" s="42">
        <v>18492975</v>
      </c>
      <c r="E26" s="41">
        <f t="shared" si="6"/>
        <v>912</v>
      </c>
      <c r="F26" s="42">
        <v>33234557</v>
      </c>
      <c r="G26" s="41">
        <f t="shared" si="7"/>
        <v>1366</v>
      </c>
      <c r="H26" s="42">
        <v>14711817</v>
      </c>
      <c r="I26" s="41">
        <f t="shared" si="8"/>
        <v>601</v>
      </c>
    </row>
    <row r="27" spans="1:9" ht="21" thickTop="1" thickBot="1" x14ac:dyDescent="0.35">
      <c r="A27" s="39">
        <f t="shared" si="4"/>
        <v>44025</v>
      </c>
      <c r="B27" s="40">
        <v>123581</v>
      </c>
      <c r="C27" s="41">
        <f t="shared" si="5"/>
        <v>100</v>
      </c>
      <c r="D27" s="42">
        <v>18493887</v>
      </c>
      <c r="E27" s="41">
        <f t="shared" si="6"/>
        <v>905</v>
      </c>
      <c r="F27" s="42">
        <v>33235923</v>
      </c>
      <c r="G27" s="41">
        <f t="shared" si="7"/>
        <v>1497</v>
      </c>
      <c r="H27" s="42">
        <v>14712418</v>
      </c>
      <c r="I27" s="41">
        <f t="shared" si="8"/>
        <v>616</v>
      </c>
    </row>
    <row r="28" spans="1:9" ht="21" thickTop="1" thickBot="1" x14ac:dyDescent="0.35">
      <c r="A28" s="39">
        <f t="shared" si="4"/>
        <v>44026</v>
      </c>
      <c r="B28" s="40">
        <v>123591</v>
      </c>
      <c r="C28" s="41">
        <f t="shared" si="5"/>
        <v>100</v>
      </c>
      <c r="D28" s="42">
        <v>18494792</v>
      </c>
      <c r="E28" s="41">
        <f t="shared" si="6"/>
        <v>894</v>
      </c>
      <c r="F28" s="42">
        <v>33237420</v>
      </c>
      <c r="G28" s="41">
        <f t="shared" si="7"/>
        <v>1500</v>
      </c>
      <c r="H28" s="42">
        <v>14713034</v>
      </c>
      <c r="I28" s="41">
        <f t="shared" si="8"/>
        <v>610</v>
      </c>
    </row>
    <row r="29" spans="1:9" ht="21" thickTop="1" thickBot="1" x14ac:dyDescent="0.35">
      <c r="A29" s="39">
        <f t="shared" si="4"/>
        <v>44027</v>
      </c>
      <c r="B29" s="40">
        <v>123601</v>
      </c>
      <c r="C29" s="41">
        <f t="shared" si="5"/>
        <v>100</v>
      </c>
      <c r="D29" s="42">
        <v>18495686</v>
      </c>
      <c r="E29" s="41">
        <f t="shared" si="6"/>
        <v>933</v>
      </c>
      <c r="F29" s="42">
        <v>33238920</v>
      </c>
      <c r="G29" s="41">
        <f t="shared" si="7"/>
        <v>1482</v>
      </c>
      <c r="H29" s="42">
        <v>14713644</v>
      </c>
      <c r="I29" s="41">
        <f t="shared" si="8"/>
        <v>639</v>
      </c>
    </row>
    <row r="30" spans="1:9" ht="21" thickTop="1" thickBot="1" x14ac:dyDescent="0.35">
      <c r="A30" s="39">
        <f t="shared" si="4"/>
        <v>44028</v>
      </c>
      <c r="B30" s="40">
        <v>123611</v>
      </c>
      <c r="C30" s="41">
        <f t="shared" si="5"/>
        <v>90</v>
      </c>
      <c r="D30" s="42">
        <v>18496619</v>
      </c>
      <c r="E30" s="41">
        <f t="shared" si="6"/>
        <v>1007</v>
      </c>
      <c r="F30" s="42">
        <v>33240402</v>
      </c>
      <c r="G30" s="41">
        <f t="shared" si="7"/>
        <v>1480</v>
      </c>
      <c r="H30" s="42">
        <v>14714283</v>
      </c>
      <c r="I30" s="41">
        <f t="shared" si="8"/>
        <v>618</v>
      </c>
    </row>
    <row r="31" spans="1:9" ht="21" thickTop="1" thickBot="1" x14ac:dyDescent="0.35">
      <c r="A31" s="39">
        <f t="shared" si="4"/>
        <v>44029</v>
      </c>
      <c r="B31" s="40">
        <v>123620</v>
      </c>
      <c r="C31" s="41">
        <f t="shared" si="5"/>
        <v>90</v>
      </c>
      <c r="D31" s="42">
        <v>18497626</v>
      </c>
      <c r="E31" s="41">
        <f t="shared" si="6"/>
        <v>954</v>
      </c>
      <c r="F31" s="42">
        <v>33241882</v>
      </c>
      <c r="G31" s="41">
        <f t="shared" si="7"/>
        <v>1522</v>
      </c>
      <c r="H31" s="42">
        <v>14714901</v>
      </c>
      <c r="I31" s="41">
        <f t="shared" si="8"/>
        <v>615</v>
      </c>
    </row>
    <row r="32" spans="1:9" ht="21" thickTop="1" thickBot="1" x14ac:dyDescent="0.35">
      <c r="A32" s="39">
        <f t="shared" si="4"/>
        <v>44030</v>
      </c>
      <c r="B32" s="40">
        <v>123629</v>
      </c>
      <c r="C32" s="41">
        <f t="shared" si="5"/>
        <v>80</v>
      </c>
      <c r="D32" s="42">
        <v>18498580</v>
      </c>
      <c r="E32" s="41">
        <f t="shared" si="6"/>
        <v>948</v>
      </c>
      <c r="F32" s="42">
        <v>33243404</v>
      </c>
      <c r="G32" s="41">
        <f t="shared" si="7"/>
        <v>1409</v>
      </c>
      <c r="H32" s="42">
        <v>14715516</v>
      </c>
      <c r="I32" s="41">
        <f t="shared" si="8"/>
        <v>581</v>
      </c>
    </row>
    <row r="33" spans="1:9" ht="21" thickTop="1" thickBot="1" x14ac:dyDescent="0.35">
      <c r="A33" s="39">
        <f t="shared" si="4"/>
        <v>44031</v>
      </c>
      <c r="B33" s="40">
        <v>123637</v>
      </c>
      <c r="C33" s="41">
        <f t="shared" si="5"/>
        <v>80</v>
      </c>
      <c r="D33" s="42">
        <v>18499528</v>
      </c>
      <c r="E33" s="41">
        <f t="shared" si="6"/>
        <v>936</v>
      </c>
      <c r="F33" s="42">
        <v>33244813</v>
      </c>
      <c r="G33" s="41">
        <f t="shared" si="7"/>
        <v>1364</v>
      </c>
      <c r="H33" s="42">
        <v>14716097</v>
      </c>
      <c r="I33" s="41">
        <f t="shared" si="8"/>
        <v>587</v>
      </c>
    </row>
    <row r="34" spans="1:9" ht="21" thickTop="1" thickBot="1" x14ac:dyDescent="0.35">
      <c r="A34" s="39">
        <f t="shared" si="4"/>
        <v>44032</v>
      </c>
      <c r="B34" s="40">
        <v>123645</v>
      </c>
      <c r="C34" s="41">
        <f t="shared" si="5"/>
        <v>90</v>
      </c>
      <c r="D34" s="42">
        <v>18500464</v>
      </c>
      <c r="E34" s="41">
        <f t="shared" si="6"/>
        <v>983</v>
      </c>
      <c r="F34" s="42">
        <v>33246177</v>
      </c>
      <c r="G34" s="41">
        <f t="shared" si="7"/>
        <v>1449</v>
      </c>
      <c r="H34" s="42">
        <v>14716684</v>
      </c>
      <c r="I34" s="41">
        <f t="shared" si="8"/>
        <v>624</v>
      </c>
    </row>
    <row r="35" spans="1:9" ht="21" thickTop="1" thickBot="1" x14ac:dyDescent="0.35">
      <c r="A35" s="39">
        <f t="shared" si="4"/>
        <v>44033</v>
      </c>
      <c r="B35" s="40">
        <v>123654</v>
      </c>
      <c r="C35" s="41">
        <f t="shared" si="5"/>
        <v>90</v>
      </c>
      <c r="D35" s="42">
        <v>18501447</v>
      </c>
      <c r="E35" s="41">
        <f t="shared" si="6"/>
        <v>904</v>
      </c>
      <c r="F35" s="42">
        <v>33247626</v>
      </c>
      <c r="G35" s="41">
        <f t="shared" si="7"/>
        <v>1559</v>
      </c>
      <c r="H35" s="42">
        <v>14717308</v>
      </c>
      <c r="I35" s="41">
        <f t="shared" si="8"/>
        <v>613</v>
      </c>
    </row>
    <row r="36" spans="1:9" ht="21" thickTop="1" thickBot="1" x14ac:dyDescent="0.35">
      <c r="A36" s="39">
        <f t="shared" si="4"/>
        <v>44034</v>
      </c>
      <c r="B36" s="40">
        <v>123663</v>
      </c>
      <c r="C36" s="41">
        <f t="shared" si="5"/>
        <v>100</v>
      </c>
      <c r="D36" s="42">
        <v>18502351</v>
      </c>
      <c r="E36" s="41">
        <f t="shared" si="6"/>
        <v>943</v>
      </c>
      <c r="F36" s="42">
        <v>33249185</v>
      </c>
      <c r="G36" s="41">
        <f t="shared" si="7"/>
        <v>1466</v>
      </c>
      <c r="H36" s="42">
        <v>14717921</v>
      </c>
      <c r="I36" s="41">
        <f t="shared" si="8"/>
        <v>606</v>
      </c>
    </row>
    <row r="37" spans="1:9" ht="21" thickTop="1" thickBot="1" x14ac:dyDescent="0.35">
      <c r="A37" s="39">
        <f t="shared" si="4"/>
        <v>44035</v>
      </c>
      <c r="B37" s="40">
        <v>123673</v>
      </c>
      <c r="C37" s="41">
        <f t="shared" si="5"/>
        <v>130</v>
      </c>
      <c r="D37" s="42">
        <v>18503294</v>
      </c>
      <c r="E37" s="41">
        <f t="shared" si="6"/>
        <v>920</v>
      </c>
      <c r="F37" s="42">
        <v>33250651</v>
      </c>
      <c r="G37" s="41">
        <f t="shared" si="7"/>
        <v>1416</v>
      </c>
      <c r="H37" s="42">
        <v>14718527</v>
      </c>
      <c r="I37" s="41">
        <f t="shared" si="8"/>
        <v>579</v>
      </c>
    </row>
    <row r="38" spans="1:9" ht="21" thickTop="1" thickBot="1" x14ac:dyDescent="0.35">
      <c r="A38" s="39">
        <f t="shared" si="4"/>
        <v>44036</v>
      </c>
      <c r="B38" s="40">
        <v>123686</v>
      </c>
      <c r="C38" s="41">
        <f t="shared" si="5"/>
        <v>100</v>
      </c>
      <c r="D38" s="42">
        <v>18504214</v>
      </c>
      <c r="E38" s="41">
        <f t="shared" si="6"/>
        <v>938</v>
      </c>
      <c r="F38" s="42">
        <v>33252067</v>
      </c>
      <c r="G38" s="41">
        <f t="shared" si="7"/>
        <v>1504</v>
      </c>
      <c r="H38" s="42">
        <v>14719106</v>
      </c>
      <c r="I38" s="41">
        <f t="shared" si="8"/>
        <v>606</v>
      </c>
    </row>
    <row r="39" spans="1:9" ht="21" thickTop="1" thickBot="1" x14ac:dyDescent="0.35">
      <c r="A39" s="39">
        <f t="shared" si="4"/>
        <v>44037</v>
      </c>
      <c r="B39" s="40">
        <v>123696</v>
      </c>
      <c r="C39" s="41">
        <f t="shared" si="5"/>
        <v>70</v>
      </c>
      <c r="D39" s="42">
        <v>18505152</v>
      </c>
      <c r="E39" s="41">
        <f t="shared" si="6"/>
        <v>932</v>
      </c>
      <c r="F39" s="42">
        <v>33253571</v>
      </c>
      <c r="G39" s="41">
        <f t="shared" si="7"/>
        <v>1411</v>
      </c>
      <c r="H39" s="42">
        <v>14719712</v>
      </c>
      <c r="I39" s="41">
        <f t="shared" si="8"/>
        <v>600</v>
      </c>
    </row>
    <row r="40" spans="1:9" ht="21" thickTop="1" thickBot="1" x14ac:dyDescent="0.35">
      <c r="A40" s="39">
        <f t="shared" si="4"/>
        <v>44038</v>
      </c>
      <c r="B40" s="40">
        <v>123703</v>
      </c>
      <c r="C40" s="41">
        <f t="shared" si="5"/>
        <v>0</v>
      </c>
      <c r="D40" s="42">
        <v>18506084</v>
      </c>
      <c r="E40" s="41">
        <f t="shared" si="6"/>
        <v>0</v>
      </c>
      <c r="F40" s="42">
        <v>33254982</v>
      </c>
      <c r="G40" s="41">
        <f t="shared" si="7"/>
        <v>0</v>
      </c>
      <c r="H40" s="42">
        <v>14720312</v>
      </c>
      <c r="I40" s="41">
        <f t="shared" si="8"/>
        <v>0</v>
      </c>
    </row>
    <row r="41" spans="1:9" ht="21" thickTop="1" thickBot="1" x14ac:dyDescent="0.35">
      <c r="A41" s="39">
        <f t="shared" si="4"/>
        <v>44039</v>
      </c>
      <c r="B41" s="40"/>
      <c r="C41" s="41">
        <f t="shared" ref="C40:C47" si="9">IF(B42&lt;B41,0,B42-B41)*10</f>
        <v>0</v>
      </c>
      <c r="D41" s="42"/>
      <c r="E41" s="41">
        <f t="shared" ref="E40:E47" si="10">IF(D42&lt;D41,0,D42-D41)</f>
        <v>0</v>
      </c>
      <c r="F41" s="42"/>
      <c r="G41" s="41">
        <f t="shared" ref="G40:G47" si="11">IF(F42&lt;F41,0,F42-F41)</f>
        <v>0</v>
      </c>
      <c r="H41" s="42"/>
      <c r="I41" s="41">
        <f t="shared" si="8"/>
        <v>0</v>
      </c>
    </row>
    <row r="42" spans="1:9" ht="21" thickTop="1" thickBot="1" x14ac:dyDescent="0.35">
      <c r="A42" s="39">
        <f t="shared" si="4"/>
        <v>44040</v>
      </c>
      <c r="B42" s="40"/>
      <c r="C42" s="41">
        <f t="shared" si="9"/>
        <v>0</v>
      </c>
      <c r="D42" s="42"/>
      <c r="E42" s="41">
        <f t="shared" si="10"/>
        <v>0</v>
      </c>
      <c r="F42" s="42"/>
      <c r="G42" s="41">
        <f t="shared" si="11"/>
        <v>0</v>
      </c>
      <c r="H42" s="42"/>
      <c r="I42" s="41">
        <f t="shared" si="8"/>
        <v>0</v>
      </c>
    </row>
    <row r="43" spans="1:9" ht="21" thickTop="1" thickBot="1" x14ac:dyDescent="0.35">
      <c r="A43" s="39">
        <f t="shared" si="4"/>
        <v>44041</v>
      </c>
      <c r="B43" s="40"/>
      <c r="C43" s="41">
        <f t="shared" si="9"/>
        <v>0</v>
      </c>
      <c r="D43" s="42"/>
      <c r="E43" s="41">
        <f t="shared" si="10"/>
        <v>0</v>
      </c>
      <c r="F43" s="42"/>
      <c r="G43" s="41">
        <f t="shared" si="11"/>
        <v>0</v>
      </c>
      <c r="H43" s="42"/>
      <c r="I43" s="41">
        <f t="shared" si="8"/>
        <v>0</v>
      </c>
    </row>
    <row r="44" spans="1:9" ht="21" thickTop="1" thickBot="1" x14ac:dyDescent="0.35">
      <c r="A44" s="39">
        <f t="shared" si="4"/>
        <v>44042</v>
      </c>
      <c r="B44" s="40"/>
      <c r="C44" s="41">
        <f t="shared" si="9"/>
        <v>0</v>
      </c>
      <c r="D44" s="42"/>
      <c r="E44" s="41">
        <f t="shared" si="10"/>
        <v>0</v>
      </c>
      <c r="F44" s="42"/>
      <c r="G44" s="41">
        <f t="shared" si="11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44043</v>
      </c>
      <c r="B45" s="40"/>
      <c r="C45" s="41">
        <f t="shared" si="9"/>
        <v>0</v>
      </c>
      <c r="D45" s="42"/>
      <c r="E45" s="41">
        <f t="shared" si="10"/>
        <v>0</v>
      </c>
      <c r="F45" s="42"/>
      <c r="G45" s="41">
        <f t="shared" si="11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44044</v>
      </c>
      <c r="B46" s="40"/>
      <c r="C46" s="41">
        <f t="shared" si="9"/>
        <v>0</v>
      </c>
      <c r="D46" s="42"/>
      <c r="E46" s="41">
        <f t="shared" si="10"/>
        <v>0</v>
      </c>
      <c r="F46" s="42"/>
      <c r="G46" s="41">
        <f t="shared" si="11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44045</v>
      </c>
      <c r="B47" s="40"/>
      <c r="C47" s="41">
        <f t="shared" si="9"/>
        <v>0</v>
      </c>
      <c r="D47" s="42"/>
      <c r="E47" s="41">
        <f t="shared" si="10"/>
        <v>0</v>
      </c>
      <c r="F47" s="42"/>
      <c r="G47" s="41">
        <f t="shared" si="11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2180</v>
      </c>
      <c r="E48" s="41">
        <f>SUM(E16:E45)</f>
        <v>22436</v>
      </c>
      <c r="F48" s="53"/>
      <c r="G48" s="41">
        <f>SUM(G16:G45)</f>
        <v>34484</v>
      </c>
      <c r="H48" s="53"/>
      <c r="I48" s="41">
        <f>SUM(I16:I45)</f>
        <v>14544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2" priority="634" stopIfTrue="1" operator="lessThanOrEqual">
      <formula>0</formula>
    </cfRule>
  </conditionalFormatting>
  <conditionalFormatting sqref="C48">
    <cfRule type="cellIs" dxfId="91" priority="296" stopIfTrue="1" operator="lessThanOrEqual">
      <formula>0</formula>
    </cfRule>
  </conditionalFormatting>
  <conditionalFormatting sqref="C48">
    <cfRule type="cellIs" dxfId="90" priority="295" stopIfTrue="1" operator="lessThanOrEqual">
      <formula>0</formula>
    </cfRule>
  </conditionalFormatting>
  <conditionalFormatting sqref="C48">
    <cfRule type="cellIs" dxfId="89" priority="294" stopIfTrue="1" operator="lessThanOrEqual">
      <formula>0</formula>
    </cfRule>
  </conditionalFormatting>
  <conditionalFormatting sqref="C48">
    <cfRule type="cellIs" dxfId="88" priority="293" stopIfTrue="1" operator="lessThanOrEqual">
      <formula>0</formula>
    </cfRule>
  </conditionalFormatting>
  <conditionalFormatting sqref="E48">
    <cfRule type="cellIs" dxfId="87" priority="236" stopIfTrue="1" operator="lessThanOrEqual">
      <formula>0</formula>
    </cfRule>
  </conditionalFormatting>
  <conditionalFormatting sqref="E48">
    <cfRule type="cellIs" dxfId="86" priority="235" stopIfTrue="1" operator="lessThanOrEqual">
      <formula>0</formula>
    </cfRule>
  </conditionalFormatting>
  <conditionalFormatting sqref="E48">
    <cfRule type="cellIs" dxfId="85" priority="234" stopIfTrue="1" operator="lessThanOrEqual">
      <formula>0</formula>
    </cfRule>
  </conditionalFormatting>
  <conditionalFormatting sqref="E48">
    <cfRule type="cellIs" dxfId="84" priority="233" stopIfTrue="1" operator="lessThanOrEqual">
      <formula>0</formula>
    </cfRule>
  </conditionalFormatting>
  <conditionalFormatting sqref="G48">
    <cfRule type="cellIs" dxfId="83" priority="232" stopIfTrue="1" operator="lessThanOrEqual">
      <formula>0</formula>
    </cfRule>
  </conditionalFormatting>
  <conditionalFormatting sqref="G48">
    <cfRule type="cellIs" dxfId="82" priority="231" stopIfTrue="1" operator="lessThanOrEqual">
      <formula>0</formula>
    </cfRule>
  </conditionalFormatting>
  <conditionalFormatting sqref="G48">
    <cfRule type="cellIs" dxfId="81" priority="230" stopIfTrue="1" operator="lessThanOrEqual">
      <formula>0</formula>
    </cfRule>
  </conditionalFormatting>
  <conditionalFormatting sqref="G48">
    <cfRule type="cellIs" dxfId="80" priority="229" stopIfTrue="1" operator="lessThanOrEqual">
      <formula>0</formula>
    </cfRule>
  </conditionalFormatting>
  <conditionalFormatting sqref="I48">
    <cfRule type="cellIs" dxfId="79" priority="228" stopIfTrue="1" operator="lessThanOrEqual">
      <formula>0</formula>
    </cfRule>
  </conditionalFormatting>
  <conditionalFormatting sqref="I48">
    <cfRule type="cellIs" dxfId="78" priority="227" stopIfTrue="1" operator="lessThanOrEqual">
      <formula>0</formula>
    </cfRule>
  </conditionalFormatting>
  <conditionalFormatting sqref="I48">
    <cfRule type="cellIs" dxfId="77" priority="226" stopIfTrue="1" operator="lessThanOrEqual">
      <formula>0</formula>
    </cfRule>
  </conditionalFormatting>
  <conditionalFormatting sqref="I48">
    <cfRule type="cellIs" dxfId="76" priority="225" stopIfTrue="1" operator="lessThanOrEqual">
      <formula>0</formula>
    </cfRule>
  </conditionalFormatting>
  <conditionalFormatting sqref="C41:C47">
    <cfRule type="cellIs" dxfId="75" priority="80" stopIfTrue="1" operator="lessThanOrEqual">
      <formula>0</formula>
    </cfRule>
  </conditionalFormatting>
  <conditionalFormatting sqref="C41:C47">
    <cfRule type="cellIs" dxfId="74" priority="79" stopIfTrue="1" operator="lessThanOrEqual">
      <formula>0</formula>
    </cfRule>
  </conditionalFormatting>
  <conditionalFormatting sqref="C41:C47">
    <cfRule type="cellIs" dxfId="73" priority="78" stopIfTrue="1" operator="lessThanOrEqual">
      <formula>0</formula>
    </cfRule>
  </conditionalFormatting>
  <conditionalFormatting sqref="C41:C47">
    <cfRule type="cellIs" dxfId="72" priority="77" stopIfTrue="1" operator="lessThanOrEqual">
      <formula>0</formula>
    </cfRule>
  </conditionalFormatting>
  <conditionalFormatting sqref="C9">
    <cfRule type="cellIs" dxfId="71" priority="76" stopIfTrue="1" operator="lessThanOrEqual">
      <formula>0</formula>
    </cfRule>
  </conditionalFormatting>
  <conditionalFormatting sqref="C9">
    <cfRule type="cellIs" dxfId="70" priority="75" stopIfTrue="1" operator="lessThanOrEqual">
      <formula>0</formula>
    </cfRule>
  </conditionalFormatting>
  <conditionalFormatting sqref="C9">
    <cfRule type="cellIs" dxfId="69" priority="74" stopIfTrue="1" operator="lessThanOrEqual">
      <formula>0</formula>
    </cfRule>
  </conditionalFormatting>
  <conditionalFormatting sqref="C9">
    <cfRule type="cellIs" dxfId="68" priority="73" stopIfTrue="1" operator="lessThanOrEqual">
      <formula>0</formula>
    </cfRule>
  </conditionalFormatting>
  <conditionalFormatting sqref="C11">
    <cfRule type="cellIs" dxfId="67" priority="72" stopIfTrue="1" operator="lessThanOrEqual">
      <formula>0</formula>
    </cfRule>
  </conditionalFormatting>
  <conditionalFormatting sqref="C11">
    <cfRule type="cellIs" dxfId="66" priority="71" stopIfTrue="1" operator="lessThanOrEqual">
      <formula>0</formula>
    </cfRule>
  </conditionalFormatting>
  <conditionalFormatting sqref="C11">
    <cfRule type="cellIs" dxfId="65" priority="70" stopIfTrue="1" operator="lessThanOrEqual">
      <formula>0</formula>
    </cfRule>
  </conditionalFormatting>
  <conditionalFormatting sqref="C11">
    <cfRule type="cellIs" dxfId="64" priority="69" stopIfTrue="1" operator="lessThanOrEqual">
      <formula>0</formula>
    </cfRule>
  </conditionalFormatting>
  <conditionalFormatting sqref="C10">
    <cfRule type="cellIs" dxfId="63" priority="68" stopIfTrue="1" operator="lessThanOrEqual">
      <formula>0</formula>
    </cfRule>
  </conditionalFormatting>
  <conditionalFormatting sqref="C10">
    <cfRule type="cellIs" dxfId="62" priority="67" stopIfTrue="1" operator="lessThanOrEqual">
      <formula>0</formula>
    </cfRule>
  </conditionalFormatting>
  <conditionalFormatting sqref="C10">
    <cfRule type="cellIs" dxfId="61" priority="66" stopIfTrue="1" operator="lessThanOrEqual">
      <formula>0</formula>
    </cfRule>
  </conditionalFormatting>
  <conditionalFormatting sqref="C10">
    <cfRule type="cellIs" dxfId="60" priority="65" stopIfTrue="1" operator="lessThanOrEqual">
      <formula>0</formula>
    </cfRule>
  </conditionalFormatting>
  <conditionalFormatting sqref="C12">
    <cfRule type="cellIs" dxfId="59" priority="64" stopIfTrue="1" operator="lessThanOrEqual">
      <formula>0</formula>
    </cfRule>
  </conditionalFormatting>
  <conditionalFormatting sqref="C12">
    <cfRule type="cellIs" dxfId="58" priority="63" stopIfTrue="1" operator="lessThanOrEqual">
      <formula>0</formula>
    </cfRule>
  </conditionalFormatting>
  <conditionalFormatting sqref="C12">
    <cfRule type="cellIs" dxfId="57" priority="62" stopIfTrue="1" operator="lessThanOrEqual">
      <formula>0</formula>
    </cfRule>
  </conditionalFormatting>
  <conditionalFormatting sqref="C12">
    <cfRule type="cellIs" dxfId="56" priority="61" stopIfTrue="1" operator="lessThanOrEqual">
      <formula>0</formula>
    </cfRule>
  </conditionalFormatting>
  <conditionalFormatting sqref="C13">
    <cfRule type="cellIs" dxfId="55" priority="60" stopIfTrue="1" operator="lessThanOrEqual">
      <formula>0</formula>
    </cfRule>
  </conditionalFormatting>
  <conditionalFormatting sqref="C13">
    <cfRule type="cellIs" dxfId="54" priority="59" stopIfTrue="1" operator="lessThanOrEqual">
      <formula>0</formula>
    </cfRule>
  </conditionalFormatting>
  <conditionalFormatting sqref="C13">
    <cfRule type="cellIs" dxfId="53" priority="58" stopIfTrue="1" operator="lessThanOrEqual">
      <formula>0</formula>
    </cfRule>
  </conditionalFormatting>
  <conditionalFormatting sqref="C13">
    <cfRule type="cellIs" dxfId="52" priority="57" stopIfTrue="1" operator="lessThanOrEqual">
      <formula>0</formula>
    </cfRule>
  </conditionalFormatting>
  <conditionalFormatting sqref="C14">
    <cfRule type="cellIs" dxfId="51" priority="56" stopIfTrue="1" operator="lessThanOrEqual">
      <formula>0</formula>
    </cfRule>
  </conditionalFormatting>
  <conditionalFormatting sqref="C14">
    <cfRule type="cellIs" dxfId="50" priority="55" stopIfTrue="1" operator="lessThanOrEqual">
      <formula>0</formula>
    </cfRule>
  </conditionalFormatting>
  <conditionalFormatting sqref="C14">
    <cfRule type="cellIs" dxfId="49" priority="54" stopIfTrue="1" operator="lessThanOrEqual">
      <formula>0</formula>
    </cfRule>
  </conditionalFormatting>
  <conditionalFormatting sqref="C14">
    <cfRule type="cellIs" dxfId="48" priority="53" stopIfTrue="1" operator="lessThanOrEqual">
      <formula>0</formula>
    </cfRule>
  </conditionalFormatting>
  <conditionalFormatting sqref="C16:C20">
    <cfRule type="cellIs" dxfId="47" priority="48" stopIfTrue="1" operator="lessThanOrEqual">
      <formula>0</formula>
    </cfRule>
  </conditionalFormatting>
  <conditionalFormatting sqref="C16:C20">
    <cfRule type="cellIs" dxfId="46" priority="47" stopIfTrue="1" operator="lessThanOrEqual">
      <formula>0</formula>
    </cfRule>
  </conditionalFormatting>
  <conditionalFormatting sqref="C16:C20">
    <cfRule type="cellIs" dxfId="45" priority="46" stopIfTrue="1" operator="lessThanOrEqual">
      <formula>0</formula>
    </cfRule>
  </conditionalFormatting>
  <conditionalFormatting sqref="C16:C20">
    <cfRule type="cellIs" dxfId="44" priority="45" stopIfTrue="1" operator="lessThanOrEqual">
      <formula>0</formula>
    </cfRule>
  </conditionalFormatting>
  <conditionalFormatting sqref="C15">
    <cfRule type="cellIs" dxfId="43" priority="44" stopIfTrue="1" operator="lessThanOrEqual">
      <formula>0</formula>
    </cfRule>
  </conditionalFormatting>
  <conditionalFormatting sqref="C15">
    <cfRule type="cellIs" dxfId="42" priority="43" stopIfTrue="1" operator="lessThanOrEqual">
      <formula>0</formula>
    </cfRule>
  </conditionalFormatting>
  <conditionalFormatting sqref="C15">
    <cfRule type="cellIs" dxfId="41" priority="42" stopIfTrue="1" operator="lessThanOrEqual">
      <formula>0</formula>
    </cfRule>
  </conditionalFormatting>
  <conditionalFormatting sqref="C15">
    <cfRule type="cellIs" dxfId="40" priority="41" stopIfTrue="1" operator="lessThanOrEqual">
      <formula>0</formula>
    </cfRule>
  </conditionalFormatting>
  <conditionalFormatting sqref="C21">
    <cfRule type="cellIs" dxfId="39" priority="40" stopIfTrue="1" operator="lessThanOrEqual">
      <formula>0</formula>
    </cfRule>
  </conditionalFormatting>
  <conditionalFormatting sqref="C21">
    <cfRule type="cellIs" dxfId="38" priority="39" stopIfTrue="1" operator="lessThanOrEqual">
      <formula>0</formula>
    </cfRule>
  </conditionalFormatting>
  <conditionalFormatting sqref="C21">
    <cfRule type="cellIs" dxfId="37" priority="38" stopIfTrue="1" operator="lessThanOrEqual">
      <formula>0</formula>
    </cfRule>
  </conditionalFormatting>
  <conditionalFormatting sqref="C21">
    <cfRule type="cellIs" dxfId="36" priority="37" stopIfTrue="1" operator="lessThanOrEqual">
      <formula>0</formula>
    </cfRule>
  </conditionalFormatting>
  <conditionalFormatting sqref="C22">
    <cfRule type="cellIs" dxfId="35" priority="36" stopIfTrue="1" operator="lessThanOrEqual">
      <formula>0</formula>
    </cfRule>
  </conditionalFormatting>
  <conditionalFormatting sqref="C22">
    <cfRule type="cellIs" dxfId="34" priority="35" stopIfTrue="1" operator="lessThanOrEqual">
      <formula>0</formula>
    </cfRule>
  </conditionalFormatting>
  <conditionalFormatting sqref="C22">
    <cfRule type="cellIs" dxfId="33" priority="34" stopIfTrue="1" operator="lessThanOrEqual">
      <formula>0</formula>
    </cfRule>
  </conditionalFormatting>
  <conditionalFormatting sqref="C22">
    <cfRule type="cellIs" dxfId="32" priority="33" stopIfTrue="1" operator="lessThanOrEqual">
      <formula>0</formula>
    </cfRule>
  </conditionalFormatting>
  <conditionalFormatting sqref="C23">
    <cfRule type="cellIs" dxfId="31" priority="32" stopIfTrue="1" operator="lessThanOrEqual">
      <formula>0</formula>
    </cfRule>
  </conditionalFormatting>
  <conditionalFormatting sqref="C23">
    <cfRule type="cellIs" dxfId="30" priority="31" stopIfTrue="1" operator="lessThanOrEqual">
      <formula>0</formula>
    </cfRule>
  </conditionalFormatting>
  <conditionalFormatting sqref="C23">
    <cfRule type="cellIs" dxfId="29" priority="30" stopIfTrue="1" operator="lessThanOrEqual">
      <formula>0</formula>
    </cfRule>
  </conditionalFormatting>
  <conditionalFormatting sqref="C23">
    <cfRule type="cellIs" dxfId="28" priority="29" stopIfTrue="1" operator="lessThanOrEqual">
      <formula>0</formula>
    </cfRule>
  </conditionalFormatting>
  <conditionalFormatting sqref="C24:C35">
    <cfRule type="cellIs" dxfId="27" priority="24" stopIfTrue="1" operator="lessThanOrEqual">
      <formula>0</formula>
    </cfRule>
  </conditionalFormatting>
  <conditionalFormatting sqref="C24:C35">
    <cfRule type="cellIs" dxfId="26" priority="23" stopIfTrue="1" operator="lessThanOrEqual">
      <formula>0</formula>
    </cfRule>
  </conditionalFormatting>
  <conditionalFormatting sqref="C24:C35">
    <cfRule type="cellIs" dxfId="25" priority="22" stopIfTrue="1" operator="lessThanOrEqual">
      <formula>0</formula>
    </cfRule>
  </conditionalFormatting>
  <conditionalFormatting sqref="C24:C35">
    <cfRule type="cellIs" dxfId="24" priority="21" stopIfTrue="1" operator="lessThanOrEqual">
      <formula>0</formula>
    </cfRule>
  </conditionalFormatting>
  <conditionalFormatting sqref="C36">
    <cfRule type="cellIs" dxfId="23" priority="20" stopIfTrue="1" operator="lessThanOrEqual">
      <formula>0</formula>
    </cfRule>
  </conditionalFormatting>
  <conditionalFormatting sqref="C36">
    <cfRule type="cellIs" dxfId="22" priority="19" stopIfTrue="1" operator="lessThanOrEqual">
      <formula>0</formula>
    </cfRule>
  </conditionalFormatting>
  <conditionalFormatting sqref="C36">
    <cfRule type="cellIs" dxfId="21" priority="18" stopIfTrue="1" operator="lessThanOrEqual">
      <formula>0</formula>
    </cfRule>
  </conditionalFormatting>
  <conditionalFormatting sqref="C36">
    <cfRule type="cellIs" dxfId="20" priority="17" stopIfTrue="1" operator="lessThanOrEqual">
      <formula>0</formula>
    </cfRule>
  </conditionalFormatting>
  <conditionalFormatting sqref="C37">
    <cfRule type="cellIs" dxfId="19" priority="16" stopIfTrue="1" operator="lessThanOrEqual">
      <formula>0</formula>
    </cfRule>
  </conditionalFormatting>
  <conditionalFormatting sqref="C37">
    <cfRule type="cellIs" dxfId="18" priority="15" stopIfTrue="1" operator="lessThanOrEqual">
      <formula>0</formula>
    </cfRule>
  </conditionalFormatting>
  <conditionalFormatting sqref="C37">
    <cfRule type="cellIs" dxfId="17" priority="14" stopIfTrue="1" operator="lessThanOrEqual">
      <formula>0</formula>
    </cfRule>
  </conditionalFormatting>
  <conditionalFormatting sqref="C37">
    <cfRule type="cellIs" dxfId="16" priority="13" stopIfTrue="1" operator="lessThanOrEqual">
      <formula>0</formula>
    </cfRule>
  </conditionalFormatting>
  <conditionalFormatting sqref="C38">
    <cfRule type="cellIs" dxfId="15" priority="12" stopIfTrue="1" operator="lessThanOrEqual">
      <formula>0</formula>
    </cfRule>
  </conditionalFormatting>
  <conditionalFormatting sqref="C38">
    <cfRule type="cellIs" dxfId="14" priority="11" stopIfTrue="1" operator="lessThanOrEqual">
      <formula>0</formula>
    </cfRule>
  </conditionalFormatting>
  <conditionalFormatting sqref="C38">
    <cfRule type="cellIs" dxfId="13" priority="10" stopIfTrue="1" operator="lessThanOrEqual">
      <formula>0</formula>
    </cfRule>
  </conditionalFormatting>
  <conditionalFormatting sqref="C38">
    <cfRule type="cellIs" dxfId="12" priority="9" stopIfTrue="1" operator="lessThanOrEqual">
      <formula>0</formula>
    </cfRule>
  </conditionalFormatting>
  <conditionalFormatting sqref="C39">
    <cfRule type="cellIs" dxfId="11" priority="8" stopIfTrue="1" operator="lessThanOrEqual">
      <formula>0</formula>
    </cfRule>
  </conditionalFormatting>
  <conditionalFormatting sqref="C39">
    <cfRule type="cellIs" dxfId="10" priority="7" stopIfTrue="1" operator="lessThanOrEqual">
      <formula>0</formula>
    </cfRule>
  </conditionalFormatting>
  <conditionalFormatting sqref="C39">
    <cfRule type="cellIs" dxfId="9" priority="6" stopIfTrue="1" operator="lessThanOrEqual">
      <formula>0</formula>
    </cfRule>
  </conditionalFormatting>
  <conditionalFormatting sqref="C39">
    <cfRule type="cellIs" dxfId="8" priority="5" stopIfTrue="1" operator="lessThanOrEqual">
      <formula>0</formula>
    </cfRule>
  </conditionalFormatting>
  <conditionalFormatting sqref="C40">
    <cfRule type="cellIs" dxfId="7" priority="4" stopIfTrue="1" operator="lessThanOrEqual">
      <formula>0</formula>
    </cfRule>
  </conditionalFormatting>
  <conditionalFormatting sqref="C40">
    <cfRule type="cellIs" dxfId="5" priority="3" stopIfTrue="1" operator="lessThanOrEqual">
      <formula>0</formula>
    </cfRule>
  </conditionalFormatting>
  <conditionalFormatting sqref="C40">
    <cfRule type="cellIs" dxfId="3" priority="2" stopIfTrue="1" operator="lessThanOrEqual">
      <formula>0</formula>
    </cfRule>
  </conditionalFormatting>
  <conditionalFormatting sqref="C4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01.07 au 31.07</vt:lpstr>
      <vt:lpstr>Suivi Gaz</vt:lpstr>
      <vt:lpstr>Suivi EAU-ELEC</vt:lpstr>
      <vt:lpstr>Feuil1</vt:lpstr>
      <vt:lpstr>'Consommation du 01.07 au 31.07'!Print_Area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2020-07-26T05:16:19Z</dcterms:modified>
</cp:coreProperties>
</file>