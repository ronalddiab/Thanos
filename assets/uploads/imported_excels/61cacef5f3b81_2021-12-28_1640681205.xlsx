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37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7" l="1"/>
  <c r="P7" i="37"/>
  <c r="P8" i="37"/>
  <c r="P9" i="37"/>
  <c r="P10" i="37"/>
  <c r="P11" i="37"/>
  <c r="P12" i="37"/>
  <c r="P13" i="37"/>
  <c r="P14" i="37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35" i="37"/>
  <c r="P5" i="37"/>
  <c r="I6" i="37"/>
  <c r="G6" i="37"/>
  <c r="E6" i="37"/>
  <c r="K6" i="37"/>
  <c r="L6" i="37"/>
  <c r="I7" i="37"/>
  <c r="G7" i="37"/>
  <c r="E7" i="37"/>
  <c r="K7" i="37"/>
  <c r="L7" i="37"/>
  <c r="I8" i="37"/>
  <c r="G8" i="37"/>
  <c r="E8" i="37"/>
  <c r="K8" i="37"/>
  <c r="L8" i="37"/>
  <c r="I9" i="37"/>
  <c r="G9" i="37"/>
  <c r="E9" i="37"/>
  <c r="K9" i="37"/>
  <c r="L9" i="37"/>
  <c r="I10" i="37"/>
  <c r="G10" i="37"/>
  <c r="E10" i="37"/>
  <c r="K10" i="37"/>
  <c r="L10" i="37"/>
  <c r="I11" i="37"/>
  <c r="G11" i="37"/>
  <c r="E11" i="37"/>
  <c r="K11" i="37"/>
  <c r="L11" i="37"/>
  <c r="I12" i="37"/>
  <c r="G12" i="37"/>
  <c r="E12" i="37"/>
  <c r="K12" i="37"/>
  <c r="L12" i="37"/>
  <c r="I13" i="37"/>
  <c r="G13" i="37"/>
  <c r="E13" i="37"/>
  <c r="K13" i="37"/>
  <c r="L13" i="37"/>
  <c r="I14" i="37"/>
  <c r="G14" i="37"/>
  <c r="E14" i="37"/>
  <c r="K14" i="37"/>
  <c r="L14" i="37"/>
  <c r="I15" i="37"/>
  <c r="G15" i="37"/>
  <c r="E15" i="37"/>
  <c r="K15" i="37"/>
  <c r="L15" i="37"/>
  <c r="I16" i="37"/>
  <c r="G16" i="37"/>
  <c r="E16" i="37"/>
  <c r="K16" i="37"/>
  <c r="L16" i="37"/>
  <c r="I17" i="37"/>
  <c r="G17" i="37"/>
  <c r="E17" i="37"/>
  <c r="K17" i="37"/>
  <c r="L17" i="37"/>
  <c r="I18" i="37"/>
  <c r="G18" i="37"/>
  <c r="E18" i="37"/>
  <c r="K18" i="37"/>
  <c r="L18" i="37"/>
  <c r="I19" i="37"/>
  <c r="G19" i="37"/>
  <c r="E19" i="37"/>
  <c r="K19" i="37"/>
  <c r="L19" i="37"/>
  <c r="I20" i="37"/>
  <c r="G20" i="37"/>
  <c r="E20" i="37"/>
  <c r="K20" i="37"/>
  <c r="L20" i="37"/>
  <c r="E21" i="37"/>
  <c r="G21" i="37"/>
  <c r="I21" i="37"/>
  <c r="K21" i="37"/>
  <c r="L21" i="37"/>
  <c r="I22" i="37"/>
  <c r="G22" i="37"/>
  <c r="E22" i="37"/>
  <c r="K22" i="37"/>
  <c r="L22" i="37"/>
  <c r="I23" i="37"/>
  <c r="G23" i="37"/>
  <c r="E23" i="37"/>
  <c r="K23" i="37"/>
  <c r="L23" i="37"/>
  <c r="I24" i="37"/>
  <c r="G24" i="37"/>
  <c r="E24" i="37"/>
  <c r="K24" i="37"/>
  <c r="L24" i="37"/>
  <c r="I25" i="37"/>
  <c r="G25" i="37"/>
  <c r="E25" i="37"/>
  <c r="K25" i="37"/>
  <c r="L25" i="37"/>
  <c r="I26" i="37"/>
  <c r="G26" i="37"/>
  <c r="E26" i="37"/>
  <c r="K26" i="37"/>
  <c r="L26" i="37"/>
  <c r="I27" i="37"/>
  <c r="G27" i="37"/>
  <c r="E27" i="37"/>
  <c r="K27" i="37"/>
  <c r="L27" i="37"/>
  <c r="I28" i="37"/>
  <c r="G28" i="37"/>
  <c r="E28" i="37"/>
  <c r="K28" i="37"/>
  <c r="L28" i="37"/>
  <c r="I29" i="37"/>
  <c r="G29" i="37"/>
  <c r="E29" i="37"/>
  <c r="K29" i="37"/>
  <c r="L29" i="37"/>
  <c r="I30" i="37"/>
  <c r="G30" i="37"/>
  <c r="E30" i="37"/>
  <c r="K30" i="37"/>
  <c r="L30" i="37"/>
  <c r="I31" i="37"/>
  <c r="G31" i="37"/>
  <c r="E31" i="37"/>
  <c r="K31" i="37"/>
  <c r="L31" i="37"/>
  <c r="I32" i="37"/>
  <c r="G32" i="37"/>
  <c r="E32" i="37"/>
  <c r="K32" i="37"/>
  <c r="L32" i="37"/>
  <c r="I33" i="37"/>
  <c r="G33" i="37"/>
  <c r="E33" i="37"/>
  <c r="K33" i="37"/>
  <c r="L33" i="37"/>
  <c r="I34" i="37"/>
  <c r="G34" i="37"/>
  <c r="E34" i="37"/>
  <c r="K34" i="37"/>
  <c r="L34" i="37"/>
  <c r="I35" i="37"/>
  <c r="G35" i="37"/>
  <c r="E35" i="37"/>
  <c r="K35" i="37"/>
  <c r="L35" i="37"/>
  <c r="I5" i="37"/>
  <c r="G5" i="37"/>
  <c r="E5" i="37"/>
  <c r="K5" i="37"/>
  <c r="L5" i="37"/>
  <c r="J6" i="37"/>
  <c r="J7" i="37"/>
  <c r="J8" i="37"/>
  <c r="J9" i="37"/>
  <c r="J10" i="37"/>
  <c r="J11" i="37"/>
  <c r="J12" i="37"/>
  <c r="J13" i="37"/>
  <c r="J14" i="37"/>
  <c r="J15" i="37"/>
  <c r="J16" i="37"/>
  <c r="J17" i="37"/>
  <c r="J18" i="37"/>
  <c r="J19" i="37"/>
  <c r="J20" i="37"/>
  <c r="J21" i="37"/>
  <c r="J22" i="37"/>
  <c r="J23" i="37"/>
  <c r="J24" i="37"/>
  <c r="J25" i="37"/>
  <c r="J26" i="37"/>
  <c r="J27" i="37"/>
  <c r="J28" i="37"/>
  <c r="J29" i="37"/>
  <c r="J30" i="37"/>
  <c r="J31" i="37"/>
  <c r="J32" i="37"/>
  <c r="J33" i="37"/>
  <c r="J34" i="37"/>
  <c r="J35" i="37"/>
  <c r="J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5" i="37"/>
  <c r="R6" i="37"/>
  <c r="S6" i="37"/>
  <c r="K3" i="36"/>
  <c r="L3" i="36"/>
  <c r="R7" i="37"/>
  <c r="S7" i="37"/>
  <c r="K4" i="36"/>
  <c r="L4" i="36"/>
  <c r="R8" i="37"/>
  <c r="S8" i="37"/>
  <c r="K5" i="36"/>
  <c r="L5" i="36"/>
  <c r="R9" i="37"/>
  <c r="S9" i="37"/>
  <c r="K6" i="36"/>
  <c r="L6" i="36"/>
  <c r="R10" i="37"/>
  <c r="S10" i="37"/>
  <c r="K7" i="36"/>
  <c r="L7" i="36"/>
  <c r="R11" i="37"/>
  <c r="S11" i="37"/>
  <c r="K8" i="36"/>
  <c r="L8" i="36"/>
  <c r="R12" i="37"/>
  <c r="S12" i="37"/>
  <c r="K9" i="36"/>
  <c r="L9" i="36"/>
  <c r="R13" i="37"/>
  <c r="S13" i="37"/>
  <c r="K10" i="36"/>
  <c r="L10" i="36"/>
  <c r="R14" i="37"/>
  <c r="S14" i="37"/>
  <c r="K11" i="36"/>
  <c r="L11" i="36"/>
  <c r="R15" i="37"/>
  <c r="S15" i="37"/>
  <c r="K12" i="36"/>
  <c r="L12" i="36"/>
  <c r="R16" i="37"/>
  <c r="S16" i="37"/>
  <c r="K13" i="36"/>
  <c r="L13" i="36"/>
  <c r="R17" i="37"/>
  <c r="S17" i="37"/>
  <c r="K14" i="36"/>
  <c r="L14" i="36"/>
  <c r="R18" i="37"/>
  <c r="S18" i="37"/>
  <c r="K15" i="36"/>
  <c r="L15" i="36"/>
  <c r="R19" i="37"/>
  <c r="S19" i="37"/>
  <c r="K16" i="36"/>
  <c r="L16" i="36"/>
  <c r="R20" i="37"/>
  <c r="S20" i="37"/>
  <c r="K17" i="36"/>
  <c r="L17" i="36"/>
  <c r="R21" i="37"/>
  <c r="S21" i="37"/>
  <c r="K18" i="36"/>
  <c r="L18" i="36"/>
  <c r="R22" i="37"/>
  <c r="S22" i="37"/>
  <c r="K19" i="36"/>
  <c r="L19" i="36"/>
  <c r="R23" i="37"/>
  <c r="S23" i="37"/>
  <c r="K20" i="36"/>
  <c r="L20" i="36"/>
  <c r="R24" i="37"/>
  <c r="S24" i="37"/>
  <c r="K21" i="36"/>
  <c r="L21" i="36"/>
  <c r="R25" i="37"/>
  <c r="S25" i="37"/>
  <c r="K22" i="36"/>
  <c r="L22" i="36"/>
  <c r="R26" i="37"/>
  <c r="S26" i="37"/>
  <c r="K23" i="36"/>
  <c r="L23" i="36"/>
  <c r="R27" i="37"/>
  <c r="S27" i="37"/>
  <c r="K24" i="36"/>
  <c r="L24" i="36"/>
  <c r="R28" i="37"/>
  <c r="S28" i="37"/>
  <c r="K25" i="36"/>
  <c r="L25" i="36"/>
  <c r="R29" i="37"/>
  <c r="S29" i="37"/>
  <c r="K26" i="36"/>
  <c r="L26" i="36"/>
  <c r="R30" i="37"/>
  <c r="S30" i="37"/>
  <c r="K27" i="36"/>
  <c r="L27" i="36"/>
  <c r="R31" i="37"/>
  <c r="S31" i="37"/>
  <c r="K28" i="36"/>
  <c r="L28" i="36"/>
  <c r="R32" i="37"/>
  <c r="S32" i="37"/>
  <c r="K29" i="36"/>
  <c r="L29" i="36"/>
  <c r="R33" i="37"/>
  <c r="S33" i="37"/>
  <c r="K30" i="36"/>
  <c r="L30" i="36"/>
  <c r="R34" i="37"/>
  <c r="S34" i="37"/>
  <c r="K31" i="36"/>
  <c r="L31" i="36"/>
  <c r="R35" i="37"/>
  <c r="S35" i="37"/>
  <c r="K32" i="36"/>
  <c r="L32" i="36"/>
  <c r="R5" i="37"/>
  <c r="S5" i="37"/>
  <c r="K2" i="36"/>
  <c r="L2" i="36"/>
  <c r="T6" i="37"/>
  <c r="V6" i="37"/>
  <c r="I3" i="36"/>
  <c r="T7" i="37"/>
  <c r="V7" i="37"/>
  <c r="I4" i="36"/>
  <c r="T8" i="37"/>
  <c r="V8" i="37"/>
  <c r="I5" i="36"/>
  <c r="T9" i="37"/>
  <c r="V9" i="37"/>
  <c r="I6" i="36"/>
  <c r="T10" i="37"/>
  <c r="V10" i="37"/>
  <c r="I7" i="36"/>
  <c r="T11" i="37"/>
  <c r="V11" i="37"/>
  <c r="I8" i="36"/>
  <c r="T12" i="37"/>
  <c r="V12" i="37"/>
  <c r="I9" i="36"/>
  <c r="T13" i="37"/>
  <c r="V13" i="37"/>
  <c r="I10" i="36"/>
  <c r="T14" i="37"/>
  <c r="V14" i="37"/>
  <c r="I11" i="36"/>
  <c r="T15" i="37"/>
  <c r="V15" i="37"/>
  <c r="I12" i="36"/>
  <c r="T16" i="37"/>
  <c r="V16" i="37"/>
  <c r="I13" i="36"/>
  <c r="T17" i="37"/>
  <c r="V17" i="37"/>
  <c r="I14" i="36"/>
  <c r="T18" i="37"/>
  <c r="V18" i="37"/>
  <c r="I15" i="36"/>
  <c r="T19" i="37"/>
  <c r="V19" i="37"/>
  <c r="I16" i="36"/>
  <c r="T20" i="37"/>
  <c r="V20" i="37"/>
  <c r="I17" i="36"/>
  <c r="T21" i="37"/>
  <c r="V21" i="37"/>
  <c r="I18" i="36"/>
  <c r="T22" i="37"/>
  <c r="V22" i="37"/>
  <c r="I19" i="36"/>
  <c r="T23" i="37"/>
  <c r="V23" i="37"/>
  <c r="I20" i="36"/>
  <c r="T24" i="37"/>
  <c r="V24" i="37"/>
  <c r="I21" i="36"/>
  <c r="T25" i="37"/>
  <c r="V25" i="37"/>
  <c r="I22" i="36"/>
  <c r="T26" i="37"/>
  <c r="V26" i="37"/>
  <c r="I23" i="36"/>
  <c r="T27" i="37"/>
  <c r="V27" i="37"/>
  <c r="I24" i="36"/>
  <c r="T28" i="37"/>
  <c r="V28" i="37"/>
  <c r="I25" i="36"/>
  <c r="T29" i="37"/>
  <c r="V29" i="37"/>
  <c r="I26" i="36"/>
  <c r="T30" i="37"/>
  <c r="V30" i="37"/>
  <c r="I27" i="36"/>
  <c r="T31" i="37"/>
  <c r="V31" i="37"/>
  <c r="I28" i="36"/>
  <c r="T32" i="37"/>
  <c r="V32" i="37"/>
  <c r="I29" i="36"/>
  <c r="T33" i="37"/>
  <c r="V33" i="37"/>
  <c r="I30" i="36"/>
  <c r="T34" i="37"/>
  <c r="V34" i="37"/>
  <c r="I31" i="36"/>
  <c r="T35" i="37"/>
  <c r="V35" i="37"/>
  <c r="I32" i="36"/>
  <c r="T5" i="37"/>
  <c r="V5" i="37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M3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O6" i="37"/>
  <c r="E3" i="36"/>
  <c r="O7" i="37"/>
  <c r="E4" i="36"/>
  <c r="O8" i="37"/>
  <c r="E5" i="36"/>
  <c r="O9" i="37"/>
  <c r="E6" i="36"/>
  <c r="O10" i="37"/>
  <c r="E7" i="36"/>
  <c r="O11" i="37"/>
  <c r="E8" i="36"/>
  <c r="O12" i="37"/>
  <c r="E9" i="36"/>
  <c r="O13" i="37"/>
  <c r="E10" i="36"/>
  <c r="O14" i="37"/>
  <c r="E11" i="36"/>
  <c r="O15" i="37"/>
  <c r="E12" i="36"/>
  <c r="O16" i="37"/>
  <c r="E13" i="36"/>
  <c r="O17" i="37"/>
  <c r="E14" i="36"/>
  <c r="O18" i="37"/>
  <c r="E15" i="36"/>
  <c r="O19" i="37"/>
  <c r="E16" i="36"/>
  <c r="O20" i="37"/>
  <c r="E17" i="36"/>
  <c r="O21" i="37"/>
  <c r="E18" i="36"/>
  <c r="O22" i="37"/>
  <c r="E19" i="36"/>
  <c r="O23" i="37"/>
  <c r="E20" i="36"/>
  <c r="O24" i="37"/>
  <c r="E21" i="36"/>
  <c r="O25" i="37"/>
  <c r="E22" i="36"/>
  <c r="O26" i="37"/>
  <c r="E23" i="36"/>
  <c r="O27" i="37"/>
  <c r="E24" i="36"/>
  <c r="O28" i="37"/>
  <c r="E25" i="36"/>
  <c r="O29" i="37"/>
  <c r="E26" i="36"/>
  <c r="O30" i="37"/>
  <c r="E27" i="36"/>
  <c r="O31" i="37"/>
  <c r="E28" i="36"/>
  <c r="O32" i="37"/>
  <c r="E29" i="36"/>
  <c r="O33" i="37"/>
  <c r="E30" i="36"/>
  <c r="O34" i="37"/>
  <c r="E31" i="36"/>
  <c r="O35" i="37"/>
  <c r="E32" i="36"/>
  <c r="O5" i="37"/>
  <c r="E2" i="36"/>
  <c r="Q5" i="37"/>
  <c r="W5" i="37"/>
  <c r="X5" i="37"/>
  <c r="Q6" i="37"/>
  <c r="W6" i="37"/>
  <c r="X6" i="37"/>
  <c r="Q7" i="37"/>
  <c r="W7" i="37"/>
  <c r="X7" i="37"/>
  <c r="Q8" i="37"/>
  <c r="W8" i="37"/>
  <c r="X8" i="37"/>
  <c r="Q9" i="37"/>
  <c r="W9" i="37"/>
  <c r="X9" i="37"/>
  <c r="Q10" i="37"/>
  <c r="W10" i="37"/>
  <c r="X10" i="37"/>
  <c r="Q11" i="37"/>
  <c r="W11" i="37"/>
  <c r="X11" i="37"/>
  <c r="Q12" i="37"/>
  <c r="W12" i="37"/>
  <c r="X12" i="37"/>
  <c r="Q13" i="37"/>
  <c r="W13" i="37"/>
  <c r="X13" i="37"/>
  <c r="Q14" i="37"/>
  <c r="W14" i="37"/>
  <c r="X14" i="37"/>
  <c r="Q15" i="37"/>
  <c r="W15" i="37"/>
  <c r="X15" i="37"/>
  <c r="Q16" i="37"/>
  <c r="W16" i="37"/>
  <c r="X16" i="37"/>
  <c r="Q17" i="37"/>
  <c r="W17" i="37"/>
  <c r="X17" i="37"/>
  <c r="Q18" i="37"/>
  <c r="W18" i="37"/>
  <c r="X18" i="37"/>
  <c r="Q19" i="37"/>
  <c r="W19" i="37"/>
  <c r="X19" i="37"/>
  <c r="Q20" i="37"/>
  <c r="W20" i="37"/>
  <c r="X20" i="37"/>
  <c r="Q21" i="37"/>
  <c r="W21" i="37"/>
  <c r="X21" i="37"/>
  <c r="Q22" i="37"/>
  <c r="W22" i="37"/>
  <c r="X22" i="37"/>
  <c r="Q23" i="37"/>
  <c r="W23" i="37"/>
  <c r="X23" i="37"/>
  <c r="Q24" i="37"/>
  <c r="W24" i="37"/>
  <c r="X24" i="37"/>
  <c r="Q25" i="37"/>
  <c r="W25" i="37"/>
  <c r="X25" i="37"/>
  <c r="Q26" i="37"/>
  <c r="W26" i="37"/>
  <c r="X26" i="37"/>
  <c r="Q27" i="37"/>
  <c r="W27" i="37"/>
  <c r="X27" i="37"/>
  <c r="Q28" i="37"/>
  <c r="W28" i="37"/>
  <c r="X28" i="37"/>
  <c r="Q29" i="37"/>
  <c r="W29" i="37"/>
  <c r="X29" i="37"/>
  <c r="Q30" i="37"/>
  <c r="W30" i="37"/>
  <c r="X30" i="37"/>
  <c r="Q31" i="37"/>
  <c r="W31" i="37"/>
  <c r="X31" i="37"/>
  <c r="Q32" i="37"/>
  <c r="W32" i="37"/>
  <c r="X32" i="37"/>
  <c r="Q33" i="37"/>
  <c r="W33" i="37"/>
  <c r="X33" i="37"/>
  <c r="Q34" i="37"/>
  <c r="W34" i="37"/>
  <c r="X34" i="37"/>
  <c r="X37" i="37"/>
  <c r="W37" i="37"/>
  <c r="V37" i="37"/>
  <c r="S37" i="37"/>
  <c r="R37" i="37"/>
  <c r="Q37" i="37"/>
  <c r="P37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7" i="37"/>
  <c r="L37" i="37"/>
  <c r="K37" i="37"/>
  <c r="J37" i="37"/>
  <c r="I37" i="37"/>
  <c r="H37" i="37"/>
  <c r="G37" i="37"/>
  <c r="F37" i="37"/>
  <c r="E37" i="37"/>
  <c r="Q35" i="37"/>
  <c r="W35" i="37"/>
  <c r="X35" i="37"/>
  <c r="M35" i="37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B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B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  <c r="O30" i="36"/>
  <c r="O31" i="36"/>
</calcChain>
</file>

<file path=xl/sharedStrings.xml><?xml version="1.0" encoding="utf-8"?>
<sst xmlns="http://schemas.openxmlformats.org/spreadsheetml/2006/main" count="117" uniqueCount="72">
  <si>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</si>
  <si>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</si>
  <si>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</si>
  <si>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</si>
  <si>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</si>
  <si>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</si>
  <si>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</si>
  <si>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</si>
  <si>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</si>
  <si>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</si>
  <si>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</si>
  <si>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</si>
  <si>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</si>
  <si>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</si>
  <si>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</si>
  <si>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</si>
  <si>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</si>
  <si>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</si>
  <si>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</si>
  <si>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</si>
  <si>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</si>
  <si>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t>Podium AC Consumption              裙楼空调用量              (Mw/h)Rmb291.66/MwH+1655.02/天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</si>
  <si>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</si>
  <si>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</si>
  <si>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</si>
  <si>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</si>
  <si>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</si>
  <si>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</si>
  <si>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</si>
  <si>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</si>
  <si>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</si>
  <si>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</si>
  <si>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</si>
  <si>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13/23</t>
    <phoneticPr fontId="2" type="noConversion"/>
  </si>
  <si>
    <t>Aver.</t>
  </si>
  <si>
    <t>Total</t>
  </si>
  <si>
    <t>11\21</t>
    <phoneticPr fontId="2" type="noConversion"/>
  </si>
  <si>
    <t>9\19</t>
    <phoneticPr fontId="2" type="noConversion"/>
  </si>
  <si>
    <t>13\23</t>
    <phoneticPr fontId="2" type="noConversion"/>
  </si>
  <si>
    <t>11\23</t>
    <phoneticPr fontId="2" type="noConversion"/>
  </si>
  <si>
    <t>12\23</t>
    <phoneticPr fontId="2" type="noConversion"/>
  </si>
  <si>
    <t>16\23</t>
    <phoneticPr fontId="2" type="noConversion"/>
  </si>
  <si>
    <t>17\23</t>
    <phoneticPr fontId="2" type="noConversion"/>
  </si>
  <si>
    <t>19\25</t>
    <phoneticPr fontId="2" type="noConversion"/>
  </si>
  <si>
    <t>10\16</t>
    <phoneticPr fontId="2" type="noConversion"/>
  </si>
  <si>
    <t>10\15</t>
    <phoneticPr fontId="2" type="noConversion"/>
  </si>
  <si>
    <t>9\14</t>
    <phoneticPr fontId="2" type="noConversion"/>
  </si>
  <si>
    <t>11\14</t>
    <phoneticPr fontId="2" type="noConversion"/>
  </si>
  <si>
    <t>9\13</t>
    <phoneticPr fontId="2" type="noConversion"/>
  </si>
  <si>
    <t>9\16</t>
    <phoneticPr fontId="2" type="noConversion"/>
  </si>
  <si>
    <t>9\17</t>
  </si>
  <si>
    <t>15\21</t>
    <phoneticPr fontId="2" type="noConversion"/>
  </si>
  <si>
    <t>14/20</t>
    <phoneticPr fontId="2" type="noConversion"/>
  </si>
  <si>
    <t>14/21</t>
    <phoneticPr fontId="2" type="noConversion"/>
  </si>
  <si>
    <t>16/23</t>
    <phoneticPr fontId="2" type="noConversion"/>
  </si>
  <si>
    <t>15/26</t>
    <phoneticPr fontId="2" type="noConversion"/>
  </si>
  <si>
    <t>16/26</t>
    <phoneticPr fontId="2" type="noConversion"/>
  </si>
  <si>
    <t>9\26</t>
    <phoneticPr fontId="2" type="noConversion"/>
  </si>
  <si>
    <t>4\15</t>
    <phoneticPr fontId="2" type="noConversion"/>
  </si>
  <si>
    <t>4\14</t>
    <phoneticPr fontId="2" type="noConversion"/>
  </si>
  <si>
    <t>5\16</t>
    <phoneticPr fontId="2" type="noConversion"/>
  </si>
  <si>
    <r>
      <t xml:space="preserve">UTILITIES CONSUMPTION REPORT(2020-12)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电费从2019年8月1号开始下降改为0.675169/Kwh，天然气从2018年6月1号开始下降改为4.17/m³2020年裙楼空调冷量价格为291.66/Mw.h+每天固定人工等1655.02元</t>
    </r>
    <phoneticPr fontId="2" type="noConversion"/>
  </si>
  <si>
    <t xml:space="preserve">Chiller Electricity                    制冷主机用电                       </t>
  </si>
  <si>
    <t>Podium Electricity  裙楼用电      每月10.20.月末日抄表</t>
  </si>
  <si>
    <t xml:space="preserve">Main Tower electricity     
 主塔用电 </t>
  </si>
  <si>
    <t xml:space="preserve"> 主塔用水</t>
  </si>
  <si>
    <t>裙楼用水     每月10.20.30日抄表</t>
    <phoneticPr fontId="2" type="noConversion"/>
  </si>
  <si>
    <r>
      <t>domestic Water 生活水RMB4.86/m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</si>
  <si>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t>General Gas               总天然气               (RMB3.95/m³)</t>
    <phoneticPr fontId="2" type="noConversion"/>
  </si>
  <si>
    <t>Boiler Gas                锅炉天然气(热水)
(RMB3.95/m³)</t>
    <phoneticPr fontId="2" type="noConversion"/>
  </si>
  <si>
    <t>Boiler Gas           锅炉天然气(蒸汽)
(RMB3.95/m³)</t>
    <phoneticPr fontId="2" type="noConversion"/>
  </si>
  <si>
    <t>Kitchen Gas               厨房天然气                (RMB3.95/m³)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</si>
</sst>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2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103">
    <xf numFmtId="0" fontId="0" fillId="0" borderId="0" xfId="0"/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2" borderId="0" xfId="2" applyFont="1" applyFill="1" applyAlignment="1">
      <alignment horizontal="center"/>
    </xf>
    <xf numFmtId="0" fontId="12" fillId="0" borderId="7" xfId="2" applyFont="1" applyBorder="1" applyAlignment="1" applyProtection="1">
      <alignment horizontal="center" vertical="center" wrapText="1"/>
      <protection locked="0"/>
    </xf>
    <xf numFmtId="0" fontId="12" fillId="0" borderId="8" xfId="2" applyFont="1" applyBorder="1" applyAlignment="1" applyProtection="1">
      <alignment horizontal="center" vertical="center" wrapText="1"/>
      <protection locked="0"/>
    </xf>
    <xf numFmtId="0" fontId="12" fillId="0" borderId="9" xfId="2" applyFont="1" applyBorder="1" applyAlignment="1" applyProtection="1">
      <alignment horizontal="center" vertical="center" wrapText="1"/>
      <protection locked="0"/>
    </xf>
    <xf numFmtId="0" fontId="12" fillId="0" borderId="10" xfId="2" applyFont="1" applyBorder="1" applyAlignment="1" applyProtection="1">
      <alignment horizontal="center" vertical="center" wrapText="1"/>
      <protection locked="0"/>
    </xf>
    <xf numFmtId="0" fontId="12" fillId="0" borderId="11" xfId="2" applyFont="1" applyBorder="1" applyAlignment="1" applyProtection="1">
      <alignment horizontal="center" vertical="center" wrapText="1"/>
      <protection locked="0"/>
    </xf>
    <xf numFmtId="0" fontId="12" fillId="0" borderId="12" xfId="2" applyFont="1" applyBorder="1" applyAlignment="1" applyProtection="1">
      <alignment horizontal="center" vertical="center" wrapText="1"/>
      <protection locked="0"/>
    </xf>
    <xf numFmtId="0" fontId="12" fillId="0" borderId="13" xfId="2" applyFont="1" applyBorder="1" applyAlignment="1" applyProtection="1">
      <alignment horizontal="center" vertical="center" wrapText="1"/>
      <protection locked="0"/>
    </xf>
    <xf numFmtId="0" fontId="8" fillId="0" borderId="22" xfId="2" applyFont="1" applyBorder="1" applyAlignment="1" applyProtection="1">
      <alignment horizontal="center" vertical="center"/>
      <protection locked="0"/>
    </xf>
    <xf numFmtId="14" fontId="7" fillId="0" borderId="3" xfId="2" applyNumberFormat="1" applyFont="1" applyBorder="1" applyAlignment="1" applyProtection="1">
      <alignment horizontal="center" vertical="center"/>
      <protection locked="0"/>
    </xf>
    <xf numFmtId="0" fontId="7" fillId="0" borderId="3" xfId="2" applyFont="1" applyBorder="1" applyAlignment="1" applyProtection="1">
      <alignment horizontal="center" vertical="center"/>
      <protection locked="0"/>
    </xf>
    <xf numFmtId="0" fontId="7" fillId="0" borderId="15" xfId="2" applyFont="1" applyBorder="1" applyAlignment="1" applyProtection="1">
      <alignment horizontal="center" vertical="center"/>
      <protection locked="0"/>
    </xf>
    <xf numFmtId="164" fontId="7" fillId="0" borderId="4" xfId="2" applyNumberFormat="1" applyFont="1" applyBorder="1" applyAlignment="1" applyProtection="1">
      <alignment horizontal="center" vertical="center"/>
      <protection locked="0"/>
    </xf>
    <xf numFmtId="168" fontId="7" fillId="0" borderId="17" xfId="2" applyNumberFormat="1" applyFont="1" applyBorder="1" applyAlignment="1" applyProtection="1">
      <alignment horizontal="center" vertical="center"/>
      <protection locked="0"/>
    </xf>
    <xf numFmtId="167" fontId="7" fillId="0" borderId="6" xfId="2" applyNumberFormat="1" applyFont="1" applyBorder="1" applyAlignment="1" applyProtection="1">
      <alignment horizontal="center" vertical="center"/>
      <protection locked="0"/>
    </xf>
    <xf numFmtId="164" fontId="7" fillId="0" borderId="16" xfId="2" applyNumberFormat="1" applyFont="1" applyBorder="1" applyAlignment="1" applyProtection="1">
      <alignment horizontal="center" vertical="center"/>
      <protection locked="0"/>
    </xf>
    <xf numFmtId="167" fontId="7" fillId="0" borderId="17" xfId="2" applyNumberFormat="1" applyFont="1" applyBorder="1" applyAlignment="1" applyProtection="1">
      <alignment horizontal="center" vertical="center"/>
      <protection locked="0"/>
    </xf>
    <xf numFmtId="168" fontId="7" fillId="0" borderId="6" xfId="2" applyNumberFormat="1" applyFont="1" applyBorder="1" applyAlignment="1" applyProtection="1">
      <alignment horizontal="center" vertical="center"/>
      <protection locked="0"/>
    </xf>
    <xf numFmtId="164" fontId="7" fillId="0" borderId="2" xfId="2" applyNumberFormat="1" applyFont="1" applyBorder="1" applyAlignment="1" applyProtection="1">
      <alignment horizontal="center" vertical="center"/>
      <protection locked="0"/>
    </xf>
    <xf numFmtId="168" fontId="7" fillId="0" borderId="1" xfId="2" applyNumberFormat="1" applyFont="1" applyBorder="1" applyAlignment="1" applyProtection="1">
      <alignment horizontal="center" vertical="center"/>
      <protection locked="0"/>
    </xf>
    <xf numFmtId="0" fontId="7" fillId="0" borderId="34" xfId="2" applyNumberFormat="1" applyFont="1" applyBorder="1" applyAlignment="1" applyProtection="1">
      <alignment horizontal="center" vertical="center"/>
      <protection locked="0"/>
    </xf>
    <xf numFmtId="168" fontId="9" fillId="0" borderId="19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/>
    </xf>
    <xf numFmtId="0" fontId="8" fillId="0" borderId="23" xfId="2" applyFont="1" applyBorder="1" applyAlignment="1" applyProtection="1">
      <alignment horizontal="center" vertical="center"/>
      <protection locked="0"/>
    </xf>
    <xf numFmtId="0" fontId="5" fillId="0" borderId="24" xfId="2" applyFont="1" applyBorder="1" applyAlignment="1" applyProtection="1">
      <alignment horizontal="center" vertical="center"/>
      <protection locked="0"/>
    </xf>
    <xf numFmtId="164" fontId="7" fillId="3" borderId="14" xfId="2" applyNumberFormat="1" applyFont="1" applyFill="1" applyBorder="1" applyAlignment="1" applyProtection="1">
      <alignment horizontal="center" vertical="center"/>
      <protection locked="0"/>
    </xf>
    <xf numFmtId="168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18" xfId="2" applyNumberFormat="1" applyFont="1" applyFill="1" applyBorder="1" applyAlignment="1" applyProtection="1">
      <alignment horizontal="center" vertical="center"/>
      <protection locked="0"/>
    </xf>
    <xf numFmtId="164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14" xfId="2" applyNumberFormat="1" applyFont="1" applyFill="1" applyBorder="1" applyAlignment="1" applyProtection="1">
      <alignment horizontal="center" vertical="center"/>
      <protection locked="0"/>
    </xf>
    <xf numFmtId="168" fontId="7" fillId="3" borderId="18" xfId="2" applyNumberFormat="1" applyFont="1" applyFill="1" applyBorder="1" applyAlignment="1" applyProtection="1">
      <alignment horizontal="center" vertical="center"/>
      <protection locked="0"/>
    </xf>
    <xf numFmtId="168" fontId="9" fillId="0" borderId="20" xfId="2" applyNumberFormat="1" applyFont="1" applyBorder="1" applyAlignment="1" applyProtection="1">
      <alignment horizontal="center" vertical="center" wrapText="1"/>
      <protection locked="0"/>
    </xf>
    <xf numFmtId="164" fontId="14" fillId="0" borderId="21" xfId="2" applyNumberFormat="1" applyFont="1" applyBorder="1" applyAlignment="1" applyProtection="1">
      <alignment horizontal="center" vertical="center" wrapText="1"/>
      <protection locked="0"/>
    </xf>
    <xf numFmtId="164" fontId="15" fillId="0" borderId="10" xfId="2" applyNumberFormat="1" applyFont="1" applyBorder="1" applyAlignment="1" applyProtection="1">
      <alignment horizontal="center" vertical="center" wrapText="1"/>
      <protection locked="0"/>
    </xf>
    <xf numFmtId="0" fontId="4" fillId="0" borderId="0" xfId="2" applyFont="1" applyBorder="1" applyAlignment="1">
      <alignment horizontal="center"/>
    </xf>
    <xf numFmtId="0" fontId="4" fillId="0" borderId="0" xfId="2" applyFont="1" applyBorder="1" applyAlignment="1"/>
    <xf numFmtId="0" fontId="4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/>
    </xf>
    <xf numFmtId="0" fontId="4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4" fillId="0" borderId="0" xfId="2" applyFont="1" applyAlignment="1"/>
    <xf numFmtId="0" fontId="1" fillId="0" borderId="0" xfId="1" applyNumberFormat="1" applyAlignment="1">
      <alignment horizontal="center"/>
    </xf>
    <xf numFmtId="165" fontId="6" fillId="0" borderId="30" xfId="2" applyNumberFormat="1" applyFont="1" applyBorder="1" applyAlignment="1" applyProtection="1">
      <alignment horizontal="center" vertical="center"/>
      <protection locked="0"/>
    </xf>
    <xf numFmtId="165" fontId="6" fillId="0" borderId="31" xfId="2" applyNumberFormat="1" applyFont="1" applyBorder="1" applyAlignment="1" applyProtection="1">
      <alignment horizontal="center" vertical="center"/>
      <protection locked="0"/>
    </xf>
    <xf numFmtId="0" fontId="6" fillId="0" borderId="28" xfId="2" applyFont="1" applyBorder="1" applyAlignment="1" applyProtection="1">
      <alignment horizontal="center" vertical="center" wrapText="1"/>
      <protection locked="0"/>
    </xf>
    <xf numFmtId="0" fontId="6" fillId="0" borderId="14" xfId="2" applyFont="1" applyBorder="1" applyAlignment="1" applyProtection="1">
      <alignment horizontal="center" vertical="center" wrapText="1"/>
      <protection locked="0"/>
    </xf>
    <xf numFmtId="0" fontId="9" fillId="0" borderId="25" xfId="2" applyFont="1" applyBorder="1" applyAlignment="1" applyProtection="1">
      <alignment horizontal="center" vertical="center" wrapText="1"/>
      <protection locked="0"/>
    </xf>
    <xf numFmtId="0" fontId="9" fillId="0" borderId="27" xfId="2" applyFont="1" applyBorder="1" applyAlignment="1" applyProtection="1">
      <alignment horizontal="center" vertical="center" wrapText="1"/>
      <protection locked="0"/>
    </xf>
    <xf numFmtId="0" fontId="9" fillId="2" borderId="28" xfId="2" applyFont="1" applyFill="1" applyBorder="1" applyAlignment="1" applyProtection="1">
      <alignment horizontal="center" vertical="center" wrapText="1"/>
      <protection locked="0"/>
    </xf>
    <xf numFmtId="0" fontId="9" fillId="2" borderId="29" xfId="2" applyFont="1" applyFill="1" applyBorder="1" applyAlignment="1" applyProtection="1">
      <alignment horizontal="center" vertical="center" wrapText="1"/>
      <protection locked="0"/>
    </xf>
    <xf numFmtId="0" fontId="9" fillId="2" borderId="14" xfId="2" applyFont="1" applyFill="1" applyBorder="1" applyAlignment="1" applyProtection="1">
      <alignment horizontal="center" vertical="center" wrapText="1"/>
      <protection locked="0"/>
    </xf>
    <xf numFmtId="0" fontId="9" fillId="2" borderId="18" xfId="2" applyFont="1" applyFill="1" applyBorder="1" applyAlignment="1" applyProtection="1">
      <alignment horizontal="center" vertical="center" wrapText="1"/>
      <protection locked="0"/>
    </xf>
    <xf numFmtId="0" fontId="6" fillId="0" borderId="28" xfId="2" applyFont="1" applyBorder="1" applyAlignment="1">
      <alignment horizontal="center" vertical="center" wrapText="1"/>
    </xf>
    <xf numFmtId="0" fontId="6" fillId="0" borderId="29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/>
    </xf>
    <xf numFmtId="0" fontId="3" fillId="0" borderId="0" xfId="2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2" borderId="25" xfId="2" applyFont="1" applyFill="1" applyBorder="1" applyAlignment="1" applyProtection="1">
      <alignment horizontal="center" vertical="center" wrapText="1"/>
      <protection locked="0"/>
    </xf>
    <xf numFmtId="0" fontId="9" fillId="2" borderId="26" xfId="2" applyFont="1" applyFill="1" applyBorder="1" applyAlignment="1" applyProtection="1">
      <alignment horizontal="center" vertical="center" wrapText="1"/>
      <protection locked="0"/>
    </xf>
    <xf numFmtId="0" fontId="9" fillId="2" borderId="27" xfId="2" applyFont="1" applyFill="1" applyBorder="1" applyAlignment="1" applyProtection="1">
      <alignment horizontal="center" vertical="center" wrapText="1"/>
      <protection locked="0"/>
    </xf>
    <xf numFmtId="166" fontId="9" fillId="2" borderId="28" xfId="2" applyNumberFormat="1" applyFont="1" applyFill="1" applyBorder="1" applyAlignment="1" applyProtection="1">
      <alignment horizontal="center" vertical="center" wrapText="1"/>
      <protection locked="0"/>
    </xf>
    <xf numFmtId="166" fontId="9" fillId="2" borderId="29" xfId="2" applyNumberFormat="1" applyFont="1" applyFill="1" applyBorder="1" applyAlignment="1" applyProtection="1">
      <alignment horizontal="center" vertical="center" wrapText="1"/>
      <protection locked="0"/>
    </xf>
    <xf numFmtId="166" fontId="9" fillId="2" borderId="14" xfId="2" applyNumberFormat="1" applyFont="1" applyFill="1" applyBorder="1" applyAlignment="1" applyProtection="1">
      <alignment horizontal="center" vertical="center" wrapText="1"/>
      <protection locked="0"/>
    </xf>
    <xf numFmtId="166" fontId="9" fillId="2" borderId="18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28" xfId="2" applyFont="1" applyBorder="1" applyAlignment="1" applyProtection="1">
      <alignment horizontal="center" vertical="center" wrapText="1"/>
      <protection locked="0"/>
    </xf>
    <xf numFmtId="0" fontId="9" fillId="0" borderId="29" xfId="2" applyFont="1" applyBorder="1" applyAlignment="1" applyProtection="1">
      <alignment horizontal="center" vertical="center"/>
      <protection locked="0"/>
    </xf>
    <xf numFmtId="0" fontId="9" fillId="0" borderId="14" xfId="2" applyFont="1" applyBorder="1" applyAlignment="1" applyProtection="1">
      <alignment horizontal="center" vertical="center"/>
      <protection locked="0"/>
    </xf>
    <xf numFmtId="0" fontId="9" fillId="0" borderId="18" xfId="2" applyFont="1" applyBorder="1" applyAlignment="1" applyProtection="1">
      <alignment horizontal="center" vertical="center"/>
      <protection locked="0"/>
    </xf>
    <xf numFmtId="0" fontId="9" fillId="0" borderId="33" xfId="2" applyFont="1" applyBorder="1" applyAlignment="1" applyProtection="1">
      <alignment horizontal="center" vertical="center" wrapText="1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0" fontId="9" fillId="0" borderId="29" xfId="2" applyFont="1" applyBorder="1" applyAlignment="1" applyProtection="1">
      <alignment horizontal="center" vertical="center" wrapText="1"/>
      <protection locked="0"/>
    </xf>
    <xf numFmtId="0" fontId="9" fillId="0" borderId="14" xfId="2" applyFont="1" applyBorder="1" applyAlignment="1" applyProtection="1">
      <alignment horizontal="center" vertical="center" wrapText="1"/>
      <protection locked="0"/>
    </xf>
    <xf numFmtId="0" fontId="9" fillId="0" borderId="18" xfId="2" applyFont="1" applyBorder="1" applyAlignment="1" applyProtection="1">
      <alignment horizontal="center" vertical="center" wrapText="1"/>
      <protection locked="0"/>
    </xf>
    <xf numFmtId="0" fontId="6" fillId="2" borderId="30" xfId="2" applyFont="1" applyFill="1" applyBorder="1" applyAlignment="1" applyProtection="1">
      <alignment horizontal="center" vertical="center" wrapText="1"/>
      <protection locked="0"/>
    </xf>
    <xf numFmtId="0" fontId="6" fillId="2" borderId="32" xfId="2" applyFont="1" applyFill="1" applyBorder="1" applyAlignment="1" applyProtection="1">
      <alignment horizontal="center" vertical="center" wrapText="1"/>
      <protection locked="0"/>
    </xf>
    <xf numFmtId="0" fontId="9" fillId="2" borderId="30" xfId="2" applyFont="1" applyFill="1" applyBorder="1" applyAlignment="1" applyProtection="1">
      <alignment horizontal="center" vertical="center" wrapText="1"/>
      <protection locked="0"/>
    </xf>
    <xf numFmtId="0" fontId="9" fillId="2" borderId="32" xfId="2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Nelsa%20Huang\&#27599;&#26376;&#33021;&#32791;&#32479;&#35745;&#20998;&#26512;\HEP%20Utilities\2020\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1 &amp; 102F 锅炉房"/>
      <sheetName val="B4 水表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 refreshError="1"/>
      <sheetData sheetId="1">
        <row r="7">
          <cell r="F7">
            <v>32000.000000000455</v>
          </cell>
        </row>
        <row r="8">
          <cell r="F8">
            <v>28200.000000001637</v>
          </cell>
        </row>
        <row r="9">
          <cell r="F9">
            <v>28499.999999999091</v>
          </cell>
        </row>
        <row r="10">
          <cell r="F10">
            <v>28299.999999999272</v>
          </cell>
        </row>
        <row r="11">
          <cell r="F11">
            <v>27900.00000000191</v>
          </cell>
        </row>
        <row r="12">
          <cell r="F12">
            <v>26299.999999998818</v>
          </cell>
        </row>
        <row r="13">
          <cell r="F13">
            <v>30500.000000001819</v>
          </cell>
        </row>
        <row r="14">
          <cell r="F14">
            <v>27599.999999999909</v>
          </cell>
        </row>
        <row r="15">
          <cell r="F15">
            <v>27899.999999997362</v>
          </cell>
        </row>
        <row r="16">
          <cell r="F16">
            <v>29700.000000000273</v>
          </cell>
        </row>
        <row r="17">
          <cell r="F17">
            <v>29400.000000000546</v>
          </cell>
        </row>
        <row r="18">
          <cell r="F18">
            <v>30499.999999999545</v>
          </cell>
        </row>
        <row r="19">
          <cell r="F19">
            <v>29600.000000000364</v>
          </cell>
        </row>
        <row r="20">
          <cell r="F20">
            <v>27599.999999999909</v>
          </cell>
        </row>
        <row r="21">
          <cell r="F21">
            <v>26700.000000000728</v>
          </cell>
        </row>
        <row r="22">
          <cell r="F22">
            <v>27100.000000000364</v>
          </cell>
        </row>
        <row r="23">
          <cell r="F23">
            <v>26399.999999998727</v>
          </cell>
        </row>
        <row r="24">
          <cell r="F24">
            <v>27799.999999999727</v>
          </cell>
        </row>
        <row r="25">
          <cell r="F25">
            <v>27599.999999999909</v>
          </cell>
        </row>
        <row r="26">
          <cell r="F26">
            <v>27400.000000000091</v>
          </cell>
        </row>
        <row r="27">
          <cell r="F27">
            <v>30300.000000002001</v>
          </cell>
        </row>
        <row r="28">
          <cell r="F28">
            <v>23999.999999998636</v>
          </cell>
        </row>
        <row r="29">
          <cell r="F29">
            <v>28800.000000001091</v>
          </cell>
        </row>
        <row r="30">
          <cell r="F30">
            <v>30099.999999999909</v>
          </cell>
        </row>
        <row r="31">
          <cell r="F31">
            <v>29100.000000000819</v>
          </cell>
        </row>
        <row r="32">
          <cell r="F32">
            <v>29099.999999998545</v>
          </cell>
        </row>
        <row r="33">
          <cell r="F33">
            <v>30299.999999999727</v>
          </cell>
        </row>
        <row r="34">
          <cell r="F34">
            <v>30299.999999999727</v>
          </cell>
        </row>
        <row r="35">
          <cell r="F35">
            <v>30800.000000001546</v>
          </cell>
        </row>
        <row r="36">
          <cell r="F36">
            <v>26900.000000000546</v>
          </cell>
        </row>
        <row r="37">
          <cell r="F37">
            <v>29599.99999999809</v>
          </cell>
        </row>
      </sheetData>
      <sheetData sheetId="2">
        <row r="7">
          <cell r="G7">
            <v>888</v>
          </cell>
        </row>
        <row r="8">
          <cell r="C8">
            <v>1433</v>
          </cell>
          <cell r="G8">
            <v>983</v>
          </cell>
        </row>
        <row r="9">
          <cell r="C9">
            <v>1459</v>
          </cell>
          <cell r="G9">
            <v>1254</v>
          </cell>
        </row>
        <row r="10">
          <cell r="C10">
            <v>1610</v>
          </cell>
          <cell r="G10">
            <v>1427</v>
          </cell>
        </row>
        <row r="11">
          <cell r="C11">
            <v>1560</v>
          </cell>
          <cell r="G11">
            <v>1393</v>
          </cell>
        </row>
        <row r="12">
          <cell r="C12">
            <v>1601</v>
          </cell>
          <cell r="G12">
            <v>1352</v>
          </cell>
        </row>
        <row r="13">
          <cell r="C13">
            <v>1630</v>
          </cell>
          <cell r="G13">
            <v>1032</v>
          </cell>
        </row>
        <row r="14">
          <cell r="C14">
            <v>1508</v>
          </cell>
          <cell r="G14">
            <v>1185</v>
          </cell>
        </row>
        <row r="15">
          <cell r="C15">
            <v>1518</v>
          </cell>
          <cell r="G15">
            <v>1105</v>
          </cell>
        </row>
        <row r="16">
          <cell r="C16">
            <v>1571</v>
          </cell>
          <cell r="G16">
            <v>1154</v>
          </cell>
        </row>
        <row r="17">
          <cell r="C17">
            <v>1545</v>
          </cell>
          <cell r="G17">
            <v>1136</v>
          </cell>
        </row>
        <row r="18">
          <cell r="C18">
            <v>1587</v>
          </cell>
          <cell r="G18">
            <v>1192</v>
          </cell>
        </row>
        <row r="19">
          <cell r="C19">
            <v>1601</v>
          </cell>
          <cell r="G19">
            <v>1273</v>
          </cell>
        </row>
        <row r="20">
          <cell r="C20">
            <v>1536</v>
          </cell>
          <cell r="G20">
            <v>1364</v>
          </cell>
        </row>
        <row r="21">
          <cell r="C21">
            <v>1602</v>
          </cell>
          <cell r="G21">
            <v>1551</v>
          </cell>
        </row>
        <row r="22">
          <cell r="C22">
            <v>1456</v>
          </cell>
          <cell r="G22">
            <v>1575</v>
          </cell>
        </row>
        <row r="23">
          <cell r="C23">
            <v>1584</v>
          </cell>
          <cell r="G23">
            <v>1348</v>
          </cell>
        </row>
        <row r="24">
          <cell r="C24">
            <v>1718</v>
          </cell>
          <cell r="G24">
            <v>1955</v>
          </cell>
        </row>
        <row r="25">
          <cell r="C25">
            <v>1645</v>
          </cell>
          <cell r="G25">
            <v>1708</v>
          </cell>
        </row>
        <row r="26">
          <cell r="C26">
            <v>1673</v>
          </cell>
          <cell r="G26">
            <v>1659</v>
          </cell>
        </row>
        <row r="27">
          <cell r="C27">
            <v>1588</v>
          </cell>
          <cell r="G27">
            <v>1533</v>
          </cell>
        </row>
        <row r="28">
          <cell r="C28">
            <v>1592</v>
          </cell>
          <cell r="G28">
            <v>1496</v>
          </cell>
        </row>
        <row r="29">
          <cell r="C29">
            <v>1569</v>
          </cell>
          <cell r="G29">
            <v>1351</v>
          </cell>
        </row>
        <row r="30">
          <cell r="C30">
            <v>1590</v>
          </cell>
          <cell r="G30">
            <v>1395</v>
          </cell>
        </row>
        <row r="31">
          <cell r="C31">
            <v>1558</v>
          </cell>
          <cell r="G31">
            <v>1507</v>
          </cell>
        </row>
        <row r="32">
          <cell r="C32">
            <v>1591</v>
          </cell>
          <cell r="G32">
            <v>1469</v>
          </cell>
        </row>
        <row r="33">
          <cell r="C33">
            <v>1599</v>
          </cell>
          <cell r="G33">
            <v>1193</v>
          </cell>
        </row>
        <row r="34">
          <cell r="C34">
            <v>1637</v>
          </cell>
          <cell r="G34">
            <v>1115</v>
          </cell>
        </row>
        <row r="35">
          <cell r="C35">
            <v>1666</v>
          </cell>
          <cell r="G35">
            <v>1177</v>
          </cell>
        </row>
        <row r="36">
          <cell r="C36">
            <v>1674</v>
          </cell>
          <cell r="G36">
            <v>1453</v>
          </cell>
        </row>
        <row r="37">
          <cell r="C37">
            <v>1675</v>
          </cell>
          <cell r="G37">
            <v>1740</v>
          </cell>
        </row>
      </sheetData>
      <sheetData sheetId="3">
        <row r="7">
          <cell r="C7">
            <v>160</v>
          </cell>
        </row>
        <row r="8">
          <cell r="C8">
            <v>186</v>
          </cell>
        </row>
        <row r="9">
          <cell r="C9">
            <v>160</v>
          </cell>
        </row>
        <row r="10">
          <cell r="C10">
            <v>169</v>
          </cell>
        </row>
        <row r="11">
          <cell r="C11">
            <v>163</v>
          </cell>
        </row>
        <row r="12">
          <cell r="C12">
            <v>164</v>
          </cell>
        </row>
        <row r="13">
          <cell r="C13">
            <v>129</v>
          </cell>
        </row>
        <row r="14">
          <cell r="C14">
            <v>157</v>
          </cell>
        </row>
        <row r="15">
          <cell r="C15">
            <v>161</v>
          </cell>
        </row>
        <row r="16">
          <cell r="C16">
            <v>171</v>
          </cell>
        </row>
        <row r="17">
          <cell r="C17">
            <v>219</v>
          </cell>
        </row>
        <row r="18">
          <cell r="C18">
            <v>209</v>
          </cell>
        </row>
        <row r="19">
          <cell r="C19">
            <v>154</v>
          </cell>
        </row>
        <row r="20">
          <cell r="C20">
            <v>170</v>
          </cell>
        </row>
        <row r="21">
          <cell r="C21">
            <v>148</v>
          </cell>
        </row>
        <row r="22">
          <cell r="C22">
            <v>147</v>
          </cell>
        </row>
        <row r="23">
          <cell r="C23">
            <v>153</v>
          </cell>
        </row>
        <row r="24">
          <cell r="C24">
            <v>150</v>
          </cell>
        </row>
        <row r="25">
          <cell r="C25">
            <v>160</v>
          </cell>
        </row>
        <row r="26">
          <cell r="C26">
            <v>238</v>
          </cell>
        </row>
        <row r="27">
          <cell r="C27">
            <v>132</v>
          </cell>
        </row>
        <row r="28">
          <cell r="C28">
            <v>150</v>
          </cell>
        </row>
        <row r="29">
          <cell r="C29">
            <v>180</v>
          </cell>
        </row>
        <row r="30">
          <cell r="C30">
            <v>209</v>
          </cell>
        </row>
        <row r="31">
          <cell r="C31">
            <v>193</v>
          </cell>
        </row>
        <row r="32">
          <cell r="C32">
            <v>206</v>
          </cell>
        </row>
        <row r="33">
          <cell r="C33">
            <v>188</v>
          </cell>
        </row>
        <row r="34">
          <cell r="C34">
            <v>217</v>
          </cell>
        </row>
        <row r="35">
          <cell r="C35">
            <v>163</v>
          </cell>
        </row>
        <row r="36">
          <cell r="C36">
            <v>151</v>
          </cell>
        </row>
        <row r="37">
          <cell r="C37">
            <v>174</v>
          </cell>
        </row>
      </sheetData>
      <sheetData sheetId="4" refreshError="1"/>
      <sheetData sheetId="5">
        <row r="7">
          <cell r="BH7">
            <v>713</v>
          </cell>
          <cell r="BJ7">
            <v>888</v>
          </cell>
        </row>
        <row r="8">
          <cell r="BH8">
            <v>775</v>
          </cell>
        </row>
        <row r="9">
          <cell r="BH9">
            <v>653</v>
          </cell>
        </row>
        <row r="10">
          <cell r="BH10">
            <v>635</v>
          </cell>
        </row>
        <row r="11">
          <cell r="BH11">
            <v>865</v>
          </cell>
        </row>
        <row r="12">
          <cell r="BH12">
            <v>747</v>
          </cell>
        </row>
        <row r="13">
          <cell r="BH13">
            <v>643</v>
          </cell>
        </row>
        <row r="14">
          <cell r="BH14">
            <v>712</v>
          </cell>
        </row>
        <row r="15">
          <cell r="BH15">
            <v>763</v>
          </cell>
        </row>
        <row r="16">
          <cell r="BH16">
            <v>718</v>
          </cell>
        </row>
        <row r="17">
          <cell r="BH17">
            <v>737</v>
          </cell>
        </row>
        <row r="18">
          <cell r="BH18">
            <v>1032</v>
          </cell>
        </row>
        <row r="19">
          <cell r="BH19">
            <v>793</v>
          </cell>
        </row>
        <row r="20">
          <cell r="BH20">
            <v>553</v>
          </cell>
        </row>
        <row r="21">
          <cell r="BH21">
            <v>624</v>
          </cell>
        </row>
        <row r="22">
          <cell r="BH22">
            <v>681</v>
          </cell>
        </row>
        <row r="23">
          <cell r="BH23">
            <v>624</v>
          </cell>
        </row>
        <row r="24">
          <cell r="BH24">
            <v>772</v>
          </cell>
        </row>
        <row r="25">
          <cell r="BH25">
            <v>816</v>
          </cell>
        </row>
        <row r="26">
          <cell r="BH26">
            <v>708</v>
          </cell>
        </row>
        <row r="27">
          <cell r="BH27">
            <v>815</v>
          </cell>
        </row>
        <row r="28">
          <cell r="BH28">
            <v>547</v>
          </cell>
        </row>
        <row r="29">
          <cell r="BH29">
            <v>641</v>
          </cell>
        </row>
        <row r="30">
          <cell r="BH30">
            <v>759</v>
          </cell>
        </row>
        <row r="31">
          <cell r="BH31">
            <v>826</v>
          </cell>
        </row>
        <row r="32">
          <cell r="BH32">
            <v>814</v>
          </cell>
        </row>
        <row r="33">
          <cell r="BH33">
            <v>794</v>
          </cell>
        </row>
        <row r="34">
          <cell r="BH34">
            <v>649</v>
          </cell>
        </row>
        <row r="35">
          <cell r="BH35">
            <v>601</v>
          </cell>
        </row>
        <row r="36">
          <cell r="BH36">
            <v>720</v>
          </cell>
        </row>
        <row r="37">
          <cell r="BH37">
            <v>693</v>
          </cell>
        </row>
      </sheetData>
      <sheetData sheetId="6">
        <row r="4">
          <cell r="V4">
            <v>6290</v>
          </cell>
        </row>
        <row r="5">
          <cell r="V5">
            <v>5508</v>
          </cell>
        </row>
        <row r="6">
          <cell r="V6">
            <v>5221</v>
          </cell>
        </row>
        <row r="7">
          <cell r="V7">
            <v>5111</v>
          </cell>
        </row>
        <row r="8">
          <cell r="V8">
            <v>4572</v>
          </cell>
        </row>
        <row r="9">
          <cell r="V9">
            <v>3890</v>
          </cell>
        </row>
        <row r="10">
          <cell r="V10">
            <v>6920</v>
          </cell>
        </row>
        <row r="11">
          <cell r="V11">
            <v>5533</v>
          </cell>
        </row>
        <row r="12">
          <cell r="V12">
            <v>5176</v>
          </cell>
        </row>
        <row r="13">
          <cell r="V13">
            <v>6182</v>
          </cell>
        </row>
        <row r="14">
          <cell r="V14">
            <v>6062</v>
          </cell>
        </row>
        <row r="15">
          <cell r="V15">
            <v>5944</v>
          </cell>
        </row>
        <row r="16">
          <cell r="V16">
            <v>5441</v>
          </cell>
        </row>
        <row r="17">
          <cell r="V17">
            <v>4807</v>
          </cell>
        </row>
        <row r="18">
          <cell r="V18">
            <v>3689</v>
          </cell>
        </row>
        <row r="19">
          <cell r="V19">
            <v>3932</v>
          </cell>
        </row>
        <row r="20">
          <cell r="V20">
            <v>3655</v>
          </cell>
        </row>
        <row r="21">
          <cell r="V21">
            <v>4152</v>
          </cell>
        </row>
        <row r="22">
          <cell r="V22">
            <v>3302</v>
          </cell>
        </row>
        <row r="23">
          <cell r="V23">
            <v>3620</v>
          </cell>
        </row>
        <row r="24">
          <cell r="V24">
            <v>3762</v>
          </cell>
        </row>
        <row r="25">
          <cell r="V25">
            <v>4638</v>
          </cell>
        </row>
        <row r="26">
          <cell r="V26">
            <v>5329</v>
          </cell>
        </row>
        <row r="27">
          <cell r="V27">
            <v>5512</v>
          </cell>
        </row>
        <row r="28">
          <cell r="V28">
            <v>4503</v>
          </cell>
        </row>
        <row r="29">
          <cell r="V29">
            <v>4426</v>
          </cell>
        </row>
        <row r="30">
          <cell r="V30">
            <v>5696</v>
          </cell>
        </row>
        <row r="31">
          <cell r="V31">
            <v>6447</v>
          </cell>
        </row>
        <row r="32">
          <cell r="V32">
            <v>7033</v>
          </cell>
        </row>
        <row r="33">
          <cell r="V33">
            <v>3866</v>
          </cell>
        </row>
        <row r="34">
          <cell r="V34">
            <v>4134</v>
          </cell>
        </row>
      </sheetData>
      <sheetData sheetId="7">
        <row r="4">
          <cell r="L4">
            <v>10</v>
          </cell>
        </row>
        <row r="5">
          <cell r="L5">
            <v>10</v>
          </cell>
        </row>
        <row r="6">
          <cell r="L6">
            <v>10</v>
          </cell>
        </row>
        <row r="7">
          <cell r="L7">
            <v>9</v>
          </cell>
        </row>
        <row r="8">
          <cell r="L8">
            <v>11</v>
          </cell>
        </row>
        <row r="9">
          <cell r="L9">
            <v>9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10</v>
          </cell>
        </row>
        <row r="13">
          <cell r="L13">
            <v>11</v>
          </cell>
        </row>
        <row r="14">
          <cell r="L14">
            <v>11</v>
          </cell>
        </row>
        <row r="15">
          <cell r="L15">
            <v>24</v>
          </cell>
        </row>
        <row r="16">
          <cell r="L16">
            <v>8</v>
          </cell>
        </row>
        <row r="17">
          <cell r="L17">
            <v>3</v>
          </cell>
        </row>
        <row r="18">
          <cell r="L18">
            <v>5</v>
          </cell>
        </row>
        <row r="19">
          <cell r="L19">
            <v>5</v>
          </cell>
        </row>
        <row r="20">
          <cell r="L20">
            <v>6</v>
          </cell>
        </row>
        <row r="21">
          <cell r="L21">
            <v>8</v>
          </cell>
        </row>
        <row r="22">
          <cell r="L22">
            <v>5</v>
          </cell>
        </row>
        <row r="23">
          <cell r="L23">
            <v>5</v>
          </cell>
        </row>
        <row r="24">
          <cell r="L24">
            <v>8</v>
          </cell>
        </row>
        <row r="25">
          <cell r="L25">
            <v>5</v>
          </cell>
        </row>
        <row r="26">
          <cell r="L26">
            <v>7</v>
          </cell>
        </row>
        <row r="27">
          <cell r="L27">
            <v>8</v>
          </cell>
        </row>
        <row r="28">
          <cell r="L28">
            <v>9</v>
          </cell>
        </row>
        <row r="29">
          <cell r="L29">
            <v>8</v>
          </cell>
        </row>
        <row r="30">
          <cell r="L30">
            <v>8</v>
          </cell>
        </row>
        <row r="31">
          <cell r="L31">
            <v>12</v>
          </cell>
        </row>
        <row r="32">
          <cell r="L32">
            <v>12</v>
          </cell>
        </row>
        <row r="33">
          <cell r="L33">
            <v>9</v>
          </cell>
        </row>
        <row r="34">
          <cell r="L34">
            <v>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="85" zoomScaleNormal="85" workbookViewId="0">
      <selection activeCell="E21" sqref="E21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5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12</v>
      </c>
      <c r="D2" s="10">
        <v>2020</v>
      </c>
      <c r="E2" s="11">
        <f>总计!P5</f>
        <v>44434.470000000452</v>
      </c>
      <c r="F2" s="17">
        <v>0.67516900000000002</v>
      </c>
      <c r="G2" s="64">
        <f>总计!K5</f>
        <v>2489</v>
      </c>
      <c r="H2" s="17">
        <v>3.95</v>
      </c>
      <c r="I2" s="12">
        <f>总计!V5</f>
        <v>294.12</v>
      </c>
      <c r="J2" s="17">
        <v>4.8600000000000003</v>
      </c>
      <c r="K2" s="19">
        <f>总计!R5*1000</f>
        <v>10000</v>
      </c>
      <c r="L2" s="17">
        <f>总计!S5/TOTAL!K2</f>
        <v>0.45716200000000007</v>
      </c>
      <c r="M2" s="11">
        <f>(总计!D5/100)*344</f>
        <v>261.99039999999997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12</v>
      </c>
      <c r="D3" s="10">
        <v>2020</v>
      </c>
      <c r="E3" s="11">
        <f>总计!P6</f>
        <v>40634.470000001638</v>
      </c>
      <c r="F3" s="17">
        <f>F2</f>
        <v>0.67516900000000002</v>
      </c>
      <c r="G3" s="64">
        <f>总计!K6</f>
        <v>3191</v>
      </c>
      <c r="H3" s="17">
        <f>H2</f>
        <v>3.95</v>
      </c>
      <c r="I3" s="12">
        <f>总计!V6</f>
        <v>320.12</v>
      </c>
      <c r="J3" s="17">
        <f>J2</f>
        <v>4.8600000000000003</v>
      </c>
      <c r="K3" s="19">
        <f>总计!R6*1000</f>
        <v>10000</v>
      </c>
      <c r="L3" s="17">
        <f>总计!S6/TOTAL!K3</f>
        <v>0.45716200000000007</v>
      </c>
      <c r="M3" s="11">
        <f>(总计!D6/100)*344</f>
        <v>298.00720000000001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12</v>
      </c>
      <c r="D4" s="10">
        <v>2020</v>
      </c>
      <c r="E4" s="11">
        <f>总计!P7</f>
        <v>40934.469999999092</v>
      </c>
      <c r="F4" s="17">
        <f t="shared" ref="F4:F32" si="1">F3</f>
        <v>0.67516900000000002</v>
      </c>
      <c r="G4" s="64">
        <f>总计!K7</f>
        <v>3366</v>
      </c>
      <c r="H4" s="17">
        <f t="shared" ref="H4:H32" si="2">H3</f>
        <v>3.95</v>
      </c>
      <c r="I4" s="12">
        <f>总计!V7</f>
        <v>294.12</v>
      </c>
      <c r="J4" s="17">
        <f t="shared" ref="J4:J32" si="3">J3</f>
        <v>4.8600000000000003</v>
      </c>
      <c r="K4" s="19">
        <f>总计!R7*1000</f>
        <v>10000</v>
      </c>
      <c r="L4" s="17">
        <f>总计!S7/TOTAL!K4</f>
        <v>0.45716200000000007</v>
      </c>
      <c r="M4" s="11">
        <f>(总计!D7/100)*344</f>
        <v>324.0136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12</v>
      </c>
      <c r="D5" s="10">
        <v>2020</v>
      </c>
      <c r="E5" s="11">
        <f>总计!P8</f>
        <v>40734.469999999274</v>
      </c>
      <c r="F5" s="17">
        <f t="shared" si="1"/>
        <v>0.67516900000000002</v>
      </c>
      <c r="G5" s="64">
        <f>总计!K8</f>
        <v>3672</v>
      </c>
      <c r="H5" s="17">
        <f t="shared" si="2"/>
        <v>3.95</v>
      </c>
      <c r="I5" s="12">
        <f>总计!V8</f>
        <v>303.12</v>
      </c>
      <c r="J5" s="17">
        <f t="shared" si="3"/>
        <v>4.8600000000000003</v>
      </c>
      <c r="K5" s="19">
        <f>总计!R8*1000</f>
        <v>9000</v>
      </c>
      <c r="L5" s="17">
        <f>总计!S8/TOTAL!K5</f>
        <v>0.47555111111111109</v>
      </c>
      <c r="M5" s="11">
        <f>(总计!D8/100)*344</f>
        <v>332.95760000000001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12</v>
      </c>
      <c r="D6" s="10">
        <v>2020</v>
      </c>
      <c r="E6" s="11">
        <f>总计!P9</f>
        <v>40334.470000001907</v>
      </c>
      <c r="F6" s="17">
        <f t="shared" si="1"/>
        <v>0.67516900000000002</v>
      </c>
      <c r="G6" s="64">
        <f>总计!K9</f>
        <v>3818</v>
      </c>
      <c r="H6" s="17">
        <f t="shared" si="2"/>
        <v>3.95</v>
      </c>
      <c r="I6" s="12">
        <f>总计!V9</f>
        <v>297.12</v>
      </c>
      <c r="J6" s="17">
        <f t="shared" si="3"/>
        <v>4.8600000000000003</v>
      </c>
      <c r="K6" s="19">
        <f>总计!R9*1000</f>
        <v>11000</v>
      </c>
      <c r="L6" s="17">
        <f>总计!S9/TOTAL!K6</f>
        <v>0.4421163636363637</v>
      </c>
      <c r="M6" s="11">
        <f>(总计!D9/100)*344</f>
        <v>306.88239999999996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12</v>
      </c>
      <c r="D7" s="10">
        <v>2020</v>
      </c>
      <c r="E7" s="11">
        <f>总计!P10</f>
        <v>38734.469999998815</v>
      </c>
      <c r="F7" s="17">
        <f t="shared" si="1"/>
        <v>0.67516900000000002</v>
      </c>
      <c r="G7" s="64">
        <f>总计!K10</f>
        <v>3700</v>
      </c>
      <c r="H7" s="17">
        <f t="shared" si="2"/>
        <v>3.95</v>
      </c>
      <c r="I7" s="12">
        <f>总计!V10</f>
        <v>298.12</v>
      </c>
      <c r="J7" s="17">
        <f t="shared" si="3"/>
        <v>4.8600000000000003</v>
      </c>
      <c r="K7" s="19">
        <f>总计!R10*1000</f>
        <v>9000</v>
      </c>
      <c r="L7" s="17">
        <f>总计!S10/TOTAL!K7</f>
        <v>0.47555111111111109</v>
      </c>
      <c r="M7" s="11">
        <f>(总计!D10/100)*344</f>
        <v>266.01519999999999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12</v>
      </c>
      <c r="D8" s="10">
        <v>2020</v>
      </c>
      <c r="E8" s="11">
        <f>总计!P11</f>
        <v>42934.47000000182</v>
      </c>
      <c r="F8" s="17">
        <f t="shared" si="1"/>
        <v>0.67516900000000002</v>
      </c>
      <c r="G8" s="64">
        <f>总计!K11</f>
        <v>3305</v>
      </c>
      <c r="H8" s="17">
        <f t="shared" si="2"/>
        <v>3.95</v>
      </c>
      <c r="I8" s="12">
        <f>总计!V11</f>
        <v>263.12</v>
      </c>
      <c r="J8" s="17">
        <f t="shared" si="3"/>
        <v>4.8600000000000003</v>
      </c>
      <c r="K8" s="19">
        <f>总计!R11*1000</f>
        <v>10000</v>
      </c>
      <c r="L8" s="17">
        <f>总计!S11/TOTAL!K8</f>
        <v>0.45716200000000007</v>
      </c>
      <c r="M8" s="11">
        <f>(总计!D11/100)*344</f>
        <v>252.01440000000002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12</v>
      </c>
      <c r="D9" s="10">
        <v>2020</v>
      </c>
      <c r="E9" s="11">
        <f>总计!P12</f>
        <v>40034.469999999907</v>
      </c>
      <c r="F9" s="17">
        <f t="shared" si="1"/>
        <v>0.67516900000000002</v>
      </c>
      <c r="G9" s="64">
        <f>总计!K12</f>
        <v>3405</v>
      </c>
      <c r="H9" s="17">
        <f t="shared" si="2"/>
        <v>3.95</v>
      </c>
      <c r="I9" s="12">
        <f>总计!V12</f>
        <v>291.12</v>
      </c>
      <c r="J9" s="17">
        <f t="shared" si="3"/>
        <v>4.8600000000000003</v>
      </c>
      <c r="K9" s="19">
        <f>总计!R12*1000</f>
        <v>11000</v>
      </c>
      <c r="L9" s="17">
        <f>总计!S12/TOTAL!K9</f>
        <v>0.4421163636363637</v>
      </c>
      <c r="M9" s="11">
        <f>(总计!D12/100)*344</f>
        <v>300.00240000000002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12</v>
      </c>
      <c r="D10" s="10">
        <v>2020</v>
      </c>
      <c r="E10" s="11">
        <f>总计!P13</f>
        <v>40334.46999999736</v>
      </c>
      <c r="F10" s="17">
        <f t="shared" si="1"/>
        <v>0.67516900000000002</v>
      </c>
      <c r="G10" s="64">
        <f>总计!K13</f>
        <v>3386</v>
      </c>
      <c r="H10" s="17">
        <f t="shared" si="2"/>
        <v>3.95</v>
      </c>
      <c r="I10" s="12">
        <f>总计!V13</f>
        <v>295.12</v>
      </c>
      <c r="J10" s="17">
        <f t="shared" si="3"/>
        <v>4.8600000000000003</v>
      </c>
      <c r="K10" s="19">
        <f>总计!R13*1000</f>
        <v>10000</v>
      </c>
      <c r="L10" s="17">
        <f>总计!S13/TOTAL!K10</f>
        <v>0.45716200000000007</v>
      </c>
      <c r="M10" s="11">
        <f>(总计!D13/100)*344</f>
        <v>315.9984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12</v>
      </c>
      <c r="D11" s="10">
        <v>2020</v>
      </c>
      <c r="E11" s="11">
        <f>总计!P14</f>
        <v>42134.47000000027</v>
      </c>
      <c r="F11" s="17">
        <f t="shared" si="1"/>
        <v>0.67516900000000002</v>
      </c>
      <c r="G11" s="64">
        <f>总计!K14</f>
        <v>3443</v>
      </c>
      <c r="H11" s="17">
        <f t="shared" si="2"/>
        <v>3.95</v>
      </c>
      <c r="I11" s="12">
        <f>总计!V14</f>
        <v>305.12</v>
      </c>
      <c r="J11" s="17">
        <f t="shared" si="3"/>
        <v>4.8600000000000003</v>
      </c>
      <c r="K11" s="19">
        <f>总计!R14*1000</f>
        <v>11000</v>
      </c>
      <c r="L11" s="17">
        <f>总计!S14/TOTAL!K11</f>
        <v>0.4421163636363637</v>
      </c>
      <c r="M11" s="11">
        <f>(总计!D14/100)*344</f>
        <v>299.00479999999999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12</v>
      </c>
      <c r="D12" s="10">
        <v>2020</v>
      </c>
      <c r="E12" s="11">
        <f>总计!P15</f>
        <v>41834.470000000547</v>
      </c>
      <c r="F12" s="17">
        <f t="shared" si="1"/>
        <v>0.67516900000000002</v>
      </c>
      <c r="G12" s="64">
        <f>总计!K15</f>
        <v>3418</v>
      </c>
      <c r="H12" s="17">
        <f t="shared" si="2"/>
        <v>3.95</v>
      </c>
      <c r="I12" s="12">
        <f>总计!V15</f>
        <v>353.12</v>
      </c>
      <c r="J12" s="17">
        <f t="shared" si="3"/>
        <v>4.8600000000000003</v>
      </c>
      <c r="K12" s="19">
        <f>总计!R15*1000</f>
        <v>11000</v>
      </c>
      <c r="L12" s="17">
        <f>总计!S15/TOTAL!K12</f>
        <v>0.4421163636363637</v>
      </c>
      <c r="M12" s="11">
        <f>(总计!D15/100)*344</f>
        <v>309.01519999999999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12</v>
      </c>
      <c r="D13" s="10">
        <v>2020</v>
      </c>
      <c r="E13" s="11">
        <f>总计!P16</f>
        <v>42934.469999999543</v>
      </c>
      <c r="F13" s="17">
        <f t="shared" si="1"/>
        <v>0.67516900000000002</v>
      </c>
      <c r="G13" s="64">
        <f>总计!K16</f>
        <v>3811</v>
      </c>
      <c r="H13" s="17">
        <f t="shared" si="2"/>
        <v>3.95</v>
      </c>
      <c r="I13" s="12">
        <f>总计!V16</f>
        <v>343.12</v>
      </c>
      <c r="J13" s="17">
        <f t="shared" si="3"/>
        <v>4.8600000000000003</v>
      </c>
      <c r="K13" s="19">
        <f>总计!R16*1000</f>
        <v>24000</v>
      </c>
      <c r="L13" s="17">
        <f>总计!S16/TOTAL!K13</f>
        <v>0.36061916666666671</v>
      </c>
      <c r="M13" s="11">
        <f>(总计!D16/100)*344</f>
        <v>327.00639999999999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12</v>
      </c>
      <c r="D14" s="10">
        <v>2020</v>
      </c>
      <c r="E14" s="11">
        <f>总计!P17</f>
        <v>42034.470000000365</v>
      </c>
      <c r="F14" s="17">
        <f t="shared" si="1"/>
        <v>0.67516900000000002</v>
      </c>
      <c r="G14" s="64">
        <f>总计!K17</f>
        <v>3667</v>
      </c>
      <c r="H14" s="17">
        <f t="shared" si="2"/>
        <v>3.95</v>
      </c>
      <c r="I14" s="12">
        <f>总计!V17</f>
        <v>288.12</v>
      </c>
      <c r="J14" s="17">
        <f t="shared" si="3"/>
        <v>4.8600000000000003</v>
      </c>
      <c r="K14" s="19">
        <f>总计!R17*1000</f>
        <v>8000</v>
      </c>
      <c r="L14" s="17">
        <f>总计!S17/TOTAL!K14</f>
        <v>0.49853750000000002</v>
      </c>
      <c r="M14" s="11">
        <f>(总计!D17/100)*344</f>
        <v>266.01519999999999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12</v>
      </c>
      <c r="D15" s="10">
        <v>2020</v>
      </c>
      <c r="E15" s="11">
        <f>总计!P18</f>
        <v>40034.469999999907</v>
      </c>
      <c r="F15" s="17">
        <f t="shared" si="1"/>
        <v>0.67516900000000002</v>
      </c>
      <c r="G15" s="64">
        <f>总计!K18</f>
        <v>3453</v>
      </c>
      <c r="H15" s="17">
        <f t="shared" si="2"/>
        <v>3.95</v>
      </c>
      <c r="I15" s="12">
        <f>总计!V18</f>
        <v>304.12</v>
      </c>
      <c r="J15" s="17">
        <f t="shared" si="3"/>
        <v>4.8600000000000003</v>
      </c>
      <c r="K15" s="19">
        <f>总计!R18*1000</f>
        <v>3000</v>
      </c>
      <c r="L15" s="17">
        <f>总计!S18/TOTAL!K15</f>
        <v>0.84333333333333338</v>
      </c>
      <c r="M15" s="11">
        <f>(总计!D18/100)*344</f>
        <v>278.05520000000001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12</v>
      </c>
      <c r="D16" s="10">
        <v>2020</v>
      </c>
      <c r="E16" s="11">
        <f>总计!P19</f>
        <v>39134.470000000729</v>
      </c>
      <c r="F16" s="17">
        <f t="shared" si="1"/>
        <v>0.67516900000000002</v>
      </c>
      <c r="G16" s="64">
        <f>总计!K19</f>
        <v>3777</v>
      </c>
      <c r="H16" s="17">
        <f t="shared" si="2"/>
        <v>3.95</v>
      </c>
      <c r="I16" s="12">
        <f>总计!V19</f>
        <v>282.12</v>
      </c>
      <c r="J16" s="17">
        <f t="shared" si="3"/>
        <v>4.8600000000000003</v>
      </c>
      <c r="K16" s="19">
        <f>总计!R19*1000</f>
        <v>5000</v>
      </c>
      <c r="L16" s="17">
        <f>总计!S19/TOTAL!K16</f>
        <v>0.622664</v>
      </c>
      <c r="M16" s="11">
        <f>(总计!D19/100)*344</f>
        <v>287.1712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12</v>
      </c>
      <c r="D17" s="10">
        <v>2020</v>
      </c>
      <c r="E17" s="11">
        <f>总计!P20</f>
        <v>39534.470000000365</v>
      </c>
      <c r="F17" s="17">
        <f t="shared" si="1"/>
        <v>0.67516900000000002</v>
      </c>
      <c r="G17" s="64">
        <f>总计!K20</f>
        <v>3712</v>
      </c>
      <c r="H17" s="17">
        <f t="shared" si="2"/>
        <v>3.95</v>
      </c>
      <c r="I17" s="12">
        <f>总计!V20</f>
        <v>281.12</v>
      </c>
      <c r="J17" s="17">
        <f t="shared" si="3"/>
        <v>4.8600000000000003</v>
      </c>
      <c r="K17" s="19">
        <f>总计!R20*1000</f>
        <v>5000</v>
      </c>
      <c r="L17" s="17">
        <f>总计!S20/TOTAL!K17</f>
        <v>0.622664</v>
      </c>
      <c r="M17" s="11">
        <f>(总计!D20/100)*344</f>
        <v>303.40800000000002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12</v>
      </c>
      <c r="D18" s="10">
        <v>2020</v>
      </c>
      <c r="E18" s="11">
        <f>总计!P21</f>
        <v>38834.469999998728</v>
      </c>
      <c r="F18" s="17">
        <f t="shared" si="1"/>
        <v>0.67516900000000002</v>
      </c>
      <c r="G18" s="64">
        <f>总计!K21</f>
        <v>3556</v>
      </c>
      <c r="H18" s="17">
        <f t="shared" si="2"/>
        <v>3.95</v>
      </c>
      <c r="I18" s="12">
        <f>总计!V21</f>
        <v>287.12</v>
      </c>
      <c r="J18" s="17">
        <f t="shared" si="3"/>
        <v>4.8600000000000003</v>
      </c>
      <c r="K18" s="19">
        <f>总计!R21*1000</f>
        <v>6000</v>
      </c>
      <c r="L18" s="17">
        <f>总计!S21/TOTAL!K18</f>
        <v>0.56749666666666665</v>
      </c>
      <c r="M18" s="11">
        <f>(总计!D21/100)*344</f>
        <v>321.98399999999998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12</v>
      </c>
      <c r="D19" s="10">
        <v>2020</v>
      </c>
      <c r="E19" s="11">
        <f>总计!P22</f>
        <v>40234.469999999725</v>
      </c>
      <c r="F19" s="17">
        <f t="shared" si="1"/>
        <v>0.67516900000000002</v>
      </c>
      <c r="G19" s="64">
        <f>总计!K22</f>
        <v>4445</v>
      </c>
      <c r="H19" s="17">
        <f t="shared" si="2"/>
        <v>3.95</v>
      </c>
      <c r="I19" s="12">
        <f>总计!V22</f>
        <v>284.12</v>
      </c>
      <c r="J19" s="17">
        <f t="shared" si="3"/>
        <v>4.8600000000000003</v>
      </c>
      <c r="K19" s="19">
        <f>总计!R22*1000</f>
        <v>8000</v>
      </c>
      <c r="L19" s="17">
        <f>总计!S22/TOTAL!K19</f>
        <v>0.49853750000000002</v>
      </c>
      <c r="M19" s="11">
        <f>(总计!D22/100)*344</f>
        <v>301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12</v>
      </c>
      <c r="D20" s="10">
        <v>2020</v>
      </c>
      <c r="E20" s="11">
        <f>总计!P23</f>
        <v>40034.469999999907</v>
      </c>
      <c r="F20" s="17">
        <f t="shared" si="1"/>
        <v>0.67516900000000002</v>
      </c>
      <c r="G20" s="64">
        <f>总计!K23</f>
        <v>4169</v>
      </c>
      <c r="H20" s="17">
        <f t="shared" si="2"/>
        <v>3.95</v>
      </c>
      <c r="I20" s="12">
        <f>总计!V23</f>
        <v>294.12</v>
      </c>
      <c r="J20" s="17">
        <f t="shared" si="3"/>
        <v>4.8600000000000003</v>
      </c>
      <c r="K20" s="19">
        <f>总计!R23*1000</f>
        <v>5000</v>
      </c>
      <c r="L20" s="17">
        <f>总计!S23/TOTAL!K20</f>
        <v>0.622664</v>
      </c>
      <c r="M20" s="11">
        <f>(总计!D23/100)*344</f>
        <v>301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12</v>
      </c>
      <c r="D21" s="10">
        <v>2020</v>
      </c>
      <c r="E21" s="11">
        <f>总计!P24</f>
        <v>39834.470000000088</v>
      </c>
      <c r="F21" s="17">
        <f t="shared" si="1"/>
        <v>0.67516900000000002</v>
      </c>
      <c r="G21" s="64">
        <f>总计!K24</f>
        <v>4040</v>
      </c>
      <c r="H21" s="17">
        <f t="shared" si="2"/>
        <v>3.95</v>
      </c>
      <c r="I21" s="12">
        <f>总计!V24</f>
        <v>372.12</v>
      </c>
      <c r="J21" s="17">
        <f t="shared" si="3"/>
        <v>4.8600000000000003</v>
      </c>
      <c r="K21" s="19">
        <f>总计!R24*1000</f>
        <v>5000</v>
      </c>
      <c r="L21" s="17">
        <f>总计!S24/TOTAL!K21</f>
        <v>0.622664</v>
      </c>
      <c r="M21" s="11">
        <f>(总计!D24/100)*344</f>
        <v>252.01440000000002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12</v>
      </c>
      <c r="D22" s="10">
        <v>2020</v>
      </c>
      <c r="E22" s="11">
        <f>总计!P25</f>
        <v>42734.470000002002</v>
      </c>
      <c r="F22" s="17">
        <f t="shared" si="1"/>
        <v>0.67516900000000002</v>
      </c>
      <c r="G22" s="64">
        <f>总计!K25</f>
        <v>3936</v>
      </c>
      <c r="H22" s="17">
        <f t="shared" si="2"/>
        <v>3.95</v>
      </c>
      <c r="I22" s="12">
        <f>总计!V25</f>
        <v>266.12</v>
      </c>
      <c r="J22" s="17">
        <f t="shared" si="3"/>
        <v>4.8600000000000003</v>
      </c>
      <c r="K22" s="19">
        <f>总计!R25*1000</f>
        <v>8000</v>
      </c>
      <c r="L22" s="17">
        <f>总计!S25/TOTAL!K22</f>
        <v>0.49853750000000002</v>
      </c>
      <c r="M22" s="11">
        <f>(总计!D25/100)*344</f>
        <v>305.988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12</v>
      </c>
      <c r="D23" s="10">
        <v>2020</v>
      </c>
      <c r="E23" s="11">
        <f>总计!P26</f>
        <v>36434.469999998633</v>
      </c>
      <c r="F23" s="17">
        <f t="shared" si="1"/>
        <v>0.67516900000000002</v>
      </c>
      <c r="G23" s="64">
        <f>总计!K26</f>
        <v>3635</v>
      </c>
      <c r="H23" s="17">
        <f t="shared" si="2"/>
        <v>3.95</v>
      </c>
      <c r="I23" s="12">
        <f>总计!V26</f>
        <v>284.12</v>
      </c>
      <c r="J23" s="17">
        <f t="shared" si="3"/>
        <v>4.8600000000000003</v>
      </c>
      <c r="K23" s="19">
        <f>总计!R26*1000</f>
        <v>5000</v>
      </c>
      <c r="L23" s="17">
        <f>总计!S26/TOTAL!K23</f>
        <v>0.622664</v>
      </c>
      <c r="M23" s="11">
        <f>(总计!D26/100)*344</f>
        <v>264.98320000000001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12</v>
      </c>
      <c r="D24" s="10">
        <v>2020</v>
      </c>
      <c r="E24" s="11">
        <f>总计!P27</f>
        <v>41234.470000001093</v>
      </c>
      <c r="F24" s="17">
        <f t="shared" si="1"/>
        <v>0.67516900000000002</v>
      </c>
      <c r="G24" s="64">
        <f>总计!K27</f>
        <v>3561</v>
      </c>
      <c r="H24" s="17">
        <f t="shared" si="2"/>
        <v>3.95</v>
      </c>
      <c r="I24" s="12">
        <f>总计!V27</f>
        <v>314.12</v>
      </c>
      <c r="J24" s="17">
        <f t="shared" si="3"/>
        <v>4.8600000000000003</v>
      </c>
      <c r="K24" s="19">
        <f>总计!R27*1000</f>
        <v>7000</v>
      </c>
      <c r="L24" s="17">
        <f>总计!S27/TOTAL!K24</f>
        <v>0.52809142857142866</v>
      </c>
      <c r="M24" s="11">
        <f>(总计!D27/100)*344</f>
        <v>260.99279999999999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12</v>
      </c>
      <c r="D25" s="10">
        <v>2020</v>
      </c>
      <c r="E25" s="11">
        <f>总计!P28</f>
        <v>42534.469999999907</v>
      </c>
      <c r="F25" s="17">
        <f t="shared" si="1"/>
        <v>0.67516900000000002</v>
      </c>
      <c r="G25" s="64">
        <f>总计!K28</f>
        <v>3744</v>
      </c>
      <c r="H25" s="17">
        <f t="shared" si="2"/>
        <v>3.95</v>
      </c>
      <c r="I25" s="12">
        <f>总计!V28</f>
        <v>343.12</v>
      </c>
      <c r="J25" s="17">
        <f t="shared" si="3"/>
        <v>4.8600000000000003</v>
      </c>
      <c r="K25" s="19">
        <f>总计!R28*1000</f>
        <v>8000</v>
      </c>
      <c r="L25" s="17">
        <f>总计!S28/TOTAL!K25</f>
        <v>0.49853750000000002</v>
      </c>
      <c r="M25" s="11">
        <f>(总计!D28/100)*344</f>
        <v>297.00960000000003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12</v>
      </c>
      <c r="D26" s="10">
        <v>2020</v>
      </c>
      <c r="E26" s="11">
        <f>总计!P29</f>
        <v>41534.470000000816</v>
      </c>
      <c r="F26" s="17">
        <f t="shared" si="1"/>
        <v>0.67516900000000002</v>
      </c>
      <c r="G26" s="64">
        <f>总计!K29</f>
        <v>3891</v>
      </c>
      <c r="H26" s="17">
        <f t="shared" si="2"/>
        <v>3.95</v>
      </c>
      <c r="I26" s="12">
        <f>总计!V29</f>
        <v>327.12</v>
      </c>
      <c r="J26" s="17">
        <f t="shared" si="3"/>
        <v>4.8600000000000003</v>
      </c>
      <c r="K26" s="19">
        <f>总计!R29*1000</f>
        <v>9000</v>
      </c>
      <c r="L26" s="17">
        <f>总计!S29/TOTAL!K26</f>
        <v>0.47555111111111109</v>
      </c>
      <c r="M26" s="11">
        <f>(总计!D29/100)*344</f>
        <v>300.00240000000002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12</v>
      </c>
      <c r="D27" s="10">
        <v>2020</v>
      </c>
      <c r="E27" s="11">
        <f>总计!P30</f>
        <v>41534.469999998546</v>
      </c>
      <c r="F27" s="17">
        <f t="shared" si="1"/>
        <v>0.67516900000000002</v>
      </c>
      <c r="G27" s="64">
        <f>总计!K30</f>
        <v>3874</v>
      </c>
      <c r="H27" s="17">
        <f t="shared" si="2"/>
        <v>3.95</v>
      </c>
      <c r="I27" s="12">
        <f>总计!V30</f>
        <v>340.12</v>
      </c>
      <c r="J27" s="17">
        <f t="shared" si="3"/>
        <v>4.8600000000000003</v>
      </c>
      <c r="K27" s="19">
        <f>总计!R30*1000</f>
        <v>8000</v>
      </c>
      <c r="L27" s="17">
        <f>总计!S30/TOTAL!K27</f>
        <v>0.49853750000000002</v>
      </c>
      <c r="M27" s="11">
        <f>(总计!D30/100)*344</f>
        <v>314.00319999999999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12</v>
      </c>
      <c r="D28" s="10">
        <v>2020</v>
      </c>
      <c r="E28" s="11">
        <f>总计!P31</f>
        <v>42734.469999999725</v>
      </c>
      <c r="F28" s="17">
        <f t="shared" si="1"/>
        <v>0.67516900000000002</v>
      </c>
      <c r="G28" s="64">
        <f>总计!K31</f>
        <v>3586</v>
      </c>
      <c r="H28" s="17">
        <f t="shared" si="2"/>
        <v>3.95</v>
      </c>
      <c r="I28" s="12">
        <f>总计!V31</f>
        <v>322.12</v>
      </c>
      <c r="J28" s="17">
        <f t="shared" si="3"/>
        <v>4.8600000000000003</v>
      </c>
      <c r="K28" s="19">
        <f>总计!R31*1000</f>
        <v>8000</v>
      </c>
      <c r="L28" s="17">
        <f>总计!S31/TOTAL!K28</f>
        <v>0.49853750000000002</v>
      </c>
      <c r="M28" s="11">
        <f>(总计!D31/100)*344</f>
        <v>244.99679999999998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12</v>
      </c>
      <c r="D29" s="10">
        <v>2020</v>
      </c>
      <c r="E29" s="11">
        <f>总计!P32</f>
        <v>42734.469999999725</v>
      </c>
      <c r="F29" s="17">
        <f t="shared" si="1"/>
        <v>0.67516900000000002</v>
      </c>
      <c r="G29" s="64">
        <f>总计!K32</f>
        <v>3401</v>
      </c>
      <c r="H29" s="17">
        <f t="shared" si="2"/>
        <v>3.95</v>
      </c>
      <c r="I29" s="12">
        <f>总计!V32</f>
        <v>351.12</v>
      </c>
      <c r="J29" s="17">
        <f t="shared" si="3"/>
        <v>4.8600000000000003</v>
      </c>
      <c r="K29" s="19">
        <f>总计!R32*1000</f>
        <v>12000</v>
      </c>
      <c r="L29" s="17">
        <f>总计!S32/TOTAL!K29</f>
        <v>0.4295783333333334</v>
      </c>
      <c r="M29" s="11">
        <f>(总计!D32/100)*344</f>
        <v>240.00880000000001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12</v>
      </c>
      <c r="D30" s="10">
        <v>2020</v>
      </c>
      <c r="E30" s="11">
        <f>总计!P33</f>
        <v>43234.470000001544</v>
      </c>
      <c r="F30" s="17">
        <f t="shared" si="1"/>
        <v>0.67516900000000002</v>
      </c>
      <c r="G30" s="64">
        <f>总计!K33</f>
        <v>3444</v>
      </c>
      <c r="H30" s="17">
        <f t="shared" si="2"/>
        <v>3.95</v>
      </c>
      <c r="I30" s="12">
        <f>总计!V33</f>
        <v>297.12</v>
      </c>
      <c r="J30" s="17">
        <f t="shared" si="3"/>
        <v>4.8600000000000003</v>
      </c>
      <c r="K30" s="19">
        <f>总计!R33*1000</f>
        <v>12000</v>
      </c>
      <c r="L30" s="17">
        <f>总计!S33/TOTAL!K30</f>
        <v>0.4295783333333334</v>
      </c>
      <c r="M30" s="11">
        <f>(总计!D33/100)*344</f>
        <v>249.98480000000001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12</v>
      </c>
      <c r="D31" s="10">
        <v>2020</v>
      </c>
      <c r="E31" s="11">
        <f>总计!P34</f>
        <v>39334.470000000547</v>
      </c>
      <c r="F31" s="17">
        <f t="shared" si="1"/>
        <v>0.67516900000000002</v>
      </c>
      <c r="G31" s="64">
        <f>总计!K34</f>
        <v>3847</v>
      </c>
      <c r="H31" s="17">
        <f t="shared" si="2"/>
        <v>3.95</v>
      </c>
      <c r="I31" s="12">
        <f>总计!V34</f>
        <v>285.12</v>
      </c>
      <c r="J31" s="17">
        <f t="shared" si="3"/>
        <v>4.8600000000000003</v>
      </c>
      <c r="K31" s="19">
        <f>总计!R34*1000</f>
        <v>9000</v>
      </c>
      <c r="L31" s="17">
        <f>总计!S34/TOTAL!K31</f>
        <v>0.47555111111111109</v>
      </c>
      <c r="M31" s="11">
        <f>(总计!D34/100)*344</f>
        <v>227.31519999999998</v>
      </c>
      <c r="N31" s="11">
        <f>'[1]Consommation mensuel énergie'!E39</f>
        <v>0</v>
      </c>
      <c r="O31" s="13" t="e">
        <f>E31*F31+G31*H31+#REF!*#REF!+I31*J31</f>
        <v>#REF!</v>
      </c>
    </row>
    <row r="32" spans="1:15">
      <c r="A32" s="8" t="s">
        <v>15</v>
      </c>
      <c r="B32" s="9">
        <f t="shared" si="0"/>
        <v>31</v>
      </c>
      <c r="C32" s="9">
        <v>12</v>
      </c>
      <c r="D32" s="10">
        <v>2020</v>
      </c>
      <c r="E32" s="11">
        <f>总计!P35</f>
        <v>42034.469999998088</v>
      </c>
      <c r="F32" s="17">
        <f t="shared" si="1"/>
        <v>0.67516900000000002</v>
      </c>
      <c r="G32" s="64">
        <f>总计!K35</f>
        <v>4108</v>
      </c>
      <c r="H32" s="17">
        <f t="shared" si="2"/>
        <v>3.95</v>
      </c>
      <c r="I32" s="12">
        <f>总计!V35</f>
        <v>308.12</v>
      </c>
      <c r="J32" s="17">
        <f t="shared" si="3"/>
        <v>4.8600000000000003</v>
      </c>
      <c r="K32" s="19">
        <f>总计!R35*1000</f>
        <v>4000</v>
      </c>
      <c r="L32" s="17">
        <f>总计!S35/TOTAL!K32</f>
        <v>0.70541500000000001</v>
      </c>
      <c r="M32" s="11">
        <f>(总计!D35/100)*344</f>
        <v>333.85199999999998</v>
      </c>
      <c r="N32" s="11">
        <v>0</v>
      </c>
      <c r="O32" s="13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  <row r="35" spans="1:15" s="11" customFormat="1">
      <c r="A35" s="15"/>
      <c r="B35" s="9"/>
      <c r="C35" s="9"/>
      <c r="D35" s="10"/>
      <c r="F35" s="17"/>
      <c r="G35" s="12"/>
      <c r="H35" s="17"/>
      <c r="I35" s="12"/>
      <c r="J35" s="17"/>
      <c r="K35" s="17"/>
      <c r="L35" s="17"/>
      <c r="O35" s="14"/>
    </row>
    <row r="36" spans="1:15" s="11" customFormat="1">
      <c r="A36" s="15"/>
      <c r="B36" s="9"/>
      <c r="C36" s="9"/>
      <c r="D36" s="10"/>
      <c r="F36" s="17"/>
      <c r="G36" s="12"/>
      <c r="H36" s="17"/>
      <c r="I36" s="12"/>
      <c r="J36" s="17"/>
      <c r="K36" s="17"/>
      <c r="L36" s="17"/>
      <c r="O36" s="14"/>
    </row>
    <row r="37" spans="1:15" s="11" customFormat="1">
      <c r="A37" s="15"/>
      <c r="B37" s="9"/>
      <c r="C37" s="9"/>
      <c r="D37" s="10"/>
      <c r="F37" s="17"/>
      <c r="G37" s="12"/>
      <c r="H37" s="17"/>
      <c r="I37" s="12"/>
      <c r="J37" s="17"/>
      <c r="K37" s="17"/>
      <c r="L37" s="17"/>
      <c r="O37" s="14"/>
    </row>
    <row r="38" spans="1:15" s="11" customFormat="1">
      <c r="A38" s="15"/>
      <c r="B38" s="9"/>
      <c r="C38" s="9"/>
      <c r="D38" s="10"/>
      <c r="F38" s="17"/>
      <c r="G38" s="12"/>
      <c r="H38" s="17"/>
      <c r="I38" s="12"/>
      <c r="J38" s="17"/>
      <c r="K38" s="17"/>
      <c r="L38" s="17"/>
      <c r="O38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opLeftCell="I16" zoomScale="80" zoomScaleNormal="80" zoomScaleSheetLayoutView="100" zoomScalePageLayoutView="85" workbookViewId="0">
      <selection activeCell="P38" sqref="P38"/>
    </sheetView>
  </sheetViews>
  <sheetFormatPr defaultRowHeight="14.25"/>
  <cols>
    <col min="1" max="1" width="4.625" style="20" customWidth="1"/>
    <col min="2" max="4" width="6.625" style="20" customWidth="1"/>
    <col min="5" max="5" width="7.625" style="20" customWidth="1"/>
    <col min="6" max="6" width="11.625" style="20" customWidth="1"/>
    <col min="7" max="7" width="7.625" style="63" customWidth="1"/>
    <col min="8" max="8" width="12.375" style="20" customWidth="1"/>
    <col min="9" max="9" width="7.375" style="20" customWidth="1"/>
    <col min="10" max="10" width="11.625" style="20" customWidth="1"/>
    <col min="11" max="11" width="8.625" style="20" customWidth="1"/>
    <col min="12" max="12" width="13.625" style="20" customWidth="1"/>
    <col min="13" max="15" width="11" style="20" customWidth="1"/>
    <col min="16" max="16" width="9.625" style="20" customWidth="1"/>
    <col min="17" max="17" width="13.625" style="20" customWidth="1"/>
    <col min="18" max="18" width="5.625" style="20" customWidth="1"/>
    <col min="19" max="21" width="12.625" style="20" customWidth="1"/>
    <col min="22" max="22" width="6.625" style="20" customWidth="1"/>
    <col min="23" max="23" width="11.625" style="61" customWidth="1"/>
    <col min="24" max="24" width="15.625" style="62" customWidth="1"/>
    <col min="25" max="28" width="8" style="20" bestFit="1" customWidth="1"/>
    <col min="29" max="29" width="16.375" style="20" customWidth="1"/>
    <col min="30" max="256" width="9" style="20"/>
    <col min="257" max="257" width="4.625" style="20" customWidth="1"/>
    <col min="258" max="260" width="6.625" style="20" customWidth="1"/>
    <col min="261" max="261" width="7.625" style="20" customWidth="1"/>
    <col min="262" max="262" width="11.625" style="20" customWidth="1"/>
    <col min="263" max="263" width="7.625" style="20" customWidth="1"/>
    <col min="264" max="264" width="12.375" style="20" customWidth="1"/>
    <col min="265" max="265" width="7.375" style="20" customWidth="1"/>
    <col min="266" max="266" width="11.625" style="20" customWidth="1"/>
    <col min="267" max="267" width="8.625" style="20" customWidth="1"/>
    <col min="268" max="268" width="13.625" style="20" customWidth="1"/>
    <col min="269" max="271" width="11" style="20" customWidth="1"/>
    <col min="272" max="272" width="9.625" style="20" customWidth="1"/>
    <col min="273" max="273" width="13.625" style="20" customWidth="1"/>
    <col min="274" max="274" width="5.625" style="20" customWidth="1"/>
    <col min="275" max="277" width="12.625" style="20" customWidth="1"/>
    <col min="278" max="278" width="6.625" style="20" customWidth="1"/>
    <col min="279" max="279" width="11.625" style="20" customWidth="1"/>
    <col min="280" max="280" width="15.625" style="20" customWidth="1"/>
    <col min="281" max="284" width="8" style="20" bestFit="1" customWidth="1"/>
    <col min="285" max="285" width="16.375" style="20" customWidth="1"/>
    <col min="286" max="512" width="9" style="20"/>
    <col min="513" max="513" width="4.625" style="20" customWidth="1"/>
    <col min="514" max="516" width="6.625" style="20" customWidth="1"/>
    <col min="517" max="517" width="7.625" style="20" customWidth="1"/>
    <col min="518" max="518" width="11.625" style="20" customWidth="1"/>
    <col min="519" max="519" width="7.625" style="20" customWidth="1"/>
    <col min="520" max="520" width="12.375" style="20" customWidth="1"/>
    <col min="521" max="521" width="7.375" style="20" customWidth="1"/>
    <col min="522" max="522" width="11.625" style="20" customWidth="1"/>
    <col min="523" max="523" width="8.625" style="20" customWidth="1"/>
    <col min="524" max="524" width="13.625" style="20" customWidth="1"/>
    <col min="525" max="527" width="11" style="20" customWidth="1"/>
    <col min="528" max="528" width="9.625" style="20" customWidth="1"/>
    <col min="529" max="529" width="13.625" style="20" customWidth="1"/>
    <col min="530" max="530" width="5.625" style="20" customWidth="1"/>
    <col min="531" max="533" width="12.625" style="20" customWidth="1"/>
    <col min="534" max="534" width="6.625" style="20" customWidth="1"/>
    <col min="535" max="535" width="11.625" style="20" customWidth="1"/>
    <col min="536" max="536" width="15.625" style="20" customWidth="1"/>
    <col min="537" max="540" width="8" style="20" bestFit="1" customWidth="1"/>
    <col min="541" max="541" width="16.375" style="20" customWidth="1"/>
    <col min="542" max="768" width="9" style="20"/>
    <col min="769" max="769" width="4.625" style="20" customWidth="1"/>
    <col min="770" max="772" width="6.625" style="20" customWidth="1"/>
    <col min="773" max="773" width="7.625" style="20" customWidth="1"/>
    <col min="774" max="774" width="11.625" style="20" customWidth="1"/>
    <col min="775" max="775" width="7.625" style="20" customWidth="1"/>
    <col min="776" max="776" width="12.375" style="20" customWidth="1"/>
    <col min="777" max="777" width="7.375" style="20" customWidth="1"/>
    <col min="778" max="778" width="11.625" style="20" customWidth="1"/>
    <col min="779" max="779" width="8.625" style="20" customWidth="1"/>
    <col min="780" max="780" width="13.625" style="20" customWidth="1"/>
    <col min="781" max="783" width="11" style="20" customWidth="1"/>
    <col min="784" max="784" width="9.625" style="20" customWidth="1"/>
    <col min="785" max="785" width="13.625" style="20" customWidth="1"/>
    <col min="786" max="786" width="5.625" style="20" customWidth="1"/>
    <col min="787" max="789" width="12.625" style="20" customWidth="1"/>
    <col min="790" max="790" width="6.625" style="20" customWidth="1"/>
    <col min="791" max="791" width="11.625" style="20" customWidth="1"/>
    <col min="792" max="792" width="15.625" style="20" customWidth="1"/>
    <col min="793" max="796" width="8" style="20" bestFit="1" customWidth="1"/>
    <col min="797" max="797" width="16.375" style="20" customWidth="1"/>
    <col min="798" max="1024" width="9" style="20"/>
    <col min="1025" max="1025" width="4.625" style="20" customWidth="1"/>
    <col min="1026" max="1028" width="6.625" style="20" customWidth="1"/>
    <col min="1029" max="1029" width="7.625" style="20" customWidth="1"/>
    <col min="1030" max="1030" width="11.625" style="20" customWidth="1"/>
    <col min="1031" max="1031" width="7.625" style="20" customWidth="1"/>
    <col min="1032" max="1032" width="12.375" style="20" customWidth="1"/>
    <col min="1033" max="1033" width="7.375" style="20" customWidth="1"/>
    <col min="1034" max="1034" width="11.625" style="20" customWidth="1"/>
    <col min="1035" max="1035" width="8.625" style="20" customWidth="1"/>
    <col min="1036" max="1036" width="13.625" style="20" customWidth="1"/>
    <col min="1037" max="1039" width="11" style="20" customWidth="1"/>
    <col min="1040" max="1040" width="9.625" style="20" customWidth="1"/>
    <col min="1041" max="1041" width="13.625" style="20" customWidth="1"/>
    <col min="1042" max="1042" width="5.625" style="20" customWidth="1"/>
    <col min="1043" max="1045" width="12.625" style="20" customWidth="1"/>
    <col min="1046" max="1046" width="6.625" style="20" customWidth="1"/>
    <col min="1047" max="1047" width="11.625" style="20" customWidth="1"/>
    <col min="1048" max="1048" width="15.625" style="20" customWidth="1"/>
    <col min="1049" max="1052" width="8" style="20" bestFit="1" customWidth="1"/>
    <col min="1053" max="1053" width="16.375" style="20" customWidth="1"/>
    <col min="1054" max="1280" width="9" style="20"/>
    <col min="1281" max="1281" width="4.625" style="20" customWidth="1"/>
    <col min="1282" max="1284" width="6.625" style="20" customWidth="1"/>
    <col min="1285" max="1285" width="7.625" style="20" customWidth="1"/>
    <col min="1286" max="1286" width="11.625" style="20" customWidth="1"/>
    <col min="1287" max="1287" width="7.625" style="20" customWidth="1"/>
    <col min="1288" max="1288" width="12.375" style="20" customWidth="1"/>
    <col min="1289" max="1289" width="7.375" style="20" customWidth="1"/>
    <col min="1290" max="1290" width="11.625" style="20" customWidth="1"/>
    <col min="1291" max="1291" width="8.625" style="20" customWidth="1"/>
    <col min="1292" max="1292" width="13.625" style="20" customWidth="1"/>
    <col min="1293" max="1295" width="11" style="20" customWidth="1"/>
    <col min="1296" max="1296" width="9.625" style="20" customWidth="1"/>
    <col min="1297" max="1297" width="13.625" style="20" customWidth="1"/>
    <col min="1298" max="1298" width="5.625" style="20" customWidth="1"/>
    <col min="1299" max="1301" width="12.625" style="20" customWidth="1"/>
    <col min="1302" max="1302" width="6.625" style="20" customWidth="1"/>
    <col min="1303" max="1303" width="11.625" style="20" customWidth="1"/>
    <col min="1304" max="1304" width="15.625" style="20" customWidth="1"/>
    <col min="1305" max="1308" width="8" style="20" bestFit="1" customWidth="1"/>
    <col min="1309" max="1309" width="16.375" style="20" customWidth="1"/>
    <col min="1310" max="1536" width="9" style="20"/>
    <col min="1537" max="1537" width="4.625" style="20" customWidth="1"/>
    <col min="1538" max="1540" width="6.625" style="20" customWidth="1"/>
    <col min="1541" max="1541" width="7.625" style="20" customWidth="1"/>
    <col min="1542" max="1542" width="11.625" style="20" customWidth="1"/>
    <col min="1543" max="1543" width="7.625" style="20" customWidth="1"/>
    <col min="1544" max="1544" width="12.375" style="20" customWidth="1"/>
    <col min="1545" max="1545" width="7.375" style="20" customWidth="1"/>
    <col min="1546" max="1546" width="11.625" style="20" customWidth="1"/>
    <col min="1547" max="1547" width="8.625" style="20" customWidth="1"/>
    <col min="1548" max="1548" width="13.625" style="20" customWidth="1"/>
    <col min="1549" max="1551" width="11" style="20" customWidth="1"/>
    <col min="1552" max="1552" width="9.625" style="20" customWidth="1"/>
    <col min="1553" max="1553" width="13.625" style="20" customWidth="1"/>
    <col min="1554" max="1554" width="5.625" style="20" customWidth="1"/>
    <col min="1555" max="1557" width="12.625" style="20" customWidth="1"/>
    <col min="1558" max="1558" width="6.625" style="20" customWidth="1"/>
    <col min="1559" max="1559" width="11.625" style="20" customWidth="1"/>
    <col min="1560" max="1560" width="15.625" style="20" customWidth="1"/>
    <col min="1561" max="1564" width="8" style="20" bestFit="1" customWidth="1"/>
    <col min="1565" max="1565" width="16.375" style="20" customWidth="1"/>
    <col min="1566" max="1792" width="9" style="20"/>
    <col min="1793" max="1793" width="4.625" style="20" customWidth="1"/>
    <col min="1794" max="1796" width="6.625" style="20" customWidth="1"/>
    <col min="1797" max="1797" width="7.625" style="20" customWidth="1"/>
    <col min="1798" max="1798" width="11.625" style="20" customWidth="1"/>
    <col min="1799" max="1799" width="7.625" style="20" customWidth="1"/>
    <col min="1800" max="1800" width="12.375" style="20" customWidth="1"/>
    <col min="1801" max="1801" width="7.375" style="20" customWidth="1"/>
    <col min="1802" max="1802" width="11.625" style="20" customWidth="1"/>
    <col min="1803" max="1803" width="8.625" style="20" customWidth="1"/>
    <col min="1804" max="1804" width="13.625" style="20" customWidth="1"/>
    <col min="1805" max="1807" width="11" style="20" customWidth="1"/>
    <col min="1808" max="1808" width="9.625" style="20" customWidth="1"/>
    <col min="1809" max="1809" width="13.625" style="20" customWidth="1"/>
    <col min="1810" max="1810" width="5.625" style="20" customWidth="1"/>
    <col min="1811" max="1813" width="12.625" style="20" customWidth="1"/>
    <col min="1814" max="1814" width="6.625" style="20" customWidth="1"/>
    <col min="1815" max="1815" width="11.625" style="20" customWidth="1"/>
    <col min="1816" max="1816" width="15.625" style="20" customWidth="1"/>
    <col min="1817" max="1820" width="8" style="20" bestFit="1" customWidth="1"/>
    <col min="1821" max="1821" width="16.375" style="20" customWidth="1"/>
    <col min="1822" max="2048" width="9" style="20"/>
    <col min="2049" max="2049" width="4.625" style="20" customWidth="1"/>
    <col min="2050" max="2052" width="6.625" style="20" customWidth="1"/>
    <col min="2053" max="2053" width="7.625" style="20" customWidth="1"/>
    <col min="2054" max="2054" width="11.625" style="20" customWidth="1"/>
    <col min="2055" max="2055" width="7.625" style="20" customWidth="1"/>
    <col min="2056" max="2056" width="12.375" style="20" customWidth="1"/>
    <col min="2057" max="2057" width="7.375" style="20" customWidth="1"/>
    <col min="2058" max="2058" width="11.625" style="20" customWidth="1"/>
    <col min="2059" max="2059" width="8.625" style="20" customWidth="1"/>
    <col min="2060" max="2060" width="13.625" style="20" customWidth="1"/>
    <col min="2061" max="2063" width="11" style="20" customWidth="1"/>
    <col min="2064" max="2064" width="9.625" style="20" customWidth="1"/>
    <col min="2065" max="2065" width="13.625" style="20" customWidth="1"/>
    <col min="2066" max="2066" width="5.625" style="20" customWidth="1"/>
    <col min="2067" max="2069" width="12.625" style="20" customWidth="1"/>
    <col min="2070" max="2070" width="6.625" style="20" customWidth="1"/>
    <col min="2071" max="2071" width="11.625" style="20" customWidth="1"/>
    <col min="2072" max="2072" width="15.625" style="20" customWidth="1"/>
    <col min="2073" max="2076" width="8" style="20" bestFit="1" customWidth="1"/>
    <col min="2077" max="2077" width="16.375" style="20" customWidth="1"/>
    <col min="2078" max="2304" width="9" style="20"/>
    <col min="2305" max="2305" width="4.625" style="20" customWidth="1"/>
    <col min="2306" max="2308" width="6.625" style="20" customWidth="1"/>
    <col min="2309" max="2309" width="7.625" style="20" customWidth="1"/>
    <col min="2310" max="2310" width="11.625" style="20" customWidth="1"/>
    <col min="2311" max="2311" width="7.625" style="20" customWidth="1"/>
    <col min="2312" max="2312" width="12.375" style="20" customWidth="1"/>
    <col min="2313" max="2313" width="7.375" style="20" customWidth="1"/>
    <col min="2314" max="2314" width="11.625" style="20" customWidth="1"/>
    <col min="2315" max="2315" width="8.625" style="20" customWidth="1"/>
    <col min="2316" max="2316" width="13.625" style="20" customWidth="1"/>
    <col min="2317" max="2319" width="11" style="20" customWidth="1"/>
    <col min="2320" max="2320" width="9.625" style="20" customWidth="1"/>
    <col min="2321" max="2321" width="13.625" style="20" customWidth="1"/>
    <col min="2322" max="2322" width="5.625" style="20" customWidth="1"/>
    <col min="2323" max="2325" width="12.625" style="20" customWidth="1"/>
    <col min="2326" max="2326" width="6.625" style="20" customWidth="1"/>
    <col min="2327" max="2327" width="11.625" style="20" customWidth="1"/>
    <col min="2328" max="2328" width="15.625" style="20" customWidth="1"/>
    <col min="2329" max="2332" width="8" style="20" bestFit="1" customWidth="1"/>
    <col min="2333" max="2333" width="16.375" style="20" customWidth="1"/>
    <col min="2334" max="2560" width="9" style="20"/>
    <col min="2561" max="2561" width="4.625" style="20" customWidth="1"/>
    <col min="2562" max="2564" width="6.625" style="20" customWidth="1"/>
    <col min="2565" max="2565" width="7.625" style="20" customWidth="1"/>
    <col min="2566" max="2566" width="11.625" style="20" customWidth="1"/>
    <col min="2567" max="2567" width="7.625" style="20" customWidth="1"/>
    <col min="2568" max="2568" width="12.375" style="20" customWidth="1"/>
    <col min="2569" max="2569" width="7.375" style="20" customWidth="1"/>
    <col min="2570" max="2570" width="11.625" style="20" customWidth="1"/>
    <col min="2571" max="2571" width="8.625" style="20" customWidth="1"/>
    <col min="2572" max="2572" width="13.625" style="20" customWidth="1"/>
    <col min="2573" max="2575" width="11" style="20" customWidth="1"/>
    <col min="2576" max="2576" width="9.625" style="20" customWidth="1"/>
    <col min="2577" max="2577" width="13.625" style="20" customWidth="1"/>
    <col min="2578" max="2578" width="5.625" style="20" customWidth="1"/>
    <col min="2579" max="2581" width="12.625" style="20" customWidth="1"/>
    <col min="2582" max="2582" width="6.625" style="20" customWidth="1"/>
    <col min="2583" max="2583" width="11.625" style="20" customWidth="1"/>
    <col min="2584" max="2584" width="15.625" style="20" customWidth="1"/>
    <col min="2585" max="2588" width="8" style="20" bestFit="1" customWidth="1"/>
    <col min="2589" max="2589" width="16.375" style="20" customWidth="1"/>
    <col min="2590" max="2816" width="9" style="20"/>
    <col min="2817" max="2817" width="4.625" style="20" customWidth="1"/>
    <col min="2818" max="2820" width="6.625" style="20" customWidth="1"/>
    <col min="2821" max="2821" width="7.625" style="20" customWidth="1"/>
    <col min="2822" max="2822" width="11.625" style="20" customWidth="1"/>
    <col min="2823" max="2823" width="7.625" style="20" customWidth="1"/>
    <col min="2824" max="2824" width="12.375" style="20" customWidth="1"/>
    <col min="2825" max="2825" width="7.375" style="20" customWidth="1"/>
    <col min="2826" max="2826" width="11.625" style="20" customWidth="1"/>
    <col min="2827" max="2827" width="8.625" style="20" customWidth="1"/>
    <col min="2828" max="2828" width="13.625" style="20" customWidth="1"/>
    <col min="2829" max="2831" width="11" style="20" customWidth="1"/>
    <col min="2832" max="2832" width="9.625" style="20" customWidth="1"/>
    <col min="2833" max="2833" width="13.625" style="20" customWidth="1"/>
    <col min="2834" max="2834" width="5.625" style="20" customWidth="1"/>
    <col min="2835" max="2837" width="12.625" style="20" customWidth="1"/>
    <col min="2838" max="2838" width="6.625" style="20" customWidth="1"/>
    <col min="2839" max="2839" width="11.625" style="20" customWidth="1"/>
    <col min="2840" max="2840" width="15.625" style="20" customWidth="1"/>
    <col min="2841" max="2844" width="8" style="20" bestFit="1" customWidth="1"/>
    <col min="2845" max="2845" width="16.375" style="20" customWidth="1"/>
    <col min="2846" max="3072" width="9" style="20"/>
    <col min="3073" max="3073" width="4.625" style="20" customWidth="1"/>
    <col min="3074" max="3076" width="6.625" style="20" customWidth="1"/>
    <col min="3077" max="3077" width="7.625" style="20" customWidth="1"/>
    <col min="3078" max="3078" width="11.625" style="20" customWidth="1"/>
    <col min="3079" max="3079" width="7.625" style="20" customWidth="1"/>
    <col min="3080" max="3080" width="12.375" style="20" customWidth="1"/>
    <col min="3081" max="3081" width="7.375" style="20" customWidth="1"/>
    <col min="3082" max="3082" width="11.625" style="20" customWidth="1"/>
    <col min="3083" max="3083" width="8.625" style="20" customWidth="1"/>
    <col min="3084" max="3084" width="13.625" style="20" customWidth="1"/>
    <col min="3085" max="3087" width="11" style="20" customWidth="1"/>
    <col min="3088" max="3088" width="9.625" style="20" customWidth="1"/>
    <col min="3089" max="3089" width="13.625" style="20" customWidth="1"/>
    <col min="3090" max="3090" width="5.625" style="20" customWidth="1"/>
    <col min="3091" max="3093" width="12.625" style="20" customWidth="1"/>
    <col min="3094" max="3094" width="6.625" style="20" customWidth="1"/>
    <col min="3095" max="3095" width="11.625" style="20" customWidth="1"/>
    <col min="3096" max="3096" width="15.625" style="20" customWidth="1"/>
    <col min="3097" max="3100" width="8" style="20" bestFit="1" customWidth="1"/>
    <col min="3101" max="3101" width="16.375" style="20" customWidth="1"/>
    <col min="3102" max="3328" width="9" style="20"/>
    <col min="3329" max="3329" width="4.625" style="20" customWidth="1"/>
    <col min="3330" max="3332" width="6.625" style="20" customWidth="1"/>
    <col min="3333" max="3333" width="7.625" style="20" customWidth="1"/>
    <col min="3334" max="3334" width="11.625" style="20" customWidth="1"/>
    <col min="3335" max="3335" width="7.625" style="20" customWidth="1"/>
    <col min="3336" max="3336" width="12.375" style="20" customWidth="1"/>
    <col min="3337" max="3337" width="7.375" style="20" customWidth="1"/>
    <col min="3338" max="3338" width="11.625" style="20" customWidth="1"/>
    <col min="3339" max="3339" width="8.625" style="20" customWidth="1"/>
    <col min="3340" max="3340" width="13.625" style="20" customWidth="1"/>
    <col min="3341" max="3343" width="11" style="20" customWidth="1"/>
    <col min="3344" max="3344" width="9.625" style="20" customWidth="1"/>
    <col min="3345" max="3345" width="13.625" style="20" customWidth="1"/>
    <col min="3346" max="3346" width="5.625" style="20" customWidth="1"/>
    <col min="3347" max="3349" width="12.625" style="20" customWidth="1"/>
    <col min="3350" max="3350" width="6.625" style="20" customWidth="1"/>
    <col min="3351" max="3351" width="11.625" style="20" customWidth="1"/>
    <col min="3352" max="3352" width="15.625" style="20" customWidth="1"/>
    <col min="3353" max="3356" width="8" style="20" bestFit="1" customWidth="1"/>
    <col min="3357" max="3357" width="16.375" style="20" customWidth="1"/>
    <col min="3358" max="3584" width="9" style="20"/>
    <col min="3585" max="3585" width="4.625" style="20" customWidth="1"/>
    <col min="3586" max="3588" width="6.625" style="20" customWidth="1"/>
    <col min="3589" max="3589" width="7.625" style="20" customWidth="1"/>
    <col min="3590" max="3590" width="11.625" style="20" customWidth="1"/>
    <col min="3591" max="3591" width="7.625" style="20" customWidth="1"/>
    <col min="3592" max="3592" width="12.375" style="20" customWidth="1"/>
    <col min="3593" max="3593" width="7.375" style="20" customWidth="1"/>
    <col min="3594" max="3594" width="11.625" style="20" customWidth="1"/>
    <col min="3595" max="3595" width="8.625" style="20" customWidth="1"/>
    <col min="3596" max="3596" width="13.625" style="20" customWidth="1"/>
    <col min="3597" max="3599" width="11" style="20" customWidth="1"/>
    <col min="3600" max="3600" width="9.625" style="20" customWidth="1"/>
    <col min="3601" max="3601" width="13.625" style="20" customWidth="1"/>
    <col min="3602" max="3602" width="5.625" style="20" customWidth="1"/>
    <col min="3603" max="3605" width="12.625" style="20" customWidth="1"/>
    <col min="3606" max="3606" width="6.625" style="20" customWidth="1"/>
    <col min="3607" max="3607" width="11.625" style="20" customWidth="1"/>
    <col min="3608" max="3608" width="15.625" style="20" customWidth="1"/>
    <col min="3609" max="3612" width="8" style="20" bestFit="1" customWidth="1"/>
    <col min="3613" max="3613" width="16.375" style="20" customWidth="1"/>
    <col min="3614" max="3840" width="9" style="20"/>
    <col min="3841" max="3841" width="4.625" style="20" customWidth="1"/>
    <col min="3842" max="3844" width="6.625" style="20" customWidth="1"/>
    <col min="3845" max="3845" width="7.625" style="20" customWidth="1"/>
    <col min="3846" max="3846" width="11.625" style="20" customWidth="1"/>
    <col min="3847" max="3847" width="7.625" style="20" customWidth="1"/>
    <col min="3848" max="3848" width="12.375" style="20" customWidth="1"/>
    <col min="3849" max="3849" width="7.375" style="20" customWidth="1"/>
    <col min="3850" max="3850" width="11.625" style="20" customWidth="1"/>
    <col min="3851" max="3851" width="8.625" style="20" customWidth="1"/>
    <col min="3852" max="3852" width="13.625" style="20" customWidth="1"/>
    <col min="3853" max="3855" width="11" style="20" customWidth="1"/>
    <col min="3856" max="3856" width="9.625" style="20" customWidth="1"/>
    <col min="3857" max="3857" width="13.625" style="20" customWidth="1"/>
    <col min="3858" max="3858" width="5.625" style="20" customWidth="1"/>
    <col min="3859" max="3861" width="12.625" style="20" customWidth="1"/>
    <col min="3862" max="3862" width="6.625" style="20" customWidth="1"/>
    <col min="3863" max="3863" width="11.625" style="20" customWidth="1"/>
    <col min="3864" max="3864" width="15.625" style="20" customWidth="1"/>
    <col min="3865" max="3868" width="8" style="20" bestFit="1" customWidth="1"/>
    <col min="3869" max="3869" width="16.375" style="20" customWidth="1"/>
    <col min="3870" max="4096" width="9" style="20"/>
    <col min="4097" max="4097" width="4.625" style="20" customWidth="1"/>
    <col min="4098" max="4100" width="6.625" style="20" customWidth="1"/>
    <col min="4101" max="4101" width="7.625" style="20" customWidth="1"/>
    <col min="4102" max="4102" width="11.625" style="20" customWidth="1"/>
    <col min="4103" max="4103" width="7.625" style="20" customWidth="1"/>
    <col min="4104" max="4104" width="12.375" style="20" customWidth="1"/>
    <col min="4105" max="4105" width="7.375" style="20" customWidth="1"/>
    <col min="4106" max="4106" width="11.625" style="20" customWidth="1"/>
    <col min="4107" max="4107" width="8.625" style="20" customWidth="1"/>
    <col min="4108" max="4108" width="13.625" style="20" customWidth="1"/>
    <col min="4109" max="4111" width="11" style="20" customWidth="1"/>
    <col min="4112" max="4112" width="9.625" style="20" customWidth="1"/>
    <col min="4113" max="4113" width="13.625" style="20" customWidth="1"/>
    <col min="4114" max="4114" width="5.625" style="20" customWidth="1"/>
    <col min="4115" max="4117" width="12.625" style="20" customWidth="1"/>
    <col min="4118" max="4118" width="6.625" style="20" customWidth="1"/>
    <col min="4119" max="4119" width="11.625" style="20" customWidth="1"/>
    <col min="4120" max="4120" width="15.625" style="20" customWidth="1"/>
    <col min="4121" max="4124" width="8" style="20" bestFit="1" customWidth="1"/>
    <col min="4125" max="4125" width="16.375" style="20" customWidth="1"/>
    <col min="4126" max="4352" width="9" style="20"/>
    <col min="4353" max="4353" width="4.625" style="20" customWidth="1"/>
    <col min="4354" max="4356" width="6.625" style="20" customWidth="1"/>
    <col min="4357" max="4357" width="7.625" style="20" customWidth="1"/>
    <col min="4358" max="4358" width="11.625" style="20" customWidth="1"/>
    <col min="4359" max="4359" width="7.625" style="20" customWidth="1"/>
    <col min="4360" max="4360" width="12.375" style="20" customWidth="1"/>
    <col min="4361" max="4361" width="7.375" style="20" customWidth="1"/>
    <col min="4362" max="4362" width="11.625" style="20" customWidth="1"/>
    <col min="4363" max="4363" width="8.625" style="20" customWidth="1"/>
    <col min="4364" max="4364" width="13.625" style="20" customWidth="1"/>
    <col min="4365" max="4367" width="11" style="20" customWidth="1"/>
    <col min="4368" max="4368" width="9.625" style="20" customWidth="1"/>
    <col min="4369" max="4369" width="13.625" style="20" customWidth="1"/>
    <col min="4370" max="4370" width="5.625" style="20" customWidth="1"/>
    <col min="4371" max="4373" width="12.625" style="20" customWidth="1"/>
    <col min="4374" max="4374" width="6.625" style="20" customWidth="1"/>
    <col min="4375" max="4375" width="11.625" style="20" customWidth="1"/>
    <col min="4376" max="4376" width="15.625" style="20" customWidth="1"/>
    <col min="4377" max="4380" width="8" style="20" bestFit="1" customWidth="1"/>
    <col min="4381" max="4381" width="16.375" style="20" customWidth="1"/>
    <col min="4382" max="4608" width="9" style="20"/>
    <col min="4609" max="4609" width="4.625" style="20" customWidth="1"/>
    <col min="4610" max="4612" width="6.625" style="20" customWidth="1"/>
    <col min="4613" max="4613" width="7.625" style="20" customWidth="1"/>
    <col min="4614" max="4614" width="11.625" style="20" customWidth="1"/>
    <col min="4615" max="4615" width="7.625" style="20" customWidth="1"/>
    <col min="4616" max="4616" width="12.375" style="20" customWidth="1"/>
    <col min="4617" max="4617" width="7.375" style="20" customWidth="1"/>
    <col min="4618" max="4618" width="11.625" style="20" customWidth="1"/>
    <col min="4619" max="4619" width="8.625" style="20" customWidth="1"/>
    <col min="4620" max="4620" width="13.625" style="20" customWidth="1"/>
    <col min="4621" max="4623" width="11" style="20" customWidth="1"/>
    <col min="4624" max="4624" width="9.625" style="20" customWidth="1"/>
    <col min="4625" max="4625" width="13.625" style="20" customWidth="1"/>
    <col min="4626" max="4626" width="5.625" style="20" customWidth="1"/>
    <col min="4627" max="4629" width="12.625" style="20" customWidth="1"/>
    <col min="4630" max="4630" width="6.625" style="20" customWidth="1"/>
    <col min="4631" max="4631" width="11.625" style="20" customWidth="1"/>
    <col min="4632" max="4632" width="15.625" style="20" customWidth="1"/>
    <col min="4633" max="4636" width="8" style="20" bestFit="1" customWidth="1"/>
    <col min="4637" max="4637" width="16.375" style="20" customWidth="1"/>
    <col min="4638" max="4864" width="9" style="20"/>
    <col min="4865" max="4865" width="4.625" style="20" customWidth="1"/>
    <col min="4866" max="4868" width="6.625" style="20" customWidth="1"/>
    <col min="4869" max="4869" width="7.625" style="20" customWidth="1"/>
    <col min="4870" max="4870" width="11.625" style="20" customWidth="1"/>
    <col min="4871" max="4871" width="7.625" style="20" customWidth="1"/>
    <col min="4872" max="4872" width="12.375" style="20" customWidth="1"/>
    <col min="4873" max="4873" width="7.375" style="20" customWidth="1"/>
    <col min="4874" max="4874" width="11.625" style="20" customWidth="1"/>
    <col min="4875" max="4875" width="8.625" style="20" customWidth="1"/>
    <col min="4876" max="4876" width="13.625" style="20" customWidth="1"/>
    <col min="4877" max="4879" width="11" style="20" customWidth="1"/>
    <col min="4880" max="4880" width="9.625" style="20" customWidth="1"/>
    <col min="4881" max="4881" width="13.625" style="20" customWidth="1"/>
    <col min="4882" max="4882" width="5.625" style="20" customWidth="1"/>
    <col min="4883" max="4885" width="12.625" style="20" customWidth="1"/>
    <col min="4886" max="4886" width="6.625" style="20" customWidth="1"/>
    <col min="4887" max="4887" width="11.625" style="20" customWidth="1"/>
    <col min="4888" max="4888" width="15.625" style="20" customWidth="1"/>
    <col min="4889" max="4892" width="8" style="20" bestFit="1" customWidth="1"/>
    <col min="4893" max="4893" width="16.375" style="20" customWidth="1"/>
    <col min="4894" max="5120" width="9" style="20"/>
    <col min="5121" max="5121" width="4.625" style="20" customWidth="1"/>
    <col min="5122" max="5124" width="6.625" style="20" customWidth="1"/>
    <col min="5125" max="5125" width="7.625" style="20" customWidth="1"/>
    <col min="5126" max="5126" width="11.625" style="20" customWidth="1"/>
    <col min="5127" max="5127" width="7.625" style="20" customWidth="1"/>
    <col min="5128" max="5128" width="12.375" style="20" customWidth="1"/>
    <col min="5129" max="5129" width="7.375" style="20" customWidth="1"/>
    <col min="5130" max="5130" width="11.625" style="20" customWidth="1"/>
    <col min="5131" max="5131" width="8.625" style="20" customWidth="1"/>
    <col min="5132" max="5132" width="13.625" style="20" customWidth="1"/>
    <col min="5133" max="5135" width="11" style="20" customWidth="1"/>
    <col min="5136" max="5136" width="9.625" style="20" customWidth="1"/>
    <col min="5137" max="5137" width="13.625" style="20" customWidth="1"/>
    <col min="5138" max="5138" width="5.625" style="20" customWidth="1"/>
    <col min="5139" max="5141" width="12.625" style="20" customWidth="1"/>
    <col min="5142" max="5142" width="6.625" style="20" customWidth="1"/>
    <col min="5143" max="5143" width="11.625" style="20" customWidth="1"/>
    <col min="5144" max="5144" width="15.625" style="20" customWidth="1"/>
    <col min="5145" max="5148" width="8" style="20" bestFit="1" customWidth="1"/>
    <col min="5149" max="5149" width="16.375" style="20" customWidth="1"/>
    <col min="5150" max="5376" width="9" style="20"/>
    <col min="5377" max="5377" width="4.625" style="20" customWidth="1"/>
    <col min="5378" max="5380" width="6.625" style="20" customWidth="1"/>
    <col min="5381" max="5381" width="7.625" style="20" customWidth="1"/>
    <col min="5382" max="5382" width="11.625" style="20" customWidth="1"/>
    <col min="5383" max="5383" width="7.625" style="20" customWidth="1"/>
    <col min="5384" max="5384" width="12.375" style="20" customWidth="1"/>
    <col min="5385" max="5385" width="7.375" style="20" customWidth="1"/>
    <col min="5386" max="5386" width="11.625" style="20" customWidth="1"/>
    <col min="5387" max="5387" width="8.625" style="20" customWidth="1"/>
    <col min="5388" max="5388" width="13.625" style="20" customWidth="1"/>
    <col min="5389" max="5391" width="11" style="20" customWidth="1"/>
    <col min="5392" max="5392" width="9.625" style="20" customWidth="1"/>
    <col min="5393" max="5393" width="13.625" style="20" customWidth="1"/>
    <col min="5394" max="5394" width="5.625" style="20" customWidth="1"/>
    <col min="5395" max="5397" width="12.625" style="20" customWidth="1"/>
    <col min="5398" max="5398" width="6.625" style="20" customWidth="1"/>
    <col min="5399" max="5399" width="11.625" style="20" customWidth="1"/>
    <col min="5400" max="5400" width="15.625" style="20" customWidth="1"/>
    <col min="5401" max="5404" width="8" style="20" bestFit="1" customWidth="1"/>
    <col min="5405" max="5405" width="16.375" style="20" customWidth="1"/>
    <col min="5406" max="5632" width="9" style="20"/>
    <col min="5633" max="5633" width="4.625" style="20" customWidth="1"/>
    <col min="5634" max="5636" width="6.625" style="20" customWidth="1"/>
    <col min="5637" max="5637" width="7.625" style="20" customWidth="1"/>
    <col min="5638" max="5638" width="11.625" style="20" customWidth="1"/>
    <col min="5639" max="5639" width="7.625" style="20" customWidth="1"/>
    <col min="5640" max="5640" width="12.375" style="20" customWidth="1"/>
    <col min="5641" max="5641" width="7.375" style="20" customWidth="1"/>
    <col min="5642" max="5642" width="11.625" style="20" customWidth="1"/>
    <col min="5643" max="5643" width="8.625" style="20" customWidth="1"/>
    <col min="5644" max="5644" width="13.625" style="20" customWidth="1"/>
    <col min="5645" max="5647" width="11" style="20" customWidth="1"/>
    <col min="5648" max="5648" width="9.625" style="20" customWidth="1"/>
    <col min="5649" max="5649" width="13.625" style="20" customWidth="1"/>
    <col min="5650" max="5650" width="5.625" style="20" customWidth="1"/>
    <col min="5651" max="5653" width="12.625" style="20" customWidth="1"/>
    <col min="5654" max="5654" width="6.625" style="20" customWidth="1"/>
    <col min="5655" max="5655" width="11.625" style="20" customWidth="1"/>
    <col min="5656" max="5656" width="15.625" style="20" customWidth="1"/>
    <col min="5657" max="5660" width="8" style="20" bestFit="1" customWidth="1"/>
    <col min="5661" max="5661" width="16.375" style="20" customWidth="1"/>
    <col min="5662" max="5888" width="9" style="20"/>
    <col min="5889" max="5889" width="4.625" style="20" customWidth="1"/>
    <col min="5890" max="5892" width="6.625" style="20" customWidth="1"/>
    <col min="5893" max="5893" width="7.625" style="20" customWidth="1"/>
    <col min="5894" max="5894" width="11.625" style="20" customWidth="1"/>
    <col min="5895" max="5895" width="7.625" style="20" customWidth="1"/>
    <col min="5896" max="5896" width="12.375" style="20" customWidth="1"/>
    <col min="5897" max="5897" width="7.375" style="20" customWidth="1"/>
    <col min="5898" max="5898" width="11.625" style="20" customWidth="1"/>
    <col min="5899" max="5899" width="8.625" style="20" customWidth="1"/>
    <col min="5900" max="5900" width="13.625" style="20" customWidth="1"/>
    <col min="5901" max="5903" width="11" style="20" customWidth="1"/>
    <col min="5904" max="5904" width="9.625" style="20" customWidth="1"/>
    <col min="5905" max="5905" width="13.625" style="20" customWidth="1"/>
    <col min="5906" max="5906" width="5.625" style="20" customWidth="1"/>
    <col min="5907" max="5909" width="12.625" style="20" customWidth="1"/>
    <col min="5910" max="5910" width="6.625" style="20" customWidth="1"/>
    <col min="5911" max="5911" width="11.625" style="20" customWidth="1"/>
    <col min="5912" max="5912" width="15.625" style="20" customWidth="1"/>
    <col min="5913" max="5916" width="8" style="20" bestFit="1" customWidth="1"/>
    <col min="5917" max="5917" width="16.375" style="20" customWidth="1"/>
    <col min="5918" max="6144" width="9" style="20"/>
    <col min="6145" max="6145" width="4.625" style="20" customWidth="1"/>
    <col min="6146" max="6148" width="6.625" style="20" customWidth="1"/>
    <col min="6149" max="6149" width="7.625" style="20" customWidth="1"/>
    <col min="6150" max="6150" width="11.625" style="20" customWidth="1"/>
    <col min="6151" max="6151" width="7.625" style="20" customWidth="1"/>
    <col min="6152" max="6152" width="12.375" style="20" customWidth="1"/>
    <col min="6153" max="6153" width="7.375" style="20" customWidth="1"/>
    <col min="6154" max="6154" width="11.625" style="20" customWidth="1"/>
    <col min="6155" max="6155" width="8.625" style="20" customWidth="1"/>
    <col min="6156" max="6156" width="13.625" style="20" customWidth="1"/>
    <col min="6157" max="6159" width="11" style="20" customWidth="1"/>
    <col min="6160" max="6160" width="9.625" style="20" customWidth="1"/>
    <col min="6161" max="6161" width="13.625" style="20" customWidth="1"/>
    <col min="6162" max="6162" width="5.625" style="20" customWidth="1"/>
    <col min="6163" max="6165" width="12.625" style="20" customWidth="1"/>
    <col min="6166" max="6166" width="6.625" style="20" customWidth="1"/>
    <col min="6167" max="6167" width="11.625" style="20" customWidth="1"/>
    <col min="6168" max="6168" width="15.625" style="20" customWidth="1"/>
    <col min="6169" max="6172" width="8" style="20" bestFit="1" customWidth="1"/>
    <col min="6173" max="6173" width="16.375" style="20" customWidth="1"/>
    <col min="6174" max="6400" width="9" style="20"/>
    <col min="6401" max="6401" width="4.625" style="20" customWidth="1"/>
    <col min="6402" max="6404" width="6.625" style="20" customWidth="1"/>
    <col min="6405" max="6405" width="7.625" style="20" customWidth="1"/>
    <col min="6406" max="6406" width="11.625" style="20" customWidth="1"/>
    <col min="6407" max="6407" width="7.625" style="20" customWidth="1"/>
    <col min="6408" max="6408" width="12.375" style="20" customWidth="1"/>
    <col min="6409" max="6409" width="7.375" style="20" customWidth="1"/>
    <col min="6410" max="6410" width="11.625" style="20" customWidth="1"/>
    <col min="6411" max="6411" width="8.625" style="20" customWidth="1"/>
    <col min="6412" max="6412" width="13.625" style="20" customWidth="1"/>
    <col min="6413" max="6415" width="11" style="20" customWidth="1"/>
    <col min="6416" max="6416" width="9.625" style="20" customWidth="1"/>
    <col min="6417" max="6417" width="13.625" style="20" customWidth="1"/>
    <col min="6418" max="6418" width="5.625" style="20" customWidth="1"/>
    <col min="6419" max="6421" width="12.625" style="20" customWidth="1"/>
    <col min="6422" max="6422" width="6.625" style="20" customWidth="1"/>
    <col min="6423" max="6423" width="11.625" style="20" customWidth="1"/>
    <col min="6424" max="6424" width="15.625" style="20" customWidth="1"/>
    <col min="6425" max="6428" width="8" style="20" bestFit="1" customWidth="1"/>
    <col min="6429" max="6429" width="16.375" style="20" customWidth="1"/>
    <col min="6430" max="6656" width="9" style="20"/>
    <col min="6657" max="6657" width="4.625" style="20" customWidth="1"/>
    <col min="6658" max="6660" width="6.625" style="20" customWidth="1"/>
    <col min="6661" max="6661" width="7.625" style="20" customWidth="1"/>
    <col min="6662" max="6662" width="11.625" style="20" customWidth="1"/>
    <col min="6663" max="6663" width="7.625" style="20" customWidth="1"/>
    <col min="6664" max="6664" width="12.375" style="20" customWidth="1"/>
    <col min="6665" max="6665" width="7.375" style="20" customWidth="1"/>
    <col min="6666" max="6666" width="11.625" style="20" customWidth="1"/>
    <col min="6667" max="6667" width="8.625" style="20" customWidth="1"/>
    <col min="6668" max="6668" width="13.625" style="20" customWidth="1"/>
    <col min="6669" max="6671" width="11" style="20" customWidth="1"/>
    <col min="6672" max="6672" width="9.625" style="20" customWidth="1"/>
    <col min="6673" max="6673" width="13.625" style="20" customWidth="1"/>
    <col min="6674" max="6674" width="5.625" style="20" customWidth="1"/>
    <col min="6675" max="6677" width="12.625" style="20" customWidth="1"/>
    <col min="6678" max="6678" width="6.625" style="20" customWidth="1"/>
    <col min="6679" max="6679" width="11.625" style="20" customWidth="1"/>
    <col min="6680" max="6680" width="15.625" style="20" customWidth="1"/>
    <col min="6681" max="6684" width="8" style="20" bestFit="1" customWidth="1"/>
    <col min="6685" max="6685" width="16.375" style="20" customWidth="1"/>
    <col min="6686" max="6912" width="9" style="20"/>
    <col min="6913" max="6913" width="4.625" style="20" customWidth="1"/>
    <col min="6914" max="6916" width="6.625" style="20" customWidth="1"/>
    <col min="6917" max="6917" width="7.625" style="20" customWidth="1"/>
    <col min="6918" max="6918" width="11.625" style="20" customWidth="1"/>
    <col min="6919" max="6919" width="7.625" style="20" customWidth="1"/>
    <col min="6920" max="6920" width="12.375" style="20" customWidth="1"/>
    <col min="6921" max="6921" width="7.375" style="20" customWidth="1"/>
    <col min="6922" max="6922" width="11.625" style="20" customWidth="1"/>
    <col min="6923" max="6923" width="8.625" style="20" customWidth="1"/>
    <col min="6924" max="6924" width="13.625" style="20" customWidth="1"/>
    <col min="6925" max="6927" width="11" style="20" customWidth="1"/>
    <col min="6928" max="6928" width="9.625" style="20" customWidth="1"/>
    <col min="6929" max="6929" width="13.625" style="20" customWidth="1"/>
    <col min="6930" max="6930" width="5.625" style="20" customWidth="1"/>
    <col min="6931" max="6933" width="12.625" style="20" customWidth="1"/>
    <col min="6934" max="6934" width="6.625" style="20" customWidth="1"/>
    <col min="6935" max="6935" width="11.625" style="20" customWidth="1"/>
    <col min="6936" max="6936" width="15.625" style="20" customWidth="1"/>
    <col min="6937" max="6940" width="8" style="20" bestFit="1" customWidth="1"/>
    <col min="6941" max="6941" width="16.375" style="20" customWidth="1"/>
    <col min="6942" max="7168" width="9" style="20"/>
    <col min="7169" max="7169" width="4.625" style="20" customWidth="1"/>
    <col min="7170" max="7172" width="6.625" style="20" customWidth="1"/>
    <col min="7173" max="7173" width="7.625" style="20" customWidth="1"/>
    <col min="7174" max="7174" width="11.625" style="20" customWidth="1"/>
    <col min="7175" max="7175" width="7.625" style="20" customWidth="1"/>
    <col min="7176" max="7176" width="12.375" style="20" customWidth="1"/>
    <col min="7177" max="7177" width="7.375" style="20" customWidth="1"/>
    <col min="7178" max="7178" width="11.625" style="20" customWidth="1"/>
    <col min="7179" max="7179" width="8.625" style="20" customWidth="1"/>
    <col min="7180" max="7180" width="13.625" style="20" customWidth="1"/>
    <col min="7181" max="7183" width="11" style="20" customWidth="1"/>
    <col min="7184" max="7184" width="9.625" style="20" customWidth="1"/>
    <col min="7185" max="7185" width="13.625" style="20" customWidth="1"/>
    <col min="7186" max="7186" width="5.625" style="20" customWidth="1"/>
    <col min="7187" max="7189" width="12.625" style="20" customWidth="1"/>
    <col min="7190" max="7190" width="6.625" style="20" customWidth="1"/>
    <col min="7191" max="7191" width="11.625" style="20" customWidth="1"/>
    <col min="7192" max="7192" width="15.625" style="20" customWidth="1"/>
    <col min="7193" max="7196" width="8" style="20" bestFit="1" customWidth="1"/>
    <col min="7197" max="7197" width="16.375" style="20" customWidth="1"/>
    <col min="7198" max="7424" width="9" style="20"/>
    <col min="7425" max="7425" width="4.625" style="20" customWidth="1"/>
    <col min="7426" max="7428" width="6.625" style="20" customWidth="1"/>
    <col min="7429" max="7429" width="7.625" style="20" customWidth="1"/>
    <col min="7430" max="7430" width="11.625" style="20" customWidth="1"/>
    <col min="7431" max="7431" width="7.625" style="20" customWidth="1"/>
    <col min="7432" max="7432" width="12.375" style="20" customWidth="1"/>
    <col min="7433" max="7433" width="7.375" style="20" customWidth="1"/>
    <col min="7434" max="7434" width="11.625" style="20" customWidth="1"/>
    <col min="7435" max="7435" width="8.625" style="20" customWidth="1"/>
    <col min="7436" max="7436" width="13.625" style="20" customWidth="1"/>
    <col min="7437" max="7439" width="11" style="20" customWidth="1"/>
    <col min="7440" max="7440" width="9.625" style="20" customWidth="1"/>
    <col min="7441" max="7441" width="13.625" style="20" customWidth="1"/>
    <col min="7442" max="7442" width="5.625" style="20" customWidth="1"/>
    <col min="7443" max="7445" width="12.625" style="20" customWidth="1"/>
    <col min="7446" max="7446" width="6.625" style="20" customWidth="1"/>
    <col min="7447" max="7447" width="11.625" style="20" customWidth="1"/>
    <col min="7448" max="7448" width="15.625" style="20" customWidth="1"/>
    <col min="7449" max="7452" width="8" style="20" bestFit="1" customWidth="1"/>
    <col min="7453" max="7453" width="16.375" style="20" customWidth="1"/>
    <col min="7454" max="7680" width="9" style="20"/>
    <col min="7681" max="7681" width="4.625" style="20" customWidth="1"/>
    <col min="7682" max="7684" width="6.625" style="20" customWidth="1"/>
    <col min="7685" max="7685" width="7.625" style="20" customWidth="1"/>
    <col min="7686" max="7686" width="11.625" style="20" customWidth="1"/>
    <col min="7687" max="7687" width="7.625" style="20" customWidth="1"/>
    <col min="7688" max="7688" width="12.375" style="20" customWidth="1"/>
    <col min="7689" max="7689" width="7.375" style="20" customWidth="1"/>
    <col min="7690" max="7690" width="11.625" style="20" customWidth="1"/>
    <col min="7691" max="7691" width="8.625" style="20" customWidth="1"/>
    <col min="7692" max="7692" width="13.625" style="20" customWidth="1"/>
    <col min="7693" max="7695" width="11" style="20" customWidth="1"/>
    <col min="7696" max="7696" width="9.625" style="20" customWidth="1"/>
    <col min="7697" max="7697" width="13.625" style="20" customWidth="1"/>
    <col min="7698" max="7698" width="5.625" style="20" customWidth="1"/>
    <col min="7699" max="7701" width="12.625" style="20" customWidth="1"/>
    <col min="7702" max="7702" width="6.625" style="20" customWidth="1"/>
    <col min="7703" max="7703" width="11.625" style="20" customWidth="1"/>
    <col min="7704" max="7704" width="15.625" style="20" customWidth="1"/>
    <col min="7705" max="7708" width="8" style="20" bestFit="1" customWidth="1"/>
    <col min="7709" max="7709" width="16.375" style="20" customWidth="1"/>
    <col min="7710" max="7936" width="9" style="20"/>
    <col min="7937" max="7937" width="4.625" style="20" customWidth="1"/>
    <col min="7938" max="7940" width="6.625" style="20" customWidth="1"/>
    <col min="7941" max="7941" width="7.625" style="20" customWidth="1"/>
    <col min="7942" max="7942" width="11.625" style="20" customWidth="1"/>
    <col min="7943" max="7943" width="7.625" style="20" customWidth="1"/>
    <col min="7944" max="7944" width="12.375" style="20" customWidth="1"/>
    <col min="7945" max="7945" width="7.375" style="20" customWidth="1"/>
    <col min="7946" max="7946" width="11.625" style="20" customWidth="1"/>
    <col min="7947" max="7947" width="8.625" style="20" customWidth="1"/>
    <col min="7948" max="7948" width="13.625" style="20" customWidth="1"/>
    <col min="7949" max="7951" width="11" style="20" customWidth="1"/>
    <col min="7952" max="7952" width="9.625" style="20" customWidth="1"/>
    <col min="7953" max="7953" width="13.625" style="20" customWidth="1"/>
    <col min="7954" max="7954" width="5.625" style="20" customWidth="1"/>
    <col min="7955" max="7957" width="12.625" style="20" customWidth="1"/>
    <col min="7958" max="7958" width="6.625" style="20" customWidth="1"/>
    <col min="7959" max="7959" width="11.625" style="20" customWidth="1"/>
    <col min="7960" max="7960" width="15.625" style="20" customWidth="1"/>
    <col min="7961" max="7964" width="8" style="20" bestFit="1" customWidth="1"/>
    <col min="7965" max="7965" width="16.375" style="20" customWidth="1"/>
    <col min="7966" max="8192" width="9" style="20"/>
    <col min="8193" max="8193" width="4.625" style="20" customWidth="1"/>
    <col min="8194" max="8196" width="6.625" style="20" customWidth="1"/>
    <col min="8197" max="8197" width="7.625" style="20" customWidth="1"/>
    <col min="8198" max="8198" width="11.625" style="20" customWidth="1"/>
    <col min="8199" max="8199" width="7.625" style="20" customWidth="1"/>
    <col min="8200" max="8200" width="12.375" style="20" customWidth="1"/>
    <col min="8201" max="8201" width="7.375" style="20" customWidth="1"/>
    <col min="8202" max="8202" width="11.625" style="20" customWidth="1"/>
    <col min="8203" max="8203" width="8.625" style="20" customWidth="1"/>
    <col min="8204" max="8204" width="13.625" style="20" customWidth="1"/>
    <col min="8205" max="8207" width="11" style="20" customWidth="1"/>
    <col min="8208" max="8208" width="9.625" style="20" customWidth="1"/>
    <col min="8209" max="8209" width="13.625" style="20" customWidth="1"/>
    <col min="8210" max="8210" width="5.625" style="20" customWidth="1"/>
    <col min="8211" max="8213" width="12.625" style="20" customWidth="1"/>
    <col min="8214" max="8214" width="6.625" style="20" customWidth="1"/>
    <col min="8215" max="8215" width="11.625" style="20" customWidth="1"/>
    <col min="8216" max="8216" width="15.625" style="20" customWidth="1"/>
    <col min="8217" max="8220" width="8" style="20" bestFit="1" customWidth="1"/>
    <col min="8221" max="8221" width="16.375" style="20" customWidth="1"/>
    <col min="8222" max="8448" width="9" style="20"/>
    <col min="8449" max="8449" width="4.625" style="20" customWidth="1"/>
    <col min="8450" max="8452" width="6.625" style="20" customWidth="1"/>
    <col min="8453" max="8453" width="7.625" style="20" customWidth="1"/>
    <col min="8454" max="8454" width="11.625" style="20" customWidth="1"/>
    <col min="8455" max="8455" width="7.625" style="20" customWidth="1"/>
    <col min="8456" max="8456" width="12.375" style="20" customWidth="1"/>
    <col min="8457" max="8457" width="7.375" style="20" customWidth="1"/>
    <col min="8458" max="8458" width="11.625" style="20" customWidth="1"/>
    <col min="8459" max="8459" width="8.625" style="20" customWidth="1"/>
    <col min="8460" max="8460" width="13.625" style="20" customWidth="1"/>
    <col min="8461" max="8463" width="11" style="20" customWidth="1"/>
    <col min="8464" max="8464" width="9.625" style="20" customWidth="1"/>
    <col min="8465" max="8465" width="13.625" style="20" customWidth="1"/>
    <col min="8466" max="8466" width="5.625" style="20" customWidth="1"/>
    <col min="8467" max="8469" width="12.625" style="20" customWidth="1"/>
    <col min="8470" max="8470" width="6.625" style="20" customWidth="1"/>
    <col min="8471" max="8471" width="11.625" style="20" customWidth="1"/>
    <col min="8472" max="8472" width="15.625" style="20" customWidth="1"/>
    <col min="8473" max="8476" width="8" style="20" bestFit="1" customWidth="1"/>
    <col min="8477" max="8477" width="16.375" style="20" customWidth="1"/>
    <col min="8478" max="8704" width="9" style="20"/>
    <col min="8705" max="8705" width="4.625" style="20" customWidth="1"/>
    <col min="8706" max="8708" width="6.625" style="20" customWidth="1"/>
    <col min="8709" max="8709" width="7.625" style="20" customWidth="1"/>
    <col min="8710" max="8710" width="11.625" style="20" customWidth="1"/>
    <col min="8711" max="8711" width="7.625" style="20" customWidth="1"/>
    <col min="8712" max="8712" width="12.375" style="20" customWidth="1"/>
    <col min="8713" max="8713" width="7.375" style="20" customWidth="1"/>
    <col min="8714" max="8714" width="11.625" style="20" customWidth="1"/>
    <col min="8715" max="8715" width="8.625" style="20" customWidth="1"/>
    <col min="8716" max="8716" width="13.625" style="20" customWidth="1"/>
    <col min="8717" max="8719" width="11" style="20" customWidth="1"/>
    <col min="8720" max="8720" width="9.625" style="20" customWidth="1"/>
    <col min="8721" max="8721" width="13.625" style="20" customWidth="1"/>
    <col min="8722" max="8722" width="5.625" style="20" customWidth="1"/>
    <col min="8723" max="8725" width="12.625" style="20" customWidth="1"/>
    <col min="8726" max="8726" width="6.625" style="20" customWidth="1"/>
    <col min="8727" max="8727" width="11.625" style="20" customWidth="1"/>
    <col min="8728" max="8728" width="15.625" style="20" customWidth="1"/>
    <col min="8729" max="8732" width="8" style="20" bestFit="1" customWidth="1"/>
    <col min="8733" max="8733" width="16.375" style="20" customWidth="1"/>
    <col min="8734" max="8960" width="9" style="20"/>
    <col min="8961" max="8961" width="4.625" style="20" customWidth="1"/>
    <col min="8962" max="8964" width="6.625" style="20" customWidth="1"/>
    <col min="8965" max="8965" width="7.625" style="20" customWidth="1"/>
    <col min="8966" max="8966" width="11.625" style="20" customWidth="1"/>
    <col min="8967" max="8967" width="7.625" style="20" customWidth="1"/>
    <col min="8968" max="8968" width="12.375" style="20" customWidth="1"/>
    <col min="8969" max="8969" width="7.375" style="20" customWidth="1"/>
    <col min="8970" max="8970" width="11.625" style="20" customWidth="1"/>
    <col min="8971" max="8971" width="8.625" style="20" customWidth="1"/>
    <col min="8972" max="8972" width="13.625" style="20" customWidth="1"/>
    <col min="8973" max="8975" width="11" style="20" customWidth="1"/>
    <col min="8976" max="8976" width="9.625" style="20" customWidth="1"/>
    <col min="8977" max="8977" width="13.625" style="20" customWidth="1"/>
    <col min="8978" max="8978" width="5.625" style="20" customWidth="1"/>
    <col min="8979" max="8981" width="12.625" style="20" customWidth="1"/>
    <col min="8982" max="8982" width="6.625" style="20" customWidth="1"/>
    <col min="8983" max="8983" width="11.625" style="20" customWidth="1"/>
    <col min="8984" max="8984" width="15.625" style="20" customWidth="1"/>
    <col min="8985" max="8988" width="8" style="20" bestFit="1" customWidth="1"/>
    <col min="8989" max="8989" width="16.375" style="20" customWidth="1"/>
    <col min="8990" max="9216" width="9" style="20"/>
    <col min="9217" max="9217" width="4.625" style="20" customWidth="1"/>
    <col min="9218" max="9220" width="6.625" style="20" customWidth="1"/>
    <col min="9221" max="9221" width="7.625" style="20" customWidth="1"/>
    <col min="9222" max="9222" width="11.625" style="20" customWidth="1"/>
    <col min="9223" max="9223" width="7.625" style="20" customWidth="1"/>
    <col min="9224" max="9224" width="12.375" style="20" customWidth="1"/>
    <col min="9225" max="9225" width="7.375" style="20" customWidth="1"/>
    <col min="9226" max="9226" width="11.625" style="20" customWidth="1"/>
    <col min="9227" max="9227" width="8.625" style="20" customWidth="1"/>
    <col min="9228" max="9228" width="13.625" style="20" customWidth="1"/>
    <col min="9229" max="9231" width="11" style="20" customWidth="1"/>
    <col min="9232" max="9232" width="9.625" style="20" customWidth="1"/>
    <col min="9233" max="9233" width="13.625" style="20" customWidth="1"/>
    <col min="9234" max="9234" width="5.625" style="20" customWidth="1"/>
    <col min="9235" max="9237" width="12.625" style="20" customWidth="1"/>
    <col min="9238" max="9238" width="6.625" style="20" customWidth="1"/>
    <col min="9239" max="9239" width="11.625" style="20" customWidth="1"/>
    <col min="9240" max="9240" width="15.625" style="20" customWidth="1"/>
    <col min="9241" max="9244" width="8" style="20" bestFit="1" customWidth="1"/>
    <col min="9245" max="9245" width="16.375" style="20" customWidth="1"/>
    <col min="9246" max="9472" width="9" style="20"/>
    <col min="9473" max="9473" width="4.625" style="20" customWidth="1"/>
    <col min="9474" max="9476" width="6.625" style="20" customWidth="1"/>
    <col min="9477" max="9477" width="7.625" style="20" customWidth="1"/>
    <col min="9478" max="9478" width="11.625" style="20" customWidth="1"/>
    <col min="9479" max="9479" width="7.625" style="20" customWidth="1"/>
    <col min="9480" max="9480" width="12.375" style="20" customWidth="1"/>
    <col min="9481" max="9481" width="7.375" style="20" customWidth="1"/>
    <col min="9482" max="9482" width="11.625" style="20" customWidth="1"/>
    <col min="9483" max="9483" width="8.625" style="20" customWidth="1"/>
    <col min="9484" max="9484" width="13.625" style="20" customWidth="1"/>
    <col min="9485" max="9487" width="11" style="20" customWidth="1"/>
    <col min="9488" max="9488" width="9.625" style="20" customWidth="1"/>
    <col min="9489" max="9489" width="13.625" style="20" customWidth="1"/>
    <col min="9490" max="9490" width="5.625" style="20" customWidth="1"/>
    <col min="9491" max="9493" width="12.625" style="20" customWidth="1"/>
    <col min="9494" max="9494" width="6.625" style="20" customWidth="1"/>
    <col min="9495" max="9495" width="11.625" style="20" customWidth="1"/>
    <col min="9496" max="9496" width="15.625" style="20" customWidth="1"/>
    <col min="9497" max="9500" width="8" style="20" bestFit="1" customWidth="1"/>
    <col min="9501" max="9501" width="16.375" style="20" customWidth="1"/>
    <col min="9502" max="9728" width="9" style="20"/>
    <col min="9729" max="9729" width="4.625" style="20" customWidth="1"/>
    <col min="9730" max="9732" width="6.625" style="20" customWidth="1"/>
    <col min="9733" max="9733" width="7.625" style="20" customWidth="1"/>
    <col min="9734" max="9734" width="11.625" style="20" customWidth="1"/>
    <col min="9735" max="9735" width="7.625" style="20" customWidth="1"/>
    <col min="9736" max="9736" width="12.375" style="20" customWidth="1"/>
    <col min="9737" max="9737" width="7.375" style="20" customWidth="1"/>
    <col min="9738" max="9738" width="11.625" style="20" customWidth="1"/>
    <col min="9739" max="9739" width="8.625" style="20" customWidth="1"/>
    <col min="9740" max="9740" width="13.625" style="20" customWidth="1"/>
    <col min="9741" max="9743" width="11" style="20" customWidth="1"/>
    <col min="9744" max="9744" width="9.625" style="20" customWidth="1"/>
    <col min="9745" max="9745" width="13.625" style="20" customWidth="1"/>
    <col min="9746" max="9746" width="5.625" style="20" customWidth="1"/>
    <col min="9747" max="9749" width="12.625" style="20" customWidth="1"/>
    <col min="9750" max="9750" width="6.625" style="20" customWidth="1"/>
    <col min="9751" max="9751" width="11.625" style="20" customWidth="1"/>
    <col min="9752" max="9752" width="15.625" style="20" customWidth="1"/>
    <col min="9753" max="9756" width="8" style="20" bestFit="1" customWidth="1"/>
    <col min="9757" max="9757" width="16.375" style="20" customWidth="1"/>
    <col min="9758" max="9984" width="9" style="20"/>
    <col min="9985" max="9985" width="4.625" style="20" customWidth="1"/>
    <col min="9986" max="9988" width="6.625" style="20" customWidth="1"/>
    <col min="9989" max="9989" width="7.625" style="20" customWidth="1"/>
    <col min="9990" max="9990" width="11.625" style="20" customWidth="1"/>
    <col min="9991" max="9991" width="7.625" style="20" customWidth="1"/>
    <col min="9992" max="9992" width="12.375" style="20" customWidth="1"/>
    <col min="9993" max="9993" width="7.375" style="20" customWidth="1"/>
    <col min="9994" max="9994" width="11.625" style="20" customWidth="1"/>
    <col min="9995" max="9995" width="8.625" style="20" customWidth="1"/>
    <col min="9996" max="9996" width="13.625" style="20" customWidth="1"/>
    <col min="9997" max="9999" width="11" style="20" customWidth="1"/>
    <col min="10000" max="10000" width="9.625" style="20" customWidth="1"/>
    <col min="10001" max="10001" width="13.625" style="20" customWidth="1"/>
    <col min="10002" max="10002" width="5.625" style="20" customWidth="1"/>
    <col min="10003" max="10005" width="12.625" style="20" customWidth="1"/>
    <col min="10006" max="10006" width="6.625" style="20" customWidth="1"/>
    <col min="10007" max="10007" width="11.625" style="20" customWidth="1"/>
    <col min="10008" max="10008" width="15.625" style="20" customWidth="1"/>
    <col min="10009" max="10012" width="8" style="20" bestFit="1" customWidth="1"/>
    <col min="10013" max="10013" width="16.375" style="20" customWidth="1"/>
    <col min="10014" max="10240" width="9" style="20"/>
    <col min="10241" max="10241" width="4.625" style="20" customWidth="1"/>
    <col min="10242" max="10244" width="6.625" style="20" customWidth="1"/>
    <col min="10245" max="10245" width="7.625" style="20" customWidth="1"/>
    <col min="10246" max="10246" width="11.625" style="20" customWidth="1"/>
    <col min="10247" max="10247" width="7.625" style="20" customWidth="1"/>
    <col min="10248" max="10248" width="12.375" style="20" customWidth="1"/>
    <col min="10249" max="10249" width="7.375" style="20" customWidth="1"/>
    <col min="10250" max="10250" width="11.625" style="20" customWidth="1"/>
    <col min="10251" max="10251" width="8.625" style="20" customWidth="1"/>
    <col min="10252" max="10252" width="13.625" style="20" customWidth="1"/>
    <col min="10253" max="10255" width="11" style="20" customWidth="1"/>
    <col min="10256" max="10256" width="9.625" style="20" customWidth="1"/>
    <col min="10257" max="10257" width="13.625" style="20" customWidth="1"/>
    <col min="10258" max="10258" width="5.625" style="20" customWidth="1"/>
    <col min="10259" max="10261" width="12.625" style="20" customWidth="1"/>
    <col min="10262" max="10262" width="6.625" style="20" customWidth="1"/>
    <col min="10263" max="10263" width="11.625" style="20" customWidth="1"/>
    <col min="10264" max="10264" width="15.625" style="20" customWidth="1"/>
    <col min="10265" max="10268" width="8" style="20" bestFit="1" customWidth="1"/>
    <col min="10269" max="10269" width="16.375" style="20" customWidth="1"/>
    <col min="10270" max="10496" width="9" style="20"/>
    <col min="10497" max="10497" width="4.625" style="20" customWidth="1"/>
    <col min="10498" max="10500" width="6.625" style="20" customWidth="1"/>
    <col min="10501" max="10501" width="7.625" style="20" customWidth="1"/>
    <col min="10502" max="10502" width="11.625" style="20" customWidth="1"/>
    <col min="10503" max="10503" width="7.625" style="20" customWidth="1"/>
    <col min="10504" max="10504" width="12.375" style="20" customWidth="1"/>
    <col min="10505" max="10505" width="7.375" style="20" customWidth="1"/>
    <col min="10506" max="10506" width="11.625" style="20" customWidth="1"/>
    <col min="10507" max="10507" width="8.625" style="20" customWidth="1"/>
    <col min="10508" max="10508" width="13.625" style="20" customWidth="1"/>
    <col min="10509" max="10511" width="11" style="20" customWidth="1"/>
    <col min="10512" max="10512" width="9.625" style="20" customWidth="1"/>
    <col min="10513" max="10513" width="13.625" style="20" customWidth="1"/>
    <col min="10514" max="10514" width="5.625" style="20" customWidth="1"/>
    <col min="10515" max="10517" width="12.625" style="20" customWidth="1"/>
    <col min="10518" max="10518" width="6.625" style="20" customWidth="1"/>
    <col min="10519" max="10519" width="11.625" style="20" customWidth="1"/>
    <col min="10520" max="10520" width="15.625" style="20" customWidth="1"/>
    <col min="10521" max="10524" width="8" style="20" bestFit="1" customWidth="1"/>
    <col min="10525" max="10525" width="16.375" style="20" customWidth="1"/>
    <col min="10526" max="10752" width="9" style="20"/>
    <col min="10753" max="10753" width="4.625" style="20" customWidth="1"/>
    <col min="10754" max="10756" width="6.625" style="20" customWidth="1"/>
    <col min="10757" max="10757" width="7.625" style="20" customWidth="1"/>
    <col min="10758" max="10758" width="11.625" style="20" customWidth="1"/>
    <col min="10759" max="10759" width="7.625" style="20" customWidth="1"/>
    <col min="10760" max="10760" width="12.375" style="20" customWidth="1"/>
    <col min="10761" max="10761" width="7.375" style="20" customWidth="1"/>
    <col min="10762" max="10762" width="11.625" style="20" customWidth="1"/>
    <col min="10763" max="10763" width="8.625" style="20" customWidth="1"/>
    <col min="10764" max="10764" width="13.625" style="20" customWidth="1"/>
    <col min="10765" max="10767" width="11" style="20" customWidth="1"/>
    <col min="10768" max="10768" width="9.625" style="20" customWidth="1"/>
    <col min="10769" max="10769" width="13.625" style="20" customWidth="1"/>
    <col min="10770" max="10770" width="5.625" style="20" customWidth="1"/>
    <col min="10771" max="10773" width="12.625" style="20" customWidth="1"/>
    <col min="10774" max="10774" width="6.625" style="20" customWidth="1"/>
    <col min="10775" max="10775" width="11.625" style="20" customWidth="1"/>
    <col min="10776" max="10776" width="15.625" style="20" customWidth="1"/>
    <col min="10777" max="10780" width="8" style="20" bestFit="1" customWidth="1"/>
    <col min="10781" max="10781" width="16.375" style="20" customWidth="1"/>
    <col min="10782" max="11008" width="9" style="20"/>
    <col min="11009" max="11009" width="4.625" style="20" customWidth="1"/>
    <col min="11010" max="11012" width="6.625" style="20" customWidth="1"/>
    <col min="11013" max="11013" width="7.625" style="20" customWidth="1"/>
    <col min="11014" max="11014" width="11.625" style="20" customWidth="1"/>
    <col min="11015" max="11015" width="7.625" style="20" customWidth="1"/>
    <col min="11016" max="11016" width="12.375" style="20" customWidth="1"/>
    <col min="11017" max="11017" width="7.375" style="20" customWidth="1"/>
    <col min="11018" max="11018" width="11.625" style="20" customWidth="1"/>
    <col min="11019" max="11019" width="8.625" style="20" customWidth="1"/>
    <col min="11020" max="11020" width="13.625" style="20" customWidth="1"/>
    <col min="11021" max="11023" width="11" style="20" customWidth="1"/>
    <col min="11024" max="11024" width="9.625" style="20" customWidth="1"/>
    <col min="11025" max="11025" width="13.625" style="20" customWidth="1"/>
    <col min="11026" max="11026" width="5.625" style="20" customWidth="1"/>
    <col min="11027" max="11029" width="12.625" style="20" customWidth="1"/>
    <col min="11030" max="11030" width="6.625" style="20" customWidth="1"/>
    <col min="11031" max="11031" width="11.625" style="20" customWidth="1"/>
    <col min="11032" max="11032" width="15.625" style="20" customWidth="1"/>
    <col min="11033" max="11036" width="8" style="20" bestFit="1" customWidth="1"/>
    <col min="11037" max="11037" width="16.375" style="20" customWidth="1"/>
    <col min="11038" max="11264" width="9" style="20"/>
    <col min="11265" max="11265" width="4.625" style="20" customWidth="1"/>
    <col min="11266" max="11268" width="6.625" style="20" customWidth="1"/>
    <col min="11269" max="11269" width="7.625" style="20" customWidth="1"/>
    <col min="11270" max="11270" width="11.625" style="20" customWidth="1"/>
    <col min="11271" max="11271" width="7.625" style="20" customWidth="1"/>
    <col min="11272" max="11272" width="12.375" style="20" customWidth="1"/>
    <col min="11273" max="11273" width="7.375" style="20" customWidth="1"/>
    <col min="11274" max="11274" width="11.625" style="20" customWidth="1"/>
    <col min="11275" max="11275" width="8.625" style="20" customWidth="1"/>
    <col min="11276" max="11276" width="13.625" style="20" customWidth="1"/>
    <col min="11277" max="11279" width="11" style="20" customWidth="1"/>
    <col min="11280" max="11280" width="9.625" style="20" customWidth="1"/>
    <col min="11281" max="11281" width="13.625" style="20" customWidth="1"/>
    <col min="11282" max="11282" width="5.625" style="20" customWidth="1"/>
    <col min="11283" max="11285" width="12.625" style="20" customWidth="1"/>
    <col min="11286" max="11286" width="6.625" style="20" customWidth="1"/>
    <col min="11287" max="11287" width="11.625" style="20" customWidth="1"/>
    <col min="11288" max="11288" width="15.625" style="20" customWidth="1"/>
    <col min="11289" max="11292" width="8" style="20" bestFit="1" customWidth="1"/>
    <col min="11293" max="11293" width="16.375" style="20" customWidth="1"/>
    <col min="11294" max="11520" width="9" style="20"/>
    <col min="11521" max="11521" width="4.625" style="20" customWidth="1"/>
    <col min="11522" max="11524" width="6.625" style="20" customWidth="1"/>
    <col min="11525" max="11525" width="7.625" style="20" customWidth="1"/>
    <col min="11526" max="11526" width="11.625" style="20" customWidth="1"/>
    <col min="11527" max="11527" width="7.625" style="20" customWidth="1"/>
    <col min="11528" max="11528" width="12.375" style="20" customWidth="1"/>
    <col min="11529" max="11529" width="7.375" style="20" customWidth="1"/>
    <col min="11530" max="11530" width="11.625" style="20" customWidth="1"/>
    <col min="11531" max="11531" width="8.625" style="20" customWidth="1"/>
    <col min="11532" max="11532" width="13.625" style="20" customWidth="1"/>
    <col min="11533" max="11535" width="11" style="20" customWidth="1"/>
    <col min="11536" max="11536" width="9.625" style="20" customWidth="1"/>
    <col min="11537" max="11537" width="13.625" style="20" customWidth="1"/>
    <col min="11538" max="11538" width="5.625" style="20" customWidth="1"/>
    <col min="11539" max="11541" width="12.625" style="20" customWidth="1"/>
    <col min="11542" max="11542" width="6.625" style="20" customWidth="1"/>
    <col min="11543" max="11543" width="11.625" style="20" customWidth="1"/>
    <col min="11544" max="11544" width="15.625" style="20" customWidth="1"/>
    <col min="11545" max="11548" width="8" style="20" bestFit="1" customWidth="1"/>
    <col min="11549" max="11549" width="16.375" style="20" customWidth="1"/>
    <col min="11550" max="11776" width="9" style="20"/>
    <col min="11777" max="11777" width="4.625" style="20" customWidth="1"/>
    <col min="11778" max="11780" width="6.625" style="20" customWidth="1"/>
    <col min="11781" max="11781" width="7.625" style="20" customWidth="1"/>
    <col min="11782" max="11782" width="11.625" style="20" customWidth="1"/>
    <col min="11783" max="11783" width="7.625" style="20" customWidth="1"/>
    <col min="11784" max="11784" width="12.375" style="20" customWidth="1"/>
    <col min="11785" max="11785" width="7.375" style="20" customWidth="1"/>
    <col min="11786" max="11786" width="11.625" style="20" customWidth="1"/>
    <col min="11787" max="11787" width="8.625" style="20" customWidth="1"/>
    <col min="11788" max="11788" width="13.625" style="20" customWidth="1"/>
    <col min="11789" max="11791" width="11" style="20" customWidth="1"/>
    <col min="11792" max="11792" width="9.625" style="20" customWidth="1"/>
    <col min="11793" max="11793" width="13.625" style="20" customWidth="1"/>
    <col min="11794" max="11794" width="5.625" style="20" customWidth="1"/>
    <col min="11795" max="11797" width="12.625" style="20" customWidth="1"/>
    <col min="11798" max="11798" width="6.625" style="20" customWidth="1"/>
    <col min="11799" max="11799" width="11.625" style="20" customWidth="1"/>
    <col min="11800" max="11800" width="15.625" style="20" customWidth="1"/>
    <col min="11801" max="11804" width="8" style="20" bestFit="1" customWidth="1"/>
    <col min="11805" max="11805" width="16.375" style="20" customWidth="1"/>
    <col min="11806" max="12032" width="9" style="20"/>
    <col min="12033" max="12033" width="4.625" style="20" customWidth="1"/>
    <col min="12034" max="12036" width="6.625" style="20" customWidth="1"/>
    <col min="12037" max="12037" width="7.625" style="20" customWidth="1"/>
    <col min="12038" max="12038" width="11.625" style="20" customWidth="1"/>
    <col min="12039" max="12039" width="7.625" style="20" customWidth="1"/>
    <col min="12040" max="12040" width="12.375" style="20" customWidth="1"/>
    <col min="12041" max="12041" width="7.375" style="20" customWidth="1"/>
    <col min="12042" max="12042" width="11.625" style="20" customWidth="1"/>
    <col min="12043" max="12043" width="8.625" style="20" customWidth="1"/>
    <col min="12044" max="12044" width="13.625" style="20" customWidth="1"/>
    <col min="12045" max="12047" width="11" style="20" customWidth="1"/>
    <col min="12048" max="12048" width="9.625" style="20" customWidth="1"/>
    <col min="12049" max="12049" width="13.625" style="20" customWidth="1"/>
    <col min="12050" max="12050" width="5.625" style="20" customWidth="1"/>
    <col min="12051" max="12053" width="12.625" style="20" customWidth="1"/>
    <col min="12054" max="12054" width="6.625" style="20" customWidth="1"/>
    <col min="12055" max="12055" width="11.625" style="20" customWidth="1"/>
    <col min="12056" max="12056" width="15.625" style="20" customWidth="1"/>
    <col min="12057" max="12060" width="8" style="20" bestFit="1" customWidth="1"/>
    <col min="12061" max="12061" width="16.375" style="20" customWidth="1"/>
    <col min="12062" max="12288" width="9" style="20"/>
    <col min="12289" max="12289" width="4.625" style="20" customWidth="1"/>
    <col min="12290" max="12292" width="6.625" style="20" customWidth="1"/>
    <col min="12293" max="12293" width="7.625" style="20" customWidth="1"/>
    <col min="12294" max="12294" width="11.625" style="20" customWidth="1"/>
    <col min="12295" max="12295" width="7.625" style="20" customWidth="1"/>
    <col min="12296" max="12296" width="12.375" style="20" customWidth="1"/>
    <col min="12297" max="12297" width="7.375" style="20" customWidth="1"/>
    <col min="12298" max="12298" width="11.625" style="20" customWidth="1"/>
    <col min="12299" max="12299" width="8.625" style="20" customWidth="1"/>
    <col min="12300" max="12300" width="13.625" style="20" customWidth="1"/>
    <col min="12301" max="12303" width="11" style="20" customWidth="1"/>
    <col min="12304" max="12304" width="9.625" style="20" customWidth="1"/>
    <col min="12305" max="12305" width="13.625" style="20" customWidth="1"/>
    <col min="12306" max="12306" width="5.625" style="20" customWidth="1"/>
    <col min="12307" max="12309" width="12.625" style="20" customWidth="1"/>
    <col min="12310" max="12310" width="6.625" style="20" customWidth="1"/>
    <col min="12311" max="12311" width="11.625" style="20" customWidth="1"/>
    <col min="12312" max="12312" width="15.625" style="20" customWidth="1"/>
    <col min="12313" max="12316" width="8" style="20" bestFit="1" customWidth="1"/>
    <col min="12317" max="12317" width="16.375" style="20" customWidth="1"/>
    <col min="12318" max="12544" width="9" style="20"/>
    <col min="12545" max="12545" width="4.625" style="20" customWidth="1"/>
    <col min="12546" max="12548" width="6.625" style="20" customWidth="1"/>
    <col min="12549" max="12549" width="7.625" style="20" customWidth="1"/>
    <col min="12550" max="12550" width="11.625" style="20" customWidth="1"/>
    <col min="12551" max="12551" width="7.625" style="20" customWidth="1"/>
    <col min="12552" max="12552" width="12.375" style="20" customWidth="1"/>
    <col min="12553" max="12553" width="7.375" style="20" customWidth="1"/>
    <col min="12554" max="12554" width="11.625" style="20" customWidth="1"/>
    <col min="12555" max="12555" width="8.625" style="20" customWidth="1"/>
    <col min="12556" max="12556" width="13.625" style="20" customWidth="1"/>
    <col min="12557" max="12559" width="11" style="20" customWidth="1"/>
    <col min="12560" max="12560" width="9.625" style="20" customWidth="1"/>
    <col min="12561" max="12561" width="13.625" style="20" customWidth="1"/>
    <col min="12562" max="12562" width="5.625" style="20" customWidth="1"/>
    <col min="12563" max="12565" width="12.625" style="20" customWidth="1"/>
    <col min="12566" max="12566" width="6.625" style="20" customWidth="1"/>
    <col min="12567" max="12567" width="11.625" style="20" customWidth="1"/>
    <col min="12568" max="12568" width="15.625" style="20" customWidth="1"/>
    <col min="12569" max="12572" width="8" style="20" bestFit="1" customWidth="1"/>
    <col min="12573" max="12573" width="16.375" style="20" customWidth="1"/>
    <col min="12574" max="12800" width="9" style="20"/>
    <col min="12801" max="12801" width="4.625" style="20" customWidth="1"/>
    <col min="12802" max="12804" width="6.625" style="20" customWidth="1"/>
    <col min="12805" max="12805" width="7.625" style="20" customWidth="1"/>
    <col min="12806" max="12806" width="11.625" style="20" customWidth="1"/>
    <col min="12807" max="12807" width="7.625" style="20" customWidth="1"/>
    <col min="12808" max="12808" width="12.375" style="20" customWidth="1"/>
    <col min="12809" max="12809" width="7.375" style="20" customWidth="1"/>
    <col min="12810" max="12810" width="11.625" style="20" customWidth="1"/>
    <col min="12811" max="12811" width="8.625" style="20" customWidth="1"/>
    <col min="12812" max="12812" width="13.625" style="20" customWidth="1"/>
    <col min="12813" max="12815" width="11" style="20" customWidth="1"/>
    <col min="12816" max="12816" width="9.625" style="20" customWidth="1"/>
    <col min="12817" max="12817" width="13.625" style="20" customWidth="1"/>
    <col min="12818" max="12818" width="5.625" style="20" customWidth="1"/>
    <col min="12819" max="12821" width="12.625" style="20" customWidth="1"/>
    <col min="12822" max="12822" width="6.625" style="20" customWidth="1"/>
    <col min="12823" max="12823" width="11.625" style="20" customWidth="1"/>
    <col min="12824" max="12824" width="15.625" style="20" customWidth="1"/>
    <col min="12825" max="12828" width="8" style="20" bestFit="1" customWidth="1"/>
    <col min="12829" max="12829" width="16.375" style="20" customWidth="1"/>
    <col min="12830" max="13056" width="9" style="20"/>
    <col min="13057" max="13057" width="4.625" style="20" customWidth="1"/>
    <col min="13058" max="13060" width="6.625" style="20" customWidth="1"/>
    <col min="13061" max="13061" width="7.625" style="20" customWidth="1"/>
    <col min="13062" max="13062" width="11.625" style="20" customWidth="1"/>
    <col min="13063" max="13063" width="7.625" style="20" customWidth="1"/>
    <col min="13064" max="13064" width="12.375" style="20" customWidth="1"/>
    <col min="13065" max="13065" width="7.375" style="20" customWidth="1"/>
    <col min="13066" max="13066" width="11.625" style="20" customWidth="1"/>
    <col min="13067" max="13067" width="8.625" style="20" customWidth="1"/>
    <col min="13068" max="13068" width="13.625" style="20" customWidth="1"/>
    <col min="13069" max="13071" width="11" style="20" customWidth="1"/>
    <col min="13072" max="13072" width="9.625" style="20" customWidth="1"/>
    <col min="13073" max="13073" width="13.625" style="20" customWidth="1"/>
    <col min="13074" max="13074" width="5.625" style="20" customWidth="1"/>
    <col min="13075" max="13077" width="12.625" style="20" customWidth="1"/>
    <col min="13078" max="13078" width="6.625" style="20" customWidth="1"/>
    <col min="13079" max="13079" width="11.625" style="20" customWidth="1"/>
    <col min="13080" max="13080" width="15.625" style="20" customWidth="1"/>
    <col min="13081" max="13084" width="8" style="20" bestFit="1" customWidth="1"/>
    <col min="13085" max="13085" width="16.375" style="20" customWidth="1"/>
    <col min="13086" max="13312" width="9" style="20"/>
    <col min="13313" max="13313" width="4.625" style="20" customWidth="1"/>
    <col min="13314" max="13316" width="6.625" style="20" customWidth="1"/>
    <col min="13317" max="13317" width="7.625" style="20" customWidth="1"/>
    <col min="13318" max="13318" width="11.625" style="20" customWidth="1"/>
    <col min="13319" max="13319" width="7.625" style="20" customWidth="1"/>
    <col min="13320" max="13320" width="12.375" style="20" customWidth="1"/>
    <col min="13321" max="13321" width="7.375" style="20" customWidth="1"/>
    <col min="13322" max="13322" width="11.625" style="20" customWidth="1"/>
    <col min="13323" max="13323" width="8.625" style="20" customWidth="1"/>
    <col min="13324" max="13324" width="13.625" style="20" customWidth="1"/>
    <col min="13325" max="13327" width="11" style="20" customWidth="1"/>
    <col min="13328" max="13328" width="9.625" style="20" customWidth="1"/>
    <col min="13329" max="13329" width="13.625" style="20" customWidth="1"/>
    <col min="13330" max="13330" width="5.625" style="20" customWidth="1"/>
    <col min="13331" max="13333" width="12.625" style="20" customWidth="1"/>
    <col min="13334" max="13334" width="6.625" style="20" customWidth="1"/>
    <col min="13335" max="13335" width="11.625" style="20" customWidth="1"/>
    <col min="13336" max="13336" width="15.625" style="20" customWidth="1"/>
    <col min="13337" max="13340" width="8" style="20" bestFit="1" customWidth="1"/>
    <col min="13341" max="13341" width="16.375" style="20" customWidth="1"/>
    <col min="13342" max="13568" width="9" style="20"/>
    <col min="13569" max="13569" width="4.625" style="20" customWidth="1"/>
    <col min="13570" max="13572" width="6.625" style="20" customWidth="1"/>
    <col min="13573" max="13573" width="7.625" style="20" customWidth="1"/>
    <col min="13574" max="13574" width="11.625" style="20" customWidth="1"/>
    <col min="13575" max="13575" width="7.625" style="20" customWidth="1"/>
    <col min="13576" max="13576" width="12.375" style="20" customWidth="1"/>
    <col min="13577" max="13577" width="7.375" style="20" customWidth="1"/>
    <col min="13578" max="13578" width="11.625" style="20" customWidth="1"/>
    <col min="13579" max="13579" width="8.625" style="20" customWidth="1"/>
    <col min="13580" max="13580" width="13.625" style="20" customWidth="1"/>
    <col min="13581" max="13583" width="11" style="20" customWidth="1"/>
    <col min="13584" max="13584" width="9.625" style="20" customWidth="1"/>
    <col min="13585" max="13585" width="13.625" style="20" customWidth="1"/>
    <col min="13586" max="13586" width="5.625" style="20" customWidth="1"/>
    <col min="13587" max="13589" width="12.625" style="20" customWidth="1"/>
    <col min="13590" max="13590" width="6.625" style="20" customWidth="1"/>
    <col min="13591" max="13591" width="11.625" style="20" customWidth="1"/>
    <col min="13592" max="13592" width="15.625" style="20" customWidth="1"/>
    <col min="13593" max="13596" width="8" style="20" bestFit="1" customWidth="1"/>
    <col min="13597" max="13597" width="16.375" style="20" customWidth="1"/>
    <col min="13598" max="13824" width="9" style="20"/>
    <col min="13825" max="13825" width="4.625" style="20" customWidth="1"/>
    <col min="13826" max="13828" width="6.625" style="20" customWidth="1"/>
    <col min="13829" max="13829" width="7.625" style="20" customWidth="1"/>
    <col min="13830" max="13830" width="11.625" style="20" customWidth="1"/>
    <col min="13831" max="13831" width="7.625" style="20" customWidth="1"/>
    <col min="13832" max="13832" width="12.375" style="20" customWidth="1"/>
    <col min="13833" max="13833" width="7.375" style="20" customWidth="1"/>
    <col min="13834" max="13834" width="11.625" style="20" customWidth="1"/>
    <col min="13835" max="13835" width="8.625" style="20" customWidth="1"/>
    <col min="13836" max="13836" width="13.625" style="20" customWidth="1"/>
    <col min="13837" max="13839" width="11" style="20" customWidth="1"/>
    <col min="13840" max="13840" width="9.625" style="20" customWidth="1"/>
    <col min="13841" max="13841" width="13.625" style="20" customWidth="1"/>
    <col min="13842" max="13842" width="5.625" style="20" customWidth="1"/>
    <col min="13843" max="13845" width="12.625" style="20" customWidth="1"/>
    <col min="13846" max="13846" width="6.625" style="20" customWidth="1"/>
    <col min="13847" max="13847" width="11.625" style="20" customWidth="1"/>
    <col min="13848" max="13848" width="15.625" style="20" customWidth="1"/>
    <col min="13849" max="13852" width="8" style="20" bestFit="1" customWidth="1"/>
    <col min="13853" max="13853" width="16.375" style="20" customWidth="1"/>
    <col min="13854" max="14080" width="9" style="20"/>
    <col min="14081" max="14081" width="4.625" style="20" customWidth="1"/>
    <col min="14082" max="14084" width="6.625" style="20" customWidth="1"/>
    <col min="14085" max="14085" width="7.625" style="20" customWidth="1"/>
    <col min="14086" max="14086" width="11.625" style="20" customWidth="1"/>
    <col min="14087" max="14087" width="7.625" style="20" customWidth="1"/>
    <col min="14088" max="14088" width="12.375" style="20" customWidth="1"/>
    <col min="14089" max="14089" width="7.375" style="20" customWidth="1"/>
    <col min="14090" max="14090" width="11.625" style="20" customWidth="1"/>
    <col min="14091" max="14091" width="8.625" style="20" customWidth="1"/>
    <col min="14092" max="14092" width="13.625" style="20" customWidth="1"/>
    <col min="14093" max="14095" width="11" style="20" customWidth="1"/>
    <col min="14096" max="14096" width="9.625" style="20" customWidth="1"/>
    <col min="14097" max="14097" width="13.625" style="20" customWidth="1"/>
    <col min="14098" max="14098" width="5.625" style="20" customWidth="1"/>
    <col min="14099" max="14101" width="12.625" style="20" customWidth="1"/>
    <col min="14102" max="14102" width="6.625" style="20" customWidth="1"/>
    <col min="14103" max="14103" width="11.625" style="20" customWidth="1"/>
    <col min="14104" max="14104" width="15.625" style="20" customWidth="1"/>
    <col min="14105" max="14108" width="8" style="20" bestFit="1" customWidth="1"/>
    <col min="14109" max="14109" width="16.375" style="20" customWidth="1"/>
    <col min="14110" max="14336" width="9" style="20"/>
    <col min="14337" max="14337" width="4.625" style="20" customWidth="1"/>
    <col min="14338" max="14340" width="6.625" style="20" customWidth="1"/>
    <col min="14341" max="14341" width="7.625" style="20" customWidth="1"/>
    <col min="14342" max="14342" width="11.625" style="20" customWidth="1"/>
    <col min="14343" max="14343" width="7.625" style="20" customWidth="1"/>
    <col min="14344" max="14344" width="12.375" style="20" customWidth="1"/>
    <col min="14345" max="14345" width="7.375" style="20" customWidth="1"/>
    <col min="14346" max="14346" width="11.625" style="20" customWidth="1"/>
    <col min="14347" max="14347" width="8.625" style="20" customWidth="1"/>
    <col min="14348" max="14348" width="13.625" style="20" customWidth="1"/>
    <col min="14349" max="14351" width="11" style="20" customWidth="1"/>
    <col min="14352" max="14352" width="9.625" style="20" customWidth="1"/>
    <col min="14353" max="14353" width="13.625" style="20" customWidth="1"/>
    <col min="14354" max="14354" width="5.625" style="20" customWidth="1"/>
    <col min="14355" max="14357" width="12.625" style="20" customWidth="1"/>
    <col min="14358" max="14358" width="6.625" style="20" customWidth="1"/>
    <col min="14359" max="14359" width="11.625" style="20" customWidth="1"/>
    <col min="14360" max="14360" width="15.625" style="20" customWidth="1"/>
    <col min="14361" max="14364" width="8" style="20" bestFit="1" customWidth="1"/>
    <col min="14365" max="14365" width="16.375" style="20" customWidth="1"/>
    <col min="14366" max="14592" width="9" style="20"/>
    <col min="14593" max="14593" width="4.625" style="20" customWidth="1"/>
    <col min="14594" max="14596" width="6.625" style="20" customWidth="1"/>
    <col min="14597" max="14597" width="7.625" style="20" customWidth="1"/>
    <col min="14598" max="14598" width="11.625" style="20" customWidth="1"/>
    <col min="14599" max="14599" width="7.625" style="20" customWidth="1"/>
    <col min="14600" max="14600" width="12.375" style="20" customWidth="1"/>
    <col min="14601" max="14601" width="7.375" style="20" customWidth="1"/>
    <col min="14602" max="14602" width="11.625" style="20" customWidth="1"/>
    <col min="14603" max="14603" width="8.625" style="20" customWidth="1"/>
    <col min="14604" max="14604" width="13.625" style="20" customWidth="1"/>
    <col min="14605" max="14607" width="11" style="20" customWidth="1"/>
    <col min="14608" max="14608" width="9.625" style="20" customWidth="1"/>
    <col min="14609" max="14609" width="13.625" style="20" customWidth="1"/>
    <col min="14610" max="14610" width="5.625" style="20" customWidth="1"/>
    <col min="14611" max="14613" width="12.625" style="20" customWidth="1"/>
    <col min="14614" max="14614" width="6.625" style="20" customWidth="1"/>
    <col min="14615" max="14615" width="11.625" style="20" customWidth="1"/>
    <col min="14616" max="14616" width="15.625" style="20" customWidth="1"/>
    <col min="14617" max="14620" width="8" style="20" bestFit="1" customWidth="1"/>
    <col min="14621" max="14621" width="16.375" style="20" customWidth="1"/>
    <col min="14622" max="14848" width="9" style="20"/>
    <col min="14849" max="14849" width="4.625" style="20" customWidth="1"/>
    <col min="14850" max="14852" width="6.625" style="20" customWidth="1"/>
    <col min="14853" max="14853" width="7.625" style="20" customWidth="1"/>
    <col min="14854" max="14854" width="11.625" style="20" customWidth="1"/>
    <col min="14855" max="14855" width="7.625" style="20" customWidth="1"/>
    <col min="14856" max="14856" width="12.375" style="20" customWidth="1"/>
    <col min="14857" max="14857" width="7.375" style="20" customWidth="1"/>
    <col min="14858" max="14858" width="11.625" style="20" customWidth="1"/>
    <col min="14859" max="14859" width="8.625" style="20" customWidth="1"/>
    <col min="14860" max="14860" width="13.625" style="20" customWidth="1"/>
    <col min="14861" max="14863" width="11" style="20" customWidth="1"/>
    <col min="14864" max="14864" width="9.625" style="20" customWidth="1"/>
    <col min="14865" max="14865" width="13.625" style="20" customWidth="1"/>
    <col min="14866" max="14866" width="5.625" style="20" customWidth="1"/>
    <col min="14867" max="14869" width="12.625" style="20" customWidth="1"/>
    <col min="14870" max="14870" width="6.625" style="20" customWidth="1"/>
    <col min="14871" max="14871" width="11.625" style="20" customWidth="1"/>
    <col min="14872" max="14872" width="15.625" style="20" customWidth="1"/>
    <col min="14873" max="14876" width="8" style="20" bestFit="1" customWidth="1"/>
    <col min="14877" max="14877" width="16.375" style="20" customWidth="1"/>
    <col min="14878" max="15104" width="9" style="20"/>
    <col min="15105" max="15105" width="4.625" style="20" customWidth="1"/>
    <col min="15106" max="15108" width="6.625" style="20" customWidth="1"/>
    <col min="15109" max="15109" width="7.625" style="20" customWidth="1"/>
    <col min="15110" max="15110" width="11.625" style="20" customWidth="1"/>
    <col min="15111" max="15111" width="7.625" style="20" customWidth="1"/>
    <col min="15112" max="15112" width="12.375" style="20" customWidth="1"/>
    <col min="15113" max="15113" width="7.375" style="20" customWidth="1"/>
    <col min="15114" max="15114" width="11.625" style="20" customWidth="1"/>
    <col min="15115" max="15115" width="8.625" style="20" customWidth="1"/>
    <col min="15116" max="15116" width="13.625" style="20" customWidth="1"/>
    <col min="15117" max="15119" width="11" style="20" customWidth="1"/>
    <col min="15120" max="15120" width="9.625" style="20" customWidth="1"/>
    <col min="15121" max="15121" width="13.625" style="20" customWidth="1"/>
    <col min="15122" max="15122" width="5.625" style="20" customWidth="1"/>
    <col min="15123" max="15125" width="12.625" style="20" customWidth="1"/>
    <col min="15126" max="15126" width="6.625" style="20" customWidth="1"/>
    <col min="15127" max="15127" width="11.625" style="20" customWidth="1"/>
    <col min="15128" max="15128" width="15.625" style="20" customWidth="1"/>
    <col min="15129" max="15132" width="8" style="20" bestFit="1" customWidth="1"/>
    <col min="15133" max="15133" width="16.375" style="20" customWidth="1"/>
    <col min="15134" max="15360" width="9" style="20"/>
    <col min="15361" max="15361" width="4.625" style="20" customWidth="1"/>
    <col min="15362" max="15364" width="6.625" style="20" customWidth="1"/>
    <col min="15365" max="15365" width="7.625" style="20" customWidth="1"/>
    <col min="15366" max="15366" width="11.625" style="20" customWidth="1"/>
    <col min="15367" max="15367" width="7.625" style="20" customWidth="1"/>
    <col min="15368" max="15368" width="12.375" style="20" customWidth="1"/>
    <col min="15369" max="15369" width="7.375" style="20" customWidth="1"/>
    <col min="15370" max="15370" width="11.625" style="20" customWidth="1"/>
    <col min="15371" max="15371" width="8.625" style="20" customWidth="1"/>
    <col min="15372" max="15372" width="13.625" style="20" customWidth="1"/>
    <col min="15373" max="15375" width="11" style="20" customWidth="1"/>
    <col min="15376" max="15376" width="9.625" style="20" customWidth="1"/>
    <col min="15377" max="15377" width="13.625" style="20" customWidth="1"/>
    <col min="15378" max="15378" width="5.625" style="20" customWidth="1"/>
    <col min="15379" max="15381" width="12.625" style="20" customWidth="1"/>
    <col min="15382" max="15382" width="6.625" style="20" customWidth="1"/>
    <col min="15383" max="15383" width="11.625" style="20" customWidth="1"/>
    <col min="15384" max="15384" width="15.625" style="20" customWidth="1"/>
    <col min="15385" max="15388" width="8" style="20" bestFit="1" customWidth="1"/>
    <col min="15389" max="15389" width="16.375" style="20" customWidth="1"/>
    <col min="15390" max="15616" width="9" style="20"/>
    <col min="15617" max="15617" width="4.625" style="20" customWidth="1"/>
    <col min="15618" max="15620" width="6.625" style="20" customWidth="1"/>
    <col min="15621" max="15621" width="7.625" style="20" customWidth="1"/>
    <col min="15622" max="15622" width="11.625" style="20" customWidth="1"/>
    <col min="15623" max="15623" width="7.625" style="20" customWidth="1"/>
    <col min="15624" max="15624" width="12.375" style="20" customWidth="1"/>
    <col min="15625" max="15625" width="7.375" style="20" customWidth="1"/>
    <col min="15626" max="15626" width="11.625" style="20" customWidth="1"/>
    <col min="15627" max="15627" width="8.625" style="20" customWidth="1"/>
    <col min="15628" max="15628" width="13.625" style="20" customWidth="1"/>
    <col min="15629" max="15631" width="11" style="20" customWidth="1"/>
    <col min="15632" max="15632" width="9.625" style="20" customWidth="1"/>
    <col min="15633" max="15633" width="13.625" style="20" customWidth="1"/>
    <col min="15634" max="15634" width="5.625" style="20" customWidth="1"/>
    <col min="15635" max="15637" width="12.625" style="20" customWidth="1"/>
    <col min="15638" max="15638" width="6.625" style="20" customWidth="1"/>
    <col min="15639" max="15639" width="11.625" style="20" customWidth="1"/>
    <col min="15640" max="15640" width="15.625" style="20" customWidth="1"/>
    <col min="15641" max="15644" width="8" style="20" bestFit="1" customWidth="1"/>
    <col min="15645" max="15645" width="16.375" style="20" customWidth="1"/>
    <col min="15646" max="15872" width="9" style="20"/>
    <col min="15873" max="15873" width="4.625" style="20" customWidth="1"/>
    <col min="15874" max="15876" width="6.625" style="20" customWidth="1"/>
    <col min="15877" max="15877" width="7.625" style="20" customWidth="1"/>
    <col min="15878" max="15878" width="11.625" style="20" customWidth="1"/>
    <col min="15879" max="15879" width="7.625" style="20" customWidth="1"/>
    <col min="15880" max="15880" width="12.375" style="20" customWidth="1"/>
    <col min="15881" max="15881" width="7.375" style="20" customWidth="1"/>
    <col min="15882" max="15882" width="11.625" style="20" customWidth="1"/>
    <col min="15883" max="15883" width="8.625" style="20" customWidth="1"/>
    <col min="15884" max="15884" width="13.625" style="20" customWidth="1"/>
    <col min="15885" max="15887" width="11" style="20" customWidth="1"/>
    <col min="15888" max="15888" width="9.625" style="20" customWidth="1"/>
    <col min="15889" max="15889" width="13.625" style="20" customWidth="1"/>
    <col min="15890" max="15890" width="5.625" style="20" customWidth="1"/>
    <col min="15891" max="15893" width="12.625" style="20" customWidth="1"/>
    <col min="15894" max="15894" width="6.625" style="20" customWidth="1"/>
    <col min="15895" max="15895" width="11.625" style="20" customWidth="1"/>
    <col min="15896" max="15896" width="15.625" style="20" customWidth="1"/>
    <col min="15897" max="15900" width="8" style="20" bestFit="1" customWidth="1"/>
    <col min="15901" max="15901" width="16.375" style="20" customWidth="1"/>
    <col min="15902" max="16128" width="9" style="20"/>
    <col min="16129" max="16129" width="4.625" style="20" customWidth="1"/>
    <col min="16130" max="16132" width="6.625" style="20" customWidth="1"/>
    <col min="16133" max="16133" width="7.625" style="20" customWidth="1"/>
    <col min="16134" max="16134" width="11.625" style="20" customWidth="1"/>
    <col min="16135" max="16135" width="7.625" style="20" customWidth="1"/>
    <col min="16136" max="16136" width="12.375" style="20" customWidth="1"/>
    <col min="16137" max="16137" width="7.375" style="20" customWidth="1"/>
    <col min="16138" max="16138" width="11.625" style="20" customWidth="1"/>
    <col min="16139" max="16139" width="8.625" style="20" customWidth="1"/>
    <col min="16140" max="16140" width="13.625" style="20" customWidth="1"/>
    <col min="16141" max="16143" width="11" style="20" customWidth="1"/>
    <col min="16144" max="16144" width="9.625" style="20" customWidth="1"/>
    <col min="16145" max="16145" width="13.625" style="20" customWidth="1"/>
    <col min="16146" max="16146" width="5.625" style="20" customWidth="1"/>
    <col min="16147" max="16149" width="12.625" style="20" customWidth="1"/>
    <col min="16150" max="16150" width="6.625" style="20" customWidth="1"/>
    <col min="16151" max="16151" width="11.625" style="20" customWidth="1"/>
    <col min="16152" max="16152" width="15.625" style="20" customWidth="1"/>
    <col min="16153" max="16156" width="8" style="20" bestFit="1" customWidth="1"/>
    <col min="16157" max="16157" width="16.375" style="20" customWidth="1"/>
    <col min="16158" max="16384" width="9" style="20"/>
  </cols>
  <sheetData>
    <row r="1" spans="1:24" ht="24" customHeight="1" thickBot="1">
      <c r="A1" s="79" t="s">
        <v>61</v>
      </c>
      <c r="B1" s="79"/>
      <c r="C1" s="79"/>
      <c r="D1" s="79"/>
      <c r="E1" s="79"/>
      <c r="F1" s="79"/>
      <c r="G1" s="80"/>
      <c r="H1" s="79"/>
      <c r="I1" s="79"/>
      <c r="J1" s="79"/>
      <c r="K1" s="79"/>
      <c r="L1" s="79"/>
      <c r="M1" s="79"/>
      <c r="N1" s="79"/>
      <c r="O1" s="79"/>
      <c r="P1" s="81"/>
      <c r="Q1" s="81"/>
      <c r="R1" s="81"/>
      <c r="S1" s="81"/>
      <c r="T1" s="81"/>
      <c r="U1" s="81"/>
      <c r="V1" s="81"/>
      <c r="W1" s="81"/>
      <c r="X1" s="81"/>
    </row>
    <row r="2" spans="1:24" s="21" customFormat="1" ht="26.25" customHeight="1" thickBot="1">
      <c r="A2" s="69" t="s">
        <v>16</v>
      </c>
      <c r="B2" s="83" t="s">
        <v>17</v>
      </c>
      <c r="C2" s="83" t="s">
        <v>18</v>
      </c>
      <c r="D2" s="69" t="s">
        <v>19</v>
      </c>
      <c r="E2" s="86" t="s">
        <v>71</v>
      </c>
      <c r="F2" s="87"/>
      <c r="G2" s="90" t="s">
        <v>70</v>
      </c>
      <c r="H2" s="91"/>
      <c r="I2" s="94" t="s">
        <v>69</v>
      </c>
      <c r="J2" s="91"/>
      <c r="K2" s="90" t="s">
        <v>68</v>
      </c>
      <c r="L2" s="96"/>
      <c r="M2" s="90" t="s">
        <v>62</v>
      </c>
      <c r="N2" s="67" t="s">
        <v>63</v>
      </c>
      <c r="O2" s="69" t="s">
        <v>64</v>
      </c>
      <c r="P2" s="71" t="s">
        <v>20</v>
      </c>
      <c r="Q2" s="72"/>
      <c r="R2" s="75" t="s">
        <v>21</v>
      </c>
      <c r="S2" s="76"/>
      <c r="T2" s="71" t="s">
        <v>65</v>
      </c>
      <c r="U2" s="67" t="s">
        <v>66</v>
      </c>
      <c r="V2" s="99" t="s">
        <v>22</v>
      </c>
      <c r="W2" s="100"/>
      <c r="X2" s="96" t="s">
        <v>23</v>
      </c>
    </row>
    <row r="3" spans="1:24" s="22" customFormat="1" ht="38.25" customHeight="1" thickBot="1">
      <c r="A3" s="82"/>
      <c r="B3" s="84"/>
      <c r="C3" s="84"/>
      <c r="D3" s="82"/>
      <c r="E3" s="88"/>
      <c r="F3" s="89"/>
      <c r="G3" s="92"/>
      <c r="H3" s="93"/>
      <c r="I3" s="95"/>
      <c r="J3" s="93"/>
      <c r="K3" s="97"/>
      <c r="L3" s="98"/>
      <c r="M3" s="97"/>
      <c r="N3" s="68"/>
      <c r="O3" s="70"/>
      <c r="P3" s="73"/>
      <c r="Q3" s="74"/>
      <c r="R3" s="77"/>
      <c r="S3" s="78"/>
      <c r="T3" s="73"/>
      <c r="U3" s="68"/>
      <c r="V3" s="101" t="s">
        <v>67</v>
      </c>
      <c r="W3" s="102"/>
      <c r="X3" s="82"/>
    </row>
    <row r="4" spans="1:24" s="21" customFormat="1" ht="36" customHeight="1" thickBot="1">
      <c r="A4" s="70"/>
      <c r="B4" s="85"/>
      <c r="C4" s="85"/>
      <c r="D4" s="70"/>
      <c r="E4" s="23" t="s">
        <v>24</v>
      </c>
      <c r="F4" s="24" t="s">
        <v>25</v>
      </c>
      <c r="G4" s="23" t="s">
        <v>24</v>
      </c>
      <c r="H4" s="24" t="s">
        <v>26</v>
      </c>
      <c r="I4" s="25" t="s">
        <v>27</v>
      </c>
      <c r="J4" s="26" t="s">
        <v>26</v>
      </c>
      <c r="K4" s="25" t="s">
        <v>28</v>
      </c>
      <c r="L4" s="26" t="s">
        <v>26</v>
      </c>
      <c r="M4" s="27" t="s">
        <v>29</v>
      </c>
      <c r="N4" s="27" t="s">
        <v>29</v>
      </c>
      <c r="O4" s="27" t="s">
        <v>29</v>
      </c>
      <c r="P4" s="23" t="s">
        <v>30</v>
      </c>
      <c r="Q4" s="24" t="s">
        <v>25</v>
      </c>
      <c r="R4" s="28" t="s">
        <v>31</v>
      </c>
      <c r="S4" s="29" t="s">
        <v>26</v>
      </c>
      <c r="T4" s="23" t="s">
        <v>32</v>
      </c>
      <c r="U4" s="23" t="s">
        <v>32</v>
      </c>
      <c r="V4" s="23" t="s">
        <v>32</v>
      </c>
      <c r="W4" s="24" t="s">
        <v>25</v>
      </c>
      <c r="X4" s="70"/>
    </row>
    <row r="5" spans="1:24" s="44" customFormat="1" ht="22.5" customHeight="1" thickBot="1">
      <c r="A5" s="30">
        <v>1</v>
      </c>
      <c r="B5" s="31" t="s">
        <v>33</v>
      </c>
      <c r="C5" s="32">
        <v>448</v>
      </c>
      <c r="D5" s="33">
        <v>76.16</v>
      </c>
      <c r="E5" s="34">
        <f>SUM([2]厨房燃气!BH7)</f>
        <v>713</v>
      </c>
      <c r="F5" s="35">
        <f>IF(E5&gt;0,E5*3.95,0)</f>
        <v>2816.35</v>
      </c>
      <c r="G5" s="34">
        <f>SUM([2]厨房燃气!BJ7)</f>
        <v>888</v>
      </c>
      <c r="H5" s="36">
        <f>IF(G5&gt;0,G5*3.95,0)</f>
        <v>3507.6000000000004</v>
      </c>
      <c r="I5" s="37">
        <f>SUM('[2]B1 &amp; 102F 锅炉房'!G7)</f>
        <v>888</v>
      </c>
      <c r="J5" s="38">
        <f>IF(I5&gt;0,I5*3.95,0)</f>
        <v>3507.6000000000004</v>
      </c>
      <c r="K5" s="34">
        <f t="shared" ref="K5:K33" si="0">SUM(I5+G5+E5)</f>
        <v>2489</v>
      </c>
      <c r="L5" s="36">
        <f>IF(K5&gt;0,K5*3.95,0)</f>
        <v>9831.5500000000011</v>
      </c>
      <c r="M5" s="37">
        <f>SUM([2]主塔楼空调用电量!V4)</f>
        <v>6290</v>
      </c>
      <c r="N5" s="37">
        <v>12434.47</v>
      </c>
      <c r="O5" s="34">
        <f>SUM('[2]68F 高压F13&amp;F30'!F7)</f>
        <v>32000.000000000455</v>
      </c>
      <c r="P5" s="34">
        <f>N5+O5</f>
        <v>44434.470000000452</v>
      </c>
      <c r="Q5" s="39">
        <f>IF(P5&gt;0,P5*0.675169)</f>
        <v>30000.776675430305</v>
      </c>
      <c r="R5" s="40">
        <f>SUM([2]裙楼空调用量!L4)</f>
        <v>10</v>
      </c>
      <c r="S5" s="41">
        <f>IF(R5*417&gt;0,R5*291.66+1655.02)</f>
        <v>4571.6200000000008</v>
      </c>
      <c r="T5" s="34">
        <f>SUM('[2]B4 水表'!C7)</f>
        <v>160</v>
      </c>
      <c r="U5" s="42">
        <v>134.12</v>
      </c>
      <c r="V5" s="34">
        <f>T5+U5</f>
        <v>294.12</v>
      </c>
      <c r="W5" s="39">
        <f>V5*4.86</f>
        <v>1429.4232000000002</v>
      </c>
      <c r="X5" s="43">
        <f>SUM(L5+Q5+W5)</f>
        <v>41261.749875430301</v>
      </c>
    </row>
    <row r="6" spans="1:24" s="44" customFormat="1" ht="22.5" customHeight="1" thickBot="1">
      <c r="A6" s="45">
        <v>2</v>
      </c>
      <c r="B6" s="31" t="s">
        <v>36</v>
      </c>
      <c r="C6" s="32">
        <v>428</v>
      </c>
      <c r="D6" s="33">
        <v>86.63</v>
      </c>
      <c r="E6" s="34">
        <f>SUM([2]厨房燃气!BH8)</f>
        <v>775</v>
      </c>
      <c r="F6" s="35">
        <f t="shared" ref="F6:F35" si="1">IF(E6&gt;0,E6*3.95,0)</f>
        <v>3061.25</v>
      </c>
      <c r="G6" s="34">
        <f>SUM('[2]B1 &amp; 102F 锅炉房'!C8)</f>
        <v>1433</v>
      </c>
      <c r="H6" s="36">
        <f t="shared" ref="H6:H35" si="2">IF(G6&gt;0,G6*3.95,0)</f>
        <v>5660.35</v>
      </c>
      <c r="I6" s="37">
        <f>SUM('[2]B1 &amp; 102F 锅炉房'!G8)</f>
        <v>983</v>
      </c>
      <c r="J6" s="38">
        <f t="shared" ref="J6:J35" si="3">IF(I6&gt;0,I6*3.95,0)</f>
        <v>3882.8500000000004</v>
      </c>
      <c r="K6" s="34">
        <f t="shared" si="0"/>
        <v>3191</v>
      </c>
      <c r="L6" s="36">
        <f t="shared" ref="L6:L35" si="4">IF(K6&gt;0,K6*3.95,0)</f>
        <v>12604.45</v>
      </c>
      <c r="M6" s="37">
        <f>SUM([2]主塔楼空调用电量!V5)</f>
        <v>5508</v>
      </c>
      <c r="N6" s="37">
        <v>12434.47</v>
      </c>
      <c r="O6" s="34">
        <f>SUM('[2]68F 高压F13&amp;F30'!F8)</f>
        <v>28200.000000001637</v>
      </c>
      <c r="P6" s="34">
        <f t="shared" ref="P6:P35" si="5">N6+O6</f>
        <v>40634.470000001638</v>
      </c>
      <c r="Q6" s="39">
        <f>IF(P6&gt;0,P6*0.675169)</f>
        <v>27435.134475431107</v>
      </c>
      <c r="R6" s="40">
        <f>SUM([2]裙楼空调用量!L5)</f>
        <v>10</v>
      </c>
      <c r="S6" s="41">
        <f t="shared" ref="S6:S35" si="6">IF(R6*417&gt;0,R6*291.66+1655.02)</f>
        <v>4571.6200000000008</v>
      </c>
      <c r="T6" s="34">
        <f>SUM('[2]B4 水表'!C8)</f>
        <v>186</v>
      </c>
      <c r="U6" s="42">
        <v>134.12</v>
      </c>
      <c r="V6" s="34">
        <f t="shared" ref="V6:V35" si="7">T6+U6</f>
        <v>320.12</v>
      </c>
      <c r="W6" s="39">
        <f t="shared" ref="W6:W35" si="8">V6*4.86</f>
        <v>1555.7832000000001</v>
      </c>
      <c r="X6" s="43">
        <f t="shared" ref="X6:X35" si="9">SUM(L6+Q6+W6)</f>
        <v>41595.367675431109</v>
      </c>
    </row>
    <row r="7" spans="1:24" s="44" customFormat="1" ht="22.5" customHeight="1" thickBot="1">
      <c r="A7" s="45">
        <v>3</v>
      </c>
      <c r="B7" s="31" t="s">
        <v>37</v>
      </c>
      <c r="C7" s="32">
        <v>903</v>
      </c>
      <c r="D7" s="33">
        <v>94.19</v>
      </c>
      <c r="E7" s="34">
        <f>SUM([2]厨房燃气!BH9)</f>
        <v>653</v>
      </c>
      <c r="F7" s="35">
        <f t="shared" si="1"/>
        <v>2579.35</v>
      </c>
      <c r="G7" s="34">
        <f>SUM('[2]B1 &amp; 102F 锅炉房'!C9)</f>
        <v>1459</v>
      </c>
      <c r="H7" s="36">
        <f t="shared" si="2"/>
        <v>5763.05</v>
      </c>
      <c r="I7" s="37">
        <f>SUM('[2]B1 &amp; 102F 锅炉房'!G9)</f>
        <v>1254</v>
      </c>
      <c r="J7" s="38">
        <f t="shared" si="3"/>
        <v>4953.3</v>
      </c>
      <c r="K7" s="34">
        <f t="shared" si="0"/>
        <v>3366</v>
      </c>
      <c r="L7" s="36">
        <f t="shared" si="4"/>
        <v>13295.7</v>
      </c>
      <c r="M7" s="37">
        <f>SUM([2]主塔楼空调用电量!V6)</f>
        <v>5221</v>
      </c>
      <c r="N7" s="37">
        <v>12434.47</v>
      </c>
      <c r="O7" s="34">
        <f>SUM('[2]68F 高压F13&amp;F30'!F9)</f>
        <v>28499.999999999091</v>
      </c>
      <c r="P7" s="34">
        <f t="shared" si="5"/>
        <v>40934.469999999092</v>
      </c>
      <c r="Q7" s="39">
        <f t="shared" ref="Q7:Q33" si="10">IF(P7&gt;0,P7*0.675169)</f>
        <v>27637.685175429386</v>
      </c>
      <c r="R7" s="40">
        <f>SUM([2]裙楼空调用量!L6)</f>
        <v>10</v>
      </c>
      <c r="S7" s="41">
        <f t="shared" si="6"/>
        <v>4571.6200000000008</v>
      </c>
      <c r="T7" s="34">
        <f>SUM('[2]B4 水表'!C9)</f>
        <v>160</v>
      </c>
      <c r="U7" s="42">
        <v>134.12</v>
      </c>
      <c r="V7" s="34">
        <f t="shared" si="7"/>
        <v>294.12</v>
      </c>
      <c r="W7" s="39">
        <f t="shared" si="8"/>
        <v>1429.4232000000002</v>
      </c>
      <c r="X7" s="43">
        <f t="shared" si="9"/>
        <v>42362.808375429384</v>
      </c>
    </row>
    <row r="8" spans="1:24" s="44" customFormat="1" ht="22.5" customHeight="1" thickBot="1">
      <c r="A8" s="45">
        <v>4</v>
      </c>
      <c r="B8" s="31" t="s">
        <v>36</v>
      </c>
      <c r="C8" s="32">
        <v>511</v>
      </c>
      <c r="D8" s="33">
        <v>96.79</v>
      </c>
      <c r="E8" s="34">
        <f>SUM([2]厨房燃气!BH10)</f>
        <v>635</v>
      </c>
      <c r="F8" s="35">
        <f t="shared" si="1"/>
        <v>2508.25</v>
      </c>
      <c r="G8" s="34">
        <f>SUM('[2]B1 &amp; 102F 锅炉房'!C10)</f>
        <v>1610</v>
      </c>
      <c r="H8" s="36">
        <f t="shared" si="2"/>
        <v>6359.5</v>
      </c>
      <c r="I8" s="37">
        <f>SUM('[2]B1 &amp; 102F 锅炉房'!G10)</f>
        <v>1427</v>
      </c>
      <c r="J8" s="38">
        <f t="shared" si="3"/>
        <v>5636.6500000000005</v>
      </c>
      <c r="K8" s="34">
        <f t="shared" si="0"/>
        <v>3672</v>
      </c>
      <c r="L8" s="36">
        <f t="shared" si="4"/>
        <v>14504.400000000001</v>
      </c>
      <c r="M8" s="37">
        <f>SUM([2]主塔楼空调用电量!V7)</f>
        <v>5111</v>
      </c>
      <c r="N8" s="37">
        <v>12434.47</v>
      </c>
      <c r="O8" s="34">
        <f>SUM('[2]68F 高压F13&amp;F30'!F10)</f>
        <v>28299.999999999272</v>
      </c>
      <c r="P8" s="34">
        <f t="shared" si="5"/>
        <v>40734.469999999274</v>
      </c>
      <c r="Q8" s="39">
        <f t="shared" si="10"/>
        <v>27502.651375429512</v>
      </c>
      <c r="R8" s="40">
        <f>SUM([2]裙楼空调用量!L7)</f>
        <v>9</v>
      </c>
      <c r="S8" s="41">
        <f t="shared" si="6"/>
        <v>4279.96</v>
      </c>
      <c r="T8" s="34">
        <f>SUM('[2]B4 水表'!C10)</f>
        <v>169</v>
      </c>
      <c r="U8" s="42">
        <v>134.12</v>
      </c>
      <c r="V8" s="34">
        <f t="shared" si="7"/>
        <v>303.12</v>
      </c>
      <c r="W8" s="39">
        <f t="shared" si="8"/>
        <v>1473.1632000000002</v>
      </c>
      <c r="X8" s="43">
        <f t="shared" si="9"/>
        <v>43480.214575429512</v>
      </c>
    </row>
    <row r="9" spans="1:24" s="44" customFormat="1" ht="22.5" customHeight="1" thickBot="1">
      <c r="A9" s="45">
        <v>5</v>
      </c>
      <c r="B9" s="31" t="s">
        <v>38</v>
      </c>
      <c r="C9" s="32">
        <v>1037</v>
      </c>
      <c r="D9" s="33">
        <v>89.21</v>
      </c>
      <c r="E9" s="34">
        <f>SUM([2]厨房燃气!BH11)</f>
        <v>865</v>
      </c>
      <c r="F9" s="35">
        <f t="shared" si="1"/>
        <v>3416.75</v>
      </c>
      <c r="G9" s="34">
        <f>SUM('[2]B1 &amp; 102F 锅炉房'!C11)</f>
        <v>1560</v>
      </c>
      <c r="H9" s="36">
        <f t="shared" si="2"/>
        <v>6162</v>
      </c>
      <c r="I9" s="37">
        <f>SUM('[2]B1 &amp; 102F 锅炉房'!G11)</f>
        <v>1393</v>
      </c>
      <c r="J9" s="38">
        <f t="shared" si="3"/>
        <v>5502.35</v>
      </c>
      <c r="K9" s="34">
        <f t="shared" si="0"/>
        <v>3818</v>
      </c>
      <c r="L9" s="36">
        <f t="shared" si="4"/>
        <v>15081.1</v>
      </c>
      <c r="M9" s="37">
        <f>SUM([2]主塔楼空调用电量!V8)</f>
        <v>4572</v>
      </c>
      <c r="N9" s="37">
        <v>12434.47</v>
      </c>
      <c r="O9" s="34">
        <f>SUM('[2]68F 高压F13&amp;F30'!F11)</f>
        <v>27900.00000000191</v>
      </c>
      <c r="P9" s="34">
        <f t="shared" si="5"/>
        <v>40334.470000001907</v>
      </c>
      <c r="Q9" s="39">
        <f t="shared" si="10"/>
        <v>27232.583775431289</v>
      </c>
      <c r="R9" s="40">
        <f>SUM([2]裙楼空调用量!L8)</f>
        <v>11</v>
      </c>
      <c r="S9" s="41">
        <f t="shared" si="6"/>
        <v>4863.2800000000007</v>
      </c>
      <c r="T9" s="34">
        <f>SUM('[2]B4 水表'!C11)</f>
        <v>163</v>
      </c>
      <c r="U9" s="42">
        <v>134.12</v>
      </c>
      <c r="V9" s="34">
        <f t="shared" si="7"/>
        <v>297.12</v>
      </c>
      <c r="W9" s="39">
        <f t="shared" si="8"/>
        <v>1444.0032000000001</v>
      </c>
      <c r="X9" s="43">
        <f t="shared" si="9"/>
        <v>43757.686975431287</v>
      </c>
    </row>
    <row r="10" spans="1:24" s="44" customFormat="1" ht="22.5" customHeight="1" thickBot="1">
      <c r="A10" s="45">
        <v>6</v>
      </c>
      <c r="B10" s="31" t="s">
        <v>39</v>
      </c>
      <c r="C10" s="32">
        <v>710</v>
      </c>
      <c r="D10" s="33">
        <v>77.33</v>
      </c>
      <c r="E10" s="34">
        <f>SUM([2]厨房燃气!BH12)</f>
        <v>747</v>
      </c>
      <c r="F10" s="35">
        <f t="shared" si="1"/>
        <v>2950.65</v>
      </c>
      <c r="G10" s="34">
        <f>SUM('[2]B1 &amp; 102F 锅炉房'!C12)</f>
        <v>1601</v>
      </c>
      <c r="H10" s="36">
        <f t="shared" si="2"/>
        <v>6323.9500000000007</v>
      </c>
      <c r="I10" s="37">
        <f>SUM('[2]B1 &amp; 102F 锅炉房'!G12)</f>
        <v>1352</v>
      </c>
      <c r="J10" s="38">
        <f t="shared" si="3"/>
        <v>5340.4000000000005</v>
      </c>
      <c r="K10" s="34">
        <f t="shared" si="0"/>
        <v>3700</v>
      </c>
      <c r="L10" s="36">
        <f t="shared" si="4"/>
        <v>14615</v>
      </c>
      <c r="M10" s="37">
        <f>SUM([2]主塔楼空调用电量!V9)</f>
        <v>3890</v>
      </c>
      <c r="N10" s="37">
        <v>12434.47</v>
      </c>
      <c r="O10" s="34">
        <f>SUM('[2]68F 高压F13&amp;F30'!F12)</f>
        <v>26299.999999998818</v>
      </c>
      <c r="P10" s="34">
        <f t="shared" si="5"/>
        <v>38734.469999998815</v>
      </c>
      <c r="Q10" s="39">
        <f t="shared" si="10"/>
        <v>26152.313375429199</v>
      </c>
      <c r="R10" s="40">
        <f>SUM([2]裙楼空调用量!L9)</f>
        <v>9</v>
      </c>
      <c r="S10" s="41">
        <f t="shared" si="6"/>
        <v>4279.96</v>
      </c>
      <c r="T10" s="34">
        <f>SUM('[2]B4 水表'!C12)</f>
        <v>164</v>
      </c>
      <c r="U10" s="42">
        <v>134.12</v>
      </c>
      <c r="V10" s="34">
        <f t="shared" si="7"/>
        <v>298.12</v>
      </c>
      <c r="W10" s="39">
        <f t="shared" si="8"/>
        <v>1448.8632</v>
      </c>
      <c r="X10" s="43">
        <f t="shared" si="9"/>
        <v>42216.176575429199</v>
      </c>
    </row>
    <row r="11" spans="1:24" s="44" customFormat="1" ht="22.5" customHeight="1" thickBot="1">
      <c r="A11" s="45">
        <v>7</v>
      </c>
      <c r="B11" s="31" t="s">
        <v>40</v>
      </c>
      <c r="C11" s="32">
        <v>1604</v>
      </c>
      <c r="D11" s="33">
        <v>73.260000000000005</v>
      </c>
      <c r="E11" s="34">
        <f>SUM([2]厨房燃气!BH13)</f>
        <v>643</v>
      </c>
      <c r="F11" s="35">
        <f t="shared" si="1"/>
        <v>2539.85</v>
      </c>
      <c r="G11" s="34">
        <f>SUM('[2]B1 &amp; 102F 锅炉房'!C13)</f>
        <v>1630</v>
      </c>
      <c r="H11" s="36">
        <f t="shared" si="2"/>
        <v>6438.5</v>
      </c>
      <c r="I11" s="37">
        <f>SUM('[2]B1 &amp; 102F 锅炉房'!G13)</f>
        <v>1032</v>
      </c>
      <c r="J11" s="38">
        <f t="shared" si="3"/>
        <v>4076.4</v>
      </c>
      <c r="K11" s="34">
        <f t="shared" si="0"/>
        <v>3305</v>
      </c>
      <c r="L11" s="36">
        <f t="shared" si="4"/>
        <v>13054.75</v>
      </c>
      <c r="M11" s="37">
        <f>SUM([2]主塔楼空调用电量!V10)</f>
        <v>6920</v>
      </c>
      <c r="N11" s="37">
        <v>12434.47</v>
      </c>
      <c r="O11" s="34">
        <f>SUM('[2]68F 高压F13&amp;F30'!F13)</f>
        <v>30500.000000001819</v>
      </c>
      <c r="P11" s="34">
        <f t="shared" si="5"/>
        <v>42934.47000000182</v>
      </c>
      <c r="Q11" s="39">
        <f t="shared" si="10"/>
        <v>28988.02317543123</v>
      </c>
      <c r="R11" s="40">
        <f>SUM([2]裙楼空调用量!L10)</f>
        <v>10</v>
      </c>
      <c r="S11" s="41">
        <f t="shared" si="6"/>
        <v>4571.6200000000008</v>
      </c>
      <c r="T11" s="34">
        <f>SUM('[2]B4 水表'!C13)</f>
        <v>129</v>
      </c>
      <c r="U11" s="42">
        <v>134.12</v>
      </c>
      <c r="V11" s="34">
        <f t="shared" si="7"/>
        <v>263.12</v>
      </c>
      <c r="W11" s="39">
        <f t="shared" si="8"/>
        <v>1278.7632000000001</v>
      </c>
      <c r="X11" s="43">
        <f t="shared" si="9"/>
        <v>43321.536375431227</v>
      </c>
    </row>
    <row r="12" spans="1:24" s="44" customFormat="1" ht="22.5" customHeight="1" thickBot="1">
      <c r="A12" s="45">
        <v>8</v>
      </c>
      <c r="B12" s="31" t="s">
        <v>41</v>
      </c>
      <c r="C12" s="32">
        <v>368</v>
      </c>
      <c r="D12" s="33">
        <v>87.21</v>
      </c>
      <c r="E12" s="34">
        <f>SUM([2]厨房燃气!BH14)</f>
        <v>712</v>
      </c>
      <c r="F12" s="35">
        <f t="shared" si="1"/>
        <v>2812.4</v>
      </c>
      <c r="G12" s="34">
        <f>SUM('[2]B1 &amp; 102F 锅炉房'!C14)</f>
        <v>1508</v>
      </c>
      <c r="H12" s="36">
        <f t="shared" si="2"/>
        <v>5956.6</v>
      </c>
      <c r="I12" s="37">
        <f>SUM('[2]B1 &amp; 102F 锅炉房'!G14)</f>
        <v>1185</v>
      </c>
      <c r="J12" s="38">
        <f t="shared" si="3"/>
        <v>4680.75</v>
      </c>
      <c r="K12" s="34">
        <f t="shared" si="0"/>
        <v>3405</v>
      </c>
      <c r="L12" s="36">
        <f t="shared" si="4"/>
        <v>13449.75</v>
      </c>
      <c r="M12" s="37">
        <f>SUM([2]主塔楼空调用电量!V11)</f>
        <v>5533</v>
      </c>
      <c r="N12" s="37">
        <v>12434.47</v>
      </c>
      <c r="O12" s="34">
        <f>SUM('[2]68F 高压F13&amp;F30'!F14)</f>
        <v>27599.999999999909</v>
      </c>
      <c r="P12" s="34">
        <f t="shared" si="5"/>
        <v>40034.469999999907</v>
      </c>
      <c r="Q12" s="39">
        <f t="shared" si="10"/>
        <v>27030.033075429939</v>
      </c>
      <c r="R12" s="40">
        <f>SUM([2]裙楼空调用量!L11)</f>
        <v>11</v>
      </c>
      <c r="S12" s="41">
        <f t="shared" si="6"/>
        <v>4863.2800000000007</v>
      </c>
      <c r="T12" s="34">
        <f>SUM('[2]B4 水表'!C14)</f>
        <v>157</v>
      </c>
      <c r="U12" s="42">
        <v>134.12</v>
      </c>
      <c r="V12" s="34">
        <f t="shared" si="7"/>
        <v>291.12</v>
      </c>
      <c r="W12" s="39">
        <f t="shared" si="8"/>
        <v>1414.8432</v>
      </c>
      <c r="X12" s="43">
        <f t="shared" si="9"/>
        <v>41894.626275429939</v>
      </c>
    </row>
    <row r="13" spans="1:24" s="44" customFormat="1" ht="22.5" customHeight="1" thickBot="1">
      <c r="A13" s="45">
        <v>9</v>
      </c>
      <c r="B13" s="31" t="s">
        <v>41</v>
      </c>
      <c r="C13" s="32">
        <v>434</v>
      </c>
      <c r="D13" s="33">
        <v>91.86</v>
      </c>
      <c r="E13" s="34">
        <f>SUM([2]厨房燃气!BH15)</f>
        <v>763</v>
      </c>
      <c r="F13" s="35">
        <f t="shared" si="1"/>
        <v>3013.85</v>
      </c>
      <c r="G13" s="34">
        <f>SUM('[2]B1 &amp; 102F 锅炉房'!C15)</f>
        <v>1518</v>
      </c>
      <c r="H13" s="36">
        <f t="shared" si="2"/>
        <v>5996.1</v>
      </c>
      <c r="I13" s="37">
        <f>SUM('[2]B1 &amp; 102F 锅炉房'!G15)</f>
        <v>1105</v>
      </c>
      <c r="J13" s="38">
        <f t="shared" si="3"/>
        <v>4364.75</v>
      </c>
      <c r="K13" s="34">
        <f t="shared" si="0"/>
        <v>3386</v>
      </c>
      <c r="L13" s="36">
        <f t="shared" si="4"/>
        <v>13374.7</v>
      </c>
      <c r="M13" s="37">
        <f>SUM([2]主塔楼空调用电量!V12)</f>
        <v>5176</v>
      </c>
      <c r="N13" s="37">
        <v>12434.47</v>
      </c>
      <c r="O13" s="34">
        <f>SUM('[2]68F 高压F13&amp;F30'!F15)</f>
        <v>27899.999999997362</v>
      </c>
      <c r="P13" s="34">
        <f t="shared" si="5"/>
        <v>40334.46999999736</v>
      </c>
      <c r="Q13" s="39">
        <f t="shared" si="10"/>
        <v>27232.583775428218</v>
      </c>
      <c r="R13" s="40">
        <f>SUM([2]裙楼空调用量!L12)</f>
        <v>10</v>
      </c>
      <c r="S13" s="41">
        <f t="shared" si="6"/>
        <v>4571.6200000000008</v>
      </c>
      <c r="T13" s="34">
        <f>SUM('[2]B4 水表'!C15)</f>
        <v>161</v>
      </c>
      <c r="U13" s="42">
        <v>134.12</v>
      </c>
      <c r="V13" s="34">
        <f t="shared" si="7"/>
        <v>295.12</v>
      </c>
      <c r="W13" s="39">
        <f t="shared" si="8"/>
        <v>1434.2832000000001</v>
      </c>
      <c r="X13" s="43">
        <f t="shared" si="9"/>
        <v>42041.566975428221</v>
      </c>
    </row>
    <row r="14" spans="1:24" s="44" customFormat="1" ht="22.5" customHeight="1" thickBot="1">
      <c r="A14" s="45">
        <v>10</v>
      </c>
      <c r="B14" s="31" t="s">
        <v>42</v>
      </c>
      <c r="C14" s="32">
        <v>630</v>
      </c>
      <c r="D14" s="33">
        <v>86.92</v>
      </c>
      <c r="E14" s="34">
        <f>SUM([2]厨房燃气!BH16)</f>
        <v>718</v>
      </c>
      <c r="F14" s="35">
        <f t="shared" si="1"/>
        <v>2836.1</v>
      </c>
      <c r="G14" s="34">
        <f>SUM('[2]B1 &amp; 102F 锅炉房'!C16)</f>
        <v>1571</v>
      </c>
      <c r="H14" s="36">
        <f t="shared" si="2"/>
        <v>6205.4500000000007</v>
      </c>
      <c r="I14" s="37">
        <f>SUM('[2]B1 &amp; 102F 锅炉房'!G16)</f>
        <v>1154</v>
      </c>
      <c r="J14" s="38">
        <f t="shared" si="3"/>
        <v>4558.3</v>
      </c>
      <c r="K14" s="34">
        <f>SUM(I14+G14+E14)</f>
        <v>3443</v>
      </c>
      <c r="L14" s="36">
        <f t="shared" si="4"/>
        <v>13599.85</v>
      </c>
      <c r="M14" s="37">
        <f>SUM([2]主塔楼空调用电量!V13)</f>
        <v>6182</v>
      </c>
      <c r="N14" s="37">
        <v>12434.47</v>
      </c>
      <c r="O14" s="34">
        <f>SUM('[2]68F 高压F13&amp;F30'!F16)</f>
        <v>29700.000000000273</v>
      </c>
      <c r="P14" s="34">
        <f t="shared" si="5"/>
        <v>42134.47000000027</v>
      </c>
      <c r="Q14" s="39">
        <f t="shared" si="10"/>
        <v>28447.887975430182</v>
      </c>
      <c r="R14" s="40">
        <f>SUM([2]裙楼空调用量!L13)</f>
        <v>11</v>
      </c>
      <c r="S14" s="41">
        <f t="shared" si="6"/>
        <v>4863.2800000000007</v>
      </c>
      <c r="T14" s="34">
        <f>SUM('[2]B4 水表'!C16)</f>
        <v>171</v>
      </c>
      <c r="U14" s="42">
        <v>134.12</v>
      </c>
      <c r="V14" s="34">
        <f t="shared" si="7"/>
        <v>305.12</v>
      </c>
      <c r="W14" s="39">
        <f t="shared" si="8"/>
        <v>1482.8832000000002</v>
      </c>
      <c r="X14" s="43">
        <f t="shared" si="9"/>
        <v>43530.621175430177</v>
      </c>
    </row>
    <row r="15" spans="1:24" s="44" customFormat="1" ht="22.5" customHeight="1" thickBot="1">
      <c r="A15" s="45">
        <v>11</v>
      </c>
      <c r="B15" s="31" t="s">
        <v>43</v>
      </c>
      <c r="C15" s="32">
        <v>1020</v>
      </c>
      <c r="D15" s="33">
        <v>89.83</v>
      </c>
      <c r="E15" s="34">
        <f>SUM([2]厨房燃气!BH17)</f>
        <v>737</v>
      </c>
      <c r="F15" s="35">
        <f t="shared" si="1"/>
        <v>2911.15</v>
      </c>
      <c r="G15" s="34">
        <f>SUM('[2]B1 &amp; 102F 锅炉房'!C17)</f>
        <v>1545</v>
      </c>
      <c r="H15" s="36">
        <f t="shared" si="2"/>
        <v>6102.75</v>
      </c>
      <c r="I15" s="37">
        <f>SUM('[2]B1 &amp; 102F 锅炉房'!G17)</f>
        <v>1136</v>
      </c>
      <c r="J15" s="38">
        <f t="shared" si="3"/>
        <v>4487.2</v>
      </c>
      <c r="K15" s="34">
        <f t="shared" si="0"/>
        <v>3418</v>
      </c>
      <c r="L15" s="36">
        <f t="shared" si="4"/>
        <v>13501.1</v>
      </c>
      <c r="M15" s="37">
        <f>SUM([2]主塔楼空调用电量!V14)</f>
        <v>6062</v>
      </c>
      <c r="N15" s="37">
        <v>12434.47</v>
      </c>
      <c r="O15" s="34">
        <f>SUM('[2]68F 高压F13&amp;F30'!F17)</f>
        <v>29400.000000000546</v>
      </c>
      <c r="P15" s="34">
        <f t="shared" si="5"/>
        <v>41834.470000000547</v>
      </c>
      <c r="Q15" s="39">
        <f t="shared" si="10"/>
        <v>28245.337275430371</v>
      </c>
      <c r="R15" s="40">
        <f>SUM([2]裙楼空调用量!L14)</f>
        <v>11</v>
      </c>
      <c r="S15" s="41">
        <f t="shared" si="6"/>
        <v>4863.2800000000007</v>
      </c>
      <c r="T15" s="34">
        <f>SUM('[2]B4 水表'!C17)</f>
        <v>219</v>
      </c>
      <c r="U15" s="42">
        <v>134.12</v>
      </c>
      <c r="V15" s="34">
        <f t="shared" si="7"/>
        <v>353.12</v>
      </c>
      <c r="W15" s="39">
        <f t="shared" si="8"/>
        <v>1716.1632000000002</v>
      </c>
      <c r="X15" s="43">
        <f t="shared" si="9"/>
        <v>43462.600475430372</v>
      </c>
    </row>
    <row r="16" spans="1:24" s="44" customFormat="1" ht="22.5" customHeight="1" thickBot="1">
      <c r="A16" s="45">
        <v>12</v>
      </c>
      <c r="B16" s="31" t="s">
        <v>43</v>
      </c>
      <c r="C16" s="32">
        <v>1182</v>
      </c>
      <c r="D16" s="33">
        <v>95.06</v>
      </c>
      <c r="E16" s="34">
        <f>SUM([2]厨房燃气!BH18)</f>
        <v>1032</v>
      </c>
      <c r="F16" s="35">
        <f t="shared" si="1"/>
        <v>4076.4</v>
      </c>
      <c r="G16" s="34">
        <f>SUM('[2]B1 &amp; 102F 锅炉房'!C18)</f>
        <v>1587</v>
      </c>
      <c r="H16" s="36">
        <f t="shared" si="2"/>
        <v>6268.6500000000005</v>
      </c>
      <c r="I16" s="37">
        <f>SUM('[2]B1 &amp; 102F 锅炉房'!G18)</f>
        <v>1192</v>
      </c>
      <c r="J16" s="38">
        <f t="shared" si="3"/>
        <v>4708.4000000000005</v>
      </c>
      <c r="K16" s="34">
        <f t="shared" si="0"/>
        <v>3811</v>
      </c>
      <c r="L16" s="36">
        <f t="shared" si="4"/>
        <v>15053.45</v>
      </c>
      <c r="M16" s="37">
        <f>SUM([2]主塔楼空调用电量!V15)</f>
        <v>5944</v>
      </c>
      <c r="N16" s="37">
        <v>12434.47</v>
      </c>
      <c r="O16" s="34">
        <f>SUM('[2]68F 高压F13&amp;F30'!F18)</f>
        <v>30499.999999999545</v>
      </c>
      <c r="P16" s="34">
        <f t="shared" si="5"/>
        <v>42934.469999999543</v>
      </c>
      <c r="Q16" s="39">
        <f t="shared" si="10"/>
        <v>28988.023175429691</v>
      </c>
      <c r="R16" s="40">
        <f>SUM([2]裙楼空调用量!L15)</f>
        <v>24</v>
      </c>
      <c r="S16" s="41">
        <f t="shared" si="6"/>
        <v>8654.86</v>
      </c>
      <c r="T16" s="34">
        <f>SUM('[2]B4 水表'!C18)</f>
        <v>209</v>
      </c>
      <c r="U16" s="42">
        <v>134.12</v>
      </c>
      <c r="V16" s="34">
        <f t="shared" si="7"/>
        <v>343.12</v>
      </c>
      <c r="W16" s="39">
        <f t="shared" si="8"/>
        <v>1667.5632000000001</v>
      </c>
      <c r="X16" s="43">
        <f t="shared" si="9"/>
        <v>45709.036375429692</v>
      </c>
    </row>
    <row r="17" spans="1:24" s="44" customFormat="1" ht="22.5" customHeight="1" thickBot="1">
      <c r="A17" s="45">
        <v>13</v>
      </c>
      <c r="B17" s="31" t="s">
        <v>44</v>
      </c>
      <c r="C17" s="32">
        <v>20</v>
      </c>
      <c r="D17" s="33">
        <v>77.33</v>
      </c>
      <c r="E17" s="34">
        <f>SUM([2]厨房燃气!BH19)</f>
        <v>793</v>
      </c>
      <c r="F17" s="35">
        <f t="shared" si="1"/>
        <v>3132.3500000000004</v>
      </c>
      <c r="G17" s="34">
        <f>SUM('[2]B1 &amp; 102F 锅炉房'!C19)</f>
        <v>1601</v>
      </c>
      <c r="H17" s="36">
        <f t="shared" si="2"/>
        <v>6323.9500000000007</v>
      </c>
      <c r="I17" s="37">
        <f>SUM('[2]B1 &amp; 102F 锅炉房'!G19)</f>
        <v>1273</v>
      </c>
      <c r="J17" s="38">
        <f t="shared" si="3"/>
        <v>5028.3500000000004</v>
      </c>
      <c r="K17" s="34">
        <f t="shared" si="0"/>
        <v>3667</v>
      </c>
      <c r="L17" s="36">
        <f t="shared" si="4"/>
        <v>14484.650000000001</v>
      </c>
      <c r="M17" s="37">
        <f>SUM([2]主塔楼空调用电量!V16)</f>
        <v>5441</v>
      </c>
      <c r="N17" s="37">
        <v>12434.47</v>
      </c>
      <c r="O17" s="34">
        <f>SUM('[2]68F 高压F13&amp;F30'!F19)</f>
        <v>29600.000000000364</v>
      </c>
      <c r="P17" s="34">
        <f t="shared" si="5"/>
        <v>42034.470000000365</v>
      </c>
      <c r="Q17" s="39">
        <f t="shared" si="10"/>
        <v>28380.371075430248</v>
      </c>
      <c r="R17" s="40">
        <f>SUM([2]裙楼空调用量!L16)</f>
        <v>8</v>
      </c>
      <c r="S17" s="41">
        <f t="shared" si="6"/>
        <v>3988.3</v>
      </c>
      <c r="T17" s="34">
        <f>SUM('[2]B4 水表'!C19)</f>
        <v>154</v>
      </c>
      <c r="U17" s="42">
        <v>134.12</v>
      </c>
      <c r="V17" s="34">
        <f t="shared" si="7"/>
        <v>288.12</v>
      </c>
      <c r="W17" s="39">
        <f t="shared" si="8"/>
        <v>1400.2632000000001</v>
      </c>
      <c r="X17" s="43">
        <f t="shared" si="9"/>
        <v>44265.284275430255</v>
      </c>
    </row>
    <row r="18" spans="1:24" s="44" customFormat="1" ht="22.5" customHeight="1" thickBot="1">
      <c r="A18" s="45">
        <v>14</v>
      </c>
      <c r="B18" s="31" t="s">
        <v>45</v>
      </c>
      <c r="C18" s="32">
        <v>220</v>
      </c>
      <c r="D18" s="33">
        <v>80.83</v>
      </c>
      <c r="E18" s="34">
        <f>SUM([2]厨房燃气!BH20)</f>
        <v>553</v>
      </c>
      <c r="F18" s="35">
        <f t="shared" si="1"/>
        <v>2184.35</v>
      </c>
      <c r="G18" s="34">
        <f>SUM('[2]B1 &amp; 102F 锅炉房'!C20)</f>
        <v>1536</v>
      </c>
      <c r="H18" s="36">
        <f t="shared" si="2"/>
        <v>6067.2000000000007</v>
      </c>
      <c r="I18" s="37">
        <f>SUM('[2]B1 &amp; 102F 锅炉房'!G20)</f>
        <v>1364</v>
      </c>
      <c r="J18" s="38">
        <f t="shared" si="3"/>
        <v>5387.8</v>
      </c>
      <c r="K18" s="34">
        <f t="shared" si="0"/>
        <v>3453</v>
      </c>
      <c r="L18" s="36">
        <f t="shared" si="4"/>
        <v>13639.35</v>
      </c>
      <c r="M18" s="37">
        <f>SUM([2]主塔楼空调用电量!V17)</f>
        <v>4807</v>
      </c>
      <c r="N18" s="37">
        <v>12434.47</v>
      </c>
      <c r="O18" s="34">
        <f>SUM('[2]68F 高压F13&amp;F30'!F20)</f>
        <v>27599.999999999909</v>
      </c>
      <c r="P18" s="34">
        <f t="shared" si="5"/>
        <v>40034.469999999907</v>
      </c>
      <c r="Q18" s="39">
        <f t="shared" si="10"/>
        <v>27030.033075429939</v>
      </c>
      <c r="R18" s="40">
        <f>SUM([2]裙楼空调用量!L17)</f>
        <v>3</v>
      </c>
      <c r="S18" s="41">
        <f t="shared" si="6"/>
        <v>2530</v>
      </c>
      <c r="T18" s="34">
        <f>SUM('[2]B4 水表'!C20)</f>
        <v>170</v>
      </c>
      <c r="U18" s="42">
        <v>134.12</v>
      </c>
      <c r="V18" s="34">
        <f t="shared" si="7"/>
        <v>304.12</v>
      </c>
      <c r="W18" s="39">
        <f t="shared" si="8"/>
        <v>1478.0232000000001</v>
      </c>
      <c r="X18" s="43">
        <f t="shared" si="9"/>
        <v>42147.406275429945</v>
      </c>
    </row>
    <row r="19" spans="1:24" s="44" customFormat="1" ht="22.5" customHeight="1" thickBot="1">
      <c r="A19" s="45">
        <v>15</v>
      </c>
      <c r="B19" s="31" t="s">
        <v>46</v>
      </c>
      <c r="C19" s="32">
        <v>440</v>
      </c>
      <c r="D19" s="33">
        <v>83.48</v>
      </c>
      <c r="E19" s="34">
        <f>SUM([2]厨房燃气!BH21)</f>
        <v>624</v>
      </c>
      <c r="F19" s="35">
        <f t="shared" si="1"/>
        <v>2464.8000000000002</v>
      </c>
      <c r="G19" s="34">
        <f>SUM('[2]B1 &amp; 102F 锅炉房'!C21)</f>
        <v>1602</v>
      </c>
      <c r="H19" s="36">
        <f t="shared" si="2"/>
        <v>6327.9000000000005</v>
      </c>
      <c r="I19" s="37">
        <f>SUM('[2]B1 &amp; 102F 锅炉房'!G21)</f>
        <v>1551</v>
      </c>
      <c r="J19" s="38">
        <f t="shared" si="3"/>
        <v>6126.4500000000007</v>
      </c>
      <c r="K19" s="34">
        <f t="shared" si="0"/>
        <v>3777</v>
      </c>
      <c r="L19" s="36">
        <f t="shared" si="4"/>
        <v>14919.150000000001</v>
      </c>
      <c r="M19" s="37">
        <f>SUM([2]主塔楼空调用电量!V18)</f>
        <v>3689</v>
      </c>
      <c r="N19" s="37">
        <v>12434.47</v>
      </c>
      <c r="O19" s="34">
        <f>SUM('[2]68F 高压F13&amp;F30'!F21)</f>
        <v>26700.000000000728</v>
      </c>
      <c r="P19" s="34">
        <f t="shared" si="5"/>
        <v>39134.470000000729</v>
      </c>
      <c r="Q19" s="39">
        <f t="shared" si="10"/>
        <v>26422.380975430493</v>
      </c>
      <c r="R19" s="40">
        <f>SUM([2]裙楼空调用量!L18)</f>
        <v>5</v>
      </c>
      <c r="S19" s="41">
        <f t="shared" si="6"/>
        <v>3113.32</v>
      </c>
      <c r="T19" s="34">
        <f>SUM('[2]B4 水表'!C21)</f>
        <v>148</v>
      </c>
      <c r="U19" s="42">
        <v>134.12</v>
      </c>
      <c r="V19" s="34">
        <f t="shared" si="7"/>
        <v>282.12</v>
      </c>
      <c r="W19" s="39">
        <f t="shared" si="8"/>
        <v>1371.1032</v>
      </c>
      <c r="X19" s="43">
        <f t="shared" si="9"/>
        <v>42712.634175430489</v>
      </c>
    </row>
    <row r="20" spans="1:24" s="44" customFormat="1" ht="22.5" customHeight="1" thickBot="1">
      <c r="A20" s="45">
        <v>16</v>
      </c>
      <c r="B20" s="31" t="s">
        <v>47</v>
      </c>
      <c r="C20" s="32">
        <v>128</v>
      </c>
      <c r="D20" s="33">
        <v>88.2</v>
      </c>
      <c r="E20" s="34">
        <f>SUM([2]厨房燃气!BH22)</f>
        <v>681</v>
      </c>
      <c r="F20" s="35">
        <f t="shared" si="1"/>
        <v>2689.9500000000003</v>
      </c>
      <c r="G20" s="34">
        <f>SUM('[2]B1 &amp; 102F 锅炉房'!C22)</f>
        <v>1456</v>
      </c>
      <c r="H20" s="36">
        <f t="shared" si="2"/>
        <v>5751.2</v>
      </c>
      <c r="I20" s="37">
        <f>SUM('[2]B1 &amp; 102F 锅炉房'!G22)</f>
        <v>1575</v>
      </c>
      <c r="J20" s="38">
        <f t="shared" si="3"/>
        <v>6221.25</v>
      </c>
      <c r="K20" s="34">
        <f t="shared" si="0"/>
        <v>3712</v>
      </c>
      <c r="L20" s="36">
        <f t="shared" si="4"/>
        <v>14662.400000000001</v>
      </c>
      <c r="M20" s="37">
        <f>SUM([2]主塔楼空调用电量!V19)</f>
        <v>3932</v>
      </c>
      <c r="N20" s="37">
        <v>12434.47</v>
      </c>
      <c r="O20" s="34">
        <f>SUM('[2]68F 高压F13&amp;F30'!F22)</f>
        <v>27100.000000000364</v>
      </c>
      <c r="P20" s="34">
        <f t="shared" si="5"/>
        <v>39534.470000000365</v>
      </c>
      <c r="Q20" s="39">
        <f t="shared" si="10"/>
        <v>26692.448575430248</v>
      </c>
      <c r="R20" s="40">
        <f>SUM([2]裙楼空调用量!L19)</f>
        <v>5</v>
      </c>
      <c r="S20" s="41">
        <f t="shared" si="6"/>
        <v>3113.32</v>
      </c>
      <c r="T20" s="34">
        <f>SUM('[2]B4 水表'!C22)</f>
        <v>147</v>
      </c>
      <c r="U20" s="42">
        <v>134.12</v>
      </c>
      <c r="V20" s="34">
        <f t="shared" si="7"/>
        <v>281.12</v>
      </c>
      <c r="W20" s="39">
        <f t="shared" si="8"/>
        <v>1366.2432000000001</v>
      </c>
      <c r="X20" s="43">
        <f t="shared" si="9"/>
        <v>42721.09177543025</v>
      </c>
    </row>
    <row r="21" spans="1:24" s="44" customFormat="1" ht="22.5" customHeight="1" thickBot="1">
      <c r="A21" s="45">
        <v>17</v>
      </c>
      <c r="B21" s="31" t="s">
        <v>48</v>
      </c>
      <c r="C21" s="32">
        <v>785</v>
      </c>
      <c r="D21" s="33">
        <v>93.6</v>
      </c>
      <c r="E21" s="34">
        <f>SUM([2]厨房燃气!BH23)</f>
        <v>624</v>
      </c>
      <c r="F21" s="35">
        <f t="shared" si="1"/>
        <v>2464.8000000000002</v>
      </c>
      <c r="G21" s="34">
        <f>SUM('[2]B1 &amp; 102F 锅炉房'!C23)</f>
        <v>1584</v>
      </c>
      <c r="H21" s="36">
        <f t="shared" si="2"/>
        <v>6256.8</v>
      </c>
      <c r="I21" s="37">
        <f>SUM('[2]B1 &amp; 102F 锅炉房'!G23)</f>
        <v>1348</v>
      </c>
      <c r="J21" s="38">
        <f t="shared" si="3"/>
        <v>5324.6</v>
      </c>
      <c r="K21" s="34">
        <f>SUM(E21+G21+I21)</f>
        <v>3556</v>
      </c>
      <c r="L21" s="36">
        <f t="shared" si="4"/>
        <v>14046.2</v>
      </c>
      <c r="M21" s="37">
        <f>SUM([2]主塔楼空调用电量!V20)</f>
        <v>3655</v>
      </c>
      <c r="N21" s="37">
        <v>12434.47</v>
      </c>
      <c r="O21" s="34">
        <f>SUM('[2]68F 高压F13&amp;F30'!F23)</f>
        <v>26399.999999998727</v>
      </c>
      <c r="P21" s="34">
        <f t="shared" si="5"/>
        <v>38834.469999998728</v>
      </c>
      <c r="Q21" s="39">
        <f t="shared" si="10"/>
        <v>26219.830275429144</v>
      </c>
      <c r="R21" s="40">
        <f>SUM([2]裙楼空调用量!L20)</f>
        <v>6</v>
      </c>
      <c r="S21" s="41">
        <f t="shared" si="6"/>
        <v>3404.98</v>
      </c>
      <c r="T21" s="34">
        <f>SUM('[2]B4 水表'!C23)</f>
        <v>153</v>
      </c>
      <c r="U21" s="42">
        <v>134.12</v>
      </c>
      <c r="V21" s="34">
        <f t="shared" si="7"/>
        <v>287.12</v>
      </c>
      <c r="W21" s="39">
        <f t="shared" si="8"/>
        <v>1395.4032000000002</v>
      </c>
      <c r="X21" s="43">
        <f t="shared" si="9"/>
        <v>41661.433475429149</v>
      </c>
    </row>
    <row r="22" spans="1:24" s="44" customFormat="1" ht="22.5" customHeight="1" thickBot="1">
      <c r="A22" s="45">
        <v>18</v>
      </c>
      <c r="B22" s="31" t="s">
        <v>49</v>
      </c>
      <c r="C22" s="32">
        <v>1987</v>
      </c>
      <c r="D22" s="33">
        <v>87.5</v>
      </c>
      <c r="E22" s="34">
        <f>SUM([2]厨房燃气!BH24)</f>
        <v>772</v>
      </c>
      <c r="F22" s="35">
        <f t="shared" si="1"/>
        <v>3049.4</v>
      </c>
      <c r="G22" s="34">
        <f>SUM('[2]B1 &amp; 102F 锅炉房'!C24)</f>
        <v>1718</v>
      </c>
      <c r="H22" s="36">
        <f t="shared" si="2"/>
        <v>6786.1</v>
      </c>
      <c r="I22" s="37">
        <f>SUM('[2]B1 &amp; 102F 锅炉房'!G24)</f>
        <v>1955</v>
      </c>
      <c r="J22" s="38">
        <f t="shared" si="3"/>
        <v>7722.25</v>
      </c>
      <c r="K22" s="34">
        <f t="shared" si="0"/>
        <v>4445</v>
      </c>
      <c r="L22" s="36">
        <f t="shared" si="4"/>
        <v>17557.75</v>
      </c>
      <c r="M22" s="37">
        <f>SUM([2]主塔楼空调用电量!V21)</f>
        <v>4152</v>
      </c>
      <c r="N22" s="37">
        <v>12434.47</v>
      </c>
      <c r="O22" s="34">
        <f>SUM('[2]68F 高压F13&amp;F30'!F24)</f>
        <v>27799.999999999727</v>
      </c>
      <c r="P22" s="34">
        <f t="shared" si="5"/>
        <v>40234.469999999725</v>
      </c>
      <c r="Q22" s="39">
        <f t="shared" si="10"/>
        <v>27165.066875429813</v>
      </c>
      <c r="R22" s="40">
        <f>SUM([2]裙楼空调用量!L21)</f>
        <v>8</v>
      </c>
      <c r="S22" s="41">
        <f t="shared" si="6"/>
        <v>3988.3</v>
      </c>
      <c r="T22" s="34">
        <f>SUM('[2]B4 水表'!C24)</f>
        <v>150</v>
      </c>
      <c r="U22" s="42">
        <v>134.12</v>
      </c>
      <c r="V22" s="34">
        <f t="shared" si="7"/>
        <v>284.12</v>
      </c>
      <c r="W22" s="39">
        <f t="shared" si="8"/>
        <v>1380.8232</v>
      </c>
      <c r="X22" s="43">
        <f t="shared" si="9"/>
        <v>46103.640075429808</v>
      </c>
    </row>
    <row r="23" spans="1:24" s="44" customFormat="1" ht="22.5" customHeight="1" thickBot="1">
      <c r="A23" s="45">
        <v>19</v>
      </c>
      <c r="B23" s="31" t="s">
        <v>50</v>
      </c>
      <c r="C23" s="32">
        <v>786</v>
      </c>
      <c r="D23" s="33">
        <v>87.5</v>
      </c>
      <c r="E23" s="34">
        <f>SUM([2]厨房燃气!BH25)</f>
        <v>816</v>
      </c>
      <c r="F23" s="35">
        <f t="shared" si="1"/>
        <v>3223.2000000000003</v>
      </c>
      <c r="G23" s="34">
        <f>SUM('[2]B1 &amp; 102F 锅炉房'!C25)</f>
        <v>1645</v>
      </c>
      <c r="H23" s="36">
        <f t="shared" si="2"/>
        <v>6497.75</v>
      </c>
      <c r="I23" s="37">
        <f>SUM('[2]B1 &amp; 102F 锅炉房'!G25)</f>
        <v>1708</v>
      </c>
      <c r="J23" s="38">
        <f t="shared" si="3"/>
        <v>6746.6</v>
      </c>
      <c r="K23" s="34">
        <f t="shared" si="0"/>
        <v>4169</v>
      </c>
      <c r="L23" s="36">
        <f t="shared" si="4"/>
        <v>16467.55</v>
      </c>
      <c r="M23" s="37">
        <f>SUM([2]主塔楼空调用电量!V22)</f>
        <v>3302</v>
      </c>
      <c r="N23" s="37">
        <v>12434.47</v>
      </c>
      <c r="O23" s="34">
        <f>SUM('[2]68F 高压F13&amp;F30'!F25)</f>
        <v>27599.999999999909</v>
      </c>
      <c r="P23" s="34">
        <f t="shared" si="5"/>
        <v>40034.469999999907</v>
      </c>
      <c r="Q23" s="39">
        <f t="shared" si="10"/>
        <v>27030.033075429939</v>
      </c>
      <c r="R23" s="40">
        <f>SUM([2]裙楼空调用量!L22)</f>
        <v>5</v>
      </c>
      <c r="S23" s="41">
        <f t="shared" si="6"/>
        <v>3113.32</v>
      </c>
      <c r="T23" s="34">
        <f>SUM('[2]B4 水表'!C25)</f>
        <v>160</v>
      </c>
      <c r="U23" s="42">
        <v>134.12</v>
      </c>
      <c r="V23" s="34">
        <f t="shared" si="7"/>
        <v>294.12</v>
      </c>
      <c r="W23" s="39">
        <f t="shared" si="8"/>
        <v>1429.4232000000002</v>
      </c>
      <c r="X23" s="43">
        <f t="shared" si="9"/>
        <v>44927.006275429936</v>
      </c>
    </row>
    <row r="24" spans="1:24" s="44" customFormat="1" ht="22.5" customHeight="1" thickBot="1">
      <c r="A24" s="45">
        <v>20</v>
      </c>
      <c r="B24" s="31" t="s">
        <v>37</v>
      </c>
      <c r="C24" s="32">
        <v>1121</v>
      </c>
      <c r="D24" s="33">
        <v>73.260000000000005</v>
      </c>
      <c r="E24" s="34">
        <f>SUM([2]厨房燃气!BH26)</f>
        <v>708</v>
      </c>
      <c r="F24" s="35">
        <f t="shared" si="1"/>
        <v>2796.6</v>
      </c>
      <c r="G24" s="34">
        <f>SUM('[2]B1 &amp; 102F 锅炉房'!C26)</f>
        <v>1673</v>
      </c>
      <c r="H24" s="36">
        <f t="shared" si="2"/>
        <v>6608.35</v>
      </c>
      <c r="I24" s="37">
        <f>SUM('[2]B1 &amp; 102F 锅炉房'!G26)</f>
        <v>1659</v>
      </c>
      <c r="J24" s="38">
        <f t="shared" si="3"/>
        <v>6553.05</v>
      </c>
      <c r="K24" s="34">
        <f t="shared" si="0"/>
        <v>4040</v>
      </c>
      <c r="L24" s="36">
        <f t="shared" si="4"/>
        <v>15958</v>
      </c>
      <c r="M24" s="37">
        <f>SUM([2]主塔楼空调用电量!V23)</f>
        <v>3620</v>
      </c>
      <c r="N24" s="37">
        <v>12434.47</v>
      </c>
      <c r="O24" s="34">
        <f>SUM('[2]68F 高压F13&amp;F30'!F26)</f>
        <v>27400.000000000091</v>
      </c>
      <c r="P24" s="34">
        <f t="shared" si="5"/>
        <v>39834.470000000088</v>
      </c>
      <c r="Q24" s="39">
        <f t="shared" si="10"/>
        <v>26894.999275430062</v>
      </c>
      <c r="R24" s="40">
        <f>SUM([2]裙楼空调用量!L23)</f>
        <v>5</v>
      </c>
      <c r="S24" s="41">
        <f t="shared" si="6"/>
        <v>3113.32</v>
      </c>
      <c r="T24" s="34">
        <f>SUM('[2]B4 水表'!C26)</f>
        <v>238</v>
      </c>
      <c r="U24" s="42">
        <v>134.12</v>
      </c>
      <c r="V24" s="34">
        <f t="shared" si="7"/>
        <v>372.12</v>
      </c>
      <c r="W24" s="39">
        <f t="shared" si="8"/>
        <v>1808.5032000000001</v>
      </c>
      <c r="X24" s="43">
        <f t="shared" si="9"/>
        <v>44661.502475430061</v>
      </c>
    </row>
    <row r="25" spans="1:24" s="44" customFormat="1" ht="22.5" customHeight="1" thickBot="1">
      <c r="A25" s="45">
        <v>21</v>
      </c>
      <c r="B25" s="31" t="s">
        <v>51</v>
      </c>
      <c r="C25" s="32">
        <v>147</v>
      </c>
      <c r="D25" s="33">
        <v>88.95</v>
      </c>
      <c r="E25" s="34">
        <f>SUM([2]厨房燃气!BH27)</f>
        <v>815</v>
      </c>
      <c r="F25" s="35">
        <f t="shared" si="1"/>
        <v>3219.25</v>
      </c>
      <c r="G25" s="34">
        <f>SUM('[2]B1 &amp; 102F 锅炉房'!C27)</f>
        <v>1588</v>
      </c>
      <c r="H25" s="36">
        <f t="shared" si="2"/>
        <v>6272.6</v>
      </c>
      <c r="I25" s="37">
        <f>SUM('[2]B1 &amp; 102F 锅炉房'!G27)</f>
        <v>1533</v>
      </c>
      <c r="J25" s="38">
        <f t="shared" si="3"/>
        <v>6055.35</v>
      </c>
      <c r="K25" s="34">
        <f t="shared" si="0"/>
        <v>3936</v>
      </c>
      <c r="L25" s="36">
        <f t="shared" si="4"/>
        <v>15547.2</v>
      </c>
      <c r="M25" s="37">
        <f>SUM([2]主塔楼空调用电量!V24)</f>
        <v>3762</v>
      </c>
      <c r="N25" s="37">
        <v>12434.47</v>
      </c>
      <c r="O25" s="34">
        <f>SUM('[2]68F 高压F13&amp;F30'!F27)</f>
        <v>30300.000000002001</v>
      </c>
      <c r="P25" s="34">
        <f t="shared" si="5"/>
        <v>42734.470000002002</v>
      </c>
      <c r="Q25" s="39">
        <f t="shared" si="10"/>
        <v>28852.989375431353</v>
      </c>
      <c r="R25" s="40">
        <f>SUM([2]裙楼空调用量!L24)</f>
        <v>8</v>
      </c>
      <c r="S25" s="41">
        <f t="shared" si="6"/>
        <v>3988.3</v>
      </c>
      <c r="T25" s="34">
        <f>SUM('[2]B4 水表'!C27)</f>
        <v>132</v>
      </c>
      <c r="U25" s="42">
        <v>134.12</v>
      </c>
      <c r="V25" s="34">
        <f t="shared" si="7"/>
        <v>266.12</v>
      </c>
      <c r="W25" s="39">
        <f t="shared" si="8"/>
        <v>1293.3432</v>
      </c>
      <c r="X25" s="43">
        <f t="shared" si="9"/>
        <v>45693.532575431353</v>
      </c>
    </row>
    <row r="26" spans="1:24" s="44" customFormat="1" ht="22.5" customHeight="1" thickBot="1">
      <c r="A26" s="45">
        <v>22</v>
      </c>
      <c r="B26" s="31" t="s">
        <v>52</v>
      </c>
      <c r="C26" s="32">
        <v>224</v>
      </c>
      <c r="D26" s="33">
        <v>77.03</v>
      </c>
      <c r="E26" s="34">
        <f>SUM([2]厨房燃气!BH28)</f>
        <v>547</v>
      </c>
      <c r="F26" s="35">
        <f t="shared" si="1"/>
        <v>2160.65</v>
      </c>
      <c r="G26" s="34">
        <f>SUM('[2]B1 &amp; 102F 锅炉房'!C28)</f>
        <v>1592</v>
      </c>
      <c r="H26" s="36">
        <f t="shared" si="2"/>
        <v>6288.4000000000005</v>
      </c>
      <c r="I26" s="37">
        <f>SUM('[2]B1 &amp; 102F 锅炉房'!G28)</f>
        <v>1496</v>
      </c>
      <c r="J26" s="38">
        <f t="shared" si="3"/>
        <v>5909.2</v>
      </c>
      <c r="K26" s="34">
        <f t="shared" si="0"/>
        <v>3635</v>
      </c>
      <c r="L26" s="36">
        <f t="shared" si="4"/>
        <v>14358.25</v>
      </c>
      <c r="M26" s="37">
        <f>SUM([2]主塔楼空调用电量!V25)</f>
        <v>4638</v>
      </c>
      <c r="N26" s="37">
        <v>12434.47</v>
      </c>
      <c r="O26" s="34">
        <f>SUM('[2]68F 高压F13&amp;F30'!F28)</f>
        <v>23999.999999998636</v>
      </c>
      <c r="P26" s="34">
        <f t="shared" si="5"/>
        <v>36434.469999998633</v>
      </c>
      <c r="Q26" s="39">
        <f t="shared" si="10"/>
        <v>24599.424675429076</v>
      </c>
      <c r="R26" s="40">
        <f>SUM([2]裙楼空调用量!L25)</f>
        <v>5</v>
      </c>
      <c r="S26" s="41">
        <f t="shared" si="6"/>
        <v>3113.32</v>
      </c>
      <c r="T26" s="34">
        <f>SUM('[2]B4 水表'!C28)</f>
        <v>150</v>
      </c>
      <c r="U26" s="42">
        <v>134.12</v>
      </c>
      <c r="V26" s="34">
        <f t="shared" si="7"/>
        <v>284.12</v>
      </c>
      <c r="W26" s="39">
        <f t="shared" si="8"/>
        <v>1380.8232</v>
      </c>
      <c r="X26" s="43">
        <f t="shared" si="9"/>
        <v>40338.497875429079</v>
      </c>
    </row>
    <row r="27" spans="1:24" s="44" customFormat="1" ht="22.5" customHeight="1" thickBot="1">
      <c r="A27" s="45">
        <v>23</v>
      </c>
      <c r="B27" s="31" t="s">
        <v>33</v>
      </c>
      <c r="C27" s="32">
        <v>326</v>
      </c>
      <c r="D27" s="33">
        <v>75.87</v>
      </c>
      <c r="E27" s="34">
        <f>SUM([2]厨房燃气!BH29)</f>
        <v>641</v>
      </c>
      <c r="F27" s="35">
        <f t="shared" si="1"/>
        <v>2531.9500000000003</v>
      </c>
      <c r="G27" s="34">
        <f>SUM('[2]B1 &amp; 102F 锅炉房'!C29)</f>
        <v>1569</v>
      </c>
      <c r="H27" s="36">
        <f t="shared" si="2"/>
        <v>6197.55</v>
      </c>
      <c r="I27" s="37">
        <f>SUM('[2]B1 &amp; 102F 锅炉房'!G29)</f>
        <v>1351</v>
      </c>
      <c r="J27" s="38">
        <f t="shared" si="3"/>
        <v>5336.45</v>
      </c>
      <c r="K27" s="34">
        <f t="shared" si="0"/>
        <v>3561</v>
      </c>
      <c r="L27" s="36">
        <f t="shared" si="4"/>
        <v>14065.95</v>
      </c>
      <c r="M27" s="37">
        <f>SUM([2]主塔楼空调用电量!V26)</f>
        <v>5329</v>
      </c>
      <c r="N27" s="37">
        <v>12434.47</v>
      </c>
      <c r="O27" s="34">
        <f>SUM('[2]68F 高压F13&amp;F30'!F29)</f>
        <v>28800.000000001091</v>
      </c>
      <c r="P27" s="34">
        <f t="shared" si="5"/>
        <v>41234.470000001093</v>
      </c>
      <c r="Q27" s="39">
        <f t="shared" si="10"/>
        <v>27840.235875430739</v>
      </c>
      <c r="R27" s="40">
        <f>SUM([2]裙楼空调用量!L26)</f>
        <v>7</v>
      </c>
      <c r="S27" s="41">
        <f t="shared" si="6"/>
        <v>3696.6400000000003</v>
      </c>
      <c r="T27" s="34">
        <f>SUM('[2]B4 水表'!C29)</f>
        <v>180</v>
      </c>
      <c r="U27" s="42">
        <v>134.12</v>
      </c>
      <c r="V27" s="34">
        <f t="shared" si="7"/>
        <v>314.12</v>
      </c>
      <c r="W27" s="39">
        <f t="shared" si="8"/>
        <v>1526.6232000000002</v>
      </c>
      <c r="X27" s="43">
        <f t="shared" si="9"/>
        <v>43432.809075430741</v>
      </c>
    </row>
    <row r="28" spans="1:24" s="44" customFormat="1" ht="22.5" customHeight="1" thickBot="1">
      <c r="A28" s="45">
        <v>24</v>
      </c>
      <c r="B28" s="31" t="s">
        <v>53</v>
      </c>
      <c r="C28" s="32">
        <v>238</v>
      </c>
      <c r="D28" s="33">
        <v>86.34</v>
      </c>
      <c r="E28" s="34">
        <f>SUM([2]厨房燃气!BH30)</f>
        <v>759</v>
      </c>
      <c r="F28" s="35">
        <f t="shared" si="1"/>
        <v>2998.05</v>
      </c>
      <c r="G28" s="34">
        <f>SUM('[2]B1 &amp; 102F 锅炉房'!C30)</f>
        <v>1590</v>
      </c>
      <c r="H28" s="36">
        <f t="shared" si="2"/>
        <v>6280.5</v>
      </c>
      <c r="I28" s="37">
        <f>SUM('[2]B1 &amp; 102F 锅炉房'!G30)</f>
        <v>1395</v>
      </c>
      <c r="J28" s="38">
        <f t="shared" si="3"/>
        <v>5510.25</v>
      </c>
      <c r="K28" s="34">
        <f t="shared" si="0"/>
        <v>3744</v>
      </c>
      <c r="L28" s="36">
        <f t="shared" si="4"/>
        <v>14788.800000000001</v>
      </c>
      <c r="M28" s="37">
        <f>SUM([2]主塔楼空调用电量!V27)</f>
        <v>5512</v>
      </c>
      <c r="N28" s="37">
        <v>12434.47</v>
      </c>
      <c r="O28" s="34">
        <f>SUM('[2]68F 高压F13&amp;F30'!F30)</f>
        <v>30099.999999999909</v>
      </c>
      <c r="P28" s="34">
        <f t="shared" si="5"/>
        <v>42534.469999999907</v>
      </c>
      <c r="Q28" s="39">
        <f t="shared" si="10"/>
        <v>28717.955575429936</v>
      </c>
      <c r="R28" s="40">
        <f>SUM([2]裙楼空调用量!L27)</f>
        <v>8</v>
      </c>
      <c r="S28" s="41">
        <f t="shared" si="6"/>
        <v>3988.3</v>
      </c>
      <c r="T28" s="34">
        <f>SUM('[2]B4 水表'!C30)</f>
        <v>209</v>
      </c>
      <c r="U28" s="42">
        <v>134.12</v>
      </c>
      <c r="V28" s="34">
        <f t="shared" si="7"/>
        <v>343.12</v>
      </c>
      <c r="W28" s="39">
        <f t="shared" si="8"/>
        <v>1667.5632000000001</v>
      </c>
      <c r="X28" s="43">
        <f t="shared" si="9"/>
        <v>45174.318775429936</v>
      </c>
    </row>
    <row r="29" spans="1:24" s="44" customFormat="1" ht="22.5" customHeight="1" thickBot="1">
      <c r="A29" s="45">
        <v>25</v>
      </c>
      <c r="B29" s="31" t="s">
        <v>54</v>
      </c>
      <c r="C29" s="32">
        <v>656</v>
      </c>
      <c r="D29" s="33">
        <v>87.21</v>
      </c>
      <c r="E29" s="34">
        <f>SUM([2]厨房燃气!BH31)</f>
        <v>826</v>
      </c>
      <c r="F29" s="35">
        <f t="shared" si="1"/>
        <v>3262.7000000000003</v>
      </c>
      <c r="G29" s="34">
        <f>SUM('[2]B1 &amp; 102F 锅炉房'!C31)</f>
        <v>1558</v>
      </c>
      <c r="H29" s="36">
        <f t="shared" si="2"/>
        <v>6154.1</v>
      </c>
      <c r="I29" s="37">
        <f>SUM('[2]B1 &amp; 102F 锅炉房'!G31)</f>
        <v>1507</v>
      </c>
      <c r="J29" s="38">
        <f t="shared" si="3"/>
        <v>5952.6500000000005</v>
      </c>
      <c r="K29" s="34">
        <f>SUM(I29+G29+E29)</f>
        <v>3891</v>
      </c>
      <c r="L29" s="36">
        <f t="shared" si="4"/>
        <v>15369.45</v>
      </c>
      <c r="M29" s="37">
        <f>SUM([2]主塔楼空调用电量!V28)</f>
        <v>4503</v>
      </c>
      <c r="N29" s="37">
        <v>12434.47</v>
      </c>
      <c r="O29" s="34">
        <f>SUM('[2]68F 高压F13&amp;F30'!F31)</f>
        <v>29100.000000000819</v>
      </c>
      <c r="P29" s="34">
        <f t="shared" si="5"/>
        <v>41534.470000000816</v>
      </c>
      <c r="Q29" s="39">
        <f t="shared" si="10"/>
        <v>28042.786575430553</v>
      </c>
      <c r="R29" s="40">
        <f>SUM([2]裙楼空调用量!L28)</f>
        <v>9</v>
      </c>
      <c r="S29" s="41">
        <f t="shared" si="6"/>
        <v>4279.96</v>
      </c>
      <c r="T29" s="34">
        <f>SUM('[2]B4 水表'!C31)</f>
        <v>193</v>
      </c>
      <c r="U29" s="42">
        <v>134.12</v>
      </c>
      <c r="V29" s="34">
        <f t="shared" si="7"/>
        <v>327.12</v>
      </c>
      <c r="W29" s="39">
        <f t="shared" si="8"/>
        <v>1589.8032000000001</v>
      </c>
      <c r="X29" s="43">
        <f t="shared" si="9"/>
        <v>45002.039775430552</v>
      </c>
    </row>
    <row r="30" spans="1:24" s="44" customFormat="1" ht="22.5" customHeight="1" thickBot="1">
      <c r="A30" s="45">
        <v>26</v>
      </c>
      <c r="B30" s="31" t="s">
        <v>55</v>
      </c>
      <c r="C30" s="32">
        <v>402</v>
      </c>
      <c r="D30" s="33">
        <v>91.28</v>
      </c>
      <c r="E30" s="34">
        <f>SUM([2]厨房燃气!BH32)</f>
        <v>814</v>
      </c>
      <c r="F30" s="35">
        <f t="shared" si="1"/>
        <v>3215.3</v>
      </c>
      <c r="G30" s="34">
        <f>SUM('[2]B1 &amp; 102F 锅炉房'!C32)</f>
        <v>1591</v>
      </c>
      <c r="H30" s="36">
        <f t="shared" si="2"/>
        <v>6284.4500000000007</v>
      </c>
      <c r="I30" s="37">
        <f>SUM('[2]B1 &amp; 102F 锅炉房'!G32)</f>
        <v>1469</v>
      </c>
      <c r="J30" s="38">
        <f t="shared" si="3"/>
        <v>5802.55</v>
      </c>
      <c r="K30" s="34">
        <f t="shared" si="0"/>
        <v>3874</v>
      </c>
      <c r="L30" s="36">
        <f t="shared" si="4"/>
        <v>15302.300000000001</v>
      </c>
      <c r="M30" s="37">
        <f>SUM([2]主塔楼空调用电量!V29)</f>
        <v>4426</v>
      </c>
      <c r="N30" s="37">
        <v>12434.47</v>
      </c>
      <c r="O30" s="34">
        <f>SUM('[2]68F 高压F13&amp;F30'!F32)</f>
        <v>29099.999999998545</v>
      </c>
      <c r="P30" s="34">
        <f t="shared" si="5"/>
        <v>41534.469999998546</v>
      </c>
      <c r="Q30" s="39">
        <f t="shared" si="10"/>
        <v>28042.786575429018</v>
      </c>
      <c r="R30" s="40">
        <f>SUM([2]裙楼空调用量!L29)</f>
        <v>8</v>
      </c>
      <c r="S30" s="41">
        <f t="shared" si="6"/>
        <v>3988.3</v>
      </c>
      <c r="T30" s="34">
        <f>SUM('[2]B4 水表'!C32)</f>
        <v>206</v>
      </c>
      <c r="U30" s="42">
        <v>134.12</v>
      </c>
      <c r="V30" s="34">
        <f t="shared" si="7"/>
        <v>340.12</v>
      </c>
      <c r="W30" s="39">
        <f t="shared" si="8"/>
        <v>1652.9832000000001</v>
      </c>
      <c r="X30" s="43">
        <f t="shared" si="9"/>
        <v>44998.069775429023</v>
      </c>
    </row>
    <row r="31" spans="1:24" s="44" customFormat="1" ht="22.5" customHeight="1" thickBot="1">
      <c r="A31" s="45">
        <v>27</v>
      </c>
      <c r="B31" s="31" t="s">
        <v>56</v>
      </c>
      <c r="C31" s="32">
        <v>955</v>
      </c>
      <c r="D31" s="33">
        <v>71.22</v>
      </c>
      <c r="E31" s="34">
        <f>SUM([2]厨房燃气!BH33)</f>
        <v>794</v>
      </c>
      <c r="F31" s="35">
        <f t="shared" si="1"/>
        <v>3136.3</v>
      </c>
      <c r="G31" s="34">
        <f>SUM('[2]B1 &amp; 102F 锅炉房'!C33)</f>
        <v>1599</v>
      </c>
      <c r="H31" s="36">
        <f t="shared" si="2"/>
        <v>6316.05</v>
      </c>
      <c r="I31" s="37">
        <f>SUM('[2]B1 &amp; 102F 锅炉房'!G33)</f>
        <v>1193</v>
      </c>
      <c r="J31" s="38">
        <f t="shared" si="3"/>
        <v>4712.3500000000004</v>
      </c>
      <c r="K31" s="34">
        <f t="shared" si="0"/>
        <v>3586</v>
      </c>
      <c r="L31" s="36">
        <f t="shared" si="4"/>
        <v>14164.7</v>
      </c>
      <c r="M31" s="37">
        <f>SUM([2]主塔楼空调用电量!V30)</f>
        <v>5696</v>
      </c>
      <c r="N31" s="37">
        <v>12434.47</v>
      </c>
      <c r="O31" s="34">
        <f>SUM('[2]68F 高压F13&amp;F30'!F33)</f>
        <v>30299.999999999727</v>
      </c>
      <c r="P31" s="34">
        <f t="shared" si="5"/>
        <v>42734.469999999725</v>
      </c>
      <c r="Q31" s="39">
        <f t="shared" si="10"/>
        <v>28852.989375429814</v>
      </c>
      <c r="R31" s="40">
        <f>SUM([2]裙楼空调用量!L30)</f>
        <v>8</v>
      </c>
      <c r="S31" s="41">
        <f t="shared" si="6"/>
        <v>3988.3</v>
      </c>
      <c r="T31" s="34">
        <f>SUM('[2]B4 水表'!C33)</f>
        <v>188</v>
      </c>
      <c r="U31" s="42">
        <v>134.12</v>
      </c>
      <c r="V31" s="34">
        <f t="shared" si="7"/>
        <v>322.12</v>
      </c>
      <c r="W31" s="39">
        <f t="shared" si="8"/>
        <v>1565.5032000000001</v>
      </c>
      <c r="X31" s="43">
        <f t="shared" si="9"/>
        <v>44583.192575429814</v>
      </c>
    </row>
    <row r="32" spans="1:24" s="44" customFormat="1" ht="22.5" customHeight="1" thickBot="1">
      <c r="A32" s="45">
        <v>28</v>
      </c>
      <c r="B32" s="31" t="s">
        <v>57</v>
      </c>
      <c r="C32" s="32">
        <v>214</v>
      </c>
      <c r="D32" s="33">
        <v>69.77</v>
      </c>
      <c r="E32" s="34">
        <f>SUM([2]厨房燃气!BH34)</f>
        <v>649</v>
      </c>
      <c r="F32" s="35">
        <f t="shared" si="1"/>
        <v>2563.5500000000002</v>
      </c>
      <c r="G32" s="34">
        <f>SUM('[2]B1 &amp; 102F 锅炉房'!C34)</f>
        <v>1637</v>
      </c>
      <c r="H32" s="36">
        <f t="shared" si="2"/>
        <v>6466.1500000000005</v>
      </c>
      <c r="I32" s="37">
        <f>SUM('[2]B1 &amp; 102F 锅炉房'!G34)</f>
        <v>1115</v>
      </c>
      <c r="J32" s="38">
        <f t="shared" si="3"/>
        <v>4404.25</v>
      </c>
      <c r="K32" s="34">
        <f t="shared" si="0"/>
        <v>3401</v>
      </c>
      <c r="L32" s="36">
        <f t="shared" si="4"/>
        <v>13433.95</v>
      </c>
      <c r="M32" s="37">
        <f>SUM([2]主塔楼空调用电量!V31)</f>
        <v>6447</v>
      </c>
      <c r="N32" s="37">
        <v>12434.47</v>
      </c>
      <c r="O32" s="34">
        <f>SUM('[2]68F 高压F13&amp;F30'!F34)</f>
        <v>30299.999999999727</v>
      </c>
      <c r="P32" s="34">
        <f t="shared" si="5"/>
        <v>42734.469999999725</v>
      </c>
      <c r="Q32" s="39">
        <f t="shared" si="10"/>
        <v>28852.989375429814</v>
      </c>
      <c r="R32" s="40">
        <f>SUM([2]裙楼空调用量!L31)</f>
        <v>12</v>
      </c>
      <c r="S32" s="41">
        <f t="shared" si="6"/>
        <v>5154.9400000000005</v>
      </c>
      <c r="T32" s="34">
        <f>SUM('[2]B4 水表'!C34)</f>
        <v>217</v>
      </c>
      <c r="U32" s="42">
        <v>134.12</v>
      </c>
      <c r="V32" s="34">
        <f t="shared" si="7"/>
        <v>351.12</v>
      </c>
      <c r="W32" s="39">
        <f t="shared" si="8"/>
        <v>1706.4432000000002</v>
      </c>
      <c r="X32" s="43">
        <f t="shared" si="9"/>
        <v>43993.382575429816</v>
      </c>
    </row>
    <row r="33" spans="1:24" s="44" customFormat="1" ht="22.5" customHeight="1" thickBot="1">
      <c r="A33" s="45">
        <v>29</v>
      </c>
      <c r="B33" s="31" t="s">
        <v>58</v>
      </c>
      <c r="C33" s="32">
        <v>382</v>
      </c>
      <c r="D33" s="33">
        <v>72.67</v>
      </c>
      <c r="E33" s="34">
        <f>SUM([2]厨房燃气!BH35)</f>
        <v>601</v>
      </c>
      <c r="F33" s="35">
        <f t="shared" si="1"/>
        <v>2373.9500000000003</v>
      </c>
      <c r="G33" s="34">
        <f>SUM('[2]B1 &amp; 102F 锅炉房'!C35)</f>
        <v>1666</v>
      </c>
      <c r="H33" s="36">
        <f t="shared" si="2"/>
        <v>6580.7000000000007</v>
      </c>
      <c r="I33" s="37">
        <f>SUM('[2]B1 &amp; 102F 锅炉房'!G35)</f>
        <v>1177</v>
      </c>
      <c r="J33" s="38">
        <f t="shared" si="3"/>
        <v>4649.1500000000005</v>
      </c>
      <c r="K33" s="34">
        <f t="shared" si="0"/>
        <v>3444</v>
      </c>
      <c r="L33" s="36">
        <f t="shared" si="4"/>
        <v>13603.800000000001</v>
      </c>
      <c r="M33" s="37">
        <f>SUM([2]主塔楼空调用电量!V32)</f>
        <v>7033</v>
      </c>
      <c r="N33" s="37">
        <v>12434.47</v>
      </c>
      <c r="O33" s="34">
        <f>SUM('[2]68F 高压F13&amp;F30'!F35)</f>
        <v>30800.000000001546</v>
      </c>
      <c r="P33" s="34">
        <f t="shared" si="5"/>
        <v>43234.470000001544</v>
      </c>
      <c r="Q33" s="39">
        <f t="shared" si="10"/>
        <v>29190.573875431044</v>
      </c>
      <c r="R33" s="40">
        <f>SUM([2]裙楼空调用量!L32)</f>
        <v>12</v>
      </c>
      <c r="S33" s="41">
        <f t="shared" si="6"/>
        <v>5154.9400000000005</v>
      </c>
      <c r="T33" s="34">
        <f>SUM('[2]B4 水表'!C35)</f>
        <v>163</v>
      </c>
      <c r="U33" s="42">
        <v>134.12</v>
      </c>
      <c r="V33" s="34">
        <f t="shared" si="7"/>
        <v>297.12</v>
      </c>
      <c r="W33" s="39">
        <f t="shared" si="8"/>
        <v>1444.0032000000001</v>
      </c>
      <c r="X33" s="43">
        <f t="shared" si="9"/>
        <v>44238.377075431046</v>
      </c>
    </row>
    <row r="34" spans="1:24" s="44" customFormat="1" ht="22.5" customHeight="1" thickBot="1">
      <c r="A34" s="45">
        <v>30</v>
      </c>
      <c r="B34" s="31" t="s">
        <v>59</v>
      </c>
      <c r="C34" s="32">
        <v>42</v>
      </c>
      <c r="D34" s="33">
        <v>66.08</v>
      </c>
      <c r="E34" s="34">
        <f>SUM([2]厨房燃气!BH36)</f>
        <v>720</v>
      </c>
      <c r="F34" s="35">
        <f t="shared" si="1"/>
        <v>2844</v>
      </c>
      <c r="G34" s="34">
        <f>SUM('[2]B1 &amp; 102F 锅炉房'!C36)</f>
        <v>1674</v>
      </c>
      <c r="H34" s="36">
        <f t="shared" si="2"/>
        <v>6612.3</v>
      </c>
      <c r="I34" s="37">
        <f>SUM('[2]B1 &amp; 102F 锅炉房'!G36)</f>
        <v>1453</v>
      </c>
      <c r="J34" s="38">
        <f t="shared" si="3"/>
        <v>5739.35</v>
      </c>
      <c r="K34" s="34">
        <f>SUM(I34+G34+E34)</f>
        <v>3847</v>
      </c>
      <c r="L34" s="36">
        <f t="shared" si="4"/>
        <v>15195.650000000001</v>
      </c>
      <c r="M34" s="37">
        <f>SUM([2]主塔楼空调用电量!V33)</f>
        <v>3866</v>
      </c>
      <c r="N34" s="37">
        <v>12434.47</v>
      </c>
      <c r="O34" s="34">
        <f>SUM('[2]68F 高压F13&amp;F30'!F36)</f>
        <v>26900.000000000546</v>
      </c>
      <c r="P34" s="34">
        <f t="shared" si="5"/>
        <v>39334.470000000547</v>
      </c>
      <c r="Q34" s="39">
        <f>IF(P34&gt;0,P34*0.675169)</f>
        <v>26557.41477543037</v>
      </c>
      <c r="R34" s="40">
        <f>SUM([2]裙楼空调用量!L33)</f>
        <v>9</v>
      </c>
      <c r="S34" s="41">
        <f t="shared" si="6"/>
        <v>4279.96</v>
      </c>
      <c r="T34" s="34">
        <f>SUM('[2]B4 水表'!C36)</f>
        <v>151</v>
      </c>
      <c r="U34" s="42">
        <v>134.12</v>
      </c>
      <c r="V34" s="34">
        <f t="shared" si="7"/>
        <v>285.12</v>
      </c>
      <c r="W34" s="39">
        <f t="shared" si="8"/>
        <v>1385.6832000000002</v>
      </c>
      <c r="X34" s="43">
        <f t="shared" si="9"/>
        <v>43138.747975430371</v>
      </c>
    </row>
    <row r="35" spans="1:24" s="44" customFormat="1" ht="22.5" customHeight="1">
      <c r="A35" s="45">
        <v>31</v>
      </c>
      <c r="B35" s="31" t="s">
        <v>60</v>
      </c>
      <c r="C35" s="32">
        <v>400</v>
      </c>
      <c r="D35" s="33">
        <v>97.05</v>
      </c>
      <c r="E35" s="34">
        <f>SUM([2]厨房燃气!BH37)</f>
        <v>693</v>
      </c>
      <c r="F35" s="35">
        <f t="shared" si="1"/>
        <v>2737.35</v>
      </c>
      <c r="G35" s="34">
        <f>SUM('[2]B1 &amp; 102F 锅炉房'!C37)</f>
        <v>1675</v>
      </c>
      <c r="H35" s="36">
        <f t="shared" si="2"/>
        <v>6616.25</v>
      </c>
      <c r="I35" s="37">
        <f>SUM('[2]B1 &amp; 102F 锅炉房'!G37)</f>
        <v>1740</v>
      </c>
      <c r="J35" s="38">
        <f t="shared" si="3"/>
        <v>6873</v>
      </c>
      <c r="K35" s="34">
        <f>SUM(I35+G35+E35)</f>
        <v>4108</v>
      </c>
      <c r="L35" s="36">
        <f t="shared" si="4"/>
        <v>16226.6</v>
      </c>
      <c r="M35" s="37">
        <f>SUM([2]主塔楼空调用电量!V34)</f>
        <v>4134</v>
      </c>
      <c r="N35" s="37">
        <v>12434.47</v>
      </c>
      <c r="O35" s="34">
        <f>SUM('[2]68F 高压F13&amp;F30'!F37)</f>
        <v>29599.99999999809</v>
      </c>
      <c r="P35" s="34">
        <f t="shared" si="5"/>
        <v>42034.469999998088</v>
      </c>
      <c r="Q35" s="39">
        <f>IF(P35&gt;0,P35*0.675169)</f>
        <v>28380.371075428709</v>
      </c>
      <c r="R35" s="40">
        <f>SUM([2]裙楼空调用量!L34)</f>
        <v>4</v>
      </c>
      <c r="S35" s="41">
        <f t="shared" si="6"/>
        <v>2821.66</v>
      </c>
      <c r="T35" s="34">
        <f>SUM('[2]B4 水表'!C37)</f>
        <v>174</v>
      </c>
      <c r="U35" s="42">
        <v>134.12</v>
      </c>
      <c r="V35" s="34">
        <f t="shared" si="7"/>
        <v>308.12</v>
      </c>
      <c r="W35" s="39">
        <f t="shared" si="8"/>
        <v>1497.4632000000001</v>
      </c>
      <c r="X35" s="43">
        <f t="shared" si="9"/>
        <v>46104.434275428706</v>
      </c>
    </row>
    <row r="36" spans="1:24" s="44" customFormat="1" ht="22.5" customHeight="1" thickBot="1">
      <c r="A36" s="46" t="s">
        <v>34</v>
      </c>
      <c r="B36" s="31"/>
      <c r="C36" s="32"/>
      <c r="D36" s="33"/>
      <c r="E36" s="47"/>
      <c r="F36" s="48"/>
      <c r="G36" s="47"/>
      <c r="H36" s="49"/>
      <c r="I36" s="50"/>
      <c r="J36" s="51"/>
      <c r="K36" s="52"/>
      <c r="L36" s="49"/>
      <c r="M36" s="50"/>
      <c r="N36" s="50"/>
      <c r="O36" s="50"/>
      <c r="P36" s="47"/>
      <c r="Q36" s="53"/>
      <c r="R36" s="50"/>
      <c r="S36" s="48"/>
      <c r="T36" s="48"/>
      <c r="U36" s="48"/>
      <c r="V36" s="47"/>
      <c r="W36" s="53"/>
      <c r="X36" s="54"/>
    </row>
    <row r="37" spans="1:24" s="44" customFormat="1" ht="23.1" customHeight="1" thickBot="1">
      <c r="A37" s="65" t="s">
        <v>35</v>
      </c>
      <c r="B37" s="66"/>
      <c r="C37" s="66"/>
      <c r="D37" s="66"/>
      <c r="E37" s="55">
        <f t="shared" ref="E37:X37" si="11">SUM(E5:E34)</f>
        <v>21730</v>
      </c>
      <c r="F37" s="55">
        <f t="shared" si="11"/>
        <v>85833.5</v>
      </c>
      <c r="G37" s="55">
        <f>SUM(G5:G34)</f>
        <v>46789</v>
      </c>
      <c r="H37" s="55">
        <f>SUM(H5:H34)</f>
        <v>184816.55</v>
      </c>
      <c r="I37" s="55">
        <f t="shared" si="11"/>
        <v>40223</v>
      </c>
      <c r="J37" s="55">
        <f t="shared" si="11"/>
        <v>158880.85</v>
      </c>
      <c r="K37" s="55">
        <f>SUM(K5:K35)</f>
        <v>112850</v>
      </c>
      <c r="L37" s="55">
        <f t="shared" si="11"/>
        <v>429530.90000000008</v>
      </c>
      <c r="M37" s="55">
        <f t="shared" si="11"/>
        <v>150219</v>
      </c>
      <c r="N37" s="55"/>
      <c r="O37" s="55"/>
      <c r="P37" s="55">
        <f>SUM(P5:P35)</f>
        <v>1271768.570000001</v>
      </c>
      <c r="Q37" s="55">
        <f>SUM(Q5:Q34)</f>
        <v>830278.34256290214</v>
      </c>
      <c r="R37" s="55">
        <f t="shared" si="11"/>
        <v>267</v>
      </c>
      <c r="S37" s="55">
        <f t="shared" si="11"/>
        <v>127523.82000000008</v>
      </c>
      <c r="T37" s="55"/>
      <c r="U37" s="55"/>
      <c r="V37" s="55">
        <f>SUM(V5:V35)</f>
        <v>9488.7200000000012</v>
      </c>
      <c r="W37" s="55">
        <f t="shared" si="11"/>
        <v>44617.716</v>
      </c>
      <c r="X37" s="56">
        <f t="shared" si="11"/>
        <v>1304426.9585629022</v>
      </c>
    </row>
    <row r="38" spans="1:24" ht="19.5" customHeight="1">
      <c r="E38" s="57"/>
      <c r="F38" s="57"/>
      <c r="G38" s="58"/>
      <c r="Q38" s="59"/>
      <c r="W38" s="20"/>
      <c r="X38" s="20"/>
    </row>
    <row r="39" spans="1:24" ht="18.95" customHeight="1">
      <c r="E39" s="60"/>
      <c r="F39" s="57"/>
      <c r="G39" s="58"/>
      <c r="Q39" s="61"/>
      <c r="W39" s="20"/>
      <c r="X39" s="20"/>
    </row>
    <row r="40" spans="1:24" ht="18.95" customHeight="1">
      <c r="E40" s="62"/>
      <c r="Q40" s="61"/>
      <c r="W40" s="20"/>
      <c r="X40" s="20"/>
    </row>
    <row r="41" spans="1:24" ht="18.95" customHeight="1">
      <c r="Q41" s="61"/>
      <c r="W41" s="20"/>
      <c r="X41" s="20"/>
    </row>
    <row r="42" spans="1:24" ht="18.95" customHeight="1">
      <c r="Q42" s="61"/>
      <c r="W42" s="20"/>
      <c r="X42" s="20"/>
    </row>
    <row r="43" spans="1:24" ht="18.95" customHeight="1">
      <c r="Q43" s="61"/>
      <c r="W43" s="20"/>
      <c r="X43" s="20"/>
    </row>
    <row r="44" spans="1:24" ht="18.95" customHeight="1">
      <c r="Q44" s="61"/>
      <c r="W44" s="20"/>
      <c r="X44" s="20"/>
    </row>
    <row r="45" spans="1:24" ht="18.95" customHeight="1">
      <c r="Q45" s="61"/>
      <c r="W45" s="20"/>
      <c r="X45" s="20"/>
    </row>
    <row r="46" spans="1:24" ht="18.95" customHeight="1"/>
    <row r="47" spans="1:24" ht="18.95" customHeight="1"/>
    <row r="48" spans="1:24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1:X1"/>
    <mergeCell ref="A2:A4"/>
    <mergeCell ref="B2:B4"/>
    <mergeCell ref="C2:C4"/>
    <mergeCell ref="D2:D4"/>
    <mergeCell ref="E2:F3"/>
    <mergeCell ref="G2:H3"/>
    <mergeCell ref="I2:J3"/>
    <mergeCell ref="K2:L3"/>
    <mergeCell ref="M2:M3"/>
    <mergeCell ref="V2:W2"/>
    <mergeCell ref="X2:X4"/>
    <mergeCell ref="V3:W3"/>
    <mergeCell ref="T2:T3"/>
    <mergeCell ref="U2:U3"/>
    <mergeCell ref="A37:D37"/>
    <mergeCell ref="N2:N3"/>
    <mergeCell ref="O2:O3"/>
    <mergeCell ref="P2:Q3"/>
    <mergeCell ref="R2:S3"/>
  </mergeCells>
  <phoneticPr fontId="2" type="noConversion"/>
  <printOptions horizontalCentered="1" verticalCentered="1"/>
  <pageMargins left="0.23622047244094491" right="0.23622047244094491" top="0" bottom="0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dcterms:created xsi:type="dcterms:W3CDTF">2009-01-03T01:47:59Z</dcterms:created>
  <dcterms:modified xsi:type="dcterms:W3CDTF">2021-12-28T07:23:57Z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