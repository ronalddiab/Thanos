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<sst xmlns="http://schemas.openxmlformats.org/spreadsheetml/2006/main" count="313" uniqueCount="148">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</sst>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 t="str">
        <f>'FS Desroches Daily'!X6</f>
        <v/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2199.9999999999795</v>
      </c>
      <c r="F33" s="17">
        <f t="shared" ref="F33:BC33" si="1">SUM(F2:F32)</f>
        <v>1200.000000000312</v>
      </c>
      <c r="G33" s="17">
        <f t="shared" si="1"/>
        <v>2899.9999999999027</v>
      </c>
      <c r="H33" s="17">
        <f t="shared" si="1"/>
        <v>1599.9999999998238</v>
      </c>
      <c r="I33" s="17">
        <f t="shared" si="1"/>
        <v>3200.0000000000919</v>
      </c>
      <c r="J33" s="17">
        <f t="shared" si="1"/>
        <v>1100.000000000101</v>
      </c>
      <c r="K33" s="17">
        <f t="shared" si="1"/>
        <v>2</v>
      </c>
      <c r="L33" s="17">
        <f t="shared" si="1"/>
        <v>7</v>
      </c>
      <c r="M33" s="17">
        <f t="shared" si="1"/>
        <v>293.60000000009313</v>
      </c>
      <c r="N33" s="17">
        <f t="shared" si="1"/>
        <v>170.90000000002328</v>
      </c>
      <c r="O33" s="17">
        <f t="shared" si="1"/>
        <v>79.999999999984084</v>
      </c>
      <c r="P33" s="17">
        <f t="shared" si="1"/>
        <v>899.99999999967883</v>
      </c>
      <c r="Q33" s="17">
        <f t="shared" si="1"/>
        <v>170.00000000001592</v>
      </c>
      <c r="R33" s="17">
        <f t="shared" si="1"/>
        <v>259.99999999999091</v>
      </c>
      <c r="S33" s="17">
        <f t="shared" si="1"/>
        <v>440.00000000005457</v>
      </c>
      <c r="T33" s="17">
        <f t="shared" si="1"/>
        <v>2.5</v>
      </c>
      <c r="U33" s="35">
        <f t="shared" si="1"/>
        <v>469.99999999997044</v>
      </c>
      <c r="V33" s="35">
        <f t="shared" si="1"/>
        <v>289.99999999999204</v>
      </c>
      <c r="W33" s="35">
        <f t="shared" si="1"/>
        <v>240.00000000000909</v>
      </c>
      <c r="X33" s="35">
        <f t="shared" si="1"/>
        <v>219.99999999999886</v>
      </c>
      <c r="Y33" s="35">
        <f t="shared" si="1"/>
        <v>60.000000000002274</v>
      </c>
      <c r="Z33" s="35">
        <f t="shared" si="1"/>
        <v>69.999999999993179</v>
      </c>
      <c r="AA33" s="35">
        <f t="shared" si="1"/>
        <v>69.999999999993179</v>
      </c>
      <c r="AB33" s="35">
        <f t="shared" si="1"/>
        <v>89.999999999974989</v>
      </c>
      <c r="AC33" s="35">
        <f t="shared" si="1"/>
        <v>40.000000000020464</v>
      </c>
      <c r="AD33" s="35">
        <f t="shared" si="1"/>
        <v>60.000000000002274</v>
      </c>
      <c r="AE33" s="35">
        <f t="shared" si="1"/>
        <v>30.000000000001137</v>
      </c>
      <c r="AF33" s="17">
        <f t="shared" si="1"/>
        <v>58</v>
      </c>
      <c r="AG33" s="32">
        <f t="shared" si="1"/>
        <v>19.99999999998181</v>
      </c>
      <c r="AH33" s="32">
        <f t="shared" si="1"/>
        <v>9.9999999999909051</v>
      </c>
      <c r="AI33" s="32">
        <f t="shared" si="1"/>
        <v>9.9999999999909051</v>
      </c>
      <c r="AJ33" s="32">
        <f t="shared" si="1"/>
        <v>60.000000000002274</v>
      </c>
      <c r="AK33" s="32">
        <f t="shared" si="1"/>
        <v>39.99999999996362</v>
      </c>
      <c r="AL33" s="32">
        <f t="shared" si="1"/>
        <v>15</v>
      </c>
      <c r="AM33" s="32">
        <f t="shared" si="1"/>
        <v>50.000000000011369</v>
      </c>
      <c r="AN33" s="32">
        <f t="shared" si="1"/>
        <v>50</v>
      </c>
      <c r="AO33" s="32">
        <f t="shared" si="1"/>
        <v>49.999999999982947</v>
      </c>
      <c r="AP33" s="32">
        <f t="shared" si="1"/>
        <v>51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40.700000000004366</v>
      </c>
      <c r="AU33" s="17">
        <f t="shared" si="1"/>
        <v>396</v>
      </c>
      <c r="AV33" s="17">
        <f t="shared" si="1"/>
        <v>769.99999999998181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9.1574999999999989</v>
      </c>
      <c r="BC33" s="17">
        <f t="shared" si="1"/>
        <v>0</v>
      </c>
    </row>
    <row r="35" spans="5:55" x14ac:dyDescent="0.25">
      <c r="E35" s="38">
        <f>E33/E37</f>
        <v>15.942028985493229</v>
      </c>
      <c r="G35" s="29">
        <f>G33-M36</f>
        <v>2435.4999999997863</v>
      </c>
      <c r="AE35" s="35">
        <f>SUM(U33:AE33)</f>
        <v>1639.9999999999579</v>
      </c>
      <c r="AG35" s="32">
        <f>SUM(AG33:AP33)</f>
        <v>355.99999999992383</v>
      </c>
    </row>
    <row r="36" spans="5:55" x14ac:dyDescent="0.25">
      <c r="G36" s="29">
        <f>G35-633*14</f>
        <v>-6426.5000000002137</v>
      </c>
      <c r="M36" s="29">
        <f>M33+N33</f>
        <v>464.50000000011642</v>
      </c>
    </row>
    <row r="37" spans="5:55" x14ac:dyDescent="0.25">
      <c r="E37" s="17">
        <f>E33+F33+G33+H33+J33-633*14</f>
        <v>138.00000000012005</v>
      </c>
      <c r="G37" s="37">
        <f>M36/E37</f>
        <v>3.3659420289834228</v>
      </c>
      <c r="M37" s="35">
        <f>AE35</f>
        <v>1639.9999999999579</v>
      </c>
    </row>
    <row r="38" spans="5:55" x14ac:dyDescent="0.25">
      <c r="L38" s="27">
        <f>M38/E37</f>
        <v>2.5797101449247402</v>
      </c>
      <c r="M38" s="29">
        <f>AG35</f>
        <v>355.99999999992383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BF5" sqref="BF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4"/>
        <v>0</v>
      </c>
      <c r="M6" s="58"/>
      <c r="N6" s="64" t="str">
        <f t="shared" si="5"/>
        <v/>
      </c>
      <c r="O6" s="58"/>
      <c r="P6" s="67" t="str">
        <f>IF((O6-O5&lt;0), "",O6-O5)</f>
        <v/>
      </c>
      <c r="Q6" s="58"/>
      <c r="R6" s="67" t="str">
        <f t="shared" si="6"/>
        <v/>
      </c>
      <c r="S6" s="58"/>
      <c r="T6" s="67" t="str">
        <f t="shared" si="7"/>
        <v/>
      </c>
      <c r="U6" s="58"/>
      <c r="V6" s="67" t="str">
        <f t="shared" si="8"/>
        <v/>
      </c>
      <c r="W6" s="58"/>
      <c r="X6" s="65" t="str">
        <f t="shared" si="9"/>
        <v/>
      </c>
      <c r="Y6" s="58"/>
      <c r="Z6" s="65" t="str">
        <f t="shared" si="10"/>
        <v/>
      </c>
      <c r="AA6" s="58"/>
      <c r="AB6" s="65" t="str">
        <f t="shared" si="11"/>
        <v/>
      </c>
      <c r="AC6" s="58"/>
      <c r="AD6" s="65" t="str">
        <f t="shared" si="12"/>
        <v/>
      </c>
      <c r="AE6" s="58"/>
      <c r="AF6" s="65" t="str">
        <f t="shared" si="13"/>
        <v/>
      </c>
      <c r="AG6" s="58"/>
      <c r="AH6" s="67" t="str">
        <f t="shared" si="14"/>
        <v/>
      </c>
      <c r="AI6" s="58"/>
      <c r="AJ6" s="65" t="str">
        <f t="shared" si="15"/>
        <v/>
      </c>
      <c r="AK6" s="58"/>
      <c r="AL6" s="65" t="str">
        <f t="shared" si="15"/>
        <v/>
      </c>
      <c r="AM6" s="58"/>
      <c r="AN6" s="65" t="str">
        <f t="shared" si="15"/>
        <v/>
      </c>
      <c r="AO6" s="58"/>
      <c r="AP6" s="65" t="str">
        <f t="shared" si="15"/>
        <v/>
      </c>
      <c r="AQ6" s="58"/>
      <c r="AR6" s="65" t="str">
        <f t="shared" si="16"/>
        <v/>
      </c>
      <c r="AS6" s="58"/>
      <c r="AT6" s="65" t="str">
        <f t="shared" si="17"/>
        <v/>
      </c>
      <c r="AU6" s="58"/>
      <c r="AV6" s="65" t="str">
        <f t="shared" si="18"/>
        <v/>
      </c>
      <c r="AW6" s="58"/>
      <c r="AX6" s="65" t="str">
        <f t="shared" si="19"/>
        <v/>
      </c>
      <c r="AY6" s="58"/>
      <c r="AZ6" s="65" t="str">
        <f t="shared" si="20"/>
        <v/>
      </c>
      <c r="BA6" s="58"/>
      <c r="BB6" s="65" t="str">
        <f t="shared" si="21"/>
        <v/>
      </c>
      <c r="BC6" s="58"/>
      <c r="BD6" s="65" t="str">
        <f t="shared" si="22"/>
        <v/>
      </c>
      <c r="BE6" s="59"/>
      <c r="BF6" s="67" t="str">
        <f t="shared" si="39"/>
        <v/>
      </c>
      <c r="BG6" s="60"/>
      <c r="BH6" s="65" t="str">
        <f t="shared" si="23"/>
        <v/>
      </c>
      <c r="BI6" s="60"/>
      <c r="BJ6" s="65" t="str">
        <f t="shared" si="40"/>
        <v/>
      </c>
      <c r="BK6" s="60"/>
      <c r="BL6" s="65" t="str">
        <f t="shared" si="24"/>
        <v/>
      </c>
      <c r="BM6" s="60"/>
      <c r="BN6" s="65" t="str">
        <f t="shared" si="25"/>
        <v/>
      </c>
      <c r="BO6" s="60"/>
      <c r="BP6" s="65" t="str">
        <f t="shared" si="26"/>
        <v/>
      </c>
      <c r="BQ6" s="60"/>
      <c r="BR6" s="65" t="str">
        <f t="shared" si="27"/>
        <v/>
      </c>
      <c r="BS6" s="60"/>
      <c r="BT6" s="65" t="str">
        <f t="shared" ref="BT6:BT35" si="42">IF((BS6-BS5&lt;0), "",(BS6-BS5)*1000)</f>
        <v/>
      </c>
      <c r="BU6" s="60"/>
      <c r="BV6" s="65" t="str">
        <f t="shared" si="29"/>
        <v/>
      </c>
      <c r="BW6" s="60"/>
      <c r="BX6" s="65" t="str">
        <f t="shared" si="30"/>
        <v/>
      </c>
      <c r="BY6" s="60"/>
      <c r="BZ6" s="67" t="str">
        <f t="shared" si="31"/>
        <v/>
      </c>
      <c r="CA6" s="60"/>
      <c r="CB6" s="67" t="str">
        <f t="shared" si="32"/>
        <v/>
      </c>
      <c r="CC6" s="60"/>
      <c r="CD6" s="67" t="str">
        <f t="shared" si="33"/>
        <v/>
      </c>
      <c r="CE6" s="60"/>
      <c r="CF6" s="67" t="str">
        <f t="shared" si="34"/>
        <v/>
      </c>
      <c r="CG6" s="60"/>
      <c r="CH6" s="67" t="str">
        <f t="shared" si="35"/>
        <v/>
      </c>
      <c r="CI6" s="60"/>
      <c r="CJ6" s="67" t="str">
        <f t="shared" si="36"/>
        <v/>
      </c>
      <c r="CK6" s="60"/>
      <c r="CL6" s="64" t="str">
        <f t="shared" si="37"/>
        <v/>
      </c>
      <c r="CM6" s="65" t="e">
        <f t="shared" si="41"/>
        <v>#VALUE!</v>
      </c>
      <c r="CN6" s="62">
        <v>0</v>
      </c>
      <c r="CO6" s="62">
        <v>0</v>
      </c>
      <c r="CP6" s="68"/>
      <c r="CQ6" s="67" t="str">
        <f t="shared" si="38"/>
        <v/>
      </c>
      <c r="CR6" s="68"/>
      <c r="CS6" s="67" t="str">
        <f t="shared" si="38"/>
        <v/>
      </c>
      <c r="CT6" s="75"/>
      <c r="CU6" s="67" t="str">
        <f t="shared" si="38"/>
        <v/>
      </c>
      <c r="CV6" s="68"/>
      <c r="CW6" s="67" t="str">
        <f t="shared" si="38"/>
        <v/>
      </c>
    </row>
    <row r="7" spans="1:102" ht="25.5" customHeight="1" thickBot="1" x14ac:dyDescent="0.45">
      <c r="A7" s="63">
        <v>44108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ref="P7:P10" si="43">IF((O7-O6&lt;0), "",O7-O6)</f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>
        <f t="shared" si="12"/>
        <v>0</v>
      </c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39"/>
        <v>0</v>
      </c>
      <c r="BG7" s="60"/>
      <c r="BH7" s="65">
        <f t="shared" si="23"/>
        <v>0</v>
      </c>
      <c r="BI7" s="60"/>
      <c r="BJ7" s="65">
        <f t="shared" si="40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2"/>
        <v>0</v>
      </c>
      <c r="BU7" s="60"/>
      <c r="BV7" s="65">
        <f t="shared" si="29"/>
        <v>0</v>
      </c>
      <c r="BW7" s="60"/>
      <c r="BX7" s="65">
        <f t="shared" si="30"/>
        <v>0</v>
      </c>
      <c r="BY7" s="60"/>
      <c r="BZ7" s="67">
        <f t="shared" si="31"/>
        <v>0</v>
      </c>
      <c r="CA7" s="60"/>
      <c r="CB7" s="67">
        <f t="shared" si="32"/>
        <v>0</v>
      </c>
      <c r="CC7" s="60"/>
      <c r="CD7" s="67">
        <f t="shared" si="33"/>
        <v>0</v>
      </c>
      <c r="CE7" s="60"/>
      <c r="CF7" s="67">
        <f t="shared" si="34"/>
        <v>0</v>
      </c>
      <c r="CG7" s="60"/>
      <c r="CH7" s="67">
        <f t="shared" si="35"/>
        <v>0</v>
      </c>
      <c r="CI7" s="60"/>
      <c r="CJ7" s="67">
        <f t="shared" si="36"/>
        <v>0</v>
      </c>
      <c r="CK7" s="60"/>
      <c r="CL7" s="64">
        <f t="shared" si="37"/>
        <v>0</v>
      </c>
      <c r="CM7" s="65">
        <f t="shared" si="41"/>
        <v>0</v>
      </c>
      <c r="CN7" s="62">
        <v>0</v>
      </c>
      <c r="CO7" s="62">
        <v>0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44109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3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44110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44111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44112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44113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44114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44115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44116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44117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44118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44119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44120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S11" sqref="S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-196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2020-10-03T13:40:03Z</dcterms:modified>
</cp:coreProperties>
</file>