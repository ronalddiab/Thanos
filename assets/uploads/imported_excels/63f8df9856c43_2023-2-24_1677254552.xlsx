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17" l="1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<sst xmlns="http://schemas.openxmlformats.org/spreadsheetml/2006/main" count="66" uniqueCount="32">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</sst>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9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9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標準" xfId="0" builtinId="0"/>
    <cellStyle name="表示済みのハイパーリンク" xfId="16" builtinId="9" hidden="1"/>
    <cellStyle name="表示済みのハイパーリンク" xfId="1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8エネルギー使用量"/>
    </sheetNames>
    <sheetDataSet>
      <sheetData sheetId="0"/>
      <sheetData sheetId="1"/>
      <sheetData sheetId="2">
        <row r="205">
          <cell r="AL205">
            <v>2198482.5</v>
          </cell>
        </row>
      </sheetData>
      <sheetData sheetId="3"/>
      <sheetData sheetId="4">
        <row r="387">
          <cell r="G387">
            <v>94</v>
          </cell>
        </row>
      </sheetData>
      <sheetData sheetId="5"/>
      <sheetData sheetId="6"/>
      <sheetData sheetId="7">
        <row r="23">
          <cell r="G23">
            <v>188.1</v>
          </cell>
        </row>
      </sheetData>
      <sheetData sheetId="8">
        <row r="3">
          <cell r="G3">
            <v>30.96</v>
          </cell>
        </row>
        <row r="23">
          <cell r="M23">
            <v>146.46993761514284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414.19979999999998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414.19979999999998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414.19979999999998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414.19979999999998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414.19979999999998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414.19979999999998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413.64420000000001</v>
          </cell>
        </row>
      </sheetData>
      <sheetData sheetId="30">
        <row r="29">
          <cell r="C29">
            <v>414.4776</v>
          </cell>
        </row>
      </sheetData>
      <sheetData sheetId="31">
        <row r="29">
          <cell r="C29">
            <v>413.92199999999997</v>
          </cell>
        </row>
      </sheetData>
      <sheetData sheetId="32">
        <row r="29">
          <cell r="C29">
            <v>414.19979999999998</v>
          </cell>
        </row>
      </sheetData>
      <sheetData sheetId="33">
        <row r="29">
          <cell r="C29">
            <v>413.64420000000001</v>
          </cell>
        </row>
      </sheetData>
      <sheetData sheetId="34">
        <row r="29">
          <cell r="C29">
            <v>413.3664</v>
          </cell>
        </row>
      </sheetData>
      <sheetData sheetId="35">
        <row r="29">
          <cell r="C29">
            <v>413.92199999999997</v>
          </cell>
        </row>
      </sheetData>
      <sheetData sheetId="36">
        <row r="29">
          <cell r="C29">
            <v>414.4776</v>
          </cell>
        </row>
      </sheetData>
      <sheetData sheetId="37">
        <row r="29">
          <cell r="C29">
            <v>413.92199999999997</v>
          </cell>
        </row>
      </sheetData>
      <sheetData sheetId="38">
        <row r="29">
          <cell r="C29">
            <v>414.19979999999998</v>
          </cell>
        </row>
      </sheetData>
      <sheetData sheetId="39">
        <row r="29">
          <cell r="C29">
            <v>413.64420000000001</v>
          </cell>
        </row>
      </sheetData>
      <sheetData sheetId="40">
        <row r="12">
          <cell r="C12">
            <v>16488</v>
          </cell>
        </row>
      </sheetData>
      <sheetData sheetId="41">
        <row r="29">
          <cell r="C29">
            <v>413.3664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1">
          <cell r="V31">
            <v>38.852590274483937</v>
          </cell>
          <cell r="AE31">
            <v>19.545574894137921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F19" sqref="F19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30.96</v>
      </c>
      <c r="G2" s="9">
        <f>'Otemachi Daily'!F5</f>
        <v>188.1</v>
      </c>
      <c r="H2" s="34">
        <f>[1]見込!$M$23</f>
        <v>146.46993761514284</v>
      </c>
      <c r="I2" s="9">
        <f>'Otemachi Daily'!H5</f>
        <v>39432.5988</v>
      </c>
      <c r="J2" s="34">
        <f>[2]Sheet1!$V$31</f>
        <v>38.852590274483937</v>
      </c>
      <c r="K2" s="9">
        <f>'Otemachi Daily'!J5</f>
        <v>6306.6156000000001</v>
      </c>
      <c r="L2" s="34">
        <f>[2]Sheet1!$AE$31</f>
        <v>19.545574894137921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7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30.96</v>
      </c>
      <c r="G3" s="9">
        <f>'Otemachi Daily'!F6</f>
        <v>179.3</v>
      </c>
      <c r="H3" s="34">
        <f>[1]見込!$M$23</f>
        <v>146.46993761514284</v>
      </c>
      <c r="I3" s="9">
        <f>'Otemachi Daily'!H6</f>
        <v>41617.495800000004</v>
      </c>
      <c r="J3" s="34">
        <f>[2]Sheet1!$V$31</f>
        <v>38.852590274483937</v>
      </c>
      <c r="K3" s="9">
        <f>'Otemachi Daily'!J6</f>
        <v>5863.9135200000001</v>
      </c>
      <c r="L3" s="34">
        <f>[2]Sheet1!$AE$31</f>
        <v>19.545574894137921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7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[1]見込!$G$3</f>
        <v>30.96</v>
      </c>
      <c r="G4" s="9">
        <f>'Otemachi Daily'!F7</f>
        <v>159.30000000000001</v>
      </c>
      <c r="H4" s="34">
        <f>[1]見込!$M$23</f>
        <v>146.46993761514284</v>
      </c>
      <c r="I4" s="9">
        <f>'Otemachi Daily'!H7</f>
        <v>40746.592799999999</v>
      </c>
      <c r="J4" s="34">
        <f>[2]Sheet1!$V$31</f>
        <v>38.852590274483937</v>
      </c>
      <c r="K4" s="9">
        <f>'Otemachi Daily'!J7</f>
        <v>6166.2710399999996</v>
      </c>
      <c r="L4" s="34">
        <f>[2]Sheet1!$AE$31</f>
        <v>19.545574894137921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7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[1]見込!$G$3</f>
        <v>30.96</v>
      </c>
      <c r="G5" s="9">
        <f>'Otemachi Daily'!F8</f>
        <v>171.2</v>
      </c>
      <c r="H5" s="34">
        <f>[1]見込!$M$23</f>
        <v>146.46993761514284</v>
      </c>
      <c r="I5" s="9">
        <f>'Otemachi Daily'!H8</f>
        <v>18935.125799999998</v>
      </c>
      <c r="J5" s="34">
        <f>[2]Sheet1!$V$31</f>
        <v>38.852590274483937</v>
      </c>
      <c r="K5" s="9">
        <f>'Otemachi Daily'!J8</f>
        <v>6041.3443800000005</v>
      </c>
      <c r="L5" s="34">
        <f>[2]Sheet1!$AE$31</f>
        <v>19.545574894137921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7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[1]見込!$G$3</f>
        <v>30.96</v>
      </c>
      <c r="G6" s="9">
        <f>'Otemachi Daily'!F9</f>
        <v>197.5</v>
      </c>
      <c r="H6" s="34">
        <f>[1]見込!$M$23</f>
        <v>146.46993761514284</v>
      </c>
      <c r="I6" s="9">
        <f>'Otemachi Daily'!H9</f>
        <v>15977.1114</v>
      </c>
      <c r="J6" s="34">
        <f>[2]Sheet1!$V$31</f>
        <v>38.852590274483937</v>
      </c>
      <c r="K6" s="9">
        <f>'Otemachi Daily'!J9</f>
        <v>6880.2448199999999</v>
      </c>
      <c r="L6" s="34">
        <f>[2]Sheet1!$AE$31</f>
        <v>19.545574894137921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7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[1]見込!$G$3</f>
        <v>30.96</v>
      </c>
      <c r="G7" s="9">
        <f>'Otemachi Daily'!F10</f>
        <v>184</v>
      </c>
      <c r="H7" s="34">
        <f>[1]見込!$M$23</f>
        <v>146.46993761514284</v>
      </c>
      <c r="I7" s="9">
        <f>'Otemachi Daily'!H10</f>
        <v>18577.597199999997</v>
      </c>
      <c r="J7" s="34">
        <f>[2]Sheet1!$V$31</f>
        <v>38.852590274483937</v>
      </c>
      <c r="K7" s="9">
        <f>'Otemachi Daily'!J10</f>
        <v>6708.8977800000011</v>
      </c>
      <c r="L7" s="34">
        <f>[2]Sheet1!$AE$31</f>
        <v>19.545574894137921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7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[1]見込!$G$3</f>
        <v>30.96</v>
      </c>
      <c r="G8" s="9">
        <f>'Otemachi Daily'!F11</f>
        <v>180.4</v>
      </c>
      <c r="H8" s="34">
        <f>[1]見込!$M$23</f>
        <v>146.46993761514284</v>
      </c>
      <c r="I8" s="9">
        <f>'Otemachi Daily'!H11</f>
        <v>26981.880599999997</v>
      </c>
      <c r="J8" s="34">
        <f>[2]Sheet1!$V$31</f>
        <v>38.852590274483937</v>
      </c>
      <c r="K8" s="9">
        <f>'Otemachi Daily'!J11</f>
        <v>7060.5648000000001</v>
      </c>
      <c r="L8" s="34">
        <f>[2]Sheet1!$AE$31</f>
        <v>19.545574894137921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7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[1]見込!$G$3</f>
        <v>30.96</v>
      </c>
      <c r="G9" s="9">
        <f>'Otemachi Daily'!F12</f>
        <v>182.3</v>
      </c>
      <c r="H9" s="34">
        <f>[1]見込!$M$23</f>
        <v>146.46993761514284</v>
      </c>
      <c r="I9" s="9">
        <f>'Otemachi Daily'!H12</f>
        <v>32767.898999999998</v>
      </c>
      <c r="J9" s="34">
        <f>[2]Sheet1!$V$31</f>
        <v>38.852590274483937</v>
      </c>
      <c r="K9" s="9">
        <f>'Otemachi Daily'!J12</f>
        <v>6333.5622000000003</v>
      </c>
      <c r="L9" s="34">
        <f>[2]Sheet1!$AE$31</f>
        <v>19.545574894137921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7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[1]見込!$G$3</f>
        <v>30.96</v>
      </c>
      <c r="G10" s="9">
        <f>'Otemachi Daily'!F13</f>
        <v>174.3</v>
      </c>
      <c r="H10" s="34">
        <f>[1]見込!$M$23</f>
        <v>146.46993761514284</v>
      </c>
      <c r="I10" s="9">
        <f>'Otemachi Daily'!H13</f>
        <v>33271.5504</v>
      </c>
      <c r="J10" s="34">
        <f>[2]Sheet1!$V$31</f>
        <v>38.852590274483937</v>
      </c>
      <c r="K10" s="9">
        <f>'Otemachi Daily'!J13</f>
        <v>6628.7246999999998</v>
      </c>
      <c r="L10" s="34">
        <f>[2]Sheet1!$AE$31</f>
        <v>19.545574894137921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7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[1]見込!$G$3</f>
        <v>30.96</v>
      </c>
      <c r="G11" s="9">
        <f>'Otemachi Daily'!F14</f>
        <v>164.2</v>
      </c>
      <c r="H11" s="34">
        <f>[1]見込!$M$23</f>
        <v>146.46993761514284</v>
      </c>
      <c r="I11" s="9">
        <f>'Otemachi Daily'!H14</f>
        <v>33287.107199999999</v>
      </c>
      <c r="J11" s="34">
        <f>[2]Sheet1!$V$31</f>
        <v>38.852590274483937</v>
      </c>
      <c r="K11" s="9">
        <f>'Otemachi Daily'!J14</f>
        <v>6460.5445800000007</v>
      </c>
      <c r="L11" s="34">
        <f>[2]Sheet1!$AE$31</f>
        <v>19.545574894137921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7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[1]見込!$G$3</f>
        <v>30.96</v>
      </c>
      <c r="G12" s="9">
        <f>'Otemachi Daily'!F15</f>
        <v>173</v>
      </c>
      <c r="H12" s="34">
        <f>[1]見込!$M$23</f>
        <v>146.46993761514284</v>
      </c>
      <c r="I12" s="9">
        <f>'Otemachi Daily'!H15</f>
        <v>33562.684799999995</v>
      </c>
      <c r="J12" s="34">
        <f>[2]Sheet1!$V$31</f>
        <v>38.852590274483937</v>
      </c>
      <c r="K12" s="9">
        <f>'Otemachi Daily'!J15</f>
        <v>6836.0468400000009</v>
      </c>
      <c r="L12" s="34">
        <f>[2]Sheet1!$AE$31</f>
        <v>19.545574894137921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7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16710</v>
      </c>
      <c r="F13" s="34">
        <f>[1]見込!$G$3</f>
        <v>30.96</v>
      </c>
      <c r="G13" s="9">
        <f>'Otemachi Daily'!F16</f>
        <v>183.5</v>
      </c>
      <c r="H13" s="34">
        <f>[1]見込!$M$23</f>
        <v>146.46993761514284</v>
      </c>
      <c r="I13" s="9">
        <f>'Otemachi Daily'!H16</f>
        <v>31517.521199999999</v>
      </c>
      <c r="J13" s="34">
        <f>[2]Sheet1!$V$31</f>
        <v>38.852590274483937</v>
      </c>
      <c r="K13" s="9">
        <f>'Otemachi Daily'!J16</f>
        <v>7174.1850000000004</v>
      </c>
      <c r="L13" s="34">
        <f>[2]Sheet1!$AE$31</f>
        <v>19.545574894137921</v>
      </c>
      <c r="M13" s="9">
        <f>'Otemachi Daily'!L16</f>
        <v>205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7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16901</v>
      </c>
      <c r="F14" s="34">
        <f>[1]見込!$G$3</f>
        <v>30.96</v>
      </c>
      <c r="G14" s="9">
        <f>'Otemachi Daily'!F17</f>
        <v>178.4</v>
      </c>
      <c r="H14" s="34">
        <f>[1]見込!$M$23</f>
        <v>146.46993761514284</v>
      </c>
      <c r="I14" s="9">
        <f>'Otemachi Daily'!H17</f>
        <v>26380.999199999998</v>
      </c>
      <c r="J14" s="34">
        <f>[2]Sheet1!$V$31</f>
        <v>38.852590274483937</v>
      </c>
      <c r="K14" s="9">
        <f>'Otemachi Daily'!J17</f>
        <v>7521.6850199999999</v>
      </c>
      <c r="L14" s="34">
        <f>[2]Sheet1!$AE$31</f>
        <v>19.545574894137921</v>
      </c>
      <c r="M14" s="9">
        <f>'Otemachi Daily'!L17</f>
        <v>224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7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17158</v>
      </c>
      <c r="F15" s="34">
        <f>[1]見込!$G$3</f>
        <v>30.96</v>
      </c>
      <c r="G15" s="9">
        <f>'Otemachi Daily'!F18</f>
        <v>181.4</v>
      </c>
      <c r="H15" s="34">
        <f>[1]見込!$M$23</f>
        <v>146.46993761514284</v>
      </c>
      <c r="I15" s="9">
        <f>'Otemachi Daily'!H18</f>
        <v>32369.255999999998</v>
      </c>
      <c r="J15" s="34">
        <f>[2]Sheet1!$V$31</f>
        <v>38.852590274483937</v>
      </c>
      <c r="K15" s="9">
        <f>'Otemachi Daily'!J18</f>
        <v>7172.7960000000003</v>
      </c>
      <c r="L15" s="34">
        <f>[2]Sheet1!$AE$31</f>
        <v>19.545574894137921</v>
      </c>
      <c r="M15" s="9">
        <f>'Otemachi Daily'!L18</f>
        <v>210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7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17211</v>
      </c>
      <c r="F16" s="34">
        <f>[1]見込!$G$3</f>
        <v>30.96</v>
      </c>
      <c r="G16" s="9">
        <f>'Otemachi Daily'!F19</f>
        <v>184.3</v>
      </c>
      <c r="H16" s="34">
        <f>[1]見込!$M$23</f>
        <v>146.46993761514284</v>
      </c>
      <c r="I16" s="9">
        <f>'Otemachi Daily'!H19</f>
        <v>36073.718999999997</v>
      </c>
      <c r="J16" s="34">
        <f>[2]Sheet1!$V$31</f>
        <v>38.852590274483937</v>
      </c>
      <c r="K16" s="9">
        <f>'Otemachi Daily'!J19</f>
        <v>7132.48722</v>
      </c>
      <c r="L16" s="34">
        <f>[2]Sheet1!$AE$31</f>
        <v>19.545574894137921</v>
      </c>
      <c r="M16" s="9">
        <f>'Otemachi Daily'!L19</f>
        <v>211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7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17239</v>
      </c>
      <c r="F17" s="34">
        <f>[1]見込!$G$3</f>
        <v>30.96</v>
      </c>
      <c r="G17" s="9">
        <f>'Otemachi Daily'!F20</f>
        <v>179.6</v>
      </c>
      <c r="H17" s="34">
        <f>[1]見込!$M$23</f>
        <v>146.46993761514284</v>
      </c>
      <c r="I17" s="9">
        <f>'Otemachi Daily'!H20</f>
        <v>38572.252200000003</v>
      </c>
      <c r="J17" s="34">
        <f>[2]Sheet1!$V$31</f>
        <v>38.852590274483937</v>
      </c>
      <c r="K17" s="9">
        <f>'Otemachi Daily'!J20</f>
        <v>7031.9513999999999</v>
      </c>
      <c r="L17" s="34">
        <f>[2]Sheet1!$AE$31</f>
        <v>19.545574894137921</v>
      </c>
      <c r="M17" s="9">
        <f>'Otemachi Daily'!L20</f>
        <v>196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7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15979</v>
      </c>
      <c r="F18" s="34">
        <f>[1]見込!$G$3</f>
        <v>30.96</v>
      </c>
      <c r="G18" s="9">
        <f>'Otemachi Daily'!F21</f>
        <v>158.4</v>
      </c>
      <c r="H18" s="34">
        <f>[1]見込!$M$23</f>
        <v>146.46993761514284</v>
      </c>
      <c r="I18" s="9">
        <f>'Otemachi Daily'!H21</f>
        <v>25436.201399999998</v>
      </c>
      <c r="J18" s="34">
        <f>[2]Sheet1!$V$31</f>
        <v>38.852590274483937</v>
      </c>
      <c r="K18" s="9">
        <f>'Otemachi Daily'!J21</f>
        <v>6320.7556199999999</v>
      </c>
      <c r="L18" s="34">
        <f>[2]Sheet1!$AE$31</f>
        <v>19.545574894137921</v>
      </c>
      <c r="M18" s="9">
        <f>'Otemachi Daily'!L21</f>
        <v>160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7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16676</v>
      </c>
      <c r="F19" s="34">
        <f>[1]見込!$G$3</f>
        <v>30.96</v>
      </c>
      <c r="G19" s="9">
        <f>'Otemachi Daily'!F22</f>
        <v>172.6</v>
      </c>
      <c r="H19" s="34">
        <f>[1]見込!$M$23</f>
        <v>146.46993761514284</v>
      </c>
      <c r="I19" s="9">
        <f>'Otemachi Daily'!H22</f>
        <v>27459.418799999999</v>
      </c>
      <c r="J19" s="34">
        <f>[2]Sheet1!$V$31</f>
        <v>38.852590274483937</v>
      </c>
      <c r="K19" s="9">
        <f>'Otemachi Daily'!J22</f>
        <v>6838.4914799999997</v>
      </c>
      <c r="L19" s="34">
        <f>[2]Sheet1!$AE$31</f>
        <v>19.545574894137921</v>
      </c>
      <c r="M19" s="9">
        <f>'Otemachi Daily'!L22</f>
        <v>182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7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16490</v>
      </c>
      <c r="F20" s="34">
        <f>[1]見込!$G$3</f>
        <v>30.96</v>
      </c>
      <c r="G20" s="9">
        <f>'Otemachi Daily'!F23</f>
        <v>179.4</v>
      </c>
      <c r="H20" s="34">
        <f>[1]見込!$M$23</f>
        <v>146.46993761514284</v>
      </c>
      <c r="I20" s="9">
        <f>'Otemachi Daily'!H23</f>
        <v>23355.757199999996</v>
      </c>
      <c r="J20" s="34">
        <f>[2]Sheet1!$V$31</f>
        <v>38.852590274483937</v>
      </c>
      <c r="K20" s="9">
        <f>'Otemachi Daily'!J23</f>
        <v>6347.1466199999995</v>
      </c>
      <c r="L20" s="34">
        <f>[2]Sheet1!$AE$31</f>
        <v>19.545574894137921</v>
      </c>
      <c r="M20" s="9">
        <f>'Otemachi Daily'!L23</f>
        <v>177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7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16824</v>
      </c>
      <c r="F21" s="34">
        <f>[1]見込!$G$3</f>
        <v>30.96</v>
      </c>
      <c r="G21" s="9">
        <f>'Otemachi Daily'!F24</f>
        <v>193.1</v>
      </c>
      <c r="H21" s="34">
        <f>[1]見込!$M$23</f>
        <v>146.46993761514284</v>
      </c>
      <c r="I21" s="9">
        <f>'Otemachi Daily'!H24</f>
        <v>26605.461599999999</v>
      </c>
      <c r="J21" s="34">
        <f>[2]Sheet1!$V$31</f>
        <v>38.852590274483937</v>
      </c>
      <c r="K21" s="9">
        <f>'Otemachi Daily'!J24</f>
        <v>7392.2579999999998</v>
      </c>
      <c r="L21" s="34">
        <f>[2]Sheet1!$AE$31</f>
        <v>19.545574894137921</v>
      </c>
      <c r="M21" s="9">
        <f>'Otemachi Daily'!L24</f>
        <v>205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7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16698</v>
      </c>
      <c r="F22" s="34">
        <f>[1]見込!$G$3</f>
        <v>30.96</v>
      </c>
      <c r="G22" s="9">
        <f>'Otemachi Daily'!F25</f>
        <v>177</v>
      </c>
      <c r="H22" s="34">
        <f>[1]見込!$M$23</f>
        <v>146.46993761514284</v>
      </c>
      <c r="I22" s="9">
        <f>'Otemachi Daily'!H25</f>
        <v>25701.500399999997</v>
      </c>
      <c r="J22" s="34">
        <f>[2]Sheet1!$V$31</f>
        <v>38.852590274483937</v>
      </c>
      <c r="K22" s="9">
        <f>'Otemachi Daily'!J25</f>
        <v>7476.2091600000003</v>
      </c>
      <c r="L22" s="34">
        <f>[2]Sheet1!$AE$31</f>
        <v>19.545574894137921</v>
      </c>
      <c r="M22" s="9">
        <f>'Otemachi Daily'!L25</f>
        <v>206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7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16358</v>
      </c>
      <c r="F23" s="34">
        <f>[1]見込!$G$3</f>
        <v>30.96</v>
      </c>
      <c r="G23" s="9">
        <f>'Otemachi Daily'!F26</f>
        <v>173.9</v>
      </c>
      <c r="H23" s="34">
        <f>[1]見込!$M$23</f>
        <v>146.46993761514284</v>
      </c>
      <c r="I23" s="9">
        <f>'Otemachi Daily'!H26</f>
        <v>23033.509199999997</v>
      </c>
      <c r="J23" s="34">
        <f>[2]Sheet1!$V$31</f>
        <v>38.852590274483937</v>
      </c>
      <c r="K23" s="9">
        <f>'Otemachi Daily'!J26</f>
        <v>7087.6780799999997</v>
      </c>
      <c r="L23" s="34">
        <f>[2]Sheet1!$AE$31</f>
        <v>19.545574894137921</v>
      </c>
      <c r="M23" s="9">
        <f>'Otemachi Daily'!L26</f>
        <v>174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7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16427</v>
      </c>
      <c r="F24" s="34">
        <f>[1]見込!$G$3</f>
        <v>30.96</v>
      </c>
      <c r="G24" s="9">
        <f>'Otemachi Daily'!F27</f>
        <v>174.1</v>
      </c>
      <c r="H24" s="34">
        <f>[1]見込!$M$23</f>
        <v>146.46993761514284</v>
      </c>
      <c r="I24" s="9">
        <f>'Otemachi Daily'!H27</f>
        <v>34810.840199999999</v>
      </c>
      <c r="J24" s="34">
        <f>[2]Sheet1!$V$31</f>
        <v>38.852590274483937</v>
      </c>
      <c r="K24" s="9">
        <f>'Otemachi Daily'!J27</f>
        <v>6448.3491599999998</v>
      </c>
      <c r="L24" s="34">
        <f>[2]Sheet1!$AE$31</f>
        <v>19.545574894137921</v>
      </c>
      <c r="M24" s="9">
        <f>'Otemachi Daily'!L27</f>
        <v>179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7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15907</v>
      </c>
      <c r="F25" s="34">
        <f>[1]見込!$G$3</f>
        <v>30.96</v>
      </c>
      <c r="G25" s="9">
        <f>'Otemachi Daily'!F28</f>
        <v>162.9</v>
      </c>
      <c r="H25" s="34">
        <f>[1]見込!$M$23</f>
        <v>146.46993761514284</v>
      </c>
      <c r="I25" s="9">
        <f>'Otemachi Daily'!H28</f>
        <v>28741.743599999998</v>
      </c>
      <c r="J25" s="34">
        <f>[2]Sheet1!$V$31</f>
        <v>38.852590274483937</v>
      </c>
      <c r="K25" s="9">
        <f>'Otemachi Daily'!J28</f>
        <v>6500.2421999999997</v>
      </c>
      <c r="L25" s="34">
        <f>[2]Sheet1!$AE$31</f>
        <v>19.545574894137921</v>
      </c>
      <c r="M25" s="9">
        <f>'Otemachi Daily'!L28</f>
        <v>139</v>
      </c>
      <c r="N25" s="34">
        <v>741</v>
      </c>
      <c r="O25" s="9">
        <f>'Otemachi Daily'!M28</f>
        <v>123</v>
      </c>
      <c r="P25" s="9">
        <f>'Otemachi Daily'!N28</f>
        <v>221</v>
      </c>
    </row>
    <row r="26" spans="1:16" ht="17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16612</v>
      </c>
      <c r="F26" s="34">
        <f>[1]見込!$G$3</f>
        <v>30.96</v>
      </c>
      <c r="G26" s="9">
        <f>'Otemachi Daily'!F29</f>
        <v>180.2</v>
      </c>
      <c r="H26" s="34">
        <f>[1]見込!$M$23</f>
        <v>146.46993761514284</v>
      </c>
      <c r="I26" s="9">
        <f>'Otemachi Daily'!H29</f>
        <v>20284.400399999999</v>
      </c>
      <c r="J26" s="34">
        <f>[2]Sheet1!$V$31</f>
        <v>38.852590274483937</v>
      </c>
      <c r="K26" s="9">
        <f>'Otemachi Daily'!J29</f>
        <v>6639.1422000000002</v>
      </c>
      <c r="L26" s="34">
        <f>[2]Sheet1!$AE$31</f>
        <v>19.545574894137921</v>
      </c>
      <c r="M26" s="9">
        <f>'Otemachi Daily'!L29</f>
        <v>174</v>
      </c>
      <c r="N26" s="34">
        <v>741</v>
      </c>
      <c r="O26" s="9">
        <f>'Otemachi Daily'!M29</f>
        <v>120</v>
      </c>
      <c r="P26" s="9">
        <f>'Otemachi Daily'!N29</f>
        <v>195</v>
      </c>
    </row>
    <row r="27" spans="1:16" ht="17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16737</v>
      </c>
      <c r="F27" s="34">
        <f>[1]見込!$G$3</f>
        <v>30.96</v>
      </c>
      <c r="G27" s="9">
        <f>'Otemachi Daily'!F30</f>
        <v>172.6</v>
      </c>
      <c r="H27" s="34">
        <f>[1]見込!$M$23</f>
        <v>146.46993761514284</v>
      </c>
      <c r="I27" s="9">
        <f>'Otemachi Daily'!H30</f>
        <v>30209.638799999997</v>
      </c>
      <c r="J27" s="34">
        <f>[2]Sheet1!$V$31</f>
        <v>38.852590274483937</v>
      </c>
      <c r="K27" s="9">
        <f>'Otemachi Daily'!J30</f>
        <v>6446.6823599999998</v>
      </c>
      <c r="L27" s="34">
        <f>[2]Sheet1!$AE$31</f>
        <v>19.545574894137921</v>
      </c>
      <c r="M27" s="9">
        <f>'Otemachi Daily'!L30</f>
        <v>163</v>
      </c>
      <c r="N27" s="34">
        <v>741</v>
      </c>
      <c r="O27" s="9">
        <f>'Otemachi Daily'!M30</f>
        <v>117</v>
      </c>
      <c r="P27" s="9">
        <f>'Otemachi Daily'!N30</f>
        <v>219</v>
      </c>
    </row>
    <row r="28" spans="1:16" ht="17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17267</v>
      </c>
      <c r="F28" s="34">
        <f>[1]見込!$G$3</f>
        <v>30.96</v>
      </c>
      <c r="G28" s="9">
        <f>'Otemachi Daily'!F31</f>
        <v>198.5</v>
      </c>
      <c r="H28" s="34">
        <f>[1]見込!$M$23</f>
        <v>146.46993761514284</v>
      </c>
      <c r="I28" s="9">
        <f>'Otemachi Daily'!H31</f>
        <v>35527.841999999997</v>
      </c>
      <c r="J28" s="34">
        <f>[2]Sheet1!$V$31</f>
        <v>38.852590274483937</v>
      </c>
      <c r="K28" s="9">
        <f>'Otemachi Daily'!J31</f>
        <v>7031.1180000000004</v>
      </c>
      <c r="L28" s="34">
        <f>[2]Sheet1!$AE$31</f>
        <v>19.545574894137921</v>
      </c>
      <c r="M28" s="9">
        <f>'Otemachi Daily'!L31</f>
        <v>181</v>
      </c>
      <c r="N28" s="34">
        <v>741</v>
      </c>
      <c r="O28" s="9">
        <f>'Otemachi Daily'!M31</f>
        <v>179</v>
      </c>
      <c r="P28" s="9">
        <f>'Otemachi Daily'!N31</f>
        <v>360</v>
      </c>
    </row>
    <row r="29" spans="1:16" ht="17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16727</v>
      </c>
      <c r="F29" s="34">
        <f>[1]見込!$G$3</f>
        <v>30.96</v>
      </c>
      <c r="G29" s="9">
        <f>'Otemachi Daily'!F32</f>
        <v>196</v>
      </c>
      <c r="H29" s="34">
        <f>[1]見込!$M$23</f>
        <v>146.46993761514284</v>
      </c>
      <c r="I29" s="9">
        <f>'Otemachi Daily'!H32</f>
        <v>19032.633599999997</v>
      </c>
      <c r="J29" s="34">
        <f>[2]Sheet1!$V$31</f>
        <v>38.852590274483937</v>
      </c>
      <c r="K29" s="9">
        <f>'Otemachi Daily'!J32</f>
        <v>7810.8470400000006</v>
      </c>
      <c r="L29" s="34">
        <f>[2]Sheet1!$AE$31</f>
        <v>19.545574894137921</v>
      </c>
      <c r="M29" s="9">
        <f>'Otemachi Daily'!L32</f>
        <v>203</v>
      </c>
      <c r="N29" s="34">
        <v>741</v>
      </c>
      <c r="O29" s="9">
        <f>'Otemachi Daily'!M32</f>
        <v>137</v>
      </c>
      <c r="P29" s="9">
        <f>'Otemachi Daily'!N32</f>
        <v>244</v>
      </c>
    </row>
    <row r="30" spans="1:16" ht="17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16211</v>
      </c>
      <c r="F30" s="34">
        <f>[1]見込!$G$3</f>
        <v>30.96</v>
      </c>
      <c r="G30" s="9">
        <f>'Otemachi Daily'!F33</f>
        <v>178.6</v>
      </c>
      <c r="H30" s="34">
        <f>[1]見込!$M$23</f>
        <v>146.46993761514284</v>
      </c>
      <c r="I30" s="9">
        <f>'Otemachi Daily'!H33</f>
        <v>13749.710999999999</v>
      </c>
      <c r="J30" s="34">
        <f>[2]Sheet1!$V$31</f>
        <v>38.852590274483937</v>
      </c>
      <c r="K30" s="9">
        <f>'Otemachi Daily'!J33</f>
        <v>7251.5245199999999</v>
      </c>
      <c r="L30" s="34">
        <f>[2]Sheet1!$AE$31</f>
        <v>19.545574894137921</v>
      </c>
      <c r="M30" s="9">
        <f>'Otemachi Daily'!L33</f>
        <v>161</v>
      </c>
      <c r="N30" s="34">
        <v>741</v>
      </c>
      <c r="O30" s="9">
        <f>'Otemachi Daily'!M33</f>
        <v>137</v>
      </c>
      <c r="P30" s="9">
        <f>'Otemachi Daily'!N33</f>
        <v>243</v>
      </c>
    </row>
    <row r="31" spans="1:16" ht="17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16488</v>
      </c>
      <c r="F31" s="34">
        <f>[1]見込!$G$3</f>
        <v>30.96</v>
      </c>
      <c r="G31" s="9">
        <f>'Otemachi Daily'!F34</f>
        <v>177.2</v>
      </c>
      <c r="H31" s="34">
        <f>[1]見込!$M$23</f>
        <v>146.46993761514284</v>
      </c>
      <c r="I31" s="9">
        <f>'Otemachi Daily'!H34</f>
        <v>15804.319799999999</v>
      </c>
      <c r="J31" s="34">
        <f>[2]Sheet1!$V$31</f>
        <v>38.852590274483937</v>
      </c>
      <c r="K31" s="9">
        <f>'Otemachi Daily'!J34</f>
        <v>7796.9292599999999</v>
      </c>
      <c r="L31" s="34">
        <f>[2]Sheet1!$AE$31</f>
        <v>19.545574894137921</v>
      </c>
      <c r="M31" s="9">
        <f>'Otemachi Daily'!L34</f>
        <v>151</v>
      </c>
      <c r="N31" s="34">
        <v>741</v>
      </c>
      <c r="O31" s="9">
        <f>'Otemachi Daily'!M34</f>
        <v>135</v>
      </c>
      <c r="P31" s="9">
        <f>'Otemachi Daily'!N34</f>
        <v>218</v>
      </c>
    </row>
    <row r="32" spans="1:16" ht="17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16287</v>
      </c>
      <c r="F32" s="34">
        <f>[1]見込!$G$3</f>
        <v>30.96</v>
      </c>
      <c r="G32" s="9">
        <f>'Otemachi Daily'!F35</f>
        <v>181.3</v>
      </c>
      <c r="H32" s="34">
        <f>[1]見込!$M$23</f>
        <v>146.46993761514284</v>
      </c>
      <c r="I32" s="9">
        <f>'Otemachi Daily'!H35</f>
        <v>28534.226999999999</v>
      </c>
      <c r="J32" s="34">
        <f>[2]Sheet1!$V$31</f>
        <v>38.852590274483937</v>
      </c>
      <c r="K32" s="9">
        <f>'Otemachi Daily'!J35</f>
        <v>6486.3244199999999</v>
      </c>
      <c r="L32" s="34">
        <f>[2]Sheet1!$AE$31</f>
        <v>19.545574894137921</v>
      </c>
      <c r="M32" s="9">
        <f>'Otemachi Daily'!L35</f>
        <v>141</v>
      </c>
      <c r="N32" s="34">
        <v>741</v>
      </c>
      <c r="O32" s="9">
        <f>'Otemachi Daily'!M35</f>
        <v>112</v>
      </c>
      <c r="P32" s="9">
        <f>'Otemachi Daily'!N35</f>
        <v>168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zoomScale="80" zoomScaleNormal="80" zoomScalePageLayoutView="80" workbookViewId="0">
      <pane xSplit="1" topLeftCell="B1" activePane="topRight" state="frozen"/>
      <selection pane="topRight" activeCell="R7" sqref="R7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9"/>
      <c r="C5" s="35"/>
      <c r="D5" s="35">
        <v>17326</v>
      </c>
      <c r="E5" s="35"/>
      <c r="F5" s="35">
        <v>188.1</v>
      </c>
      <c r="G5" s="35"/>
      <c r="H5" s="35">
        <v>39432.5988</v>
      </c>
      <c r="I5" s="35"/>
      <c r="J5" s="35">
        <v>6306.6156000000001</v>
      </c>
      <c r="K5" s="35"/>
      <c r="L5" s="35">
        <v>156</v>
      </c>
      <c r="M5" s="35">
        <v>94</v>
      </c>
      <c r="N5" s="35">
        <v>144</v>
      </c>
      <c r="O5" s="26"/>
      <c r="P5" s="37"/>
      <c r="Q5" s="37"/>
    </row>
    <row r="6" spans="1:17" ht="45" customHeight="1">
      <c r="A6" s="28">
        <v>44775</v>
      </c>
      <c r="B6" s="39"/>
      <c r="C6" s="35"/>
      <c r="D6" s="35">
        <v>16930</v>
      </c>
      <c r="E6" s="35"/>
      <c r="F6" s="35">
        <v>179.3</v>
      </c>
      <c r="G6" s="35"/>
      <c r="H6" s="35">
        <v>41617.495800000004</v>
      </c>
      <c r="I6" s="35"/>
      <c r="J6" s="35">
        <v>5863.9135200000001</v>
      </c>
      <c r="K6" s="35"/>
      <c r="L6" s="35">
        <v>155</v>
      </c>
      <c r="M6" s="35">
        <v>77</v>
      </c>
      <c r="N6" s="35">
        <v>128</v>
      </c>
      <c r="O6" s="26"/>
      <c r="P6" s="37"/>
      <c r="Q6" s="37"/>
    </row>
    <row r="7" spans="1:17" ht="45" customHeight="1">
      <c r="A7" s="28">
        <v>44776</v>
      </c>
      <c r="B7" s="39"/>
      <c r="C7" s="35"/>
      <c r="D7" s="35">
        <v>16342</v>
      </c>
      <c r="E7" s="35"/>
      <c r="F7" s="35">
        <v>159.30000000000001</v>
      </c>
      <c r="G7" s="35"/>
      <c r="H7" s="35">
        <v>40746.592799999999</v>
      </c>
      <c r="I7" s="35"/>
      <c r="J7" s="35">
        <v>6166.2710399999996</v>
      </c>
      <c r="K7" s="35"/>
      <c r="L7" s="35">
        <v>138</v>
      </c>
      <c r="M7" s="35">
        <v>78</v>
      </c>
      <c r="N7" s="35">
        <v>145</v>
      </c>
      <c r="P7" s="37"/>
      <c r="Q7" s="37"/>
    </row>
    <row r="8" spans="1:17" ht="45" customHeight="1">
      <c r="A8" s="28">
        <v>44777</v>
      </c>
      <c r="B8" s="39"/>
      <c r="C8" s="35"/>
      <c r="D8" s="35">
        <v>15852</v>
      </c>
      <c r="E8" s="35"/>
      <c r="F8" s="35">
        <v>171.2</v>
      </c>
      <c r="G8" s="35"/>
      <c r="H8" s="35">
        <v>18935.125799999998</v>
      </c>
      <c r="I8" s="35"/>
      <c r="J8" s="35">
        <v>6041.3443800000005</v>
      </c>
      <c r="K8" s="35"/>
      <c r="L8" s="35">
        <v>139</v>
      </c>
      <c r="M8" s="35">
        <v>80</v>
      </c>
      <c r="N8" s="35">
        <v>155</v>
      </c>
      <c r="P8" s="37"/>
      <c r="Q8" s="37"/>
    </row>
    <row r="9" spans="1:17" ht="45" customHeight="1">
      <c r="A9" s="28">
        <v>44778</v>
      </c>
      <c r="B9" s="39"/>
      <c r="C9" s="35"/>
      <c r="D9" s="35">
        <v>16242</v>
      </c>
      <c r="E9" s="35"/>
      <c r="F9" s="35">
        <v>197.5</v>
      </c>
      <c r="G9" s="35"/>
      <c r="H9" s="35">
        <v>15977.1114</v>
      </c>
      <c r="I9" s="35"/>
      <c r="J9" s="35">
        <v>6880.2448199999999</v>
      </c>
      <c r="K9" s="35"/>
      <c r="L9" s="35">
        <v>143</v>
      </c>
      <c r="M9" s="35">
        <v>93</v>
      </c>
      <c r="N9" s="35">
        <v>187</v>
      </c>
      <c r="P9" s="37"/>
      <c r="Q9" s="37"/>
    </row>
    <row r="10" spans="1:17" ht="45" customHeight="1">
      <c r="A10" s="28">
        <v>44779</v>
      </c>
      <c r="B10" s="39"/>
      <c r="C10" s="35"/>
      <c r="D10" s="35">
        <v>16462</v>
      </c>
      <c r="E10" s="35"/>
      <c r="F10" s="35">
        <v>184</v>
      </c>
      <c r="G10" s="35"/>
      <c r="H10" s="35">
        <v>18577.597199999997</v>
      </c>
      <c r="I10" s="35"/>
      <c r="J10" s="35">
        <v>6708.8977800000011</v>
      </c>
      <c r="K10" s="35"/>
      <c r="L10" s="35">
        <v>182</v>
      </c>
      <c r="M10" s="35">
        <v>129</v>
      </c>
      <c r="N10" s="35">
        <v>285</v>
      </c>
      <c r="P10" s="37"/>
      <c r="Q10" s="37"/>
    </row>
    <row r="11" spans="1:17" ht="45" customHeight="1">
      <c r="A11" s="28">
        <v>44780</v>
      </c>
      <c r="B11" s="39"/>
      <c r="C11" s="35"/>
      <c r="D11" s="35">
        <v>16813</v>
      </c>
      <c r="E11" s="35"/>
      <c r="F11" s="35">
        <v>180.4</v>
      </c>
      <c r="G11" s="35"/>
      <c r="H11" s="35">
        <v>26981.880599999997</v>
      </c>
      <c r="I11" s="35"/>
      <c r="J11" s="35">
        <v>7060.5648000000001</v>
      </c>
      <c r="K11" s="35"/>
      <c r="L11" s="35">
        <v>192</v>
      </c>
      <c r="M11" s="35">
        <v>94</v>
      </c>
      <c r="N11" s="35">
        <v>169</v>
      </c>
      <c r="P11" s="37"/>
      <c r="Q11" s="37"/>
    </row>
    <row r="12" spans="1:17" ht="45" customHeight="1">
      <c r="A12" s="28">
        <v>44781</v>
      </c>
      <c r="B12" s="39"/>
      <c r="C12" s="35"/>
      <c r="D12" s="35">
        <v>16401</v>
      </c>
      <c r="E12" s="35"/>
      <c r="F12" s="35">
        <v>182.3</v>
      </c>
      <c r="G12" s="35"/>
      <c r="H12" s="35">
        <v>32767.898999999998</v>
      </c>
      <c r="I12" s="35"/>
      <c r="J12" s="35">
        <v>6333.5622000000003</v>
      </c>
      <c r="K12" s="35"/>
      <c r="L12" s="35">
        <v>173</v>
      </c>
      <c r="M12" s="35">
        <v>105</v>
      </c>
      <c r="N12" s="35">
        <v>177</v>
      </c>
      <c r="P12" s="37"/>
      <c r="Q12" s="37"/>
    </row>
    <row r="13" spans="1:17" ht="45" customHeight="1">
      <c r="A13" s="28">
        <v>44782</v>
      </c>
      <c r="B13" s="39"/>
      <c r="C13" s="35"/>
      <c r="D13" s="35">
        <v>16397</v>
      </c>
      <c r="E13" s="35"/>
      <c r="F13" s="35">
        <v>174.3</v>
      </c>
      <c r="G13" s="35"/>
      <c r="H13" s="35">
        <v>33271.5504</v>
      </c>
      <c r="I13" s="35"/>
      <c r="J13" s="35">
        <v>6628.7246999999998</v>
      </c>
      <c r="K13" s="35"/>
      <c r="L13" s="35">
        <v>155</v>
      </c>
      <c r="M13" s="35">
        <v>102</v>
      </c>
      <c r="N13" s="35">
        <v>181</v>
      </c>
      <c r="P13" s="37"/>
      <c r="Q13" s="37"/>
    </row>
    <row r="14" spans="1:17" ht="45" customHeight="1">
      <c r="A14" s="28">
        <v>44783</v>
      </c>
      <c r="B14" s="39"/>
      <c r="C14" s="35"/>
      <c r="D14" s="35">
        <v>16201</v>
      </c>
      <c r="E14" s="35"/>
      <c r="F14" s="35">
        <v>164.2</v>
      </c>
      <c r="G14" s="35"/>
      <c r="H14" s="35">
        <v>33287.107199999999</v>
      </c>
      <c r="I14" s="35"/>
      <c r="J14" s="35">
        <v>6460.5445800000007</v>
      </c>
      <c r="K14" s="35"/>
      <c r="L14" s="35">
        <v>165</v>
      </c>
      <c r="M14" s="35">
        <v>108</v>
      </c>
      <c r="N14" s="35">
        <v>205</v>
      </c>
      <c r="P14" s="37"/>
      <c r="Q14" s="37"/>
    </row>
    <row r="15" spans="1:17" ht="45" customHeight="1">
      <c r="A15" s="28">
        <v>44784</v>
      </c>
      <c r="B15" s="39"/>
      <c r="C15" s="35"/>
      <c r="D15" s="35">
        <v>16586</v>
      </c>
      <c r="E15" s="35"/>
      <c r="F15" s="35">
        <v>173</v>
      </c>
      <c r="G15" s="35"/>
      <c r="H15" s="35">
        <v>33562.684799999995</v>
      </c>
      <c r="I15" s="35"/>
      <c r="J15" s="35">
        <v>6836.0468400000009</v>
      </c>
      <c r="K15" s="35"/>
      <c r="L15" s="35">
        <v>190</v>
      </c>
      <c r="M15" s="35">
        <v>130</v>
      </c>
      <c r="N15" s="35">
        <v>253</v>
      </c>
      <c r="P15" s="37"/>
      <c r="Q15" s="37"/>
    </row>
    <row r="16" spans="1:17" ht="45" customHeight="1">
      <c r="A16" s="28">
        <v>44785</v>
      </c>
      <c r="B16" s="39"/>
      <c r="C16" s="35"/>
      <c r="D16" s="35">
        <v>16710</v>
      </c>
      <c r="E16" s="35"/>
      <c r="F16" s="35">
        <v>183.5</v>
      </c>
      <c r="G16" s="35"/>
      <c r="H16" s="35">
        <v>31517.521199999999</v>
      </c>
      <c r="I16" s="35"/>
      <c r="J16" s="35">
        <v>7174.1850000000004</v>
      </c>
      <c r="K16" s="35"/>
      <c r="L16" s="35">
        <v>205</v>
      </c>
      <c r="M16" s="35">
        <v>111</v>
      </c>
      <c r="N16" s="35">
        <v>232</v>
      </c>
      <c r="P16" s="37"/>
      <c r="Q16" s="37"/>
    </row>
    <row r="17" spans="1:26" ht="45" customHeight="1">
      <c r="A17" s="28">
        <v>44786</v>
      </c>
      <c r="B17" s="39"/>
      <c r="C17" s="35"/>
      <c r="D17" s="35">
        <v>16901</v>
      </c>
      <c r="E17" s="35"/>
      <c r="F17" s="35">
        <v>178.4</v>
      </c>
      <c r="G17" s="35"/>
      <c r="H17" s="35">
        <v>26380.999199999998</v>
      </c>
      <c r="I17" s="35"/>
      <c r="J17" s="35">
        <v>7521.6850199999999</v>
      </c>
      <c r="K17" s="35"/>
      <c r="L17" s="35">
        <v>224</v>
      </c>
      <c r="M17" s="35">
        <v>125</v>
      </c>
      <c r="N17" s="35">
        <v>270</v>
      </c>
      <c r="P17" s="37"/>
      <c r="Q17" s="37"/>
    </row>
    <row r="18" spans="1:26" ht="45" customHeight="1">
      <c r="A18" s="28">
        <v>44787</v>
      </c>
      <c r="B18" s="39"/>
      <c r="C18" s="35"/>
      <c r="D18" s="35">
        <v>17158</v>
      </c>
      <c r="E18" s="35"/>
      <c r="F18" s="35">
        <v>181.4</v>
      </c>
      <c r="G18" s="35"/>
      <c r="H18" s="35">
        <v>32369.255999999998</v>
      </c>
      <c r="I18" s="35"/>
      <c r="J18" s="35">
        <v>7172.7960000000003</v>
      </c>
      <c r="K18" s="35"/>
      <c r="L18" s="35">
        <v>210</v>
      </c>
      <c r="M18" s="35">
        <v>136</v>
      </c>
      <c r="N18" s="35">
        <v>298</v>
      </c>
      <c r="P18" s="37"/>
      <c r="Q18" s="37"/>
      <c r="Z18" s="36"/>
    </row>
    <row r="19" spans="1:26" ht="45" customHeight="1">
      <c r="A19" s="28">
        <v>44788</v>
      </c>
      <c r="B19" s="39"/>
      <c r="C19" s="35"/>
      <c r="D19" s="35">
        <v>17211</v>
      </c>
      <c r="E19" s="35"/>
      <c r="F19" s="35">
        <v>184.3</v>
      </c>
      <c r="G19" s="35"/>
      <c r="H19" s="35">
        <v>36073.718999999997</v>
      </c>
      <c r="I19" s="35"/>
      <c r="J19" s="35">
        <v>7132.48722</v>
      </c>
      <c r="K19" s="35"/>
      <c r="L19" s="35">
        <v>211</v>
      </c>
      <c r="M19" s="35">
        <v>155</v>
      </c>
      <c r="N19" s="35">
        <v>280</v>
      </c>
      <c r="P19" s="37"/>
      <c r="Q19" s="37"/>
    </row>
    <row r="20" spans="1:26" ht="45" customHeight="1">
      <c r="A20" s="28">
        <v>44789</v>
      </c>
      <c r="B20" s="39"/>
      <c r="C20" s="35"/>
      <c r="D20" s="35">
        <v>17239</v>
      </c>
      <c r="E20" s="35"/>
      <c r="F20" s="35">
        <v>179.6</v>
      </c>
      <c r="G20" s="35"/>
      <c r="H20" s="35">
        <v>38572.252200000003</v>
      </c>
      <c r="I20" s="35"/>
      <c r="J20" s="35">
        <v>7031.9513999999999</v>
      </c>
      <c r="K20" s="35"/>
      <c r="L20" s="35">
        <v>196</v>
      </c>
      <c r="M20" s="35">
        <v>117</v>
      </c>
      <c r="N20" s="35">
        <v>210</v>
      </c>
      <c r="P20" s="37"/>
      <c r="Q20" s="37"/>
    </row>
    <row r="21" spans="1:26" ht="45" customHeight="1">
      <c r="A21" s="28">
        <v>44790</v>
      </c>
      <c r="B21" s="39"/>
      <c r="C21" s="35"/>
      <c r="D21" s="35">
        <v>15979</v>
      </c>
      <c r="E21" s="35"/>
      <c r="F21" s="35">
        <v>158.4</v>
      </c>
      <c r="G21" s="35"/>
      <c r="H21" s="35">
        <v>25436.201399999998</v>
      </c>
      <c r="I21" s="35"/>
      <c r="J21" s="35">
        <v>6320.7556199999999</v>
      </c>
      <c r="K21" s="35"/>
      <c r="L21" s="35">
        <v>160</v>
      </c>
      <c r="M21" s="35">
        <v>122</v>
      </c>
      <c r="N21" s="35">
        <v>216</v>
      </c>
      <c r="P21" s="37"/>
      <c r="Q21" s="37"/>
    </row>
    <row r="22" spans="1:26" ht="45" customHeight="1">
      <c r="A22" s="28">
        <v>44791</v>
      </c>
      <c r="B22" s="39"/>
      <c r="C22" s="35"/>
      <c r="D22" s="35">
        <v>16676</v>
      </c>
      <c r="E22" s="35"/>
      <c r="F22" s="35">
        <v>172.6</v>
      </c>
      <c r="G22" s="35"/>
      <c r="H22" s="35">
        <v>27459.418799999999</v>
      </c>
      <c r="I22" s="35"/>
      <c r="J22" s="35">
        <v>6838.4914799999997</v>
      </c>
      <c r="K22" s="35"/>
      <c r="L22" s="35">
        <v>182</v>
      </c>
      <c r="M22" s="35">
        <v>118</v>
      </c>
      <c r="N22" s="35">
        <v>216</v>
      </c>
      <c r="P22" s="37"/>
      <c r="Q22" s="37"/>
    </row>
    <row r="23" spans="1:26" ht="45" customHeight="1">
      <c r="A23" s="28">
        <v>44792</v>
      </c>
      <c r="B23" s="39"/>
      <c r="C23" s="35"/>
      <c r="D23" s="35">
        <v>16490</v>
      </c>
      <c r="E23" s="35"/>
      <c r="F23" s="35">
        <v>179.4</v>
      </c>
      <c r="G23" s="35"/>
      <c r="H23" s="35">
        <v>23355.757199999996</v>
      </c>
      <c r="I23" s="35"/>
      <c r="J23" s="35">
        <v>6347.1466199999995</v>
      </c>
      <c r="K23" s="35"/>
      <c r="L23" s="35">
        <v>177</v>
      </c>
      <c r="M23" s="35">
        <v>141</v>
      </c>
      <c r="N23" s="35">
        <v>294</v>
      </c>
      <c r="P23" s="37"/>
      <c r="Q23" s="37"/>
    </row>
    <row r="24" spans="1:26" ht="45" customHeight="1">
      <c r="A24" s="28">
        <v>44793</v>
      </c>
      <c r="B24" s="39"/>
      <c r="C24" s="35"/>
      <c r="D24" s="35">
        <v>16824</v>
      </c>
      <c r="E24" s="35"/>
      <c r="F24" s="35">
        <v>193.1</v>
      </c>
      <c r="G24" s="35"/>
      <c r="H24" s="35">
        <v>26605.461599999999</v>
      </c>
      <c r="I24" s="35"/>
      <c r="J24" s="35">
        <v>7392.2579999999998</v>
      </c>
      <c r="K24" s="35"/>
      <c r="L24" s="35">
        <v>205</v>
      </c>
      <c r="M24" s="35">
        <v>115</v>
      </c>
      <c r="N24" s="35">
        <v>194</v>
      </c>
      <c r="P24" s="37"/>
      <c r="Q24" s="37"/>
    </row>
    <row r="25" spans="1:26" ht="45" customHeight="1">
      <c r="A25" s="28">
        <v>44794</v>
      </c>
      <c r="B25" s="39"/>
      <c r="C25" s="35"/>
      <c r="D25" s="35">
        <v>16698</v>
      </c>
      <c r="E25" s="35"/>
      <c r="F25" s="35">
        <v>177</v>
      </c>
      <c r="G25" s="35"/>
      <c r="H25" s="35">
        <v>25701.500399999997</v>
      </c>
      <c r="I25" s="35"/>
      <c r="J25" s="35">
        <v>7476.2091600000003</v>
      </c>
      <c r="K25" s="35"/>
      <c r="L25" s="35">
        <v>206</v>
      </c>
      <c r="M25" s="35">
        <v>178</v>
      </c>
      <c r="N25" s="35">
        <v>331</v>
      </c>
      <c r="P25" s="37"/>
      <c r="Q25" s="37"/>
    </row>
    <row r="26" spans="1:26" ht="45" customHeight="1">
      <c r="A26" s="28">
        <v>44795</v>
      </c>
      <c r="B26" s="39"/>
      <c r="C26" s="35"/>
      <c r="D26" s="35">
        <v>16358</v>
      </c>
      <c r="E26" s="35"/>
      <c r="F26" s="35">
        <v>173.9</v>
      </c>
      <c r="G26" s="35"/>
      <c r="H26" s="35">
        <v>23033.509199999997</v>
      </c>
      <c r="I26" s="35"/>
      <c r="J26" s="35">
        <v>7087.6780799999997</v>
      </c>
      <c r="K26" s="35"/>
      <c r="L26" s="35">
        <v>174</v>
      </c>
      <c r="M26" s="35">
        <v>134</v>
      </c>
      <c r="N26" s="35">
        <v>219</v>
      </c>
      <c r="P26" s="37"/>
      <c r="Q26" s="37"/>
    </row>
    <row r="27" spans="1:26" ht="45" customHeight="1">
      <c r="A27" s="28">
        <v>44796</v>
      </c>
      <c r="B27" s="39"/>
      <c r="C27" s="35"/>
      <c r="D27" s="35">
        <v>16427</v>
      </c>
      <c r="E27" s="35"/>
      <c r="F27" s="35">
        <v>174.1</v>
      </c>
      <c r="G27" s="35"/>
      <c r="H27" s="35">
        <v>34810.840199999999</v>
      </c>
      <c r="I27" s="35"/>
      <c r="J27" s="35">
        <v>6448.3491599999998</v>
      </c>
      <c r="K27" s="35"/>
      <c r="L27" s="35">
        <v>179</v>
      </c>
      <c r="M27" s="35">
        <v>117</v>
      </c>
      <c r="N27" s="35">
        <v>223</v>
      </c>
      <c r="P27" s="37"/>
      <c r="Q27" s="37"/>
    </row>
    <row r="28" spans="1:26" ht="45" customHeight="1">
      <c r="A28" s="28">
        <v>44797</v>
      </c>
      <c r="B28" s="39"/>
      <c r="C28" s="35"/>
      <c r="D28" s="35">
        <v>15907</v>
      </c>
      <c r="E28" s="35"/>
      <c r="F28" s="35">
        <v>162.9</v>
      </c>
      <c r="G28" s="35"/>
      <c r="H28" s="35">
        <v>28741.743599999998</v>
      </c>
      <c r="I28" s="35"/>
      <c r="J28" s="35">
        <v>6500.2421999999997</v>
      </c>
      <c r="K28" s="35"/>
      <c r="L28" s="35">
        <v>139</v>
      </c>
      <c r="M28" s="35">
        <v>123</v>
      </c>
      <c r="N28" s="35">
        <v>221</v>
      </c>
      <c r="P28" s="37"/>
      <c r="Q28" s="37"/>
    </row>
    <row r="29" spans="1:26" ht="45" customHeight="1">
      <c r="A29" s="28">
        <v>44798</v>
      </c>
      <c r="B29" s="39"/>
      <c r="C29" s="35"/>
      <c r="D29" s="35">
        <v>16612</v>
      </c>
      <c r="E29" s="35"/>
      <c r="F29" s="35">
        <v>180.2</v>
      </c>
      <c r="G29" s="35"/>
      <c r="H29" s="35">
        <v>20284.400399999999</v>
      </c>
      <c r="I29" s="35"/>
      <c r="J29" s="35">
        <v>6639.1422000000002</v>
      </c>
      <c r="K29" s="35"/>
      <c r="L29" s="35">
        <v>174</v>
      </c>
      <c r="M29" s="35">
        <v>120</v>
      </c>
      <c r="N29" s="35">
        <v>195</v>
      </c>
      <c r="P29" s="37"/>
      <c r="Q29" s="37"/>
    </row>
    <row r="30" spans="1:26" ht="45" customHeight="1">
      <c r="A30" s="28">
        <v>44799</v>
      </c>
      <c r="B30" s="39"/>
      <c r="C30" s="35"/>
      <c r="D30" s="35">
        <v>16737</v>
      </c>
      <c r="E30" s="35"/>
      <c r="F30" s="35">
        <v>172.6</v>
      </c>
      <c r="G30" s="35"/>
      <c r="H30" s="35">
        <v>30209.638799999997</v>
      </c>
      <c r="I30" s="35"/>
      <c r="J30" s="35">
        <v>6446.6823599999998</v>
      </c>
      <c r="K30" s="35"/>
      <c r="L30" s="35">
        <v>163</v>
      </c>
      <c r="M30" s="35">
        <v>117</v>
      </c>
      <c r="N30" s="35">
        <v>219</v>
      </c>
      <c r="P30" s="37"/>
      <c r="Q30" s="37"/>
    </row>
    <row r="31" spans="1:26" ht="45" customHeight="1">
      <c r="A31" s="28">
        <v>44800</v>
      </c>
      <c r="B31" s="39"/>
      <c r="C31" s="35"/>
      <c r="D31" s="35">
        <v>17267</v>
      </c>
      <c r="E31" s="35"/>
      <c r="F31" s="35">
        <v>198.5</v>
      </c>
      <c r="G31" s="35"/>
      <c r="H31" s="35">
        <v>35527.841999999997</v>
      </c>
      <c r="I31" s="35"/>
      <c r="J31" s="35">
        <v>7031.1180000000004</v>
      </c>
      <c r="K31" s="35"/>
      <c r="L31" s="35">
        <v>181</v>
      </c>
      <c r="M31" s="35">
        <v>179</v>
      </c>
      <c r="N31" s="35">
        <v>360</v>
      </c>
      <c r="P31" s="37"/>
      <c r="Q31" s="37"/>
    </row>
    <row r="32" spans="1:26" ht="45" customHeight="1">
      <c r="A32" s="28">
        <v>44801</v>
      </c>
      <c r="B32" s="39"/>
      <c r="C32" s="35"/>
      <c r="D32" s="35">
        <v>16727</v>
      </c>
      <c r="E32" s="35"/>
      <c r="F32" s="35">
        <v>196</v>
      </c>
      <c r="G32" s="35"/>
      <c r="H32" s="35">
        <v>19032.633599999997</v>
      </c>
      <c r="I32" s="35"/>
      <c r="J32" s="35">
        <v>7810.8470400000006</v>
      </c>
      <c r="K32" s="35"/>
      <c r="L32" s="35">
        <v>203</v>
      </c>
      <c r="M32" s="35">
        <v>137</v>
      </c>
      <c r="N32" s="35">
        <v>244</v>
      </c>
      <c r="P32" s="37"/>
      <c r="Q32" s="37"/>
    </row>
    <row r="33" spans="1:17" ht="36" customHeight="1">
      <c r="A33" s="28">
        <v>44802</v>
      </c>
      <c r="C33" s="35"/>
      <c r="D33" s="35">
        <v>16211</v>
      </c>
      <c r="E33" s="35"/>
      <c r="F33" s="35">
        <v>178.6</v>
      </c>
      <c r="G33" s="35"/>
      <c r="H33" s="35">
        <v>13749.710999999999</v>
      </c>
      <c r="I33" s="35"/>
      <c r="J33" s="35">
        <v>7251.5245199999999</v>
      </c>
      <c r="K33" s="35"/>
      <c r="L33" s="35">
        <v>161</v>
      </c>
      <c r="M33" s="35">
        <v>137</v>
      </c>
      <c r="N33" s="35">
        <v>243</v>
      </c>
      <c r="P33" s="37"/>
      <c r="Q33" s="37"/>
    </row>
    <row r="34" spans="1:17" ht="45.5" customHeight="1">
      <c r="A34" s="28">
        <v>44803</v>
      </c>
      <c r="C34" s="35"/>
      <c r="D34" s="35">
        <v>16488</v>
      </c>
      <c r="E34" s="35"/>
      <c r="F34" s="35">
        <v>177.2</v>
      </c>
      <c r="G34" s="35"/>
      <c r="H34" s="35">
        <v>15804.319799999999</v>
      </c>
      <c r="I34" s="35"/>
      <c r="J34" s="35">
        <v>7796.9292599999999</v>
      </c>
      <c r="K34" s="35"/>
      <c r="L34" s="35">
        <v>151</v>
      </c>
      <c r="M34" s="35">
        <v>135</v>
      </c>
      <c r="N34" s="35">
        <v>218</v>
      </c>
      <c r="P34" s="37"/>
      <c r="Q34" s="37"/>
    </row>
    <row r="35" spans="1:17" ht="47.5" customHeight="1">
      <c r="A35" s="28">
        <v>44804</v>
      </c>
      <c r="C35" s="35"/>
      <c r="D35" s="35">
        <v>16287</v>
      </c>
      <c r="E35" s="35"/>
      <c r="F35" s="35">
        <v>181.3</v>
      </c>
      <c r="G35" s="35"/>
      <c r="H35" s="35">
        <v>28534.226999999999</v>
      </c>
      <c r="I35" s="35"/>
      <c r="J35" s="35">
        <v>6486.3244199999999</v>
      </c>
      <c r="K35" s="35"/>
      <c r="L35" s="35">
        <v>141</v>
      </c>
      <c r="M35" s="35">
        <v>112</v>
      </c>
      <c r="N35" s="35">
        <v>168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0</v>
      </c>
      <c r="E38" s="38">
        <f>SUM(E5:E37)</f>
        <v>0</v>
      </c>
      <c r="G38" s="38">
        <f>SUM(G5:G37)</f>
        <v>0</v>
      </c>
      <c r="H38" s="38"/>
      <c r="I38" s="38">
        <f>SUM(I5:I37)</f>
        <v>0</v>
      </c>
      <c r="K38" s="38">
        <f>SUM(K5:K37)</f>
        <v>0</v>
      </c>
      <c r="M38" s="38">
        <f>SUM(M5:M37)</f>
        <v>3719</v>
      </c>
      <c r="N38" s="38">
        <f>SUM(N5:N37)</f>
        <v>6880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2023-02-24T15:57:28Z</dcterms:modified>
</cp:coreProperties>
</file>