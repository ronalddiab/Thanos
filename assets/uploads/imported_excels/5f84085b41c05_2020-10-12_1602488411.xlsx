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2" i="3" l="1"/>
  <c r="B32" i="3"/>
  <c r="C4" i="3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3"/>
  <c r="E32" i="1"/>
  <c r="G32" i="1"/>
  <c r="I32" i="1"/>
  <c r="K32" i="1"/>
  <c r="L32" i="1"/>
  <c r="B32" i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<sst xmlns="http://schemas.openxmlformats.org/spreadsheetml/2006/main" count="108" uniqueCount="33">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</sst>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32" sqref="E32:K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2020</v>
      </c>
      <c r="E2" s="20">
        <f>Submetering!E2</f>
        <v>7742.25</v>
      </c>
      <c r="F2" s="16">
        <v>0.12</v>
      </c>
      <c r="G2" s="20">
        <f>Submetering!F2+Submetering!G2</f>
        <v>128.77051902056076</v>
      </c>
      <c r="H2" s="16">
        <v>0.71</v>
      </c>
      <c r="I2" s="20">
        <f>Submetering!J2+Submetering!I2+Submetering!H2</f>
        <v>61.709531337800001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2020</v>
      </c>
      <c r="E3" s="20">
        <f>Submetering!E3</f>
        <v>7629.75</v>
      </c>
      <c r="F3" s="16">
        <v>0.12</v>
      </c>
      <c r="G3" s="20">
        <f>Submetering!F3+Submetering!G3</f>
        <v>139.54847473943929</v>
      </c>
      <c r="H3" s="16">
        <v>0.71</v>
      </c>
      <c r="I3" s="20">
        <f>Submetering!J3+Submetering!I3+Submetering!H3</f>
        <v>61.6753875693</v>
      </c>
      <c r="J3" s="16">
        <v>2.3196172978505634</v>
      </c>
      <c r="K3" s="20">
        <f>Submetering!K3</f>
        <v>28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2020</v>
      </c>
      <c r="E4" s="20">
        <f>Submetering!E4</f>
        <v>7501.5</v>
      </c>
      <c r="F4" s="16">
        <v>0.12</v>
      </c>
      <c r="G4" s="20">
        <f>Submetering!F4+Submetering!G4</f>
        <v>240.86443626158882</v>
      </c>
      <c r="H4" s="16">
        <v>0.71</v>
      </c>
      <c r="I4" s="20">
        <f>Submetering!J4+Submetering!I4+Submetering!H4</f>
        <v>60.989505599200001</v>
      </c>
      <c r="J4" s="16">
        <v>2.3196172978505634</v>
      </c>
      <c r="K4" s="20">
        <f>Submetering!K4</f>
        <v>41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2020</v>
      </c>
      <c r="E5" s="20">
        <f>Submetering!E5</f>
        <v>7312.5</v>
      </c>
      <c r="F5" s="16">
        <v>0.12</v>
      </c>
      <c r="G5" s="20">
        <f>Submetering!F5+Submetering!G5</f>
        <v>183.80113624813086</v>
      </c>
      <c r="H5" s="16">
        <v>0.71</v>
      </c>
      <c r="I5" s="20">
        <f>Submetering!J5+Submetering!I5+Submetering!H5</f>
        <v>60.067073571500003</v>
      </c>
      <c r="J5" s="16">
        <v>2.3196172978505634</v>
      </c>
      <c r="K5" s="20">
        <f>Submetering!K5</f>
        <v>25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2020</v>
      </c>
      <c r="E6" s="20">
        <f>Submetering!E6</f>
        <v>7476.75</v>
      </c>
      <c r="F6" s="16">
        <v>0.12</v>
      </c>
      <c r="G6" s="20">
        <f>Submetering!F6+Submetering!G6</f>
        <v>263.82068489598129</v>
      </c>
      <c r="H6" s="16">
        <v>0.71</v>
      </c>
      <c r="I6" s="20">
        <f>Submetering!J6+Submetering!I6+Submetering!H6</f>
        <v>67.494361339799994</v>
      </c>
      <c r="J6" s="16">
        <v>2.3196172978505634</v>
      </c>
      <c r="K6" s="20">
        <f>Submetering!K6</f>
        <v>22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2020</v>
      </c>
      <c r="E7" s="20">
        <f>Submetering!E7</f>
        <v>7584.75</v>
      </c>
      <c r="F7" s="16">
        <v>0.12</v>
      </c>
      <c r="G7" s="20">
        <f>Submetering!F7+Submetering!G7</f>
        <v>201.41390177074769</v>
      </c>
      <c r="H7" s="16">
        <v>0.71</v>
      </c>
      <c r="I7" s="20">
        <f>Submetering!J7+Submetering!I7+Submetering!H7</f>
        <v>61.283461905699994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2020</v>
      </c>
      <c r="E8" s="20">
        <f>Submetering!E8</f>
        <v>7481.25</v>
      </c>
      <c r="F8" s="16">
        <v>0.12</v>
      </c>
      <c r="G8" s="20">
        <f>Submetering!F8+Submetering!G8</f>
        <v>179.0088314562617</v>
      </c>
      <c r="H8" s="16">
        <v>0.71</v>
      </c>
      <c r="I8" s="20">
        <f>Submetering!J8+Submetering!I8+Submetering!H8</f>
        <v>65.961643752900002</v>
      </c>
      <c r="J8" s="16">
        <v>2.3196172978505634</v>
      </c>
      <c r="K8" s="20">
        <f>Submetering!K8</f>
        <v>27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2020</v>
      </c>
      <c r="E9" s="20">
        <f>Submetering!E9</f>
        <v>7596</v>
      </c>
      <c r="F9" s="16">
        <v>0.12</v>
      </c>
      <c r="G9" s="20">
        <f>Submetering!F9+Submetering!G9</f>
        <v>190.33332824616826</v>
      </c>
      <c r="H9" s="16">
        <v>0.71</v>
      </c>
      <c r="I9" s="20">
        <f>Submetering!J9+Submetering!I9+Submetering!H9</f>
        <v>64.101909277399997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2020</v>
      </c>
      <c r="E10" s="20">
        <f>Submetering!E10</f>
        <v>8025.75</v>
      </c>
      <c r="F10" s="16">
        <v>0.12</v>
      </c>
      <c r="G10" s="20">
        <f>Submetering!F10+Submetering!G10</f>
        <v>155.47732952457946</v>
      </c>
      <c r="H10" s="16">
        <v>0.71</v>
      </c>
      <c r="I10" s="20">
        <f>Submetering!J10+Submetering!I10+Submetering!H10</f>
        <v>71.086495976599991</v>
      </c>
      <c r="J10" s="16">
        <v>2.3196172978505634</v>
      </c>
      <c r="K10" s="20">
        <f>Submetering!K10</f>
        <v>42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2020</v>
      </c>
      <c r="E11" s="20">
        <f>Submetering!E11</f>
        <v>7926.75</v>
      </c>
      <c r="F11" s="16">
        <v>0.12</v>
      </c>
      <c r="G11" s="20">
        <f>Submetering!F11+Submetering!G11</f>
        <v>175.60481823971963</v>
      </c>
      <c r="H11" s="16">
        <v>0.71</v>
      </c>
      <c r="I11" s="20">
        <f>Submetering!J11+Submetering!I11+Submetering!H11</f>
        <v>33.1008613021</v>
      </c>
      <c r="J11" s="16">
        <v>2.3196172978505634</v>
      </c>
      <c r="K11" s="20">
        <f>Submetering!K11</f>
        <v>18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2020</v>
      </c>
      <c r="E12" s="20">
        <f>Submetering!E12</f>
        <v>7427.25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15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8" sqref="K8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10</v>
      </c>
      <c r="D2" s="6">
        <v>2020</v>
      </c>
      <c r="E2" s="20">
        <v>7742.25</v>
      </c>
      <c r="F2" s="20">
        <v>113.71529011588785</v>
      </c>
      <c r="G2" s="20">
        <v>15.055228904672898</v>
      </c>
      <c r="H2" s="20">
        <v>1.7130000000000001</v>
      </c>
      <c r="I2" s="20">
        <v>34</v>
      </c>
      <c r="J2" s="20">
        <v>25.9965313378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f>C2</f>
        <v>10</v>
      </c>
      <c r="D3" s="6">
        <v>2020</v>
      </c>
      <c r="E3" s="20">
        <v>7629.75</v>
      </c>
      <c r="F3" s="20">
        <v>117.90033880841123</v>
      </c>
      <c r="G3" s="20">
        <v>21.64813593102804</v>
      </c>
      <c r="H3" s="20">
        <v>1.67</v>
      </c>
      <c r="I3" s="6">
        <v>32</v>
      </c>
      <c r="J3" s="20">
        <v>28.005387569300002</v>
      </c>
      <c r="K3" s="20">
        <v>28</v>
      </c>
    </row>
    <row r="4" spans="1:12" x14ac:dyDescent="0.25">
      <c r="A4" s="9" t="s">
        <v>32</v>
      </c>
      <c r="B4" s="6">
        <f t="shared" ref="B4:B32" si="0">B3+1</f>
        <v>3</v>
      </c>
      <c r="C4" s="6">
        <f t="shared" ref="C4:C31" si="1">C3</f>
        <v>10</v>
      </c>
      <c r="D4" s="6">
        <v>2020</v>
      </c>
      <c r="E4" s="20">
        <v>7501.5</v>
      </c>
      <c r="F4" s="20">
        <v>220.70210300280377</v>
      </c>
      <c r="G4" s="20">
        <v>20.162333258785047</v>
      </c>
      <c r="H4" s="20">
        <v>0.96899999999999997</v>
      </c>
      <c r="I4" s="6">
        <v>34</v>
      </c>
      <c r="J4" s="20">
        <v>26.0205055992</v>
      </c>
      <c r="K4" s="20">
        <v>41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10</v>
      </c>
      <c r="D5" s="6">
        <v>2020</v>
      </c>
      <c r="E5" s="20">
        <v>7312.5</v>
      </c>
      <c r="F5" s="20">
        <v>160.62346717476638</v>
      </c>
      <c r="G5" s="20">
        <v>23.177669073364488</v>
      </c>
      <c r="H5" s="20">
        <v>1.089</v>
      </c>
      <c r="I5" s="6">
        <v>32</v>
      </c>
      <c r="J5" s="20">
        <v>26.978073571500001</v>
      </c>
      <c r="K5" s="20">
        <v>25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10</v>
      </c>
      <c r="D6" s="6">
        <v>2020</v>
      </c>
      <c r="E6" s="20">
        <v>7476.75</v>
      </c>
      <c r="F6" s="20">
        <v>243.79024085514018</v>
      </c>
      <c r="G6" s="20">
        <v>20.030444040841122</v>
      </c>
      <c r="H6" s="20">
        <v>5.4720000000000004</v>
      </c>
      <c r="I6" s="20">
        <v>34</v>
      </c>
      <c r="J6" s="20">
        <v>28.0223613398</v>
      </c>
      <c r="K6" s="20">
        <v>22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10</v>
      </c>
      <c r="D7" s="6">
        <v>2020</v>
      </c>
      <c r="E7" s="20">
        <v>7584.75</v>
      </c>
      <c r="F7" s="20">
        <v>179.46995597009348</v>
      </c>
      <c r="G7" s="20">
        <v>21.943945800654205</v>
      </c>
      <c r="H7" s="20">
        <v>3.3090000000000002</v>
      </c>
      <c r="I7" s="20">
        <v>32</v>
      </c>
      <c r="J7" s="20">
        <v>25.9744619057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10</v>
      </c>
      <c r="D8" s="6">
        <v>2020</v>
      </c>
      <c r="E8" s="20">
        <v>7481.25</v>
      </c>
      <c r="F8" s="20">
        <v>160.39547690000001</v>
      </c>
      <c r="G8" s="20">
        <v>18.613354556261683</v>
      </c>
      <c r="H8" s="20">
        <v>0.93500000000000005</v>
      </c>
      <c r="I8" s="20">
        <v>35</v>
      </c>
      <c r="J8" s="20">
        <v>30.0266437529</v>
      </c>
      <c r="K8" s="20">
        <v>27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10</v>
      </c>
      <c r="D9" s="6">
        <v>2020</v>
      </c>
      <c r="E9" s="6">
        <v>7596</v>
      </c>
      <c r="F9" s="20">
        <v>173.72138456915891</v>
      </c>
      <c r="G9" s="20">
        <v>16.611943677009346</v>
      </c>
      <c r="H9" s="20">
        <v>1.1060000000000001</v>
      </c>
      <c r="I9" s="6">
        <v>33</v>
      </c>
      <c r="J9" s="20">
        <v>29.995909277399999</v>
      </c>
      <c r="K9" s="20">
        <v>38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10</v>
      </c>
      <c r="D10" s="6">
        <v>2020</v>
      </c>
      <c r="E10" s="20">
        <v>8025.75</v>
      </c>
      <c r="F10" s="20">
        <v>138.70250612523367</v>
      </c>
      <c r="G10" s="20">
        <v>16.774823399345795</v>
      </c>
      <c r="H10" s="20">
        <v>1.091</v>
      </c>
      <c r="I10" s="6">
        <v>37</v>
      </c>
      <c r="J10" s="20">
        <v>32.995495976599997</v>
      </c>
      <c r="K10" s="20">
        <v>42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10</v>
      </c>
      <c r="D11" s="6">
        <v>2020</v>
      </c>
      <c r="E11" s="20">
        <v>7926.75</v>
      </c>
      <c r="F11" s="20">
        <v>157.50040229439253</v>
      </c>
      <c r="G11" s="20">
        <v>18.104415945327105</v>
      </c>
      <c r="H11" s="20">
        <v>1.097</v>
      </c>
      <c r="I11" s="6"/>
      <c r="J11" s="20">
        <v>32.003861302099999</v>
      </c>
      <c r="K11" s="20">
        <v>18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10</v>
      </c>
      <c r="D12" s="6">
        <v>2020</v>
      </c>
      <c r="E12" s="20">
        <v>7427.25</v>
      </c>
      <c r="F12" s="20">
        <v>0</v>
      </c>
      <c r="G12" s="20">
        <v>0</v>
      </c>
      <c r="K12" s="20">
        <v>15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10</v>
      </c>
      <c r="D13" s="6">
        <v>2020</v>
      </c>
      <c r="K13" s="20"/>
    </row>
    <row r="14" spans="1:12" x14ac:dyDescent="0.25">
      <c r="A14" s="9" t="s">
        <v>32</v>
      </c>
      <c r="B14" s="6">
        <f t="shared" si="0"/>
        <v>13</v>
      </c>
      <c r="C14" s="6">
        <f t="shared" si="1"/>
        <v>10</v>
      </c>
      <c r="D14" s="6">
        <v>2020</v>
      </c>
      <c r="G14" s="32"/>
      <c r="K14" s="20"/>
    </row>
    <row r="15" spans="1:12" x14ac:dyDescent="0.25">
      <c r="A15" s="9" t="s">
        <v>32</v>
      </c>
      <c r="B15" s="6">
        <f t="shared" si="0"/>
        <v>14</v>
      </c>
      <c r="C15" s="6">
        <f t="shared" si="1"/>
        <v>10</v>
      </c>
      <c r="D15" s="6">
        <v>2020</v>
      </c>
      <c r="G15" s="32"/>
      <c r="K15" s="20"/>
    </row>
    <row r="16" spans="1:12" x14ac:dyDescent="0.25">
      <c r="A16" s="9" t="s">
        <v>32</v>
      </c>
      <c r="B16" s="6">
        <f t="shared" si="0"/>
        <v>15</v>
      </c>
      <c r="C16" s="6">
        <f t="shared" si="1"/>
        <v>10</v>
      </c>
      <c r="D16" s="6">
        <v>2020</v>
      </c>
      <c r="G16" s="32"/>
      <c r="K16" s="20"/>
    </row>
    <row r="17" spans="1:11" x14ac:dyDescent="0.25">
      <c r="A17" s="9" t="s">
        <v>32</v>
      </c>
      <c r="B17" s="6">
        <f t="shared" si="0"/>
        <v>16</v>
      </c>
      <c r="C17" s="6">
        <f t="shared" si="1"/>
        <v>10</v>
      </c>
      <c r="D17" s="6">
        <v>2020</v>
      </c>
      <c r="G17" s="32"/>
      <c r="K17" s="20"/>
    </row>
    <row r="18" spans="1:11" x14ac:dyDescent="0.25">
      <c r="A18" s="9" t="s">
        <v>32</v>
      </c>
      <c r="B18" s="6">
        <f t="shared" si="0"/>
        <v>17</v>
      </c>
      <c r="C18" s="6">
        <f t="shared" si="1"/>
        <v>10</v>
      </c>
      <c r="D18" s="6">
        <v>2020</v>
      </c>
      <c r="G18" s="32"/>
      <c r="K18" s="20"/>
    </row>
    <row r="19" spans="1:11" x14ac:dyDescent="0.25">
      <c r="A19" s="9" t="s">
        <v>32</v>
      </c>
      <c r="B19" s="6">
        <f t="shared" si="0"/>
        <v>18</v>
      </c>
      <c r="C19" s="6">
        <f t="shared" si="1"/>
        <v>10</v>
      </c>
      <c r="D19" s="6">
        <v>2020</v>
      </c>
      <c r="G19" s="32"/>
      <c r="K19" s="20"/>
    </row>
    <row r="20" spans="1:11" x14ac:dyDescent="0.25">
      <c r="A20" s="9" t="s">
        <v>32</v>
      </c>
      <c r="B20" s="6">
        <f t="shared" si="0"/>
        <v>19</v>
      </c>
      <c r="C20" s="6">
        <f t="shared" si="1"/>
        <v>10</v>
      </c>
      <c r="D20" s="6">
        <v>2020</v>
      </c>
      <c r="G20" s="32"/>
      <c r="K20" s="20"/>
    </row>
    <row r="21" spans="1:11" x14ac:dyDescent="0.25">
      <c r="A21" s="9" t="s">
        <v>32</v>
      </c>
      <c r="B21" s="6">
        <f t="shared" si="0"/>
        <v>20</v>
      </c>
      <c r="C21" s="6">
        <f t="shared" si="1"/>
        <v>10</v>
      </c>
      <c r="D21" s="6">
        <v>2020</v>
      </c>
      <c r="F21" s="32"/>
      <c r="G21" s="32"/>
      <c r="K21" s="20"/>
    </row>
    <row r="22" spans="1:11" x14ac:dyDescent="0.25">
      <c r="A22" s="9" t="s">
        <v>32</v>
      </c>
      <c r="B22" s="6">
        <f t="shared" si="0"/>
        <v>21</v>
      </c>
      <c r="C22" s="6">
        <f t="shared" si="1"/>
        <v>10</v>
      </c>
      <c r="D22" s="6">
        <v>2020</v>
      </c>
      <c r="F22" s="32"/>
      <c r="G22" s="32"/>
      <c r="H22" s="32"/>
      <c r="I22" s="32"/>
      <c r="J22" s="32"/>
      <c r="K22" s="20"/>
    </row>
    <row r="23" spans="1:11" x14ac:dyDescent="0.25">
      <c r="A23" s="9" t="s">
        <v>32</v>
      </c>
      <c r="B23" s="6">
        <f t="shared" si="0"/>
        <v>22</v>
      </c>
      <c r="C23" s="6">
        <f t="shared" si="1"/>
        <v>10</v>
      </c>
      <c r="D23" s="6">
        <v>2020</v>
      </c>
      <c r="F23" s="32"/>
      <c r="G23" s="32"/>
      <c r="H23" s="32"/>
      <c r="I23" s="32"/>
      <c r="J23" s="32"/>
      <c r="K23" s="20"/>
    </row>
    <row r="24" spans="1:11" x14ac:dyDescent="0.25">
      <c r="A24" s="9" t="s">
        <v>32</v>
      </c>
      <c r="B24" s="6">
        <f t="shared" si="0"/>
        <v>23</v>
      </c>
      <c r="C24" s="6">
        <f t="shared" si="1"/>
        <v>10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10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10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10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10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10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10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10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A32" s="9" t="s">
        <v>32</v>
      </c>
      <c r="B32" s="6">
        <f t="shared" si="0"/>
        <v>31</v>
      </c>
      <c r="C32" s="6">
        <f t="shared" ref="C32" si="2">C31</f>
        <v>10</v>
      </c>
      <c r="D32" s="6">
        <v>2020</v>
      </c>
      <c r="F32" s="32"/>
      <c r="G32" s="32"/>
      <c r="H32" s="32"/>
      <c r="I32" s="32"/>
      <c r="J32" s="32"/>
      <c r="K32" s="20"/>
    </row>
    <row r="33" spans="6:10" x14ac:dyDescent="0.25">
      <c r="F33" s="32"/>
      <c r="G33" s="32"/>
      <c r="H33" s="32"/>
      <c r="I33" s="32"/>
      <c r="J33" s="32"/>
    </row>
    <row r="34" spans="6:10" x14ac:dyDescent="0.25">
      <c r="G34" s="32"/>
      <c r="H34" s="32"/>
      <c r="I34" s="32"/>
      <c r="J34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2020-10-12T07:39:03Z</dcterms:modified>
</cp:coreProperties>
</file>