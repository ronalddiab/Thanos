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3"/>
  <c r="AF18"/>
  <c r="AF17"/>
  <c r="G17"/>
  <c r="AF16"/>
  <c r="G16"/>
  <c r="L15"/>
  <c r="L16"/>
  <c r="L17"/>
  <c r="L18"/>
  <c r="L19"/>
  <c r="L20"/>
  <c r="L21"/>
  <c r="L22"/>
  <c r="AF15"/>
  <c r="G15"/>
  <c r="G14"/>
  <c r="AF14"/>
  <c r="AF13"/>
  <c r="G13"/>
  <c r="M12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G5"/>
  <c r="J3" i="18" s="1"/>
  <c r="F18" i="10"/>
  <c r="F19"/>
  <c r="F20"/>
  <c r="F21"/>
  <c r="F22"/>
  <c r="F23"/>
  <c r="F24"/>
  <c r="F25"/>
  <c r="F26"/>
  <c r="F27"/>
  <c r="F28"/>
  <c r="F29"/>
  <c r="F30"/>
  <c r="F31"/>
  <c r="F32"/>
  <c r="F33"/>
  <c r="F34"/>
  <c r="F35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0"/>
  <c r="L21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19"/>
  <c r="K20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8"/>
  <c r="Q9"/>
  <c r="Q10"/>
  <c r="Q13"/>
  <c r="Q14"/>
  <c r="Q16"/>
  <c r="Q17"/>
  <c r="Q18"/>
  <c r="Q19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5" i="3"/>
  <c r="N8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H19" i="23" s="1"/>
  <c r="AC21" i="13"/>
  <c r="H20" i="23" s="1"/>
  <c r="AC22" i="13"/>
  <c r="H21" i="23" s="1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15" i="10" s="1"/>
  <c r="K5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AK24"/>
  <c r="C18" i="23" s="1"/>
  <c r="U25" i="1"/>
  <c r="AK25"/>
  <c r="C19" i="23" s="1"/>
  <c r="U26" i="1"/>
  <c r="AK26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J25" s="1"/>
  <c r="G26"/>
  <c r="J26" s="1"/>
  <c r="G27"/>
  <c r="J27" s="1"/>
  <c r="G28"/>
  <c r="J28" s="1"/>
  <c r="G29"/>
  <c r="G30"/>
  <c r="G31"/>
  <c r="G33"/>
  <c r="G36"/>
  <c r="G37"/>
  <c r="G38"/>
  <c r="G39"/>
  <c r="G40"/>
  <c r="J22" l="1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18" i="23" l="1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<sst xmlns="http://schemas.openxmlformats.org/spreadsheetml/2006/main" count="534" uniqueCount="321">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</sst>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822.74</c:v>
                </c:pt>
                <c:pt idx="7">
                  <c:v>888.95</c:v>
                </c:pt>
                <c:pt idx="8">
                  <c:v>799.13</c:v>
                </c:pt>
                <c:pt idx="9">
                  <c:v>777.96</c:v>
                </c:pt>
                <c:pt idx="10">
                  <c:v>763.8</c:v>
                </c:pt>
                <c:pt idx="11">
                  <c:v>756.53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785856"/>
        <c:axId val="1337917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793280"/>
        <c:axId val="133794816"/>
      </c:lineChart>
      <c:catAx>
        <c:axId val="13378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1744"/>
        <c:crosses val="autoZero"/>
        <c:auto val="1"/>
        <c:lblAlgn val="ctr"/>
        <c:lblOffset val="100"/>
      </c:catAx>
      <c:valAx>
        <c:axId val="1337917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5856"/>
        <c:crosses val="autoZero"/>
        <c:crossBetween val="between"/>
        <c:majorUnit val="200"/>
      </c:valAx>
      <c:catAx>
        <c:axId val="133793280"/>
        <c:scaling>
          <c:orientation val="minMax"/>
        </c:scaling>
        <c:delete val="1"/>
        <c:axPos val="b"/>
        <c:tickLblPos val="none"/>
        <c:crossAx val="133794816"/>
        <c:crosses val="autoZero"/>
        <c:auto val="1"/>
        <c:lblAlgn val="ctr"/>
        <c:lblOffset val="100"/>
      </c:catAx>
      <c:valAx>
        <c:axId val="133794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93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3790592"/>
        <c:axId val="937921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3793664"/>
        <c:axId val="93799552"/>
      </c:lineChart>
      <c:catAx>
        <c:axId val="9379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2128"/>
        <c:crosses val="autoZero"/>
        <c:auto val="1"/>
        <c:lblAlgn val="ctr"/>
        <c:lblOffset val="100"/>
      </c:catAx>
      <c:valAx>
        <c:axId val="9379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0592"/>
        <c:crosses val="autoZero"/>
        <c:crossBetween val="between"/>
        <c:majorUnit val="200"/>
      </c:valAx>
      <c:catAx>
        <c:axId val="93793664"/>
        <c:scaling>
          <c:orientation val="minMax"/>
        </c:scaling>
        <c:delete val="1"/>
        <c:axPos val="b"/>
        <c:tickLblPos val="none"/>
        <c:crossAx val="93799552"/>
        <c:crosses val="autoZero"/>
        <c:auto val="1"/>
        <c:lblAlgn val="ctr"/>
        <c:lblOffset val="100"/>
      </c:catAx>
      <c:valAx>
        <c:axId val="937995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3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788.13</c:v>
                </c:pt>
                <c:pt idx="13">
                  <c:v>763.8</c:v>
                </c:pt>
                <c:pt idx="14">
                  <c:v>756.53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4197248"/>
        <c:axId val="94198784"/>
      </c:lineChart>
      <c:catAx>
        <c:axId val="9419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98784"/>
        <c:crosses val="autoZero"/>
        <c:auto val="1"/>
        <c:lblAlgn val="ctr"/>
        <c:lblOffset val="200"/>
        <c:tickLblSkip val="1"/>
      </c:catAx>
      <c:valAx>
        <c:axId val="94198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4227456"/>
        <c:axId val="94708480"/>
      </c:lineChart>
      <c:catAx>
        <c:axId val="9422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8480"/>
        <c:crosses val="autoZero"/>
        <c:auto val="1"/>
        <c:lblAlgn val="ctr"/>
        <c:lblOffset val="100"/>
      </c:catAx>
      <c:valAx>
        <c:axId val="947084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4753536"/>
        <c:axId val="94755456"/>
      </c:lineChart>
      <c:catAx>
        <c:axId val="94753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5456"/>
        <c:crosses val="autoZero"/>
        <c:auto val="1"/>
        <c:lblAlgn val="ctr"/>
        <c:lblOffset val="100"/>
      </c:catAx>
      <c:valAx>
        <c:axId val="94755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3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4034944"/>
        <c:axId val="94041216"/>
      </c:lineChart>
      <c:catAx>
        <c:axId val="9403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41216"/>
        <c:crosses val="autoZero"/>
        <c:auto val="1"/>
        <c:lblAlgn val="ctr"/>
        <c:lblOffset val="100"/>
      </c:catAx>
      <c:valAx>
        <c:axId val="940412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4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-316258.00800000003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5294976"/>
        <c:axId val="95296512"/>
      </c:lineChart>
      <c:catAx>
        <c:axId val="952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6512"/>
        <c:crosses val="autoZero"/>
        <c:auto val="1"/>
        <c:lblAlgn val="ctr"/>
        <c:lblOffset val="100"/>
      </c:catAx>
      <c:valAx>
        <c:axId val="95296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5342592"/>
        <c:axId val="95344128"/>
      </c:lineChart>
      <c:catAx>
        <c:axId val="9534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44128"/>
        <c:crosses val="autoZero"/>
        <c:auto val="1"/>
        <c:lblAlgn val="ctr"/>
        <c:lblOffset val="100"/>
      </c:catAx>
      <c:valAx>
        <c:axId val="9534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4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822.74</c:v>
                </c:pt>
                <c:pt idx="10">
                  <c:v>888.95</c:v>
                </c:pt>
                <c:pt idx="11">
                  <c:v>799.13</c:v>
                </c:pt>
                <c:pt idx="12">
                  <c:v>777.96</c:v>
                </c:pt>
                <c:pt idx="13">
                  <c:v>763.8</c:v>
                </c:pt>
                <c:pt idx="14">
                  <c:v>756.53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5773824"/>
        <c:axId val="95775360"/>
      </c:lineChart>
      <c:catAx>
        <c:axId val="9577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5360"/>
        <c:crosses val="autoZero"/>
        <c:auto val="1"/>
        <c:lblAlgn val="ctr"/>
        <c:lblOffset val="100"/>
      </c:catAx>
      <c:valAx>
        <c:axId val="9577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729"/>
          <c:y val="7.471324705111209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5812224"/>
        <c:axId val="96539008"/>
      </c:lineChart>
      <c:catAx>
        <c:axId val="9581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39008"/>
        <c:crosses val="autoZero"/>
        <c:auto val="1"/>
        <c:lblAlgn val="ctr"/>
        <c:lblOffset val="200"/>
        <c:tickLblSkip val="1"/>
      </c:catAx>
      <c:valAx>
        <c:axId val="965390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6576256"/>
        <c:axId val="96577792"/>
      </c:lineChart>
      <c:catAx>
        <c:axId val="9657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7792"/>
        <c:crosses val="autoZero"/>
        <c:auto val="1"/>
        <c:lblAlgn val="ctr"/>
        <c:lblOffset val="100"/>
      </c:catAx>
      <c:valAx>
        <c:axId val="9657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6594176"/>
        <c:axId val="96907648"/>
      </c:lineChart>
      <c:catAx>
        <c:axId val="9659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7648"/>
        <c:crosses val="autoZero"/>
        <c:auto val="1"/>
        <c:lblAlgn val="ctr"/>
        <c:lblOffset val="100"/>
      </c:catAx>
      <c:valAx>
        <c:axId val="969076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4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088256"/>
        <c:axId val="97090176"/>
      </c:lineChart>
      <c:catAx>
        <c:axId val="97088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90176"/>
        <c:crosses val="autoZero"/>
        <c:auto val="1"/>
        <c:lblAlgn val="ctr"/>
        <c:lblOffset val="100"/>
      </c:catAx>
      <c:valAx>
        <c:axId val="970901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8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266688"/>
        <c:axId val="97272576"/>
      </c:lineChart>
      <c:catAx>
        <c:axId val="9726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2576"/>
        <c:crosses val="autoZero"/>
        <c:auto val="1"/>
        <c:lblAlgn val="ctr"/>
        <c:lblOffset val="100"/>
      </c:catAx>
      <c:valAx>
        <c:axId val="9727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302016"/>
        <c:axId val="97303552"/>
      </c:lineChart>
      <c:catAx>
        <c:axId val="9730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3552"/>
        <c:crosses val="autoZero"/>
        <c:auto val="1"/>
        <c:lblAlgn val="ctr"/>
        <c:lblOffset val="100"/>
      </c:catAx>
      <c:valAx>
        <c:axId val="9730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6352896"/>
        <c:axId val="96358784"/>
      </c:lineChart>
      <c:catAx>
        <c:axId val="9635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8784"/>
        <c:crosses val="autoZero"/>
        <c:auto val="1"/>
        <c:lblAlgn val="ctr"/>
        <c:lblOffset val="100"/>
      </c:catAx>
      <c:valAx>
        <c:axId val="9635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984"/>
          <c:y val="7.471324705111247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2353280"/>
        <c:axId val="923548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2360704"/>
        <c:axId val="92362240"/>
      </c:lineChart>
      <c:catAx>
        <c:axId val="92353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4816"/>
        <c:crosses val="autoZero"/>
        <c:lblAlgn val="ctr"/>
        <c:lblOffset val="100"/>
        <c:tickMarkSkip val="1"/>
      </c:catAx>
      <c:valAx>
        <c:axId val="92354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53280"/>
        <c:crosses val="autoZero"/>
        <c:crossBetween val="between"/>
      </c:valAx>
      <c:catAx>
        <c:axId val="92360704"/>
        <c:scaling>
          <c:orientation val="minMax"/>
        </c:scaling>
        <c:delete val="1"/>
        <c:axPos val="b"/>
        <c:numFmt formatCode="[$-409]d\-mmm\-yy;@" sourceLinked="1"/>
        <c:tickLblPos val="none"/>
        <c:crossAx val="92362240"/>
        <c:crosses val="autoZero"/>
        <c:lblAlgn val="ctr"/>
        <c:lblOffset val="100"/>
      </c:catAx>
      <c:valAx>
        <c:axId val="923622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0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399104"/>
        <c:axId val="92400640"/>
      </c:lineChart>
      <c:catAx>
        <c:axId val="9239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00640"/>
        <c:crosses val="autoZero"/>
        <c:auto val="1"/>
        <c:lblAlgn val="ctr"/>
        <c:lblOffset val="100"/>
      </c:catAx>
      <c:valAx>
        <c:axId val="924006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9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9126272"/>
        <c:axId val="99136256"/>
      </c:lineChart>
      <c:catAx>
        <c:axId val="9912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36256"/>
        <c:crosses val="autoZero"/>
        <c:auto val="1"/>
        <c:lblAlgn val="ctr"/>
        <c:lblOffset val="100"/>
      </c:catAx>
      <c:valAx>
        <c:axId val="991362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2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9585024"/>
        <c:axId val="995950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9596544"/>
        <c:axId val="99598336"/>
      </c:lineChart>
      <c:catAx>
        <c:axId val="99585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5008"/>
        <c:crosses val="autoZero"/>
        <c:lblAlgn val="ctr"/>
        <c:lblOffset val="100"/>
        <c:tickMarkSkip val="1"/>
      </c:catAx>
      <c:valAx>
        <c:axId val="9959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5024"/>
        <c:crosses val="autoZero"/>
        <c:crossBetween val="between"/>
      </c:valAx>
      <c:catAx>
        <c:axId val="99596544"/>
        <c:scaling>
          <c:orientation val="minMax"/>
        </c:scaling>
        <c:delete val="1"/>
        <c:axPos val="b"/>
        <c:numFmt formatCode="General" sourceLinked="1"/>
        <c:tickLblPos val="none"/>
        <c:crossAx val="99598336"/>
        <c:crosses val="autoZero"/>
        <c:lblAlgn val="ctr"/>
        <c:lblOffset val="100"/>
      </c:catAx>
      <c:valAx>
        <c:axId val="995983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6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00048256"/>
        <c:axId val="100050048"/>
      </c:lineChart>
      <c:catAx>
        <c:axId val="1000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0048"/>
        <c:crosses val="autoZero"/>
        <c:auto val="1"/>
        <c:lblAlgn val="ctr"/>
        <c:lblOffset val="100"/>
      </c:catAx>
      <c:valAx>
        <c:axId val="10005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0070528"/>
        <c:axId val="100072064"/>
      </c:lineChart>
      <c:catAx>
        <c:axId val="10007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72064"/>
        <c:crosses val="autoZero"/>
        <c:auto val="1"/>
        <c:lblAlgn val="ctr"/>
        <c:lblOffset val="100"/>
      </c:catAx>
      <c:valAx>
        <c:axId val="10007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7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4071040"/>
        <c:axId val="13407257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4082560"/>
        <c:axId val="134084096"/>
      </c:lineChart>
      <c:catAx>
        <c:axId val="1340710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72576"/>
        <c:crosses val="autoZero"/>
        <c:lblAlgn val="ctr"/>
        <c:lblOffset val="100"/>
        <c:tickMarkSkip val="1"/>
      </c:catAx>
      <c:valAx>
        <c:axId val="134072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71040"/>
        <c:crosses val="autoZero"/>
        <c:crossBetween val="between"/>
      </c:valAx>
      <c:catAx>
        <c:axId val="134082560"/>
        <c:scaling>
          <c:orientation val="minMax"/>
        </c:scaling>
        <c:delete val="1"/>
        <c:axPos val="b"/>
        <c:numFmt formatCode="[$-409]d\-mmm\-yy;@" sourceLinked="1"/>
        <c:tickLblPos val="none"/>
        <c:crossAx val="134084096"/>
        <c:crosses val="autoZero"/>
        <c:lblAlgn val="ctr"/>
        <c:lblOffset val="100"/>
      </c:catAx>
      <c:valAx>
        <c:axId val="1340840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8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4088192"/>
        <c:axId val="940899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4091520"/>
        <c:axId val="94097408"/>
      </c:lineChart>
      <c:catAx>
        <c:axId val="940881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9984"/>
        <c:crosses val="autoZero"/>
        <c:lblAlgn val="ctr"/>
        <c:lblOffset val="100"/>
        <c:tickMarkSkip val="1"/>
      </c:catAx>
      <c:valAx>
        <c:axId val="9408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8192"/>
        <c:crosses val="autoZero"/>
        <c:crossBetween val="between"/>
      </c:valAx>
      <c:catAx>
        <c:axId val="94091520"/>
        <c:scaling>
          <c:orientation val="minMax"/>
        </c:scaling>
        <c:delete val="1"/>
        <c:axPos val="b"/>
        <c:numFmt formatCode="General" sourceLinked="1"/>
        <c:tickLblPos val="none"/>
        <c:crossAx val="94097408"/>
        <c:crosses val="autoZero"/>
        <c:lblAlgn val="ctr"/>
        <c:lblOffset val="100"/>
      </c:catAx>
      <c:valAx>
        <c:axId val="94097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1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5723264"/>
        <c:axId val="13560217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5603712"/>
        <c:axId val="135605248"/>
      </c:lineChart>
      <c:catAx>
        <c:axId val="1357232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02176"/>
        <c:crosses val="autoZero"/>
        <c:lblAlgn val="ctr"/>
        <c:lblOffset val="100"/>
        <c:tickMarkSkip val="1"/>
      </c:catAx>
      <c:valAx>
        <c:axId val="1356021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3264"/>
        <c:crosses val="autoZero"/>
        <c:crossBetween val="between"/>
      </c:valAx>
      <c:catAx>
        <c:axId val="135603712"/>
        <c:scaling>
          <c:orientation val="minMax"/>
        </c:scaling>
        <c:delete val="1"/>
        <c:axPos val="b"/>
        <c:numFmt formatCode="[$-409]d\-mmm\-yy;@" sourceLinked="1"/>
        <c:tickLblPos val="none"/>
        <c:crossAx val="135605248"/>
        <c:crosses val="autoZero"/>
        <c:lblAlgn val="ctr"/>
        <c:lblOffset val="100"/>
      </c:catAx>
      <c:valAx>
        <c:axId val="1356052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03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5734016"/>
        <c:axId val="1357355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5737344"/>
        <c:axId val="135738880"/>
      </c:lineChart>
      <c:catAx>
        <c:axId val="1357340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5552"/>
        <c:crosses val="autoZero"/>
        <c:lblAlgn val="ctr"/>
        <c:lblOffset val="100"/>
        <c:tickMarkSkip val="1"/>
      </c:catAx>
      <c:valAx>
        <c:axId val="13573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4016"/>
        <c:crosses val="autoZero"/>
        <c:crossBetween val="between"/>
      </c:valAx>
      <c:catAx>
        <c:axId val="135737344"/>
        <c:scaling>
          <c:orientation val="minMax"/>
        </c:scaling>
        <c:delete val="1"/>
        <c:axPos val="b"/>
        <c:numFmt formatCode="General" sourceLinked="1"/>
        <c:tickLblPos val="none"/>
        <c:crossAx val="135738880"/>
        <c:crosses val="autoZero"/>
        <c:lblAlgn val="ctr"/>
        <c:lblOffset val="100"/>
      </c:catAx>
      <c:valAx>
        <c:axId val="1357388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7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1333504"/>
        <c:axId val="171356160"/>
      </c:lineChart>
      <c:catAx>
        <c:axId val="17133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56160"/>
        <c:crosses val="autoZero"/>
        <c:auto val="1"/>
        <c:lblAlgn val="ctr"/>
        <c:lblOffset val="100"/>
      </c:catAx>
      <c:valAx>
        <c:axId val="171356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33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7494912"/>
        <c:axId val="137496832"/>
      </c:lineChart>
      <c:catAx>
        <c:axId val="137494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96832"/>
        <c:crosses val="autoZero"/>
        <c:auto val="1"/>
        <c:lblAlgn val="ctr"/>
        <c:lblOffset val="100"/>
      </c:catAx>
      <c:valAx>
        <c:axId val="137496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94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788.13</c:v>
                </c:pt>
                <c:pt idx="13">
                  <c:v>763.8</c:v>
                </c:pt>
                <c:pt idx="14">
                  <c:v>756.53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7529984"/>
        <c:axId val="137535872"/>
      </c:lineChart>
      <c:catAx>
        <c:axId val="13752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5872"/>
        <c:crosses val="autoZero"/>
        <c:auto val="1"/>
        <c:lblAlgn val="ctr"/>
        <c:lblOffset val="200"/>
        <c:tickLblSkip val="1"/>
      </c:catAx>
      <c:valAx>
        <c:axId val="137535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2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1983232"/>
        <c:axId val="171984768"/>
      </c:lineChart>
      <c:catAx>
        <c:axId val="17198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4768"/>
        <c:crosses val="autoZero"/>
        <c:auto val="1"/>
        <c:lblAlgn val="ctr"/>
        <c:lblOffset val="100"/>
      </c:catAx>
      <c:valAx>
        <c:axId val="1719847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-316258.00800000003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2013440"/>
        <c:axId val="172014976"/>
      </c:lineChart>
      <c:catAx>
        <c:axId val="17201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14976"/>
        <c:crosses val="autoZero"/>
        <c:auto val="1"/>
        <c:lblAlgn val="ctr"/>
        <c:lblOffset val="100"/>
      </c:catAx>
      <c:valAx>
        <c:axId val="172014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3104512"/>
        <c:axId val="173123072"/>
      </c:lineChart>
      <c:catAx>
        <c:axId val="17310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23072"/>
        <c:crosses val="autoZero"/>
        <c:auto val="1"/>
        <c:lblAlgn val="ctr"/>
        <c:lblOffset val="100"/>
      </c:catAx>
      <c:valAx>
        <c:axId val="173123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04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3021056"/>
        <c:axId val="173064192"/>
      </c:lineChart>
      <c:catAx>
        <c:axId val="173021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64192"/>
        <c:crosses val="autoZero"/>
        <c:auto val="1"/>
        <c:lblAlgn val="ctr"/>
        <c:lblOffset val="100"/>
      </c:catAx>
      <c:valAx>
        <c:axId val="173064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21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1086.3</c:v>
                </c:pt>
                <c:pt idx="11">
                  <c:v>799.13</c:v>
                </c:pt>
                <c:pt idx="12">
                  <c:v>788.13</c:v>
                </c:pt>
                <c:pt idx="13">
                  <c:v>763.8</c:v>
                </c:pt>
                <c:pt idx="14">
                  <c:v>756.53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3744512"/>
        <c:axId val="173746048"/>
      </c:lineChart>
      <c:catAx>
        <c:axId val="17374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46048"/>
        <c:crosses val="autoZero"/>
        <c:auto val="1"/>
        <c:lblAlgn val="ctr"/>
        <c:lblOffset val="200"/>
        <c:tickLblSkip val="1"/>
      </c:catAx>
      <c:valAx>
        <c:axId val="173746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4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3774720"/>
        <c:axId val="173776256"/>
      </c:lineChart>
      <c:catAx>
        <c:axId val="1737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76256"/>
        <c:crosses val="autoZero"/>
        <c:auto val="1"/>
        <c:lblAlgn val="ctr"/>
        <c:lblOffset val="100"/>
      </c:catAx>
      <c:valAx>
        <c:axId val="1737762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-316258.00800000003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4394752"/>
        <c:axId val="174404736"/>
      </c:lineChart>
      <c:catAx>
        <c:axId val="1743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04736"/>
        <c:crosses val="autoZero"/>
        <c:auto val="1"/>
        <c:lblAlgn val="ctr"/>
        <c:lblOffset val="100"/>
      </c:catAx>
      <c:valAx>
        <c:axId val="174404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3282432"/>
        <c:axId val="173284352"/>
      </c:lineChart>
      <c:catAx>
        <c:axId val="173282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84352"/>
        <c:crosses val="autoZero"/>
        <c:auto val="1"/>
        <c:lblAlgn val="ctr"/>
        <c:lblOffset val="100"/>
      </c:catAx>
      <c:valAx>
        <c:axId val="173284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8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3305216"/>
        <c:axId val="173340160"/>
      </c:lineChart>
      <c:catAx>
        <c:axId val="17330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40160"/>
        <c:crosses val="autoZero"/>
        <c:auto val="1"/>
        <c:lblAlgn val="ctr"/>
        <c:lblOffset val="100"/>
      </c:catAx>
      <c:valAx>
        <c:axId val="173340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05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5015808"/>
        <c:axId val="175017344"/>
      </c:lineChart>
      <c:catAx>
        <c:axId val="17501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17344"/>
        <c:crosses val="autoZero"/>
        <c:auto val="1"/>
        <c:lblAlgn val="ctr"/>
        <c:lblOffset val="200"/>
        <c:tickLblSkip val="1"/>
      </c:catAx>
      <c:valAx>
        <c:axId val="175017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1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5046016"/>
        <c:axId val="175178880"/>
      </c:lineChart>
      <c:catAx>
        <c:axId val="1750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78880"/>
        <c:crosses val="autoZero"/>
        <c:auto val="1"/>
        <c:lblAlgn val="ctr"/>
        <c:lblOffset val="100"/>
      </c:catAx>
      <c:valAx>
        <c:axId val="17517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9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5199360"/>
        <c:axId val="175200896"/>
      </c:lineChart>
      <c:catAx>
        <c:axId val="1751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00896"/>
        <c:crosses val="autoZero"/>
        <c:auto val="1"/>
        <c:lblAlgn val="ctr"/>
        <c:lblOffset val="100"/>
      </c:catAx>
      <c:valAx>
        <c:axId val="17520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5712896"/>
        <c:axId val="175735552"/>
      </c:lineChart>
      <c:catAx>
        <c:axId val="175712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35552"/>
        <c:crosses val="autoZero"/>
        <c:auto val="1"/>
        <c:lblAlgn val="ctr"/>
        <c:lblOffset val="100"/>
      </c:catAx>
      <c:valAx>
        <c:axId val="175735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128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5912064"/>
        <c:axId val="175913984"/>
      </c:lineChart>
      <c:catAx>
        <c:axId val="175912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13984"/>
        <c:crosses val="autoZero"/>
        <c:auto val="1"/>
        <c:lblAlgn val="ctr"/>
        <c:lblOffset val="100"/>
      </c:catAx>
      <c:valAx>
        <c:axId val="175913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12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5943040"/>
        <c:axId val="175953024"/>
      </c:lineChart>
      <c:catAx>
        <c:axId val="17594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53024"/>
        <c:crosses val="autoZero"/>
        <c:auto val="1"/>
        <c:lblAlgn val="ctr"/>
        <c:lblOffset val="200"/>
        <c:tickLblSkip val="1"/>
      </c:catAx>
      <c:valAx>
        <c:axId val="175953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5531136"/>
        <c:axId val="175532672"/>
      </c:lineChart>
      <c:catAx>
        <c:axId val="17553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32672"/>
        <c:crosses val="autoZero"/>
        <c:auto val="1"/>
        <c:lblAlgn val="ctr"/>
        <c:lblOffset val="100"/>
      </c:catAx>
      <c:valAx>
        <c:axId val="17553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19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5557248"/>
        <c:axId val="175567232"/>
      </c:lineChart>
      <c:catAx>
        <c:axId val="17555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67232"/>
        <c:crosses val="autoZero"/>
        <c:auto val="1"/>
        <c:lblAlgn val="ctr"/>
        <c:lblOffset val="100"/>
      </c:catAx>
      <c:valAx>
        <c:axId val="1755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55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12.847999999992318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12.584000000002563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32.559999999974394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26.047999999992317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>
        <f>IF('Utility summery'!M12&lt;0,"0",'Utility summery'!M12)</f>
        <v>32.647999999992322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2028</v>
      </c>
      <c r="F9" s="484">
        <f>('UTILITY REPORT 1'!E10*'UTILITY REPORT 1'!D10)/'UTILITY REPORT 1'!F10</f>
        <v>0.40569033530571991</v>
      </c>
      <c r="G9" s="484">
        <f>IF('Utility summery'!M13&lt;0,"0",'Utility summery'!M13)</f>
        <v>31.900000000000002</v>
      </c>
      <c r="H9" s="492">
        <v>0</v>
      </c>
      <c r="I9" s="484">
        <f>IF('UTILITY REPORT 1'!G10&lt;0,"0",'UTILITY REPORT 1'!G10)</f>
        <v>61</v>
      </c>
      <c r="J9" s="492">
        <v>0</v>
      </c>
      <c r="K9" s="483">
        <f>'UTILITY REPORT 1'!C10</f>
        <v>0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2022</v>
      </c>
      <c r="F10" s="484">
        <f>('UTILITY REPORT 1'!E11*'UTILITY REPORT 1'!D11)/'UTILITY REPORT 1'!F11</f>
        <v>0.4396389713155292</v>
      </c>
      <c r="G10" s="484">
        <f>IF('Utility summery'!M14&lt;0,"0",'Utility summery'!M14)</f>
        <v>43.868000000005125</v>
      </c>
      <c r="H10" s="492">
        <v>0</v>
      </c>
      <c r="I10" s="484">
        <f>IF('UTILITY REPORT 1'!G11&lt;0,"0",'UTILITY REPORT 1'!G11)</f>
        <v>63</v>
      </c>
      <c r="J10" s="492">
        <v>0</v>
      </c>
      <c r="K10" s="483">
        <f>'UTILITY REPORT 1'!C11</f>
        <v>1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1848</v>
      </c>
      <c r="F11" s="484">
        <f>('UTILITY REPORT 1'!E12*'UTILITY REPORT 1'!D12)/'UTILITY REPORT 1'!F12</f>
        <v>0.43242965367965369</v>
      </c>
      <c r="G11" s="484">
        <f>IF('Utility summery'!M15&lt;0,"0",'Utility summery'!M15)</f>
        <v>49.104000000015368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1828</v>
      </c>
      <c r="F12" s="484">
        <f>('UTILITY REPORT 1'!E13*'UTILITY REPORT 1'!D13)/'UTILITY REPORT 1'!F13</f>
        <v>0.42557986870897158</v>
      </c>
      <c r="G12" s="484">
        <f>IF('Utility summery'!M16&lt;0,"0",'Utility summery'!M16)</f>
        <v>52.975999999971833</v>
      </c>
      <c r="H12" s="492">
        <v>0</v>
      </c>
      <c r="I12" s="484">
        <f>IF('UTILITY REPORT 1'!G13&lt;0,"0",'UTILITY REPORT 1'!G13)</f>
        <v>67</v>
      </c>
      <c r="J12" s="492">
        <v>0</v>
      </c>
      <c r="K12" s="483">
        <f>'UTILITY REPORT 1'!C13</f>
        <v>1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1765</v>
      </c>
      <c r="F13" s="484">
        <f>('UTILITY REPORT 1'!E14*'UTILITY REPORT 1'!D14)/'UTILITY REPORT 1'!F14</f>
        <v>0.43274787535410764</v>
      </c>
      <c r="G13" s="484">
        <f>IF('Utility summery'!M17&lt;0,"0",'Utility summery'!M17)</f>
        <v>32.604000000015368</v>
      </c>
      <c r="H13" s="492">
        <v>0</v>
      </c>
      <c r="I13" s="484">
        <f>IF('UTILITY REPORT 1'!G14&lt;0,"0",'UTILITY REPORT 1'!G14)</f>
        <v>100</v>
      </c>
      <c r="J13" s="492">
        <v>0</v>
      </c>
      <c r="K13" s="483">
        <f>'UTILITY REPORT 1'!C14</f>
        <v>0</v>
      </c>
      <c r="L13" s="485" t="e">
        <f>E13*F13+G13*H13+#REF!*#REF!+I13*J13</f>
        <v>#REF!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1824</v>
      </c>
      <c r="F14" s="484">
        <f>('UTILITY REPORT 1'!E15*'UTILITY REPORT 1'!D15)/'UTILITY REPORT 1'!F15</f>
        <v>0.41476425438596487</v>
      </c>
      <c r="G14" s="484">
        <f>IF('Utility summery'!M18&lt;0,"0",'Utility summery'!M18)</f>
        <v>31.94400000004098</v>
      </c>
      <c r="H14" s="492">
        <v>0</v>
      </c>
      <c r="I14" s="484">
        <f>IF('UTILITY REPORT 1'!G15&lt;0,"0",'UTILITY REPORT 1'!G15)</f>
        <v>63</v>
      </c>
      <c r="J14" s="492">
        <v>0</v>
      </c>
      <c r="K14" s="483">
        <f>'UTILITY REPORT 1'!C15</f>
        <v>0</v>
      </c>
      <c r="L14" s="485" t="e">
        <f>E14*F14+G14*H14+#REF!*#REF!+I14*J14</f>
        <v>#REF!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 t="str">
        <f>IF('Utility summery'!M19&lt;0,"0",'Utility summery'!M19)</f>
        <v>0</v>
      </c>
      <c r="H15" s="492">
        <v>0</v>
      </c>
      <c r="I15" s="484" t="str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60.00000000003638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21.08</v>
      </c>
      <c r="F9" s="540">
        <f>'UTILITY REPORT 1'!E10</f>
        <v>822.74</v>
      </c>
      <c r="G9" s="541">
        <f>'UTILITY REPORT 1'!F10</f>
        <v>2028</v>
      </c>
      <c r="H9" s="540">
        <f>IF('Kit report'!F11&lt;0,"0",'Kit report'!F11)</f>
        <v>180</v>
      </c>
      <c r="I9" s="540">
        <f>IF('Kit report'!X11&lt;0,"0",'Kit report'!X11)</f>
        <v>60.00000000003638</v>
      </c>
      <c r="J9" s="540">
        <f>IF('Utility summery'!H13&lt;0,"0",'Utility summery'!H13)</f>
        <v>30</v>
      </c>
      <c r="K9" s="541">
        <f>IF('UTILITY REPORT 1'!H10&lt;0,"0",'UTILITY REPORT 1'!H10)</f>
        <v>55</v>
      </c>
      <c r="L9" s="540">
        <f>'Water-Meter'!K13</f>
        <v>1</v>
      </c>
      <c r="M9" s="541">
        <f>'Water-Meter'!H13</f>
        <v>0</v>
      </c>
      <c r="N9" s="541">
        <f>'Water-Meter'!Q13</f>
        <v>2</v>
      </c>
      <c r="O9" s="540" t="e">
        <f>K9*E9+H9*I9+#REF!*#REF!+J9*L9</f>
        <v>#REF!</v>
      </c>
      <c r="P9" s="547">
        <f>'Water-Meter'!E13</f>
        <v>61</v>
      </c>
      <c r="Q9" s="289">
        <f>IF('Water-Meter'!U13&lt;0,"0",'Water-Meter'!U13)</f>
        <v>84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16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137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70</v>
      </c>
      <c r="F10" s="540">
        <f>'UTILITY REPORT 1'!E11</f>
        <v>888.95</v>
      </c>
      <c r="G10" s="541">
        <f>'UTILITY REPORT 1'!F11</f>
        <v>2022</v>
      </c>
      <c r="H10" s="540">
        <f>IF('Kit report'!F12&lt;0,"0",'Kit report'!F12)</f>
        <v>204.00000000008731</v>
      </c>
      <c r="I10" s="540">
        <f>IF('Kit report'!X12&lt;0,"0",'Kit report'!X12)</f>
        <v>39.99999999996362</v>
      </c>
      <c r="J10" s="540">
        <f>IF('Utility summery'!H14&lt;0,"0",'Utility summery'!H14)</f>
        <v>37</v>
      </c>
      <c r="K10" s="541">
        <f>IF('UTILITY REPORT 1'!H11&lt;0,"0",'UTILITY REPORT 1'!H11)</f>
        <v>53</v>
      </c>
      <c r="L10" s="540">
        <f>'Water-Meter'!K14</f>
        <v>0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63</v>
      </c>
      <c r="Q10" s="289">
        <f>IF('Water-Meter'!U14&lt;0,"0",'Water-Meter'!U14)</f>
        <v>84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15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136</v>
      </c>
      <c r="X10" s="558">
        <f>Total!K10</f>
        <v>1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31.31</v>
      </c>
      <c r="F11" s="540">
        <f>'UTILITY REPORT 1'!E12</f>
        <v>799.13</v>
      </c>
      <c r="G11" s="541">
        <f>'UTILITY REPORT 1'!F12</f>
        <v>1848</v>
      </c>
      <c r="H11" s="540">
        <f>IF('Kit report'!F13&lt;0,"0",'Kit report'!F13)</f>
        <v>203.99999999986903</v>
      </c>
      <c r="I11" s="540">
        <f>IF('Kit report'!X13&lt;0,"0",'Kit report'!X13)</f>
        <v>39.99999999996362</v>
      </c>
      <c r="J11" s="540">
        <f>IF('Utility summery'!H15&lt;0,"0",'Utility summery'!H15)</f>
        <v>30</v>
      </c>
      <c r="K11" s="541">
        <f>IF('UTILITY REPORT 1'!H12&lt;0,"0",'UTILITY REPORT 1'!H12)</f>
        <v>52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37</v>
      </c>
      <c r="T11" s="289">
        <f>IF('Water-Meter'!AD15&lt;0,"0",'Water-Meter'!AD15)</f>
        <v>16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53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197.35</v>
      </c>
      <c r="F12" s="540">
        <f>'UTILITY REPORT 1'!E13</f>
        <v>777.96</v>
      </c>
      <c r="G12" s="541">
        <f>'UTILITY REPORT 1'!F13</f>
        <v>1828</v>
      </c>
      <c r="H12" s="540">
        <f>IF('Kit report'!F14&lt;0,"0",'Kit report'!F14)</f>
        <v>192.00000000004366</v>
      </c>
      <c r="I12" s="540">
        <f>IF('Kit report'!X14&lt;0,"0",'Kit report'!X14)</f>
        <v>40.000000000145519</v>
      </c>
      <c r="J12" s="540">
        <f>IF('Utility summery'!H16&lt;0,"0",'Utility summery'!H16)</f>
        <v>32</v>
      </c>
      <c r="K12" s="541">
        <f>IF('UTILITY REPORT 1'!H13&lt;0,"0",'UTILITY REPORT 1'!H13)</f>
        <v>50</v>
      </c>
      <c r="L12" s="540">
        <f>'Water-Meter'!K16</f>
        <v>1</v>
      </c>
      <c r="M12" s="541">
        <f>'Water-Meter'!H16</f>
        <v>0</v>
      </c>
      <c r="N12" s="541">
        <f>'Water-Meter'!Q16</f>
        <v>2</v>
      </c>
      <c r="O12" s="540" t="e">
        <f>K12*E12+H12*I12+#REF!*#REF!+J12*L12</f>
        <v>#REF!</v>
      </c>
      <c r="P12" s="547">
        <f>'Water-Meter'!E16</f>
        <v>67</v>
      </c>
      <c r="Q12" s="289">
        <f>IF('Water-Meter'!U16&lt;0,"0",'Water-Meter'!U16)</f>
        <v>68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15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120</v>
      </c>
      <c r="X12" s="558">
        <f>Total!K12</f>
        <v>1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763.8</v>
      </c>
      <c r="G13" s="541">
        <f>'UTILITY REPORT 1'!F14</f>
        <v>1765</v>
      </c>
      <c r="H13" s="540">
        <f>IF('Kit report'!F15&lt;0,"0",'Kit report'!F15)</f>
        <v>144.00000000008731</v>
      </c>
      <c r="I13" s="540">
        <f>IF('Kit report'!X15&lt;0,"0",'Kit report'!X15)</f>
        <v>19.999999999890861</v>
      </c>
      <c r="J13" s="540">
        <f>IF('Utility summery'!H17&lt;0,"0",'Utility summery'!H17)</f>
        <v>36</v>
      </c>
      <c r="K13" s="541">
        <f>IF('UTILITY REPORT 1'!H14&lt;0,"0",'UTILITY REPORT 1'!H14)</f>
        <v>52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100</v>
      </c>
      <c r="Q13" s="289">
        <f>IF('Water-Meter'!U17&lt;0,"0",'Water-Meter'!U17)</f>
        <v>76</v>
      </c>
      <c r="R13" s="289">
        <f>IF('Water-Meter'!X17&lt;0,"0",'Water-Meter'!X17)</f>
        <v>0</v>
      </c>
      <c r="S13" s="289">
        <f>IF('Water-Meter'!AA17&lt;0,"0",'Water-Meter'!AA17)</f>
        <v>38</v>
      </c>
      <c r="T13" s="289">
        <f>IF('Water-Meter'!AD17&lt;0,"0",'Water-Meter'!AD17)</f>
        <v>13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127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10.17</v>
      </c>
      <c r="F14" s="540">
        <f>'UTILITY REPORT 1'!E15</f>
        <v>756.53</v>
      </c>
      <c r="G14" s="541">
        <f>'UTILITY REPORT 1'!F15</f>
        <v>1824</v>
      </c>
      <c r="H14" s="540">
        <f>IF('Kit report'!F16&lt;0,"0",'Kit report'!F16)</f>
        <v>155.99999999991269</v>
      </c>
      <c r="I14" s="540">
        <f>IF('Kit report'!X16&lt;0,"0",'Kit report'!X16)</f>
        <v>20.00000000007276</v>
      </c>
      <c r="J14" s="540">
        <f>IF('Utility summery'!H18&lt;0,"0",'Utility summery'!H18)</f>
        <v>36</v>
      </c>
      <c r="K14" s="541">
        <f>IF('UTILITY REPORT 1'!H15&lt;0,"0",'UTILITY REPORT 1'!H15)</f>
        <v>52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63</v>
      </c>
      <c r="Q14" s="289">
        <f>IF('Water-Meter'!U18&lt;0,"0",'Water-Meter'!U18)</f>
        <v>87</v>
      </c>
      <c r="R14" s="289">
        <f>IF('Water-Meter'!X18&lt;0,"0",'Water-Meter'!X18)</f>
        <v>0</v>
      </c>
      <c r="S14" s="289">
        <f>IF('Water-Meter'!AA18&lt;0,"0",'Water-Meter'!AA18)</f>
        <v>37</v>
      </c>
      <c r="T14" s="289">
        <f>IF('Water-Meter'!AD18&lt;0,"0",'Water-Meter'!AD18)</f>
        <v>13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137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 t="str">
        <f>IF('Kit report'!F17&lt;0,"0",'Kit report'!F17)</f>
        <v>0</v>
      </c>
      <c r="I15" s="540" t="str">
        <f>IF('Kit report'!X17&lt;0,"0",'Kit report'!X17)</f>
        <v>0</v>
      </c>
      <c r="J15" s="540" t="str">
        <f>IF('Utility summery'!H19&lt;0,"0",'Utility summery'!H19)</f>
        <v>0</v>
      </c>
      <c r="K15" s="541">
        <f>IF('UTILITY REPORT 1'!H16&lt;0,"0",'UTILITY REPORT 1'!H16)</f>
        <v>0</v>
      </c>
      <c r="L15" s="540" t="str">
        <f>'Water-Meter'!K19</f>
        <v>0</v>
      </c>
      <c r="M15" s="541" t="str">
        <f>'Water-Meter'!H19</f>
        <v>0</v>
      </c>
      <c r="N15" s="541" t="str">
        <f>'Water-Meter'!Q19</f>
        <v>0</v>
      </c>
      <c r="O15" s="540" t="e">
        <f>K15*E15+H15*I15+#REF!*#REF!+J15*L15</f>
        <v>#REF!</v>
      </c>
      <c r="P15" s="547" t="str">
        <f>'Water-Meter'!E19</f>
        <v>0</v>
      </c>
      <c r="Q15" s="289" t="str">
        <f>IF('Water-Meter'!U19&lt;0,"0",'Water-Meter'!U19)</f>
        <v>0</v>
      </c>
      <c r="R15" s="289" t="str">
        <f>IF('Water-Meter'!X19&lt;0,"0",'Water-Meter'!X19)</f>
        <v>0</v>
      </c>
      <c r="S15" s="289" t="str">
        <f>IF('Water-Meter'!AA19&lt;0,"0",'Water-Meter'!AA19)</f>
        <v>0</v>
      </c>
      <c r="T15" s="289" t="str">
        <f>IF('Water-Meter'!AD19&lt;0,"0",'Water-Meter'!AD19)</f>
        <v>0</v>
      </c>
      <c r="U15" s="289" t="str">
        <f>IF('Water-Meter'!AG19&lt;0,"0",'Water-Meter'!AG19)</f>
        <v>0</v>
      </c>
      <c r="V15" s="289" t="str">
        <f>IF('Water-Meter'!AJ19&lt;0,"0",'Water-Meter'!AJ19)</f>
        <v>0</v>
      </c>
      <c r="W15" s="31">
        <f>'Water-Meter'!AN19</f>
        <v>-14767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20" sqref="E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822.74</v>
      </c>
      <c r="F10" s="471">
        <f>Gen!U18</f>
        <v>2028</v>
      </c>
      <c r="G10" s="471">
        <f>'Water-Meter'!E13</f>
        <v>61</v>
      </c>
      <c r="H10" s="471">
        <f>'Utility report '!AC13</f>
        <v>55</v>
      </c>
      <c r="I10" s="471">
        <f>Gen!AK18</f>
        <v>21.08</v>
      </c>
    </row>
    <row r="11" spans="1:9" ht="13.5">
      <c r="A11" s="468">
        <f>Gen!B19</f>
        <v>44052</v>
      </c>
      <c r="B11" s="470">
        <f>Gen!C19</f>
        <v>1.2999999999999999E-2</v>
      </c>
      <c r="C11" s="471">
        <f>'Summery Report'!E13</f>
        <v>1</v>
      </c>
      <c r="D11" s="472">
        <v>1</v>
      </c>
      <c r="E11" s="471">
        <f>Gen!T19</f>
        <v>888.95</v>
      </c>
      <c r="F11" s="471">
        <f>Gen!U19</f>
        <v>2022</v>
      </c>
      <c r="G11" s="471">
        <f>'Water-Meter'!E14</f>
        <v>63</v>
      </c>
      <c r="H11" s="471">
        <f>'Utility report '!AC14</f>
        <v>53</v>
      </c>
      <c r="I11" s="471">
        <f>Gen!AK19</f>
        <v>70</v>
      </c>
    </row>
    <row r="12" spans="1:9" ht="13.5">
      <c r="A12" s="468">
        <f>Gen!B20</f>
        <v>44053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799.13</v>
      </c>
      <c r="F12" s="471">
        <f>Gen!U20</f>
        <v>1848</v>
      </c>
      <c r="G12" s="471">
        <f>'Water-Meter'!E15</f>
        <v>55</v>
      </c>
      <c r="H12" s="471">
        <f>'Utility report '!AC15</f>
        <v>52</v>
      </c>
      <c r="I12" s="471">
        <f>Gen!AK20</f>
        <v>31.31</v>
      </c>
    </row>
    <row r="13" spans="1:9" ht="13.5">
      <c r="A13" s="468">
        <f>Gen!B21</f>
        <v>44054</v>
      </c>
      <c r="B13" s="470">
        <f>Gen!C21</f>
        <v>0.01</v>
      </c>
      <c r="C13" s="471">
        <f>'Summery Report'!E15</f>
        <v>1</v>
      </c>
      <c r="D13" s="472">
        <v>1</v>
      </c>
      <c r="E13" s="471">
        <f>Gen!T21</f>
        <v>777.96</v>
      </c>
      <c r="F13" s="471">
        <f>Gen!U21</f>
        <v>1828</v>
      </c>
      <c r="G13" s="471">
        <f>'Water-Meter'!E16</f>
        <v>67</v>
      </c>
      <c r="H13" s="471">
        <f>'Utility report '!AC16</f>
        <v>50</v>
      </c>
      <c r="I13" s="471">
        <f>Gen!AK21</f>
        <v>197.35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763.8</v>
      </c>
      <c r="F14" s="471">
        <f>Gen!U22</f>
        <v>1765</v>
      </c>
      <c r="G14" s="471">
        <f>'Water-Meter'!E17</f>
        <v>100</v>
      </c>
      <c r="H14" s="471">
        <f>'Utility report '!AC17</f>
        <v>52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756.53</v>
      </c>
      <c r="F15" s="471">
        <f>Gen!U23</f>
        <v>1824</v>
      </c>
      <c r="G15" s="471">
        <f>'Water-Meter'!E18</f>
        <v>63</v>
      </c>
      <c r="H15" s="471">
        <f>'Utility report '!AC18</f>
        <v>52</v>
      </c>
      <c r="I15" s="471">
        <f>Gen!AK23</f>
        <v>10.17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 t="str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44066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44067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12.847999999992318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12.584000000002563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83</v>
      </c>
      <c r="M10" s="528">
        <f>'Lpg (2)'!G14</f>
        <v>32.559999999974394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81</v>
      </c>
      <c r="M11" s="528">
        <f>'Lpg (2)'!G15</f>
        <v>26.047999999992317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76</v>
      </c>
      <c r="M12" s="528">
        <f>'Lpg (2)'!G16</f>
        <v>32.647999999992322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2028</v>
      </c>
      <c r="D13" s="177">
        <f>Gen!T18</f>
        <v>822.74</v>
      </c>
      <c r="E13" s="177">
        <f>Gen!AK18</f>
        <v>21.08</v>
      </c>
      <c r="F13" s="177">
        <f>Gen!AS18</f>
        <v>843.82</v>
      </c>
      <c r="G13" s="180">
        <f>'Utility report '!AC13</f>
        <v>55</v>
      </c>
      <c r="H13" s="180">
        <f>'Utility report '!AE13</f>
        <v>30</v>
      </c>
      <c r="I13" s="348">
        <f>'Water-Meter'!E13</f>
        <v>61</v>
      </c>
      <c r="J13" s="182">
        <f>'Lpg (2)'!B17</f>
        <v>85</v>
      </c>
      <c r="K13" s="182">
        <f>'Lpg (2)'!C17</f>
        <v>85</v>
      </c>
      <c r="L13" s="182">
        <f>'Lpg (2)'!D17</f>
        <v>69</v>
      </c>
      <c r="M13" s="528">
        <f>'Lpg (2)'!G17</f>
        <v>31.900000000000002</v>
      </c>
      <c r="N13" s="175">
        <f t="shared" si="2"/>
        <v>1151.836</v>
      </c>
      <c r="O13" s="175">
        <f t="shared" si="2"/>
        <v>29.511999999999997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1</v>
      </c>
      <c r="C14" s="6">
        <f>Gen!U19</f>
        <v>2022</v>
      </c>
      <c r="D14" s="177">
        <f>Gen!T19</f>
        <v>888.95</v>
      </c>
      <c r="E14" s="177">
        <f>Gen!AK19</f>
        <v>70</v>
      </c>
      <c r="F14" s="177">
        <f>Gen!AS19</f>
        <v>958.95</v>
      </c>
      <c r="G14" s="180">
        <f>'Utility report '!AC14</f>
        <v>53</v>
      </c>
      <c r="H14" s="180">
        <f>'Utility report '!AE14</f>
        <v>37</v>
      </c>
      <c r="I14" s="348">
        <f>'Water-Meter'!E14</f>
        <v>63</v>
      </c>
      <c r="J14" s="182">
        <f>'Lpg (2)'!B18</f>
        <v>85</v>
      </c>
      <c r="K14" s="182">
        <f>'Lpg (2)'!C18</f>
        <v>85</v>
      </c>
      <c r="L14" s="182">
        <f>'Lpg (2)'!D18</f>
        <v>61</v>
      </c>
      <c r="M14" s="528">
        <f>'Lpg (2)'!G18</f>
        <v>43.868000000005125</v>
      </c>
      <c r="N14" s="175">
        <f t="shared" si="2"/>
        <v>1244.53</v>
      </c>
      <c r="O14" s="175">
        <f t="shared" si="2"/>
        <v>98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1244.53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1</v>
      </c>
      <c r="C15" s="6">
        <f>Gen!U20</f>
        <v>1848</v>
      </c>
      <c r="D15" s="177">
        <f>Gen!T20</f>
        <v>799.13</v>
      </c>
      <c r="E15" s="177">
        <f>Gen!AK20</f>
        <v>31.31</v>
      </c>
      <c r="F15" s="177">
        <f>Gen!AS20</f>
        <v>830.43999999999994</v>
      </c>
      <c r="G15" s="180">
        <f>'Utility report '!AC15</f>
        <v>52</v>
      </c>
      <c r="H15" s="180">
        <f>'Utility report '!AE15</f>
        <v>30</v>
      </c>
      <c r="I15" s="348">
        <f>'Water-Meter'!E15</f>
        <v>55</v>
      </c>
      <c r="J15" s="182">
        <f>'Lpg (2)'!B19</f>
        <v>85</v>
      </c>
      <c r="K15" s="182">
        <f>'Lpg (2)'!C19</f>
        <v>85</v>
      </c>
      <c r="L15" s="182">
        <f>'Lpg (2)'!D19</f>
        <v>59</v>
      </c>
      <c r="M15" s="528">
        <f>'Lpg (2)'!G19</f>
        <v>49.104000000015368</v>
      </c>
      <c r="N15" s="175">
        <f t="shared" si="2"/>
        <v>1118.7819999999999</v>
      </c>
      <c r="O15" s="175">
        <f t="shared" si="2"/>
        <v>43.833999999999996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1118.7819999999999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1</v>
      </c>
      <c r="C16" s="6">
        <f>Gen!U21</f>
        <v>1828</v>
      </c>
      <c r="D16" s="177">
        <f>Gen!T21</f>
        <v>777.96</v>
      </c>
      <c r="E16" s="177">
        <f>Gen!AK21</f>
        <v>197.35</v>
      </c>
      <c r="F16" s="177">
        <f>Gen!AS21</f>
        <v>975.31000000000006</v>
      </c>
      <c r="G16" s="180">
        <f>'Utility report '!AC16</f>
        <v>50</v>
      </c>
      <c r="H16" s="180">
        <f>'Utility report '!AE16</f>
        <v>32</v>
      </c>
      <c r="I16" s="348">
        <f>'Water-Meter'!E16</f>
        <v>67</v>
      </c>
      <c r="J16" s="182">
        <f>'Lpg (2)'!B20</f>
        <v>85</v>
      </c>
      <c r="K16" s="182">
        <f>'Lpg (2)'!C20</f>
        <v>85</v>
      </c>
      <c r="L16" s="182">
        <f>'Lpg (2)'!D20</f>
        <v>56</v>
      </c>
      <c r="M16" s="528">
        <f>'Lpg (2)'!G20</f>
        <v>52.975999999971833</v>
      </c>
      <c r="N16" s="175">
        <f t="shared" si="2"/>
        <v>1089.144</v>
      </c>
      <c r="O16" s="175">
        <f t="shared" si="2"/>
        <v>276.28999999999996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1089.144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1765</v>
      </c>
      <c r="D17" s="177">
        <f>Gen!T22</f>
        <v>763.8</v>
      </c>
      <c r="E17" s="177">
        <f>Gen!AK22</f>
        <v>0</v>
      </c>
      <c r="F17" s="177">
        <f>Gen!AS22</f>
        <v>763.8</v>
      </c>
      <c r="G17" s="180">
        <f>'Utility report '!AC17</f>
        <v>52</v>
      </c>
      <c r="H17" s="180">
        <f>'Utility report '!AE17</f>
        <v>36</v>
      </c>
      <c r="I17" s="348">
        <f>'Water-Meter'!E17</f>
        <v>100</v>
      </c>
      <c r="J17" s="182">
        <f>'Lpg (2)'!B21</f>
        <v>85</v>
      </c>
      <c r="K17" s="182">
        <f>'Lpg (2)'!C22</f>
        <v>85</v>
      </c>
      <c r="L17" s="182">
        <f>'Lpg (2)'!D21</f>
        <v>52</v>
      </c>
      <c r="M17" s="528">
        <f>'Lpg (2)'!G21</f>
        <v>32.604000000015368</v>
      </c>
      <c r="N17" s="175">
        <f t="shared" si="2"/>
        <v>1069.32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1824</v>
      </c>
      <c r="D18" s="177">
        <f>Gen!T23</f>
        <v>756.53</v>
      </c>
      <c r="E18" s="177">
        <f>Gen!AK23</f>
        <v>10.17</v>
      </c>
      <c r="F18" s="177">
        <f>Gen!AS23</f>
        <v>766.69999999999993</v>
      </c>
      <c r="G18" s="180">
        <f>'Utility report '!AC18</f>
        <v>52</v>
      </c>
      <c r="H18" s="180">
        <f>'Utility report '!AE18</f>
        <v>36</v>
      </c>
      <c r="I18" s="348">
        <f>'Water-Meter'!E18</f>
        <v>63</v>
      </c>
      <c r="J18" s="182">
        <f>'Lpg (2)'!B22</f>
        <v>85</v>
      </c>
      <c r="K18" s="182">
        <f>'Lpg (2)'!C23</f>
        <v>85</v>
      </c>
      <c r="L18" s="182">
        <f>'Lpg (2)'!D22</f>
        <v>48</v>
      </c>
      <c r="M18" s="528">
        <f>'Lpg (2)'!G22</f>
        <v>31.94400000004098</v>
      </c>
      <c r="N18" s="175">
        <f t="shared" si="2"/>
        <v>1059.1419999999998</v>
      </c>
      <c r="O18" s="175">
        <f t="shared" si="2"/>
        <v>14.238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-203805</v>
      </c>
      <c r="I19" s="348" t="str">
        <f>'Water-Meter'!E19</f>
        <v>0</v>
      </c>
      <c r="J19" s="182">
        <f>'Lpg (2)'!B23</f>
        <v>85</v>
      </c>
      <c r="K19" s="182">
        <f>'Lpg (2)'!C24</f>
        <v>0</v>
      </c>
      <c r="L19" s="182">
        <f>'Lpg (2)'!D23</f>
        <v>46</v>
      </c>
      <c r="M19" s="528">
        <f>'Lpg (2)'!G23</f>
        <v>-316258.00800000003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3</v>
      </c>
      <c r="C39" s="537">
        <f>SUM(C7:C35)</f>
        <v>22641</v>
      </c>
      <c r="D39" s="537">
        <f>SUM(D7:D35)</f>
        <v>9499.0300000000007</v>
      </c>
      <c r="E39" s="537">
        <f t="shared" ref="E39:S39" si="3">SUM(E7:E35)</f>
        <v>644.99</v>
      </c>
      <c r="F39" s="537">
        <f t="shared" si="3"/>
        <v>10144.019999999999</v>
      </c>
      <c r="G39" s="537">
        <f t="shared" si="3"/>
        <v>686</v>
      </c>
      <c r="H39" s="537">
        <f t="shared" si="3"/>
        <v>-203368</v>
      </c>
      <c r="I39" s="537">
        <f t="shared" si="3"/>
        <v>737</v>
      </c>
      <c r="J39" s="537">
        <f t="shared" si="3"/>
        <v>1105</v>
      </c>
      <c r="K39" s="537">
        <f t="shared" si="3"/>
        <v>1020</v>
      </c>
      <c r="L39" s="537">
        <f t="shared" si="3"/>
        <v>884</v>
      </c>
      <c r="M39" s="537">
        <f t="shared" si="3"/>
        <v>-315873.14</v>
      </c>
      <c r="N39" s="537">
        <f t="shared" si="3"/>
        <v>13298.642</v>
      </c>
      <c r="O39" s="537">
        <f t="shared" si="3"/>
        <v>902.98599999999988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41431.87000000001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C3" s="128" t="s">
        <v>116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976.47058823529414</v>
      </c>
      <c r="AI10" s="504">
        <f t="shared" si="12"/>
        <v>5976470.5882352944</v>
      </c>
      <c r="AJ10" s="503">
        <f t="shared" si="4"/>
        <v>11764.705882352777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1467120.6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952.94117647058829</v>
      </c>
      <c r="AI11" s="504">
        <f t="shared" si="12"/>
        <v>5952941.176470588</v>
      </c>
      <c r="AJ11" s="503">
        <f t="shared" si="4"/>
        <v>23529.411764706485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1602115.2000000002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894.11764705882354</v>
      </c>
      <c r="AI12" s="504">
        <f t="shared" si="12"/>
        <v>5894117.6470588231</v>
      </c>
      <c r="AJ12" s="503">
        <f t="shared" si="4"/>
        <v>58823.529411764815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822.74</v>
      </c>
      <c r="K13" s="140">
        <f>Gen!AK18</f>
        <v>21.08</v>
      </c>
      <c r="L13" s="140">
        <f t="shared" si="1"/>
        <v>843.82</v>
      </c>
      <c r="M13" s="527">
        <f>'Water-Meter'!K53</f>
        <v>574.56424271700564</v>
      </c>
      <c r="N13" s="201">
        <f>'Water-Meter'!E13</f>
        <v>61</v>
      </c>
      <c r="O13" s="212"/>
      <c r="P13" s="753"/>
      <c r="Q13" s="499">
        <f t="shared" si="2"/>
        <v>0</v>
      </c>
      <c r="R13" s="500">
        <f t="shared" si="5"/>
        <v>0</v>
      </c>
      <c r="S13" s="446">
        <v>7.5</v>
      </c>
      <c r="T13" s="565">
        <v>16749</v>
      </c>
      <c r="U13" s="499">
        <f t="shared" si="6"/>
        <v>0</v>
      </c>
      <c r="V13" s="501">
        <f t="shared" si="16"/>
        <v>0</v>
      </c>
      <c r="W13" s="446">
        <v>2.5</v>
      </c>
      <c r="X13" s="563">
        <v>24699</v>
      </c>
      <c r="Y13" s="499">
        <f t="shared" si="8"/>
        <v>23</v>
      </c>
      <c r="Z13" s="501">
        <f t="shared" si="9"/>
        <v>57.5</v>
      </c>
      <c r="AA13" s="501">
        <f t="shared" si="10"/>
        <v>1423010</v>
      </c>
      <c r="AB13" s="564">
        <v>36447</v>
      </c>
      <c r="AC13" s="136">
        <f t="shared" si="11"/>
        <v>55</v>
      </c>
      <c r="AD13" s="564">
        <v>203634</v>
      </c>
      <c r="AE13" s="219">
        <f t="shared" si="15"/>
        <v>30</v>
      </c>
      <c r="AF13" s="314">
        <f>'Lpg (2)'!B17*2000/85</f>
        <v>2000</v>
      </c>
      <c r="AG13" s="315">
        <f>'Lpg (2)'!C17*1000/85</f>
        <v>1000</v>
      </c>
      <c r="AH13" s="316">
        <f>'Lpg (2)'!D17*1000/85</f>
        <v>811.76470588235293</v>
      </c>
      <c r="AI13" s="504">
        <f t="shared" si="12"/>
        <v>5811764.7058823528</v>
      </c>
      <c r="AJ13" s="503">
        <f t="shared" si="4"/>
        <v>82352.941176470369</v>
      </c>
      <c r="AK13" s="143"/>
    </row>
    <row r="14" spans="1:37" ht="19.5" thickBot="1">
      <c r="A14" s="94">
        <f>Gen!B19</f>
        <v>44052</v>
      </c>
      <c r="B14" s="494">
        <f>'Summery Report'!E13</f>
        <v>1</v>
      </c>
      <c r="C14" s="156">
        <f>Gen!C19</f>
        <v>1.2999999999999999E-2</v>
      </c>
      <c r="D14" s="495">
        <f>'Summery Report'!E13</f>
        <v>1</v>
      </c>
      <c r="E14" s="496">
        <f t="shared" si="13"/>
        <v>1.3262195121951219</v>
      </c>
      <c r="F14" s="497">
        <f t="shared" si="14"/>
        <v>1178.9428353658536</v>
      </c>
      <c r="G14" s="497">
        <f t="shared" si="0"/>
        <v>1271.7782012195123</v>
      </c>
      <c r="H14" s="496">
        <f>Gen!D19</f>
        <v>34824.780000000013</v>
      </c>
      <c r="I14" s="498">
        <f>Gen!F19</f>
        <v>0</v>
      </c>
      <c r="J14" s="140">
        <f>Gen!T19</f>
        <v>888.95</v>
      </c>
      <c r="K14" s="140">
        <f>Gen!AK19</f>
        <v>70</v>
      </c>
      <c r="L14" s="140">
        <f t="shared" si="1"/>
        <v>958.95</v>
      </c>
      <c r="M14" s="527">
        <f>'Water-Meter'!K54</f>
        <v>564.11351976790911</v>
      </c>
      <c r="N14" s="201">
        <f>'Water-Meter'!E14</f>
        <v>63</v>
      </c>
      <c r="O14" s="212"/>
      <c r="P14" s="753"/>
      <c r="Q14" s="499">
        <f t="shared" si="2"/>
        <v>0</v>
      </c>
      <c r="R14" s="500">
        <f t="shared" si="5"/>
        <v>0</v>
      </c>
      <c r="S14" s="446">
        <v>7.5</v>
      </c>
      <c r="T14" s="565">
        <v>16749</v>
      </c>
      <c r="U14" s="499">
        <f t="shared" si="6"/>
        <v>0</v>
      </c>
      <c r="V14" s="501">
        <f t="shared" si="16"/>
        <v>0</v>
      </c>
      <c r="W14" s="446">
        <v>2.5</v>
      </c>
      <c r="X14" s="563">
        <v>24724</v>
      </c>
      <c r="Y14" s="499">
        <f t="shared" si="8"/>
        <v>25</v>
      </c>
      <c r="Z14" s="501">
        <f t="shared" si="9"/>
        <v>62.5</v>
      </c>
      <c r="AA14" s="501">
        <f t="shared" si="10"/>
        <v>1548187.5</v>
      </c>
      <c r="AB14" s="564">
        <v>36500</v>
      </c>
      <c r="AC14" s="136">
        <f t="shared" si="11"/>
        <v>53</v>
      </c>
      <c r="AD14" s="564">
        <v>203671</v>
      </c>
      <c r="AE14" s="219">
        <f t="shared" si="15"/>
        <v>37</v>
      </c>
      <c r="AF14" s="314">
        <f>'Lpg (2)'!B18*2000/85</f>
        <v>2000</v>
      </c>
      <c r="AG14" s="315">
        <f>'Lpg (2)'!C18*1000/85</f>
        <v>1000</v>
      </c>
      <c r="AH14" s="316">
        <f>'Lpg (2)'!D18*1000/85</f>
        <v>717.64705882352939</v>
      </c>
      <c r="AI14" s="504">
        <f t="shared" si="12"/>
        <v>5717647.0588235296</v>
      </c>
      <c r="AJ14" s="503">
        <f t="shared" si="4"/>
        <v>94117.647058823146</v>
      </c>
      <c r="AK14" s="142"/>
    </row>
    <row r="15" spans="1:37" ht="19.5" thickBot="1">
      <c r="A15" s="94">
        <f>Gen!B20</f>
        <v>44053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1059.8217987804878</v>
      </c>
      <c r="G15" s="497">
        <f t="shared" si="0"/>
        <v>1101.3457317073169</v>
      </c>
      <c r="H15" s="496">
        <f>Gen!D20</f>
        <v>33865.830000000016</v>
      </c>
      <c r="I15" s="498">
        <f>Gen!F20</f>
        <v>0</v>
      </c>
      <c r="J15" s="140">
        <f>Gen!T20</f>
        <v>799.13</v>
      </c>
      <c r="K15" s="140">
        <f>Gen!AK20</f>
        <v>31.31</v>
      </c>
      <c r="L15" s="140">
        <f t="shared" si="1"/>
        <v>830.43999999999994</v>
      </c>
      <c r="M15" s="527">
        <f>'Water-Meter'!K55</f>
        <v>541.55216423348941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7.5</v>
      </c>
      <c r="T15" s="565">
        <v>16749</v>
      </c>
      <c r="U15" s="499">
        <f t="shared" si="6"/>
        <v>0</v>
      </c>
      <c r="V15" s="501">
        <f t="shared" si="16"/>
        <v>0</v>
      </c>
      <c r="W15" s="446">
        <v>2.5</v>
      </c>
      <c r="X15" s="563">
        <v>24748</v>
      </c>
      <c r="Y15" s="499">
        <f t="shared" si="8"/>
        <v>24</v>
      </c>
      <c r="Z15" s="501">
        <f t="shared" si="9"/>
        <v>60</v>
      </c>
      <c r="AA15" s="501">
        <f t="shared" si="10"/>
        <v>1487700</v>
      </c>
      <c r="AB15" s="564">
        <v>36552</v>
      </c>
      <c r="AC15" s="136">
        <f t="shared" si="11"/>
        <v>52</v>
      </c>
      <c r="AD15" s="564">
        <v>203701</v>
      </c>
      <c r="AE15" s="219">
        <f>AD15-AD14</f>
        <v>30</v>
      </c>
      <c r="AF15" s="314">
        <f>'Lpg (2)'!B19*2000/85</f>
        <v>2000</v>
      </c>
      <c r="AG15" s="315">
        <f>'Lpg (2)'!C19*1000/85</f>
        <v>1000</v>
      </c>
      <c r="AH15" s="316">
        <f>'Lpg (2)'!D19*1000/85</f>
        <v>694.11764705882354</v>
      </c>
      <c r="AI15" s="504">
        <f t="shared" ref="AI15:AI35" si="17">SUM(AF15*2000)+(AG15*1000)+(AH15*1000)</f>
        <v>5694117.6470588231</v>
      </c>
      <c r="AJ15" s="503">
        <f t="shared" si="4"/>
        <v>23529.411764706485</v>
      </c>
      <c r="AK15" s="142"/>
    </row>
    <row r="16" spans="1:37" ht="19.5" thickBot="1">
      <c r="A16" s="94">
        <f>Gen!B21</f>
        <v>44054</v>
      </c>
      <c r="B16" s="494">
        <f>'Summery Report'!E15</f>
        <v>1</v>
      </c>
      <c r="C16" s="156">
        <f>Gen!C21</f>
        <v>0.01</v>
      </c>
      <c r="D16" s="495">
        <f>'Summery Report'!E15</f>
        <v>1</v>
      </c>
      <c r="E16" s="496">
        <f t="shared" si="13"/>
        <v>1.3262195121951219</v>
      </c>
      <c r="F16" s="497">
        <f t="shared" si="14"/>
        <v>1031.7457317073172</v>
      </c>
      <c r="G16" s="497">
        <f t="shared" si="0"/>
        <v>1293.4751524390244</v>
      </c>
      <c r="H16" s="496">
        <f>Gen!D21</f>
        <v>33035.390000000014</v>
      </c>
      <c r="I16" s="498">
        <f>Gen!F21</f>
        <v>0</v>
      </c>
      <c r="J16" s="140">
        <f>Gen!T21</f>
        <v>777.96</v>
      </c>
      <c r="K16" s="140">
        <f>Gen!AK21</f>
        <v>197.35</v>
      </c>
      <c r="L16" s="140">
        <f t="shared" si="1"/>
        <v>975.31000000000006</v>
      </c>
      <c r="M16" s="527">
        <f>'Water-Meter'!K56</f>
        <v>473.81231986492867</v>
      </c>
      <c r="N16" s="201">
        <f>'Water-Meter'!E16</f>
        <v>67</v>
      </c>
      <c r="O16" s="212"/>
      <c r="P16" s="753"/>
      <c r="Q16" s="499">
        <f t="shared" si="2"/>
        <v>0</v>
      </c>
      <c r="R16" s="500">
        <f t="shared" si="5"/>
        <v>0</v>
      </c>
      <c r="S16" s="446">
        <v>7.5</v>
      </c>
      <c r="T16" s="565">
        <v>16749</v>
      </c>
      <c r="U16" s="499">
        <f t="shared" si="6"/>
        <v>0</v>
      </c>
      <c r="V16" s="501">
        <f t="shared" si="16"/>
        <v>0</v>
      </c>
      <c r="W16" s="446">
        <v>2.5</v>
      </c>
      <c r="X16" s="563">
        <v>24771</v>
      </c>
      <c r="Y16" s="499">
        <f t="shared" si="8"/>
        <v>23</v>
      </c>
      <c r="Z16" s="501">
        <f t="shared" si="9"/>
        <v>57.5</v>
      </c>
      <c r="AA16" s="501">
        <f t="shared" si="10"/>
        <v>1427150</v>
      </c>
      <c r="AB16" s="564">
        <v>36602</v>
      </c>
      <c r="AC16" s="136">
        <f t="shared" si="11"/>
        <v>50</v>
      </c>
      <c r="AD16" s="564">
        <v>203733</v>
      </c>
      <c r="AE16" s="219">
        <f t="shared" si="15"/>
        <v>32</v>
      </c>
      <c r="AF16" s="314">
        <f>'Lpg (2)'!B20*2000/85</f>
        <v>2000</v>
      </c>
      <c r="AG16" s="315">
        <f>'Lpg (2)'!C20*1000/85</f>
        <v>1000</v>
      </c>
      <c r="AH16" s="316">
        <f>'Lpg (2)'!D20*1000/85</f>
        <v>658.82352941176475</v>
      </c>
      <c r="AI16" s="504">
        <f t="shared" si="17"/>
        <v>5658823.5294117648</v>
      </c>
      <c r="AJ16" s="503">
        <f t="shared" si="4"/>
        <v>35294.11764705833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32060.080000000013</v>
      </c>
      <c r="I17" s="498">
        <f>Gen!F22</f>
        <v>0</v>
      </c>
      <c r="J17" s="140">
        <f>Gen!T22</f>
        <v>763.8</v>
      </c>
      <c r="K17" s="140">
        <f>Gen!AK22</f>
        <v>0</v>
      </c>
      <c r="L17" s="140">
        <f t="shared" si="1"/>
        <v>763.8</v>
      </c>
      <c r="M17" s="527">
        <f>'Water-Meter'!K57</f>
        <v>466.841948079742</v>
      </c>
      <c r="N17" s="201">
        <f>'Water-Meter'!E17</f>
        <v>100</v>
      </c>
      <c r="O17" s="212"/>
      <c r="P17" s="753"/>
      <c r="Q17" s="499">
        <f>SUM(P18-P16)</f>
        <v>0</v>
      </c>
      <c r="R17" s="500">
        <f t="shared" si="5"/>
        <v>0</v>
      </c>
      <c r="S17" s="446">
        <v>7.5</v>
      </c>
      <c r="T17" s="565">
        <v>16749</v>
      </c>
      <c r="U17" s="499">
        <f t="shared" si="6"/>
        <v>0</v>
      </c>
      <c r="V17" s="501">
        <f t="shared" ref="V17:V36" si="18">SUM(U17*S17)</f>
        <v>0</v>
      </c>
      <c r="W17" s="446">
        <v>2.5</v>
      </c>
      <c r="X17" s="563">
        <v>24795</v>
      </c>
      <c r="Y17" s="499">
        <f t="shared" si="8"/>
        <v>24</v>
      </c>
      <c r="Z17" s="501">
        <f t="shared" si="9"/>
        <v>60</v>
      </c>
      <c r="AA17" s="501">
        <f t="shared" si="10"/>
        <v>0</v>
      </c>
      <c r="AB17" s="564">
        <v>36654</v>
      </c>
      <c r="AC17" s="136">
        <f t="shared" si="11"/>
        <v>52</v>
      </c>
      <c r="AD17" s="564">
        <v>203769</v>
      </c>
      <c r="AE17" s="219">
        <f t="shared" si="15"/>
        <v>36</v>
      </c>
      <c r="AF17" s="314">
        <f>'Lpg (2)'!B21*2000/85</f>
        <v>2000</v>
      </c>
      <c r="AG17" s="315">
        <f>'Lpg (2)'!C21*1000/85</f>
        <v>1000</v>
      </c>
      <c r="AH17" s="316">
        <f>'Lpg (2)'!D21*1000/85</f>
        <v>611.76470588235293</v>
      </c>
      <c r="AI17" s="504">
        <f t="shared" si="17"/>
        <v>5611764.7058823528</v>
      </c>
      <c r="AJ17" s="503">
        <f t="shared" si="4"/>
        <v>47058.823529412039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31296.280000000013</v>
      </c>
      <c r="I18" s="498">
        <f>Gen!F23</f>
        <v>0</v>
      </c>
      <c r="J18" s="140">
        <f>Gen!T23</f>
        <v>756.53</v>
      </c>
      <c r="K18" s="140">
        <f>Gen!AK23</f>
        <v>10.17</v>
      </c>
      <c r="L18" s="140">
        <f t="shared" si="1"/>
        <v>766.69999999999993</v>
      </c>
      <c r="M18" s="527">
        <f>'Water-Meter'!K58</f>
        <v>450.80320757300603</v>
      </c>
      <c r="N18" s="201">
        <f>'Water-Meter'!E18</f>
        <v>63</v>
      </c>
      <c r="O18" s="212"/>
      <c r="P18" s="753"/>
      <c r="Q18" s="499"/>
      <c r="R18" s="500">
        <f t="shared" si="5"/>
        <v>0</v>
      </c>
      <c r="S18" s="446">
        <v>7.5</v>
      </c>
      <c r="T18" s="565">
        <v>16749</v>
      </c>
      <c r="U18" s="499">
        <f t="shared" si="6"/>
        <v>0</v>
      </c>
      <c r="V18" s="501">
        <f t="shared" si="18"/>
        <v>0</v>
      </c>
      <c r="W18" s="446">
        <v>2.5</v>
      </c>
      <c r="X18" s="563">
        <v>24820</v>
      </c>
      <c r="Y18" s="499">
        <f t="shared" si="8"/>
        <v>25</v>
      </c>
      <c r="Z18" s="501">
        <f t="shared" si="9"/>
        <v>62.5</v>
      </c>
      <c r="AA18" s="501">
        <f t="shared" si="10"/>
        <v>0</v>
      </c>
      <c r="AB18" s="564">
        <v>36706</v>
      </c>
      <c r="AC18" s="136">
        <f t="shared" si="11"/>
        <v>52</v>
      </c>
      <c r="AD18" s="564">
        <v>203805</v>
      </c>
      <c r="AE18" s="219">
        <f t="shared" si="15"/>
        <v>36</v>
      </c>
      <c r="AF18" s="314">
        <f>'Lpg (2)'!B22*2000/85</f>
        <v>2000</v>
      </c>
      <c r="AG18" s="315">
        <f>'Lpg (2)'!C22*1000/85</f>
        <v>1000</v>
      </c>
      <c r="AH18" s="316">
        <f>'Lpg (2)'!D22*1000/85</f>
        <v>564.70588235294122</v>
      </c>
      <c r="AI18" s="504">
        <f t="shared" si="17"/>
        <v>5564705.8823529407</v>
      </c>
      <c r="AJ18" s="503">
        <f t="shared" si="4"/>
        <v>47058.823529412039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30529.580000000013</v>
      </c>
      <c r="I19" s="498">
        <f>Gen!F24</f>
        <v>18000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490.7104985071856</v>
      </c>
      <c r="N19" s="201" t="str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-16749</v>
      </c>
      <c r="V19" s="501">
        <f t="shared" si="18"/>
        <v>0</v>
      </c>
      <c r="W19" s="446"/>
      <c r="X19" s="563"/>
      <c r="Y19" s="499">
        <f t="shared" si="8"/>
        <v>-24820</v>
      </c>
      <c r="Z19" s="501">
        <f t="shared" si="9"/>
        <v>0</v>
      </c>
      <c r="AA19" s="501">
        <f t="shared" si="10"/>
        <v>0</v>
      </c>
      <c r="AB19" s="564"/>
      <c r="AC19" s="136"/>
      <c r="AD19" s="564"/>
      <c r="AE19" s="219">
        <f t="shared" si="15"/>
        <v>-203805</v>
      </c>
      <c r="AF19" s="314">
        <f>'Lpg (2)'!B23*2000/85</f>
        <v>2000</v>
      </c>
      <c r="AG19" s="315">
        <f>'Lpg (2)'!C23*1000/85</f>
        <v>1000</v>
      </c>
      <c r="AH19" s="316">
        <f>'Lpg (2)'!D23*1000/85</f>
        <v>541.17647058823525</v>
      </c>
      <c r="AI19" s="504">
        <f t="shared" si="17"/>
        <v>5541176.4705882352</v>
      </c>
      <c r="AJ19" s="503">
        <f t="shared" si="4"/>
        <v>23529.411764705554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30529.580000000013</v>
      </c>
      <c r="I20" s="498">
        <f>Gen!F25</f>
        <v>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5541176.4705882352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30529.580000000013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30529.580000000013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30529.580000000013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30529.580000000013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30529.580000000013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30529.580000000013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44065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30529.580000000013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30529.580000000013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30529.580000000013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30529.580000000013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30529.580000000013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30529.580000000013</v>
      </c>
      <c r="I32" s="498">
        <f>Gen!F37</f>
        <v>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30529.580000000013</v>
      </c>
      <c r="I33" s="498">
        <f>Gen!F38</f>
        <v>10000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30529.580000000013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30529.580000000013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30529.580000000013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10240.449999999999</v>
      </c>
      <c r="K37" s="163"/>
      <c r="L37" s="140">
        <f t="shared" si="1"/>
        <v>10240.449999999999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9" sqref="W19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1" t="s">
        <v>156</v>
      </c>
      <c r="C3" s="792"/>
      <c r="D3" s="196"/>
      <c r="E3" s="699">
        <v>8750.7000000000007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7991</v>
      </c>
      <c r="P3" s="709">
        <f>'Water-Meter'!J5</f>
        <v>7991</v>
      </c>
      <c r="Q3" s="195"/>
      <c r="R3" s="696"/>
      <c r="S3" s="697"/>
      <c r="T3" s="791" t="s">
        <v>156</v>
      </c>
      <c r="U3" s="792"/>
      <c r="V3" s="196"/>
      <c r="W3" s="700">
        <v>7812.1</v>
      </c>
      <c r="X3" s="710">
        <f t="shared" ref="X3:X35" si="0">(W3-V3)*200</f>
        <v>1562420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7813.2</v>
      </c>
      <c r="X10" s="736">
        <f t="shared" si="0"/>
        <v>60.00000000003638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>
        <v>8761.4</v>
      </c>
      <c r="F11" s="703">
        <f t="shared" si="2"/>
        <v>180</v>
      </c>
      <c r="G11" s="698"/>
      <c r="H11" s="720">
        <f t="shared" si="6"/>
        <v>44051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7998</v>
      </c>
      <c r="P11" s="702">
        <f>'Water-Meter'!J13</f>
        <v>7998</v>
      </c>
      <c r="Q11" s="740">
        <f t="shared" si="8"/>
        <v>-7997</v>
      </c>
      <c r="R11" s="746">
        <f t="shared" si="4"/>
        <v>-4.9517027863777088</v>
      </c>
      <c r="S11" s="747">
        <f>Gen!T18</f>
        <v>822.74</v>
      </c>
      <c r="T11" s="735">
        <f t="shared" si="9"/>
        <v>44051</v>
      </c>
      <c r="U11" s="698"/>
      <c r="V11" s="703">
        <f t="shared" si="5"/>
        <v>7813.2</v>
      </c>
      <c r="W11" s="700">
        <v>7813.5</v>
      </c>
      <c r="X11" s="736">
        <f t="shared" si="0"/>
        <v>60.00000000003638</v>
      </c>
      <c r="Y11" s="730">
        <f t="shared" si="10"/>
        <v>44051</v>
      </c>
      <c r="Z11" s="698"/>
      <c r="AA11" s="698"/>
      <c r="AB11" s="728">
        <f>'Water-Meter'!P13</f>
        <v>20213</v>
      </c>
      <c r="AC11" s="729">
        <f t="shared" si="11"/>
        <v>-20211</v>
      </c>
    </row>
    <row r="12" spans="1:29" ht="19.5" thickBot="1">
      <c r="A12" s="712">
        <f>Gen!C19</f>
        <v>1.2999999999999999E-2</v>
      </c>
      <c r="B12" s="719">
        <f>Gen!B19</f>
        <v>44052</v>
      </c>
      <c r="C12" s="698"/>
      <c r="D12" s="703">
        <f t="shared" si="1"/>
        <v>8761.4</v>
      </c>
      <c r="E12" s="699">
        <v>8763.1</v>
      </c>
      <c r="F12" s="703">
        <f t="shared" si="2"/>
        <v>204.00000000008731</v>
      </c>
      <c r="G12" s="698"/>
      <c r="H12" s="720">
        <f t="shared" si="6"/>
        <v>44052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7998</v>
      </c>
      <c r="P12" s="702">
        <f>'Water-Meter'!J14</f>
        <v>7998</v>
      </c>
      <c r="Q12" s="740">
        <f t="shared" si="8"/>
        <v>-7998</v>
      </c>
      <c r="R12" s="746">
        <f t="shared" si="4"/>
        <v>-4.9523219814241486</v>
      </c>
      <c r="S12" s="747">
        <f>Gen!T19</f>
        <v>888.95</v>
      </c>
      <c r="T12" s="735">
        <f t="shared" si="9"/>
        <v>44052</v>
      </c>
      <c r="U12" s="698"/>
      <c r="V12" s="703">
        <f t="shared" si="5"/>
        <v>7813.5</v>
      </c>
      <c r="W12" s="700">
        <v>7813.7</v>
      </c>
      <c r="X12" s="736">
        <f t="shared" si="0"/>
        <v>39.99999999996362</v>
      </c>
      <c r="Y12" s="730">
        <f t="shared" si="10"/>
        <v>44052</v>
      </c>
      <c r="Z12" s="698"/>
      <c r="AA12" s="698"/>
      <c r="AB12" s="728">
        <f>'Water-Meter'!P14</f>
        <v>20214</v>
      </c>
      <c r="AC12" s="729">
        <f t="shared" si="11"/>
        <v>-20213</v>
      </c>
    </row>
    <row r="13" spans="1:29" ht="19.5" thickBot="1">
      <c r="A13" s="712">
        <f>Gen!C20</f>
        <v>1.2999999999999999E-2</v>
      </c>
      <c r="B13" s="719">
        <f>Gen!B20</f>
        <v>44053</v>
      </c>
      <c r="C13" s="698"/>
      <c r="D13" s="703">
        <f t="shared" si="1"/>
        <v>8763.1</v>
      </c>
      <c r="E13" s="699">
        <v>8764.7999999999993</v>
      </c>
      <c r="F13" s="703">
        <f t="shared" si="2"/>
        <v>203.99999999986903</v>
      </c>
      <c r="G13" s="698"/>
      <c r="H13" s="720">
        <f t="shared" si="6"/>
        <v>44053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7999</v>
      </c>
      <c r="P13" s="702">
        <f>'Water-Meter'!J15</f>
        <v>7999</v>
      </c>
      <c r="Q13" s="740">
        <f t="shared" si="8"/>
        <v>-7998</v>
      </c>
      <c r="R13" s="746">
        <f t="shared" si="4"/>
        <v>-4.9523219814241486</v>
      </c>
      <c r="S13" s="747">
        <f>Gen!T20</f>
        <v>799.13</v>
      </c>
      <c r="T13" s="735">
        <f t="shared" si="9"/>
        <v>44053</v>
      </c>
      <c r="U13" s="698"/>
      <c r="V13" s="703">
        <f t="shared" si="5"/>
        <v>7813.7</v>
      </c>
      <c r="W13" s="700">
        <v>7813.9</v>
      </c>
      <c r="X13" s="736">
        <f t="shared" si="0"/>
        <v>39.99999999996362</v>
      </c>
      <c r="Y13" s="730">
        <f t="shared" si="10"/>
        <v>44053</v>
      </c>
      <c r="Z13" s="698"/>
      <c r="AA13" s="698"/>
      <c r="AB13" s="728">
        <f>'Water-Meter'!P15</f>
        <v>20215</v>
      </c>
      <c r="AC13" s="729">
        <f t="shared" si="11"/>
        <v>-20214</v>
      </c>
    </row>
    <row r="14" spans="1:29" ht="19.5" thickBot="1">
      <c r="A14" s="712">
        <f>Gen!C21</f>
        <v>0.01</v>
      </c>
      <c r="B14" s="719">
        <f>Gen!B21</f>
        <v>44054</v>
      </c>
      <c r="C14" s="698"/>
      <c r="D14" s="703">
        <f t="shared" si="1"/>
        <v>8764.7999999999993</v>
      </c>
      <c r="E14" s="699">
        <v>8766.4</v>
      </c>
      <c r="F14" s="703">
        <f t="shared" si="2"/>
        <v>192.00000000004366</v>
      </c>
      <c r="G14" s="698"/>
      <c r="H14" s="720">
        <f t="shared" si="6"/>
        <v>44054</v>
      </c>
      <c r="I14" s="713"/>
      <c r="J14" s="763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8000</v>
      </c>
      <c r="P14" s="702">
        <f>'Water-Meter'!J16</f>
        <v>8000</v>
      </c>
      <c r="Q14" s="740">
        <f t="shared" si="8"/>
        <v>-7999</v>
      </c>
      <c r="R14" s="746">
        <f t="shared" si="4"/>
        <v>-4.9529411764705884</v>
      </c>
      <c r="S14" s="747">
        <f>Gen!T21</f>
        <v>777.96</v>
      </c>
      <c r="T14" s="735">
        <f t="shared" si="9"/>
        <v>44054</v>
      </c>
      <c r="U14" s="698"/>
      <c r="V14" s="703">
        <f t="shared" si="5"/>
        <v>7813.9</v>
      </c>
      <c r="W14" s="700">
        <v>7814.1</v>
      </c>
      <c r="X14" s="736">
        <f t="shared" si="0"/>
        <v>40.000000000145519</v>
      </c>
      <c r="Y14" s="730">
        <f t="shared" si="10"/>
        <v>44054</v>
      </c>
      <c r="Z14" s="698"/>
      <c r="AA14" s="698"/>
      <c r="AB14" s="728">
        <f>'Water-Meter'!P16</f>
        <v>20217</v>
      </c>
      <c r="AC14" s="729">
        <f t="shared" si="11"/>
        <v>-20215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8766.4</v>
      </c>
      <c r="E15" s="699">
        <v>8767.6</v>
      </c>
      <c r="F15" s="703">
        <f t="shared" si="2"/>
        <v>144.00000000008731</v>
      </c>
      <c r="G15" s="698"/>
      <c r="H15" s="720">
        <f t="shared" si="6"/>
        <v>44055</v>
      </c>
      <c r="I15" s="713"/>
      <c r="J15" s="763">
        <f>'Water-Meter'!G17</f>
        <v>38000</v>
      </c>
      <c r="K15" s="739">
        <f>'Water-Meter'!G17</f>
        <v>38000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8001</v>
      </c>
      <c r="P15" s="702">
        <f>'Water-Meter'!J17</f>
        <v>8001</v>
      </c>
      <c r="Q15" s="740">
        <f t="shared" si="8"/>
        <v>-8000</v>
      </c>
      <c r="R15" s="746">
        <f t="shared" si="4"/>
        <v>-4.9535603715170282</v>
      </c>
      <c r="S15" s="747">
        <f>Gen!T22</f>
        <v>763.8</v>
      </c>
      <c r="T15" s="735">
        <f t="shared" si="9"/>
        <v>44055</v>
      </c>
      <c r="U15" s="698"/>
      <c r="V15" s="703">
        <f t="shared" si="5"/>
        <v>7814.1</v>
      </c>
      <c r="W15" s="700">
        <v>7814.2</v>
      </c>
      <c r="X15" s="736">
        <f t="shared" si="0"/>
        <v>19.999999999890861</v>
      </c>
      <c r="Y15" s="730">
        <f t="shared" si="10"/>
        <v>44055</v>
      </c>
      <c r="Z15" s="698"/>
      <c r="AA15" s="698"/>
      <c r="AB15" s="728">
        <f>'Water-Meter'!P17</f>
        <v>20218</v>
      </c>
      <c r="AC15" s="729">
        <f t="shared" si="11"/>
        <v>-20217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8767.6</v>
      </c>
      <c r="E16" s="699">
        <v>8768.9</v>
      </c>
      <c r="F16" s="703">
        <f>SUM(E16-D16)*120</f>
        <v>155.99999999991269</v>
      </c>
      <c r="G16" s="698"/>
      <c r="H16" s="720">
        <f t="shared" si="6"/>
        <v>44056</v>
      </c>
      <c r="I16" s="713"/>
      <c r="J16" s="763">
        <f>'Water-Meter'!G18</f>
        <v>38000</v>
      </c>
      <c r="K16" s="739">
        <f>'Water-Meter'!G18</f>
        <v>38000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8002</v>
      </c>
      <c r="P16" s="702">
        <f>'Water-Meter'!J18</f>
        <v>8002</v>
      </c>
      <c r="Q16" s="740">
        <f t="shared" si="8"/>
        <v>-8001</v>
      </c>
      <c r="R16" s="746">
        <f t="shared" si="4"/>
        <v>-4.9541795665634671</v>
      </c>
      <c r="S16" s="747">
        <f>Gen!T23</f>
        <v>756.53</v>
      </c>
      <c r="T16" s="735">
        <f t="shared" si="9"/>
        <v>44056</v>
      </c>
      <c r="U16" s="698"/>
      <c r="V16" s="703">
        <f t="shared" si="5"/>
        <v>7814.2</v>
      </c>
      <c r="W16" s="700">
        <v>7814.3</v>
      </c>
      <c r="X16" s="736">
        <f t="shared" si="0"/>
        <v>20.00000000007276</v>
      </c>
      <c r="Y16" s="730">
        <f t="shared" si="10"/>
        <v>44056</v>
      </c>
      <c r="Z16" s="698"/>
      <c r="AA16" s="698"/>
      <c r="AB16" s="728">
        <f>'Water-Meter'!P18</f>
        <v>20219</v>
      </c>
      <c r="AC16" s="729">
        <f t="shared" si="11"/>
        <v>-20218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8768.9</v>
      </c>
      <c r="E17" s="699"/>
      <c r="F17" s="703">
        <f>SUM(E17-D17)*120</f>
        <v>-1052268</v>
      </c>
      <c r="G17" s="698"/>
      <c r="H17" s="720">
        <f t="shared" si="6"/>
        <v>44057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-8002</v>
      </c>
      <c r="R17" s="746">
        <f t="shared" si="4"/>
        <v>-4.954798761609907</v>
      </c>
      <c r="S17" s="747">
        <f>Gen!T24</f>
        <v>0</v>
      </c>
      <c r="T17" s="735">
        <f t="shared" si="9"/>
        <v>44057</v>
      </c>
      <c r="U17" s="698"/>
      <c r="V17" s="703">
        <f t="shared" si="5"/>
        <v>7814.3</v>
      </c>
      <c r="W17" s="700"/>
      <c r="X17" s="736">
        <f t="shared" si="0"/>
        <v>-1562860</v>
      </c>
      <c r="Y17" s="730">
        <f t="shared" si="10"/>
        <v>44057</v>
      </c>
      <c r="Z17" s="698"/>
      <c r="AA17" s="698"/>
      <c r="AB17" s="728">
        <f>'Water-Meter'!P19</f>
        <v>0</v>
      </c>
      <c r="AC17" s="729">
        <f t="shared" si="11"/>
        <v>-20219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44058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44058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44058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44059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44059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44059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44060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44060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44060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44061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44061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44061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44062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44062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44062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44063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44063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44063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44064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44065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44065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44065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44065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44066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44066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44066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44066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44066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44067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44067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44067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44067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44068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44068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44068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44069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44069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44069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44070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44070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44070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44071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44071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44071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44072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44072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44073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44073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44073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0" sqref="E2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12.847999999992318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12.584000000002563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32.559999999974394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26.047999999992317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32.647999999992322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21.08</v>
      </c>
      <c r="I12" s="86">
        <f t="shared" si="1"/>
        <v>799.2</v>
      </c>
      <c r="J12" s="525">
        <f>Gen!D18</f>
        <v>35668.600000000013</v>
      </c>
      <c r="K12" s="347">
        <f>'Water-Meter'!E13</f>
        <v>61</v>
      </c>
      <c r="L12" s="526">
        <f>'Lpg (2)'!G17</f>
        <v>31.900000000000002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24</v>
      </c>
      <c r="C13" s="88">
        <f>Gen!C19</f>
        <v>1.2999999999999999E-2</v>
      </c>
      <c r="D13" s="512">
        <f t="shared" si="0"/>
        <v>1</v>
      </c>
      <c r="E13" s="75">
        <v>1</v>
      </c>
      <c r="F13" s="71">
        <f>Gen!U17</f>
        <v>1882</v>
      </c>
      <c r="G13" s="86">
        <f>Gen!T17</f>
        <v>771.7</v>
      </c>
      <c r="H13" s="86">
        <f>Gen!AK19</f>
        <v>70</v>
      </c>
      <c r="I13" s="86">
        <f t="shared" si="1"/>
        <v>841.7</v>
      </c>
      <c r="J13" s="525">
        <f>Gen!D19</f>
        <v>34824.780000000013</v>
      </c>
      <c r="K13" s="347">
        <f>'Water-Meter'!E14</f>
        <v>63</v>
      </c>
      <c r="L13" s="526">
        <f>'Lpg (2)'!G18</f>
        <v>43.868000000005125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2028</v>
      </c>
      <c r="G14" s="86">
        <f>Gen!T18</f>
        <v>822.74</v>
      </c>
      <c r="H14" s="86">
        <f>Gen!AK20</f>
        <v>31.31</v>
      </c>
      <c r="I14" s="86">
        <f t="shared" si="1"/>
        <v>854.05</v>
      </c>
      <c r="J14" s="525">
        <f>Gen!D20</f>
        <v>33865.830000000016</v>
      </c>
      <c r="K14" s="347">
        <f>'Water-Meter'!E15</f>
        <v>55</v>
      </c>
      <c r="L14" s="526">
        <f>'Lpg (2)'!G19</f>
        <v>49.104000000015368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23</v>
      </c>
      <c r="C15" s="88">
        <f>Gen!C21</f>
        <v>0.01</v>
      </c>
      <c r="D15" s="512">
        <f t="shared" si="0"/>
        <v>1</v>
      </c>
      <c r="E15" s="75">
        <v>1</v>
      </c>
      <c r="F15" s="71">
        <f>Gen!U19</f>
        <v>2022</v>
      </c>
      <c r="G15" s="86">
        <f>Gen!T19</f>
        <v>888.95</v>
      </c>
      <c r="H15" s="86">
        <f>Gen!AK21</f>
        <v>197.35</v>
      </c>
      <c r="I15" s="86">
        <f t="shared" si="1"/>
        <v>1086.3</v>
      </c>
      <c r="J15" s="525">
        <f>Gen!D21</f>
        <v>33035.390000000014</v>
      </c>
      <c r="K15" s="347">
        <f>'Water-Meter'!E16</f>
        <v>67</v>
      </c>
      <c r="L15" s="526">
        <f>'Lpg (2)'!G20</f>
        <v>52.975999999971833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25</v>
      </c>
      <c r="C16" s="88">
        <f>Gen!C22</f>
        <v>0</v>
      </c>
      <c r="D16" s="512">
        <f t="shared" si="0"/>
        <v>0</v>
      </c>
      <c r="E16" s="75"/>
      <c r="F16" s="71">
        <f>Gen!U20</f>
        <v>1848</v>
      </c>
      <c r="G16" s="86">
        <f>Gen!T20</f>
        <v>799.13</v>
      </c>
      <c r="H16" s="86">
        <f>Gen!AK22</f>
        <v>0</v>
      </c>
      <c r="I16" s="86">
        <f t="shared" si="1"/>
        <v>799.13</v>
      </c>
      <c r="J16" s="525">
        <f>Gen!D22</f>
        <v>32060.080000000013</v>
      </c>
      <c r="K16" s="347">
        <f>'Water-Meter'!E17</f>
        <v>100</v>
      </c>
      <c r="L16" s="526">
        <f>'Lpg (2)'!G21</f>
        <v>32.604000000015368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24</v>
      </c>
      <c r="C17" s="88">
        <f>Gen!C23</f>
        <v>0</v>
      </c>
      <c r="D17" s="512">
        <f t="shared" si="0"/>
        <v>0</v>
      </c>
      <c r="E17" s="75"/>
      <c r="F17" s="71">
        <f>Gen!U21</f>
        <v>1828</v>
      </c>
      <c r="G17" s="86">
        <f>Gen!T21</f>
        <v>777.96</v>
      </c>
      <c r="H17" s="86">
        <f>Gen!AK23</f>
        <v>10.17</v>
      </c>
      <c r="I17" s="86">
        <f t="shared" si="1"/>
        <v>788.13</v>
      </c>
      <c r="J17" s="525">
        <f>Gen!D23</f>
        <v>31296.280000000013</v>
      </c>
      <c r="K17" s="347">
        <f>'Water-Meter'!E18</f>
        <v>63</v>
      </c>
      <c r="L17" s="526">
        <f>'Lpg (2)'!G22</f>
        <v>31.94400000004098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25</v>
      </c>
      <c r="C18" s="88">
        <f>Gen!C24</f>
        <v>0</v>
      </c>
      <c r="D18" s="512">
        <f t="shared" si="0"/>
        <v>0</v>
      </c>
      <c r="E18" s="75"/>
      <c r="F18" s="71">
        <f>Gen!U22</f>
        <v>1765</v>
      </c>
      <c r="G18" s="86">
        <f>Gen!T22</f>
        <v>763.8</v>
      </c>
      <c r="H18" s="86">
        <f>Gen!AK24</f>
        <v>0</v>
      </c>
      <c r="I18" s="86">
        <f t="shared" si="1"/>
        <v>763.8</v>
      </c>
      <c r="J18" s="525">
        <f>Gen!D24</f>
        <v>30529.580000000013</v>
      </c>
      <c r="K18" s="347" t="str">
        <f>'Water-Meter'!E19</f>
        <v>0</v>
      </c>
      <c r="L18" s="526">
        <f>'Lpg (2)'!G23</f>
        <v>-316258.00800000003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-153200</v>
      </c>
      <c r="C19" s="88">
        <f>Gen!C25</f>
        <v>0</v>
      </c>
      <c r="D19" s="512">
        <f t="shared" si="0"/>
        <v>0</v>
      </c>
      <c r="E19" s="75"/>
      <c r="F19" s="71">
        <f>Gen!U23</f>
        <v>1824</v>
      </c>
      <c r="G19" s="86">
        <f>Gen!T23</f>
        <v>756.53</v>
      </c>
      <c r="H19" s="86">
        <f>Gen!AK25</f>
        <v>0</v>
      </c>
      <c r="I19" s="86">
        <f t="shared" si="1"/>
        <v>756.53</v>
      </c>
      <c r="J19" s="525">
        <f>Gen!D25</f>
        <v>30529.580000000013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30529.580000000013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30529.580000000013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30529.580000000013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30529.580000000013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30529.580000000013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30529.580000000013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30529.580000000013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30529.580000000013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30529.580000000013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30529.580000000013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30529.580000000013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30529.580000000013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30529.580000000013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30529.580000000013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30529.580000000013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30529.580000000013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30529.580000000013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B25" sqref="AB25:AB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44044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>
        <v>21.08</v>
      </c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822.74</v>
      </c>
    </row>
    <row r="14" spans="1:29" ht="20.100000000000001" customHeight="1">
      <c r="A14" s="308">
        <f>Gen!B19</f>
        <v>44052</v>
      </c>
      <c r="B14" s="392">
        <v>0.01</v>
      </c>
      <c r="C14" s="360">
        <v>14424.58</v>
      </c>
      <c r="D14" s="360">
        <v>20400.2</v>
      </c>
      <c r="E14" s="360"/>
      <c r="F14" s="360"/>
      <c r="G14" s="360">
        <v>70</v>
      </c>
      <c r="H14" s="360"/>
      <c r="I14" s="360">
        <v>30860.7</v>
      </c>
      <c r="J14" s="360">
        <v>20459.400000000001</v>
      </c>
      <c r="K14" s="359">
        <f t="shared" si="0"/>
        <v>34829</v>
      </c>
      <c r="L14" s="360">
        <v>34842</v>
      </c>
      <c r="M14" s="359">
        <f t="shared" si="1"/>
        <v>13</v>
      </c>
      <c r="N14" s="361">
        <f t="shared" si="2"/>
        <v>29937</v>
      </c>
      <c r="O14" s="360">
        <v>29948</v>
      </c>
      <c r="P14" s="359">
        <f t="shared" si="3"/>
        <v>11</v>
      </c>
      <c r="Q14" s="359">
        <f t="shared" si="4"/>
        <v>35451</v>
      </c>
      <c r="R14" s="360">
        <v>35451</v>
      </c>
      <c r="S14" s="359">
        <f t="shared" si="5"/>
        <v>0</v>
      </c>
      <c r="T14" s="359">
        <f t="shared" si="6"/>
        <v>32182</v>
      </c>
      <c r="U14" s="360">
        <v>32182</v>
      </c>
      <c r="V14" s="359">
        <f t="shared" si="7"/>
        <v>0</v>
      </c>
      <c r="W14" s="361">
        <f t="shared" si="8"/>
        <v>20656</v>
      </c>
      <c r="X14" s="360">
        <v>20656</v>
      </c>
      <c r="Y14" s="359">
        <f t="shared" si="9"/>
        <v>0</v>
      </c>
      <c r="Z14" s="362">
        <f t="shared" si="10"/>
        <v>24</v>
      </c>
      <c r="AA14" s="127">
        <v>138</v>
      </c>
      <c r="AB14" s="127">
        <v>75</v>
      </c>
      <c r="AC14" s="312">
        <f>Gen!T19</f>
        <v>888.95</v>
      </c>
    </row>
    <row r="15" spans="1:29" ht="20.100000000000001" customHeight="1">
      <c r="A15" s="308">
        <f>Gen!B20</f>
        <v>44053</v>
      </c>
      <c r="B15" s="392">
        <v>0.01</v>
      </c>
      <c r="C15" s="360">
        <v>13465.63</v>
      </c>
      <c r="D15" s="360">
        <v>20400.2</v>
      </c>
      <c r="E15" s="360"/>
      <c r="F15" s="360"/>
      <c r="G15" s="360">
        <v>31.31</v>
      </c>
      <c r="H15" s="360"/>
      <c r="I15" s="360">
        <v>30863.9</v>
      </c>
      <c r="J15" s="360">
        <v>20461.8</v>
      </c>
      <c r="K15" s="359">
        <f t="shared" si="0"/>
        <v>34842</v>
      </c>
      <c r="L15" s="360">
        <v>34855</v>
      </c>
      <c r="M15" s="359">
        <f t="shared" si="1"/>
        <v>13</v>
      </c>
      <c r="N15" s="361">
        <f t="shared" si="2"/>
        <v>29948</v>
      </c>
      <c r="O15" s="360">
        <v>29948</v>
      </c>
      <c r="P15" s="359">
        <f t="shared" si="3"/>
        <v>0</v>
      </c>
      <c r="Q15" s="359">
        <f t="shared" si="4"/>
        <v>35451</v>
      </c>
      <c r="R15" s="360">
        <v>35451</v>
      </c>
      <c r="S15" s="359">
        <f t="shared" si="5"/>
        <v>0</v>
      </c>
      <c r="T15" s="359">
        <f t="shared" si="6"/>
        <v>32182</v>
      </c>
      <c r="U15" s="360">
        <v>32182</v>
      </c>
      <c r="V15" s="359">
        <f t="shared" si="7"/>
        <v>0</v>
      </c>
      <c r="W15" s="361">
        <f t="shared" si="8"/>
        <v>20656</v>
      </c>
      <c r="X15" s="360">
        <v>20667</v>
      </c>
      <c r="Y15" s="359">
        <f t="shared" si="9"/>
        <v>11</v>
      </c>
      <c r="Z15" s="362">
        <f t="shared" si="10"/>
        <v>24</v>
      </c>
      <c r="AA15" s="127">
        <v>135</v>
      </c>
      <c r="AB15" s="127">
        <v>73</v>
      </c>
      <c r="AC15" s="312">
        <f>Gen!T20</f>
        <v>799.13</v>
      </c>
    </row>
    <row r="16" spans="1:29" ht="20.100000000000001" customHeight="1">
      <c r="A16" s="308">
        <f>Gen!B21</f>
        <v>44054</v>
      </c>
      <c r="B16" s="392">
        <v>0.01</v>
      </c>
      <c r="C16" s="360">
        <v>12655.19</v>
      </c>
      <c r="D16" s="360">
        <v>20400.2</v>
      </c>
      <c r="E16" s="360"/>
      <c r="F16" s="360"/>
      <c r="G16" s="360">
        <v>197.35</v>
      </c>
      <c r="H16" s="360"/>
      <c r="I16" s="360">
        <v>30866.799999999999</v>
      </c>
      <c r="J16" s="360">
        <v>20464.099999999999</v>
      </c>
      <c r="K16" s="359">
        <f t="shared" si="0"/>
        <v>34855</v>
      </c>
      <c r="L16" s="360">
        <v>34866</v>
      </c>
      <c r="M16" s="359">
        <f>L16-K16</f>
        <v>11</v>
      </c>
      <c r="N16" s="361">
        <f t="shared" si="2"/>
        <v>29948</v>
      </c>
      <c r="O16" s="360">
        <v>29960</v>
      </c>
      <c r="P16" s="359">
        <f t="shared" si="3"/>
        <v>12</v>
      </c>
      <c r="Q16" s="359">
        <f t="shared" si="4"/>
        <v>35451</v>
      </c>
      <c r="R16" s="360">
        <v>35451</v>
      </c>
      <c r="S16" s="359">
        <f t="shared" si="5"/>
        <v>0</v>
      </c>
      <c r="T16" s="359">
        <f t="shared" si="6"/>
        <v>32182</v>
      </c>
      <c r="U16" s="360">
        <v>32182</v>
      </c>
      <c r="V16" s="359">
        <f t="shared" si="7"/>
        <v>0</v>
      </c>
      <c r="W16" s="361">
        <f t="shared" si="8"/>
        <v>20667</v>
      </c>
      <c r="X16" s="360">
        <v>20667</v>
      </c>
      <c r="Y16" s="359">
        <f t="shared" si="9"/>
        <v>0</v>
      </c>
      <c r="Z16" s="362">
        <f t="shared" si="10"/>
        <v>23</v>
      </c>
      <c r="AA16" s="127">
        <v>138</v>
      </c>
      <c r="AB16" s="127">
        <v>76</v>
      </c>
      <c r="AC16" s="312">
        <f>Gen!T21</f>
        <v>777.96</v>
      </c>
    </row>
    <row r="17" spans="1:29" ht="20.100000000000001" customHeight="1">
      <c r="A17" s="308">
        <f>Gen!B22</f>
        <v>44055</v>
      </c>
      <c r="B17" s="392"/>
      <c r="C17" s="360">
        <v>11679.88</v>
      </c>
      <c r="D17" s="360">
        <v>20400.2</v>
      </c>
      <c r="E17" s="585"/>
      <c r="F17" s="360"/>
      <c r="G17" s="360"/>
      <c r="H17" s="360"/>
      <c r="I17" s="360">
        <v>30869.5</v>
      </c>
      <c r="J17" s="360">
        <v>20466.3</v>
      </c>
      <c r="K17" s="359">
        <f>L16</f>
        <v>34866</v>
      </c>
      <c r="L17" s="360">
        <v>34866</v>
      </c>
      <c r="M17" s="359">
        <f>L17-K17</f>
        <v>0</v>
      </c>
      <c r="N17" s="361">
        <f t="shared" si="2"/>
        <v>29960</v>
      </c>
      <c r="O17" s="360">
        <v>29971</v>
      </c>
      <c r="P17" s="359">
        <f t="shared" si="3"/>
        <v>11</v>
      </c>
      <c r="Q17" s="359">
        <f t="shared" si="4"/>
        <v>35451</v>
      </c>
      <c r="R17" s="360">
        <v>35451</v>
      </c>
      <c r="S17" s="359">
        <f t="shared" si="5"/>
        <v>0</v>
      </c>
      <c r="T17" s="359">
        <f t="shared" si="6"/>
        <v>32182</v>
      </c>
      <c r="U17" s="360">
        <v>32182</v>
      </c>
      <c r="V17" s="359">
        <f t="shared" si="7"/>
        <v>0</v>
      </c>
      <c r="W17" s="361">
        <f t="shared" si="8"/>
        <v>20667</v>
      </c>
      <c r="X17" s="360">
        <v>20681</v>
      </c>
      <c r="Y17" s="359">
        <f t="shared" si="9"/>
        <v>14</v>
      </c>
      <c r="Z17" s="362">
        <f t="shared" si="10"/>
        <v>25</v>
      </c>
      <c r="AA17" s="127">
        <v>132</v>
      </c>
      <c r="AB17" s="127">
        <v>75</v>
      </c>
      <c r="AC17" s="312">
        <f>Gen!T22</f>
        <v>763.8</v>
      </c>
    </row>
    <row r="18" spans="1:29" ht="20.100000000000001" customHeight="1">
      <c r="A18" s="308">
        <f>Gen!B23</f>
        <v>44056</v>
      </c>
      <c r="B18" s="392"/>
      <c r="C18" s="360">
        <v>10896.43</v>
      </c>
      <c r="D18" s="360">
        <v>20400.2</v>
      </c>
      <c r="E18" s="360"/>
      <c r="F18" s="360"/>
      <c r="G18" s="360">
        <v>10.17</v>
      </c>
      <c r="H18" s="360"/>
      <c r="I18" s="360">
        <v>30872.1</v>
      </c>
      <c r="J18" s="360">
        <v>20468.7</v>
      </c>
      <c r="K18" s="359">
        <f>L17</f>
        <v>34866</v>
      </c>
      <c r="L18" s="360">
        <v>34879</v>
      </c>
      <c r="M18" s="359">
        <f t="shared" si="1"/>
        <v>13</v>
      </c>
      <c r="N18" s="361">
        <f t="shared" si="2"/>
        <v>29971</v>
      </c>
      <c r="O18" s="360">
        <v>29971</v>
      </c>
      <c r="P18" s="359">
        <f t="shared" si="3"/>
        <v>0</v>
      </c>
      <c r="Q18" s="359">
        <f t="shared" si="4"/>
        <v>35451</v>
      </c>
      <c r="R18" s="360">
        <v>35451</v>
      </c>
      <c r="S18" s="359">
        <f t="shared" si="5"/>
        <v>0</v>
      </c>
      <c r="T18" s="359">
        <f t="shared" si="6"/>
        <v>32182</v>
      </c>
      <c r="U18" s="360">
        <v>32182</v>
      </c>
      <c r="V18" s="359">
        <f t="shared" si="7"/>
        <v>0</v>
      </c>
      <c r="W18" s="361">
        <f t="shared" si="8"/>
        <v>20681</v>
      </c>
      <c r="X18" s="360">
        <v>20692</v>
      </c>
      <c r="Y18" s="359">
        <f t="shared" si="9"/>
        <v>11</v>
      </c>
      <c r="Z18" s="362">
        <f t="shared" si="10"/>
        <v>24</v>
      </c>
      <c r="AA18" s="127">
        <v>130</v>
      </c>
      <c r="AB18" s="127">
        <v>71</v>
      </c>
      <c r="AC18" s="312">
        <f>Gen!T23</f>
        <v>756.53</v>
      </c>
    </row>
    <row r="19" spans="1:29" ht="20.100000000000001" customHeight="1">
      <c r="A19" s="308">
        <f>Gen!B24</f>
        <v>44057</v>
      </c>
      <c r="B19" s="392"/>
      <c r="C19" s="360">
        <v>10129.379999999999</v>
      </c>
      <c r="D19" s="360">
        <v>20400.2</v>
      </c>
      <c r="E19" s="360"/>
      <c r="F19" s="360"/>
      <c r="G19" s="360"/>
      <c r="H19" s="360"/>
      <c r="I19" s="360">
        <v>30874.5</v>
      </c>
      <c r="J19" s="360">
        <v>20471.099999999999</v>
      </c>
      <c r="K19" s="359">
        <f t="shared" si="0"/>
        <v>34879</v>
      </c>
      <c r="L19" s="360">
        <v>34890</v>
      </c>
      <c r="M19" s="359">
        <f t="shared" si="1"/>
        <v>11</v>
      </c>
      <c r="N19" s="361">
        <f t="shared" si="2"/>
        <v>29971</v>
      </c>
      <c r="O19" s="360">
        <v>29985</v>
      </c>
      <c r="P19" s="359">
        <f t="shared" si="3"/>
        <v>14</v>
      </c>
      <c r="Q19" s="359">
        <f t="shared" si="4"/>
        <v>35451</v>
      </c>
      <c r="R19" s="360">
        <v>35451</v>
      </c>
      <c r="S19" s="359">
        <f t="shared" si="5"/>
        <v>0</v>
      </c>
      <c r="T19" s="359">
        <f t="shared" si="6"/>
        <v>32182</v>
      </c>
      <c r="U19" s="360">
        <v>32182</v>
      </c>
      <c r="V19" s="359">
        <f t="shared" si="7"/>
        <v>0</v>
      </c>
      <c r="W19" s="361">
        <f t="shared" si="8"/>
        <v>20692</v>
      </c>
      <c r="X19" s="360">
        <v>20692</v>
      </c>
      <c r="Y19" s="359">
        <f t="shared" si="9"/>
        <v>0</v>
      </c>
      <c r="Z19" s="362">
        <f t="shared" si="10"/>
        <v>25</v>
      </c>
      <c r="AA19" s="127">
        <v>132</v>
      </c>
      <c r="AB19" s="127">
        <v>69</v>
      </c>
      <c r="AC19" s="312">
        <f>Gen!T24</f>
        <v>0</v>
      </c>
    </row>
    <row r="20" spans="1:29" ht="20.100000000000001" customHeight="1">
      <c r="A20" s="308">
        <f>Gen!B25</f>
        <v>44058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34890</v>
      </c>
      <c r="L20" s="360"/>
      <c r="M20" s="359">
        <f t="shared" si="1"/>
        <v>-34890</v>
      </c>
      <c r="N20" s="361">
        <f t="shared" si="2"/>
        <v>29985</v>
      </c>
      <c r="O20" s="360"/>
      <c r="P20" s="359">
        <f t="shared" si="3"/>
        <v>-29985</v>
      </c>
      <c r="Q20" s="359">
        <f t="shared" si="4"/>
        <v>35451</v>
      </c>
      <c r="R20" s="360"/>
      <c r="S20" s="359">
        <f t="shared" si="5"/>
        <v>-35451</v>
      </c>
      <c r="T20" s="359">
        <f t="shared" si="6"/>
        <v>32182</v>
      </c>
      <c r="U20" s="360"/>
      <c r="V20" s="359">
        <f t="shared" si="7"/>
        <v>-32182</v>
      </c>
      <c r="W20" s="361">
        <f t="shared" si="8"/>
        <v>20692</v>
      </c>
      <c r="X20" s="360"/>
      <c r="Y20" s="359">
        <f t="shared" si="9"/>
        <v>-20692</v>
      </c>
      <c r="Z20" s="362">
        <f t="shared" si="10"/>
        <v>-153200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44059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44060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44061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44062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44063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44064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44065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44066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44067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44068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44069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44070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44071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44072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44073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44074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AD35" sqref="AD35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44044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/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/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/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/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/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/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/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/>
      <c r="D18" s="691">
        <f t="shared" si="6"/>
        <v>35668.600000000013</v>
      </c>
      <c r="E18" s="269"/>
      <c r="F18" s="690"/>
      <c r="G18" s="685"/>
      <c r="H18" s="665">
        <v>354.43</v>
      </c>
      <c r="I18" s="250">
        <v>468.31</v>
      </c>
      <c r="J18" s="270"/>
      <c r="K18" s="250"/>
      <c r="L18" s="250"/>
      <c r="M18" s="351"/>
      <c r="N18" s="350">
        <v>863</v>
      </c>
      <c r="O18" s="252">
        <v>1165</v>
      </c>
      <c r="P18" s="252"/>
      <c r="Q18" s="252"/>
      <c r="R18" s="252"/>
      <c r="S18" s="670"/>
      <c r="T18" s="678">
        <f t="shared" si="0"/>
        <v>822.74</v>
      </c>
      <c r="U18" s="264">
        <f t="shared" si="1"/>
        <v>2028</v>
      </c>
      <c r="V18" s="679">
        <f t="shared" si="4"/>
        <v>0.40569033530571991</v>
      </c>
      <c r="W18" s="257"/>
      <c r="X18" s="265"/>
      <c r="Y18" s="241">
        <v>21.08</v>
      </c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21.08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843.82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>
        <v>1.2999999999999999E-2</v>
      </c>
      <c r="D19" s="691">
        <f t="shared" si="6"/>
        <v>34824.780000000013</v>
      </c>
      <c r="E19" s="269"/>
      <c r="F19" s="690"/>
      <c r="G19" s="685"/>
      <c r="H19" s="665">
        <v>492.78</v>
      </c>
      <c r="I19" s="250"/>
      <c r="J19" s="270"/>
      <c r="K19" s="250"/>
      <c r="L19" s="250"/>
      <c r="M19" s="351">
        <v>396.17</v>
      </c>
      <c r="N19" s="350">
        <v>1162</v>
      </c>
      <c r="O19" s="252"/>
      <c r="P19" s="252"/>
      <c r="Q19" s="252"/>
      <c r="R19" s="252"/>
      <c r="S19" s="670">
        <v>860</v>
      </c>
      <c r="T19" s="678">
        <f t="shared" si="0"/>
        <v>888.95</v>
      </c>
      <c r="U19" s="264">
        <f t="shared" si="1"/>
        <v>2022</v>
      </c>
      <c r="V19" s="679">
        <f t="shared" si="4"/>
        <v>0.4396389713155292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>
        <v>70</v>
      </c>
      <c r="AJ19" s="451"/>
      <c r="AK19" s="322">
        <f t="shared" si="3"/>
        <v>70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958.95</v>
      </c>
      <c r="AT19" s="267">
        <f t="shared" si="7"/>
        <v>0</v>
      </c>
      <c r="AU19" s="334">
        <f t="shared" si="5"/>
        <v>34824.780000000013</v>
      </c>
    </row>
    <row r="20" spans="2:47" ht="14.25">
      <c r="B20" s="695">
        <v>44053</v>
      </c>
      <c r="C20" s="683">
        <v>1.2999999999999999E-2</v>
      </c>
      <c r="D20" s="691">
        <f t="shared" si="6"/>
        <v>33865.830000000016</v>
      </c>
      <c r="E20" s="269"/>
      <c r="F20" s="690"/>
      <c r="G20" s="685"/>
      <c r="H20" s="665">
        <v>381.95</v>
      </c>
      <c r="I20" s="265">
        <v>417.18</v>
      </c>
      <c r="J20" s="270"/>
      <c r="K20" s="250"/>
      <c r="L20" s="250"/>
      <c r="M20" s="628"/>
      <c r="N20" s="350">
        <v>817</v>
      </c>
      <c r="O20" s="252">
        <v>1031</v>
      </c>
      <c r="P20" s="252"/>
      <c r="Q20" s="252"/>
      <c r="R20" s="252"/>
      <c r="S20" s="671"/>
      <c r="T20" s="678">
        <f t="shared" si="0"/>
        <v>799.13</v>
      </c>
      <c r="U20" s="264">
        <f t="shared" si="1"/>
        <v>1848</v>
      </c>
      <c r="V20" s="679">
        <f t="shared" si="4"/>
        <v>0.43242965367965369</v>
      </c>
      <c r="W20" s="257"/>
      <c r="X20" s="265">
        <v>31.31</v>
      </c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31.31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830.43999999999994</v>
      </c>
      <c r="AT20" s="267">
        <f t="shared" si="7"/>
        <v>0</v>
      </c>
      <c r="AU20" s="334">
        <f t="shared" si="5"/>
        <v>33865.830000000016</v>
      </c>
    </row>
    <row r="21" spans="2:47" ht="14.25">
      <c r="B21" s="695">
        <v>44054</v>
      </c>
      <c r="C21" s="683">
        <v>0.01</v>
      </c>
      <c r="D21" s="691">
        <f t="shared" si="6"/>
        <v>33035.390000000014</v>
      </c>
      <c r="E21" s="269"/>
      <c r="F21" s="690"/>
      <c r="G21" s="685"/>
      <c r="H21" s="665"/>
      <c r="I21" s="265">
        <v>331.66</v>
      </c>
      <c r="J21" s="270"/>
      <c r="K21" s="250"/>
      <c r="L21" s="250"/>
      <c r="M21" s="590">
        <v>446.3</v>
      </c>
      <c r="N21" s="350"/>
      <c r="O21" s="350">
        <v>802</v>
      </c>
      <c r="P21" s="252"/>
      <c r="Q21" s="252"/>
      <c r="R21" s="252"/>
      <c r="S21" s="670">
        <v>1026</v>
      </c>
      <c r="T21" s="678">
        <f t="shared" si="0"/>
        <v>777.96</v>
      </c>
      <c r="U21" s="264">
        <f t="shared" si="1"/>
        <v>1828</v>
      </c>
      <c r="V21" s="679">
        <f t="shared" si="4"/>
        <v>0.42557986870897158</v>
      </c>
      <c r="W21" s="257"/>
      <c r="X21" s="265"/>
      <c r="Y21" s="241">
        <v>25.65</v>
      </c>
      <c r="Z21" s="265">
        <v>100.7</v>
      </c>
      <c r="AA21" s="250"/>
      <c r="AB21" s="324"/>
      <c r="AC21" s="265"/>
      <c r="AD21" s="265"/>
      <c r="AE21" s="265"/>
      <c r="AF21" s="265"/>
      <c r="AG21" s="265"/>
      <c r="AH21" s="265"/>
      <c r="AI21" s="265">
        <v>71</v>
      </c>
      <c r="AJ21" s="451"/>
      <c r="AK21" s="322">
        <f t="shared" si="3"/>
        <v>197.35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975.31000000000006</v>
      </c>
      <c r="AT21" s="267">
        <f t="shared" si="7"/>
        <v>0</v>
      </c>
      <c r="AU21" s="334">
        <f t="shared" si="5"/>
        <v>33035.390000000014</v>
      </c>
    </row>
    <row r="22" spans="2:47" ht="14.25">
      <c r="B22" s="695">
        <v>44055</v>
      </c>
      <c r="C22" s="683"/>
      <c r="D22" s="691">
        <f t="shared" si="6"/>
        <v>32060.080000000013</v>
      </c>
      <c r="E22" s="269"/>
      <c r="F22" s="690"/>
      <c r="G22" s="685"/>
      <c r="H22" s="665">
        <v>379.4</v>
      </c>
      <c r="I22" s="250"/>
      <c r="J22" s="270"/>
      <c r="K22" s="250"/>
      <c r="L22" s="250"/>
      <c r="M22" s="628">
        <v>384.4</v>
      </c>
      <c r="N22" s="350">
        <v>941</v>
      </c>
      <c r="O22" s="350"/>
      <c r="P22" s="252"/>
      <c r="Q22" s="252"/>
      <c r="R22" s="252"/>
      <c r="S22" s="670">
        <v>824</v>
      </c>
      <c r="T22" s="678">
        <f t="shared" si="0"/>
        <v>763.8</v>
      </c>
      <c r="U22" s="264">
        <f t="shared" si="1"/>
        <v>1765</v>
      </c>
      <c r="V22" s="679">
        <f t="shared" si="4"/>
        <v>0.43274787535410764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763.8</v>
      </c>
      <c r="AT22" s="267">
        <f t="shared" si="7"/>
        <v>0</v>
      </c>
      <c r="AU22" s="334">
        <f t="shared" si="5"/>
        <v>32060.080000000013</v>
      </c>
    </row>
    <row r="23" spans="2:47" ht="14.25">
      <c r="B23" s="695">
        <v>44056</v>
      </c>
      <c r="C23" s="683"/>
      <c r="D23" s="691">
        <f t="shared" si="6"/>
        <v>31296.280000000013</v>
      </c>
      <c r="E23" s="269"/>
      <c r="F23" s="690"/>
      <c r="G23" s="685"/>
      <c r="H23" s="665">
        <v>343.68</v>
      </c>
      <c r="I23" s="265">
        <v>412.85</v>
      </c>
      <c r="J23" s="270"/>
      <c r="K23" s="250"/>
      <c r="L23" s="250"/>
      <c r="M23" s="628"/>
      <c r="N23" s="350">
        <v>1002</v>
      </c>
      <c r="O23" s="252">
        <v>822</v>
      </c>
      <c r="P23" s="252"/>
      <c r="Q23" s="252"/>
      <c r="R23" s="252"/>
      <c r="S23" s="670"/>
      <c r="T23" s="678">
        <f t="shared" si="0"/>
        <v>756.53</v>
      </c>
      <c r="U23" s="264">
        <f t="shared" si="1"/>
        <v>1824</v>
      </c>
      <c r="V23" s="679">
        <f t="shared" si="4"/>
        <v>0.41476425438596487</v>
      </c>
      <c r="W23" s="257"/>
      <c r="X23" s="265">
        <v>10.17</v>
      </c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10.17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766.69999999999993</v>
      </c>
      <c r="AT23" s="267">
        <f t="shared" si="7"/>
        <v>0</v>
      </c>
      <c r="AU23" s="334">
        <f t="shared" si="5"/>
        <v>31296.280000000013</v>
      </c>
    </row>
    <row r="24" spans="2:47" ht="14.25">
      <c r="B24" s="695">
        <v>44057</v>
      </c>
      <c r="C24" s="683"/>
      <c r="D24" s="691">
        <f t="shared" si="6"/>
        <v>30529.580000000013</v>
      </c>
      <c r="E24" s="249"/>
      <c r="F24" s="690">
        <v>18000</v>
      </c>
      <c r="G24" s="754" t="s">
        <v>310</v>
      </c>
      <c r="H24" s="665"/>
      <c r="I24" s="2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30529.580000000013</v>
      </c>
    </row>
    <row r="25" spans="2:47" ht="14.25">
      <c r="B25" s="695">
        <v>44058</v>
      </c>
      <c r="C25" s="683"/>
      <c r="D25" s="691">
        <f t="shared" si="6"/>
        <v>30529.580000000013</v>
      </c>
      <c r="E25" s="269"/>
      <c r="F25" s="690"/>
      <c r="G25" s="685"/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30529.580000000013</v>
      </c>
    </row>
    <row r="26" spans="2:47" ht="14.25">
      <c r="B26" s="695">
        <v>44059</v>
      </c>
      <c r="C26" s="683"/>
      <c r="D26" s="691">
        <f t="shared" si="6"/>
        <v>30529.580000000013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30529.580000000013</v>
      </c>
    </row>
    <row r="27" spans="2:47" ht="14.25">
      <c r="B27" s="695">
        <v>44060</v>
      </c>
      <c r="C27" s="683"/>
      <c r="D27" s="691">
        <f t="shared" si="6"/>
        <v>30529.580000000013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30529.580000000013</v>
      </c>
    </row>
    <row r="28" spans="2:47" ht="14.25">
      <c r="B28" s="695">
        <v>44061</v>
      </c>
      <c r="C28" s="683"/>
      <c r="D28" s="691">
        <f t="shared" si="6"/>
        <v>30529.580000000013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30529.580000000013</v>
      </c>
    </row>
    <row r="29" spans="2:47" ht="14.25">
      <c r="B29" s="695">
        <v>44062</v>
      </c>
      <c r="C29" s="683"/>
      <c r="D29" s="691">
        <f t="shared" si="6"/>
        <v>30529.580000000013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30529.580000000013</v>
      </c>
    </row>
    <row r="30" spans="2:47" ht="14.25">
      <c r="B30" s="695">
        <v>44063</v>
      </c>
      <c r="C30" s="683"/>
      <c r="D30" s="691">
        <f t="shared" si="6"/>
        <v>30529.580000000013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30529.580000000013</v>
      </c>
    </row>
    <row r="31" spans="2:47" ht="14.25">
      <c r="B31" s="695">
        <v>44064</v>
      </c>
      <c r="C31" s="683"/>
      <c r="D31" s="691">
        <f t="shared" si="6"/>
        <v>30529.580000000013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30529.580000000013</v>
      </c>
    </row>
    <row r="32" spans="2:47" ht="14.25">
      <c r="B32" s="695">
        <v>44065</v>
      </c>
      <c r="C32" s="683"/>
      <c r="D32" s="691">
        <f t="shared" si="6"/>
        <v>30529.580000000013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30529.580000000013</v>
      </c>
    </row>
    <row r="33" spans="2:47" ht="14.25">
      <c r="B33" s="695">
        <v>44066</v>
      </c>
      <c r="C33" s="683"/>
      <c r="D33" s="691">
        <f t="shared" si="6"/>
        <v>30529.580000000013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30529.580000000013</v>
      </c>
    </row>
    <row r="34" spans="2:47" ht="14.25">
      <c r="B34" s="695">
        <v>44067</v>
      </c>
      <c r="C34" s="683"/>
      <c r="D34" s="691">
        <f t="shared" si="6"/>
        <v>30529.580000000013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30529.580000000013</v>
      </c>
    </row>
    <row r="35" spans="2:47" ht="14.25">
      <c r="B35" s="695">
        <v>44068</v>
      </c>
      <c r="C35" s="683"/>
      <c r="D35" s="691">
        <f t="shared" si="6"/>
        <v>30529.580000000013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30529.580000000013</v>
      </c>
    </row>
    <row r="36" spans="2:47" ht="14.25">
      <c r="B36" s="695">
        <v>44069</v>
      </c>
      <c r="C36" s="683"/>
      <c r="D36" s="691">
        <f t="shared" si="6"/>
        <v>30529.580000000013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30529.580000000013</v>
      </c>
    </row>
    <row r="37" spans="2:47" ht="14.25">
      <c r="B37" s="695">
        <v>44070</v>
      </c>
      <c r="C37" s="683"/>
      <c r="D37" s="691">
        <f t="shared" si="6"/>
        <v>30529.580000000013</v>
      </c>
      <c r="E37" s="269"/>
      <c r="F37" s="690"/>
      <c r="G37" s="628"/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30529.580000000013</v>
      </c>
    </row>
    <row r="38" spans="2:47" ht="14.25">
      <c r="B38" s="695">
        <v>44071</v>
      </c>
      <c r="C38" s="683"/>
      <c r="D38" s="691">
        <f t="shared" si="6"/>
        <v>30529.580000000013</v>
      </c>
      <c r="E38" s="269"/>
      <c r="F38" s="690">
        <v>10000</v>
      </c>
      <c r="G38" s="754" t="s">
        <v>310</v>
      </c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30529.580000000013</v>
      </c>
    </row>
    <row r="39" spans="2:47" ht="14.25">
      <c r="B39" s="695">
        <v>44072</v>
      </c>
      <c r="C39" s="683"/>
      <c r="D39" s="691">
        <f t="shared" si="6"/>
        <v>30529.580000000013</v>
      </c>
      <c r="E39" s="269"/>
      <c r="F39" s="690"/>
      <c r="G39" s="351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30529.580000000013</v>
      </c>
    </row>
    <row r="40" spans="2:47" ht="14.25">
      <c r="B40" s="695">
        <v>44073</v>
      </c>
      <c r="C40" s="683"/>
      <c r="D40" s="691">
        <f t="shared" si="6"/>
        <v>30529.580000000013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30529.580000000013</v>
      </c>
    </row>
    <row r="41" spans="2:47" ht="14.25">
      <c r="B41" s="695">
        <v>44074</v>
      </c>
      <c r="C41" s="683"/>
      <c r="D41" s="691">
        <f t="shared" si="6"/>
        <v>30529.580000000013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30529.580000000013</v>
      </c>
    </row>
    <row r="42" spans="2:47" ht="14.25">
      <c r="B42" s="695"/>
      <c r="C42" s="684"/>
      <c r="D42" s="691">
        <f t="shared" si="6"/>
        <v>30529.580000000013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30529.580000000013</v>
      </c>
    </row>
    <row r="43" spans="2:47" ht="14.25">
      <c r="B43" s="591" t="s">
        <v>25</v>
      </c>
      <c r="C43" s="554">
        <f>AVERAGE(C11:C42)</f>
        <v>1.1999999999999999E-2</v>
      </c>
      <c r="D43" s="689">
        <f t="shared" si="6"/>
        <v>30529.580000000013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30529.580000000013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3537.6499999999996</v>
      </c>
      <c r="I45" s="363">
        <f t="shared" si="8"/>
        <v>3087.64</v>
      </c>
      <c r="J45" s="368">
        <f t="shared" si="8"/>
        <v>0</v>
      </c>
      <c r="K45" s="363">
        <f t="shared" si="8"/>
        <v>880.9</v>
      </c>
      <c r="L45" s="368">
        <f t="shared" si="8"/>
        <v>0</v>
      </c>
      <c r="M45" s="363">
        <f t="shared" si="8"/>
        <v>2734.26</v>
      </c>
      <c r="N45" s="368">
        <f t="shared" si="8"/>
        <v>8673</v>
      </c>
      <c r="O45" s="658">
        <f t="shared" si="8"/>
        <v>7490</v>
      </c>
      <c r="P45" s="368">
        <f t="shared" si="8"/>
        <v>0</v>
      </c>
      <c r="Q45" s="363">
        <f>SUM(Q11:Q43)</f>
        <v>2079</v>
      </c>
      <c r="R45" s="368">
        <f>SUM(R11:R44)</f>
        <v>0</v>
      </c>
      <c r="S45" s="363">
        <f>SUM(S11:S44)</f>
        <v>6271</v>
      </c>
      <c r="T45" s="655">
        <f t="shared" si="0"/>
        <v>10240.449999999999</v>
      </c>
      <c r="U45" s="363">
        <f>SUM(N45:S45)</f>
        <v>24513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128.79</v>
      </c>
      <c r="Y45" s="650">
        <f t="shared" si="9"/>
        <v>141.48999999999998</v>
      </c>
      <c r="Z45" s="281">
        <f t="shared" si="9"/>
        <v>100.7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141</v>
      </c>
      <c r="AJ45" s="281">
        <f>SUM(AJ9:AJ39)</f>
        <v>0</v>
      </c>
      <c r="AK45" s="650">
        <f>SUM(AK9:AK44)</f>
        <v>661.84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10902.289999999999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640.02812499999993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23706641.749999996</v>
      </c>
      <c r="V47" s="373" t="s">
        <v>244</v>
      </c>
      <c r="AS47" s="618">
        <f>AS45*2143</f>
        <v>23363607.469999999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10356.767911751855</v>
      </c>
      <c r="V48" s="373" t="s">
        <v>245</v>
      </c>
      <c r="X48" s="234"/>
      <c r="Y48" s="234"/>
      <c r="Z48" s="234"/>
      <c r="AA48" s="234"/>
      <c r="AB48" s="234"/>
      <c r="AS48" s="372">
        <f>AS47/2289</f>
        <v>10206.905840978592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F23" sqref="F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71798.13</v>
      </c>
      <c r="G12" s="318">
        <f t="shared" si="0"/>
        <v>12.847999999992318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71800.990000000005</v>
      </c>
      <c r="G13" s="318">
        <f t="shared" si="0"/>
        <v>12.584000000002563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83</v>
      </c>
      <c r="E14" s="318"/>
      <c r="F14" s="318">
        <v>71808.39</v>
      </c>
      <c r="G14" s="318">
        <f t="shared" si="0"/>
        <v>32.559999999974394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81</v>
      </c>
      <c r="E15" s="318"/>
      <c r="F15" s="318">
        <v>71814.31</v>
      </c>
      <c r="G15" s="318">
        <f t="shared" si="0"/>
        <v>26.047999999992317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>
        <v>76</v>
      </c>
      <c r="E16" s="318"/>
      <c r="F16" s="318">
        <v>71821.73</v>
      </c>
      <c r="G16" s="318">
        <f t="shared" si="0"/>
        <v>32.647999999992322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>
        <v>85</v>
      </c>
      <c r="C17" s="318">
        <v>85</v>
      </c>
      <c r="D17" s="318">
        <v>69</v>
      </c>
      <c r="E17" s="318"/>
      <c r="F17" s="318">
        <v>71828.98</v>
      </c>
      <c r="G17" s="318">
        <f t="shared" si="0"/>
        <v>31.900000000000002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>
        <v>85</v>
      </c>
      <c r="C18" s="318">
        <v>85</v>
      </c>
      <c r="D18" s="318">
        <v>61</v>
      </c>
      <c r="E18" s="318"/>
      <c r="F18" s="318">
        <v>71838.95</v>
      </c>
      <c r="G18" s="318">
        <f t="shared" si="0"/>
        <v>43.868000000005125</v>
      </c>
      <c r="H18" s="113">
        <f>Gen!C19</f>
        <v>1.2999999999999999E-2</v>
      </c>
      <c r="I18" s="6">
        <f t="shared" si="2"/>
        <v>5526073.076923077</v>
      </c>
      <c r="J18" s="118">
        <f t="shared" si="1"/>
        <v>7.9383676960766631E-6</v>
      </c>
      <c r="M18" s="186"/>
      <c r="N18" s="186"/>
    </row>
    <row r="19" spans="1:14" ht="18.75">
      <c r="A19" s="96">
        <f>Gen!B20</f>
        <v>44053</v>
      </c>
      <c r="B19" s="318">
        <v>85</v>
      </c>
      <c r="C19" s="318">
        <v>85</v>
      </c>
      <c r="D19" s="318">
        <v>59</v>
      </c>
      <c r="E19" s="318"/>
      <c r="F19" s="318">
        <v>71850.11</v>
      </c>
      <c r="G19" s="318">
        <f t="shared" si="0"/>
        <v>49.104000000015368</v>
      </c>
      <c r="H19" s="113">
        <f>Gen!C20</f>
        <v>1.2999999999999999E-2</v>
      </c>
      <c r="I19" s="6">
        <f t="shared" si="2"/>
        <v>5526931.538461539</v>
      </c>
      <c r="J19" s="118">
        <f t="shared" si="1"/>
        <v>8.884495792702332E-6</v>
      </c>
      <c r="M19" s="186"/>
      <c r="N19" s="186"/>
    </row>
    <row r="20" spans="1:14" ht="18.75">
      <c r="A20" s="96">
        <f>Gen!B21</f>
        <v>44054</v>
      </c>
      <c r="B20" s="318">
        <v>85</v>
      </c>
      <c r="C20" s="318">
        <v>85</v>
      </c>
      <c r="D20" s="318">
        <v>56</v>
      </c>
      <c r="E20" s="318"/>
      <c r="F20" s="318">
        <v>71862.149999999994</v>
      </c>
      <c r="G20" s="318">
        <f t="shared" si="0"/>
        <v>52.975999999971833</v>
      </c>
      <c r="H20" s="113">
        <f>Gen!C21</f>
        <v>0.01</v>
      </c>
      <c r="I20" s="6">
        <f t="shared" si="2"/>
        <v>7186214.9999999991</v>
      </c>
      <c r="J20" s="118">
        <f t="shared" si="1"/>
        <v>7.3718918791007279E-6</v>
      </c>
    </row>
    <row r="21" spans="1:14" ht="18.75">
      <c r="A21" s="96">
        <f>Gen!B22</f>
        <v>44055</v>
      </c>
      <c r="B21" s="318">
        <v>85</v>
      </c>
      <c r="C21" s="318">
        <v>85</v>
      </c>
      <c r="D21" s="318">
        <v>52</v>
      </c>
      <c r="E21" s="318"/>
      <c r="F21" s="318">
        <v>71869.56</v>
      </c>
      <c r="G21" s="318">
        <f t="shared" si="0"/>
        <v>32.604000000015368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>
        <v>85</v>
      </c>
      <c r="C22" s="318">
        <v>85</v>
      </c>
      <c r="D22" s="318">
        <v>48</v>
      </c>
      <c r="E22" s="318"/>
      <c r="F22" s="318">
        <v>71876.820000000007</v>
      </c>
      <c r="G22" s="318">
        <f t="shared" si="0"/>
        <v>31.94400000004098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>
        <v>85</v>
      </c>
      <c r="C23" s="318">
        <v>85</v>
      </c>
      <c r="D23" s="318">
        <v>46</v>
      </c>
      <c r="E23" s="318"/>
      <c r="F23" s="318"/>
      <c r="G23" s="318">
        <f t="shared" si="0"/>
        <v>-316258.00800000003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44066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44067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44068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933754.67999999993</v>
      </c>
      <c r="G42" s="103">
        <f>SUM(G10:G40)</f>
        <v>0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0" zoomScale="94" zoomScaleNormal="94" workbookViewId="0">
      <pane xSplit="1" topLeftCell="S1" activePane="topRight" state="frozen"/>
      <selection pane="topRight" activeCell="I60" sqref="I6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1" t="s">
        <v>318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</row>
    <row r="2" spans="1:40" ht="13.5" customHeight="1" thickTop="1">
      <c r="A2" s="30"/>
      <c r="B2" s="30"/>
      <c r="C2" s="850" t="s">
        <v>52</v>
      </c>
      <c r="D2" s="850"/>
      <c r="E2" s="850"/>
      <c r="F2" s="850" t="s">
        <v>17</v>
      </c>
      <c r="G2" s="850"/>
      <c r="H2" s="850"/>
      <c r="I2" s="850" t="s">
        <v>131</v>
      </c>
      <c r="J2" s="850"/>
      <c r="K2" s="850"/>
      <c r="L2" s="850" t="s">
        <v>134</v>
      </c>
      <c r="M2" s="850"/>
      <c r="N2" s="850"/>
      <c r="O2" s="850" t="s">
        <v>132</v>
      </c>
      <c r="P2" s="850"/>
      <c r="Q2" s="850"/>
      <c r="R2" s="299"/>
      <c r="S2" s="859" t="s">
        <v>181</v>
      </c>
      <c r="T2" s="860"/>
      <c r="U2" s="861"/>
      <c r="V2" s="859" t="s">
        <v>182</v>
      </c>
      <c r="W2" s="860"/>
      <c r="X2" s="861"/>
      <c r="Y2" s="859" t="s">
        <v>183</v>
      </c>
      <c r="Z2" s="860"/>
      <c r="AA2" s="861"/>
      <c r="AB2" s="859" t="s">
        <v>184</v>
      </c>
      <c r="AC2" s="860"/>
      <c r="AD2" s="861"/>
      <c r="AE2" s="853" t="s">
        <v>239</v>
      </c>
      <c r="AF2" s="854"/>
      <c r="AG2" s="865"/>
      <c r="AH2" s="853" t="s">
        <v>243</v>
      </c>
      <c r="AI2" s="854"/>
      <c r="AJ2" s="865"/>
      <c r="AK2" s="853" t="s">
        <v>240</v>
      </c>
      <c r="AL2" s="854"/>
      <c r="AM2" s="854"/>
      <c r="AN2" s="857" t="s">
        <v>189</v>
      </c>
    </row>
    <row r="3" spans="1:40" ht="21.75" customHeight="1" thickBot="1">
      <c r="A3" s="848" t="s">
        <v>7</v>
      </c>
      <c r="B3" s="30"/>
      <c r="C3" s="850" t="s">
        <v>133</v>
      </c>
      <c r="D3" s="850" t="s">
        <v>15</v>
      </c>
      <c r="E3" s="850" t="s">
        <v>16</v>
      </c>
      <c r="F3" s="850" t="s">
        <v>133</v>
      </c>
      <c r="G3" s="850" t="s">
        <v>15</v>
      </c>
      <c r="H3" s="850" t="s">
        <v>16</v>
      </c>
      <c r="I3" s="850" t="s">
        <v>133</v>
      </c>
      <c r="J3" s="850" t="s">
        <v>15</v>
      </c>
      <c r="K3" s="850" t="s">
        <v>16</v>
      </c>
      <c r="L3" s="850" t="s">
        <v>133</v>
      </c>
      <c r="M3" s="850" t="s">
        <v>15</v>
      </c>
      <c r="N3" s="850" t="s">
        <v>16</v>
      </c>
      <c r="O3" s="850" t="s">
        <v>133</v>
      </c>
      <c r="P3" s="850" t="s">
        <v>15</v>
      </c>
      <c r="Q3" s="850" t="s">
        <v>16</v>
      </c>
      <c r="R3" s="867" t="s">
        <v>185</v>
      </c>
      <c r="S3" s="862"/>
      <c r="T3" s="863"/>
      <c r="U3" s="864"/>
      <c r="V3" s="862"/>
      <c r="W3" s="863"/>
      <c r="X3" s="864"/>
      <c r="Y3" s="862"/>
      <c r="Z3" s="863"/>
      <c r="AA3" s="864"/>
      <c r="AB3" s="862"/>
      <c r="AC3" s="863"/>
      <c r="AD3" s="864"/>
      <c r="AE3" s="855"/>
      <c r="AF3" s="856"/>
      <c r="AG3" s="866"/>
      <c r="AH3" s="855"/>
      <c r="AI3" s="856"/>
      <c r="AJ3" s="866"/>
      <c r="AK3" s="855"/>
      <c r="AL3" s="856"/>
      <c r="AM3" s="856"/>
      <c r="AN3" s="858"/>
    </row>
    <row r="4" spans="1:40" ht="15.75" thickTop="1">
      <c r="A4" s="849"/>
      <c r="B4" s="291"/>
      <c r="C4" s="850"/>
      <c r="D4" s="850"/>
      <c r="E4" s="850"/>
      <c r="F4" s="850"/>
      <c r="G4" s="850"/>
      <c r="H4" s="850"/>
      <c r="I4" s="850"/>
      <c r="J4" s="850"/>
      <c r="K4" s="850"/>
      <c r="L4" s="850"/>
      <c r="M4" s="850"/>
      <c r="N4" s="850"/>
      <c r="O4" s="850"/>
      <c r="P4" s="850"/>
      <c r="Q4" s="850"/>
      <c r="R4" s="86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>
        <v>238696</v>
      </c>
      <c r="E13" s="59">
        <f t="shared" si="1"/>
        <v>61</v>
      </c>
      <c r="F13" s="97">
        <f t="shared" si="2"/>
        <v>38000</v>
      </c>
      <c r="G13" s="452">
        <f>'[5]Water-Meter'!$G$35</f>
        <v>38000</v>
      </c>
      <c r="H13" s="559">
        <f t="shared" si="3"/>
        <v>0</v>
      </c>
      <c r="I13" s="97">
        <f t="shared" si="4"/>
        <v>7997</v>
      </c>
      <c r="J13" s="1">
        <v>7998</v>
      </c>
      <c r="K13" s="559">
        <f t="shared" si="5"/>
        <v>1</v>
      </c>
      <c r="L13" s="97">
        <f t="shared" si="6"/>
        <v>12366</v>
      </c>
      <c r="M13" s="1">
        <v>12675</v>
      </c>
      <c r="N13" s="559">
        <f t="shared" si="7"/>
        <v>309</v>
      </c>
      <c r="O13" s="97">
        <f t="shared" si="8"/>
        <v>20211</v>
      </c>
      <c r="P13" s="448">
        <v>20213</v>
      </c>
      <c r="Q13" s="559">
        <f t="shared" si="9"/>
        <v>2</v>
      </c>
      <c r="R13" s="297"/>
      <c r="S13" s="292">
        <f t="shared" si="16"/>
        <v>56469</v>
      </c>
      <c r="T13" s="449">
        <v>56553</v>
      </c>
      <c r="U13" s="560">
        <f t="shared" si="17"/>
        <v>84</v>
      </c>
      <c r="V13" s="292">
        <f t="shared" si="10"/>
        <v>73030</v>
      </c>
      <c r="W13" s="449">
        <v>73030</v>
      </c>
      <c r="X13" s="560">
        <f t="shared" si="18"/>
        <v>0</v>
      </c>
      <c r="Y13" s="292">
        <f t="shared" si="11"/>
        <v>82517</v>
      </c>
      <c r="Z13" s="449">
        <v>82554</v>
      </c>
      <c r="AA13" s="560">
        <f t="shared" si="19"/>
        <v>37</v>
      </c>
      <c r="AB13" s="758">
        <f t="shared" si="23"/>
        <v>14679</v>
      </c>
      <c r="AC13" s="759">
        <v>14695</v>
      </c>
      <c r="AD13" s="761">
        <f t="shared" si="24"/>
        <v>16</v>
      </c>
      <c r="AE13" s="292">
        <f t="shared" si="28"/>
        <v>18300</v>
      </c>
      <c r="AF13" s="450">
        <f>'[5]Water-Meter'!$AF$35</f>
        <v>18300</v>
      </c>
      <c r="AG13" s="560">
        <f t="shared" si="27"/>
        <v>0</v>
      </c>
      <c r="AH13" s="292">
        <f t="shared" si="14"/>
        <v>25335</v>
      </c>
      <c r="AI13" s="450">
        <v>25335</v>
      </c>
      <c r="AJ13" s="560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137</v>
      </c>
    </row>
    <row r="14" spans="1:40" ht="23.1" customHeight="1">
      <c r="A14" s="58">
        <f>Gen!B19</f>
        <v>44052</v>
      </c>
      <c r="B14" s="4"/>
      <c r="C14" s="97">
        <f t="shared" si="0"/>
        <v>238696</v>
      </c>
      <c r="D14" s="1">
        <v>238759</v>
      </c>
      <c r="E14" s="59">
        <f t="shared" si="1"/>
        <v>63</v>
      </c>
      <c r="F14" s="97">
        <f t="shared" si="2"/>
        <v>38000</v>
      </c>
      <c r="G14" s="452">
        <f>'[5]Water-Meter'!$G$35</f>
        <v>38000</v>
      </c>
      <c r="H14" s="559">
        <f t="shared" si="3"/>
        <v>0</v>
      </c>
      <c r="I14" s="97">
        <f t="shared" si="4"/>
        <v>7998</v>
      </c>
      <c r="J14" s="1">
        <v>7998</v>
      </c>
      <c r="K14" s="559">
        <f t="shared" si="5"/>
        <v>0</v>
      </c>
      <c r="L14" s="97">
        <f t="shared" si="6"/>
        <v>12675</v>
      </c>
      <c r="M14" s="1">
        <v>12675</v>
      </c>
      <c r="N14" s="559">
        <f t="shared" si="7"/>
        <v>0</v>
      </c>
      <c r="O14" s="97">
        <f t="shared" si="8"/>
        <v>20213</v>
      </c>
      <c r="P14" s="448">
        <v>20214</v>
      </c>
      <c r="Q14" s="559">
        <f t="shared" si="9"/>
        <v>1</v>
      </c>
      <c r="R14" s="297"/>
      <c r="S14" s="292">
        <f t="shared" si="16"/>
        <v>56553</v>
      </c>
      <c r="T14" s="449">
        <v>56637</v>
      </c>
      <c r="U14" s="560">
        <f t="shared" si="17"/>
        <v>84</v>
      </c>
      <c r="V14" s="292">
        <f t="shared" si="10"/>
        <v>73030</v>
      </c>
      <c r="W14" s="449">
        <v>73030</v>
      </c>
      <c r="X14" s="560">
        <f t="shared" si="18"/>
        <v>0</v>
      </c>
      <c r="Y14" s="292">
        <f t="shared" si="11"/>
        <v>82554</v>
      </c>
      <c r="Z14" s="449">
        <v>82591</v>
      </c>
      <c r="AA14" s="560">
        <f t="shared" si="19"/>
        <v>37</v>
      </c>
      <c r="AB14" s="758">
        <f t="shared" si="23"/>
        <v>14695</v>
      </c>
      <c r="AC14" s="762">
        <v>14710</v>
      </c>
      <c r="AD14" s="761">
        <f t="shared" si="24"/>
        <v>15</v>
      </c>
      <c r="AE14" s="292">
        <f t="shared" si="28"/>
        <v>18300</v>
      </c>
      <c r="AF14" s="450">
        <f>'[5]Water-Meter'!$AF$35</f>
        <v>18300</v>
      </c>
      <c r="AG14" s="560">
        <f t="shared" si="27"/>
        <v>0</v>
      </c>
      <c r="AH14" s="292">
        <f t="shared" si="14"/>
        <v>25335</v>
      </c>
      <c r="AI14" s="450">
        <v>25335</v>
      </c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136</v>
      </c>
    </row>
    <row r="15" spans="1:40" ht="23.1" customHeight="1">
      <c r="A15" s="58">
        <f>Gen!B20</f>
        <v>44053</v>
      </c>
      <c r="B15" s="4"/>
      <c r="C15" s="97">
        <f t="shared" si="0"/>
        <v>238759</v>
      </c>
      <c r="D15" s="1">
        <v>238814</v>
      </c>
      <c r="E15" s="59">
        <f t="shared" si="1"/>
        <v>55</v>
      </c>
      <c r="F15" s="97">
        <f t="shared" si="2"/>
        <v>38000</v>
      </c>
      <c r="G15" s="452">
        <f>'[5]Water-Meter'!$G$35</f>
        <v>38000</v>
      </c>
      <c r="H15" s="559">
        <f t="shared" si="3"/>
        <v>0</v>
      </c>
      <c r="I15" s="97">
        <f t="shared" si="4"/>
        <v>7998</v>
      </c>
      <c r="J15" s="1">
        <v>7999</v>
      </c>
      <c r="K15" s="559">
        <f t="shared" si="5"/>
        <v>1</v>
      </c>
      <c r="L15" s="97">
        <f t="shared" si="6"/>
        <v>12675</v>
      </c>
      <c r="M15" s="1">
        <v>12675</v>
      </c>
      <c r="N15" s="559">
        <f t="shared" si="7"/>
        <v>0</v>
      </c>
      <c r="O15" s="97">
        <f t="shared" si="8"/>
        <v>20214</v>
      </c>
      <c r="P15" s="448">
        <v>20215</v>
      </c>
      <c r="Q15" s="559">
        <f t="shared" si="9"/>
        <v>1</v>
      </c>
      <c r="R15" s="297"/>
      <c r="S15" s="292">
        <f t="shared" si="16"/>
        <v>56637</v>
      </c>
      <c r="T15" s="449">
        <v>56637</v>
      </c>
      <c r="U15" s="560">
        <f t="shared" si="17"/>
        <v>0</v>
      </c>
      <c r="V15" s="292">
        <f t="shared" si="10"/>
        <v>73030</v>
      </c>
      <c r="W15" s="449">
        <v>73030</v>
      </c>
      <c r="X15" s="560">
        <f t="shared" si="18"/>
        <v>0</v>
      </c>
      <c r="Y15" s="292">
        <f t="shared" si="11"/>
        <v>82591</v>
      </c>
      <c r="Z15" s="449">
        <v>82628</v>
      </c>
      <c r="AA15" s="560">
        <f t="shared" si="19"/>
        <v>37</v>
      </c>
      <c r="AB15" s="758">
        <f t="shared" si="23"/>
        <v>14710</v>
      </c>
      <c r="AC15" s="762">
        <v>14726</v>
      </c>
      <c r="AD15" s="761">
        <f t="shared" si="24"/>
        <v>16</v>
      </c>
      <c r="AE15" s="292">
        <f t="shared" si="28"/>
        <v>18300</v>
      </c>
      <c r="AF15" s="450">
        <f>'[5]Water-Meter'!$AF$35</f>
        <v>18300</v>
      </c>
      <c r="AG15" s="560">
        <f t="shared" si="27"/>
        <v>0</v>
      </c>
      <c r="AH15" s="292">
        <f t="shared" si="14"/>
        <v>25335</v>
      </c>
      <c r="AI15" s="450">
        <v>25335</v>
      </c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53</v>
      </c>
    </row>
    <row r="16" spans="1:40" ht="23.1" customHeight="1">
      <c r="A16" s="58">
        <f>Gen!B21</f>
        <v>44054</v>
      </c>
      <c r="B16" s="4"/>
      <c r="C16" s="97">
        <f t="shared" si="0"/>
        <v>238814</v>
      </c>
      <c r="D16" s="1">
        <v>238881</v>
      </c>
      <c r="E16" s="59">
        <f>IF((D16-D15)&lt;0,"0",(D16-D15))</f>
        <v>67</v>
      </c>
      <c r="F16" s="97">
        <f t="shared" si="2"/>
        <v>38000</v>
      </c>
      <c r="G16" s="452">
        <f>'[5]Water-Meter'!$G$35</f>
        <v>38000</v>
      </c>
      <c r="H16" s="559">
        <f t="shared" si="3"/>
        <v>0</v>
      </c>
      <c r="I16" s="97">
        <f t="shared" si="4"/>
        <v>7999</v>
      </c>
      <c r="J16" s="1">
        <v>8000</v>
      </c>
      <c r="K16" s="559">
        <f t="shared" si="5"/>
        <v>1</v>
      </c>
      <c r="L16" s="97">
        <f t="shared" si="6"/>
        <v>12675</v>
      </c>
      <c r="M16" s="1">
        <v>12678</v>
      </c>
      <c r="N16" s="559">
        <f t="shared" si="7"/>
        <v>3</v>
      </c>
      <c r="O16" s="97">
        <f t="shared" si="8"/>
        <v>20215</v>
      </c>
      <c r="P16" s="448">
        <v>20217</v>
      </c>
      <c r="Q16" s="559">
        <f t="shared" si="9"/>
        <v>2</v>
      </c>
      <c r="R16" s="297"/>
      <c r="S16" s="292">
        <f t="shared" si="16"/>
        <v>56637</v>
      </c>
      <c r="T16" s="449">
        <v>56705</v>
      </c>
      <c r="U16" s="560">
        <f t="shared" si="17"/>
        <v>68</v>
      </c>
      <c r="V16" s="292">
        <f t="shared" si="10"/>
        <v>73030</v>
      </c>
      <c r="W16" s="449">
        <v>73030</v>
      </c>
      <c r="X16" s="560">
        <f t="shared" si="18"/>
        <v>0</v>
      </c>
      <c r="Y16" s="292">
        <f t="shared" si="11"/>
        <v>82628</v>
      </c>
      <c r="Z16" s="449">
        <v>82665</v>
      </c>
      <c r="AA16" s="560">
        <f t="shared" si="19"/>
        <v>37</v>
      </c>
      <c r="AB16" s="758">
        <f t="shared" si="23"/>
        <v>14726</v>
      </c>
      <c r="AC16" s="762">
        <v>14741</v>
      </c>
      <c r="AD16" s="761">
        <f t="shared" si="24"/>
        <v>15</v>
      </c>
      <c r="AE16" s="292">
        <f t="shared" si="28"/>
        <v>18300</v>
      </c>
      <c r="AF16" s="450">
        <f>'[5]Water-Meter'!$AF$35</f>
        <v>18300</v>
      </c>
      <c r="AG16" s="560">
        <f t="shared" si="27"/>
        <v>0</v>
      </c>
      <c r="AH16" s="292">
        <f t="shared" si="14"/>
        <v>25335</v>
      </c>
      <c r="AI16" s="450">
        <v>25335</v>
      </c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120</v>
      </c>
    </row>
    <row r="17" spans="1:40" ht="23.1" customHeight="1">
      <c r="A17" s="58">
        <f>Gen!B22</f>
        <v>44055</v>
      </c>
      <c r="B17" s="4"/>
      <c r="C17" s="97">
        <f t="shared" si="0"/>
        <v>238881</v>
      </c>
      <c r="D17" s="1">
        <v>238981</v>
      </c>
      <c r="E17" s="559">
        <f>IF((D17-D16)&lt;0,"0",(D17-D16))</f>
        <v>100</v>
      </c>
      <c r="F17" s="97">
        <f t="shared" si="2"/>
        <v>38000</v>
      </c>
      <c r="G17" s="452">
        <f>'[5]Water-Meter'!$G$35</f>
        <v>38000</v>
      </c>
      <c r="H17" s="559">
        <f t="shared" si="3"/>
        <v>0</v>
      </c>
      <c r="I17" s="97">
        <f t="shared" si="4"/>
        <v>8000</v>
      </c>
      <c r="J17" s="1">
        <v>8001</v>
      </c>
      <c r="K17" s="559">
        <f t="shared" si="5"/>
        <v>1</v>
      </c>
      <c r="L17" s="97">
        <f t="shared" si="6"/>
        <v>12678</v>
      </c>
      <c r="M17" s="1">
        <v>12678</v>
      </c>
      <c r="N17" s="559">
        <f t="shared" si="7"/>
        <v>0</v>
      </c>
      <c r="O17" s="97">
        <f t="shared" si="8"/>
        <v>20217</v>
      </c>
      <c r="P17" s="448">
        <v>20218</v>
      </c>
      <c r="Q17" s="559">
        <f t="shared" si="9"/>
        <v>1</v>
      </c>
      <c r="R17" s="297"/>
      <c r="S17" s="292">
        <f t="shared" si="16"/>
        <v>56705</v>
      </c>
      <c r="T17" s="449">
        <v>56781</v>
      </c>
      <c r="U17" s="560">
        <f t="shared" si="17"/>
        <v>76</v>
      </c>
      <c r="V17" s="292">
        <f t="shared" si="10"/>
        <v>73030</v>
      </c>
      <c r="W17" s="449">
        <v>73030</v>
      </c>
      <c r="X17" s="560">
        <f>IF((W17-W16)&lt;0,"0",(W17-W16))</f>
        <v>0</v>
      </c>
      <c r="Y17" s="292">
        <f t="shared" si="11"/>
        <v>82665</v>
      </c>
      <c r="Z17" s="449">
        <v>82703</v>
      </c>
      <c r="AA17" s="560">
        <f>IF((Z17-Z16)&lt;0,"0",(Z17-Z16))</f>
        <v>38</v>
      </c>
      <c r="AB17" s="758">
        <f t="shared" si="23"/>
        <v>14741</v>
      </c>
      <c r="AC17" s="762">
        <v>14754</v>
      </c>
      <c r="AD17" s="761">
        <f t="shared" si="24"/>
        <v>13</v>
      </c>
      <c r="AE17" s="292">
        <f t="shared" si="28"/>
        <v>18300</v>
      </c>
      <c r="AF17" s="450">
        <f>'[5]Water-Meter'!$AF$35</f>
        <v>18300</v>
      </c>
      <c r="AG17" s="560">
        <f t="shared" si="27"/>
        <v>0</v>
      </c>
      <c r="AH17" s="292">
        <f t="shared" si="14"/>
        <v>25335</v>
      </c>
      <c r="AI17" s="450">
        <v>25335</v>
      </c>
      <c r="AJ17" s="560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127</v>
      </c>
    </row>
    <row r="18" spans="1:40" ht="23.1" customHeight="1">
      <c r="A18" s="58">
        <f>Gen!B23</f>
        <v>44056</v>
      </c>
      <c r="B18" s="4"/>
      <c r="C18" s="97">
        <f t="shared" si="0"/>
        <v>238981</v>
      </c>
      <c r="D18" s="1">
        <v>239044</v>
      </c>
      <c r="E18" s="559">
        <f t="shared" ref="E18:E37" si="29">IF((D18-D17)&lt;0,"0",(D18-D17))</f>
        <v>63</v>
      </c>
      <c r="F18" s="97">
        <f t="shared" si="2"/>
        <v>38000</v>
      </c>
      <c r="G18" s="452">
        <f>'[5]Water-Meter'!$G$35</f>
        <v>38000</v>
      </c>
      <c r="H18" s="559">
        <f t="shared" si="3"/>
        <v>0</v>
      </c>
      <c r="I18" s="97"/>
      <c r="J18" s="1">
        <v>8002</v>
      </c>
      <c r="K18" s="559">
        <f t="shared" si="5"/>
        <v>1</v>
      </c>
      <c r="L18" s="97">
        <f t="shared" si="6"/>
        <v>12678</v>
      </c>
      <c r="M18" s="1">
        <v>12678</v>
      </c>
      <c r="N18" s="559">
        <f t="shared" si="7"/>
        <v>0</v>
      </c>
      <c r="O18" s="97">
        <f t="shared" si="8"/>
        <v>20218</v>
      </c>
      <c r="P18" s="448">
        <v>20219</v>
      </c>
      <c r="Q18" s="559">
        <f t="shared" si="9"/>
        <v>1</v>
      </c>
      <c r="R18" s="297"/>
      <c r="S18" s="292">
        <f t="shared" si="16"/>
        <v>56781</v>
      </c>
      <c r="T18" s="449">
        <v>56868</v>
      </c>
      <c r="U18" s="560">
        <f t="shared" si="17"/>
        <v>87</v>
      </c>
      <c r="V18" s="292">
        <f t="shared" si="10"/>
        <v>73030</v>
      </c>
      <c r="W18" s="449">
        <v>73030</v>
      </c>
      <c r="X18" s="560">
        <f t="shared" si="18"/>
        <v>0</v>
      </c>
      <c r="Y18" s="292">
        <f t="shared" si="11"/>
        <v>82703</v>
      </c>
      <c r="Z18" s="449">
        <v>82740</v>
      </c>
      <c r="AA18" s="560">
        <f t="shared" si="19"/>
        <v>37</v>
      </c>
      <c r="AB18" s="758">
        <f t="shared" si="23"/>
        <v>14754</v>
      </c>
      <c r="AC18" s="762">
        <v>14767</v>
      </c>
      <c r="AD18" s="761">
        <f t="shared" si="24"/>
        <v>13</v>
      </c>
      <c r="AE18" s="292">
        <f t="shared" si="28"/>
        <v>18300</v>
      </c>
      <c r="AF18" s="450">
        <f>'[5]Water-Meter'!$AF$35</f>
        <v>18300</v>
      </c>
      <c r="AG18" s="560">
        <f t="shared" si="20"/>
        <v>0</v>
      </c>
      <c r="AH18" s="292">
        <f>AI17</f>
        <v>25335</v>
      </c>
      <c r="AI18" s="450">
        <v>25335</v>
      </c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137</v>
      </c>
    </row>
    <row r="19" spans="1:40" ht="23.1" customHeight="1">
      <c r="A19" s="58">
        <f>Gen!B24</f>
        <v>44057</v>
      </c>
      <c r="B19" s="4"/>
      <c r="C19" s="97">
        <f t="shared" si="0"/>
        <v>239044</v>
      </c>
      <c r="D19" s="1"/>
      <c r="E19" s="559" t="str">
        <f t="shared" si="29"/>
        <v>0</v>
      </c>
      <c r="F19" s="97">
        <f t="shared" si="2"/>
        <v>38000</v>
      </c>
      <c r="G19" s="452"/>
      <c r="H19" s="559" t="str">
        <f t="shared" si="3"/>
        <v>0</v>
      </c>
      <c r="I19" s="97">
        <f t="shared" si="4"/>
        <v>8002</v>
      </c>
      <c r="J19" s="1"/>
      <c r="K19" s="559" t="str">
        <f t="shared" si="5"/>
        <v>0</v>
      </c>
      <c r="L19" s="97">
        <f t="shared" si="6"/>
        <v>12678</v>
      </c>
      <c r="M19" s="1"/>
      <c r="N19" s="559" t="str">
        <f t="shared" si="7"/>
        <v>0</v>
      </c>
      <c r="O19" s="97">
        <f t="shared" si="8"/>
        <v>20219</v>
      </c>
      <c r="P19" s="448"/>
      <c r="Q19" s="559" t="str">
        <f t="shared" si="9"/>
        <v>0</v>
      </c>
      <c r="R19" s="297"/>
      <c r="S19" s="292">
        <f t="shared" si="16"/>
        <v>56868</v>
      </c>
      <c r="T19" s="449"/>
      <c r="U19" s="560" t="str">
        <f t="shared" si="17"/>
        <v>0</v>
      </c>
      <c r="V19" s="292">
        <f t="shared" si="10"/>
        <v>73030</v>
      </c>
      <c r="W19" s="449"/>
      <c r="X19" s="560" t="str">
        <f t="shared" si="18"/>
        <v>0</v>
      </c>
      <c r="Y19" s="292">
        <f t="shared" si="11"/>
        <v>82740</v>
      </c>
      <c r="Z19" s="449"/>
      <c r="AA19" s="560" t="str">
        <f t="shared" si="19"/>
        <v>0</v>
      </c>
      <c r="AB19" s="758">
        <f t="shared" si="23"/>
        <v>14767</v>
      </c>
      <c r="AC19" s="762"/>
      <c r="AD19" s="761">
        <f t="shared" si="24"/>
        <v>-14767</v>
      </c>
      <c r="AE19" s="292">
        <f t="shared" si="28"/>
        <v>0</v>
      </c>
      <c r="AF19" s="450"/>
      <c r="AG19" s="560" t="str">
        <f t="shared" si="20"/>
        <v>0</v>
      </c>
      <c r="AH19" s="292">
        <f>AI18</f>
        <v>25335</v>
      </c>
      <c r="AI19" s="450"/>
      <c r="AJ19" s="560" t="str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-14767</v>
      </c>
    </row>
    <row r="20" spans="1:40" ht="23.1" customHeight="1">
      <c r="A20" s="58">
        <f>Gen!B25</f>
        <v>44058</v>
      </c>
      <c r="B20" s="4"/>
      <c r="C20" s="97">
        <f t="shared" si="0"/>
        <v>0</v>
      </c>
      <c r="D20" s="1"/>
      <c r="E20" s="559">
        <f t="shared" si="29"/>
        <v>0</v>
      </c>
      <c r="F20" s="97">
        <f t="shared" si="2"/>
        <v>0</v>
      </c>
      <c r="G20" s="452"/>
      <c r="H20" s="559">
        <f t="shared" si="3"/>
        <v>0</v>
      </c>
      <c r="I20" s="97">
        <f t="shared" si="4"/>
        <v>0</v>
      </c>
      <c r="J20" s="1"/>
      <c r="K20" s="559">
        <f t="shared" si="5"/>
        <v>0</v>
      </c>
      <c r="L20" s="97">
        <f t="shared" si="6"/>
        <v>0</v>
      </c>
      <c r="M20" s="1"/>
      <c r="N20" s="559">
        <f t="shared" si="7"/>
        <v>0</v>
      </c>
      <c r="O20" s="97">
        <f t="shared" si="8"/>
        <v>0</v>
      </c>
      <c r="P20" s="448"/>
      <c r="Q20" s="559">
        <f t="shared" si="9"/>
        <v>0</v>
      </c>
      <c r="R20" s="297"/>
      <c r="S20" s="292">
        <f t="shared" si="16"/>
        <v>0</v>
      </c>
      <c r="T20" s="449"/>
      <c r="U20" s="560">
        <f t="shared" si="17"/>
        <v>0</v>
      </c>
      <c r="V20" s="292">
        <f t="shared" si="10"/>
        <v>0</v>
      </c>
      <c r="W20" s="449"/>
      <c r="X20" s="560">
        <f t="shared" si="18"/>
        <v>0</v>
      </c>
      <c r="Y20" s="292">
        <f t="shared" si="11"/>
        <v>0</v>
      </c>
      <c r="Z20" s="449"/>
      <c r="AA20" s="560">
        <f t="shared" si="19"/>
        <v>0</v>
      </c>
      <c r="AB20" s="758">
        <f t="shared" si="23"/>
        <v>0</v>
      </c>
      <c r="AC20" s="762"/>
      <c r="AD20" s="761">
        <f t="shared" si="24"/>
        <v>0</v>
      </c>
      <c r="AE20" s="292">
        <f t="shared" si="28"/>
        <v>0</v>
      </c>
      <c r="AF20" s="450"/>
      <c r="AG20" s="560">
        <f t="shared" si="20"/>
        <v>0</v>
      </c>
      <c r="AH20" s="292">
        <f t="shared" si="14"/>
        <v>0</v>
      </c>
      <c r="AI20" s="450"/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0</v>
      </c>
    </row>
    <row r="21" spans="1:40" ht="23.1" customHeight="1">
      <c r="A21" s="58">
        <f>Gen!B26</f>
        <v>44059</v>
      </c>
      <c r="B21" s="4"/>
      <c r="C21" s="97">
        <f t="shared" si="0"/>
        <v>0</v>
      </c>
      <c r="D21" s="1"/>
      <c r="E21" s="559">
        <f t="shared" si="29"/>
        <v>0</v>
      </c>
      <c r="F21" s="97">
        <f t="shared" si="2"/>
        <v>0</v>
      </c>
      <c r="G21" s="452"/>
      <c r="H21" s="559">
        <f t="shared" si="3"/>
        <v>0</v>
      </c>
      <c r="I21" s="97">
        <f t="shared" si="4"/>
        <v>0</v>
      </c>
      <c r="J21" s="1"/>
      <c r="K21" s="559">
        <f t="shared" si="5"/>
        <v>0</v>
      </c>
      <c r="L21" s="97">
        <f t="shared" si="6"/>
        <v>0</v>
      </c>
      <c r="M21" s="1"/>
      <c r="N21" s="559">
        <f t="shared" si="7"/>
        <v>0</v>
      </c>
      <c r="O21" s="97">
        <f t="shared" si="8"/>
        <v>0</v>
      </c>
      <c r="P21" s="448"/>
      <c r="Q21" s="559">
        <f t="shared" si="9"/>
        <v>0</v>
      </c>
      <c r="R21" s="297"/>
      <c r="S21" s="292">
        <f t="shared" si="16"/>
        <v>0</v>
      </c>
      <c r="T21" s="449"/>
      <c r="U21" s="560">
        <f t="shared" si="17"/>
        <v>0</v>
      </c>
      <c r="V21" s="292">
        <f t="shared" ref="V21:V37" si="31">W20</f>
        <v>0</v>
      </c>
      <c r="W21" s="449"/>
      <c r="X21" s="560">
        <f t="shared" si="18"/>
        <v>0</v>
      </c>
      <c r="Y21" s="292">
        <f t="shared" si="11"/>
        <v>0</v>
      </c>
      <c r="Z21" s="449"/>
      <c r="AA21" s="560">
        <f t="shared" si="19"/>
        <v>0</v>
      </c>
      <c r="AB21" s="758">
        <f t="shared" si="23"/>
        <v>0</v>
      </c>
      <c r="AC21" s="762"/>
      <c r="AD21" s="761">
        <f t="shared" si="24"/>
        <v>0</v>
      </c>
      <c r="AE21" s="292">
        <f t="shared" si="13"/>
        <v>0</v>
      </c>
      <c r="AF21" s="450"/>
      <c r="AG21" s="560">
        <f t="shared" si="20"/>
        <v>0</v>
      </c>
      <c r="AH21" s="292">
        <f t="shared" si="14"/>
        <v>0</v>
      </c>
      <c r="AI21" s="450"/>
      <c r="AJ21" s="560">
        <f t="shared" si="21"/>
        <v>0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0</v>
      </c>
    </row>
    <row r="22" spans="1:40" ht="23.1" customHeight="1">
      <c r="A22" s="58">
        <f>Gen!B27</f>
        <v>44060</v>
      </c>
      <c r="B22" s="4"/>
      <c r="C22" s="97">
        <f t="shared" si="0"/>
        <v>0</v>
      </c>
      <c r="D22" s="1"/>
      <c r="E22" s="559">
        <f t="shared" si="29"/>
        <v>0</v>
      </c>
      <c r="F22" s="97">
        <f t="shared" si="2"/>
        <v>0</v>
      </c>
      <c r="G22" s="452"/>
      <c r="H22" s="559">
        <f t="shared" si="3"/>
        <v>0</v>
      </c>
      <c r="I22" s="97">
        <f t="shared" si="4"/>
        <v>0</v>
      </c>
      <c r="J22" s="1"/>
      <c r="K22" s="559">
        <f t="shared" si="5"/>
        <v>0</v>
      </c>
      <c r="L22" s="97">
        <f t="shared" si="6"/>
        <v>0</v>
      </c>
      <c r="M22" s="1"/>
      <c r="N22" s="559">
        <f t="shared" si="7"/>
        <v>0</v>
      </c>
      <c r="O22" s="97">
        <f t="shared" si="8"/>
        <v>0</v>
      </c>
      <c r="P22" s="448"/>
      <c r="Q22" s="559">
        <f t="shared" si="9"/>
        <v>0</v>
      </c>
      <c r="R22" s="297"/>
      <c r="S22" s="292">
        <f t="shared" si="16"/>
        <v>0</v>
      </c>
      <c r="T22" s="449"/>
      <c r="U22" s="560">
        <f t="shared" si="17"/>
        <v>0</v>
      </c>
      <c r="V22" s="292">
        <f t="shared" si="31"/>
        <v>0</v>
      </c>
      <c r="W22" s="449"/>
      <c r="X22" s="560">
        <f t="shared" si="18"/>
        <v>0</v>
      </c>
      <c r="Y22" s="292">
        <f t="shared" si="11"/>
        <v>0</v>
      </c>
      <c r="Z22" s="449"/>
      <c r="AA22" s="560">
        <f t="shared" si="19"/>
        <v>0</v>
      </c>
      <c r="AB22" s="758">
        <f t="shared" si="23"/>
        <v>0</v>
      </c>
      <c r="AC22" s="762"/>
      <c r="AD22" s="761">
        <f t="shared" si="24"/>
        <v>0</v>
      </c>
      <c r="AE22" s="292">
        <f t="shared" si="13"/>
        <v>0</v>
      </c>
      <c r="AF22" s="450"/>
      <c r="AG22" s="560">
        <f t="shared" si="20"/>
        <v>0</v>
      </c>
      <c r="AH22" s="292">
        <f t="shared" si="14"/>
        <v>0</v>
      </c>
      <c r="AI22" s="450"/>
      <c r="AJ22" s="560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0</v>
      </c>
    </row>
    <row r="23" spans="1:40" ht="23.1" customHeight="1">
      <c r="A23" s="58">
        <f>Gen!B28</f>
        <v>44061</v>
      </c>
      <c r="B23" s="4"/>
      <c r="C23" s="97">
        <f t="shared" si="0"/>
        <v>0</v>
      </c>
      <c r="D23" s="1"/>
      <c r="E23" s="559">
        <f t="shared" si="29"/>
        <v>0</v>
      </c>
      <c r="F23" s="97">
        <f t="shared" si="2"/>
        <v>0</v>
      </c>
      <c r="G23" s="452"/>
      <c r="H23" s="559">
        <f t="shared" si="3"/>
        <v>0</v>
      </c>
      <c r="I23" s="97">
        <f t="shared" si="4"/>
        <v>0</v>
      </c>
      <c r="J23" s="1"/>
      <c r="K23" s="559">
        <f t="shared" si="5"/>
        <v>0</v>
      </c>
      <c r="L23" s="97">
        <f t="shared" si="6"/>
        <v>0</v>
      </c>
      <c r="M23" s="1"/>
      <c r="N23" s="559">
        <f t="shared" si="7"/>
        <v>0</v>
      </c>
      <c r="O23" s="97">
        <f t="shared" si="8"/>
        <v>0</v>
      </c>
      <c r="P23" s="448"/>
      <c r="Q23" s="559">
        <f t="shared" si="9"/>
        <v>0</v>
      </c>
      <c r="R23" s="297"/>
      <c r="S23" s="292">
        <f t="shared" si="16"/>
        <v>0</v>
      </c>
      <c r="T23" s="449"/>
      <c r="U23" s="560">
        <f t="shared" si="17"/>
        <v>0</v>
      </c>
      <c r="V23" s="292">
        <f t="shared" si="31"/>
        <v>0</v>
      </c>
      <c r="W23" s="449"/>
      <c r="X23" s="560">
        <f t="shared" si="18"/>
        <v>0</v>
      </c>
      <c r="Y23" s="292">
        <f t="shared" si="11"/>
        <v>0</v>
      </c>
      <c r="Z23" s="449"/>
      <c r="AA23" s="560">
        <f t="shared" si="19"/>
        <v>0</v>
      </c>
      <c r="AB23" s="758">
        <f t="shared" si="23"/>
        <v>0</v>
      </c>
      <c r="AC23" s="759"/>
      <c r="AD23" s="761">
        <f t="shared" si="24"/>
        <v>0</v>
      </c>
      <c r="AE23" s="292">
        <f t="shared" si="13"/>
        <v>0</v>
      </c>
      <c r="AF23" s="450"/>
      <c r="AG23" s="560">
        <f t="shared" si="20"/>
        <v>0</v>
      </c>
      <c r="AH23" s="292">
        <f t="shared" si="14"/>
        <v>0</v>
      </c>
      <c r="AI23" s="450"/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0</v>
      </c>
    </row>
    <row r="24" spans="1:40" ht="23.1" customHeight="1">
      <c r="A24" s="58">
        <f>Gen!B29</f>
        <v>44062</v>
      </c>
      <c r="B24" s="4"/>
      <c r="C24" s="97">
        <f t="shared" si="0"/>
        <v>0</v>
      </c>
      <c r="D24" s="1"/>
      <c r="E24" s="559">
        <f t="shared" si="29"/>
        <v>0</v>
      </c>
      <c r="F24" s="97">
        <f t="shared" si="2"/>
        <v>0</v>
      </c>
      <c r="G24" s="452"/>
      <c r="H24" s="559">
        <f t="shared" si="3"/>
        <v>0</v>
      </c>
      <c r="I24" s="97">
        <f t="shared" si="4"/>
        <v>0</v>
      </c>
      <c r="J24" s="1"/>
      <c r="K24" s="559">
        <f t="shared" si="5"/>
        <v>0</v>
      </c>
      <c r="L24" s="97">
        <f t="shared" si="6"/>
        <v>0</v>
      </c>
      <c r="M24" s="1"/>
      <c r="N24" s="559">
        <f t="shared" si="7"/>
        <v>0</v>
      </c>
      <c r="O24" s="97">
        <f t="shared" si="8"/>
        <v>0</v>
      </c>
      <c r="P24" s="448"/>
      <c r="Q24" s="559">
        <f t="shared" si="9"/>
        <v>0</v>
      </c>
      <c r="R24" s="297"/>
      <c r="S24" s="292">
        <f t="shared" si="16"/>
        <v>0</v>
      </c>
      <c r="T24" s="449"/>
      <c r="U24" s="560">
        <f t="shared" si="17"/>
        <v>0</v>
      </c>
      <c r="V24" s="292">
        <f t="shared" si="31"/>
        <v>0</v>
      </c>
      <c r="W24" s="449"/>
      <c r="X24" s="560">
        <f t="shared" si="18"/>
        <v>0</v>
      </c>
      <c r="Y24" s="292">
        <f t="shared" si="11"/>
        <v>0</v>
      </c>
      <c r="Z24" s="449"/>
      <c r="AA24" s="560">
        <f t="shared" si="19"/>
        <v>0</v>
      </c>
      <c r="AB24" s="758">
        <f t="shared" si="23"/>
        <v>0</v>
      </c>
      <c r="AC24" s="759"/>
      <c r="AD24" s="761">
        <f t="shared" si="24"/>
        <v>0</v>
      </c>
      <c r="AE24" s="292">
        <f t="shared" si="13"/>
        <v>0</v>
      </c>
      <c r="AF24" s="450"/>
      <c r="AG24" s="560">
        <f t="shared" si="20"/>
        <v>0</v>
      </c>
      <c r="AH24" s="292">
        <f t="shared" si="14"/>
        <v>0</v>
      </c>
      <c r="AI24" s="450"/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0</v>
      </c>
    </row>
    <row r="25" spans="1:40" ht="23.1" customHeight="1">
      <c r="A25" s="58">
        <f>Gen!B30</f>
        <v>44063</v>
      </c>
      <c r="B25" s="4"/>
      <c r="C25" s="97">
        <f>D24</f>
        <v>0</v>
      </c>
      <c r="D25" s="1"/>
      <c r="E25" s="559">
        <f t="shared" si="29"/>
        <v>0</v>
      </c>
      <c r="F25" s="97">
        <f t="shared" si="2"/>
        <v>0</v>
      </c>
      <c r="G25" s="452"/>
      <c r="H25" s="559">
        <f>IF((G26-G24)&lt;0,"0",(G26-G24))</f>
        <v>0</v>
      </c>
      <c r="I25" s="97">
        <f t="shared" ref="I25:I37" si="32">J24</f>
        <v>0</v>
      </c>
      <c r="J25" s="1"/>
      <c r="K25" s="559">
        <f t="shared" si="5"/>
        <v>0</v>
      </c>
      <c r="L25" s="97">
        <f t="shared" ref="L25:L37" si="33">M24</f>
        <v>0</v>
      </c>
      <c r="M25" s="1"/>
      <c r="N25" s="559">
        <f t="shared" ref="N25:N37" si="34">IF((M25-M24)&lt;0,"0",(M25-M24))</f>
        <v>0</v>
      </c>
      <c r="O25" s="97">
        <f t="shared" si="8"/>
        <v>0</v>
      </c>
      <c r="P25" s="448"/>
      <c r="Q25" s="559">
        <f t="shared" si="9"/>
        <v>0</v>
      </c>
      <c r="R25" s="297"/>
      <c r="S25" s="292">
        <f t="shared" ref="S25:S37" si="35">T24</f>
        <v>0</v>
      </c>
      <c r="T25" s="449"/>
      <c r="U25" s="560">
        <f t="shared" ref="U25:U37" si="36">IF((T25-T24)&lt;0,"0",(T25-T24))</f>
        <v>0</v>
      </c>
      <c r="V25" s="292">
        <f t="shared" si="31"/>
        <v>0</v>
      </c>
      <c r="W25" s="449"/>
      <c r="X25" s="560">
        <f t="shared" si="18"/>
        <v>0</v>
      </c>
      <c r="Y25" s="292">
        <f t="shared" si="11"/>
        <v>0</v>
      </c>
      <c r="Z25" s="449"/>
      <c r="AA25" s="560">
        <f t="shared" si="19"/>
        <v>0</v>
      </c>
      <c r="AB25" s="758">
        <f t="shared" si="23"/>
        <v>0</v>
      </c>
      <c r="AC25" s="759"/>
      <c r="AD25" s="761">
        <f t="shared" si="24"/>
        <v>0</v>
      </c>
      <c r="AE25" s="292">
        <f t="shared" si="13"/>
        <v>0</v>
      </c>
      <c r="AF25" s="450"/>
      <c r="AG25" s="560">
        <f t="shared" si="20"/>
        <v>0</v>
      </c>
      <c r="AH25" s="292">
        <f t="shared" si="14"/>
        <v>0</v>
      </c>
      <c r="AI25" s="450"/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0</v>
      </c>
    </row>
    <row r="26" spans="1:40" ht="23.1" customHeight="1">
      <c r="A26" s="58">
        <f>Gen!B31</f>
        <v>44064</v>
      </c>
      <c r="B26" s="4"/>
      <c r="C26" s="97">
        <f>D25</f>
        <v>0</v>
      </c>
      <c r="D26" s="1"/>
      <c r="E26" s="559">
        <f t="shared" si="29"/>
        <v>0</v>
      </c>
      <c r="F26" s="97">
        <f>G26</f>
        <v>0</v>
      </c>
      <c r="G26" s="452"/>
      <c r="H26" s="559">
        <f t="shared" ref="H26:H27" si="37">IF((G27-G25)&lt;0,"0",(G27-G25))</f>
        <v>0</v>
      </c>
      <c r="I26" s="97">
        <f t="shared" si="32"/>
        <v>0</v>
      </c>
      <c r="J26" s="1"/>
      <c r="K26" s="559">
        <f t="shared" si="5"/>
        <v>0</v>
      </c>
      <c r="L26" s="97">
        <f t="shared" si="33"/>
        <v>0</v>
      </c>
      <c r="M26" s="1"/>
      <c r="N26" s="559">
        <f t="shared" si="34"/>
        <v>0</v>
      </c>
      <c r="O26" s="97">
        <f t="shared" ref="O26:O37" si="38">P25</f>
        <v>0</v>
      </c>
      <c r="P26" s="448"/>
      <c r="Q26" s="559">
        <f t="shared" si="9"/>
        <v>0</v>
      </c>
      <c r="R26" s="297"/>
      <c r="S26" s="292">
        <f t="shared" si="35"/>
        <v>0</v>
      </c>
      <c r="T26" s="449"/>
      <c r="U26" s="560">
        <f t="shared" si="36"/>
        <v>0</v>
      </c>
      <c r="V26" s="292">
        <f t="shared" si="31"/>
        <v>0</v>
      </c>
      <c r="W26" s="449"/>
      <c r="X26" s="560">
        <f t="shared" si="18"/>
        <v>0</v>
      </c>
      <c r="Y26" s="292">
        <f t="shared" si="11"/>
        <v>0</v>
      </c>
      <c r="Z26" s="449"/>
      <c r="AA26" s="560">
        <f t="shared" si="19"/>
        <v>0</v>
      </c>
      <c r="AB26" s="758">
        <f t="shared" si="23"/>
        <v>0</v>
      </c>
      <c r="AC26" s="759"/>
      <c r="AD26" s="761">
        <f t="shared" si="24"/>
        <v>0</v>
      </c>
      <c r="AE26" s="292">
        <f t="shared" si="13"/>
        <v>0</v>
      </c>
      <c r="AF26" s="450"/>
      <c r="AG26" s="560">
        <f t="shared" si="20"/>
        <v>0</v>
      </c>
      <c r="AH26" s="292">
        <f t="shared" si="14"/>
        <v>0</v>
      </c>
      <c r="AI26" s="450"/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0</v>
      </c>
    </row>
    <row r="27" spans="1:40" ht="23.1" customHeight="1">
      <c r="A27" s="58">
        <f>Gen!B32</f>
        <v>44065</v>
      </c>
      <c r="B27" s="4"/>
      <c r="C27" s="97">
        <f>D26</f>
        <v>0</v>
      </c>
      <c r="D27" s="1"/>
      <c r="E27" s="559">
        <f t="shared" si="29"/>
        <v>0</v>
      </c>
      <c r="F27" s="97">
        <f t="shared" ref="F27:F31" si="39">G27</f>
        <v>0</v>
      </c>
      <c r="G27" s="452"/>
      <c r="H27" s="559">
        <f t="shared" si="37"/>
        <v>0</v>
      </c>
      <c r="I27" s="97">
        <f t="shared" si="32"/>
        <v>0</v>
      </c>
      <c r="J27" s="1"/>
      <c r="K27" s="559">
        <f t="shared" si="5"/>
        <v>0</v>
      </c>
      <c r="L27" s="97">
        <f t="shared" si="33"/>
        <v>0</v>
      </c>
      <c r="M27" s="1"/>
      <c r="N27" s="559">
        <f t="shared" si="34"/>
        <v>0</v>
      </c>
      <c r="O27" s="97">
        <f t="shared" si="38"/>
        <v>0</v>
      </c>
      <c r="P27" s="448"/>
      <c r="Q27" s="559">
        <f t="shared" si="9"/>
        <v>0</v>
      </c>
      <c r="R27" s="297"/>
      <c r="S27" s="292">
        <f t="shared" si="35"/>
        <v>0</v>
      </c>
      <c r="T27" s="449"/>
      <c r="U27" s="560">
        <f t="shared" si="36"/>
        <v>0</v>
      </c>
      <c r="V27" s="292">
        <f t="shared" si="31"/>
        <v>0</v>
      </c>
      <c r="W27" s="449"/>
      <c r="X27" s="560">
        <f t="shared" si="18"/>
        <v>0</v>
      </c>
      <c r="Y27" s="292">
        <f t="shared" si="11"/>
        <v>0</v>
      </c>
      <c r="Z27" s="449"/>
      <c r="AA27" s="560">
        <f t="shared" si="19"/>
        <v>0</v>
      </c>
      <c r="AB27" s="758">
        <f t="shared" si="23"/>
        <v>0</v>
      </c>
      <c r="AC27" s="759"/>
      <c r="AD27" s="761">
        <f t="shared" si="24"/>
        <v>0</v>
      </c>
      <c r="AE27" s="292">
        <f t="shared" si="13"/>
        <v>0</v>
      </c>
      <c r="AF27" s="450"/>
      <c r="AG27" s="560">
        <f t="shared" si="20"/>
        <v>0</v>
      </c>
      <c r="AH27" s="292">
        <f t="shared" si="14"/>
        <v>0</v>
      </c>
      <c r="AI27" s="450"/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0</v>
      </c>
    </row>
    <row r="28" spans="1:40" ht="23.1" customHeight="1">
      <c r="A28" s="58">
        <f>Gen!B33</f>
        <v>44066</v>
      </c>
      <c r="B28" s="4"/>
      <c r="C28" s="97">
        <f t="shared" ref="C28:C37" si="40">D27</f>
        <v>0</v>
      </c>
      <c r="D28" s="1"/>
      <c r="E28" s="559">
        <f t="shared" si="29"/>
        <v>0</v>
      </c>
      <c r="F28" s="97">
        <f t="shared" si="39"/>
        <v>0</v>
      </c>
      <c r="G28" s="452"/>
      <c r="H28" s="559">
        <f t="shared" ref="H28:H37" si="41">IF((G28-G27)&lt;0,"0",(G28-G27))</f>
        <v>0</v>
      </c>
      <c r="I28" s="97">
        <f t="shared" si="32"/>
        <v>0</v>
      </c>
      <c r="J28" s="1"/>
      <c r="K28" s="559">
        <f>IF((J28-J27)&lt;0,"0",(J28-J27))</f>
        <v>0</v>
      </c>
      <c r="L28" s="97">
        <f t="shared" si="33"/>
        <v>0</v>
      </c>
      <c r="M28" s="1"/>
      <c r="N28" s="559">
        <f t="shared" si="34"/>
        <v>0</v>
      </c>
      <c r="O28" s="97">
        <f t="shared" si="38"/>
        <v>0</v>
      </c>
      <c r="P28" s="448"/>
      <c r="Q28" s="559">
        <f t="shared" ref="Q28:Q37" si="42">IF((P28-P27)&lt;0,"0",(P28-P27))</f>
        <v>0</v>
      </c>
      <c r="R28" s="297"/>
      <c r="S28" s="292">
        <f t="shared" si="35"/>
        <v>0</v>
      </c>
      <c r="T28" s="449"/>
      <c r="U28" s="560">
        <f t="shared" si="36"/>
        <v>0</v>
      </c>
      <c r="V28" s="292">
        <f t="shared" si="31"/>
        <v>0</v>
      </c>
      <c r="W28" s="449"/>
      <c r="X28" s="560">
        <f t="shared" si="18"/>
        <v>0</v>
      </c>
      <c r="Y28" s="292">
        <f t="shared" si="11"/>
        <v>0</v>
      </c>
      <c r="Z28" s="449"/>
      <c r="AA28" s="560">
        <f t="shared" si="19"/>
        <v>0</v>
      </c>
      <c r="AB28" s="758">
        <f t="shared" si="23"/>
        <v>0</v>
      </c>
      <c r="AC28" s="759"/>
      <c r="AD28" s="761">
        <f t="shared" si="24"/>
        <v>0</v>
      </c>
      <c r="AE28" s="292">
        <f t="shared" si="13"/>
        <v>0</v>
      </c>
      <c r="AF28" s="450"/>
      <c r="AG28" s="560">
        <f t="shared" si="20"/>
        <v>0</v>
      </c>
      <c r="AH28" s="292">
        <f t="shared" si="14"/>
        <v>0</v>
      </c>
      <c r="AI28" s="450"/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0</v>
      </c>
    </row>
    <row r="29" spans="1:40" ht="23.1" customHeight="1">
      <c r="A29" s="58">
        <f>Gen!B34</f>
        <v>44067</v>
      </c>
      <c r="B29" s="4"/>
      <c r="C29" s="97">
        <f t="shared" si="40"/>
        <v>0</v>
      </c>
      <c r="D29" s="1"/>
      <c r="E29" s="559">
        <f t="shared" si="29"/>
        <v>0</v>
      </c>
      <c r="F29" s="97">
        <f t="shared" si="39"/>
        <v>0</v>
      </c>
      <c r="G29" s="452"/>
      <c r="H29" s="559">
        <f t="shared" si="41"/>
        <v>0</v>
      </c>
      <c r="I29" s="97">
        <f t="shared" si="32"/>
        <v>0</v>
      </c>
      <c r="J29" s="1"/>
      <c r="K29" s="559">
        <f t="shared" ref="K29:K37" si="43">IF((J29-J28)&lt;0,"0",(J29-J28))</f>
        <v>0</v>
      </c>
      <c r="L29" s="97">
        <f t="shared" si="33"/>
        <v>0</v>
      </c>
      <c r="M29" s="1"/>
      <c r="N29" s="559">
        <f t="shared" si="34"/>
        <v>0</v>
      </c>
      <c r="O29" s="97">
        <f t="shared" si="38"/>
        <v>0</v>
      </c>
      <c r="P29" s="448"/>
      <c r="Q29" s="559">
        <f t="shared" si="42"/>
        <v>0</v>
      </c>
      <c r="R29" s="297"/>
      <c r="S29" s="292">
        <f t="shared" si="35"/>
        <v>0</v>
      </c>
      <c r="T29" s="449"/>
      <c r="U29" s="560">
        <f t="shared" si="36"/>
        <v>0</v>
      </c>
      <c r="V29" s="292">
        <f t="shared" si="31"/>
        <v>0</v>
      </c>
      <c r="W29" s="449"/>
      <c r="X29" s="560">
        <f t="shared" si="18"/>
        <v>0</v>
      </c>
      <c r="Y29" s="292">
        <f t="shared" si="11"/>
        <v>0</v>
      </c>
      <c r="Z29" s="449"/>
      <c r="AA29" s="560">
        <f t="shared" si="19"/>
        <v>0</v>
      </c>
      <c r="AB29" s="758">
        <f t="shared" si="23"/>
        <v>0</v>
      </c>
      <c r="AC29" s="759"/>
      <c r="AD29" s="761">
        <f t="shared" si="24"/>
        <v>0</v>
      </c>
      <c r="AE29" s="292">
        <f t="shared" si="13"/>
        <v>0</v>
      </c>
      <c r="AF29" s="450"/>
      <c r="AG29" s="560">
        <f t="shared" si="20"/>
        <v>0</v>
      </c>
      <c r="AH29" s="292">
        <f t="shared" si="14"/>
        <v>0</v>
      </c>
      <c r="AI29" s="450"/>
      <c r="AJ29" s="560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0</v>
      </c>
    </row>
    <row r="30" spans="1:40" ht="23.1" customHeight="1">
      <c r="A30" s="58">
        <f>Gen!B35</f>
        <v>44068</v>
      </c>
      <c r="B30" s="4"/>
      <c r="C30" s="97">
        <f t="shared" si="40"/>
        <v>0</v>
      </c>
      <c r="D30" s="1"/>
      <c r="E30" s="559">
        <f t="shared" si="29"/>
        <v>0</v>
      </c>
      <c r="F30" s="97">
        <f t="shared" si="39"/>
        <v>0</v>
      </c>
      <c r="G30" s="452"/>
      <c r="H30" s="559">
        <f t="shared" si="41"/>
        <v>0</v>
      </c>
      <c r="I30" s="97">
        <f t="shared" si="32"/>
        <v>0</v>
      </c>
      <c r="J30" s="1"/>
      <c r="K30" s="559">
        <f t="shared" si="43"/>
        <v>0</v>
      </c>
      <c r="L30" s="97">
        <f t="shared" si="33"/>
        <v>0</v>
      </c>
      <c r="M30" s="1"/>
      <c r="N30" s="559">
        <f t="shared" si="34"/>
        <v>0</v>
      </c>
      <c r="O30" s="97">
        <f t="shared" si="38"/>
        <v>0</v>
      </c>
      <c r="P30" s="448"/>
      <c r="Q30" s="559">
        <f t="shared" si="42"/>
        <v>0</v>
      </c>
      <c r="R30" s="297"/>
      <c r="S30" s="292">
        <f t="shared" si="35"/>
        <v>0</v>
      </c>
      <c r="T30" s="449"/>
      <c r="U30" s="560">
        <f t="shared" si="36"/>
        <v>0</v>
      </c>
      <c r="V30" s="292">
        <f t="shared" si="31"/>
        <v>0</v>
      </c>
      <c r="W30" s="449"/>
      <c r="X30" s="560">
        <f t="shared" si="18"/>
        <v>0</v>
      </c>
      <c r="Y30" s="292">
        <f t="shared" si="11"/>
        <v>0</v>
      </c>
      <c r="Z30" s="449"/>
      <c r="AA30" s="560">
        <f t="shared" si="19"/>
        <v>0</v>
      </c>
      <c r="AB30" s="758">
        <f t="shared" si="23"/>
        <v>0</v>
      </c>
      <c r="AC30" s="759"/>
      <c r="AD30" s="761">
        <f t="shared" si="24"/>
        <v>0</v>
      </c>
      <c r="AE30" s="292">
        <f t="shared" si="13"/>
        <v>0</v>
      </c>
      <c r="AF30" s="450"/>
      <c r="AG30" s="560">
        <f t="shared" si="20"/>
        <v>0</v>
      </c>
      <c r="AH30" s="292">
        <f t="shared" si="14"/>
        <v>0</v>
      </c>
      <c r="AI30" s="450"/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0</v>
      </c>
    </row>
    <row r="31" spans="1:40" ht="23.1" customHeight="1">
      <c r="A31" s="58">
        <f>Gen!B36</f>
        <v>44069</v>
      </c>
      <c r="B31" s="4"/>
      <c r="C31" s="97">
        <f t="shared" si="40"/>
        <v>0</v>
      </c>
      <c r="D31" s="1"/>
      <c r="E31" s="559">
        <f t="shared" si="29"/>
        <v>0</v>
      </c>
      <c r="F31" s="97">
        <f t="shared" si="39"/>
        <v>0</v>
      </c>
      <c r="G31" s="452"/>
      <c r="H31" s="559">
        <f t="shared" si="41"/>
        <v>0</v>
      </c>
      <c r="I31" s="97">
        <f t="shared" si="32"/>
        <v>0</v>
      </c>
      <c r="J31" s="1"/>
      <c r="K31" s="559">
        <f t="shared" si="43"/>
        <v>0</v>
      </c>
      <c r="L31" s="97">
        <f t="shared" si="33"/>
        <v>0</v>
      </c>
      <c r="M31" s="1"/>
      <c r="N31" s="559">
        <f t="shared" si="34"/>
        <v>0</v>
      </c>
      <c r="O31" s="97">
        <f t="shared" si="38"/>
        <v>0</v>
      </c>
      <c r="P31" s="448"/>
      <c r="Q31" s="559">
        <f t="shared" si="42"/>
        <v>0</v>
      </c>
      <c r="R31" s="297"/>
      <c r="S31" s="292">
        <f t="shared" si="35"/>
        <v>0</v>
      </c>
      <c r="T31" s="449"/>
      <c r="U31" s="560">
        <f t="shared" si="36"/>
        <v>0</v>
      </c>
      <c r="V31" s="292">
        <f t="shared" si="31"/>
        <v>0</v>
      </c>
      <c r="W31" s="449"/>
      <c r="X31" s="560">
        <f t="shared" si="18"/>
        <v>0</v>
      </c>
      <c r="Y31" s="292">
        <f t="shared" si="11"/>
        <v>0</v>
      </c>
      <c r="Z31" s="449"/>
      <c r="AA31" s="560">
        <f t="shared" si="19"/>
        <v>0</v>
      </c>
      <c r="AB31" s="758">
        <f t="shared" si="23"/>
        <v>0</v>
      </c>
      <c r="AC31" s="759"/>
      <c r="AD31" s="761">
        <f t="shared" si="24"/>
        <v>0</v>
      </c>
      <c r="AE31" s="292">
        <f t="shared" si="13"/>
        <v>0</v>
      </c>
      <c r="AF31" s="450"/>
      <c r="AG31" s="560">
        <f t="shared" si="20"/>
        <v>0</v>
      </c>
      <c r="AH31" s="292">
        <f t="shared" si="14"/>
        <v>0</v>
      </c>
      <c r="AI31" s="450"/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0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0</v>
      </c>
      <c r="D32" s="1"/>
      <c r="E32" s="559">
        <f t="shared" si="29"/>
        <v>0</v>
      </c>
      <c r="F32" s="97">
        <f t="shared" si="2"/>
        <v>0</v>
      </c>
      <c r="G32" s="452"/>
      <c r="H32" s="559">
        <f t="shared" si="41"/>
        <v>0</v>
      </c>
      <c r="I32" s="97">
        <f t="shared" si="32"/>
        <v>0</v>
      </c>
      <c r="J32" s="1"/>
      <c r="K32" s="559">
        <f t="shared" si="43"/>
        <v>0</v>
      </c>
      <c r="L32" s="97">
        <f t="shared" si="33"/>
        <v>0</v>
      </c>
      <c r="M32" s="1"/>
      <c r="N32" s="559">
        <f t="shared" si="34"/>
        <v>0</v>
      </c>
      <c r="O32" s="97">
        <f t="shared" si="38"/>
        <v>0</v>
      </c>
      <c r="P32" s="448"/>
      <c r="Q32" s="559">
        <f t="shared" si="42"/>
        <v>0</v>
      </c>
      <c r="R32" s="297"/>
      <c r="S32" s="292">
        <f t="shared" si="35"/>
        <v>0</v>
      </c>
      <c r="T32" s="449"/>
      <c r="U32" s="560">
        <f t="shared" si="36"/>
        <v>0</v>
      </c>
      <c r="V32" s="292">
        <f t="shared" si="31"/>
        <v>0</v>
      </c>
      <c r="W32" s="449"/>
      <c r="X32" s="560">
        <f t="shared" si="18"/>
        <v>0</v>
      </c>
      <c r="Y32" s="292">
        <f t="shared" si="11"/>
        <v>0</v>
      </c>
      <c r="Z32" s="449"/>
      <c r="AA32" s="560">
        <f t="shared" si="19"/>
        <v>0</v>
      </c>
      <c r="AB32" s="758">
        <f t="shared" si="23"/>
        <v>0</v>
      </c>
      <c r="AC32" s="759"/>
      <c r="AD32" s="761">
        <f t="shared" si="24"/>
        <v>0</v>
      </c>
      <c r="AE32" s="292">
        <f t="shared" si="13"/>
        <v>0</v>
      </c>
      <c r="AF32" s="450"/>
      <c r="AG32" s="560">
        <f t="shared" si="20"/>
        <v>0</v>
      </c>
      <c r="AH32" s="292">
        <f t="shared" si="14"/>
        <v>0</v>
      </c>
      <c r="AI32" s="450"/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0</v>
      </c>
    </row>
    <row r="33" spans="1:41" ht="23.1" customHeight="1">
      <c r="A33" s="58">
        <f>Gen!B38</f>
        <v>44071</v>
      </c>
      <c r="B33" s="4"/>
      <c r="C33" s="97">
        <f t="shared" si="40"/>
        <v>0</v>
      </c>
      <c r="D33" s="1"/>
      <c r="E33" s="559">
        <f t="shared" si="29"/>
        <v>0</v>
      </c>
      <c r="F33" s="97">
        <f t="shared" si="2"/>
        <v>0</v>
      </c>
      <c r="G33" s="452"/>
      <c r="H33" s="559">
        <f t="shared" si="41"/>
        <v>0</v>
      </c>
      <c r="I33" s="97">
        <f t="shared" si="32"/>
        <v>0</v>
      </c>
      <c r="J33" s="1"/>
      <c r="K33" s="559">
        <f t="shared" si="43"/>
        <v>0</v>
      </c>
      <c r="L33" s="97">
        <f t="shared" si="33"/>
        <v>0</v>
      </c>
      <c r="M33" s="1"/>
      <c r="N33" s="559">
        <f t="shared" si="34"/>
        <v>0</v>
      </c>
      <c r="O33" s="97">
        <f t="shared" si="38"/>
        <v>0</v>
      </c>
      <c r="P33" s="448"/>
      <c r="Q33" s="559">
        <f t="shared" si="42"/>
        <v>0</v>
      </c>
      <c r="R33" s="297"/>
      <c r="S33" s="292">
        <f t="shared" si="35"/>
        <v>0</v>
      </c>
      <c r="T33" s="449"/>
      <c r="U33" s="560">
        <f t="shared" si="36"/>
        <v>0</v>
      </c>
      <c r="V33" s="292">
        <f t="shared" si="31"/>
        <v>0</v>
      </c>
      <c r="W33" s="449"/>
      <c r="X33" s="560">
        <f t="shared" si="18"/>
        <v>0</v>
      </c>
      <c r="Y33" s="292">
        <f t="shared" si="11"/>
        <v>0</v>
      </c>
      <c r="Z33" s="449"/>
      <c r="AA33" s="560">
        <f t="shared" si="19"/>
        <v>0</v>
      </c>
      <c r="AB33" s="758">
        <f t="shared" si="23"/>
        <v>0</v>
      </c>
      <c r="AC33" s="293"/>
      <c r="AD33" s="761">
        <f t="shared" si="24"/>
        <v>0</v>
      </c>
      <c r="AE33" s="292">
        <f t="shared" si="13"/>
        <v>0</v>
      </c>
      <c r="AF33" s="450"/>
      <c r="AG33" s="560">
        <f t="shared" si="20"/>
        <v>0</v>
      </c>
      <c r="AH33" s="292">
        <f t="shared" si="14"/>
        <v>0</v>
      </c>
      <c r="AI33" s="450"/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0</v>
      </c>
    </row>
    <row r="34" spans="1:41" ht="23.1" customHeight="1">
      <c r="A34" s="58">
        <f>Gen!B39</f>
        <v>44072</v>
      </c>
      <c r="B34" s="169"/>
      <c r="C34" s="97">
        <f t="shared" si="40"/>
        <v>0</v>
      </c>
      <c r="D34" s="1"/>
      <c r="E34" s="559">
        <f t="shared" si="29"/>
        <v>0</v>
      </c>
      <c r="F34" s="97">
        <f t="shared" si="2"/>
        <v>0</v>
      </c>
      <c r="G34" s="452"/>
      <c r="H34" s="559">
        <f t="shared" si="41"/>
        <v>0</v>
      </c>
      <c r="I34" s="97">
        <f t="shared" si="32"/>
        <v>0</v>
      </c>
      <c r="J34" s="1"/>
      <c r="K34" s="559">
        <f t="shared" si="43"/>
        <v>0</v>
      </c>
      <c r="L34" s="97">
        <f t="shared" si="33"/>
        <v>0</v>
      </c>
      <c r="M34" s="1"/>
      <c r="N34" s="559">
        <f t="shared" si="34"/>
        <v>0</v>
      </c>
      <c r="O34" s="97">
        <f t="shared" si="38"/>
        <v>0</v>
      </c>
      <c r="P34" s="448"/>
      <c r="Q34" s="559">
        <f t="shared" si="42"/>
        <v>0</v>
      </c>
      <c r="R34" s="297"/>
      <c r="S34" s="292">
        <f t="shared" si="35"/>
        <v>0</v>
      </c>
      <c r="T34" s="449"/>
      <c r="U34" s="560">
        <f t="shared" si="36"/>
        <v>0</v>
      </c>
      <c r="V34" s="292">
        <f t="shared" si="31"/>
        <v>0</v>
      </c>
      <c r="W34" s="449"/>
      <c r="X34" s="560">
        <f t="shared" si="18"/>
        <v>0</v>
      </c>
      <c r="Y34" s="292">
        <f t="shared" si="11"/>
        <v>0</v>
      </c>
      <c r="Z34" s="449"/>
      <c r="AA34" s="560">
        <f t="shared" si="19"/>
        <v>0</v>
      </c>
      <c r="AB34" s="758">
        <f t="shared" si="23"/>
        <v>0</v>
      </c>
      <c r="AC34" s="293"/>
      <c r="AD34" s="761">
        <f t="shared" si="24"/>
        <v>0</v>
      </c>
      <c r="AE34" s="292">
        <f t="shared" si="13"/>
        <v>0</v>
      </c>
      <c r="AF34" s="450"/>
      <c r="AG34" s="560">
        <f t="shared" si="20"/>
        <v>0</v>
      </c>
      <c r="AH34" s="292">
        <f t="shared" si="14"/>
        <v>0</v>
      </c>
      <c r="AI34" s="450"/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0</v>
      </c>
    </row>
    <row r="35" spans="1:41" ht="23.1" customHeight="1">
      <c r="A35" s="58">
        <f>Gen!B40</f>
        <v>44073</v>
      </c>
      <c r="B35" s="169"/>
      <c r="C35" s="97">
        <f t="shared" si="40"/>
        <v>0</v>
      </c>
      <c r="D35" s="1"/>
      <c r="E35" s="559">
        <f t="shared" si="29"/>
        <v>0</v>
      </c>
      <c r="F35" s="97">
        <f t="shared" si="2"/>
        <v>0</v>
      </c>
      <c r="G35" s="452"/>
      <c r="H35" s="559">
        <f t="shared" si="41"/>
        <v>0</v>
      </c>
      <c r="I35" s="97">
        <f t="shared" si="32"/>
        <v>0</v>
      </c>
      <c r="J35" s="1"/>
      <c r="K35" s="559">
        <f t="shared" si="43"/>
        <v>0</v>
      </c>
      <c r="L35" s="97">
        <f t="shared" si="33"/>
        <v>0</v>
      </c>
      <c r="M35" s="1"/>
      <c r="N35" s="559">
        <f t="shared" si="34"/>
        <v>0</v>
      </c>
      <c r="O35" s="97">
        <f t="shared" si="38"/>
        <v>0</v>
      </c>
      <c r="P35" s="448"/>
      <c r="Q35" s="559">
        <f t="shared" si="42"/>
        <v>0</v>
      </c>
      <c r="R35" s="297"/>
      <c r="S35" s="292">
        <f t="shared" si="35"/>
        <v>0</v>
      </c>
      <c r="T35" s="449"/>
      <c r="U35" s="560">
        <f t="shared" si="36"/>
        <v>0</v>
      </c>
      <c r="V35" s="292">
        <f t="shared" si="31"/>
        <v>0</v>
      </c>
      <c r="W35" s="449"/>
      <c r="X35" s="560">
        <f t="shared" si="18"/>
        <v>0</v>
      </c>
      <c r="Y35" s="292">
        <f t="shared" si="11"/>
        <v>0</v>
      </c>
      <c r="Z35" s="449"/>
      <c r="AA35" s="560">
        <f t="shared" si="19"/>
        <v>0</v>
      </c>
      <c r="AB35" s="758">
        <f t="shared" si="23"/>
        <v>0</v>
      </c>
      <c r="AC35" s="293"/>
      <c r="AD35" s="761">
        <f t="shared" si="24"/>
        <v>0</v>
      </c>
      <c r="AE35" s="292">
        <f t="shared" si="13"/>
        <v>0</v>
      </c>
      <c r="AF35" s="450"/>
      <c r="AG35" s="560">
        <f t="shared" si="20"/>
        <v>0</v>
      </c>
      <c r="AH35" s="292">
        <f t="shared" si="14"/>
        <v>0</v>
      </c>
      <c r="AI35" s="450"/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0</v>
      </c>
    </row>
    <row r="36" spans="1:41" ht="23.1" customHeight="1">
      <c r="A36" s="58">
        <f>Gen!B41</f>
        <v>44074</v>
      </c>
      <c r="B36" s="170"/>
      <c r="C36" s="97">
        <f t="shared" si="40"/>
        <v>0</v>
      </c>
      <c r="D36" s="1"/>
      <c r="E36" s="559">
        <f t="shared" si="29"/>
        <v>0</v>
      </c>
      <c r="F36" s="97">
        <f t="shared" si="2"/>
        <v>0</v>
      </c>
      <c r="G36" s="452"/>
      <c r="H36" s="559">
        <f t="shared" si="41"/>
        <v>0</v>
      </c>
      <c r="I36" s="97">
        <f t="shared" si="32"/>
        <v>0</v>
      </c>
      <c r="J36" s="1"/>
      <c r="K36" s="559">
        <f t="shared" si="43"/>
        <v>0</v>
      </c>
      <c r="L36" s="97">
        <f t="shared" si="33"/>
        <v>0</v>
      </c>
      <c r="M36" s="1"/>
      <c r="N36" s="559">
        <f t="shared" si="34"/>
        <v>0</v>
      </c>
      <c r="O36" s="97">
        <f t="shared" si="38"/>
        <v>0</v>
      </c>
      <c r="P36" s="448"/>
      <c r="Q36" s="559">
        <f t="shared" si="42"/>
        <v>0</v>
      </c>
      <c r="R36" s="297"/>
      <c r="S36" s="292">
        <f t="shared" si="35"/>
        <v>0</v>
      </c>
      <c r="T36" s="449"/>
      <c r="U36" s="560">
        <f t="shared" si="36"/>
        <v>0</v>
      </c>
      <c r="V36" s="292">
        <f t="shared" si="31"/>
        <v>0</v>
      </c>
      <c r="W36" s="449"/>
      <c r="X36" s="560">
        <f t="shared" si="18"/>
        <v>0</v>
      </c>
      <c r="Y36" s="292">
        <f t="shared" si="11"/>
        <v>0</v>
      </c>
      <c r="Z36" s="449"/>
      <c r="AA36" s="560">
        <f t="shared" si="19"/>
        <v>0</v>
      </c>
      <c r="AB36" s="758">
        <f t="shared" si="23"/>
        <v>0</v>
      </c>
      <c r="AC36" s="293"/>
      <c r="AD36" s="761">
        <f t="shared" si="24"/>
        <v>0</v>
      </c>
      <c r="AE36" s="292">
        <f t="shared" si="13"/>
        <v>0</v>
      </c>
      <c r="AF36" s="450"/>
      <c r="AG36" s="560">
        <f t="shared" si="20"/>
        <v>0</v>
      </c>
      <c r="AH36" s="292">
        <f t="shared" si="14"/>
        <v>0</v>
      </c>
      <c r="AI36" s="450"/>
      <c r="AJ36" s="560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0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1009</v>
      </c>
    </row>
    <row r="38" spans="1:41" ht="18.75">
      <c r="A38" s="58"/>
      <c r="B38" s="22"/>
      <c r="C38" s="868" t="s">
        <v>6</v>
      </c>
      <c r="D38" s="868"/>
      <c r="E38" s="23">
        <f>SUM(E6:E36)</f>
        <v>788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11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788</v>
      </c>
      <c r="S38" s="294"/>
      <c r="T38" s="294"/>
      <c r="U38" s="304">
        <f>SUM(U6:U37)</f>
        <v>1009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1009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37"/>
      <c r="B42" s="328"/>
      <c r="C42" s="834" t="s">
        <v>222</v>
      </c>
      <c r="D42" s="835"/>
      <c r="E42" s="835"/>
      <c r="F42" s="835"/>
      <c r="G42" s="835"/>
      <c r="H42" s="835"/>
      <c r="I42" s="835"/>
      <c r="J42" s="835"/>
      <c r="K42" s="836"/>
      <c r="R42" s="20"/>
    </row>
    <row r="43" spans="1:41" ht="24.75" customHeight="1">
      <c r="A43" s="838"/>
      <c r="B43" s="20"/>
      <c r="C43" s="840" t="s">
        <v>216</v>
      </c>
      <c r="D43" s="841"/>
      <c r="E43" s="842" t="s">
        <v>237</v>
      </c>
      <c r="F43" s="843"/>
      <c r="G43" s="844" t="s">
        <v>217</v>
      </c>
      <c r="H43" s="845"/>
      <c r="I43" s="844" t="s">
        <v>238</v>
      </c>
      <c r="J43" s="845"/>
      <c r="K43" s="832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38"/>
      <c r="B44" s="20"/>
      <c r="C44" s="846" t="s">
        <v>218</v>
      </c>
      <c r="D44" s="847"/>
      <c r="E44" s="846" t="s">
        <v>219</v>
      </c>
      <c r="F44" s="847"/>
      <c r="G44" s="846" t="s">
        <v>220</v>
      </c>
      <c r="H44" s="847"/>
      <c r="I44" s="846" t="s">
        <v>221</v>
      </c>
      <c r="J44" s="847"/>
      <c r="K44" s="833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39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>
        <v>300</v>
      </c>
      <c r="D54" s="382">
        <f t="shared" si="49"/>
        <v>217</v>
      </c>
      <c r="E54" s="6">
        <v>290</v>
      </c>
      <c r="F54" s="382">
        <f t="shared" si="50"/>
        <v>87.47540983606558</v>
      </c>
      <c r="G54" s="562">
        <v>155</v>
      </c>
      <c r="H54" s="382">
        <f t="shared" si="51"/>
        <v>59.086161879895563</v>
      </c>
      <c r="I54" s="6">
        <v>290</v>
      </c>
      <c r="J54" s="382">
        <f t="shared" si="52"/>
        <v>200.55194805194805</v>
      </c>
      <c r="K54" s="388">
        <f t="shared" si="53"/>
        <v>564.11351976790911</v>
      </c>
    </row>
    <row r="55" spans="1:15" ht="13.5">
      <c r="A55" s="345">
        <f>Gen!B20</f>
        <v>44053</v>
      </c>
      <c r="B55" s="20"/>
      <c r="C55" s="63">
        <v>285</v>
      </c>
      <c r="D55" s="382">
        <f t="shared" si="49"/>
        <v>206.15</v>
      </c>
      <c r="E55" s="6">
        <v>250</v>
      </c>
      <c r="F55" s="382">
        <f t="shared" si="50"/>
        <v>75.409836065573771</v>
      </c>
      <c r="G55" s="562">
        <v>165</v>
      </c>
      <c r="H55" s="382">
        <f t="shared" si="51"/>
        <v>62.898172323759788</v>
      </c>
      <c r="I55" s="6">
        <v>285</v>
      </c>
      <c r="J55" s="382">
        <f t="shared" si="52"/>
        <v>197.09415584415584</v>
      </c>
      <c r="K55" s="388">
        <f t="shared" si="53"/>
        <v>541.55216423348941</v>
      </c>
    </row>
    <row r="56" spans="1:15" ht="13.5">
      <c r="A56" s="345">
        <f>Gen!B21</f>
        <v>44054</v>
      </c>
      <c r="B56" s="20"/>
      <c r="C56" s="63">
        <v>220</v>
      </c>
      <c r="D56" s="382">
        <f t="shared" si="49"/>
        <v>159.13333333333333</v>
      </c>
      <c r="E56" s="6">
        <v>185</v>
      </c>
      <c r="F56" s="382">
        <f t="shared" si="50"/>
        <v>55.803278688524593</v>
      </c>
      <c r="G56" s="562">
        <v>153</v>
      </c>
      <c r="H56" s="382">
        <f t="shared" si="51"/>
        <v>58.323759791122718</v>
      </c>
      <c r="I56" s="6">
        <v>290</v>
      </c>
      <c r="J56" s="382">
        <f t="shared" si="52"/>
        <v>200.55194805194805</v>
      </c>
      <c r="K56" s="388">
        <f t="shared" si="53"/>
        <v>473.81231986492867</v>
      </c>
    </row>
    <row r="57" spans="1:15" ht="13.5">
      <c r="A57" s="345">
        <f>Gen!B22</f>
        <v>44055</v>
      </c>
      <c r="B57" s="20"/>
      <c r="C57" s="63">
        <v>231</v>
      </c>
      <c r="D57" s="382">
        <f t="shared" si="49"/>
        <v>167.09</v>
      </c>
      <c r="E57" s="6">
        <v>195</v>
      </c>
      <c r="F57" s="382">
        <f t="shared" si="50"/>
        <v>58.819672131147541</v>
      </c>
      <c r="G57" s="562">
        <v>115</v>
      </c>
      <c r="H57" s="382">
        <f t="shared" si="51"/>
        <v>43.838120104438644</v>
      </c>
      <c r="I57" s="6">
        <v>285</v>
      </c>
      <c r="J57" s="382">
        <f t="shared" si="52"/>
        <v>197.09415584415584</v>
      </c>
      <c r="K57" s="388">
        <f t="shared" si="53"/>
        <v>466.841948079742</v>
      </c>
    </row>
    <row r="58" spans="1:15" ht="13.5">
      <c r="A58" s="345">
        <f>Gen!B23</f>
        <v>44056</v>
      </c>
      <c r="B58" s="20"/>
      <c r="C58" s="63">
        <v>260</v>
      </c>
      <c r="D58" s="382">
        <f t="shared" si="49"/>
        <v>188.06666666666666</v>
      </c>
      <c r="E58" s="6">
        <v>225</v>
      </c>
      <c r="F58" s="382">
        <f t="shared" si="50"/>
        <v>67.868852459016395</v>
      </c>
      <c r="G58" s="562">
        <v>25</v>
      </c>
      <c r="H58" s="382">
        <f t="shared" si="51"/>
        <v>9.5300261096605752</v>
      </c>
      <c r="I58" s="6">
        <v>268</v>
      </c>
      <c r="J58" s="382">
        <f t="shared" si="52"/>
        <v>185.33766233766235</v>
      </c>
      <c r="K58" s="388">
        <f t="shared" si="53"/>
        <v>450.80320757300603</v>
      </c>
    </row>
    <row r="59" spans="1:15" ht="13.5">
      <c r="A59" s="345">
        <f>Gen!B24</f>
        <v>44057</v>
      </c>
      <c r="B59" s="20"/>
      <c r="C59" s="63">
        <v>300</v>
      </c>
      <c r="D59" s="382">
        <f t="shared" si="49"/>
        <v>217</v>
      </c>
      <c r="E59" s="6">
        <v>290</v>
      </c>
      <c r="F59" s="382">
        <f t="shared" si="50"/>
        <v>87.47540983606558</v>
      </c>
      <c r="G59" s="562">
        <v>162</v>
      </c>
      <c r="H59" s="382">
        <f t="shared" si="51"/>
        <v>61.75456919060052</v>
      </c>
      <c r="I59" s="6">
        <v>180</v>
      </c>
      <c r="J59" s="382">
        <f t="shared" si="52"/>
        <v>124.48051948051948</v>
      </c>
      <c r="K59" s="388">
        <f t="shared" si="53"/>
        <v>490.7104985071856</v>
      </c>
    </row>
    <row r="60" spans="1:15" ht="13.5">
      <c r="A60" s="345">
        <f>Gen!B25</f>
        <v>44058</v>
      </c>
      <c r="B60" s="20"/>
      <c r="C60" s="63"/>
      <c r="D60" s="382">
        <f t="shared" si="49"/>
        <v>0</v>
      </c>
      <c r="E60" s="6"/>
      <c r="F60" s="382">
        <f t="shared" si="50"/>
        <v>0</v>
      </c>
      <c r="G60" s="562"/>
      <c r="H60" s="382">
        <f t="shared" si="51"/>
        <v>0</v>
      </c>
      <c r="I60" s="6"/>
      <c r="J60" s="382">
        <f t="shared" si="52"/>
        <v>0</v>
      </c>
      <c r="K60" s="388">
        <f t="shared" si="53"/>
        <v>0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/>
      <c r="D61" s="382">
        <f t="shared" si="49"/>
        <v>0</v>
      </c>
      <c r="E61" s="6"/>
      <c r="F61" s="382">
        <f t="shared" si="50"/>
        <v>0</v>
      </c>
      <c r="G61" s="562"/>
      <c r="H61" s="382">
        <f t="shared" si="51"/>
        <v>0</v>
      </c>
      <c r="I61" s="6"/>
      <c r="J61" s="382">
        <f t="shared" si="52"/>
        <v>0</v>
      </c>
      <c r="K61" s="388">
        <f t="shared" si="53"/>
        <v>0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/>
      <c r="D62" s="382">
        <f t="shared" si="49"/>
        <v>0</v>
      </c>
      <c r="E62" s="6"/>
      <c r="F62" s="382">
        <f t="shared" si="50"/>
        <v>0</v>
      </c>
      <c r="G62" s="562"/>
      <c r="H62" s="382">
        <f t="shared" si="51"/>
        <v>0</v>
      </c>
      <c r="I62" s="6"/>
      <c r="J62" s="382">
        <f t="shared" si="52"/>
        <v>0</v>
      </c>
      <c r="K62" s="388">
        <f t="shared" si="53"/>
        <v>0</v>
      </c>
    </row>
    <row r="63" spans="1:15" ht="13.5">
      <c r="A63" s="345">
        <f>Gen!B28</f>
        <v>44061</v>
      </c>
      <c r="B63" s="20"/>
      <c r="C63" s="63"/>
      <c r="D63" s="382">
        <f t="shared" si="49"/>
        <v>0</v>
      </c>
      <c r="E63" s="6"/>
      <c r="F63" s="382">
        <f t="shared" si="50"/>
        <v>0</v>
      </c>
      <c r="G63" s="562"/>
      <c r="H63" s="382">
        <f t="shared" si="51"/>
        <v>0</v>
      </c>
      <c r="I63" s="6"/>
      <c r="J63" s="382">
        <f t="shared" si="52"/>
        <v>0</v>
      </c>
      <c r="K63" s="388">
        <f t="shared" si="53"/>
        <v>0</v>
      </c>
    </row>
    <row r="64" spans="1:15" ht="13.5">
      <c r="A64" s="345">
        <f>Gen!B29</f>
        <v>44062</v>
      </c>
      <c r="B64" s="20"/>
      <c r="C64" s="63"/>
      <c r="D64" s="382">
        <f t="shared" si="49"/>
        <v>0</v>
      </c>
      <c r="E64" s="6"/>
      <c r="F64" s="382">
        <f t="shared" si="50"/>
        <v>0</v>
      </c>
      <c r="G64" s="562"/>
      <c r="H64" s="382">
        <f t="shared" si="51"/>
        <v>0</v>
      </c>
      <c r="I64" s="6"/>
      <c r="J64" s="382">
        <f t="shared" si="52"/>
        <v>0</v>
      </c>
      <c r="K64" s="388">
        <f t="shared" si="53"/>
        <v>0</v>
      </c>
    </row>
    <row r="65" spans="1:11" ht="13.5">
      <c r="A65" s="345">
        <f>Gen!B30</f>
        <v>44063</v>
      </c>
      <c r="B65" s="20"/>
      <c r="C65" s="63"/>
      <c r="D65" s="382">
        <f t="shared" si="49"/>
        <v>0</v>
      </c>
      <c r="E65" s="6"/>
      <c r="F65" s="382">
        <f t="shared" si="50"/>
        <v>0</v>
      </c>
      <c r="G65" s="562"/>
      <c r="H65" s="382">
        <f t="shared" si="51"/>
        <v>0</v>
      </c>
      <c r="I65" s="6"/>
      <c r="J65" s="382">
        <f t="shared" si="52"/>
        <v>0</v>
      </c>
      <c r="K65" s="388">
        <f t="shared" si="53"/>
        <v>0</v>
      </c>
    </row>
    <row r="66" spans="1:11" ht="13.5">
      <c r="A66" s="345">
        <f>Gen!B31</f>
        <v>44064</v>
      </c>
      <c r="B66" s="20"/>
      <c r="C66" s="63"/>
      <c r="D66" s="382">
        <f t="shared" si="49"/>
        <v>0</v>
      </c>
      <c r="E66" s="6"/>
      <c r="F66" s="382">
        <f t="shared" si="50"/>
        <v>0</v>
      </c>
      <c r="G66" s="562"/>
      <c r="H66" s="382">
        <f t="shared" si="51"/>
        <v>0</v>
      </c>
      <c r="I66" s="6"/>
      <c r="J66" s="382">
        <f t="shared" si="52"/>
        <v>0</v>
      </c>
      <c r="K66" s="388">
        <f t="shared" si="53"/>
        <v>0</v>
      </c>
    </row>
    <row r="67" spans="1:11" ht="13.5">
      <c r="A67" s="345">
        <f>Gen!B32</f>
        <v>44065</v>
      </c>
      <c r="B67" s="20"/>
      <c r="C67" s="63"/>
      <c r="D67" s="382">
        <f t="shared" si="49"/>
        <v>0</v>
      </c>
      <c r="E67" s="6"/>
      <c r="F67" s="382">
        <f t="shared" si="50"/>
        <v>0</v>
      </c>
      <c r="G67" s="562"/>
      <c r="H67" s="382">
        <f t="shared" si="51"/>
        <v>0</v>
      </c>
      <c r="I67" s="6"/>
      <c r="J67" s="382">
        <f t="shared" si="52"/>
        <v>0</v>
      </c>
      <c r="K67" s="388">
        <f t="shared" si="53"/>
        <v>0</v>
      </c>
    </row>
    <row r="68" spans="1:11" ht="13.5">
      <c r="A68" s="345">
        <f>Gen!B33</f>
        <v>44066</v>
      </c>
      <c r="B68" s="20"/>
      <c r="C68" s="63"/>
      <c r="D68" s="382">
        <f t="shared" si="49"/>
        <v>0</v>
      </c>
      <c r="E68" s="6"/>
      <c r="F68" s="382">
        <f t="shared" si="50"/>
        <v>0</v>
      </c>
      <c r="G68" s="562"/>
      <c r="H68" s="382">
        <f t="shared" si="51"/>
        <v>0</v>
      </c>
      <c r="I68" s="6"/>
      <c r="J68" s="382">
        <f t="shared" si="52"/>
        <v>0</v>
      </c>
      <c r="K68" s="388">
        <f t="shared" si="53"/>
        <v>0</v>
      </c>
    </row>
    <row r="69" spans="1:11" ht="13.5">
      <c r="A69" s="345">
        <f>Gen!B34</f>
        <v>44067</v>
      </c>
      <c r="B69" s="20"/>
      <c r="C69" s="63"/>
      <c r="D69" s="382">
        <f t="shared" si="49"/>
        <v>0</v>
      </c>
      <c r="E69" s="6"/>
      <c r="F69" s="382">
        <f t="shared" si="50"/>
        <v>0</v>
      </c>
      <c r="G69" s="562"/>
      <c r="H69" s="382">
        <f t="shared" si="51"/>
        <v>0</v>
      </c>
      <c r="I69" s="6"/>
      <c r="J69" s="382">
        <f t="shared" si="52"/>
        <v>0</v>
      </c>
      <c r="K69" s="388">
        <f t="shared" si="53"/>
        <v>0</v>
      </c>
    </row>
    <row r="70" spans="1:11" ht="13.5">
      <c r="A70" s="345">
        <f>Gen!B35</f>
        <v>44068</v>
      </c>
      <c r="B70" s="20"/>
      <c r="C70" s="63"/>
      <c r="D70" s="382">
        <f t="shared" si="49"/>
        <v>0</v>
      </c>
      <c r="E70" s="6"/>
      <c r="F70" s="382">
        <f t="shared" si="50"/>
        <v>0</v>
      </c>
      <c r="G70" s="562"/>
      <c r="H70" s="382">
        <f t="shared" si="51"/>
        <v>0</v>
      </c>
      <c r="I70" s="6"/>
      <c r="J70" s="382">
        <f t="shared" si="52"/>
        <v>0</v>
      </c>
      <c r="K70" s="388">
        <f t="shared" si="53"/>
        <v>0</v>
      </c>
    </row>
    <row r="71" spans="1:11" ht="13.5">
      <c r="A71" s="345">
        <f>Gen!B36</f>
        <v>44069</v>
      </c>
      <c r="B71" s="20"/>
      <c r="C71" s="63"/>
      <c r="D71" s="382">
        <f t="shared" si="49"/>
        <v>0</v>
      </c>
      <c r="E71" s="6"/>
      <c r="F71" s="382">
        <f t="shared" si="50"/>
        <v>0</v>
      </c>
      <c r="G71" s="562"/>
      <c r="H71" s="382">
        <f t="shared" si="51"/>
        <v>0</v>
      </c>
      <c r="I71" s="6"/>
      <c r="J71" s="382">
        <f t="shared" si="52"/>
        <v>0</v>
      </c>
      <c r="K71" s="388">
        <f t="shared" si="53"/>
        <v>0</v>
      </c>
    </row>
    <row r="72" spans="1:11" ht="13.5">
      <c r="A72" s="345">
        <f>Gen!B37</f>
        <v>44070</v>
      </c>
      <c r="B72" s="20"/>
      <c r="C72" s="63"/>
      <c r="D72" s="382">
        <f t="shared" si="49"/>
        <v>0</v>
      </c>
      <c r="E72" s="6"/>
      <c r="F72" s="382">
        <f t="shared" si="50"/>
        <v>0</v>
      </c>
      <c r="G72" s="562"/>
      <c r="H72" s="382">
        <f t="shared" si="51"/>
        <v>0</v>
      </c>
      <c r="I72" s="6"/>
      <c r="J72" s="382">
        <f t="shared" si="52"/>
        <v>0</v>
      </c>
      <c r="K72" s="388">
        <f t="shared" si="53"/>
        <v>0</v>
      </c>
    </row>
    <row r="73" spans="1:11" ht="13.5">
      <c r="A73" s="345">
        <f>Gen!B38</f>
        <v>44071</v>
      </c>
      <c r="B73" s="20"/>
      <c r="C73" s="63"/>
      <c r="D73" s="382">
        <f t="shared" si="49"/>
        <v>0</v>
      </c>
      <c r="E73" s="6"/>
      <c r="F73" s="382">
        <f t="shared" si="50"/>
        <v>0</v>
      </c>
      <c r="G73" s="562"/>
      <c r="H73" s="382">
        <f t="shared" si="51"/>
        <v>0</v>
      </c>
      <c r="I73" s="6"/>
      <c r="J73" s="382">
        <f t="shared" si="52"/>
        <v>0</v>
      </c>
      <c r="K73" s="388">
        <f t="shared" si="53"/>
        <v>0</v>
      </c>
    </row>
    <row r="74" spans="1:11" ht="13.5">
      <c r="A74" s="345">
        <f>Gen!B39</f>
        <v>44072</v>
      </c>
      <c r="B74" s="20"/>
      <c r="C74" s="63"/>
      <c r="D74" s="382">
        <f t="shared" si="49"/>
        <v>0</v>
      </c>
      <c r="E74" s="6"/>
      <c r="F74" s="382">
        <f t="shared" si="50"/>
        <v>0</v>
      </c>
      <c r="G74" s="562"/>
      <c r="H74" s="382">
        <f t="shared" si="51"/>
        <v>0</v>
      </c>
      <c r="I74" s="6"/>
      <c r="J74" s="382">
        <f t="shared" si="52"/>
        <v>0</v>
      </c>
      <c r="K74" s="388">
        <f t="shared" si="53"/>
        <v>0</v>
      </c>
    </row>
    <row r="75" spans="1:11" ht="14.25" thickBot="1">
      <c r="A75" s="345">
        <f>Gen!B40</f>
        <v>44073</v>
      </c>
      <c r="B75" s="298"/>
      <c r="C75" s="63"/>
      <c r="D75" s="382">
        <f t="shared" si="49"/>
        <v>0</v>
      </c>
      <c r="E75" s="6"/>
      <c r="F75" s="382">
        <f t="shared" si="50"/>
        <v>0</v>
      </c>
      <c r="G75" s="562"/>
      <c r="H75" s="382">
        <f t="shared" si="51"/>
        <v>0</v>
      </c>
      <c r="I75" s="6"/>
      <c r="J75" s="382">
        <f t="shared" si="52"/>
        <v>0</v>
      </c>
      <c r="K75" s="388">
        <f t="shared" si="53"/>
        <v>0</v>
      </c>
    </row>
    <row r="76" spans="1:11" ht="13.5">
      <c r="A76" s="345">
        <f>Gen!B41</f>
        <v>44074</v>
      </c>
      <c r="C76" s="63"/>
      <c r="D76" s="382">
        <f t="shared" si="49"/>
        <v>0</v>
      </c>
      <c r="E76" s="6"/>
      <c r="F76" s="382">
        <f t="shared" si="50"/>
        <v>0</v>
      </c>
      <c r="G76" s="562"/>
      <c r="H76" s="382">
        <f t="shared" si="51"/>
        <v>0</v>
      </c>
      <c r="I76" s="6"/>
      <c r="J76" s="382">
        <f t="shared" si="52"/>
        <v>0</v>
      </c>
      <c r="K76" s="388">
        <f t="shared" si="53"/>
        <v>0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12.847999999992318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15.922111111101591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12.584000000002563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15.59494444444762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32.559999999974394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40.350555555523826</v>
      </c>
      <c r="V9" s="18">
        <f t="shared" si="7"/>
        <v>1714931.3028585855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26.047999999992317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32.28044444443492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32.647999999992322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40.459611111101594</v>
      </c>
      <c r="V11" s="18">
        <f t="shared" si="7"/>
        <v>1883410.5047020202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2028</v>
      </c>
      <c r="G12" s="86">
        <f>Gen!T18</f>
        <v>822.74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61</v>
      </c>
      <c r="L12" s="526">
        <f>'Lpg (2)'!G17</f>
        <v>31.900000000000002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3.9280303030303032</v>
      </c>
      <c r="U12" s="124">
        <f t="shared" si="6"/>
        <v>39.53263888888889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1.2999999999999999E-2</v>
      </c>
      <c r="D13" s="512">
        <f t="shared" si="2"/>
        <v>1.0009999999999999</v>
      </c>
      <c r="E13" s="75"/>
      <c r="F13" s="71">
        <f>Gen!U19</f>
        <v>2022</v>
      </c>
      <c r="G13" s="86">
        <f>Gen!T19</f>
        <v>888.95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63</v>
      </c>
      <c r="L13" s="526">
        <f>'Lpg (2)'!G18</f>
        <v>43.868000000005125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4.0568181818181817</v>
      </c>
      <c r="U13" s="124">
        <f t="shared" si="6"/>
        <v>54.364194444450796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1848</v>
      </c>
      <c r="G14" s="86">
        <f>Gen!T20</f>
        <v>799.13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49.104000000015368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60.853000000019044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0.01</v>
      </c>
      <c r="D15" s="512">
        <f t="shared" si="2"/>
        <v>0.77</v>
      </c>
      <c r="E15" s="75"/>
      <c r="F15" s="71">
        <f>Gen!U21</f>
        <v>1828</v>
      </c>
      <c r="G15" s="86">
        <f>Gen!T21</f>
        <v>777.96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67</v>
      </c>
      <c r="L15" s="526">
        <f>'Lpg (2)'!G20</f>
        <v>52.975999999971833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4.3143939393939394</v>
      </c>
      <c r="U15" s="124">
        <f t="shared" si="6"/>
        <v>65.651444444409535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1765</v>
      </c>
      <c r="G16" s="86">
        <f>Gen!T22</f>
        <v>763.8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100</v>
      </c>
      <c r="L16" s="526">
        <f>'Lpg (2)'!G21</f>
        <v>32.604000000015368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6.4393939393939394</v>
      </c>
      <c r="U16" s="124">
        <f t="shared" si="6"/>
        <v>40.40508333335238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1824</v>
      </c>
      <c r="G17" s="86">
        <f>Gen!T23</f>
        <v>756.53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63</v>
      </c>
      <c r="L17" s="526">
        <f>'Lpg (2)'!G22</f>
        <v>31.94400000004098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4.0568181818181817</v>
      </c>
      <c r="U17" s="124">
        <f t="shared" si="6"/>
        <v>39.587166666717451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 t="str">
        <f>'Water-Meter'!E19</f>
        <v>0</v>
      </c>
      <c r="L18" s="526">
        <f>'Lpg (2)'!G23</f>
        <v>-316258.00800000003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-391928.32683333341</v>
      </c>
      <c r="V18" s="18">
        <f t="shared" si="7"/>
        <v>929340.98816666659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788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15" sqref="G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44044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60.00000000003638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21.08</v>
      </c>
      <c r="D12" s="523">
        <f>Gen!T18</f>
        <v>822.74</v>
      </c>
      <c r="E12" s="460">
        <f>Gen!D18</f>
        <v>35668.600000000013</v>
      </c>
      <c r="F12" s="461">
        <f>'Water-Meter'!E13</f>
        <v>61</v>
      </c>
      <c r="G12" s="462">
        <f>'Water-Meter'!AN13</f>
        <v>137</v>
      </c>
      <c r="H12" s="460">
        <f>'Utility report '!AC13</f>
        <v>55</v>
      </c>
      <c r="I12" s="459">
        <f>'Kit report'!F11</f>
        <v>180</v>
      </c>
      <c r="J12" s="460">
        <f>'Kit report'!X11</f>
        <v>60.00000000003638</v>
      </c>
    </row>
    <row r="13" spans="1:10" ht="17.100000000000001" customHeight="1">
      <c r="A13" s="263">
        <f>Gen!B19</f>
        <v>44052</v>
      </c>
      <c r="B13" s="464">
        <f>Gen!C19</f>
        <v>1.2999999999999999E-2</v>
      </c>
      <c r="C13" s="522">
        <f>Gen!AK19</f>
        <v>70</v>
      </c>
      <c r="D13" s="523">
        <f>Gen!T19</f>
        <v>888.95</v>
      </c>
      <c r="E13" s="460">
        <f>Gen!D19</f>
        <v>34824.780000000013</v>
      </c>
      <c r="F13" s="461">
        <f>'Water-Meter'!E14</f>
        <v>63</v>
      </c>
      <c r="G13" s="462">
        <f>'Water-Meter'!AN14</f>
        <v>136</v>
      </c>
      <c r="H13" s="460">
        <f>'Utility report '!AC14</f>
        <v>53</v>
      </c>
      <c r="I13" s="459">
        <f>'Kit report'!F12</f>
        <v>204.00000000008731</v>
      </c>
      <c r="J13" s="460">
        <f>'Kit report'!X12</f>
        <v>39.99999999996362</v>
      </c>
    </row>
    <row r="14" spans="1:10" ht="17.100000000000001" customHeight="1">
      <c r="A14" s="263">
        <f>Gen!B20</f>
        <v>44053</v>
      </c>
      <c r="B14" s="464">
        <f>Gen!C20</f>
        <v>1.2999999999999999E-2</v>
      </c>
      <c r="C14" s="522">
        <f>Gen!AK20</f>
        <v>31.31</v>
      </c>
      <c r="D14" s="523">
        <f>Gen!T20</f>
        <v>799.13</v>
      </c>
      <c r="E14" s="460">
        <f>Gen!D20</f>
        <v>33865.830000000016</v>
      </c>
      <c r="F14" s="461">
        <f>'Water-Meter'!E15</f>
        <v>55</v>
      </c>
      <c r="G14" s="462">
        <f>'Water-Meter'!AN15</f>
        <v>53</v>
      </c>
      <c r="H14" s="460">
        <f>'Utility report '!AC15</f>
        <v>52</v>
      </c>
      <c r="I14" s="459">
        <f>'Kit report'!F13</f>
        <v>203.99999999986903</v>
      </c>
      <c r="J14" s="460">
        <f>'Kit report'!X13</f>
        <v>39.99999999996362</v>
      </c>
    </row>
    <row r="15" spans="1:10" ht="17.100000000000001" customHeight="1">
      <c r="A15" s="263">
        <f>Gen!B21</f>
        <v>44054</v>
      </c>
      <c r="B15" s="464">
        <f>Gen!C21</f>
        <v>0.01</v>
      </c>
      <c r="C15" s="522">
        <f>Gen!AK21</f>
        <v>197.35</v>
      </c>
      <c r="D15" s="523">
        <f>Gen!T21</f>
        <v>777.96</v>
      </c>
      <c r="E15" s="460">
        <f>Gen!D21</f>
        <v>33035.390000000014</v>
      </c>
      <c r="F15" s="461">
        <f>'Water-Meter'!E16</f>
        <v>67</v>
      </c>
      <c r="G15" s="462">
        <f>'Water-Meter'!AN16</f>
        <v>120</v>
      </c>
      <c r="H15" s="460">
        <f>'Utility report '!AC16</f>
        <v>50</v>
      </c>
      <c r="I15" s="459">
        <f>'Kit report'!F14</f>
        <v>192.00000000004366</v>
      </c>
      <c r="J15" s="460">
        <f>'Kit report'!X14</f>
        <v>40.000000000145519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763.8</v>
      </c>
      <c r="E16" s="460">
        <f>Gen!D22</f>
        <v>32060.080000000013</v>
      </c>
      <c r="F16" s="461">
        <f>'Water-Meter'!E17</f>
        <v>100</v>
      </c>
      <c r="G16" s="462">
        <f>'Water-Meter'!AN17</f>
        <v>127</v>
      </c>
      <c r="H16" s="460">
        <f>'Utility report '!AC17</f>
        <v>52</v>
      </c>
      <c r="I16" s="459">
        <f>'Kit report'!F15</f>
        <v>144.00000000008731</v>
      </c>
      <c r="J16" s="460">
        <f>'Kit report'!X15</f>
        <v>19.999999999890861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10.17</v>
      </c>
      <c r="D17" s="523">
        <f>Gen!T23</f>
        <v>756.53</v>
      </c>
      <c r="E17" s="460">
        <f>Gen!D23</f>
        <v>31296.280000000013</v>
      </c>
      <c r="F17" s="461">
        <f>'Water-Meter'!E18</f>
        <v>63</v>
      </c>
      <c r="G17" s="462">
        <f>'Water-Meter'!AN18</f>
        <v>137</v>
      </c>
      <c r="H17" s="460">
        <f>'Utility report '!AC18</f>
        <v>52</v>
      </c>
      <c r="I17" s="459">
        <f>'Kit report'!F16</f>
        <v>155.99999999991269</v>
      </c>
      <c r="J17" s="460">
        <f>'Kit report'!X16</f>
        <v>20.00000000007276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30529.580000000013</v>
      </c>
      <c r="F18" s="461" t="str">
        <f>'Water-Meter'!E19</f>
        <v>0</v>
      </c>
      <c r="G18" s="462">
        <f>'Water-Meter'!AN19</f>
        <v>-14767</v>
      </c>
      <c r="H18" s="460">
        <f>'Utility report '!AC19</f>
        <v>0</v>
      </c>
      <c r="I18" s="459">
        <f>'Kit report'!F17</f>
        <v>-1052268</v>
      </c>
      <c r="J18" s="460">
        <f>'Kit report'!X17</f>
        <v>-1562860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30529.580000000013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30529.580000000013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30529.580000000013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30529.580000000013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30529.580000000013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30529.580000000013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30529.580000000013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44065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30529.580000000013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44066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30529.580000000013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30529.580000000013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30529.580000000013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30529.580000000013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30529.580000000013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30529.580000000013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30529.580000000013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30529.580000000013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30529.580000000013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30529.580000000013</v>
      </c>
      <c r="F36" s="461">
        <f>'Water-Meter'!E37</f>
        <v>0</v>
      </c>
      <c r="G36" s="462">
        <f>'Water-Meter'!AN37</f>
        <v>1009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2020-08-14T05:16:22Z</dcterms:modified>
</cp:coreProperties>
</file>