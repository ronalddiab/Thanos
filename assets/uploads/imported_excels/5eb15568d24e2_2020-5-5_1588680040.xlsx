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1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E35" i="6" l="1"/>
  <c r="E37" i="6"/>
  <c r="E33" i="6" l="1"/>
  <c r="F33" i="6"/>
  <c r="E39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G35" i="6" s="1"/>
  <c r="M38" i="6" s="1"/>
  <c r="AF33" i="6"/>
  <c r="AE33" i="6"/>
  <c r="AD33" i="6"/>
  <c r="AC33" i="6"/>
  <c r="AB33" i="6"/>
  <c r="AA33" i="6"/>
  <c r="Z33" i="6"/>
  <c r="Y33" i="6"/>
  <c r="X33" i="6"/>
  <c r="W33" i="6"/>
  <c r="V33" i="6"/>
  <c r="U33" i="6"/>
  <c r="M37" i="6" s="1"/>
  <c r="T33" i="6"/>
  <c r="S33" i="6"/>
  <c r="R33" i="6"/>
  <c r="Q33" i="6"/>
  <c r="P33" i="6"/>
  <c r="O33" i="6"/>
  <c r="N33" i="6"/>
  <c r="M33" i="6"/>
  <c r="M36" i="6" s="1"/>
  <c r="L33" i="6"/>
  <c r="K33" i="6"/>
  <c r="J33" i="6"/>
  <c r="I33" i="6"/>
  <c r="H33" i="6"/>
  <c r="G33" i="6"/>
  <c r="E35" i="6" l="1"/>
  <c r="G35" i="6"/>
  <c r="G36" i="6" s="1"/>
  <c r="CL33" i="7"/>
  <c r="CJ33" i="7"/>
  <c r="CH33" i="7"/>
  <c r="CF33" i="7"/>
  <c r="CD33" i="7"/>
  <c r="CB33" i="7"/>
  <c r="BZ33" i="7"/>
  <c r="BX33" i="7"/>
  <c r="BV33" i="7"/>
  <c r="BT33" i="7"/>
  <c r="BR33" i="7"/>
  <c r="BP33" i="7"/>
  <c r="BN33" i="7"/>
  <c r="BL33" i="7"/>
  <c r="BJ33" i="7"/>
  <c r="BH33" i="7"/>
  <c r="BF33" i="7"/>
  <c r="BD33" i="7"/>
  <c r="BB33" i="7"/>
  <c r="AX33" i="7"/>
  <c r="AV33" i="7"/>
  <c r="AT33" i="7"/>
  <c r="AR33" i="7"/>
  <c r="AP33" i="7"/>
  <c r="AN33" i="7"/>
  <c r="AL33" i="7"/>
  <c r="AJ33" i="7"/>
  <c r="AH33" i="7"/>
  <c r="AF33" i="7"/>
  <c r="AD33" i="7"/>
  <c r="AB33" i="7"/>
  <c r="Z33" i="7"/>
  <c r="X33" i="7"/>
  <c r="V33" i="7"/>
  <c r="T33" i="7"/>
  <c r="R33" i="7"/>
  <c r="P33" i="7"/>
  <c r="N33" i="7"/>
  <c r="L33" i="7"/>
  <c r="J33" i="7"/>
  <c r="H33" i="7"/>
  <c r="F33" i="7"/>
  <c r="F34" i="7"/>
  <c r="D33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D34" i="7"/>
  <c r="G37" i="6" l="1"/>
  <c r="L38" i="6"/>
  <c r="AT32" i="7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G31" i="6"/>
  <c r="G32" i="6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1" i="6"/>
  <c r="F32" i="6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E31" i="6"/>
  <c r="E32" i="6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G2" i="3"/>
  <c r="AW2" i="6"/>
  <c r="I2" i="6"/>
  <c r="G2" i="6"/>
  <c r="H2" i="6"/>
  <c r="F2" i="6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V31" i="6"/>
  <c r="V32" i="6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W31" i="6"/>
  <c r="W32" i="6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X31" i="6"/>
  <c r="X32" i="6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Y31" i="6"/>
  <c r="Y32" i="6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B31" i="6"/>
  <c r="AB32" i="6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C31" i="6"/>
  <c r="AC32" i="6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AD31" i="6"/>
  <c r="AD32" i="6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AG31" i="6"/>
  <c r="AG32" i="6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AH31" i="6"/>
  <c r="AH32" i="6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AI31" i="6"/>
  <c r="AI32" i="6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AJ31" i="6"/>
  <c r="AJ32" i="6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AK31" i="6"/>
  <c r="AK32" i="6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AM31" i="6"/>
  <c r="AM32" i="6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AN31" i="6"/>
  <c r="AN32" i="6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AO31" i="6"/>
  <c r="AO32" i="6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AP31" i="6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AE31" i="6"/>
  <c r="AE32" i="6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U31" i="6"/>
  <c r="U32" i="6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S31" i="6"/>
  <c r="S32" i="6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R31" i="6"/>
  <c r="R32" i="6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Q31" i="6"/>
  <c r="Q32" i="6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P31" i="6"/>
  <c r="P32" i="6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O31" i="6"/>
  <c r="O32" i="6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AS32" i="6"/>
  <c r="AS31" i="6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AR32" i="6"/>
  <c r="AR31" i="6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AQ32" i="6"/>
  <c r="AQ31" i="6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AP32" i="6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AF31" i="6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L2" i="6" l="1"/>
  <c r="R35" i="7"/>
  <c r="K2" i="6"/>
  <c r="P35" i="7"/>
  <c r="E2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<sst xmlns="http://schemas.openxmlformats.org/spreadsheetml/2006/main" count="296" uniqueCount="138">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</sst>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4"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4640.0000000001019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17.399999999999999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4649.9999999997281</v>
      </c>
      <c r="F21" s="11">
        <f t="shared" si="1"/>
        <v>0.58765030286592534</v>
      </c>
      <c r="G21" s="12">
        <f>(Submetering!AX21+Submetering!AY21+Submetering!AZ21+Submetering!BA21+Submetering!BB21)</f>
        <v>7.3259999999999996</v>
      </c>
      <c r="H21" s="11">
        <f t="shared" si="2"/>
        <v>0.99</v>
      </c>
      <c r="I21" s="12">
        <f>'FS Desroches Daily'!CM23</f>
        <v>30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4930.0000000002665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27.7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4449.9999999998927</v>
      </c>
      <c r="F23" s="11">
        <f t="shared" si="1"/>
        <v>0.58765030286592534</v>
      </c>
      <c r="G23" s="12">
        <f>(Submetering!AX23+Submetering!AY23+Submetering!AZ23+Submetering!BA23+Submetering!BB23)</f>
        <v>7.3259999999999996</v>
      </c>
      <c r="H23" s="11">
        <f t="shared" si="2"/>
        <v>0.99</v>
      </c>
      <c r="I23" s="12">
        <f>'FS Desroches Daily'!CM25</f>
        <v>26.7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4769.9999999996189</v>
      </c>
      <c r="F24" s="11">
        <f t="shared" si="1"/>
        <v>0.58765030286592534</v>
      </c>
      <c r="G24" s="12">
        <f>(Submetering!AX24+Submetering!AY24+Submetering!AZ24+Submetering!BA24+Submetering!BB24)</f>
        <v>9.1574999999999989</v>
      </c>
      <c r="H24" s="11">
        <f t="shared" si="2"/>
        <v>0.99</v>
      </c>
      <c r="I24" s="12">
        <f>'FS Desroches Daily'!CM26</f>
        <v>29.5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4890.0000000003365</v>
      </c>
      <c r="F25" s="11">
        <f t="shared" si="1"/>
        <v>0.58765030286592534</v>
      </c>
      <c r="G25" s="12">
        <f>(Submetering!AX25+Submetering!AY25+Submetering!AZ25+Submetering!BA25+Submetering!BB25)</f>
        <v>9.1574999999999989</v>
      </c>
      <c r="H25" s="11">
        <f t="shared" si="2"/>
        <v>0.99</v>
      </c>
      <c r="I25" s="12">
        <f>'FS Desroches Daily'!CM27</f>
        <v>33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5350.0000000000964</v>
      </c>
      <c r="F26" s="11">
        <f t="shared" si="1"/>
        <v>0.58765030286592534</v>
      </c>
      <c r="G26" s="12">
        <f>(Submetering!AX26+Submetering!AY26+Submetering!AZ26+Submetering!BA26+Submetering!BB26)</f>
        <v>7.3259999999999996</v>
      </c>
      <c r="H26" s="11">
        <f t="shared" si="2"/>
        <v>0.99</v>
      </c>
      <c r="I26" s="12">
        <f>'FS Desroches Daily'!CM28</f>
        <v>25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4869.9999999998308</v>
      </c>
      <c r="F27" s="11">
        <f t="shared" si="1"/>
        <v>0.58765030286592534</v>
      </c>
      <c r="G27" s="12">
        <f>(Submetering!AX27+Submetering!AY27+Submetering!AZ27+Submetering!BA27+Submetering!BB27)</f>
        <v>7.3259999999999996</v>
      </c>
      <c r="H27" s="11">
        <f t="shared" si="2"/>
        <v>0.99</v>
      </c>
      <c r="I27" s="12">
        <f>'FS Desroches Daily'!CM29</f>
        <v>19.3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4470.0000000001764</v>
      </c>
      <c r="F28" s="11">
        <f t="shared" si="1"/>
        <v>0.58765030286592534</v>
      </c>
      <c r="G28" s="12">
        <f>(Submetering!AX28+Submetering!AY28+Submetering!AZ28+Submetering!BA28+Submetering!BB28)</f>
        <v>7.3259999999999996</v>
      </c>
      <c r="H28" s="11">
        <f t="shared" si="2"/>
        <v>0.99</v>
      </c>
      <c r="I28" s="12">
        <f>'FS Desroches Daily'!CM30</f>
        <v>32.5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5789.9999999999018</v>
      </c>
      <c r="F29" s="11">
        <f t="shared" si="1"/>
        <v>0.58765030286592534</v>
      </c>
      <c r="G29" s="12">
        <f>(Submetering!AX29+Submetering!AY29+Submetering!AZ29+Submetering!BA29+Submetering!BB29)</f>
        <v>7.3259999999999996</v>
      </c>
      <c r="H29" s="11">
        <f t="shared" si="2"/>
        <v>0.99</v>
      </c>
      <c r="I29" s="12">
        <f>'FS Desroches Daily'!CM31</f>
        <v>31.4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5620.00000000001</v>
      </c>
      <c r="F30" s="11">
        <f t="shared" si="1"/>
        <v>0.58765030286592534</v>
      </c>
      <c r="G30" s="12">
        <f>(Submetering!AX30+Submetering!AY30+Submetering!AZ30+Submetering!BA30+Submetering!BB30)</f>
        <v>5.4944999999999995</v>
      </c>
      <c r="H30" s="11">
        <f t="shared" si="2"/>
        <v>0.99</v>
      </c>
      <c r="I30" s="12">
        <f>'FS Desroches Daily'!CM32</f>
        <v>27.7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4839.9999999996353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29.5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4860.0000000001419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29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abSelected="1" topLeftCell="Z13" workbookViewId="0">
      <selection activeCell="AI40" sqref="AI40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>
        <f>'FS Desroches Daily'!BF21</f>
        <v>30</v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1399.9999999998458</v>
      </c>
      <c r="F20" s="36">
        <f>'FS Desroches Daily'!F22</f>
        <v>900.0000000001229</v>
      </c>
      <c r="G20" s="35">
        <f>'FS Desroches Daily'!H22</f>
        <v>1500.0000000000568</v>
      </c>
      <c r="H20" s="36">
        <f>'FS Desroches Daily'!J22</f>
        <v>1200.0000000000898</v>
      </c>
      <c r="I20" s="35">
        <f>'FS Desroches Daily'!L22</f>
        <v>2199.9999999999795</v>
      </c>
      <c r="J20" s="36">
        <f>'FS Desroches Daily'!N22</f>
        <v>999.99999999988984</v>
      </c>
      <c r="K20" s="13">
        <f>'FS Desroches Daily'!P22</f>
        <v>0</v>
      </c>
      <c r="L20" s="35">
        <f>'FS Desroches Daily'!R22</f>
        <v>6</v>
      </c>
      <c r="M20" s="35">
        <f>'FS Desroches Daily'!T22</f>
        <v>85</v>
      </c>
      <c r="N20" s="35">
        <f>'FS Desroches Daily'!V22</f>
        <v>52</v>
      </c>
      <c r="O20" s="35">
        <f>'FS Desroches Daily'!X22</f>
        <v>180.00000000000682</v>
      </c>
      <c r="P20" s="35">
        <f>'FS Desroches Daily'!Z22</f>
        <v>500.00000000016701</v>
      </c>
      <c r="Q20" s="35">
        <f>'FS Desroches Daily'!AB22</f>
        <v>110.00000000001364</v>
      </c>
      <c r="R20" s="35">
        <f>'FS Desroches Daily'!AD22</f>
        <v>300.00000000001137</v>
      </c>
      <c r="S20" s="35">
        <f>'FS Desroches Daily'!AF22</f>
        <v>519.99999999998181</v>
      </c>
      <c r="T20" s="35">
        <f>'FS Desroches Daily'!AH22</f>
        <v>0.90000000000009095</v>
      </c>
      <c r="U20" s="39">
        <f>'FS Desroches Daily'!AJ22</f>
        <v>279.99999999997272</v>
      </c>
      <c r="V20" s="39">
        <f>'FS Desroches Daily'!AL22</f>
        <v>0.15999999999999659</v>
      </c>
      <c r="W20" s="39">
        <f>'FS Desroches Daily'!AN22</f>
        <v>0.13999999999998636</v>
      </c>
      <c r="X20" s="39">
        <f>'FS Desroches Daily'!AP22</f>
        <v>9.9999999999994316E-2</v>
      </c>
      <c r="Y20" s="39">
        <f>'FS Desroches Daily'!AR22</f>
        <v>110.00000000001364</v>
      </c>
      <c r="Z20" s="39">
        <f>'FS Desroches Daily'!AT22</f>
        <v>90.000000000031832</v>
      </c>
      <c r="AA20" s="39">
        <f>'FS Desroches Daily'!AT22</f>
        <v>90.000000000031832</v>
      </c>
      <c r="AB20" s="39">
        <f>'FS Desroches Daily'!AV22</f>
        <v>100.00000000002274</v>
      </c>
      <c r="AC20" s="39">
        <f>'FS Desroches Daily'!AZ22</f>
        <v>40.000000000020464</v>
      </c>
      <c r="AD20" s="39">
        <f>'FS Desroches Daily'!BB22</f>
        <v>79.999999999984084</v>
      </c>
      <c r="AE20" s="39">
        <f>'FS Desroches Daily'!BD22</f>
        <v>0</v>
      </c>
      <c r="AF20" s="35">
        <f>'FS Desroches Daily'!BF22</f>
        <v>30</v>
      </c>
      <c r="AG20" s="36">
        <f>'FS Desroches Daily'!BH22</f>
        <v>10.000000000019327</v>
      </c>
      <c r="AH20" s="36">
        <f>'FS Desroches Daily'!BJ22</f>
        <v>29.999999999972715</v>
      </c>
      <c r="AI20" s="36">
        <f>'FS Desroches Daily'!BL22</f>
        <v>19.99999999998181</v>
      </c>
      <c r="AJ20" s="36">
        <f>'FS Desroches Daily'!BN22</f>
        <v>39.999999999992042</v>
      </c>
      <c r="AK20" s="36">
        <f>'FS Desroches Daily'!BP22</f>
        <v>30.000000000029559</v>
      </c>
      <c r="AL20" s="36">
        <f>'FS Desroches Daily'!BR22</f>
        <v>12</v>
      </c>
      <c r="AM20" s="36">
        <f>'FS Desroches Daily'!BT22</f>
        <v>20.000000000010232</v>
      </c>
      <c r="AN20" s="36">
        <f>'FS Desroches Daily'!BV22</f>
        <v>15</v>
      </c>
      <c r="AO20" s="36">
        <f>'FS Desroches Daily'!BX22</f>
        <v>20.000000000010232</v>
      </c>
      <c r="AP20" s="36">
        <f>'FS Desroches Daily'!BZ22</f>
        <v>29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65.80000000000291</v>
      </c>
      <c r="AU20" s="35">
        <f>'FS Desroches Daily'!CJ22</f>
        <v>198</v>
      </c>
      <c r="AV20" s="35">
        <f>'FS Desroches Daily'!CL22</f>
        <v>360.00000000001364</v>
      </c>
      <c r="AW20" s="35">
        <f>'FS Desroches Daily'!CM22</f>
        <v>17.399999999999999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1400.0000000000678</v>
      </c>
      <c r="F21" s="36">
        <f>'FS Desroches Daily'!F23</f>
        <v>799.99999999991189</v>
      </c>
      <c r="G21" s="35">
        <f>'FS Desroches Daily'!H23</f>
        <v>1799.9999999998017</v>
      </c>
      <c r="H21" s="36">
        <f>'FS Desroches Daily'!J23</f>
        <v>1099.9999999998788</v>
      </c>
      <c r="I21" s="35">
        <f>'FS Desroches Daily'!L23</f>
        <v>2099.9999999999909</v>
      </c>
      <c r="J21" s="36">
        <f>'FS Desroches Daily'!N23</f>
        <v>1000.0000000001119</v>
      </c>
      <c r="K21" s="13">
        <f>'FS Desroches Daily'!P23</f>
        <v>0</v>
      </c>
      <c r="L21" s="35">
        <f>'FS Desroches Daily'!R23</f>
        <v>3</v>
      </c>
      <c r="M21" s="35">
        <f>'FS Desroches Daily'!T23</f>
        <v>92</v>
      </c>
      <c r="N21" s="35">
        <f>'FS Desroches Daily'!V23</f>
        <v>57</v>
      </c>
      <c r="O21" s="35">
        <f>'FS Desroches Daily'!X23</f>
        <v>199.99999999998863</v>
      </c>
      <c r="P21" s="35">
        <f>'FS Desroches Daily'!Z23</f>
        <v>599.99999999993395</v>
      </c>
      <c r="Q21" s="35">
        <f>'FS Desroches Daily'!AB23</f>
        <v>89.999999999974989</v>
      </c>
      <c r="R21" s="35">
        <f>'FS Desroches Daily'!AD23</f>
        <v>259.99999999999091</v>
      </c>
      <c r="S21" s="35">
        <f>'FS Desroches Daily'!AF23</f>
        <v>500</v>
      </c>
      <c r="T21" s="35">
        <f>'FS Desroches Daily'!AH23</f>
        <v>1.0999999999999091</v>
      </c>
      <c r="U21" s="39">
        <f>'FS Desroches Daily'!AJ23</f>
        <v>300.00000000001137</v>
      </c>
      <c r="V21" s="39">
        <f>'FS Desroches Daily'!AL23</f>
        <v>0</v>
      </c>
      <c r="W21" s="39">
        <f>'FS Desroches Daily'!AN23</f>
        <v>0.12000000000000455</v>
      </c>
      <c r="X21" s="39">
        <f>'FS Desroches Daily'!AP23</f>
        <v>0.10999999999998522</v>
      </c>
      <c r="Y21" s="39">
        <f>'FS Desroches Daily'!AR23</f>
        <v>99.999999999994316</v>
      </c>
      <c r="Z21" s="39">
        <f>'FS Desroches Daily'!AT23</f>
        <v>79.999999999984084</v>
      </c>
      <c r="AA21" s="39">
        <f>'FS Desroches Daily'!AT23</f>
        <v>79.999999999984084</v>
      </c>
      <c r="AB21" s="39">
        <f>'FS Desroches Daily'!AV23</f>
        <v>89.999999999974989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19.99999999998181</v>
      </c>
      <c r="AF21" s="35">
        <f>'FS Desroches Daily'!BF23</f>
        <v>31</v>
      </c>
      <c r="AG21" s="36">
        <f>'FS Desroches Daily'!BH23</f>
        <v>19.99999999998181</v>
      </c>
      <c r="AH21" s="36">
        <f>'FS Desroches Daily'!BJ23</f>
        <v>19.99999999998181</v>
      </c>
      <c r="AI21" s="36">
        <f>'FS Desroches Daily'!BL23</f>
        <v>20.000000000010232</v>
      </c>
      <c r="AJ21" s="36">
        <f>'FS Desroches Daily'!BN23</f>
        <v>20.000000000010232</v>
      </c>
      <c r="AK21" s="36">
        <f>'FS Desroches Daily'!BP23</f>
        <v>29.999999999972715</v>
      </c>
      <c r="AL21" s="36">
        <f>'FS Desroches Daily'!BR23</f>
        <v>11</v>
      </c>
      <c r="AM21" s="36">
        <f>'FS Desroches Daily'!BT23</f>
        <v>9.9999999999909051</v>
      </c>
      <c r="AN21" s="36">
        <f>'FS Desroches Daily'!BV23</f>
        <v>14</v>
      </c>
      <c r="AO21" s="36">
        <f>'FS Desroches Daily'!BX23</f>
        <v>19.99999999998181</v>
      </c>
      <c r="AP21" s="36">
        <f>'FS Desroches Daily'!BZ23</f>
        <v>16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60.899999999994179</v>
      </c>
      <c r="AU21" s="35">
        <f>'FS Desroches Daily'!CJ23</f>
        <v>219</v>
      </c>
      <c r="AV21" s="35">
        <f>'FS Desroches Daily'!CL23</f>
        <v>449.99999999993179</v>
      </c>
      <c r="AW21" s="35">
        <f>'FS Desroches Daily'!CM23</f>
        <v>30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7.3259999999999996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1400.0000000000678</v>
      </c>
      <c r="F22" s="36">
        <f>'FS Desroches Daily'!F24</f>
        <v>900.0000000001229</v>
      </c>
      <c r="G22" s="35">
        <f>'FS Desroches Daily'!H24</f>
        <v>1900.0000000000127</v>
      </c>
      <c r="H22" s="36">
        <f>'FS Desroches Daily'!J24</f>
        <v>1200.0000000000898</v>
      </c>
      <c r="I22" s="35">
        <f>'FS Desroches Daily'!L24</f>
        <v>2000.0000000000018</v>
      </c>
      <c r="J22" s="36">
        <f>'FS Desroches Daily'!N24</f>
        <v>999.99999999988984</v>
      </c>
      <c r="K22" s="13">
        <f>'FS Desroches Daily'!P24</f>
        <v>0</v>
      </c>
      <c r="L22" s="35">
        <f>'FS Desroches Daily'!R24</f>
        <v>4</v>
      </c>
      <c r="M22" s="35">
        <f>'FS Desroches Daily'!T24</f>
        <v>262</v>
      </c>
      <c r="N22" s="35">
        <f>'FS Desroches Daily'!V24</f>
        <v>144</v>
      </c>
      <c r="O22" s="35">
        <f>'FS Desroches Daily'!X24</f>
        <v>210.00000000003638</v>
      </c>
      <c r="P22" s="35">
        <f>'FS Desroches Daily'!Z24</f>
        <v>500.00000000016701</v>
      </c>
      <c r="Q22" s="35">
        <f>'FS Desroches Daily'!AB24</f>
        <v>110.00000000001364</v>
      </c>
      <c r="R22" s="35">
        <f>'FS Desroches Daily'!AD24</f>
        <v>260.00000000004775</v>
      </c>
      <c r="S22" s="35">
        <f>'FS Desroches Daily'!AF24</f>
        <v>519.99999999998181</v>
      </c>
      <c r="T22" s="35">
        <f>'FS Desroches Daily'!AH24</f>
        <v>0.79999999999995453</v>
      </c>
      <c r="U22" s="39">
        <f>'FS Desroches Daily'!AJ24</f>
        <v>269.99999999998181</v>
      </c>
      <c r="V22" s="39">
        <f>'FS Desroches Daily'!AL24</f>
        <v>0.21000000000000796</v>
      </c>
      <c r="W22" s="39">
        <f>'FS Desroches Daily'!AN24</f>
        <v>0.11000000000001364</v>
      </c>
      <c r="X22" s="39">
        <f>'FS Desroches Daily'!AP24</f>
        <v>0.10000000000002274</v>
      </c>
      <c r="Y22" s="39">
        <f>'FS Desroches Daily'!AR24</f>
        <v>99.999999999994316</v>
      </c>
      <c r="Z22" s="39">
        <f>'FS Desroches Daily'!AT24</f>
        <v>89.999999999974989</v>
      </c>
      <c r="AA22" s="39">
        <f>'FS Desroches Daily'!AT24</f>
        <v>89.999999999974989</v>
      </c>
      <c r="AB22" s="39">
        <f>'FS Desroches Daily'!AV24</f>
        <v>80.000000000040927</v>
      </c>
      <c r="AC22" s="39">
        <f>'FS Desroches Daily'!AZ24</f>
        <v>39.99999999996362</v>
      </c>
      <c r="AD22" s="39">
        <f>'FS Desroches Daily'!BB24</f>
        <v>69.999999999993179</v>
      </c>
      <c r="AE22" s="39">
        <f>'FS Desroches Daily'!BD24</f>
        <v>10.000000000019327</v>
      </c>
      <c r="AF22" s="35">
        <f>'FS Desroches Daily'!BF24</f>
        <v>33</v>
      </c>
      <c r="AG22" s="36">
        <f>'FS Desroches Daily'!BH24</f>
        <v>20.000000000010232</v>
      </c>
      <c r="AH22" s="36">
        <f>'FS Desroches Daily'!BJ24</f>
        <v>30.000000000029559</v>
      </c>
      <c r="AI22" s="36">
        <f>'FS Desroches Daily'!BL24</f>
        <v>30.000000000001137</v>
      </c>
      <c r="AJ22" s="36">
        <f>'FS Desroches Daily'!BN24</f>
        <v>30.000000000001137</v>
      </c>
      <c r="AK22" s="36">
        <f>'FS Desroches Daily'!BP24</f>
        <v>40.000000000020464</v>
      </c>
      <c r="AL22" s="36">
        <f>'FS Desroches Daily'!BR24</f>
        <v>19</v>
      </c>
      <c r="AM22" s="36">
        <f>'FS Desroches Daily'!BT24</f>
        <v>20.000000000010232</v>
      </c>
      <c r="AN22" s="36">
        <f>'FS Desroches Daily'!BV24</f>
        <v>22</v>
      </c>
      <c r="AO22" s="36">
        <f>'FS Desroches Daily'!BX24</f>
        <v>20.000000000010232</v>
      </c>
      <c r="AP22" s="36">
        <f>'FS Desroches Daily'!BZ24</f>
        <v>36</v>
      </c>
      <c r="AQ22" s="35">
        <f>'FS Desroches Daily'!CB24</f>
        <v>0</v>
      </c>
      <c r="AR22" s="35">
        <f>'FS Desroches Daily'!CD24</f>
        <v>0.19999999999890861</v>
      </c>
      <c r="AS22" s="35">
        <f>'FS Desroches Daily'!CF24</f>
        <v>0</v>
      </c>
      <c r="AT22" s="35">
        <f>'FS Desroches Daily'!CH24</f>
        <v>74</v>
      </c>
      <c r="AU22" s="35">
        <f>'FS Desroches Daily'!CJ24</f>
        <v>204</v>
      </c>
      <c r="AV22" s="35">
        <f>'FS Desroches Daily'!CL24</f>
        <v>470.00000000002728</v>
      </c>
      <c r="AW22" s="35">
        <f>'FS Desroches Daily'!CM24</f>
        <v>27.7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1199.9999999998679</v>
      </c>
      <c r="F23" s="36">
        <f>'FS Desroches Daily'!F25</f>
        <v>900.0000000001229</v>
      </c>
      <c r="G23" s="35">
        <f>'FS Desroches Daily'!H25</f>
        <v>1700.0000000000348</v>
      </c>
      <c r="H23" s="36">
        <f>'FS Desroches Daily'!J25</f>
        <v>999.99999999988984</v>
      </c>
      <c r="I23" s="35">
        <f>'FS Desroches Daily'!L25</f>
        <v>2099.9999999999909</v>
      </c>
      <c r="J23" s="36">
        <f>'FS Desroches Daily'!N25</f>
        <v>800.00000000013392</v>
      </c>
      <c r="K23" s="13">
        <f>'FS Desroches Daily'!P25</f>
        <v>0</v>
      </c>
      <c r="L23" s="35">
        <f>'FS Desroches Daily'!R25</f>
        <v>4</v>
      </c>
      <c r="M23" s="35">
        <f>'FS Desroches Daily'!T25</f>
        <v>167</v>
      </c>
      <c r="N23" s="35">
        <f>'FS Desroches Daily'!V25</f>
        <v>110</v>
      </c>
      <c r="O23" s="35">
        <f>'FS Desroches Daily'!X25</f>
        <v>159.99999999996817</v>
      </c>
      <c r="P23" s="35">
        <f>'FS Desroches Daily'!Z25</f>
        <v>499.99999999972289</v>
      </c>
      <c r="Q23" s="35">
        <f>'FS Desroches Daily'!AB25</f>
        <v>99.999999999965894</v>
      </c>
      <c r="R23" s="35">
        <f>'FS Desroches Daily'!AD25</f>
        <v>179.99999999994998</v>
      </c>
      <c r="S23" s="35">
        <f>'FS Desroches Daily'!AF25</f>
        <v>379.99999999999545</v>
      </c>
      <c r="T23" s="35">
        <f>'FS Desroches Daily'!AH25</f>
        <v>1.4000000000000909</v>
      </c>
      <c r="U23" s="39">
        <f>'FS Desroches Daily'!AJ25</f>
        <v>250</v>
      </c>
      <c r="V23" s="39">
        <f>'FS Desroches Daily'!AL25</f>
        <v>0.18999999999999773</v>
      </c>
      <c r="W23" s="39">
        <f>'FS Desroches Daily'!AN25</f>
        <v>7.9999999999984084E-2</v>
      </c>
      <c r="X23" s="39">
        <f>'FS Desroches Daily'!AP25</f>
        <v>7.9999999999984084E-2</v>
      </c>
      <c r="Y23" s="39">
        <f>'FS Desroches Daily'!AR25</f>
        <v>90.000000000003411</v>
      </c>
      <c r="Z23" s="39">
        <f>'FS Desroches Daily'!AT25</f>
        <v>70.000000000050022</v>
      </c>
      <c r="AA23" s="39">
        <f>'FS Desroches Daily'!AT25</f>
        <v>70.000000000050022</v>
      </c>
      <c r="AB23" s="39">
        <f>'FS Desroches Daily'!AV25</f>
        <v>59.99999999994543</v>
      </c>
      <c r="AC23" s="39">
        <f>'FS Desroches Daily'!AZ25</f>
        <v>50.000000000011369</v>
      </c>
      <c r="AD23" s="39">
        <f>'FS Desroches Daily'!BB25</f>
        <v>50.000000000011369</v>
      </c>
      <c r="AE23" s="39">
        <f>'FS Desroches Daily'!BD25</f>
        <v>9.9999999999909051</v>
      </c>
      <c r="AF23" s="35">
        <f>'FS Desroches Daily'!BF25</f>
        <v>26</v>
      </c>
      <c r="AG23" s="36">
        <f>'FS Desroches Daily'!BH25</f>
        <v>39.999999999992042</v>
      </c>
      <c r="AH23" s="36">
        <f>'FS Desroches Daily'!BJ25</f>
        <v>40.000000000020464</v>
      </c>
      <c r="AI23" s="36">
        <f>'FS Desroches Daily'!BL25</f>
        <v>50.000000000011369</v>
      </c>
      <c r="AJ23" s="36">
        <f>'FS Desroches Daily'!BN25</f>
        <v>59.999999999973852</v>
      </c>
      <c r="AK23" s="36">
        <f>'FS Desroches Daily'!BP25</f>
        <v>60.000000000002274</v>
      </c>
      <c r="AL23" s="36">
        <f>'FS Desroches Daily'!BR25</f>
        <v>30</v>
      </c>
      <c r="AM23" s="36">
        <f>'FS Desroches Daily'!BT25</f>
        <v>29.999999999972715</v>
      </c>
      <c r="AN23" s="36">
        <f>'FS Desroches Daily'!BV25</f>
        <v>28</v>
      </c>
      <c r="AO23" s="36">
        <f>'FS Desroches Daily'!BX25</f>
        <v>50.000000000011369</v>
      </c>
      <c r="AP23" s="36">
        <f>'FS Desroches Daily'!BZ25</f>
        <v>52</v>
      </c>
      <c r="AQ23" s="35">
        <f>'FS Desroches Daily'!CB25</f>
        <v>2.7999999999992724</v>
      </c>
      <c r="AR23" s="35">
        <f>'FS Desroches Daily'!CD25</f>
        <v>0.19999999999890861</v>
      </c>
      <c r="AS23" s="35">
        <f>'FS Desroches Daily'!CF25</f>
        <v>15.5</v>
      </c>
      <c r="AT23" s="35">
        <f>'FS Desroches Daily'!CH25</f>
        <v>65.900000000001455</v>
      </c>
      <c r="AU23" s="35">
        <f>'FS Desroches Daily'!CJ25</f>
        <v>210</v>
      </c>
      <c r="AV23" s="35">
        <f>'FS Desroches Daily'!CL25</f>
        <v>350.00000000002274</v>
      </c>
      <c r="AW23" s="35">
        <f>'FS Desroches Daily'!CM25</f>
        <v>26.7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7.3259999999999996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1400.0000000000678</v>
      </c>
      <c r="F24" s="36">
        <f>'FS Desroches Daily'!F26</f>
        <v>699.99999999970089</v>
      </c>
      <c r="G24" s="35">
        <f>'FS Desroches Daily'!H26</f>
        <v>1799.9999999998017</v>
      </c>
      <c r="H24" s="36">
        <f>'FS Desroches Daily'!J26</f>
        <v>1200.0000000000898</v>
      </c>
      <c r="I24" s="35">
        <f>'FS Desroches Daily'!L26</f>
        <v>2199.9999999999795</v>
      </c>
      <c r="J24" s="36">
        <f>'FS Desroches Daily'!N26</f>
        <v>999.99999999988984</v>
      </c>
      <c r="K24" s="13">
        <f>'FS Desroches Daily'!P26</f>
        <v>0</v>
      </c>
      <c r="L24" s="35">
        <f>'FS Desroches Daily'!R26</f>
        <v>4</v>
      </c>
      <c r="M24" s="35">
        <f>'FS Desroches Daily'!T26</f>
        <v>227</v>
      </c>
      <c r="N24" s="35">
        <f>'FS Desroches Daily'!V26</f>
        <v>109</v>
      </c>
      <c r="O24" s="35">
        <f>'FS Desroches Daily'!X26</f>
        <v>189.99999999999773</v>
      </c>
      <c r="P24" s="35">
        <f>'FS Desroches Daily'!Z26</f>
        <v>599.99999999993395</v>
      </c>
      <c r="Q24" s="35">
        <f>'FS Desroches Daily'!AB26</f>
        <v>100.00000000002274</v>
      </c>
      <c r="R24" s="35">
        <f>'FS Desroches Daily'!AD26</f>
        <v>260.00000000004775</v>
      </c>
      <c r="S24" s="35">
        <f>'FS Desroches Daily'!AF26</f>
        <v>510.00000000004775</v>
      </c>
      <c r="T24" s="35">
        <f>'FS Desroches Daily'!AH26</f>
        <v>1</v>
      </c>
      <c r="U24" s="39">
        <f>'FS Desroches Daily'!AJ26</f>
        <v>260.00000000004775</v>
      </c>
      <c r="V24" s="39">
        <f>'FS Desroches Daily'!AL26</f>
        <v>0.18999999999999773</v>
      </c>
      <c r="W24" s="39">
        <f>'FS Desroches Daily'!AN26</f>
        <v>9.9999999999994316E-2</v>
      </c>
      <c r="X24" s="39">
        <f>'FS Desroches Daily'!AP26</f>
        <v>9.9999999999994316E-2</v>
      </c>
      <c r="Y24" s="39">
        <f>'FS Desroches Daily'!AR26</f>
        <v>99.999999999994316</v>
      </c>
      <c r="Z24" s="39">
        <f>'FS Desroches Daily'!AT26</f>
        <v>89.999999999974989</v>
      </c>
      <c r="AA24" s="39">
        <f>'FS Desroches Daily'!AT26</f>
        <v>89.999999999974989</v>
      </c>
      <c r="AB24" s="39">
        <f>'FS Desroches Daily'!AV26</f>
        <v>80.000000000040927</v>
      </c>
      <c r="AC24" s="39">
        <f>'FS Desroches Daily'!AZ26</f>
        <v>69.999999999993179</v>
      </c>
      <c r="AD24" s="39">
        <f>'FS Desroches Daily'!BB26</f>
        <v>69.999999999993179</v>
      </c>
      <c r="AE24" s="39">
        <f>'FS Desroches Daily'!BD26</f>
        <v>20.000000000010232</v>
      </c>
      <c r="AF24" s="35">
        <f>'FS Desroches Daily'!BF26</f>
        <v>30</v>
      </c>
      <c r="AG24" s="36">
        <f>'FS Desroches Daily'!BH26</f>
        <v>30.000000000001137</v>
      </c>
      <c r="AH24" s="36">
        <f>'FS Desroches Daily'!BJ26</f>
        <v>29.999999999972715</v>
      </c>
      <c r="AI24" s="36">
        <f>'FS Desroches Daily'!BL26</f>
        <v>30.000000000001137</v>
      </c>
      <c r="AJ24" s="36">
        <f>'FS Desroches Daily'!BN26</f>
        <v>30.000000000001137</v>
      </c>
      <c r="AK24" s="36">
        <f>'FS Desroches Daily'!BP26</f>
        <v>50.000000000011369</v>
      </c>
      <c r="AL24" s="36">
        <f>'FS Desroches Daily'!BR26</f>
        <v>20</v>
      </c>
      <c r="AM24" s="36">
        <f>'FS Desroches Daily'!BT26</f>
        <v>20.000000000010232</v>
      </c>
      <c r="AN24" s="36">
        <f>'FS Desroches Daily'!BV26</f>
        <v>19</v>
      </c>
      <c r="AO24" s="36">
        <f>'FS Desroches Daily'!BX26</f>
        <v>30.000000000001137</v>
      </c>
      <c r="AP24" s="36">
        <f>'FS Desroches Daily'!BZ26</f>
        <v>34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53.599999999998545</v>
      </c>
      <c r="AU24" s="35">
        <f>'FS Desroches Daily'!CJ26</f>
        <v>210</v>
      </c>
      <c r="AV24" s="35">
        <f>'FS Desroches Daily'!CL26</f>
        <v>330.00000000004093</v>
      </c>
      <c r="AW24" s="35">
        <f>'FS Desroches Daily'!CM26</f>
        <v>29.5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9.1574999999999989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1500.0000000000568</v>
      </c>
      <c r="F25" s="36">
        <f>'FS Desroches Daily'!F27</f>
        <v>900.0000000001229</v>
      </c>
      <c r="G25" s="35">
        <f>'FS Desroches Daily'!H27</f>
        <v>1800.0000000002458</v>
      </c>
      <c r="H25" s="36">
        <f>'FS Desroches Daily'!J27</f>
        <v>1099.9999999998788</v>
      </c>
      <c r="I25" s="35">
        <f>'FS Desroches Daily'!L27</f>
        <v>2200.0000000002019</v>
      </c>
      <c r="J25" s="36">
        <f>'FS Desroches Daily'!N27</f>
        <v>1200.0000000000898</v>
      </c>
      <c r="K25" s="13">
        <f>'FS Desroches Daily'!P27</f>
        <v>0</v>
      </c>
      <c r="L25" s="35">
        <f>'FS Desroches Daily'!R27</f>
        <v>4</v>
      </c>
      <c r="M25" s="35">
        <f>'FS Desroches Daily'!T27</f>
        <v>228</v>
      </c>
      <c r="N25" s="35">
        <f>'FS Desroches Daily'!V27</f>
        <v>138</v>
      </c>
      <c r="O25" s="35">
        <f>'FS Desroches Daily'!X27</f>
        <v>199.99999999998863</v>
      </c>
      <c r="P25" s="35">
        <f>'FS Desroches Daily'!Z27</f>
        <v>500.00000000016701</v>
      </c>
      <c r="Q25" s="35">
        <f>'FS Desroches Daily'!AB27</f>
        <v>110.00000000001364</v>
      </c>
      <c r="R25" s="35">
        <f>'FS Desroches Daily'!AD27</f>
        <v>289.99999999996362</v>
      </c>
      <c r="S25" s="35">
        <f>'FS Desroches Daily'!AF27</f>
        <v>529.99999999997272</v>
      </c>
      <c r="T25" s="35">
        <f>'FS Desroches Daily'!AH27</f>
        <v>1.5</v>
      </c>
      <c r="U25" s="39">
        <f>'FS Desroches Daily'!AJ27</f>
        <v>279.99999999997272</v>
      </c>
      <c r="V25" s="39">
        <f>'FS Desroches Daily'!AL27</f>
        <v>0.18000000000000682</v>
      </c>
      <c r="W25" s="39">
        <f>'FS Desroches Daily'!AN27</f>
        <v>0.12000000000000455</v>
      </c>
      <c r="X25" s="39">
        <f>'FS Desroches Daily'!AP27</f>
        <v>0.12999999999999545</v>
      </c>
      <c r="Y25" s="39">
        <f>'FS Desroches Daily'!AR27</f>
        <v>99.999999999994316</v>
      </c>
      <c r="Z25" s="39">
        <f>'FS Desroches Daily'!AT27</f>
        <v>100.00000000002274</v>
      </c>
      <c r="AA25" s="39">
        <f>'FS Desroches Daily'!AT27</f>
        <v>100.00000000002274</v>
      </c>
      <c r="AB25" s="39">
        <f>'FS Desroches Daily'!AV27</f>
        <v>89.999999999974989</v>
      </c>
      <c r="AC25" s="39">
        <f>'FS Desroches Daily'!AZ27</f>
        <v>79.999999999984084</v>
      </c>
      <c r="AD25" s="39">
        <f>'FS Desroches Daily'!BB27</f>
        <v>90.000000000031832</v>
      </c>
      <c r="AE25" s="39">
        <f>'FS Desroches Daily'!BD27</f>
        <v>9.9999999999909051</v>
      </c>
      <c r="AF25" s="35">
        <f>'FS Desroches Daily'!BF27</f>
        <v>23</v>
      </c>
      <c r="AG25" s="36">
        <f>'FS Desroches Daily'!BH27</f>
        <v>20.000000000010232</v>
      </c>
      <c r="AH25" s="36">
        <f>'FS Desroches Daily'!BJ27</f>
        <v>40.000000000020464</v>
      </c>
      <c r="AI25" s="36">
        <f>'FS Desroches Daily'!BL27</f>
        <v>30.000000000001137</v>
      </c>
      <c r="AJ25" s="36">
        <f>'FS Desroches Daily'!BN27</f>
        <v>40.000000000020464</v>
      </c>
      <c r="AK25" s="36">
        <f>'FS Desroches Daily'!BP27</f>
        <v>50.000000000011369</v>
      </c>
      <c r="AL25" s="36">
        <f>'FS Desroches Daily'!BR27</f>
        <v>21</v>
      </c>
      <c r="AM25" s="36">
        <f>'FS Desroches Daily'!BT27</f>
        <v>20.000000000010232</v>
      </c>
      <c r="AN25" s="36">
        <f>'FS Desroches Daily'!BV27</f>
        <v>20</v>
      </c>
      <c r="AO25" s="36">
        <f>'FS Desroches Daily'!BX27</f>
        <v>30.000000000001137</v>
      </c>
      <c r="AP25" s="36">
        <f>'FS Desroches Daily'!BZ27</f>
        <v>34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89</v>
      </c>
      <c r="AU25" s="35">
        <f>'FS Desroches Daily'!CJ27</f>
        <v>210</v>
      </c>
      <c r="AV25" s="35">
        <f>'FS Desroches Daily'!CL27</f>
        <v>409.99999999996817</v>
      </c>
      <c r="AW25" s="35">
        <f>'FS Desroches Daily'!CM27</f>
        <v>33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1800.0000000000239</v>
      </c>
      <c r="F26" s="36">
        <f>'FS Desroches Daily'!F28</f>
        <v>900.0000000001229</v>
      </c>
      <c r="G26" s="35">
        <f>'FS Desroches Daily'!H28</f>
        <v>1799.9999999998017</v>
      </c>
      <c r="H26" s="36">
        <f>'FS Desroches Daily'!J28</f>
        <v>1300.0000000000789</v>
      </c>
      <c r="I26" s="35">
        <f>'FS Desroches Daily'!L28</f>
        <v>2299.9999999999686</v>
      </c>
      <c r="J26" s="36">
        <f>'FS Desroches Daily'!N28</f>
        <v>899.99999999990087</v>
      </c>
      <c r="K26" s="13">
        <f>'FS Desroches Daily'!P28</f>
        <v>0</v>
      </c>
      <c r="L26" s="35">
        <f>'FS Desroches Daily'!R28</f>
        <v>4</v>
      </c>
      <c r="M26" s="35">
        <f>'FS Desroches Daily'!T28</f>
        <v>192</v>
      </c>
      <c r="N26" s="35">
        <f>'FS Desroches Daily'!V28</f>
        <v>111</v>
      </c>
      <c r="O26" s="35">
        <f>'FS Desroches Daily'!X28</f>
        <v>210.00000000003638</v>
      </c>
      <c r="P26" s="35">
        <f>'FS Desroches Daily'!Z28</f>
        <v>599.99999999993395</v>
      </c>
      <c r="Q26" s="35">
        <f>'FS Desroches Daily'!AB28</f>
        <v>129.99999999999545</v>
      </c>
      <c r="R26" s="35">
        <f>'FS Desroches Daily'!AD28</f>
        <v>310.00000000000227</v>
      </c>
      <c r="S26" s="35">
        <f>'FS Desroches Daily'!AF28</f>
        <v>610.00000000001364</v>
      </c>
      <c r="T26" s="35">
        <f>'FS Desroches Daily'!AH28</f>
        <v>1.5999999999999091</v>
      </c>
      <c r="U26" s="39">
        <f>'FS Desroches Daily'!AJ28</f>
        <v>350.00000000002274</v>
      </c>
      <c r="V26" s="39">
        <f>'FS Desroches Daily'!AL28</f>
        <v>0.19999999999998863</v>
      </c>
      <c r="W26" s="39">
        <f>'FS Desroches Daily'!AN28</f>
        <v>0.14000000000001478</v>
      </c>
      <c r="X26" s="39">
        <f>'FS Desroches Daily'!AP28</f>
        <v>0.14000000000001478</v>
      </c>
      <c r="Y26" s="39">
        <f>'FS Desroches Daily'!AR28</f>
        <v>120.00000000000455</v>
      </c>
      <c r="Z26" s="39">
        <f>'FS Desroches Daily'!AT28</f>
        <v>129.99999999999545</v>
      </c>
      <c r="AA26" s="39">
        <f>'FS Desroches Daily'!AT28</f>
        <v>129.99999999999545</v>
      </c>
      <c r="AB26" s="39">
        <f>'FS Desroches Daily'!AV28</f>
        <v>110.00000000001364</v>
      </c>
      <c r="AC26" s="39">
        <f>'FS Desroches Daily'!AZ28</f>
        <v>100.00000000002274</v>
      </c>
      <c r="AD26" s="39">
        <f>'FS Desroches Daily'!BB28</f>
        <v>99.999999999965894</v>
      </c>
      <c r="AE26" s="39">
        <f>'FS Desroches Daily'!BD28</f>
        <v>9.9999999999909051</v>
      </c>
      <c r="AF26" s="35">
        <f>'FS Desroches Daily'!BF28</f>
        <v>31</v>
      </c>
      <c r="AG26" s="36">
        <f>'FS Desroches Daily'!BH28</f>
        <v>30.000000000001137</v>
      </c>
      <c r="AH26" s="36">
        <f>'FS Desroches Daily'!BJ28</f>
        <v>49.999999999954525</v>
      </c>
      <c r="AI26" s="36">
        <f>'FS Desroches Daily'!BL28</f>
        <v>39.999999999992042</v>
      </c>
      <c r="AJ26" s="36">
        <f>'FS Desroches Daily'!BN28</f>
        <v>49.999999999982947</v>
      </c>
      <c r="AK26" s="36">
        <f>'FS Desroches Daily'!BP28</f>
        <v>49.999999999954525</v>
      </c>
      <c r="AL26" s="36">
        <f>'FS Desroches Daily'!BR28</f>
        <v>26</v>
      </c>
      <c r="AM26" s="36">
        <f>'FS Desroches Daily'!BT28</f>
        <v>30.000000000001137</v>
      </c>
      <c r="AN26" s="36">
        <f>'FS Desroches Daily'!BV28</f>
        <v>27</v>
      </c>
      <c r="AO26" s="36">
        <f>'FS Desroches Daily'!BX28</f>
        <v>39.999999999992042</v>
      </c>
      <c r="AP26" s="36">
        <f>'FS Desroches Daily'!BZ28</f>
        <v>38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71</v>
      </c>
      <c r="AU26" s="35">
        <f>'FS Desroches Daily'!CJ28</f>
        <v>196</v>
      </c>
      <c r="AV26" s="35">
        <f>'FS Desroches Daily'!CL28</f>
        <v>449.99999999993179</v>
      </c>
      <c r="AW26" s="35">
        <f>'FS Desroches Daily'!CM28</f>
        <v>25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1599.9999999998238</v>
      </c>
      <c r="F27" s="36">
        <f>'FS Desroches Daily'!F29</f>
        <v>899.99999999967883</v>
      </c>
      <c r="G27" s="35">
        <f>'FS Desroches Daily'!H29</f>
        <v>1400.0000000002899</v>
      </c>
      <c r="H27" s="36">
        <f>'FS Desroches Daily'!J29</f>
        <v>1300.0000000000789</v>
      </c>
      <c r="I27" s="35">
        <f>'FS Desroches Daily'!L29</f>
        <v>2299.9999999999686</v>
      </c>
      <c r="J27" s="36">
        <f>'FS Desroches Daily'!N29</f>
        <v>1200.0000000000898</v>
      </c>
      <c r="K27" s="13">
        <f>'FS Desroches Daily'!P29</f>
        <v>0</v>
      </c>
      <c r="L27" s="35">
        <f>'FS Desroches Daily'!R29</f>
        <v>4</v>
      </c>
      <c r="M27" s="35">
        <f>'FS Desroches Daily'!T29</f>
        <v>97</v>
      </c>
      <c r="N27" s="35">
        <f>'FS Desroches Daily'!V29</f>
        <v>66</v>
      </c>
      <c r="O27" s="35">
        <f>'FS Desroches Daily'!X29</f>
        <v>219.99999999997044</v>
      </c>
      <c r="P27" s="35">
        <f>'FS Desroches Daily'!Z29</f>
        <v>500.00000000016701</v>
      </c>
      <c r="Q27" s="35">
        <f>'FS Desroches Daily'!AB29</f>
        <v>120.00000000000455</v>
      </c>
      <c r="R27" s="35">
        <f>'FS Desroches Daily'!AD29</f>
        <v>340.00000000003183</v>
      </c>
      <c r="S27" s="35">
        <f>'FS Desroches Daily'!AF29</f>
        <v>610.00000000001364</v>
      </c>
      <c r="T27" s="35">
        <f>'FS Desroches Daily'!AH29</f>
        <v>1.1000000000001364</v>
      </c>
      <c r="U27" s="39">
        <f>'FS Desroches Daily'!AJ29</f>
        <v>319.99999999999318</v>
      </c>
      <c r="V27" s="39">
        <f>'FS Desroches Daily'!AL29</f>
        <v>0.18000000000000682</v>
      </c>
      <c r="W27" s="39">
        <f>'FS Desroches Daily'!AN29</f>
        <v>0.12999999999999545</v>
      </c>
      <c r="X27" s="39">
        <f>'FS Desroches Daily'!AP29</f>
        <v>0.15000000000000568</v>
      </c>
      <c r="Y27" s="39">
        <f>'FS Desroches Daily'!AR29</f>
        <v>110.00000000001364</v>
      </c>
      <c r="Z27" s="39">
        <f>'FS Desroches Daily'!AT29</f>
        <v>120.00000000000455</v>
      </c>
      <c r="AA27" s="39">
        <f>'FS Desroches Daily'!AT29</f>
        <v>120.00000000000455</v>
      </c>
      <c r="AB27" s="39">
        <f>'FS Desroches Daily'!AV29</f>
        <v>100.00000000002274</v>
      </c>
      <c r="AC27" s="39">
        <f>'FS Desroches Daily'!AZ29</f>
        <v>89.999999999974989</v>
      </c>
      <c r="AD27" s="39">
        <f>'FS Desroches Daily'!BB29</f>
        <v>100.00000000002274</v>
      </c>
      <c r="AE27" s="39">
        <f>'FS Desroches Daily'!BD29</f>
        <v>0</v>
      </c>
      <c r="AF27" s="35">
        <f>'FS Desroches Daily'!BF29</f>
        <v>44</v>
      </c>
      <c r="AG27" s="36">
        <f>'FS Desroches Daily'!BH29</f>
        <v>39.999999999992042</v>
      </c>
      <c r="AH27" s="36">
        <f>'FS Desroches Daily'!BJ29</f>
        <v>40.000000000020464</v>
      </c>
      <c r="AI27" s="36">
        <f>'FS Desroches Daily'!BL29</f>
        <v>39.999999999992042</v>
      </c>
      <c r="AJ27" s="36">
        <f>'FS Desroches Daily'!BN29</f>
        <v>50.000000000011369</v>
      </c>
      <c r="AK27" s="36">
        <f>'FS Desroches Daily'!BP29</f>
        <v>60.000000000002274</v>
      </c>
      <c r="AL27" s="36">
        <f>'FS Desroches Daily'!BR29</f>
        <v>26</v>
      </c>
      <c r="AM27" s="36">
        <f>'FS Desroches Daily'!BT29</f>
        <v>30.000000000001137</v>
      </c>
      <c r="AN27" s="36">
        <f>'FS Desroches Daily'!BV29</f>
        <v>26</v>
      </c>
      <c r="AO27" s="36">
        <f>'FS Desroches Daily'!BX29</f>
        <v>39.999999999992042</v>
      </c>
      <c r="AP27" s="36">
        <f>'FS Desroches Daily'!BZ29</f>
        <v>37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54.900000000001455</v>
      </c>
      <c r="AU27" s="35">
        <f>'FS Desroches Daily'!CJ29</f>
        <v>223</v>
      </c>
      <c r="AV27" s="35">
        <f>'FS Desroches Daily'!CL29</f>
        <v>330.00000000004093</v>
      </c>
      <c r="AW27" s="35">
        <f>'FS Desroches Daily'!CM29</f>
        <v>19.3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7.3259999999999996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1500.0000000000568</v>
      </c>
      <c r="F28" s="36">
        <f>'FS Desroches Daily'!F30</f>
        <v>800.00000000035595</v>
      </c>
      <c r="G28" s="35">
        <f>'FS Desroches Daily'!H30</f>
        <v>1599.9999999998238</v>
      </c>
      <c r="H28" s="36">
        <f>'FS Desroches Daily'!J30</f>
        <v>999.99999999988984</v>
      </c>
      <c r="I28" s="35">
        <f>'FS Desroches Daily'!L30</f>
        <v>2099.9999999999909</v>
      </c>
      <c r="J28" s="36">
        <f>'FS Desroches Daily'!N30</f>
        <v>899.99999999990087</v>
      </c>
      <c r="K28" s="13">
        <f>'FS Desroches Daily'!P30</f>
        <v>0</v>
      </c>
      <c r="L28" s="35">
        <f>'FS Desroches Daily'!R30</f>
        <v>12</v>
      </c>
      <c r="M28" s="35">
        <f>'FS Desroches Daily'!T30</f>
        <v>111</v>
      </c>
      <c r="N28" s="35">
        <f>'FS Desroches Daily'!V30</f>
        <v>78</v>
      </c>
      <c r="O28" s="35">
        <f>'FS Desroches Daily'!X30</f>
        <v>220.00000000002728</v>
      </c>
      <c r="P28" s="35">
        <f>'FS Desroches Daily'!Z30</f>
        <v>599.99999999993395</v>
      </c>
      <c r="Q28" s="35">
        <f>'FS Desroches Daily'!AB30</f>
        <v>129.99999999999545</v>
      </c>
      <c r="R28" s="35">
        <f>'FS Desroches Daily'!AD30</f>
        <v>370.00000000000455</v>
      </c>
      <c r="S28" s="35">
        <f>'FS Desroches Daily'!AF30</f>
        <v>699.99999999998863</v>
      </c>
      <c r="T28" s="35">
        <f>'FS Desroches Daily'!AH30</f>
        <v>1.2000000000000455</v>
      </c>
      <c r="U28" s="39">
        <f>'FS Desroches Daily'!AJ30</f>
        <v>279.99999999997272</v>
      </c>
      <c r="V28" s="39">
        <f>'FS Desroches Daily'!AL30</f>
        <v>0.21999999999999886</v>
      </c>
      <c r="W28" s="39">
        <f>'FS Desroches Daily'!AN30</f>
        <v>0.15000000000000568</v>
      </c>
      <c r="X28" s="39">
        <f>'FS Desroches Daily'!AP30</f>
        <v>0.10999999999998522</v>
      </c>
      <c r="Y28" s="39">
        <f>'FS Desroches Daily'!AR30</f>
        <v>109.99999999998522</v>
      </c>
      <c r="Z28" s="39">
        <f>'FS Desroches Daily'!AT30</f>
        <v>129.99999999999545</v>
      </c>
      <c r="AA28" s="39">
        <f>'FS Desroches Daily'!AT30</f>
        <v>129.99999999999545</v>
      </c>
      <c r="AB28" s="39">
        <f>'FS Desroches Daily'!AV30</f>
        <v>99.999999999965894</v>
      </c>
      <c r="AC28" s="39">
        <f>'FS Desroches Daily'!AZ30</f>
        <v>90.000000000031832</v>
      </c>
      <c r="AD28" s="39">
        <f>'FS Desroches Daily'!BB30</f>
        <v>120.00000000000455</v>
      </c>
      <c r="AE28" s="39">
        <f>'FS Desroches Daily'!BD30</f>
        <v>20.000000000010232</v>
      </c>
      <c r="AF28" s="35">
        <f>'FS Desroches Daily'!BF30</f>
        <v>33</v>
      </c>
      <c r="AG28" s="36">
        <f>'FS Desroches Daily'!BH30</f>
        <v>39.999999999992042</v>
      </c>
      <c r="AH28" s="36">
        <f>'FS Desroches Daily'!BJ30</f>
        <v>50.000000000011369</v>
      </c>
      <c r="AI28" s="36">
        <f>'FS Desroches Daily'!BL30</f>
        <v>39.999999999992042</v>
      </c>
      <c r="AJ28" s="36">
        <f>'FS Desroches Daily'!BN30</f>
        <v>39.999999999992042</v>
      </c>
      <c r="AK28" s="36">
        <f>'FS Desroches Daily'!BP30</f>
        <v>60.000000000002274</v>
      </c>
      <c r="AL28" s="36">
        <f>'FS Desroches Daily'!BR30</f>
        <v>24</v>
      </c>
      <c r="AM28" s="36">
        <f>'FS Desroches Daily'!BT30</f>
        <v>19.99999999998181</v>
      </c>
      <c r="AN28" s="36">
        <f>'FS Desroches Daily'!BV30</f>
        <v>27</v>
      </c>
      <c r="AO28" s="36">
        <f>'FS Desroches Daily'!BX30</f>
        <v>39.999999999992042</v>
      </c>
      <c r="AP28" s="36">
        <f>'FS Desroches Daily'!BZ30</f>
        <v>41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58</v>
      </c>
      <c r="AU28" s="35">
        <f>'FS Desroches Daily'!CJ30</f>
        <v>231</v>
      </c>
      <c r="AV28" s="35">
        <f>'FS Desroches Daily'!CL30</f>
        <v>429.99999999994998</v>
      </c>
      <c r="AW28" s="35">
        <f>'FS Desroches Daily'!CM30</f>
        <v>32.5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7.3259999999999996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1600.0000000000459</v>
      </c>
      <c r="F29" s="36">
        <f>'FS Desroches Daily'!F31</f>
        <v>899.99999999967883</v>
      </c>
      <c r="G29" s="35">
        <f>'FS Desroches Daily'!H31</f>
        <v>2200.0000000002019</v>
      </c>
      <c r="H29" s="36">
        <f>'FS Desroches Daily'!J31</f>
        <v>1500.0000000000568</v>
      </c>
      <c r="I29" s="35">
        <f>'FS Desroches Daily'!L31</f>
        <v>2199.9999999999795</v>
      </c>
      <c r="J29" s="36">
        <f>'FS Desroches Daily'!N31</f>
        <v>1600.0000000000459</v>
      </c>
      <c r="K29" s="13">
        <f>'FS Desroches Daily'!P31</f>
        <v>0</v>
      </c>
      <c r="L29" s="35">
        <f>'FS Desroches Daily'!R31</f>
        <v>5</v>
      </c>
      <c r="M29" s="35">
        <f>'FS Desroches Daily'!T31</f>
        <v>238</v>
      </c>
      <c r="N29" s="35">
        <f>'FS Desroches Daily'!V31</f>
        <v>169</v>
      </c>
      <c r="O29" s="35">
        <f>'FS Desroches Daily'!X31</f>
        <v>219.99999999997044</v>
      </c>
      <c r="P29" s="35">
        <f>'FS Desroches Daily'!Z31</f>
        <v>700.00000000014495</v>
      </c>
      <c r="Q29" s="35">
        <f>'FS Desroches Daily'!AB31</f>
        <v>129.99999999999545</v>
      </c>
      <c r="R29" s="35">
        <f>'FS Desroches Daily'!AD31</f>
        <v>319.99999999999318</v>
      </c>
      <c r="S29" s="35">
        <f>'FS Desroches Daily'!AF31</f>
        <v>589.99999999997499</v>
      </c>
      <c r="T29" s="35">
        <f>'FS Desroches Daily'!AH31</f>
        <v>1.1999999999998181</v>
      </c>
      <c r="U29" s="39">
        <f>'FS Desroches Daily'!AJ31</f>
        <v>270.00000000003865</v>
      </c>
      <c r="V29" s="39">
        <f>'FS Desroches Daily'!AL31</f>
        <v>0.18000000000000682</v>
      </c>
      <c r="W29" s="39">
        <f>'FS Desroches Daily'!AN31</f>
        <v>0.12000000000000455</v>
      </c>
      <c r="X29" s="39">
        <f>'FS Desroches Daily'!AP31</f>
        <v>9.9999999999994316E-2</v>
      </c>
      <c r="Y29" s="39">
        <f>'FS Desroches Daily'!AR31</f>
        <v>110.00000000001364</v>
      </c>
      <c r="Z29" s="39">
        <f>'FS Desroches Daily'!AT31</f>
        <v>99.999999999965894</v>
      </c>
      <c r="AA29" s="39">
        <f>'FS Desroches Daily'!AT31</f>
        <v>99.999999999965894</v>
      </c>
      <c r="AB29" s="39">
        <f>'FS Desroches Daily'!AV31</f>
        <v>90.000000000031832</v>
      </c>
      <c r="AC29" s="39">
        <f>'FS Desroches Daily'!AZ31</f>
        <v>120.00000000000455</v>
      </c>
      <c r="AD29" s="39">
        <f>'FS Desroches Daily'!BB31</f>
        <v>99.999999999965894</v>
      </c>
      <c r="AE29" s="39">
        <f>'FS Desroches Daily'!BD31</f>
        <v>9.9999999999909051</v>
      </c>
      <c r="AF29" s="35">
        <f>'FS Desroches Daily'!BF31</f>
        <v>35</v>
      </c>
      <c r="AG29" s="36">
        <f>'FS Desroches Daily'!BH31</f>
        <v>40.000000000020464</v>
      </c>
      <c r="AH29" s="36">
        <f>'FS Desroches Daily'!BJ31</f>
        <v>40.000000000020464</v>
      </c>
      <c r="AI29" s="36">
        <f>'FS Desroches Daily'!BL31</f>
        <v>40.000000000020464</v>
      </c>
      <c r="AJ29" s="36">
        <f>'FS Desroches Daily'!BN31</f>
        <v>39.999999999992042</v>
      </c>
      <c r="AK29" s="36">
        <f>'FS Desroches Daily'!BP31</f>
        <v>50.000000000011369</v>
      </c>
      <c r="AL29" s="36">
        <f>'FS Desroches Daily'!BR31</f>
        <v>23</v>
      </c>
      <c r="AM29" s="36">
        <f>'FS Desroches Daily'!BT31</f>
        <v>30.000000000001137</v>
      </c>
      <c r="AN29" s="36">
        <f>'FS Desroches Daily'!BV31</f>
        <v>24</v>
      </c>
      <c r="AO29" s="36">
        <f>'FS Desroches Daily'!BX31</f>
        <v>40.000000000020464</v>
      </c>
      <c r="AP29" s="36">
        <f>'FS Desroches Daily'!BZ31</f>
        <v>39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80.30000000000291</v>
      </c>
      <c r="AU29" s="35">
        <f>'FS Desroches Daily'!CJ31</f>
        <v>217</v>
      </c>
      <c r="AV29" s="35">
        <f>'FS Desroches Daily'!CL31</f>
        <v>410.00000000008185</v>
      </c>
      <c r="AW29" s="35">
        <f>'FS Desroches Daily'!CM31</f>
        <v>31.4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7.3259999999999996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1600.0000000000459</v>
      </c>
      <c r="F30" s="36">
        <f>'FS Desroches Daily'!F32</f>
        <v>1100.000000000101</v>
      </c>
      <c r="G30" s="35">
        <f>'FS Desroches Daily'!H32</f>
        <v>1999.9999999997797</v>
      </c>
      <c r="H30" s="36">
        <f>'FS Desroches Daily'!J32</f>
        <v>1300.0000000000789</v>
      </c>
      <c r="I30" s="35">
        <f>'FS Desroches Daily'!L32</f>
        <v>2499.9999999999468</v>
      </c>
      <c r="J30" s="36">
        <f>'FS Desroches Daily'!N32</f>
        <v>1100.000000000101</v>
      </c>
      <c r="K30" s="13">
        <f>'FS Desroches Daily'!P32</f>
        <v>0</v>
      </c>
      <c r="L30" s="35">
        <f>'FS Desroches Daily'!R32</f>
        <v>5</v>
      </c>
      <c r="M30" s="35">
        <f>'FS Desroches Daily'!T32</f>
        <v>270</v>
      </c>
      <c r="N30" s="35">
        <f>'FS Desroches Daily'!V32</f>
        <v>186</v>
      </c>
      <c r="O30" s="35">
        <f>'FS Desroches Daily'!X32</f>
        <v>189.99999999999773</v>
      </c>
      <c r="P30" s="35">
        <f>'FS Desroches Daily'!Z32</f>
        <v>499.99999999972289</v>
      </c>
      <c r="Q30" s="35">
        <f>'FS Desroches Daily'!AB32</f>
        <v>110.00000000001364</v>
      </c>
      <c r="R30" s="35">
        <f>'FS Desroches Daily'!AD32</f>
        <v>300.00000000001137</v>
      </c>
      <c r="S30" s="35">
        <f>'FS Desroches Daily'!AF32</f>
        <v>560.00000000000227</v>
      </c>
      <c r="T30" s="35">
        <f>'FS Desroches Daily'!AH32</f>
        <v>0.90000000000009095</v>
      </c>
      <c r="U30" s="39">
        <f>'FS Desroches Daily'!AJ32</f>
        <v>269.99999999998181</v>
      </c>
      <c r="V30" s="39">
        <f>'FS Desroches Daily'!AL32</f>
        <v>0.13999999999998636</v>
      </c>
      <c r="W30" s="39">
        <f>'FS Desroches Daily'!AN32</f>
        <v>0.11999999999997613</v>
      </c>
      <c r="X30" s="39">
        <f>'FS Desroches Daily'!AP32</f>
        <v>9.0000000000003411E-2</v>
      </c>
      <c r="Y30" s="39">
        <f>'FS Desroches Daily'!AR32</f>
        <v>79.999999999984084</v>
      </c>
      <c r="Z30" s="39">
        <f>'FS Desroches Daily'!AT32</f>
        <v>100.00000000002274</v>
      </c>
      <c r="AA30" s="39">
        <f>'FS Desroches Daily'!AT32</f>
        <v>100.00000000002274</v>
      </c>
      <c r="AB30" s="39">
        <f>'FS Desroches Daily'!AV32</f>
        <v>79.999999999984084</v>
      </c>
      <c r="AC30" s="39">
        <f>'FS Desroches Daily'!AZ32</f>
        <v>89.999999999974989</v>
      </c>
      <c r="AD30" s="39">
        <f>'FS Desroches Daily'!BB32</f>
        <v>80.000000000040927</v>
      </c>
      <c r="AE30" s="39">
        <f>'FS Desroches Daily'!BD32</f>
        <v>9.9999999999909051</v>
      </c>
      <c r="AF30" s="35">
        <f>'FS Desroches Daily'!BF32</f>
        <v>37</v>
      </c>
      <c r="AG30" s="36">
        <f>'FS Desroches Daily'!BH32</f>
        <v>29.999999999972715</v>
      </c>
      <c r="AH30" s="36">
        <f>'FS Desroches Daily'!BJ32</f>
        <v>29.999999999972715</v>
      </c>
      <c r="AI30" s="36">
        <f>'FS Desroches Daily'!BL32</f>
        <v>30.000000000001137</v>
      </c>
      <c r="AJ30" s="36">
        <f>'FS Desroches Daily'!BN32</f>
        <v>30.000000000001137</v>
      </c>
      <c r="AK30" s="36">
        <f>'FS Desroches Daily'!BP32</f>
        <v>50.000000000011369</v>
      </c>
      <c r="AL30" s="36">
        <f>'FS Desroches Daily'!BR32</f>
        <v>22</v>
      </c>
      <c r="AM30" s="36">
        <f>'FS Desroches Daily'!BT32</f>
        <v>30.000000000001137</v>
      </c>
      <c r="AN30" s="36">
        <f>'FS Desroches Daily'!BV32</f>
        <v>20</v>
      </c>
      <c r="AO30" s="36">
        <f>'FS Desroches Daily'!BX32</f>
        <v>30.000000000001137</v>
      </c>
      <c r="AP30" s="36">
        <f>'FS Desroches Daily'!BZ32</f>
        <v>37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53.299999999995634</v>
      </c>
      <c r="AU30" s="35">
        <f>'FS Desroches Daily'!CJ32</f>
        <v>205</v>
      </c>
      <c r="AV30" s="35">
        <f>'FS Desroches Daily'!CL32</f>
        <v>379.99999999999545</v>
      </c>
      <c r="AW30" s="35">
        <f>'FS Desroches Daily'!CM32</f>
        <v>27.7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5.4944999999999995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1299.9999999998568</v>
      </c>
      <c r="F31" s="36">
        <f>'FS Desroches Daily'!F33</f>
        <v>799.99999999991189</v>
      </c>
      <c r="G31" s="35">
        <f>'FS Desroches Daily'!H33</f>
        <v>1900.0000000000127</v>
      </c>
      <c r="H31" s="36">
        <f>'FS Desroches Daily'!J33</f>
        <v>1199.9999999998679</v>
      </c>
      <c r="I31" s="35">
        <f>'FS Desroches Daily'!L33</f>
        <v>2199.9999999999795</v>
      </c>
      <c r="J31" s="36">
        <f>'FS Desroches Daily'!N33</f>
        <v>999.99999999988984</v>
      </c>
      <c r="K31" s="13">
        <f>'FS Desroches Daily'!P33</f>
        <v>0</v>
      </c>
      <c r="L31" s="35">
        <f>'FS Desroches Daily'!R33</f>
        <v>4</v>
      </c>
      <c r="M31" s="35">
        <f>'FS Desroches Daily'!T33</f>
        <v>533</v>
      </c>
      <c r="N31" s="35">
        <f>'FS Desroches Daily'!V33</f>
        <v>418</v>
      </c>
      <c r="O31" s="35">
        <f>'FS Desroches Daily'!X33</f>
        <v>180.00000000000682</v>
      </c>
      <c r="P31" s="35">
        <f>'FS Desroches Daily'!Z33</f>
        <v>599.99999999993395</v>
      </c>
      <c r="Q31" s="35">
        <f>'FS Desroches Daily'!AB33</f>
        <v>99.999999999965894</v>
      </c>
      <c r="R31" s="35">
        <f>'FS Desroches Daily'!AD33</f>
        <v>279.99999999997272</v>
      </c>
      <c r="S31" s="35">
        <f>'FS Desroches Daily'!AF33</f>
        <v>530.00000000002956</v>
      </c>
      <c r="T31" s="35">
        <f>'FS Desroches Daily'!AH33</f>
        <v>1.2000000000000455</v>
      </c>
      <c r="U31" s="39">
        <f>'FS Desroches Daily'!AJ33</f>
        <v>289.99999999996362</v>
      </c>
      <c r="V31" s="39">
        <f>'FS Desroches Daily'!AL33</f>
        <v>0.12000000000000455</v>
      </c>
      <c r="W31" s="39">
        <f>'FS Desroches Daily'!AN33</f>
        <v>9.0000000000003411E-2</v>
      </c>
      <c r="X31" s="39">
        <f>'FS Desroches Daily'!AP33</f>
        <v>8.0000000000012506E-2</v>
      </c>
      <c r="Y31" s="39">
        <f>'FS Desroches Daily'!AR33</f>
        <v>80.000000000012506</v>
      </c>
      <c r="Z31" s="39">
        <f>'FS Desroches Daily'!AT33</f>
        <v>79.999999999984084</v>
      </c>
      <c r="AA31" s="39">
        <f>'FS Desroches Daily'!AT33</f>
        <v>79.999999999984084</v>
      </c>
      <c r="AB31" s="39">
        <f>'FS Desroches Daily'!AV33</f>
        <v>69.999999999993179</v>
      </c>
      <c r="AC31" s="39">
        <f>'FS Desroches Daily'!AZ33</f>
        <v>0</v>
      </c>
      <c r="AD31" s="39">
        <f>'FS Desroches Daily'!BB33</f>
        <v>69.999999999993179</v>
      </c>
      <c r="AE31" s="39">
        <f>'FS Desroches Daily'!BD33</f>
        <v>10.000000000019327</v>
      </c>
      <c r="AF31" s="35">
        <f>'FS Desroches Daily'!BF33</f>
        <v>21</v>
      </c>
      <c r="AG31" s="36">
        <f>'FS Desroches Daily'!BH33</f>
        <v>30.000000000001137</v>
      </c>
      <c r="AH31" s="36">
        <f>'FS Desroches Daily'!BJ33</f>
        <v>29.999999999972715</v>
      </c>
      <c r="AI31" s="36">
        <f>'FS Desroches Daily'!BL33</f>
        <v>30.000000000001137</v>
      </c>
      <c r="AJ31" s="36">
        <f>'FS Desroches Daily'!BN33</f>
        <v>40.000000000020464</v>
      </c>
      <c r="AK31" s="36">
        <f>'FS Desroches Daily'!BP33</f>
        <v>50.000000000011369</v>
      </c>
      <c r="AL31" s="36">
        <f>'FS Desroches Daily'!BR33</f>
        <v>21</v>
      </c>
      <c r="AM31" s="36">
        <f>'FS Desroches Daily'!BT33</f>
        <v>20.000000000010232</v>
      </c>
      <c r="AN31" s="36">
        <f>'FS Desroches Daily'!BV33</f>
        <v>19</v>
      </c>
      <c r="AO31" s="36">
        <f>'FS Desroches Daily'!BX33</f>
        <v>39.999999999992042</v>
      </c>
      <c r="AP31" s="36">
        <f>'FS Desroches Daily'!BZ33</f>
        <v>38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81.400000000001455</v>
      </c>
      <c r="AU31" s="35">
        <f>'FS Desroches Daily'!CJ33</f>
        <v>193</v>
      </c>
      <c r="AV31" s="35">
        <f>'FS Desroches Daily'!CL33</f>
        <v>360.00000000001364</v>
      </c>
      <c r="AW31" s="35">
        <f>'FS Desroches Daily'!CM33</f>
        <v>29.5</v>
      </c>
      <c r="AX31" s="35" t="str">
        <f>IF(LPG!F38-LPG!F37&lt;0,"0",(LPG!F38-LPG!F37)*1.8315)</f>
        <v>0</v>
      </c>
      <c r="AY31" s="35" t="str">
        <f>IF(LPG!H38-LPG!H37&lt;0,"0",(LPG!H38-LPG!H37)*1.8315)</f>
        <v>0</v>
      </c>
      <c r="AZ31" s="35" t="str">
        <f>IF(LPG!J38-LPG!J37&lt;0,"0",(LPG!J38-LPG!J37)*1.8315)</f>
        <v>0</v>
      </c>
      <c r="BA31" s="35" t="str">
        <f>IF(LPG!M38-LPG!M37&lt;0,"0",(LPG!M38-LPG!M37)*1.8315)</f>
        <v>0</v>
      </c>
      <c r="BB31" s="35" t="str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1400.0000000000678</v>
      </c>
      <c r="F32" s="36">
        <f>'FS Desroches Daily'!F34</f>
        <v>900.0000000001229</v>
      </c>
      <c r="G32" s="35">
        <f>'FS Desroches Daily'!H34</f>
        <v>1799.9999999998017</v>
      </c>
      <c r="H32" s="36">
        <f>'FS Desroches Daily'!J34</f>
        <v>1200.0000000000898</v>
      </c>
      <c r="I32" s="35">
        <f>'FS Desroches Daily'!L34</f>
        <v>2099.9999999999909</v>
      </c>
      <c r="J32" s="36">
        <f>'FS Desroches Daily'!N34</f>
        <v>1000.0000000001119</v>
      </c>
      <c r="K32" s="13">
        <f>'FS Desroches Daily'!P34</f>
        <v>0</v>
      </c>
      <c r="L32" s="35">
        <f>'FS Desroches Daily'!R34</f>
        <v>4</v>
      </c>
      <c r="M32" s="35">
        <f>'FS Desroches Daily'!T34</f>
        <v>261</v>
      </c>
      <c r="N32" s="35">
        <f>'FS Desroches Daily'!V34</f>
        <v>115</v>
      </c>
      <c r="O32" s="35">
        <f>'FS Desroches Daily'!X34</f>
        <v>180.00000000000682</v>
      </c>
      <c r="P32" s="35">
        <f>'FS Desroches Daily'!Z34</f>
        <v>600.00000000037801</v>
      </c>
      <c r="Q32" s="35">
        <f>'FS Desroches Daily'!AB34</f>
        <v>79.999999999984084</v>
      </c>
      <c r="R32" s="35">
        <f>'FS Desroches Daily'!AD34</f>
        <v>279.99999999997272</v>
      </c>
      <c r="S32" s="35">
        <f>'FS Desroches Daily'!AF34</f>
        <v>500</v>
      </c>
      <c r="T32" s="35">
        <f>'FS Desroches Daily'!AH34</f>
        <v>0.89999999999986358</v>
      </c>
      <c r="U32" s="39">
        <f>'FS Desroches Daily'!AJ34</f>
        <v>320.00000000005002</v>
      </c>
      <c r="V32" s="39">
        <f>'FS Desroches Daily'!AL34</f>
        <v>0.12999999999999545</v>
      </c>
      <c r="W32" s="39">
        <f>'FS Desroches Daily'!AN34</f>
        <v>9.9999999999994316E-2</v>
      </c>
      <c r="X32" s="39">
        <f>'FS Desroches Daily'!AP34</f>
        <v>9.0000000000003411E-2</v>
      </c>
      <c r="Y32" s="39">
        <f>'FS Desroches Daily'!AR34</f>
        <v>69.999999999993179</v>
      </c>
      <c r="Z32" s="39">
        <f>'FS Desroches Daily'!AT34</f>
        <v>90.000000000031832</v>
      </c>
      <c r="AA32" s="39">
        <f>'FS Desroches Daily'!AT34</f>
        <v>90.000000000031832</v>
      </c>
      <c r="AB32" s="39">
        <f>'FS Desroches Daily'!AV34</f>
        <v>79.999999999984084</v>
      </c>
      <c r="AC32" s="39">
        <f>'FS Desroches Daily'!AZ34</f>
        <v>79.999999999984084</v>
      </c>
      <c r="AD32" s="39">
        <f>'FS Desroches Daily'!BB34</f>
        <v>69.999999999993179</v>
      </c>
      <c r="AE32" s="39">
        <f>'FS Desroches Daily'!BD34</f>
        <v>9.9999999999909051</v>
      </c>
      <c r="AF32" s="35">
        <f>'FS Desroches Daily'!BF34</f>
        <v>31</v>
      </c>
      <c r="AG32" s="36">
        <f>'FS Desroches Daily'!BH34</f>
        <v>40.000000000020464</v>
      </c>
      <c r="AH32" s="36">
        <f>'FS Desroches Daily'!BJ34</f>
        <v>30.000000000029559</v>
      </c>
      <c r="AI32" s="36">
        <f>'FS Desroches Daily'!BL34</f>
        <v>30.000000000001137</v>
      </c>
      <c r="AJ32" s="36">
        <f>'FS Desroches Daily'!BN34</f>
        <v>39.999999999992042</v>
      </c>
      <c r="AK32" s="36">
        <f>'FS Desroches Daily'!BP34</f>
        <v>39.99999999996362</v>
      </c>
      <c r="AL32" s="36">
        <f>'FS Desroches Daily'!BR34</f>
        <v>24</v>
      </c>
      <c r="AM32" s="36">
        <f>'FS Desroches Daily'!BT34</f>
        <v>30.000000000001137</v>
      </c>
      <c r="AN32" s="36">
        <f>'FS Desroches Daily'!BV34</f>
        <v>21</v>
      </c>
      <c r="AO32" s="36">
        <f>'FS Desroches Daily'!BX34</f>
        <v>39.999999999992042</v>
      </c>
      <c r="AP32" s="36">
        <f>'FS Desroches Daily'!BZ34</f>
        <v>35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61.900000000001455</v>
      </c>
      <c r="AU32" s="35">
        <f>'FS Desroches Daily'!CJ34</f>
        <v>197</v>
      </c>
      <c r="AV32" s="35">
        <f>'FS Desroches Daily'!CL34</f>
        <v>439.99999999994088</v>
      </c>
      <c r="AW32" s="35">
        <f>'FS Desroches Daily'!CM34</f>
        <v>29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48599.999999999978</v>
      </c>
      <c r="F33" s="17">
        <f t="shared" ref="F33:BC33" si="1">SUM(F2:F32)</f>
        <v>28900.00000000016</v>
      </c>
      <c r="G33" s="17">
        <f t="shared" si="1"/>
        <v>55899.999999999869</v>
      </c>
      <c r="H33" s="17">
        <f t="shared" si="1"/>
        <v>38499.999999999993</v>
      </c>
      <c r="I33" s="17">
        <f t="shared" si="1"/>
        <v>69999.999999999825</v>
      </c>
      <c r="J33" s="17">
        <f t="shared" si="1"/>
        <v>34700.000000000182</v>
      </c>
      <c r="K33" s="17">
        <f t="shared" si="1"/>
        <v>5</v>
      </c>
      <c r="L33" s="17">
        <f t="shared" si="1"/>
        <v>162</v>
      </c>
      <c r="M33" s="17">
        <f t="shared" si="1"/>
        <v>6544</v>
      </c>
      <c r="N33" s="17">
        <f t="shared" si="1"/>
        <v>3987</v>
      </c>
      <c r="O33" s="17">
        <f t="shared" si="1"/>
        <v>6530.0000000000327</v>
      </c>
      <c r="P33" s="17">
        <f t="shared" si="1"/>
        <v>18600.000000000182</v>
      </c>
      <c r="Q33" s="17">
        <f t="shared" si="1"/>
        <v>3549.9999999999545</v>
      </c>
      <c r="R33" s="17">
        <f t="shared" si="1"/>
        <v>9609.9999999999563</v>
      </c>
      <c r="S33" s="17">
        <f t="shared" si="1"/>
        <v>18160.000000000025</v>
      </c>
      <c r="T33" s="17">
        <f t="shared" si="1"/>
        <v>32.5</v>
      </c>
      <c r="U33" s="39">
        <f t="shared" si="1"/>
        <v>9080.00000000004</v>
      </c>
      <c r="V33" s="39">
        <f t="shared" si="1"/>
        <v>5.4800000000000182</v>
      </c>
      <c r="W33" s="39">
        <f t="shared" si="1"/>
        <v>4.2299999999999898</v>
      </c>
      <c r="X33" s="39">
        <f t="shared" si="1"/>
        <v>3.9900000000000091</v>
      </c>
      <c r="Y33" s="39">
        <f t="shared" si="1"/>
        <v>3729.9999999999914</v>
      </c>
      <c r="Z33" s="39">
        <f t="shared" si="1"/>
        <v>3431.860000000016</v>
      </c>
      <c r="AA33" s="39">
        <f t="shared" si="1"/>
        <v>3431.860000000016</v>
      </c>
      <c r="AB33" s="39">
        <f t="shared" si="1"/>
        <v>2709.9999999999795</v>
      </c>
      <c r="AC33" s="39">
        <f t="shared" si="1"/>
        <v>2419.9999999999591</v>
      </c>
      <c r="AD33" s="39">
        <f t="shared" si="1"/>
        <v>2759.9999999999909</v>
      </c>
      <c r="AE33" s="39">
        <f t="shared" si="1"/>
        <v>349.99999999999432</v>
      </c>
      <c r="AF33" s="17">
        <f t="shared" si="1"/>
        <v>986</v>
      </c>
      <c r="AG33" s="36">
        <f t="shared" si="1"/>
        <v>960.00000000000796</v>
      </c>
      <c r="AH33" s="36">
        <f t="shared" si="1"/>
        <v>1139.9999999999864</v>
      </c>
      <c r="AI33" s="36">
        <f t="shared" si="1"/>
        <v>1070.0000000000216</v>
      </c>
      <c r="AJ33" s="36">
        <f t="shared" si="1"/>
        <v>1379.9999999999955</v>
      </c>
      <c r="AK33" s="36">
        <f t="shared" si="1"/>
        <v>1579.9999999999841</v>
      </c>
      <c r="AL33" s="36">
        <f t="shared" si="1"/>
        <v>699</v>
      </c>
      <c r="AM33" s="36">
        <f t="shared" si="1"/>
        <v>740.00000000000909</v>
      </c>
      <c r="AN33" s="36">
        <f t="shared" si="1"/>
        <v>749</v>
      </c>
      <c r="AO33" s="36">
        <f t="shared" si="1"/>
        <v>1120.0000000000045</v>
      </c>
      <c r="AP33" s="36">
        <f t="shared" si="1"/>
        <v>1242</v>
      </c>
      <c r="AQ33" s="17">
        <f t="shared" si="1"/>
        <v>2.7999999999992724</v>
      </c>
      <c r="AR33" s="17">
        <f t="shared" si="1"/>
        <v>0.39999999999781721</v>
      </c>
      <c r="AS33" s="17">
        <f t="shared" si="1"/>
        <v>15.5</v>
      </c>
      <c r="AT33" s="17">
        <f t="shared" si="1"/>
        <v>1867.8000000000029</v>
      </c>
      <c r="AU33" s="17">
        <f t="shared" si="1"/>
        <v>7027</v>
      </c>
      <c r="AV33" s="17">
        <f t="shared" si="1"/>
        <v>12759.999999999989</v>
      </c>
      <c r="AW33" s="17">
        <f t="shared" si="1"/>
        <v>861.80000000000007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206.95949999999991</v>
      </c>
      <c r="BC33" s="17">
        <f t="shared" si="1"/>
        <v>0</v>
      </c>
    </row>
    <row r="35" spans="5:55" x14ac:dyDescent="0.25">
      <c r="E35" s="42">
        <f>E33/E37</f>
        <v>0.24577976918953329</v>
      </c>
      <c r="G35" s="33">
        <f>G33-M36</f>
        <v>45368.999999999869</v>
      </c>
      <c r="AE35" s="39">
        <f>SUM(U33:AE33)</f>
        <v>27927.419999999984</v>
      </c>
      <c r="AG35" s="36">
        <f>SUM(AG33:AP33)</f>
        <v>10680.000000000011</v>
      </c>
    </row>
    <row r="36" spans="5:55" x14ac:dyDescent="0.25">
      <c r="G36" s="33">
        <f>G35-633*14</f>
        <v>36506.999999999869</v>
      </c>
      <c r="M36" s="33">
        <f>M33+N33</f>
        <v>10531</v>
      </c>
    </row>
    <row r="37" spans="5:55" x14ac:dyDescent="0.25">
      <c r="E37" s="17">
        <f>E33+F33+G33+H33+J33-633*14</f>
        <v>197738.00000000017</v>
      </c>
      <c r="G37" s="41">
        <f>M36/E37</f>
        <v>5.3257340521295812E-2</v>
      </c>
      <c r="M37" s="39">
        <f>AE35</f>
        <v>27927.419999999984</v>
      </c>
    </row>
    <row r="38" spans="5:55" x14ac:dyDescent="0.25">
      <c r="L38" s="31">
        <f>M38/E37</f>
        <v>5.4010862858934555E-2</v>
      </c>
      <c r="M38" s="33">
        <f>AG35</f>
        <v>10680.000000000011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14" activePane="bottomLeft" state="frozen"/>
      <selection pane="bottomLeft" activeCell="CL32" sqref="CL32:CL33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3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3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3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3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3" si="6">IF((M5-M4&lt;0), "",(M5-M4)*1000000)</f>
        <v>899.99999999990087</v>
      </c>
      <c r="O5" s="64">
        <v>12538</v>
      </c>
      <c r="P5" s="72">
        <f t="shared" ref="P5:P33" si="7">IF((O5-O4&lt;0), "",O5-O4)</f>
        <v>1</v>
      </c>
      <c r="Q5" s="64">
        <v>5120</v>
      </c>
      <c r="R5" s="72">
        <f t="shared" ref="R5:R33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3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3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3" si="12">IF((AK5-AK4&lt;0), "",AK5-AK4)</f>
        <v>0.12000000000000455</v>
      </c>
      <c r="AM5" s="64">
        <v>142.68</v>
      </c>
      <c r="AN5" s="72">
        <f t="shared" ref="AN5:AN33" si="13">IF((AM5-AM4&lt;0), "",AM5-AM4)</f>
        <v>0.11000000000001364</v>
      </c>
      <c r="AO5" s="64">
        <v>139.36000000000001</v>
      </c>
      <c r="AP5" s="72">
        <f t="shared" ref="AP5:AP33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3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3" si="17">IF((BY5-BY4&lt;0), "",BY5-BY4)</f>
        <v>34</v>
      </c>
      <c r="CA5" s="67">
        <v>27497.9</v>
      </c>
      <c r="CB5" s="72">
        <f t="shared" ref="CB5:CB33" si="18">IF((CA5-CA4&lt;0), "",CA5-CA4)</f>
        <v>0</v>
      </c>
      <c r="CC5" s="67">
        <v>11250.2</v>
      </c>
      <c r="CD5" s="72">
        <f t="shared" ref="CD5:CD33" si="19">IF((CC5-CC4&lt;0), "",CC5-CC4)</f>
        <v>0</v>
      </c>
      <c r="CE5" s="67">
        <v>5472</v>
      </c>
      <c r="CF5" s="72">
        <f t="shared" ref="CF5:CF33" si="20">IF((CE5-CE4&lt;0), "",CE5-CE4)</f>
        <v>0</v>
      </c>
      <c r="CG5" s="67">
        <v>41683.9</v>
      </c>
      <c r="CH5" s="72">
        <f t="shared" ref="CH5:CH33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3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3" si="23">IF((W6-W5&lt;0), "",(W6-W5)*1000)</f>
        <v>259.99999999999091</v>
      </c>
      <c r="Y6" s="64">
        <v>2.3565999999999998</v>
      </c>
      <c r="Z6" s="72">
        <f t="shared" ref="Z6:Z33" si="24">IF((Y6-Y5&lt;0), "",(Y6-Y5)*1000000)</f>
        <v>699.99999999970089</v>
      </c>
      <c r="AA6" s="64">
        <v>320.8</v>
      </c>
      <c r="AB6" s="72">
        <f t="shared" ref="AB6:AB33" si="25">IF((AA6-AA5&lt;0), "",(AA6-AA5)*1000)</f>
        <v>120.00000000000455</v>
      </c>
      <c r="AC6" s="64">
        <v>290.54000000000002</v>
      </c>
      <c r="AD6" s="72">
        <f t="shared" ref="AD6:AD33" si="26">IF((AC6-AC5&lt;0), "",(AC6-AC5)*1000)</f>
        <v>340.00000000003183</v>
      </c>
      <c r="AE6" s="64">
        <v>450.87</v>
      </c>
      <c r="AF6" s="72">
        <f t="shared" ref="AF6:AF33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3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3" si="29">IF((AQ6-AQ5&lt;0), "",(AQ6-AQ5)*1000)</f>
        <v>60.000000000002274</v>
      </c>
      <c r="AS6" s="64">
        <v>338.1</v>
      </c>
      <c r="AT6" s="72">
        <f t="shared" ref="AT6:AT33" si="30">IF((AS6-AS5&lt;0), "",(AS6-AS5)*1000)</f>
        <v>110.00000000001364</v>
      </c>
      <c r="AU6" s="64">
        <v>260.63</v>
      </c>
      <c r="AV6" s="72">
        <f t="shared" ref="AV6:AV33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2" si="33">IF((AY6-AY5&lt;0), "",(AY6-AY5)*1000)</f>
        <v>90.000000000031832</v>
      </c>
      <c r="BA6" s="64">
        <v>359.34</v>
      </c>
      <c r="BB6" s="72">
        <f t="shared" ref="BB6:BB33" si="34">IF((BA6-BA5&lt;0), "",(BA6-BA5)*1000)</f>
        <v>89.999999999974989</v>
      </c>
      <c r="BC6" s="64">
        <v>202.89</v>
      </c>
      <c r="BD6" s="72">
        <f t="shared" ref="BD6:BD33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3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3" si="39">IF((BM6-BM5&lt;0), "",(BM6-BM5)*1000)</f>
        <v>49.999999999982947</v>
      </c>
      <c r="BO6" s="67">
        <v>274.86</v>
      </c>
      <c r="BP6" s="72">
        <f t="shared" ref="BP6:BP33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3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3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3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>
        <v>27525</v>
      </c>
      <c r="BF21" s="72">
        <f t="shared" si="15"/>
        <v>30</v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>
        <v>1.6498999999999999</v>
      </c>
      <c r="D22" s="71">
        <f t="shared" si="3"/>
        <v>1399.9999999998458</v>
      </c>
      <c r="E22" s="64">
        <v>2.6732</v>
      </c>
      <c r="F22" s="71">
        <f t="shared" si="4"/>
        <v>900.0000000001229</v>
      </c>
      <c r="G22" s="64">
        <v>2.4780000000000002</v>
      </c>
      <c r="H22" s="71">
        <f t="shared" si="5"/>
        <v>1500.0000000000568</v>
      </c>
      <c r="I22" s="64">
        <v>1.1806000000000001</v>
      </c>
      <c r="J22" s="71">
        <f t="shared" si="43"/>
        <v>1200.0000000000898</v>
      </c>
      <c r="K22" s="64">
        <v>1.8070999999999999</v>
      </c>
      <c r="L22" s="71">
        <f t="shared" si="0"/>
        <v>2199.9999999999795</v>
      </c>
      <c r="M22" s="64">
        <v>1.1577999999999999</v>
      </c>
      <c r="N22" s="71">
        <f t="shared" si="6"/>
        <v>999.99999999988984</v>
      </c>
      <c r="O22" s="64">
        <v>12541</v>
      </c>
      <c r="P22" s="72">
        <f t="shared" si="7"/>
        <v>0</v>
      </c>
      <c r="Q22" s="64">
        <v>5216</v>
      </c>
      <c r="R22" s="72">
        <f t="shared" si="8"/>
        <v>6</v>
      </c>
      <c r="S22" s="64">
        <v>823197</v>
      </c>
      <c r="T22" s="72">
        <f t="shared" si="44"/>
        <v>85</v>
      </c>
      <c r="U22" s="64">
        <v>333145</v>
      </c>
      <c r="V22" s="72">
        <f t="shared" si="10"/>
        <v>52</v>
      </c>
      <c r="W22" s="64">
        <v>324.44</v>
      </c>
      <c r="X22" s="72">
        <f t="shared" si="23"/>
        <v>180.00000000000682</v>
      </c>
      <c r="Y22" s="64">
        <v>2.3664000000000001</v>
      </c>
      <c r="Z22" s="72">
        <f t="shared" si="24"/>
        <v>500.00000000016701</v>
      </c>
      <c r="AA22" s="64">
        <v>322.72000000000003</v>
      </c>
      <c r="AB22" s="72">
        <f t="shared" si="25"/>
        <v>110.00000000001364</v>
      </c>
      <c r="AC22" s="64">
        <v>295.83</v>
      </c>
      <c r="AD22" s="72">
        <f t="shared" si="26"/>
        <v>300.00000000001137</v>
      </c>
      <c r="AE22" s="64">
        <v>460.88</v>
      </c>
      <c r="AF22" s="72">
        <f t="shared" si="27"/>
        <v>519.99999999998181</v>
      </c>
      <c r="AG22" s="64">
        <v>1182.7</v>
      </c>
      <c r="AH22" s="72">
        <f t="shared" si="11"/>
        <v>0.90000000000009095</v>
      </c>
      <c r="AI22" s="64">
        <v>406.14</v>
      </c>
      <c r="AJ22" s="72">
        <f t="shared" si="28"/>
        <v>279.99999999997272</v>
      </c>
      <c r="AK22" s="64">
        <v>143.77000000000001</v>
      </c>
      <c r="AL22" s="72">
        <f t="shared" si="12"/>
        <v>0.15999999999999659</v>
      </c>
      <c r="AM22" s="64">
        <v>145.29</v>
      </c>
      <c r="AN22" s="72">
        <f t="shared" si="13"/>
        <v>0.13999999999998636</v>
      </c>
      <c r="AO22" s="64">
        <v>141.87</v>
      </c>
      <c r="AP22" s="72">
        <f t="shared" si="14"/>
        <v>9.9999999999994316E-2</v>
      </c>
      <c r="AQ22" s="64">
        <v>213.4</v>
      </c>
      <c r="AR22" s="72">
        <f t="shared" si="29"/>
        <v>110.00000000001364</v>
      </c>
      <c r="AS22" s="64">
        <v>339.92</v>
      </c>
      <c r="AT22" s="72">
        <f t="shared" si="30"/>
        <v>90.000000000031832</v>
      </c>
      <c r="AU22" s="64">
        <v>262.05</v>
      </c>
      <c r="AV22" s="72">
        <f t="shared" si="31"/>
        <v>100.00000000002274</v>
      </c>
      <c r="AW22" s="64">
        <v>289.64</v>
      </c>
      <c r="AX22" s="72">
        <f t="shared" si="32"/>
        <v>99.999999999965894</v>
      </c>
      <c r="AY22" s="64">
        <v>340.67</v>
      </c>
      <c r="AZ22" s="72">
        <f t="shared" si="33"/>
        <v>40.000000000020464</v>
      </c>
      <c r="BA22" s="64">
        <v>360.87</v>
      </c>
      <c r="BB22" s="72">
        <f t="shared" si="34"/>
        <v>79.999999999984084</v>
      </c>
      <c r="BC22" s="64">
        <v>203.05</v>
      </c>
      <c r="BD22" s="72">
        <f t="shared" si="35"/>
        <v>0</v>
      </c>
      <c r="BE22" s="66">
        <v>27555</v>
      </c>
      <c r="BF22" s="72">
        <f t="shared" si="15"/>
        <v>30</v>
      </c>
      <c r="BG22" s="67">
        <v>223.08</v>
      </c>
      <c r="BH22" s="72">
        <f t="shared" si="36"/>
        <v>10.000000000019327</v>
      </c>
      <c r="BI22" s="67">
        <v>280.63</v>
      </c>
      <c r="BJ22" s="72">
        <f t="shared" si="37"/>
        <v>29.999999999972715</v>
      </c>
      <c r="BK22" s="67">
        <v>228.64</v>
      </c>
      <c r="BL22" s="72">
        <f t="shared" si="38"/>
        <v>19.99999999998181</v>
      </c>
      <c r="BM22" s="67">
        <v>211.53</v>
      </c>
      <c r="BN22" s="72">
        <f t="shared" si="39"/>
        <v>39.999999999992042</v>
      </c>
      <c r="BO22" s="67">
        <v>275.68</v>
      </c>
      <c r="BP22" s="72">
        <f t="shared" si="40"/>
        <v>30.000000000029559</v>
      </c>
      <c r="BQ22" s="67">
        <v>37745</v>
      </c>
      <c r="BR22" s="72">
        <f t="shared" si="16"/>
        <v>12</v>
      </c>
      <c r="BS22" s="67">
        <v>192.08</v>
      </c>
      <c r="BT22" s="72">
        <f t="shared" si="41"/>
        <v>20.000000000010232</v>
      </c>
      <c r="BU22" s="67">
        <v>28739</v>
      </c>
      <c r="BV22" s="72">
        <f t="shared" si="1"/>
        <v>15</v>
      </c>
      <c r="BW22" s="67">
        <v>221.96</v>
      </c>
      <c r="BX22" s="72">
        <f t="shared" si="42"/>
        <v>20.000000000010232</v>
      </c>
      <c r="BY22" s="67">
        <v>47046</v>
      </c>
      <c r="BZ22" s="72">
        <f t="shared" si="17"/>
        <v>29</v>
      </c>
      <c r="CA22" s="67">
        <v>27497.9</v>
      </c>
      <c r="CB22" s="72">
        <f t="shared" si="18"/>
        <v>0</v>
      </c>
      <c r="CC22" s="67">
        <v>11250.2</v>
      </c>
      <c r="CD22" s="72">
        <f>IF((CC23-CC21&lt;0), "",CC23-CC21)</f>
        <v>0</v>
      </c>
      <c r="CE22" s="67">
        <v>5472</v>
      </c>
      <c r="CF22" s="72">
        <f t="shared" si="20"/>
        <v>0</v>
      </c>
      <c r="CG22" s="67">
        <v>42655.3</v>
      </c>
      <c r="CH22" s="72">
        <f t="shared" si="21"/>
        <v>65.80000000000291</v>
      </c>
      <c r="CI22" s="67">
        <v>847375</v>
      </c>
      <c r="CJ22" s="72">
        <f t="shared" si="2"/>
        <v>198</v>
      </c>
      <c r="CK22" s="67">
        <v>550.59</v>
      </c>
      <c r="CL22" s="71">
        <f t="shared" si="22"/>
        <v>360.00000000001364</v>
      </c>
      <c r="CM22" s="72">
        <v>17.399999999999999</v>
      </c>
      <c r="CN22" s="69">
        <v>0</v>
      </c>
      <c r="CO22" s="69">
        <v>0</v>
      </c>
    </row>
    <row r="23" spans="1:93" ht="25.5" customHeight="1" thickBot="1" x14ac:dyDescent="0.45">
      <c r="A23" s="70">
        <v>43941</v>
      </c>
      <c r="B23" s="48"/>
      <c r="C23" s="64">
        <v>1.6513</v>
      </c>
      <c r="D23" s="71">
        <f t="shared" si="3"/>
        <v>1400.0000000000678</v>
      </c>
      <c r="E23" s="64">
        <v>2.6739999999999999</v>
      </c>
      <c r="F23" s="71">
        <f t="shared" si="4"/>
        <v>799.99999999991189</v>
      </c>
      <c r="G23" s="64">
        <v>2.4798</v>
      </c>
      <c r="H23" s="71">
        <f t="shared" si="5"/>
        <v>1799.9999999998017</v>
      </c>
      <c r="I23" s="64">
        <v>1.1817</v>
      </c>
      <c r="J23" s="71">
        <f t="shared" si="43"/>
        <v>1099.9999999998788</v>
      </c>
      <c r="K23" s="64">
        <v>1.8091999999999999</v>
      </c>
      <c r="L23" s="71">
        <f t="shared" si="0"/>
        <v>2099.9999999999909</v>
      </c>
      <c r="M23" s="64">
        <v>1.1588000000000001</v>
      </c>
      <c r="N23" s="71">
        <f t="shared" si="6"/>
        <v>1000.0000000001119</v>
      </c>
      <c r="O23" s="64">
        <v>12541</v>
      </c>
      <c r="P23" s="72">
        <f t="shared" si="7"/>
        <v>0</v>
      </c>
      <c r="Q23" s="64">
        <v>5219</v>
      </c>
      <c r="R23" s="72">
        <f t="shared" si="8"/>
        <v>3</v>
      </c>
      <c r="S23" s="64">
        <v>823289</v>
      </c>
      <c r="T23" s="72">
        <f t="shared" si="44"/>
        <v>92</v>
      </c>
      <c r="U23" s="64">
        <v>333202</v>
      </c>
      <c r="V23" s="72">
        <f t="shared" si="10"/>
        <v>57</v>
      </c>
      <c r="W23" s="64">
        <v>324.64</v>
      </c>
      <c r="X23" s="72">
        <f t="shared" si="23"/>
        <v>199.99999999998863</v>
      </c>
      <c r="Y23" s="64">
        <v>2.367</v>
      </c>
      <c r="Z23" s="72">
        <f t="shared" si="24"/>
        <v>599.99999999993395</v>
      </c>
      <c r="AA23" s="64">
        <v>322.81</v>
      </c>
      <c r="AB23" s="72">
        <f t="shared" si="25"/>
        <v>89.999999999974989</v>
      </c>
      <c r="AC23" s="64">
        <v>296.08999999999997</v>
      </c>
      <c r="AD23" s="72">
        <f t="shared" si="26"/>
        <v>259.99999999999091</v>
      </c>
      <c r="AE23" s="64">
        <v>461.38</v>
      </c>
      <c r="AF23" s="72">
        <f t="shared" si="27"/>
        <v>500</v>
      </c>
      <c r="AG23" s="64">
        <v>1183.8</v>
      </c>
      <c r="AH23" s="72">
        <f t="shared" si="11"/>
        <v>1.0999999999999091</v>
      </c>
      <c r="AI23" s="64">
        <v>406.44</v>
      </c>
      <c r="AJ23" s="72">
        <f t="shared" si="28"/>
        <v>300.00000000001137</v>
      </c>
      <c r="AK23" s="64">
        <v>143.94</v>
      </c>
      <c r="AL23" s="72"/>
      <c r="AM23" s="64">
        <v>145.41</v>
      </c>
      <c r="AN23" s="72">
        <f t="shared" si="13"/>
        <v>0.12000000000000455</v>
      </c>
      <c r="AO23" s="64">
        <v>141.97999999999999</v>
      </c>
      <c r="AP23" s="72">
        <f t="shared" si="14"/>
        <v>0.10999999999998522</v>
      </c>
      <c r="AQ23" s="64">
        <v>213.5</v>
      </c>
      <c r="AR23" s="72">
        <f t="shared" si="29"/>
        <v>99.999999999994316</v>
      </c>
      <c r="AS23" s="64">
        <v>340</v>
      </c>
      <c r="AT23" s="72">
        <f t="shared" si="30"/>
        <v>79.999999999984084</v>
      </c>
      <c r="AU23" s="64">
        <v>262.14</v>
      </c>
      <c r="AV23" s="72">
        <f t="shared" si="31"/>
        <v>89.999999999974989</v>
      </c>
      <c r="AW23" s="64">
        <v>289.73</v>
      </c>
      <c r="AX23" s="72">
        <f t="shared" si="32"/>
        <v>90.000000000031832</v>
      </c>
      <c r="AY23" s="64">
        <v>340.72</v>
      </c>
      <c r="AZ23" s="72">
        <f t="shared" si="33"/>
        <v>50.000000000011369</v>
      </c>
      <c r="BA23" s="64">
        <v>360.94</v>
      </c>
      <c r="BB23" s="72">
        <f t="shared" si="34"/>
        <v>69.999999999993179</v>
      </c>
      <c r="BC23" s="64">
        <v>203.07</v>
      </c>
      <c r="BD23" s="72">
        <f t="shared" si="35"/>
        <v>19.99999999998181</v>
      </c>
      <c r="BE23" s="66">
        <v>27586</v>
      </c>
      <c r="BF23" s="72">
        <f t="shared" si="15"/>
        <v>31</v>
      </c>
      <c r="BG23" s="67">
        <v>223.1</v>
      </c>
      <c r="BH23" s="72">
        <f t="shared" si="36"/>
        <v>19.99999999998181</v>
      </c>
      <c r="BI23" s="67">
        <v>280.64999999999998</v>
      </c>
      <c r="BJ23" s="72">
        <f t="shared" si="37"/>
        <v>19.99999999998181</v>
      </c>
      <c r="BK23" s="67">
        <v>228.66</v>
      </c>
      <c r="BL23" s="72">
        <f t="shared" si="38"/>
        <v>20.000000000010232</v>
      </c>
      <c r="BM23" s="67">
        <v>211.55</v>
      </c>
      <c r="BN23" s="72">
        <f t="shared" si="39"/>
        <v>20.000000000010232</v>
      </c>
      <c r="BO23" s="67">
        <v>275.70999999999998</v>
      </c>
      <c r="BP23" s="72">
        <f t="shared" si="40"/>
        <v>29.999999999972715</v>
      </c>
      <c r="BQ23" s="67">
        <v>37756</v>
      </c>
      <c r="BR23" s="72">
        <f t="shared" si="16"/>
        <v>11</v>
      </c>
      <c r="BS23" s="67">
        <v>192.09</v>
      </c>
      <c r="BT23" s="72">
        <f t="shared" si="41"/>
        <v>9.9999999999909051</v>
      </c>
      <c r="BU23" s="67">
        <v>28753</v>
      </c>
      <c r="BV23" s="72">
        <f t="shared" si="1"/>
        <v>14</v>
      </c>
      <c r="BW23" s="67">
        <v>221.98</v>
      </c>
      <c r="BX23" s="72">
        <f t="shared" si="42"/>
        <v>19.99999999998181</v>
      </c>
      <c r="BY23" s="67">
        <v>47062</v>
      </c>
      <c r="BZ23" s="72">
        <f t="shared" si="17"/>
        <v>16</v>
      </c>
      <c r="CA23" s="67">
        <v>27497.9</v>
      </c>
      <c r="CB23" s="72">
        <f t="shared" si="18"/>
        <v>0</v>
      </c>
      <c r="CC23" s="67">
        <v>11250.2</v>
      </c>
      <c r="CD23" s="72">
        <f t="shared" ref="CD23:CD24" si="45">IF((CC24-CC22&lt;0), "",CC24-CC22)</f>
        <v>0</v>
      </c>
      <c r="CE23" s="67">
        <v>5472</v>
      </c>
      <c r="CF23" s="72">
        <f t="shared" si="20"/>
        <v>0</v>
      </c>
      <c r="CG23" s="67">
        <v>42716.2</v>
      </c>
      <c r="CH23" s="72">
        <f t="shared" si="21"/>
        <v>60.899999999994179</v>
      </c>
      <c r="CI23" s="67">
        <v>847594</v>
      </c>
      <c r="CJ23" s="72">
        <f t="shared" si="2"/>
        <v>219</v>
      </c>
      <c r="CK23" s="67">
        <v>551.04</v>
      </c>
      <c r="CL23" s="71">
        <f t="shared" si="22"/>
        <v>449.99999999993179</v>
      </c>
      <c r="CM23" s="72">
        <v>30</v>
      </c>
      <c r="CN23" s="69">
        <v>0</v>
      </c>
      <c r="CO23" s="69">
        <v>0</v>
      </c>
    </row>
    <row r="24" spans="1:93" ht="25.5" customHeight="1" thickBot="1" x14ac:dyDescent="0.45">
      <c r="A24" s="70">
        <v>43942</v>
      </c>
      <c r="B24" s="48"/>
      <c r="C24" s="64">
        <v>1.6527000000000001</v>
      </c>
      <c r="D24" s="71">
        <f t="shared" si="3"/>
        <v>1400.0000000000678</v>
      </c>
      <c r="E24" s="64">
        <v>2.6749000000000001</v>
      </c>
      <c r="F24" s="71">
        <f t="shared" si="4"/>
        <v>900.0000000001229</v>
      </c>
      <c r="G24" s="64">
        <v>2.4817</v>
      </c>
      <c r="H24" s="71">
        <f t="shared" si="5"/>
        <v>1900.0000000000127</v>
      </c>
      <c r="I24" s="64">
        <v>1.1829000000000001</v>
      </c>
      <c r="J24" s="71">
        <f t="shared" si="43"/>
        <v>1200.0000000000898</v>
      </c>
      <c r="K24" s="64">
        <v>1.8111999999999999</v>
      </c>
      <c r="L24" s="71">
        <f t="shared" si="0"/>
        <v>2000.0000000000018</v>
      </c>
      <c r="M24" s="64">
        <v>1.1597999999999999</v>
      </c>
      <c r="N24" s="71">
        <f t="shared" si="6"/>
        <v>999.99999999988984</v>
      </c>
      <c r="O24" s="64">
        <v>12541</v>
      </c>
      <c r="P24" s="72">
        <f t="shared" si="7"/>
        <v>0</v>
      </c>
      <c r="Q24" s="64">
        <v>5223</v>
      </c>
      <c r="R24" s="72">
        <f t="shared" si="8"/>
        <v>4</v>
      </c>
      <c r="S24" s="64">
        <v>823551</v>
      </c>
      <c r="T24" s="72">
        <f t="shared" si="44"/>
        <v>262</v>
      </c>
      <c r="U24" s="64">
        <v>333346</v>
      </c>
      <c r="V24" s="72">
        <f t="shared" si="10"/>
        <v>144</v>
      </c>
      <c r="W24" s="64">
        <v>324.85000000000002</v>
      </c>
      <c r="X24" s="72">
        <f t="shared" si="23"/>
        <v>210.00000000003638</v>
      </c>
      <c r="Y24" s="64">
        <v>2.3675000000000002</v>
      </c>
      <c r="Z24" s="72">
        <f t="shared" si="24"/>
        <v>500.00000000016701</v>
      </c>
      <c r="AA24" s="64">
        <v>322.92</v>
      </c>
      <c r="AB24" s="72">
        <f t="shared" si="25"/>
        <v>110.00000000001364</v>
      </c>
      <c r="AC24" s="64">
        <v>296.35000000000002</v>
      </c>
      <c r="AD24" s="72">
        <f t="shared" si="26"/>
        <v>260.00000000004775</v>
      </c>
      <c r="AE24" s="64">
        <v>461.9</v>
      </c>
      <c r="AF24" s="72">
        <f t="shared" si="27"/>
        <v>519.99999999998181</v>
      </c>
      <c r="AG24" s="64">
        <v>1184.5999999999999</v>
      </c>
      <c r="AH24" s="72">
        <f t="shared" si="11"/>
        <v>0.79999999999995453</v>
      </c>
      <c r="AI24" s="64">
        <v>406.71</v>
      </c>
      <c r="AJ24" s="72">
        <f t="shared" si="28"/>
        <v>269.99999999998181</v>
      </c>
      <c r="AK24" s="64">
        <v>144.15</v>
      </c>
      <c r="AL24" s="72">
        <f t="shared" si="12"/>
        <v>0.21000000000000796</v>
      </c>
      <c r="AM24" s="64">
        <v>145.52000000000001</v>
      </c>
      <c r="AN24" s="72">
        <f t="shared" si="13"/>
        <v>0.11000000000001364</v>
      </c>
      <c r="AO24" s="64">
        <v>142.08000000000001</v>
      </c>
      <c r="AP24" s="72">
        <f t="shared" si="14"/>
        <v>0.10000000000002274</v>
      </c>
      <c r="AQ24" s="64">
        <v>213.6</v>
      </c>
      <c r="AR24" s="72">
        <f t="shared" si="29"/>
        <v>99.999999999994316</v>
      </c>
      <c r="AS24" s="64">
        <v>340.09</v>
      </c>
      <c r="AT24" s="72">
        <f t="shared" si="30"/>
        <v>89.999999999974989</v>
      </c>
      <c r="AU24" s="64">
        <v>262.22000000000003</v>
      </c>
      <c r="AV24" s="72">
        <f t="shared" si="31"/>
        <v>80.000000000040927</v>
      </c>
      <c r="AW24" s="64">
        <v>289.81</v>
      </c>
      <c r="AX24" s="72">
        <f t="shared" si="32"/>
        <v>79.999999999984084</v>
      </c>
      <c r="AY24" s="64">
        <v>340.76</v>
      </c>
      <c r="AZ24" s="72">
        <f t="shared" si="33"/>
        <v>39.99999999996362</v>
      </c>
      <c r="BA24" s="64">
        <v>361.01</v>
      </c>
      <c r="BB24" s="72">
        <f t="shared" si="34"/>
        <v>69.999999999993179</v>
      </c>
      <c r="BC24" s="64">
        <v>203.08</v>
      </c>
      <c r="BD24" s="72">
        <f t="shared" si="35"/>
        <v>10.000000000019327</v>
      </c>
      <c r="BE24" s="66">
        <v>27619</v>
      </c>
      <c r="BF24" s="72">
        <f t="shared" si="15"/>
        <v>33</v>
      </c>
      <c r="BG24" s="67">
        <v>223.12</v>
      </c>
      <c r="BH24" s="72">
        <f t="shared" si="36"/>
        <v>20.000000000010232</v>
      </c>
      <c r="BI24" s="67">
        <v>280.68</v>
      </c>
      <c r="BJ24" s="72">
        <f t="shared" si="37"/>
        <v>30.000000000029559</v>
      </c>
      <c r="BK24" s="67">
        <v>228.69</v>
      </c>
      <c r="BL24" s="72">
        <f t="shared" si="38"/>
        <v>30.000000000001137</v>
      </c>
      <c r="BM24" s="67">
        <v>211.58</v>
      </c>
      <c r="BN24" s="72">
        <f t="shared" si="39"/>
        <v>30.000000000001137</v>
      </c>
      <c r="BO24" s="67">
        <v>275.75</v>
      </c>
      <c r="BP24" s="72">
        <f t="shared" si="40"/>
        <v>40.000000000020464</v>
      </c>
      <c r="BQ24" s="67">
        <v>37775</v>
      </c>
      <c r="BR24" s="72">
        <f t="shared" si="16"/>
        <v>19</v>
      </c>
      <c r="BS24" s="67">
        <v>192.11</v>
      </c>
      <c r="BT24" s="72">
        <f t="shared" si="41"/>
        <v>20.000000000010232</v>
      </c>
      <c r="BU24" s="67">
        <v>28775</v>
      </c>
      <c r="BV24" s="72">
        <f t="shared" si="1"/>
        <v>22</v>
      </c>
      <c r="BW24" s="67">
        <v>222</v>
      </c>
      <c r="BX24" s="72">
        <f t="shared" si="42"/>
        <v>20.000000000010232</v>
      </c>
      <c r="BY24" s="67">
        <v>47098</v>
      </c>
      <c r="BZ24" s="72">
        <f t="shared" si="17"/>
        <v>36</v>
      </c>
      <c r="CA24" s="67">
        <v>27497.9</v>
      </c>
      <c r="CB24" s="72">
        <f t="shared" si="18"/>
        <v>0</v>
      </c>
      <c r="CC24" s="67">
        <v>11250.2</v>
      </c>
      <c r="CD24" s="72">
        <f t="shared" si="45"/>
        <v>0.19999999999890861</v>
      </c>
      <c r="CE24" s="67">
        <v>5472</v>
      </c>
      <c r="CF24" s="72">
        <f t="shared" si="20"/>
        <v>0</v>
      </c>
      <c r="CG24" s="67">
        <v>42790.2</v>
      </c>
      <c r="CH24" s="72">
        <f t="shared" si="21"/>
        <v>74</v>
      </c>
      <c r="CI24" s="67">
        <v>847798</v>
      </c>
      <c r="CJ24" s="72">
        <f t="shared" si="2"/>
        <v>204</v>
      </c>
      <c r="CK24" s="67">
        <v>551.51</v>
      </c>
      <c r="CL24" s="71">
        <f t="shared" si="22"/>
        <v>470.00000000002728</v>
      </c>
      <c r="CM24" s="72">
        <v>27.7</v>
      </c>
      <c r="CN24" s="69">
        <v>0</v>
      </c>
      <c r="CO24" s="69">
        <v>0</v>
      </c>
    </row>
    <row r="25" spans="1:93" ht="25.5" customHeight="1" thickBot="1" x14ac:dyDescent="0.45">
      <c r="A25" s="70">
        <v>43943</v>
      </c>
      <c r="B25" s="48"/>
      <c r="C25" s="64">
        <v>1.6538999999999999</v>
      </c>
      <c r="D25" s="71">
        <f t="shared" si="3"/>
        <v>1199.9999999998679</v>
      </c>
      <c r="E25" s="64">
        <v>2.6758000000000002</v>
      </c>
      <c r="F25" s="71">
        <f t="shared" si="4"/>
        <v>900.0000000001229</v>
      </c>
      <c r="G25" s="64">
        <v>2.4834000000000001</v>
      </c>
      <c r="H25" s="71">
        <f t="shared" si="5"/>
        <v>1700.0000000000348</v>
      </c>
      <c r="I25" s="64">
        <v>1.1839</v>
      </c>
      <c r="J25" s="71">
        <f t="shared" si="43"/>
        <v>999.99999999988984</v>
      </c>
      <c r="K25" s="64">
        <v>1.8132999999999999</v>
      </c>
      <c r="L25" s="71">
        <f t="shared" si="0"/>
        <v>2099.9999999999909</v>
      </c>
      <c r="M25" s="64">
        <v>1.1606000000000001</v>
      </c>
      <c r="N25" s="71">
        <f t="shared" si="6"/>
        <v>800.00000000013392</v>
      </c>
      <c r="O25" s="64">
        <v>12541</v>
      </c>
      <c r="P25" s="72">
        <f t="shared" si="7"/>
        <v>0</v>
      </c>
      <c r="Q25" s="64">
        <v>5227</v>
      </c>
      <c r="R25" s="72">
        <f t="shared" si="8"/>
        <v>4</v>
      </c>
      <c r="S25" s="64">
        <v>823718</v>
      </c>
      <c r="T25" s="72">
        <f t="shared" si="44"/>
        <v>167</v>
      </c>
      <c r="U25" s="64">
        <v>333456</v>
      </c>
      <c r="V25" s="72">
        <f t="shared" si="10"/>
        <v>110</v>
      </c>
      <c r="W25" s="64">
        <v>325.01</v>
      </c>
      <c r="X25" s="72">
        <f t="shared" si="23"/>
        <v>159.99999999996817</v>
      </c>
      <c r="Y25" s="64">
        <v>2.3679999999999999</v>
      </c>
      <c r="Z25" s="72">
        <f t="shared" si="24"/>
        <v>499.99999999972289</v>
      </c>
      <c r="AA25" s="64">
        <v>323.02</v>
      </c>
      <c r="AB25" s="72">
        <f t="shared" si="25"/>
        <v>99.999999999965894</v>
      </c>
      <c r="AC25" s="64">
        <v>296.52999999999997</v>
      </c>
      <c r="AD25" s="72">
        <f t="shared" si="26"/>
        <v>179.99999999994998</v>
      </c>
      <c r="AE25" s="64">
        <v>462.28</v>
      </c>
      <c r="AF25" s="72">
        <f t="shared" si="27"/>
        <v>379.99999999999545</v>
      </c>
      <c r="AG25" s="64">
        <v>1186</v>
      </c>
      <c r="AH25" s="72">
        <f t="shared" si="11"/>
        <v>1.4000000000000909</v>
      </c>
      <c r="AI25" s="64">
        <v>406.96</v>
      </c>
      <c r="AJ25" s="72">
        <f t="shared" si="28"/>
        <v>250</v>
      </c>
      <c r="AK25" s="64">
        <v>144.34</v>
      </c>
      <c r="AL25" s="72">
        <f t="shared" si="12"/>
        <v>0.18999999999999773</v>
      </c>
      <c r="AM25" s="64">
        <v>145.6</v>
      </c>
      <c r="AN25" s="72">
        <f t="shared" si="13"/>
        <v>7.9999999999984084E-2</v>
      </c>
      <c r="AO25" s="64">
        <v>142.16</v>
      </c>
      <c r="AP25" s="72">
        <f t="shared" si="14"/>
        <v>7.9999999999984084E-2</v>
      </c>
      <c r="AQ25" s="64">
        <v>213.69</v>
      </c>
      <c r="AR25" s="72">
        <f t="shared" si="29"/>
        <v>90.000000000003411</v>
      </c>
      <c r="AS25" s="64">
        <v>340.16</v>
      </c>
      <c r="AT25" s="72">
        <f t="shared" si="30"/>
        <v>70.000000000050022</v>
      </c>
      <c r="AU25" s="64">
        <v>262.27999999999997</v>
      </c>
      <c r="AV25" s="72">
        <f t="shared" si="31"/>
        <v>59.99999999994543</v>
      </c>
      <c r="AW25" s="64">
        <v>289.88</v>
      </c>
      <c r="AX25" s="72">
        <f t="shared" si="32"/>
        <v>69.999999999993179</v>
      </c>
      <c r="AY25" s="64">
        <v>340.81</v>
      </c>
      <c r="AZ25" s="72">
        <f t="shared" si="33"/>
        <v>50.000000000011369</v>
      </c>
      <c r="BA25" s="64">
        <v>361.06</v>
      </c>
      <c r="BB25" s="72">
        <f t="shared" si="34"/>
        <v>50.000000000011369</v>
      </c>
      <c r="BC25" s="64">
        <v>203.09</v>
      </c>
      <c r="BD25" s="72">
        <f t="shared" si="35"/>
        <v>9.9999999999909051</v>
      </c>
      <c r="BE25" s="66">
        <v>27645</v>
      </c>
      <c r="BF25" s="72">
        <f t="shared" si="15"/>
        <v>26</v>
      </c>
      <c r="BG25" s="67">
        <v>223.16</v>
      </c>
      <c r="BH25" s="72">
        <f t="shared" si="36"/>
        <v>39.999999999992042</v>
      </c>
      <c r="BI25" s="67">
        <v>280.72000000000003</v>
      </c>
      <c r="BJ25" s="72">
        <f t="shared" si="37"/>
        <v>40.000000000020464</v>
      </c>
      <c r="BK25" s="67">
        <v>228.74</v>
      </c>
      <c r="BL25" s="72">
        <f t="shared" si="38"/>
        <v>50.000000000011369</v>
      </c>
      <c r="BM25" s="67">
        <v>211.64</v>
      </c>
      <c r="BN25" s="72">
        <f t="shared" si="39"/>
        <v>59.999999999973852</v>
      </c>
      <c r="BO25" s="67">
        <v>275.81</v>
      </c>
      <c r="BP25" s="72">
        <f t="shared" si="40"/>
        <v>60.000000000002274</v>
      </c>
      <c r="BQ25" s="67">
        <v>37805</v>
      </c>
      <c r="BR25" s="72">
        <f t="shared" si="16"/>
        <v>30</v>
      </c>
      <c r="BS25" s="67">
        <v>192.14</v>
      </c>
      <c r="BT25" s="72">
        <f t="shared" si="41"/>
        <v>29.999999999972715</v>
      </c>
      <c r="BU25" s="67">
        <v>28803</v>
      </c>
      <c r="BV25" s="72">
        <f t="shared" si="1"/>
        <v>28</v>
      </c>
      <c r="BW25" s="67">
        <v>222.05</v>
      </c>
      <c r="BX25" s="72">
        <f t="shared" si="42"/>
        <v>50.000000000011369</v>
      </c>
      <c r="BY25" s="67">
        <v>47150</v>
      </c>
      <c r="BZ25" s="72">
        <f t="shared" si="17"/>
        <v>52</v>
      </c>
      <c r="CA25" s="67">
        <v>27500.7</v>
      </c>
      <c r="CB25" s="72">
        <f t="shared" si="18"/>
        <v>2.7999999999992724</v>
      </c>
      <c r="CC25" s="67">
        <v>11250.4</v>
      </c>
      <c r="CD25" s="72">
        <f t="shared" si="19"/>
        <v>0.19999999999890861</v>
      </c>
      <c r="CE25" s="67">
        <v>5487.5</v>
      </c>
      <c r="CF25" s="72">
        <f t="shared" si="20"/>
        <v>15.5</v>
      </c>
      <c r="CG25" s="67">
        <v>42856.1</v>
      </c>
      <c r="CH25" s="72">
        <f t="shared" si="21"/>
        <v>65.900000000001455</v>
      </c>
      <c r="CI25" s="67">
        <v>848008</v>
      </c>
      <c r="CJ25" s="72">
        <f t="shared" si="2"/>
        <v>210</v>
      </c>
      <c r="CK25" s="67">
        <v>551.86</v>
      </c>
      <c r="CL25" s="71">
        <f t="shared" si="22"/>
        <v>350.00000000002274</v>
      </c>
      <c r="CM25" s="72">
        <v>26.7</v>
      </c>
      <c r="CN25" s="69">
        <v>0</v>
      </c>
      <c r="CO25" s="69">
        <v>0</v>
      </c>
    </row>
    <row r="26" spans="1:93" ht="25.5" customHeight="1" thickBot="1" x14ac:dyDescent="0.45">
      <c r="A26" s="70">
        <v>43944</v>
      </c>
      <c r="B26" s="48"/>
      <c r="C26" s="64">
        <v>1.6553</v>
      </c>
      <c r="D26" s="71">
        <f t="shared" si="3"/>
        <v>1400.0000000000678</v>
      </c>
      <c r="E26" s="64">
        <v>2.6764999999999999</v>
      </c>
      <c r="F26" s="71">
        <f t="shared" si="4"/>
        <v>699.99999999970089</v>
      </c>
      <c r="G26" s="64">
        <v>2.4851999999999999</v>
      </c>
      <c r="H26" s="71">
        <f t="shared" si="5"/>
        <v>1799.9999999998017</v>
      </c>
      <c r="I26" s="64">
        <v>1.1851</v>
      </c>
      <c r="J26" s="71">
        <f t="shared" si="43"/>
        <v>1200.0000000000898</v>
      </c>
      <c r="K26" s="64">
        <v>1.8154999999999999</v>
      </c>
      <c r="L26" s="71">
        <f t="shared" si="0"/>
        <v>2199.9999999999795</v>
      </c>
      <c r="M26" s="64">
        <v>1.1616</v>
      </c>
      <c r="N26" s="71">
        <f t="shared" si="6"/>
        <v>999.99999999988984</v>
      </c>
      <c r="O26" s="64">
        <v>12541</v>
      </c>
      <c r="P26" s="72">
        <f t="shared" si="7"/>
        <v>0</v>
      </c>
      <c r="Q26" s="64">
        <v>5231</v>
      </c>
      <c r="R26" s="72">
        <f t="shared" si="8"/>
        <v>4</v>
      </c>
      <c r="S26" s="64">
        <v>823945</v>
      </c>
      <c r="T26" s="72">
        <f t="shared" si="44"/>
        <v>227</v>
      </c>
      <c r="U26" s="64">
        <v>333565</v>
      </c>
      <c r="V26" s="72">
        <f t="shared" si="10"/>
        <v>109</v>
      </c>
      <c r="W26" s="64">
        <v>325.2</v>
      </c>
      <c r="X26" s="72">
        <f t="shared" si="23"/>
        <v>189.99999999999773</v>
      </c>
      <c r="Y26" s="64">
        <v>2.3685999999999998</v>
      </c>
      <c r="Z26" s="72">
        <f t="shared" si="24"/>
        <v>599.99999999993395</v>
      </c>
      <c r="AA26" s="64">
        <v>323.12</v>
      </c>
      <c r="AB26" s="72">
        <f t="shared" si="25"/>
        <v>100.00000000002274</v>
      </c>
      <c r="AC26" s="64">
        <v>296.79000000000002</v>
      </c>
      <c r="AD26" s="72">
        <f t="shared" si="26"/>
        <v>260.00000000004775</v>
      </c>
      <c r="AE26" s="64">
        <v>462.79</v>
      </c>
      <c r="AF26" s="72">
        <f t="shared" si="27"/>
        <v>510.00000000004775</v>
      </c>
      <c r="AG26" s="64">
        <v>1187</v>
      </c>
      <c r="AH26" s="72">
        <f t="shared" si="11"/>
        <v>1</v>
      </c>
      <c r="AI26" s="64">
        <v>407.22</v>
      </c>
      <c r="AJ26" s="72">
        <f t="shared" si="28"/>
        <v>260.00000000004775</v>
      </c>
      <c r="AK26" s="64">
        <v>144.53</v>
      </c>
      <c r="AL26" s="72">
        <f t="shared" si="12"/>
        <v>0.18999999999999773</v>
      </c>
      <c r="AM26" s="64">
        <v>145.69999999999999</v>
      </c>
      <c r="AN26" s="72">
        <f t="shared" si="13"/>
        <v>9.9999999999994316E-2</v>
      </c>
      <c r="AO26" s="64">
        <v>142.26</v>
      </c>
      <c r="AP26" s="72">
        <f t="shared" si="14"/>
        <v>9.9999999999994316E-2</v>
      </c>
      <c r="AQ26" s="64">
        <v>213.79</v>
      </c>
      <c r="AR26" s="72">
        <f t="shared" si="29"/>
        <v>99.999999999994316</v>
      </c>
      <c r="AS26" s="64">
        <v>340.25</v>
      </c>
      <c r="AT26" s="72">
        <f t="shared" si="30"/>
        <v>89.999999999974989</v>
      </c>
      <c r="AU26" s="64">
        <v>262.36</v>
      </c>
      <c r="AV26" s="72">
        <f t="shared" si="31"/>
        <v>80.000000000040927</v>
      </c>
      <c r="AW26" s="64">
        <v>289.95999999999998</v>
      </c>
      <c r="AX26" s="72">
        <f t="shared" si="32"/>
        <v>79.999999999984084</v>
      </c>
      <c r="AY26" s="64">
        <v>340.88</v>
      </c>
      <c r="AZ26" s="72">
        <f t="shared" si="33"/>
        <v>69.999999999993179</v>
      </c>
      <c r="BA26" s="64">
        <v>361.13</v>
      </c>
      <c r="BB26" s="72">
        <f t="shared" si="34"/>
        <v>69.999999999993179</v>
      </c>
      <c r="BC26" s="64">
        <v>203.11</v>
      </c>
      <c r="BD26" s="72">
        <f t="shared" si="35"/>
        <v>20.000000000010232</v>
      </c>
      <c r="BE26" s="66">
        <v>27675</v>
      </c>
      <c r="BF26" s="72">
        <f t="shared" si="15"/>
        <v>30</v>
      </c>
      <c r="BG26" s="67">
        <v>223.19</v>
      </c>
      <c r="BH26" s="72">
        <f t="shared" si="36"/>
        <v>30.000000000001137</v>
      </c>
      <c r="BI26" s="67">
        <v>280.75</v>
      </c>
      <c r="BJ26" s="72">
        <f t="shared" si="37"/>
        <v>29.999999999972715</v>
      </c>
      <c r="BK26" s="67">
        <v>228.77</v>
      </c>
      <c r="BL26" s="72">
        <f t="shared" si="38"/>
        <v>30.000000000001137</v>
      </c>
      <c r="BM26" s="67">
        <v>211.67</v>
      </c>
      <c r="BN26" s="72">
        <f t="shared" si="39"/>
        <v>30.000000000001137</v>
      </c>
      <c r="BO26" s="67">
        <v>275.86</v>
      </c>
      <c r="BP26" s="72">
        <f t="shared" si="40"/>
        <v>50.000000000011369</v>
      </c>
      <c r="BQ26" s="67">
        <v>37825</v>
      </c>
      <c r="BR26" s="72">
        <f t="shared" si="16"/>
        <v>20</v>
      </c>
      <c r="BS26" s="67">
        <v>192.16</v>
      </c>
      <c r="BT26" s="72">
        <f t="shared" si="41"/>
        <v>20.000000000010232</v>
      </c>
      <c r="BU26" s="67">
        <v>28822</v>
      </c>
      <c r="BV26" s="72">
        <f t="shared" si="1"/>
        <v>19</v>
      </c>
      <c r="BW26" s="67">
        <v>222.08</v>
      </c>
      <c r="BX26" s="72">
        <f t="shared" si="42"/>
        <v>30.000000000001137</v>
      </c>
      <c r="BY26" s="67">
        <v>47184</v>
      </c>
      <c r="BZ26" s="72">
        <f t="shared" si="17"/>
        <v>34</v>
      </c>
      <c r="CA26" s="67">
        <v>27500.7</v>
      </c>
      <c r="CB26" s="72">
        <f t="shared" si="18"/>
        <v>0</v>
      </c>
      <c r="CC26" s="67">
        <v>11250.4</v>
      </c>
      <c r="CD26" s="72">
        <f t="shared" si="19"/>
        <v>0</v>
      </c>
      <c r="CE26" s="67">
        <v>5487.5</v>
      </c>
      <c r="CF26" s="72">
        <f t="shared" si="20"/>
        <v>0</v>
      </c>
      <c r="CG26" s="67">
        <v>42909.7</v>
      </c>
      <c r="CH26" s="72">
        <f t="shared" si="21"/>
        <v>53.599999999998545</v>
      </c>
      <c r="CI26" s="67">
        <v>848218</v>
      </c>
      <c r="CJ26" s="72">
        <f t="shared" si="2"/>
        <v>210</v>
      </c>
      <c r="CK26" s="67">
        <v>552.19000000000005</v>
      </c>
      <c r="CL26" s="71">
        <f t="shared" si="22"/>
        <v>330.00000000004093</v>
      </c>
      <c r="CM26" s="72">
        <v>29.5</v>
      </c>
      <c r="CN26" s="69">
        <v>0</v>
      </c>
      <c r="CO26" s="69">
        <v>0</v>
      </c>
    </row>
    <row r="27" spans="1:93" ht="25.5" customHeight="1" thickBot="1" x14ac:dyDescent="0.45">
      <c r="A27" s="70">
        <v>43945</v>
      </c>
      <c r="B27" s="48"/>
      <c r="C27" s="64">
        <v>1.6568000000000001</v>
      </c>
      <c r="D27" s="71">
        <f t="shared" si="3"/>
        <v>1500.0000000000568</v>
      </c>
      <c r="E27" s="64">
        <v>2.6774</v>
      </c>
      <c r="F27" s="71">
        <f t="shared" si="4"/>
        <v>900.0000000001229</v>
      </c>
      <c r="G27" s="64">
        <v>2.4870000000000001</v>
      </c>
      <c r="H27" s="71">
        <f t="shared" si="5"/>
        <v>1800.0000000002458</v>
      </c>
      <c r="I27" s="64">
        <v>1.1861999999999999</v>
      </c>
      <c r="J27" s="71">
        <f t="shared" si="43"/>
        <v>1099.9999999998788</v>
      </c>
      <c r="K27" s="64">
        <v>1.8177000000000001</v>
      </c>
      <c r="L27" s="71">
        <f t="shared" si="0"/>
        <v>2200.0000000002019</v>
      </c>
      <c r="M27" s="64">
        <v>1.1628000000000001</v>
      </c>
      <c r="N27" s="71">
        <f t="shared" si="6"/>
        <v>1200.0000000000898</v>
      </c>
      <c r="O27" s="64">
        <v>12541</v>
      </c>
      <c r="P27" s="72">
        <f t="shared" si="7"/>
        <v>0</v>
      </c>
      <c r="Q27" s="64">
        <v>5235</v>
      </c>
      <c r="R27" s="72">
        <f t="shared" si="8"/>
        <v>4</v>
      </c>
      <c r="S27" s="64">
        <v>824173</v>
      </c>
      <c r="T27" s="72">
        <f t="shared" si="44"/>
        <v>228</v>
      </c>
      <c r="U27" s="64">
        <v>333703</v>
      </c>
      <c r="V27" s="72">
        <f t="shared" si="10"/>
        <v>138</v>
      </c>
      <c r="W27" s="64">
        <v>325.39999999999998</v>
      </c>
      <c r="X27" s="72">
        <f t="shared" si="23"/>
        <v>199.99999999998863</v>
      </c>
      <c r="Y27" s="64">
        <v>2.3691</v>
      </c>
      <c r="Z27" s="72">
        <f t="shared" si="24"/>
        <v>500.00000000016701</v>
      </c>
      <c r="AA27" s="64">
        <v>323.23</v>
      </c>
      <c r="AB27" s="72">
        <f t="shared" si="25"/>
        <v>110.00000000001364</v>
      </c>
      <c r="AC27" s="64">
        <v>297.08</v>
      </c>
      <c r="AD27" s="72">
        <f t="shared" si="26"/>
        <v>289.99999999996362</v>
      </c>
      <c r="AE27" s="64">
        <v>463.32</v>
      </c>
      <c r="AF27" s="72">
        <f t="shared" si="27"/>
        <v>529.99999999997272</v>
      </c>
      <c r="AG27" s="64">
        <v>1188.5</v>
      </c>
      <c r="AH27" s="72">
        <f t="shared" si="11"/>
        <v>1.5</v>
      </c>
      <c r="AI27" s="64">
        <v>407.5</v>
      </c>
      <c r="AJ27" s="72">
        <f t="shared" si="28"/>
        <v>279.99999999997272</v>
      </c>
      <c r="AK27" s="64">
        <v>144.71</v>
      </c>
      <c r="AL27" s="72">
        <f t="shared" si="12"/>
        <v>0.18000000000000682</v>
      </c>
      <c r="AM27" s="64">
        <v>145.82</v>
      </c>
      <c r="AN27" s="72">
        <f t="shared" si="13"/>
        <v>0.12000000000000455</v>
      </c>
      <c r="AO27" s="64">
        <v>142.38999999999999</v>
      </c>
      <c r="AP27" s="72">
        <f t="shared" si="14"/>
        <v>0.12999999999999545</v>
      </c>
      <c r="AQ27" s="64">
        <v>213.89</v>
      </c>
      <c r="AR27" s="72">
        <f t="shared" si="29"/>
        <v>99.999999999994316</v>
      </c>
      <c r="AS27" s="64">
        <v>340.35</v>
      </c>
      <c r="AT27" s="72">
        <f t="shared" si="30"/>
        <v>100.00000000002274</v>
      </c>
      <c r="AU27" s="64">
        <v>262.45</v>
      </c>
      <c r="AV27" s="72">
        <f t="shared" si="31"/>
        <v>89.999999999974989</v>
      </c>
      <c r="AW27" s="64">
        <v>290.05</v>
      </c>
      <c r="AX27" s="72">
        <f t="shared" si="32"/>
        <v>90.000000000031832</v>
      </c>
      <c r="AY27" s="64">
        <v>340.96</v>
      </c>
      <c r="AZ27" s="72">
        <f t="shared" si="33"/>
        <v>79.999999999984084</v>
      </c>
      <c r="BA27" s="64">
        <v>361.22</v>
      </c>
      <c r="BB27" s="72">
        <f t="shared" si="34"/>
        <v>90.000000000031832</v>
      </c>
      <c r="BC27" s="64">
        <v>203.12</v>
      </c>
      <c r="BD27" s="72">
        <f t="shared" si="35"/>
        <v>9.9999999999909051</v>
      </c>
      <c r="BE27" s="66">
        <v>27698</v>
      </c>
      <c r="BF27" s="72">
        <f t="shared" si="15"/>
        <v>23</v>
      </c>
      <c r="BG27" s="67">
        <v>223.21</v>
      </c>
      <c r="BH27" s="72">
        <f t="shared" si="36"/>
        <v>20.000000000010232</v>
      </c>
      <c r="BI27" s="67">
        <v>280.79000000000002</v>
      </c>
      <c r="BJ27" s="72">
        <f t="shared" si="37"/>
        <v>40.000000000020464</v>
      </c>
      <c r="BK27" s="67">
        <v>228.8</v>
      </c>
      <c r="BL27" s="72">
        <f t="shared" si="38"/>
        <v>30.000000000001137</v>
      </c>
      <c r="BM27" s="67">
        <v>211.71</v>
      </c>
      <c r="BN27" s="72">
        <f t="shared" si="39"/>
        <v>40.000000000020464</v>
      </c>
      <c r="BO27" s="67">
        <v>275.91000000000003</v>
      </c>
      <c r="BP27" s="72">
        <f t="shared" si="40"/>
        <v>50.000000000011369</v>
      </c>
      <c r="BQ27" s="67">
        <v>37846</v>
      </c>
      <c r="BR27" s="72">
        <f t="shared" si="16"/>
        <v>21</v>
      </c>
      <c r="BS27" s="67">
        <v>192.18</v>
      </c>
      <c r="BT27" s="72">
        <f t="shared" si="41"/>
        <v>20.000000000010232</v>
      </c>
      <c r="BU27" s="67">
        <v>28842</v>
      </c>
      <c r="BV27" s="72">
        <f t="shared" si="1"/>
        <v>20</v>
      </c>
      <c r="BW27" s="67">
        <v>222.11</v>
      </c>
      <c r="BX27" s="72">
        <f t="shared" si="42"/>
        <v>30.000000000001137</v>
      </c>
      <c r="BY27" s="67">
        <v>47218</v>
      </c>
      <c r="BZ27" s="72">
        <f t="shared" si="17"/>
        <v>34</v>
      </c>
      <c r="CA27" s="67">
        <v>27500.7</v>
      </c>
      <c r="CB27" s="72">
        <f t="shared" si="18"/>
        <v>0</v>
      </c>
      <c r="CC27" s="67">
        <v>11250.4</v>
      </c>
      <c r="CD27" s="72">
        <f t="shared" si="19"/>
        <v>0</v>
      </c>
      <c r="CE27" s="67">
        <v>5487.5</v>
      </c>
      <c r="CF27" s="72">
        <f t="shared" si="20"/>
        <v>0</v>
      </c>
      <c r="CG27" s="67">
        <v>42998.7</v>
      </c>
      <c r="CH27" s="72">
        <f t="shared" si="21"/>
        <v>89</v>
      </c>
      <c r="CI27" s="67">
        <v>848428</v>
      </c>
      <c r="CJ27" s="72">
        <f t="shared" si="2"/>
        <v>210</v>
      </c>
      <c r="CK27" s="67">
        <v>552.6</v>
      </c>
      <c r="CL27" s="71">
        <f t="shared" si="22"/>
        <v>409.99999999996817</v>
      </c>
      <c r="CM27" s="72">
        <v>33</v>
      </c>
      <c r="CN27" s="69">
        <v>0</v>
      </c>
      <c r="CO27" s="69">
        <v>0</v>
      </c>
    </row>
    <row r="28" spans="1:93" ht="25.5" customHeight="1" thickBot="1" x14ac:dyDescent="0.45">
      <c r="A28" s="70">
        <v>43946</v>
      </c>
      <c r="B28" s="48"/>
      <c r="C28" s="64">
        <v>1.6586000000000001</v>
      </c>
      <c r="D28" s="71">
        <f t="shared" si="3"/>
        <v>1800.0000000000239</v>
      </c>
      <c r="E28" s="64">
        <v>2.6783000000000001</v>
      </c>
      <c r="F28" s="71">
        <f t="shared" si="4"/>
        <v>900.0000000001229</v>
      </c>
      <c r="G28" s="64">
        <v>2.4887999999999999</v>
      </c>
      <c r="H28" s="71">
        <f t="shared" si="5"/>
        <v>1799.9999999998017</v>
      </c>
      <c r="I28" s="64">
        <v>1.1875</v>
      </c>
      <c r="J28" s="71">
        <f t="shared" si="43"/>
        <v>1300.0000000000789</v>
      </c>
      <c r="K28" s="64">
        <v>1.82</v>
      </c>
      <c r="L28" s="71">
        <f t="shared" si="0"/>
        <v>2299.9999999999686</v>
      </c>
      <c r="M28" s="64">
        <v>1.1637</v>
      </c>
      <c r="N28" s="71">
        <f t="shared" si="6"/>
        <v>899.99999999990087</v>
      </c>
      <c r="O28" s="64">
        <v>12541</v>
      </c>
      <c r="P28" s="72">
        <f t="shared" si="7"/>
        <v>0</v>
      </c>
      <c r="Q28" s="64">
        <v>5239</v>
      </c>
      <c r="R28" s="72">
        <f t="shared" si="8"/>
        <v>4</v>
      </c>
      <c r="S28" s="64">
        <v>824365</v>
      </c>
      <c r="T28" s="72">
        <f t="shared" si="44"/>
        <v>192</v>
      </c>
      <c r="U28" s="64">
        <v>333814</v>
      </c>
      <c r="V28" s="72">
        <f t="shared" si="10"/>
        <v>111</v>
      </c>
      <c r="W28" s="64">
        <v>325.61</v>
      </c>
      <c r="X28" s="72">
        <f t="shared" si="23"/>
        <v>210.00000000003638</v>
      </c>
      <c r="Y28" s="64">
        <v>2.3696999999999999</v>
      </c>
      <c r="Z28" s="72">
        <f t="shared" si="24"/>
        <v>599.99999999993395</v>
      </c>
      <c r="AA28" s="64">
        <v>323.36</v>
      </c>
      <c r="AB28" s="72">
        <f t="shared" si="25"/>
        <v>129.99999999999545</v>
      </c>
      <c r="AC28" s="64">
        <v>297.39</v>
      </c>
      <c r="AD28" s="72">
        <f t="shared" si="26"/>
        <v>310.00000000000227</v>
      </c>
      <c r="AE28" s="64">
        <v>463.93</v>
      </c>
      <c r="AF28" s="72">
        <f t="shared" si="27"/>
        <v>610.00000000001364</v>
      </c>
      <c r="AG28" s="64">
        <v>1190.0999999999999</v>
      </c>
      <c r="AH28" s="72">
        <f t="shared" si="11"/>
        <v>1.5999999999999091</v>
      </c>
      <c r="AI28" s="64">
        <v>407.85</v>
      </c>
      <c r="AJ28" s="72">
        <f t="shared" si="28"/>
        <v>350.00000000002274</v>
      </c>
      <c r="AK28" s="64">
        <v>144.91</v>
      </c>
      <c r="AL28" s="72">
        <f t="shared" si="12"/>
        <v>0.19999999999998863</v>
      </c>
      <c r="AM28" s="64">
        <v>145.96</v>
      </c>
      <c r="AN28" s="72">
        <f t="shared" si="13"/>
        <v>0.14000000000001478</v>
      </c>
      <c r="AO28" s="64">
        <v>142.53</v>
      </c>
      <c r="AP28" s="72">
        <f t="shared" si="14"/>
        <v>0.14000000000001478</v>
      </c>
      <c r="AQ28" s="64">
        <v>214.01</v>
      </c>
      <c r="AR28" s="72">
        <f t="shared" si="29"/>
        <v>120.00000000000455</v>
      </c>
      <c r="AS28" s="64">
        <v>340.48</v>
      </c>
      <c r="AT28" s="72">
        <f t="shared" si="30"/>
        <v>129.99999999999545</v>
      </c>
      <c r="AU28" s="64">
        <v>262.56</v>
      </c>
      <c r="AV28" s="72">
        <f t="shared" si="31"/>
        <v>110.00000000001364</v>
      </c>
      <c r="AW28" s="64">
        <v>290.14999999999998</v>
      </c>
      <c r="AX28" s="72">
        <f t="shared" si="32"/>
        <v>99.999999999965894</v>
      </c>
      <c r="AY28" s="64">
        <v>341.06</v>
      </c>
      <c r="AZ28" s="72">
        <f t="shared" si="33"/>
        <v>100.00000000002274</v>
      </c>
      <c r="BA28" s="64">
        <v>361.32</v>
      </c>
      <c r="BB28" s="72">
        <f t="shared" si="34"/>
        <v>99.999999999965894</v>
      </c>
      <c r="BC28" s="64">
        <v>203.13</v>
      </c>
      <c r="BD28" s="72">
        <f t="shared" si="35"/>
        <v>9.9999999999909051</v>
      </c>
      <c r="BE28" s="66">
        <v>27729</v>
      </c>
      <c r="BF28" s="72">
        <f t="shared" si="15"/>
        <v>31</v>
      </c>
      <c r="BG28" s="67">
        <v>223.24</v>
      </c>
      <c r="BH28" s="72">
        <f t="shared" si="36"/>
        <v>30.000000000001137</v>
      </c>
      <c r="BI28" s="67">
        <v>280.83999999999997</v>
      </c>
      <c r="BJ28" s="72">
        <f t="shared" si="37"/>
        <v>49.999999999954525</v>
      </c>
      <c r="BK28" s="67">
        <v>228.84</v>
      </c>
      <c r="BL28" s="72">
        <f t="shared" si="38"/>
        <v>39.999999999992042</v>
      </c>
      <c r="BM28" s="67">
        <v>211.76</v>
      </c>
      <c r="BN28" s="72">
        <f t="shared" si="39"/>
        <v>49.999999999982947</v>
      </c>
      <c r="BO28" s="67">
        <v>275.95999999999998</v>
      </c>
      <c r="BP28" s="72">
        <f t="shared" si="40"/>
        <v>49.999999999954525</v>
      </c>
      <c r="BQ28" s="67">
        <v>37872</v>
      </c>
      <c r="BR28" s="72">
        <f t="shared" si="16"/>
        <v>26</v>
      </c>
      <c r="BS28" s="67">
        <v>192.21</v>
      </c>
      <c r="BT28" s="72">
        <f t="shared" si="41"/>
        <v>30.000000000001137</v>
      </c>
      <c r="BU28" s="67">
        <v>28869</v>
      </c>
      <c r="BV28" s="72">
        <f t="shared" si="1"/>
        <v>27</v>
      </c>
      <c r="BW28" s="67">
        <v>222.15</v>
      </c>
      <c r="BX28" s="72">
        <f t="shared" si="42"/>
        <v>39.999999999992042</v>
      </c>
      <c r="BY28" s="67">
        <v>47256</v>
      </c>
      <c r="BZ28" s="72">
        <f t="shared" si="17"/>
        <v>38</v>
      </c>
      <c r="CA28" s="67">
        <v>27500.7</v>
      </c>
      <c r="CB28" s="72">
        <f t="shared" si="18"/>
        <v>0</v>
      </c>
      <c r="CC28" s="67">
        <v>11250.4</v>
      </c>
      <c r="CD28" s="72">
        <f t="shared" si="19"/>
        <v>0</v>
      </c>
      <c r="CE28" s="67">
        <v>5487.5</v>
      </c>
      <c r="CF28" s="72">
        <f t="shared" si="20"/>
        <v>0</v>
      </c>
      <c r="CG28" s="67">
        <v>43069.7</v>
      </c>
      <c r="CH28" s="72">
        <f t="shared" si="21"/>
        <v>71</v>
      </c>
      <c r="CI28" s="67">
        <v>848624</v>
      </c>
      <c r="CJ28" s="72">
        <f t="shared" si="2"/>
        <v>196</v>
      </c>
      <c r="CK28" s="67">
        <v>553.04999999999995</v>
      </c>
      <c r="CL28" s="71">
        <f t="shared" si="22"/>
        <v>449.99999999993179</v>
      </c>
      <c r="CM28" s="72">
        <v>25</v>
      </c>
      <c r="CN28" s="69">
        <v>0</v>
      </c>
      <c r="CO28" s="69">
        <v>0</v>
      </c>
    </row>
    <row r="29" spans="1:93" ht="25.5" customHeight="1" thickBot="1" x14ac:dyDescent="0.45">
      <c r="A29" s="70">
        <v>43947</v>
      </c>
      <c r="B29" s="48"/>
      <c r="C29" s="64">
        <v>1.6601999999999999</v>
      </c>
      <c r="D29" s="71">
        <f t="shared" si="3"/>
        <v>1599.9999999998238</v>
      </c>
      <c r="E29" s="64">
        <v>2.6791999999999998</v>
      </c>
      <c r="F29" s="71">
        <f t="shared" si="4"/>
        <v>899.99999999967883</v>
      </c>
      <c r="G29" s="64">
        <v>2.4902000000000002</v>
      </c>
      <c r="H29" s="71">
        <f t="shared" si="5"/>
        <v>1400.0000000002899</v>
      </c>
      <c r="I29" s="64">
        <v>1.1888000000000001</v>
      </c>
      <c r="J29" s="71">
        <f t="shared" si="43"/>
        <v>1300.0000000000789</v>
      </c>
      <c r="K29" s="64">
        <v>1.8223</v>
      </c>
      <c r="L29" s="71">
        <f t="shared" si="0"/>
        <v>2299.9999999999686</v>
      </c>
      <c r="M29" s="64">
        <v>1.1649</v>
      </c>
      <c r="N29" s="71">
        <f t="shared" si="6"/>
        <v>1200.0000000000898</v>
      </c>
      <c r="O29" s="64">
        <v>12541</v>
      </c>
      <c r="P29" s="72">
        <f t="shared" si="7"/>
        <v>0</v>
      </c>
      <c r="Q29" s="64">
        <v>5243</v>
      </c>
      <c r="R29" s="72">
        <f t="shared" si="8"/>
        <v>4</v>
      </c>
      <c r="S29" s="64">
        <v>824462</v>
      </c>
      <c r="T29" s="72">
        <f t="shared" si="44"/>
        <v>97</v>
      </c>
      <c r="U29" s="64">
        <v>333880</v>
      </c>
      <c r="V29" s="72">
        <f t="shared" si="10"/>
        <v>66</v>
      </c>
      <c r="W29" s="64">
        <v>325.83</v>
      </c>
      <c r="X29" s="72">
        <f t="shared" si="23"/>
        <v>219.99999999997044</v>
      </c>
      <c r="Y29" s="64">
        <v>2.3702000000000001</v>
      </c>
      <c r="Z29" s="72">
        <f t="shared" si="24"/>
        <v>500.00000000016701</v>
      </c>
      <c r="AA29" s="64">
        <v>323.48</v>
      </c>
      <c r="AB29" s="72">
        <f t="shared" si="25"/>
        <v>120.00000000000455</v>
      </c>
      <c r="AC29" s="64">
        <v>297.73</v>
      </c>
      <c r="AD29" s="72">
        <f t="shared" si="26"/>
        <v>340.00000000003183</v>
      </c>
      <c r="AE29" s="64">
        <v>464.54</v>
      </c>
      <c r="AF29" s="72">
        <f t="shared" si="27"/>
        <v>610.00000000001364</v>
      </c>
      <c r="AG29" s="64">
        <v>1191.2</v>
      </c>
      <c r="AH29" s="72">
        <f t="shared" si="11"/>
        <v>1.1000000000001364</v>
      </c>
      <c r="AI29" s="64">
        <v>408.17</v>
      </c>
      <c r="AJ29" s="72">
        <f t="shared" si="28"/>
        <v>319.99999999999318</v>
      </c>
      <c r="AK29" s="64">
        <v>145.09</v>
      </c>
      <c r="AL29" s="72">
        <f t="shared" si="12"/>
        <v>0.18000000000000682</v>
      </c>
      <c r="AM29" s="64">
        <v>146.09</v>
      </c>
      <c r="AN29" s="72">
        <f t="shared" si="13"/>
        <v>0.12999999999999545</v>
      </c>
      <c r="AO29" s="64">
        <v>142.68</v>
      </c>
      <c r="AP29" s="72">
        <f t="shared" si="14"/>
        <v>0.15000000000000568</v>
      </c>
      <c r="AQ29" s="64">
        <v>214.12</v>
      </c>
      <c r="AR29" s="72">
        <f t="shared" si="29"/>
        <v>110.00000000001364</v>
      </c>
      <c r="AS29" s="64">
        <v>340.6</v>
      </c>
      <c r="AT29" s="72">
        <f t="shared" si="30"/>
        <v>120.00000000000455</v>
      </c>
      <c r="AU29" s="64">
        <v>262.66000000000003</v>
      </c>
      <c r="AV29" s="72">
        <f t="shared" si="31"/>
        <v>100.00000000002274</v>
      </c>
      <c r="AW29" s="64">
        <v>290.25</v>
      </c>
      <c r="AX29" s="72">
        <f t="shared" si="32"/>
        <v>100.00000000002274</v>
      </c>
      <c r="AY29" s="64">
        <v>341.15</v>
      </c>
      <c r="AZ29" s="72">
        <f t="shared" si="33"/>
        <v>89.999999999974989</v>
      </c>
      <c r="BA29" s="64">
        <v>361.42</v>
      </c>
      <c r="BB29" s="72">
        <f t="shared" si="34"/>
        <v>100.00000000002274</v>
      </c>
      <c r="BC29" s="64">
        <v>203.13</v>
      </c>
      <c r="BD29" s="72">
        <f t="shared" si="35"/>
        <v>0</v>
      </c>
      <c r="BE29" s="66">
        <v>27773</v>
      </c>
      <c r="BF29" s="72">
        <f t="shared" si="15"/>
        <v>44</v>
      </c>
      <c r="BG29" s="67">
        <v>223.28</v>
      </c>
      <c r="BH29" s="72">
        <f t="shared" si="36"/>
        <v>39.999999999992042</v>
      </c>
      <c r="BI29" s="67">
        <v>280.88</v>
      </c>
      <c r="BJ29" s="72">
        <f t="shared" si="37"/>
        <v>40.000000000020464</v>
      </c>
      <c r="BK29" s="67">
        <v>228.88</v>
      </c>
      <c r="BL29" s="72">
        <f t="shared" si="38"/>
        <v>39.999999999992042</v>
      </c>
      <c r="BM29" s="67">
        <v>211.81</v>
      </c>
      <c r="BN29" s="72">
        <f t="shared" si="39"/>
        <v>50.000000000011369</v>
      </c>
      <c r="BO29" s="67">
        <v>276.02</v>
      </c>
      <c r="BP29" s="72">
        <f t="shared" si="40"/>
        <v>60.000000000002274</v>
      </c>
      <c r="BQ29" s="67">
        <v>37898</v>
      </c>
      <c r="BR29" s="72">
        <f t="shared" si="16"/>
        <v>26</v>
      </c>
      <c r="BS29" s="67">
        <v>192.24</v>
      </c>
      <c r="BT29" s="72">
        <f t="shared" si="41"/>
        <v>30.000000000001137</v>
      </c>
      <c r="BU29" s="67">
        <v>28895</v>
      </c>
      <c r="BV29" s="72">
        <f t="shared" si="1"/>
        <v>26</v>
      </c>
      <c r="BW29" s="67">
        <v>222.19</v>
      </c>
      <c r="BX29" s="72">
        <f t="shared" si="42"/>
        <v>39.999999999992042</v>
      </c>
      <c r="BY29" s="67">
        <v>47293</v>
      </c>
      <c r="BZ29" s="72">
        <f t="shared" si="17"/>
        <v>37</v>
      </c>
      <c r="CA29" s="67">
        <v>27500.7</v>
      </c>
      <c r="CB29" s="72">
        <f t="shared" si="18"/>
        <v>0</v>
      </c>
      <c r="CC29" s="67">
        <v>11250.4</v>
      </c>
      <c r="CD29" s="72">
        <f t="shared" si="19"/>
        <v>0</v>
      </c>
      <c r="CE29" s="67">
        <v>5487.5</v>
      </c>
      <c r="CF29" s="72">
        <f t="shared" si="20"/>
        <v>0</v>
      </c>
      <c r="CG29" s="67">
        <v>43124.6</v>
      </c>
      <c r="CH29" s="72">
        <f t="shared" si="21"/>
        <v>54.900000000001455</v>
      </c>
      <c r="CI29" s="67">
        <v>848847</v>
      </c>
      <c r="CJ29" s="72">
        <f t="shared" si="2"/>
        <v>223</v>
      </c>
      <c r="CK29" s="67">
        <v>553.38</v>
      </c>
      <c r="CL29" s="71">
        <f t="shared" si="22"/>
        <v>330.00000000004093</v>
      </c>
      <c r="CM29" s="72">
        <v>19.3</v>
      </c>
      <c r="CN29" s="69">
        <v>0</v>
      </c>
      <c r="CO29" s="69">
        <v>0</v>
      </c>
    </row>
    <row r="30" spans="1:93" ht="25.5" customHeight="1" thickBot="1" x14ac:dyDescent="0.45">
      <c r="A30" s="70">
        <v>43948</v>
      </c>
      <c r="B30" s="48"/>
      <c r="C30" s="64">
        <v>1.6617</v>
      </c>
      <c r="D30" s="71">
        <f t="shared" si="3"/>
        <v>1500.0000000000568</v>
      </c>
      <c r="E30" s="64">
        <v>2.68</v>
      </c>
      <c r="F30" s="71">
        <f t="shared" si="4"/>
        <v>800.00000000035595</v>
      </c>
      <c r="G30" s="64">
        <v>2.4918</v>
      </c>
      <c r="H30" s="71">
        <f t="shared" si="5"/>
        <v>1599.9999999998238</v>
      </c>
      <c r="I30" s="64">
        <v>1.1898</v>
      </c>
      <c r="J30" s="71">
        <f t="shared" si="43"/>
        <v>999.99999999988984</v>
      </c>
      <c r="K30" s="64">
        <v>1.8244</v>
      </c>
      <c r="L30" s="71">
        <f t="shared" si="0"/>
        <v>2099.9999999999909</v>
      </c>
      <c r="M30" s="64">
        <v>1.1657999999999999</v>
      </c>
      <c r="N30" s="71">
        <f t="shared" si="6"/>
        <v>899.99999999990087</v>
      </c>
      <c r="O30" s="64">
        <v>12541</v>
      </c>
      <c r="P30" s="72">
        <f t="shared" si="7"/>
        <v>0</v>
      </c>
      <c r="Q30" s="64">
        <v>5255</v>
      </c>
      <c r="R30" s="72">
        <f t="shared" si="8"/>
        <v>12</v>
      </c>
      <c r="S30" s="64">
        <v>824573</v>
      </c>
      <c r="T30" s="72">
        <f t="shared" si="44"/>
        <v>111</v>
      </c>
      <c r="U30" s="64">
        <v>333958</v>
      </c>
      <c r="V30" s="72">
        <f t="shared" si="10"/>
        <v>78</v>
      </c>
      <c r="W30" s="64">
        <v>326.05</v>
      </c>
      <c r="X30" s="72">
        <f t="shared" si="23"/>
        <v>220.00000000002728</v>
      </c>
      <c r="Y30" s="64">
        <v>2.3708</v>
      </c>
      <c r="Z30" s="72">
        <f t="shared" si="24"/>
        <v>599.99999999993395</v>
      </c>
      <c r="AA30" s="64">
        <v>323.61</v>
      </c>
      <c r="AB30" s="72">
        <f t="shared" si="25"/>
        <v>129.99999999999545</v>
      </c>
      <c r="AC30" s="64">
        <v>298.10000000000002</v>
      </c>
      <c r="AD30" s="72">
        <f t="shared" si="26"/>
        <v>370.00000000000455</v>
      </c>
      <c r="AE30" s="64">
        <v>465.24</v>
      </c>
      <c r="AF30" s="72">
        <f t="shared" si="27"/>
        <v>699.99999999998863</v>
      </c>
      <c r="AG30" s="64">
        <v>1192.4000000000001</v>
      </c>
      <c r="AH30" s="72">
        <f t="shared" si="11"/>
        <v>1.2000000000000455</v>
      </c>
      <c r="AI30" s="64">
        <v>408.45</v>
      </c>
      <c r="AJ30" s="72">
        <f t="shared" si="28"/>
        <v>279.99999999997272</v>
      </c>
      <c r="AK30" s="64">
        <v>145.31</v>
      </c>
      <c r="AL30" s="72">
        <f t="shared" si="12"/>
        <v>0.21999999999999886</v>
      </c>
      <c r="AM30" s="64">
        <v>146.24</v>
      </c>
      <c r="AN30" s="72">
        <f t="shared" si="13"/>
        <v>0.15000000000000568</v>
      </c>
      <c r="AO30" s="64">
        <v>142.79</v>
      </c>
      <c r="AP30" s="72">
        <f t="shared" si="14"/>
        <v>0.10999999999998522</v>
      </c>
      <c r="AQ30" s="64">
        <v>214.23</v>
      </c>
      <c r="AR30" s="72">
        <f t="shared" si="29"/>
        <v>109.99999999998522</v>
      </c>
      <c r="AS30" s="64">
        <v>340.73</v>
      </c>
      <c r="AT30" s="72">
        <f t="shared" si="30"/>
        <v>129.99999999999545</v>
      </c>
      <c r="AU30" s="64">
        <v>262.76</v>
      </c>
      <c r="AV30" s="72">
        <f t="shared" si="31"/>
        <v>99.999999999965894</v>
      </c>
      <c r="AW30" s="64">
        <v>290.35000000000002</v>
      </c>
      <c r="AX30" s="72">
        <f t="shared" si="32"/>
        <v>100.00000000002274</v>
      </c>
      <c r="AY30" s="64">
        <v>341.24</v>
      </c>
      <c r="AZ30" s="72">
        <f t="shared" si="33"/>
        <v>90.000000000031832</v>
      </c>
      <c r="BA30" s="64">
        <v>361.54</v>
      </c>
      <c r="BB30" s="72">
        <f t="shared" si="34"/>
        <v>120.00000000000455</v>
      </c>
      <c r="BC30" s="64">
        <v>203.15</v>
      </c>
      <c r="BD30" s="72">
        <f t="shared" si="35"/>
        <v>20.000000000010232</v>
      </c>
      <c r="BE30" s="66">
        <v>27806</v>
      </c>
      <c r="BF30" s="72">
        <f t="shared" si="15"/>
        <v>33</v>
      </c>
      <c r="BG30" s="67">
        <v>223.32</v>
      </c>
      <c r="BH30" s="72">
        <f t="shared" si="36"/>
        <v>39.999999999992042</v>
      </c>
      <c r="BI30" s="67">
        <v>280.93</v>
      </c>
      <c r="BJ30" s="72">
        <f t="shared" si="37"/>
        <v>50.000000000011369</v>
      </c>
      <c r="BK30" s="67">
        <v>228.92</v>
      </c>
      <c r="BL30" s="72">
        <f t="shared" si="38"/>
        <v>39.999999999992042</v>
      </c>
      <c r="BM30" s="67">
        <v>211.85</v>
      </c>
      <c r="BN30" s="72">
        <f t="shared" si="39"/>
        <v>39.999999999992042</v>
      </c>
      <c r="BO30" s="67">
        <v>276.08</v>
      </c>
      <c r="BP30" s="72">
        <f t="shared" si="40"/>
        <v>60.000000000002274</v>
      </c>
      <c r="BQ30" s="67">
        <v>37922</v>
      </c>
      <c r="BR30" s="72">
        <f t="shared" si="16"/>
        <v>24</v>
      </c>
      <c r="BS30" s="67">
        <v>192.26</v>
      </c>
      <c r="BT30" s="72">
        <f t="shared" si="41"/>
        <v>19.99999999998181</v>
      </c>
      <c r="BU30" s="67">
        <v>28922</v>
      </c>
      <c r="BV30" s="72">
        <f t="shared" si="1"/>
        <v>27</v>
      </c>
      <c r="BW30" s="67">
        <v>222.23</v>
      </c>
      <c r="BX30" s="72">
        <f t="shared" si="42"/>
        <v>39.999999999992042</v>
      </c>
      <c r="BY30" s="67">
        <v>47334</v>
      </c>
      <c r="BZ30" s="72">
        <f t="shared" si="17"/>
        <v>41</v>
      </c>
      <c r="CA30" s="67">
        <v>27500.7</v>
      </c>
      <c r="CB30" s="72">
        <f t="shared" si="18"/>
        <v>0</v>
      </c>
      <c r="CC30" s="67">
        <v>11250.4</v>
      </c>
      <c r="CD30" s="72">
        <f t="shared" si="19"/>
        <v>0</v>
      </c>
      <c r="CE30" s="67">
        <v>5487.5</v>
      </c>
      <c r="CF30" s="72">
        <f t="shared" si="20"/>
        <v>0</v>
      </c>
      <c r="CG30" s="67">
        <v>43182.6</v>
      </c>
      <c r="CH30" s="72">
        <f t="shared" si="21"/>
        <v>58</v>
      </c>
      <c r="CI30" s="67">
        <v>849078</v>
      </c>
      <c r="CJ30" s="72">
        <f t="shared" si="2"/>
        <v>231</v>
      </c>
      <c r="CK30" s="67">
        <v>553.80999999999995</v>
      </c>
      <c r="CL30" s="71">
        <f t="shared" si="22"/>
        <v>429.99999999994998</v>
      </c>
      <c r="CM30" s="72">
        <v>32.5</v>
      </c>
      <c r="CN30" s="69">
        <v>0</v>
      </c>
      <c r="CO30" s="69">
        <v>0</v>
      </c>
    </row>
    <row r="31" spans="1:93" ht="25.5" customHeight="1" thickBot="1" x14ac:dyDescent="0.45">
      <c r="A31" s="70">
        <v>43949</v>
      </c>
      <c r="B31" s="73"/>
      <c r="C31" s="64">
        <v>1.6633</v>
      </c>
      <c r="D31" s="71">
        <f t="shared" si="3"/>
        <v>1600.0000000000459</v>
      </c>
      <c r="E31" s="64">
        <v>2.6808999999999998</v>
      </c>
      <c r="F31" s="71">
        <f t="shared" si="4"/>
        <v>899.99999999967883</v>
      </c>
      <c r="G31" s="64">
        <v>2.4940000000000002</v>
      </c>
      <c r="H31" s="71">
        <f t="shared" si="5"/>
        <v>2200.0000000002019</v>
      </c>
      <c r="I31" s="64">
        <v>1.1913</v>
      </c>
      <c r="J31" s="71">
        <f t="shared" si="43"/>
        <v>1500.0000000000568</v>
      </c>
      <c r="K31" s="64">
        <v>1.8266</v>
      </c>
      <c r="L31" s="71">
        <f t="shared" si="0"/>
        <v>2199.9999999999795</v>
      </c>
      <c r="M31" s="64">
        <v>1.1674</v>
      </c>
      <c r="N31" s="71">
        <f t="shared" si="6"/>
        <v>1600.0000000000459</v>
      </c>
      <c r="O31" s="64">
        <v>12541</v>
      </c>
      <c r="P31" s="74">
        <f t="shared" si="7"/>
        <v>0</v>
      </c>
      <c r="Q31" s="64">
        <v>5260</v>
      </c>
      <c r="R31" s="74">
        <f t="shared" si="8"/>
        <v>5</v>
      </c>
      <c r="S31" s="64">
        <v>824811</v>
      </c>
      <c r="T31" s="74">
        <f t="shared" si="44"/>
        <v>238</v>
      </c>
      <c r="U31" s="64">
        <v>334127</v>
      </c>
      <c r="V31" s="74">
        <f t="shared" si="10"/>
        <v>169</v>
      </c>
      <c r="W31" s="64">
        <v>326.27</v>
      </c>
      <c r="X31" s="72">
        <f t="shared" si="23"/>
        <v>219.99999999997044</v>
      </c>
      <c r="Y31" s="64">
        <v>2.3715000000000002</v>
      </c>
      <c r="Z31" s="72">
        <f t="shared" si="24"/>
        <v>700.00000000014495</v>
      </c>
      <c r="AA31" s="64">
        <v>323.74</v>
      </c>
      <c r="AB31" s="72">
        <f t="shared" si="25"/>
        <v>129.99999999999545</v>
      </c>
      <c r="AC31" s="64">
        <v>298.42</v>
      </c>
      <c r="AD31" s="72">
        <f t="shared" si="26"/>
        <v>319.99999999999318</v>
      </c>
      <c r="AE31" s="64">
        <v>465.83</v>
      </c>
      <c r="AF31" s="72">
        <f t="shared" si="27"/>
        <v>589.99999999997499</v>
      </c>
      <c r="AG31" s="64">
        <v>1193.5999999999999</v>
      </c>
      <c r="AH31" s="74">
        <f t="shared" si="11"/>
        <v>1.1999999999998181</v>
      </c>
      <c r="AI31" s="64">
        <v>408.72</v>
      </c>
      <c r="AJ31" s="72">
        <f t="shared" si="28"/>
        <v>270.00000000003865</v>
      </c>
      <c r="AK31" s="64">
        <v>145.49</v>
      </c>
      <c r="AL31" s="72">
        <f t="shared" si="12"/>
        <v>0.18000000000000682</v>
      </c>
      <c r="AM31" s="64">
        <v>146.36000000000001</v>
      </c>
      <c r="AN31" s="72">
        <f t="shared" si="13"/>
        <v>0.12000000000000455</v>
      </c>
      <c r="AO31" s="64">
        <v>142.88999999999999</v>
      </c>
      <c r="AP31" s="72">
        <f t="shared" si="14"/>
        <v>9.9999999999994316E-2</v>
      </c>
      <c r="AQ31" s="64">
        <v>214.34</v>
      </c>
      <c r="AR31" s="72">
        <f t="shared" si="29"/>
        <v>110.00000000001364</v>
      </c>
      <c r="AS31" s="64">
        <v>340.83</v>
      </c>
      <c r="AT31" s="72">
        <f t="shared" si="30"/>
        <v>99.999999999965894</v>
      </c>
      <c r="AU31" s="64">
        <v>262.85000000000002</v>
      </c>
      <c r="AV31" s="72">
        <f t="shared" si="31"/>
        <v>90.000000000031832</v>
      </c>
      <c r="AW31" s="64">
        <v>290.44</v>
      </c>
      <c r="AX31" s="72">
        <f t="shared" si="32"/>
        <v>89.999999999974989</v>
      </c>
      <c r="AY31" s="64">
        <v>341.36</v>
      </c>
      <c r="AZ31" s="72">
        <f t="shared" si="33"/>
        <v>120.00000000000455</v>
      </c>
      <c r="BA31" s="64">
        <v>361.64</v>
      </c>
      <c r="BB31" s="72">
        <f t="shared" si="34"/>
        <v>99.999999999965894</v>
      </c>
      <c r="BC31" s="64">
        <v>203.16</v>
      </c>
      <c r="BD31" s="72">
        <f t="shared" si="35"/>
        <v>9.9999999999909051</v>
      </c>
      <c r="BE31" s="66">
        <v>27841</v>
      </c>
      <c r="BF31" s="74">
        <f t="shared" si="15"/>
        <v>35</v>
      </c>
      <c r="BG31" s="67">
        <v>223.36</v>
      </c>
      <c r="BH31" s="72">
        <f t="shared" si="36"/>
        <v>40.000000000020464</v>
      </c>
      <c r="BI31" s="67">
        <v>280.97000000000003</v>
      </c>
      <c r="BJ31" s="72">
        <f t="shared" si="37"/>
        <v>40.000000000020464</v>
      </c>
      <c r="BK31" s="67">
        <v>228.96</v>
      </c>
      <c r="BL31" s="72">
        <f t="shared" si="38"/>
        <v>40.000000000020464</v>
      </c>
      <c r="BM31" s="67">
        <v>211.89</v>
      </c>
      <c r="BN31" s="72">
        <f t="shared" si="39"/>
        <v>39.999999999992042</v>
      </c>
      <c r="BO31" s="67">
        <v>276.13</v>
      </c>
      <c r="BP31" s="72">
        <f t="shared" si="40"/>
        <v>50.000000000011369</v>
      </c>
      <c r="BQ31" s="67">
        <v>37945</v>
      </c>
      <c r="BR31" s="72">
        <f t="shared" si="16"/>
        <v>23</v>
      </c>
      <c r="BS31" s="67">
        <v>192.29</v>
      </c>
      <c r="BT31" s="72">
        <f t="shared" si="41"/>
        <v>30.000000000001137</v>
      </c>
      <c r="BU31" s="67">
        <v>28946</v>
      </c>
      <c r="BV31" s="72">
        <f t="shared" si="1"/>
        <v>24</v>
      </c>
      <c r="BW31" s="67">
        <v>222.27</v>
      </c>
      <c r="BX31" s="72">
        <f t="shared" si="42"/>
        <v>40.000000000020464</v>
      </c>
      <c r="BY31" s="67">
        <v>47373</v>
      </c>
      <c r="BZ31" s="72">
        <f t="shared" si="17"/>
        <v>39</v>
      </c>
      <c r="CA31" s="67">
        <v>27500.7</v>
      </c>
      <c r="CB31" s="74">
        <f t="shared" si="18"/>
        <v>0</v>
      </c>
      <c r="CC31" s="67">
        <v>11250.4</v>
      </c>
      <c r="CD31" s="74">
        <f t="shared" si="19"/>
        <v>0</v>
      </c>
      <c r="CE31" s="67">
        <v>5487.5</v>
      </c>
      <c r="CF31" s="74">
        <f t="shared" si="20"/>
        <v>0</v>
      </c>
      <c r="CG31" s="67">
        <v>43262.9</v>
      </c>
      <c r="CH31" s="74">
        <f t="shared" si="21"/>
        <v>80.30000000000291</v>
      </c>
      <c r="CI31" s="67">
        <v>849295</v>
      </c>
      <c r="CJ31" s="74">
        <f t="shared" si="2"/>
        <v>217</v>
      </c>
      <c r="CK31" s="67">
        <v>554.22</v>
      </c>
      <c r="CL31" s="71">
        <f t="shared" si="22"/>
        <v>410.00000000008185</v>
      </c>
      <c r="CM31" s="72">
        <v>31.4</v>
      </c>
      <c r="CN31" s="69">
        <v>0</v>
      </c>
      <c r="CO31" s="69">
        <v>0</v>
      </c>
    </row>
    <row r="32" spans="1:93" ht="25.5" customHeight="1" thickBot="1" x14ac:dyDescent="0.45">
      <c r="A32" s="70">
        <v>43950</v>
      </c>
      <c r="B32" s="75"/>
      <c r="C32" s="64">
        <v>1.6649</v>
      </c>
      <c r="D32" s="71">
        <f t="shared" si="3"/>
        <v>1600.0000000000459</v>
      </c>
      <c r="E32" s="64">
        <v>2.6819999999999999</v>
      </c>
      <c r="F32" s="71">
        <f t="shared" si="4"/>
        <v>1100.000000000101</v>
      </c>
      <c r="G32" s="64">
        <v>2.496</v>
      </c>
      <c r="H32" s="71">
        <f t="shared" si="5"/>
        <v>1999.9999999997797</v>
      </c>
      <c r="I32" s="64">
        <v>1.1926000000000001</v>
      </c>
      <c r="J32" s="71">
        <f t="shared" si="43"/>
        <v>1300.0000000000789</v>
      </c>
      <c r="K32" s="64">
        <v>1.8290999999999999</v>
      </c>
      <c r="L32" s="71">
        <f t="shared" si="0"/>
        <v>2499.9999999999468</v>
      </c>
      <c r="M32" s="64">
        <v>1.1685000000000001</v>
      </c>
      <c r="N32" s="71">
        <f t="shared" si="6"/>
        <v>1100.000000000101</v>
      </c>
      <c r="O32" s="64">
        <v>12541</v>
      </c>
      <c r="P32" s="74">
        <f t="shared" si="7"/>
        <v>0</v>
      </c>
      <c r="Q32" s="64">
        <v>5265</v>
      </c>
      <c r="R32" s="74">
        <f t="shared" si="8"/>
        <v>5</v>
      </c>
      <c r="S32" s="64">
        <v>825081</v>
      </c>
      <c r="T32" s="74">
        <f t="shared" si="44"/>
        <v>270</v>
      </c>
      <c r="U32" s="64">
        <v>334313</v>
      </c>
      <c r="V32" s="74">
        <f t="shared" si="10"/>
        <v>186</v>
      </c>
      <c r="W32" s="64">
        <v>326.45999999999998</v>
      </c>
      <c r="X32" s="72">
        <f t="shared" si="23"/>
        <v>189.99999999999773</v>
      </c>
      <c r="Y32" s="64">
        <v>2.3719999999999999</v>
      </c>
      <c r="Z32" s="72">
        <f t="shared" si="24"/>
        <v>499.99999999972289</v>
      </c>
      <c r="AA32" s="64">
        <v>323.85000000000002</v>
      </c>
      <c r="AB32" s="72">
        <f t="shared" si="25"/>
        <v>110.00000000001364</v>
      </c>
      <c r="AC32" s="64">
        <v>298.72000000000003</v>
      </c>
      <c r="AD32" s="72">
        <f t="shared" si="26"/>
        <v>300.00000000001137</v>
      </c>
      <c r="AE32" s="64">
        <v>466.39</v>
      </c>
      <c r="AF32" s="72">
        <f t="shared" si="27"/>
        <v>560.00000000000227</v>
      </c>
      <c r="AG32" s="64">
        <v>1194.5</v>
      </c>
      <c r="AH32" s="74">
        <f t="shared" si="11"/>
        <v>0.90000000000009095</v>
      </c>
      <c r="AI32" s="64">
        <v>408.99</v>
      </c>
      <c r="AJ32" s="72">
        <f t="shared" si="28"/>
        <v>269.99999999998181</v>
      </c>
      <c r="AK32" s="64">
        <v>145.63</v>
      </c>
      <c r="AL32" s="72">
        <f t="shared" si="12"/>
        <v>0.13999999999998636</v>
      </c>
      <c r="AM32" s="64">
        <v>146.47999999999999</v>
      </c>
      <c r="AN32" s="72">
        <f t="shared" si="13"/>
        <v>0.11999999999997613</v>
      </c>
      <c r="AO32" s="64">
        <v>142.97999999999999</v>
      </c>
      <c r="AP32" s="72">
        <f t="shared" si="14"/>
        <v>9.0000000000003411E-2</v>
      </c>
      <c r="AQ32" s="64">
        <v>214.42</v>
      </c>
      <c r="AR32" s="72">
        <f t="shared" si="29"/>
        <v>79.999999999984084</v>
      </c>
      <c r="AS32" s="64">
        <v>340.93</v>
      </c>
      <c r="AT32" s="72">
        <f t="shared" si="30"/>
        <v>100.00000000002274</v>
      </c>
      <c r="AU32" s="64">
        <v>262.93</v>
      </c>
      <c r="AV32" s="72">
        <f t="shared" si="31"/>
        <v>79.999999999984084</v>
      </c>
      <c r="AW32" s="64">
        <v>290.52999999999997</v>
      </c>
      <c r="AX32" s="72">
        <f t="shared" si="32"/>
        <v>89.999999999974989</v>
      </c>
      <c r="AY32" s="64">
        <v>341.45</v>
      </c>
      <c r="AZ32" s="72">
        <f t="shared" si="33"/>
        <v>89.999999999974989</v>
      </c>
      <c r="BA32" s="64">
        <v>361.72</v>
      </c>
      <c r="BB32" s="72">
        <f t="shared" si="34"/>
        <v>80.000000000040927</v>
      </c>
      <c r="BC32" s="64">
        <v>203.17</v>
      </c>
      <c r="BD32" s="72">
        <f t="shared" si="35"/>
        <v>9.9999999999909051</v>
      </c>
      <c r="BE32" s="66">
        <v>27878</v>
      </c>
      <c r="BF32" s="74">
        <f t="shared" si="15"/>
        <v>37</v>
      </c>
      <c r="BG32" s="67">
        <v>223.39</v>
      </c>
      <c r="BH32" s="72">
        <f t="shared" si="36"/>
        <v>29.999999999972715</v>
      </c>
      <c r="BI32" s="67">
        <v>281</v>
      </c>
      <c r="BJ32" s="72">
        <f t="shared" si="37"/>
        <v>29.999999999972715</v>
      </c>
      <c r="BK32" s="67">
        <v>228.99</v>
      </c>
      <c r="BL32" s="72">
        <f t="shared" si="38"/>
        <v>30.000000000001137</v>
      </c>
      <c r="BM32" s="67">
        <v>211.92</v>
      </c>
      <c r="BN32" s="72">
        <f t="shared" si="39"/>
        <v>30.000000000001137</v>
      </c>
      <c r="BO32" s="67">
        <v>276.18</v>
      </c>
      <c r="BP32" s="72">
        <f t="shared" si="40"/>
        <v>50.000000000011369</v>
      </c>
      <c r="BQ32" s="67">
        <v>37967</v>
      </c>
      <c r="BR32" s="72">
        <f t="shared" si="16"/>
        <v>22</v>
      </c>
      <c r="BS32" s="67">
        <v>192.32</v>
      </c>
      <c r="BT32" s="72">
        <f t="shared" si="41"/>
        <v>30.000000000001137</v>
      </c>
      <c r="BU32" s="67">
        <v>28966</v>
      </c>
      <c r="BV32" s="72">
        <f t="shared" si="1"/>
        <v>20</v>
      </c>
      <c r="BW32" s="67">
        <v>222.3</v>
      </c>
      <c r="BX32" s="72">
        <f t="shared" si="42"/>
        <v>30.000000000001137</v>
      </c>
      <c r="BY32" s="67">
        <v>47410</v>
      </c>
      <c r="BZ32" s="72">
        <f t="shared" si="17"/>
        <v>37</v>
      </c>
      <c r="CA32" s="67">
        <v>27500.7</v>
      </c>
      <c r="CB32" s="74">
        <f t="shared" si="18"/>
        <v>0</v>
      </c>
      <c r="CC32" s="67">
        <v>11250.4</v>
      </c>
      <c r="CD32" s="74">
        <f t="shared" si="19"/>
        <v>0</v>
      </c>
      <c r="CE32" s="67">
        <v>5487.5</v>
      </c>
      <c r="CF32" s="74">
        <f t="shared" si="20"/>
        <v>0</v>
      </c>
      <c r="CG32" s="67">
        <v>43316.2</v>
      </c>
      <c r="CH32" s="74">
        <f t="shared" si="21"/>
        <v>53.299999999995634</v>
      </c>
      <c r="CI32" s="67">
        <v>849500</v>
      </c>
      <c r="CJ32" s="74">
        <f t="shared" si="2"/>
        <v>205</v>
      </c>
      <c r="CK32" s="67">
        <v>554.6</v>
      </c>
      <c r="CL32" s="71">
        <f t="shared" si="22"/>
        <v>379.99999999999545</v>
      </c>
      <c r="CM32" s="72">
        <v>27.7</v>
      </c>
      <c r="CN32" s="69">
        <v>0</v>
      </c>
      <c r="CO32" s="69">
        <v>0</v>
      </c>
    </row>
    <row r="33" spans="1:93" ht="25.5" customHeight="1" thickBot="1" x14ac:dyDescent="0.45">
      <c r="A33" s="70">
        <v>43951</v>
      </c>
      <c r="B33" s="75"/>
      <c r="C33" s="64">
        <v>1.6661999999999999</v>
      </c>
      <c r="D33" s="71">
        <f t="shared" si="3"/>
        <v>1299.9999999998568</v>
      </c>
      <c r="E33" s="64">
        <v>2.6827999999999999</v>
      </c>
      <c r="F33" s="71">
        <f t="shared" si="4"/>
        <v>799.99999999991189</v>
      </c>
      <c r="G33" s="64">
        <v>2.4979</v>
      </c>
      <c r="H33" s="71">
        <f t="shared" si="5"/>
        <v>1900.0000000000127</v>
      </c>
      <c r="I33" s="64">
        <v>1.1938</v>
      </c>
      <c r="J33" s="71">
        <f t="shared" si="43"/>
        <v>1199.9999999998679</v>
      </c>
      <c r="K33" s="64">
        <v>1.8312999999999999</v>
      </c>
      <c r="L33" s="71">
        <f t="shared" si="0"/>
        <v>2199.9999999999795</v>
      </c>
      <c r="M33" s="64">
        <v>1.1695</v>
      </c>
      <c r="N33" s="71">
        <f t="shared" si="6"/>
        <v>999.99999999988984</v>
      </c>
      <c r="O33" s="64">
        <v>12541</v>
      </c>
      <c r="P33" s="74">
        <f t="shared" si="7"/>
        <v>0</v>
      </c>
      <c r="Q33" s="64">
        <v>5269</v>
      </c>
      <c r="R33" s="74">
        <f t="shared" si="8"/>
        <v>4</v>
      </c>
      <c r="S33" s="64">
        <v>825614</v>
      </c>
      <c r="T33" s="74">
        <f t="shared" si="44"/>
        <v>533</v>
      </c>
      <c r="U33" s="64">
        <v>334731</v>
      </c>
      <c r="V33" s="74">
        <f t="shared" si="10"/>
        <v>418</v>
      </c>
      <c r="W33" s="64">
        <v>326.64</v>
      </c>
      <c r="X33" s="72">
        <f t="shared" si="23"/>
        <v>180.00000000000682</v>
      </c>
      <c r="Y33" s="64">
        <v>2.3725999999999998</v>
      </c>
      <c r="Z33" s="72">
        <f t="shared" si="24"/>
        <v>599.99999999993395</v>
      </c>
      <c r="AA33" s="64">
        <v>323.95</v>
      </c>
      <c r="AB33" s="72">
        <f t="shared" si="25"/>
        <v>99.999999999965894</v>
      </c>
      <c r="AC33" s="64">
        <v>299</v>
      </c>
      <c r="AD33" s="72">
        <f t="shared" si="26"/>
        <v>279.99999999997272</v>
      </c>
      <c r="AE33" s="64">
        <v>466.92</v>
      </c>
      <c r="AF33" s="72">
        <f t="shared" si="27"/>
        <v>530.00000000002956</v>
      </c>
      <c r="AG33" s="64">
        <v>1195.7</v>
      </c>
      <c r="AH33" s="74">
        <f t="shared" si="11"/>
        <v>1.2000000000000455</v>
      </c>
      <c r="AI33" s="64">
        <v>409.28</v>
      </c>
      <c r="AJ33" s="72">
        <f t="shared" si="28"/>
        <v>289.99999999996362</v>
      </c>
      <c r="AK33" s="64">
        <v>145.75</v>
      </c>
      <c r="AL33" s="72">
        <f t="shared" si="12"/>
        <v>0.12000000000000455</v>
      </c>
      <c r="AM33" s="64">
        <v>146.57</v>
      </c>
      <c r="AN33" s="72">
        <f t="shared" si="13"/>
        <v>9.0000000000003411E-2</v>
      </c>
      <c r="AO33" s="64">
        <v>143.06</v>
      </c>
      <c r="AP33" s="72">
        <f t="shared" si="14"/>
        <v>8.0000000000012506E-2</v>
      </c>
      <c r="AQ33" s="64">
        <v>214.5</v>
      </c>
      <c r="AR33" s="72">
        <f t="shared" si="29"/>
        <v>80.000000000012506</v>
      </c>
      <c r="AS33" s="64">
        <v>341.01</v>
      </c>
      <c r="AT33" s="72">
        <f t="shared" si="30"/>
        <v>79.999999999984084</v>
      </c>
      <c r="AU33" s="64">
        <v>263</v>
      </c>
      <c r="AV33" s="72">
        <f t="shared" si="31"/>
        <v>69.999999999993179</v>
      </c>
      <c r="AW33" s="64">
        <v>290.60000000000002</v>
      </c>
      <c r="AX33" s="72">
        <f t="shared" si="32"/>
        <v>70.000000000050022</v>
      </c>
      <c r="AY33" s="64">
        <v>341.54</v>
      </c>
      <c r="AZ33" s="72"/>
      <c r="BA33" s="64">
        <v>361.79</v>
      </c>
      <c r="BB33" s="72">
        <f t="shared" si="34"/>
        <v>69.999999999993179</v>
      </c>
      <c r="BC33" s="64">
        <v>203.18</v>
      </c>
      <c r="BD33" s="72">
        <f t="shared" si="35"/>
        <v>10.000000000019327</v>
      </c>
      <c r="BE33" s="66">
        <v>27899</v>
      </c>
      <c r="BF33" s="74">
        <f t="shared" si="15"/>
        <v>21</v>
      </c>
      <c r="BG33" s="67">
        <v>223.42</v>
      </c>
      <c r="BH33" s="72">
        <f t="shared" si="36"/>
        <v>30.000000000001137</v>
      </c>
      <c r="BI33" s="67">
        <v>281.02999999999997</v>
      </c>
      <c r="BJ33" s="72">
        <f t="shared" si="37"/>
        <v>29.999999999972715</v>
      </c>
      <c r="BK33" s="67">
        <v>229.02</v>
      </c>
      <c r="BL33" s="72">
        <f t="shared" si="38"/>
        <v>30.000000000001137</v>
      </c>
      <c r="BM33" s="67">
        <v>211.96</v>
      </c>
      <c r="BN33" s="72">
        <f t="shared" si="39"/>
        <v>40.000000000020464</v>
      </c>
      <c r="BO33" s="67">
        <v>276.23</v>
      </c>
      <c r="BP33" s="72">
        <f t="shared" si="40"/>
        <v>50.000000000011369</v>
      </c>
      <c r="BQ33" s="67">
        <v>37988</v>
      </c>
      <c r="BR33" s="72">
        <f t="shared" si="16"/>
        <v>21</v>
      </c>
      <c r="BS33" s="67">
        <v>192.34</v>
      </c>
      <c r="BT33" s="72">
        <f t="shared" si="41"/>
        <v>20.000000000010232</v>
      </c>
      <c r="BU33" s="67">
        <v>28985</v>
      </c>
      <c r="BV33" s="72">
        <f t="shared" si="1"/>
        <v>19</v>
      </c>
      <c r="BW33" s="67">
        <v>222.34</v>
      </c>
      <c r="BX33" s="72">
        <f t="shared" si="42"/>
        <v>39.999999999992042</v>
      </c>
      <c r="BY33" s="67">
        <v>47448</v>
      </c>
      <c r="BZ33" s="72">
        <f t="shared" si="17"/>
        <v>38</v>
      </c>
      <c r="CA33" s="67">
        <v>27500.7</v>
      </c>
      <c r="CB33" s="74">
        <f t="shared" si="18"/>
        <v>0</v>
      </c>
      <c r="CC33" s="67">
        <v>11250.4</v>
      </c>
      <c r="CD33" s="74">
        <f t="shared" si="19"/>
        <v>0</v>
      </c>
      <c r="CE33" s="67">
        <v>5487.5</v>
      </c>
      <c r="CF33" s="74">
        <f t="shared" si="20"/>
        <v>0</v>
      </c>
      <c r="CG33" s="67">
        <v>43397.599999999999</v>
      </c>
      <c r="CH33" s="74">
        <f t="shared" si="21"/>
        <v>81.400000000001455</v>
      </c>
      <c r="CI33" s="67">
        <v>849693</v>
      </c>
      <c r="CJ33" s="74">
        <f t="shared" si="2"/>
        <v>193</v>
      </c>
      <c r="CK33" s="67">
        <v>554.96</v>
      </c>
      <c r="CL33" s="71">
        <f t="shared" si="22"/>
        <v>360.00000000001364</v>
      </c>
      <c r="CM33" s="72">
        <v>29.5</v>
      </c>
      <c r="CN33" s="69">
        <v>0</v>
      </c>
      <c r="CO33" s="69">
        <v>0</v>
      </c>
    </row>
    <row r="34" spans="1:93" ht="25.5" customHeight="1" thickBot="1" x14ac:dyDescent="0.45">
      <c r="A34" s="70">
        <v>43952</v>
      </c>
      <c r="B34" s="75"/>
      <c r="C34" s="64">
        <v>1.6676</v>
      </c>
      <c r="D34" s="71">
        <f t="shared" ref="D34" si="46">IF((C34-C33&lt;0), "0",(C34-C33)*1000000)</f>
        <v>1400.0000000000678</v>
      </c>
      <c r="E34" s="64">
        <v>2.6837</v>
      </c>
      <c r="F34" s="71">
        <f t="shared" si="4"/>
        <v>900.0000000001229</v>
      </c>
      <c r="G34" s="64">
        <v>2.4996999999999998</v>
      </c>
      <c r="H34" s="71">
        <f t="shared" ref="H34" si="47">IF((G34-G33&lt;0), "0",(G34-G33)*1000000)</f>
        <v>1799.9999999998017</v>
      </c>
      <c r="I34" s="64">
        <v>1.1950000000000001</v>
      </c>
      <c r="J34" s="71">
        <f t="shared" ref="J34" si="48">IF((I34-I33&lt;0), "0",(I34-I33)*1000000)</f>
        <v>1200.0000000000898</v>
      </c>
      <c r="K34" s="64">
        <v>1.8333999999999999</v>
      </c>
      <c r="L34" s="71">
        <f t="shared" ref="L34" si="49">IF((K34-K33&lt;0), "0",(K34-K33)*1000000)</f>
        <v>2099.9999999999909</v>
      </c>
      <c r="M34" s="64">
        <v>1.1705000000000001</v>
      </c>
      <c r="N34" s="71">
        <f t="shared" ref="N34" si="50">IF((M34-M33&lt;0), "",(M34-M33)*1000000)</f>
        <v>1000.0000000001119</v>
      </c>
      <c r="O34" s="64">
        <v>12541</v>
      </c>
      <c r="P34" s="74">
        <f>IF((O34-O33&lt;0), "",O34-O33)</f>
        <v>0</v>
      </c>
      <c r="Q34" s="64">
        <v>5273</v>
      </c>
      <c r="R34" s="74">
        <f t="shared" ref="R34" si="51">IF((Q34-Q33&lt;0), "",Q34-Q33)</f>
        <v>4</v>
      </c>
      <c r="S34" s="64">
        <v>825875</v>
      </c>
      <c r="T34" s="74">
        <f t="shared" ref="T34" si="52">IF((S34-S33&lt;0), "",S34-S33)</f>
        <v>261</v>
      </c>
      <c r="U34" s="64">
        <v>334846</v>
      </c>
      <c r="V34" s="74">
        <f t="shared" ref="V34" si="53">IF((U34-U33&lt;0), "",U34-U33)</f>
        <v>115</v>
      </c>
      <c r="W34" s="64">
        <v>326.82</v>
      </c>
      <c r="X34" s="72">
        <f t="shared" ref="X34" si="54">IF((W34-W33&lt;0), "",(W34-W33)*1000)</f>
        <v>180.00000000000682</v>
      </c>
      <c r="Y34" s="64">
        <v>2.3732000000000002</v>
      </c>
      <c r="Z34" s="72">
        <f t="shared" ref="Z34" si="55">IF((Y34-Y33&lt;0), "",(Y34-Y33)*1000000)</f>
        <v>600.00000000037801</v>
      </c>
      <c r="AA34" s="64">
        <v>324.02999999999997</v>
      </c>
      <c r="AB34" s="72">
        <f t="shared" ref="AB34" si="56">IF((AA34-AA33&lt;0), "",(AA34-AA33)*1000)</f>
        <v>79.999999999984084</v>
      </c>
      <c r="AC34" s="64">
        <v>299.27999999999997</v>
      </c>
      <c r="AD34" s="72">
        <f t="shared" ref="AD34" si="57">IF((AC34-AC33&lt;0), "",(AC34-AC33)*1000)</f>
        <v>279.99999999997272</v>
      </c>
      <c r="AE34" s="64">
        <v>467.42</v>
      </c>
      <c r="AF34" s="72">
        <f t="shared" ref="AF34" si="58">IF((AE34-AE33&lt;0), "",(AE34-AE33)*1000)</f>
        <v>500</v>
      </c>
      <c r="AG34" s="64">
        <v>1196.5999999999999</v>
      </c>
      <c r="AH34" s="74">
        <f t="shared" ref="AH34" si="59">IF((AG34-AG33&lt;0), "",AG34-AG33)</f>
        <v>0.89999999999986358</v>
      </c>
      <c r="AI34" s="64">
        <v>409.6</v>
      </c>
      <c r="AJ34" s="72">
        <f t="shared" ref="AJ34" si="60">IF((AI34-AI33&lt;0), "",(AI34-AI33)*1000)</f>
        <v>320.00000000005002</v>
      </c>
      <c r="AK34" s="64">
        <v>145.88</v>
      </c>
      <c r="AL34" s="72">
        <f t="shared" ref="AL34" si="61">IF((AK34-AK33&lt;0), "",AK34-AK33)</f>
        <v>0.12999999999999545</v>
      </c>
      <c r="AM34" s="64">
        <v>146.66999999999999</v>
      </c>
      <c r="AN34" s="72">
        <f t="shared" ref="AN34" si="62">IF((AM34-AM33&lt;0), "",AM34-AM33)</f>
        <v>9.9999999999994316E-2</v>
      </c>
      <c r="AO34" s="64">
        <v>143.15</v>
      </c>
      <c r="AP34" s="72">
        <f t="shared" ref="AP34" si="63">IF((AO34-AO33&lt;0), "",AO34-AO33)</f>
        <v>9.0000000000003411E-2</v>
      </c>
      <c r="AQ34" s="64">
        <v>214.57</v>
      </c>
      <c r="AR34" s="72">
        <f t="shared" ref="AR34" si="64">IF((AQ34-AQ33&lt;0), "",(AQ34-AQ33)*1000)</f>
        <v>69.999999999993179</v>
      </c>
      <c r="AS34" s="64">
        <v>341.1</v>
      </c>
      <c r="AT34" s="72">
        <f t="shared" ref="AT34" si="65">IF((AS34-AS33&lt;0), "",(AS34-AS33)*1000)</f>
        <v>90.000000000031832</v>
      </c>
      <c r="AU34" s="64">
        <v>263.08</v>
      </c>
      <c r="AV34" s="72">
        <f t="shared" ref="AV34" si="66">IF((AU34-AU33&lt;0), "",(AU34-AU33)*1000)</f>
        <v>79.999999999984084</v>
      </c>
      <c r="AW34" s="64">
        <v>290.66000000000003</v>
      </c>
      <c r="AX34" s="72">
        <f t="shared" ref="AX34" si="67">IF((AW34-AW33&lt;0), "",(AW34-AW33)*1000)</f>
        <v>60.000000000002274</v>
      </c>
      <c r="AY34" s="64">
        <v>341.62</v>
      </c>
      <c r="AZ34" s="72">
        <f t="shared" ref="AZ34" si="68">IF((AY34-AY33&lt;0), "",(AY34-AY33)*1000)</f>
        <v>79.999999999984084</v>
      </c>
      <c r="BA34" s="64">
        <v>361.86</v>
      </c>
      <c r="BB34" s="72">
        <f t="shared" ref="BB34" si="69">IF((BA34-BA33&lt;0), "",(BA34-BA33)*1000)</f>
        <v>69.999999999993179</v>
      </c>
      <c r="BC34" s="64">
        <v>203.19</v>
      </c>
      <c r="BD34" s="72">
        <f t="shared" ref="BD34" si="70">IF((BC34-BC33&lt;0), "",(BC34-BC33)*1000)</f>
        <v>9.9999999999909051</v>
      </c>
      <c r="BE34" s="66">
        <v>27930</v>
      </c>
      <c r="BF34" s="74">
        <f>IF((BE34-BE33&lt;0), "",BE34-BE33)</f>
        <v>31</v>
      </c>
      <c r="BG34" s="67">
        <v>223.46</v>
      </c>
      <c r="BH34" s="72">
        <f t="shared" ref="BH34" si="71">IF((BG34-BG33&lt;0), "",(BG34-BG33)*1000)</f>
        <v>40.000000000020464</v>
      </c>
      <c r="BI34" s="67">
        <v>281.06</v>
      </c>
      <c r="BJ34" s="72">
        <f t="shared" ref="BJ34" si="72">IF((BI34-BI33&lt;0), "",(BI34-BI33)*1000)</f>
        <v>30.000000000029559</v>
      </c>
      <c r="BK34" s="67">
        <v>229.05</v>
      </c>
      <c r="BL34" s="72">
        <f t="shared" ref="BL34" si="73">IF((BK34-BK33&lt;0), "",(BK34-BK33)*1000)</f>
        <v>30.000000000001137</v>
      </c>
      <c r="BM34" s="67">
        <v>212</v>
      </c>
      <c r="BN34" s="72">
        <f t="shared" ref="BN34" si="74">IF((BM34-BM33&lt;0), "",(BM34-BM33)*1000)</f>
        <v>39.999999999992042</v>
      </c>
      <c r="BO34" s="67">
        <v>276.27</v>
      </c>
      <c r="BP34" s="72">
        <f t="shared" ref="BP34" si="75">IF((BO34-BO33&lt;0), "",(BO34-BO33)*1000)</f>
        <v>39.99999999996362</v>
      </c>
      <c r="BQ34" s="67">
        <v>38012</v>
      </c>
      <c r="BR34" s="72">
        <f t="shared" ref="BR34" si="76">IF((BQ34-BQ33&lt;0), "",BQ34-BQ33)</f>
        <v>24</v>
      </c>
      <c r="BS34" s="67">
        <v>192.37</v>
      </c>
      <c r="BT34" s="72">
        <f t="shared" ref="BT34" si="77">IF((BS34-BS33&lt;0), "",(BS34-BS33)*1000)</f>
        <v>30.000000000001137</v>
      </c>
      <c r="BU34" s="67">
        <v>29006</v>
      </c>
      <c r="BV34" s="72">
        <f t="shared" ref="BV34" si="78">IF((BU34-BU33&lt;0), "",BU34-BU33)</f>
        <v>21</v>
      </c>
      <c r="BW34" s="67">
        <v>222.38</v>
      </c>
      <c r="BX34" s="72">
        <f t="shared" ref="BX34" si="79">IF((BW34-BW33&lt;0), "",(BW34-BW33)*1000)</f>
        <v>39.999999999992042</v>
      </c>
      <c r="BY34" s="67">
        <v>47483</v>
      </c>
      <c r="BZ34" s="74">
        <f t="shared" ref="BZ34" si="80">IF((BY34-BY33&lt;0), "",BY34-BY33)</f>
        <v>35</v>
      </c>
      <c r="CA34" s="67">
        <v>27500.7</v>
      </c>
      <c r="CB34" s="74">
        <f t="shared" ref="CB34" si="81">IF((CA34-CA33&lt;0), "",CA34-CA33)</f>
        <v>0</v>
      </c>
      <c r="CC34" s="67">
        <v>11250.4</v>
      </c>
      <c r="CD34" s="74">
        <f t="shared" ref="CD34" si="82">IF((CC34-CC33&lt;0), "",CC34-CC33)</f>
        <v>0</v>
      </c>
      <c r="CE34" s="67">
        <v>5487.5</v>
      </c>
      <c r="CF34" s="74">
        <f t="shared" ref="CF34" si="83">IF((CE34-CE33&lt;0), "",CE34-CE33)</f>
        <v>0</v>
      </c>
      <c r="CG34" s="67">
        <v>43459.5</v>
      </c>
      <c r="CH34" s="74">
        <f t="shared" ref="CH34" si="84">IF((CG34-CG33&lt;0), "",CG34-CG33)</f>
        <v>61.900000000001455</v>
      </c>
      <c r="CI34" s="67">
        <v>849890</v>
      </c>
      <c r="CJ34" s="74">
        <f t="shared" ref="CJ34" si="85">IF((CI34-CI33&lt;0), "",CI34-CI33)</f>
        <v>197</v>
      </c>
      <c r="CK34" s="67">
        <v>555.4</v>
      </c>
      <c r="CL34" s="71">
        <f t="shared" ref="CL34" si="86">IF((CK34-CK33&lt;0), "",(CK34-CK33)*1000)</f>
        <v>439.99999999994088</v>
      </c>
      <c r="CM34" s="72">
        <v>29</v>
      </c>
      <c r="CN34" s="69">
        <v>0</v>
      </c>
      <c r="CO34" s="69">
        <v>0</v>
      </c>
    </row>
    <row r="35" spans="1:93" ht="21.75" x14ac:dyDescent="0.4">
      <c r="P35" s="76">
        <f>SUM(P4:P33)</f>
        <v>5</v>
      </c>
      <c r="R35" s="76">
        <f>SUM(R4:R33)</f>
        <v>158</v>
      </c>
      <c r="AX35" s="72" t="str">
        <f t="shared" si="32"/>
        <v/>
      </c>
      <c r="BF35" s="76">
        <f>SUM(BF4:BF33)</f>
        <v>955</v>
      </c>
      <c r="BJ35" s="72" t="str">
        <f t="shared" si="37"/>
        <v/>
      </c>
      <c r="BL35" s="72" t="str">
        <f t="shared" si="38"/>
        <v/>
      </c>
      <c r="BT35" s="72" t="str">
        <f t="shared" si="41"/>
        <v/>
      </c>
      <c r="BV35" s="72" t="str">
        <f t="shared" si="1"/>
        <v/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B19" zoomScaleNormal="100" workbookViewId="0">
      <selection activeCell="U33" sqref="U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>
        <v>0</v>
      </c>
      <c r="C27" s="44">
        <v>0</v>
      </c>
      <c r="D27" s="44">
        <v>0</v>
      </c>
      <c r="E27" s="45">
        <v>15</v>
      </c>
      <c r="F27" s="45">
        <v>4775</v>
      </c>
      <c r="G27" s="45">
        <v>0</v>
      </c>
      <c r="H27" s="45">
        <v>1374</v>
      </c>
      <c r="I27" s="45">
        <v>85</v>
      </c>
      <c r="J27" s="45">
        <v>273</v>
      </c>
      <c r="K27" s="46">
        <v>85</v>
      </c>
      <c r="L27" s="46">
        <v>45</v>
      </c>
      <c r="M27" s="46">
        <v>1152</v>
      </c>
      <c r="N27" s="43">
        <v>85</v>
      </c>
      <c r="O27" s="43">
        <v>0</v>
      </c>
      <c r="P27" s="43">
        <v>44</v>
      </c>
      <c r="Q27" s="43">
        <v>2337</v>
      </c>
    </row>
    <row r="28" spans="1:17" x14ac:dyDescent="0.25">
      <c r="A28" s="27">
        <v>43941</v>
      </c>
      <c r="B28" s="44">
        <v>0</v>
      </c>
      <c r="C28" s="44">
        <v>0</v>
      </c>
      <c r="D28" s="44">
        <v>0</v>
      </c>
      <c r="E28" s="45">
        <v>15</v>
      </c>
      <c r="F28" s="45">
        <v>4775</v>
      </c>
      <c r="G28" s="45">
        <v>0</v>
      </c>
      <c r="H28" s="45">
        <v>1374</v>
      </c>
      <c r="I28" s="45">
        <v>85</v>
      </c>
      <c r="J28" s="45">
        <v>273</v>
      </c>
      <c r="K28" s="46">
        <v>85</v>
      </c>
      <c r="L28" s="46">
        <v>45</v>
      </c>
      <c r="M28" s="46">
        <v>1152</v>
      </c>
      <c r="N28" s="43">
        <v>85</v>
      </c>
      <c r="O28" s="43">
        <v>0</v>
      </c>
      <c r="P28" s="43">
        <v>39</v>
      </c>
      <c r="Q28" s="43">
        <v>2341</v>
      </c>
    </row>
    <row r="29" spans="1:17" x14ac:dyDescent="0.25">
      <c r="A29" s="27">
        <v>43942</v>
      </c>
      <c r="B29" s="44">
        <v>0</v>
      </c>
      <c r="C29" s="44">
        <v>0</v>
      </c>
      <c r="D29" s="44">
        <v>0</v>
      </c>
      <c r="E29" s="45">
        <v>15</v>
      </c>
      <c r="F29" s="45">
        <v>4775</v>
      </c>
      <c r="G29" s="45">
        <v>0</v>
      </c>
      <c r="H29" s="45">
        <v>1374</v>
      </c>
      <c r="I29" s="45">
        <v>85</v>
      </c>
      <c r="J29" s="45">
        <v>273</v>
      </c>
      <c r="K29" s="46">
        <v>85</v>
      </c>
      <c r="L29" s="46">
        <v>45</v>
      </c>
      <c r="M29" s="46">
        <v>1152</v>
      </c>
      <c r="N29" s="43">
        <v>85</v>
      </c>
      <c r="O29" s="43">
        <v>0</v>
      </c>
      <c r="P29" s="43">
        <v>30</v>
      </c>
      <c r="Q29" s="43">
        <v>2345</v>
      </c>
    </row>
    <row r="30" spans="1:17" x14ac:dyDescent="0.25">
      <c r="A30" s="27">
        <v>43943</v>
      </c>
      <c r="B30" s="44">
        <v>0</v>
      </c>
      <c r="C30" s="44">
        <v>0</v>
      </c>
      <c r="D30" s="44">
        <v>0</v>
      </c>
      <c r="E30" s="45">
        <v>15</v>
      </c>
      <c r="F30" s="45">
        <v>4775</v>
      </c>
      <c r="G30" s="45">
        <v>0</v>
      </c>
      <c r="H30" s="45">
        <v>1374</v>
      </c>
      <c r="I30" s="45">
        <v>85</v>
      </c>
      <c r="J30" s="45">
        <v>273</v>
      </c>
      <c r="K30" s="46">
        <v>85</v>
      </c>
      <c r="L30" s="46">
        <v>45</v>
      </c>
      <c r="M30" s="46">
        <v>1152</v>
      </c>
      <c r="N30" s="43">
        <v>85</v>
      </c>
      <c r="O30" s="43">
        <v>0</v>
      </c>
      <c r="P30" s="43">
        <v>29</v>
      </c>
      <c r="Q30" s="43">
        <v>2349</v>
      </c>
    </row>
    <row r="31" spans="1:17" x14ac:dyDescent="0.25">
      <c r="A31" s="27">
        <v>43944</v>
      </c>
      <c r="B31" s="44">
        <v>0</v>
      </c>
      <c r="C31" s="44">
        <v>0</v>
      </c>
      <c r="D31" s="44">
        <v>0</v>
      </c>
      <c r="E31" s="45">
        <v>15</v>
      </c>
      <c r="F31" s="45">
        <v>4775</v>
      </c>
      <c r="G31" s="45">
        <v>0</v>
      </c>
      <c r="H31" s="45">
        <v>1374</v>
      </c>
      <c r="I31" s="45">
        <v>85</v>
      </c>
      <c r="J31" s="45">
        <v>273</v>
      </c>
      <c r="K31" s="46">
        <v>85</v>
      </c>
      <c r="L31" s="46">
        <v>45</v>
      </c>
      <c r="M31" s="46">
        <v>1152</v>
      </c>
      <c r="N31" s="43">
        <v>85</v>
      </c>
      <c r="O31" s="43">
        <v>0</v>
      </c>
      <c r="P31" s="43">
        <v>20</v>
      </c>
      <c r="Q31" s="43">
        <v>2354</v>
      </c>
    </row>
    <row r="32" spans="1:17" x14ac:dyDescent="0.25">
      <c r="A32" s="27">
        <v>43945</v>
      </c>
      <c r="B32" s="44">
        <v>0</v>
      </c>
      <c r="C32" s="44">
        <v>0</v>
      </c>
      <c r="D32" s="44">
        <v>0</v>
      </c>
      <c r="E32" s="45">
        <v>15</v>
      </c>
      <c r="F32" s="45">
        <v>4775</v>
      </c>
      <c r="G32" s="45">
        <v>0</v>
      </c>
      <c r="H32" s="45">
        <v>1374</v>
      </c>
      <c r="I32" s="45">
        <v>85</v>
      </c>
      <c r="J32" s="45">
        <v>273</v>
      </c>
      <c r="K32" s="46">
        <v>85</v>
      </c>
      <c r="L32" s="46">
        <v>45</v>
      </c>
      <c r="M32" s="46">
        <v>1152</v>
      </c>
      <c r="N32" s="43">
        <v>85</v>
      </c>
      <c r="O32" s="43">
        <v>0</v>
      </c>
      <c r="P32" s="43">
        <v>18</v>
      </c>
      <c r="Q32" s="43">
        <v>2359</v>
      </c>
    </row>
    <row r="33" spans="1:17" x14ac:dyDescent="0.25">
      <c r="A33" s="27">
        <v>43946</v>
      </c>
      <c r="B33" s="44">
        <v>0</v>
      </c>
      <c r="C33" s="44">
        <v>0</v>
      </c>
      <c r="D33" s="44">
        <v>0</v>
      </c>
      <c r="E33" s="45">
        <v>15</v>
      </c>
      <c r="F33" s="45">
        <v>4775</v>
      </c>
      <c r="G33" s="45">
        <v>0</v>
      </c>
      <c r="H33" s="45">
        <v>1374</v>
      </c>
      <c r="I33" s="45">
        <v>85</v>
      </c>
      <c r="J33" s="45">
        <v>273</v>
      </c>
      <c r="K33" s="46">
        <v>85</v>
      </c>
      <c r="L33" s="46">
        <v>45</v>
      </c>
      <c r="M33" s="46">
        <v>1152</v>
      </c>
      <c r="N33" s="43">
        <v>85</v>
      </c>
      <c r="O33" s="43">
        <v>0</v>
      </c>
      <c r="P33" s="43">
        <v>15</v>
      </c>
      <c r="Q33" s="43">
        <v>2363</v>
      </c>
    </row>
    <row r="34" spans="1:17" x14ac:dyDescent="0.25">
      <c r="A34" s="27">
        <v>43947</v>
      </c>
      <c r="B34" s="44">
        <v>0</v>
      </c>
      <c r="C34" s="44">
        <v>0</v>
      </c>
      <c r="D34" s="44">
        <v>0</v>
      </c>
      <c r="E34" s="45">
        <v>15</v>
      </c>
      <c r="F34" s="45">
        <v>4775</v>
      </c>
      <c r="G34" s="45">
        <v>0</v>
      </c>
      <c r="H34" s="45">
        <v>1374</v>
      </c>
      <c r="I34" s="45">
        <v>85</v>
      </c>
      <c r="J34" s="45">
        <v>273</v>
      </c>
      <c r="K34" s="46">
        <v>85</v>
      </c>
      <c r="L34" s="46">
        <v>45</v>
      </c>
      <c r="M34" s="46">
        <v>1152</v>
      </c>
      <c r="N34" s="43">
        <v>85</v>
      </c>
      <c r="O34" s="43">
        <v>0</v>
      </c>
      <c r="P34" s="43">
        <v>10</v>
      </c>
      <c r="Q34" s="43">
        <v>2367</v>
      </c>
    </row>
    <row r="35" spans="1:17" x14ac:dyDescent="0.25">
      <c r="A35" s="27">
        <v>43948</v>
      </c>
      <c r="B35" s="44">
        <v>0</v>
      </c>
      <c r="C35" s="44">
        <v>0</v>
      </c>
      <c r="D35" s="44">
        <v>0</v>
      </c>
      <c r="E35" s="45">
        <v>15</v>
      </c>
      <c r="F35" s="45">
        <v>4775</v>
      </c>
      <c r="G35" s="45">
        <v>0</v>
      </c>
      <c r="H35" s="45">
        <v>1374</v>
      </c>
      <c r="I35" s="45">
        <v>85</v>
      </c>
      <c r="J35" s="45">
        <v>273</v>
      </c>
      <c r="K35" s="46">
        <v>85</v>
      </c>
      <c r="L35" s="46">
        <v>45</v>
      </c>
      <c r="M35" s="46">
        <v>1152</v>
      </c>
      <c r="N35" s="43">
        <v>85</v>
      </c>
      <c r="O35" s="43">
        <v>0</v>
      </c>
      <c r="P35" s="43">
        <v>7</v>
      </c>
      <c r="Q35" s="43">
        <v>2371</v>
      </c>
    </row>
    <row r="36" spans="1:17" x14ac:dyDescent="0.25">
      <c r="A36" s="27">
        <v>43949</v>
      </c>
      <c r="B36" s="44">
        <v>0</v>
      </c>
      <c r="C36" s="44">
        <v>0</v>
      </c>
      <c r="D36" s="44">
        <v>0</v>
      </c>
      <c r="E36" s="45">
        <v>15</v>
      </c>
      <c r="F36" s="45">
        <v>4775</v>
      </c>
      <c r="G36" s="45">
        <v>0</v>
      </c>
      <c r="H36" s="45">
        <v>1374</v>
      </c>
      <c r="I36" s="45">
        <v>85</v>
      </c>
      <c r="J36" s="45">
        <v>273</v>
      </c>
      <c r="K36" s="46">
        <v>85</v>
      </c>
      <c r="L36" s="46">
        <v>45</v>
      </c>
      <c r="M36" s="46">
        <v>1152</v>
      </c>
      <c r="N36" s="43">
        <v>85</v>
      </c>
      <c r="O36" s="43">
        <v>0</v>
      </c>
      <c r="P36" s="43">
        <v>5</v>
      </c>
      <c r="Q36" s="43">
        <v>2375</v>
      </c>
    </row>
    <row r="37" spans="1:17" x14ac:dyDescent="0.25">
      <c r="A37" s="27">
        <v>43950</v>
      </c>
      <c r="B37" s="44">
        <v>0</v>
      </c>
      <c r="C37" s="44">
        <v>0</v>
      </c>
      <c r="D37" s="44">
        <v>0</v>
      </c>
      <c r="E37" s="45">
        <v>15</v>
      </c>
      <c r="F37" s="45">
        <v>4775</v>
      </c>
      <c r="G37" s="45">
        <v>0</v>
      </c>
      <c r="H37" s="45">
        <v>1374</v>
      </c>
      <c r="I37" s="45">
        <v>85</v>
      </c>
      <c r="J37" s="45">
        <v>273</v>
      </c>
      <c r="K37" s="46">
        <v>85</v>
      </c>
      <c r="L37" s="46">
        <v>45</v>
      </c>
      <c r="M37" s="46">
        <v>1152</v>
      </c>
      <c r="N37" s="43">
        <v>85</v>
      </c>
      <c r="O37" s="43">
        <v>0</v>
      </c>
      <c r="P37" s="43">
        <v>0</v>
      </c>
      <c r="Q37" s="43">
        <v>2378</v>
      </c>
    </row>
    <row r="38" spans="1:17" x14ac:dyDescent="0.25">
      <c r="A38" s="27">
        <v>43951</v>
      </c>
      <c r="B38" s="44">
        <v>0</v>
      </c>
      <c r="C38" s="44">
        <v>0</v>
      </c>
      <c r="D38" s="44">
        <v>0</v>
      </c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>
        <v>0</v>
      </c>
      <c r="C39" s="44">
        <v>0</v>
      </c>
      <c r="D39" s="44">
        <v>0</v>
      </c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Ahmed Ennachet</cp:lastModifiedBy>
  <dcterms:created xsi:type="dcterms:W3CDTF">2019-08-14T08:16:24Z</dcterms:created>
  <dcterms:modified xsi:type="dcterms:W3CDTF">2020-05-05T10:05:18Z</dcterms:modified>
</cp:coreProperties>
</file>