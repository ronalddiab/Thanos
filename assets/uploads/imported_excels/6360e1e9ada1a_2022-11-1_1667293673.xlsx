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.Meacham\Documents\Temp Docs\HEP Logs\"/>
    </mc:Choice>
  </mc:AlternateContent>
  <xr:revisionPtr revIDLastSave="0" documentId="8_{F1B6D9EB-E265-4E37-8A42-050573992DC1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" l="1"/>
  <c r="H9" i="2"/>
  <c r="I9" i="2"/>
  <c r="J9" i="2"/>
  <c r="K9" i="2"/>
  <c r="E9" i="2"/>
  <c r="F9" i="2"/>
  <c r="G9" i="2"/>
  <c r="D9" i="2"/>
  <c r="O37" i="2"/>
  <c r="P37" i="2"/>
  <c r="N37" i="2"/>
  <c r="AD35" i="2"/>
  <c r="AC35" i="2"/>
  <c r="Z35" i="2"/>
  <c r="AD34" i="2"/>
  <c r="AC34" i="2"/>
  <c r="Z34" i="2"/>
  <c r="AD33" i="2"/>
  <c r="AC33" i="2"/>
  <c r="Z33" i="2"/>
  <c r="AD32" i="2"/>
  <c r="AC32" i="2"/>
  <c r="Z32" i="2"/>
  <c r="AD31" i="2"/>
  <c r="AC31" i="2"/>
  <c r="Z31" i="2"/>
  <c r="AD30" i="2"/>
  <c r="AC30" i="2"/>
  <c r="Z30" i="2"/>
  <c r="AD29" i="2"/>
  <c r="AC29" i="2"/>
  <c r="Z29" i="2"/>
  <c r="AD28" i="2"/>
  <c r="AC28" i="2"/>
  <c r="Z28" i="2"/>
  <c r="AD27" i="2"/>
  <c r="AC27" i="2"/>
  <c r="Z27" i="2"/>
  <c r="AD26" i="2"/>
  <c r="AC26" i="2"/>
  <c r="Z26" i="2"/>
  <c r="AD25" i="2"/>
  <c r="AC25" i="2"/>
  <c r="Z25" i="2"/>
  <c r="AD24" i="2"/>
  <c r="AC24" i="2"/>
  <c r="Z24" i="2"/>
  <c r="AD23" i="2"/>
  <c r="AC23" i="2"/>
  <c r="Z23" i="2"/>
  <c r="AD22" i="2"/>
  <c r="AC22" i="2"/>
  <c r="Z22" i="2"/>
  <c r="AD21" i="2"/>
  <c r="AC21" i="2"/>
  <c r="Z21" i="2"/>
  <c r="AD20" i="2"/>
  <c r="AC20" i="2"/>
  <c r="Z20" i="2"/>
  <c r="AD19" i="2"/>
  <c r="AC19" i="2"/>
  <c r="Z19" i="2"/>
  <c r="AD18" i="2"/>
  <c r="AC18" i="2"/>
  <c r="Z18" i="2"/>
  <c r="AD17" i="2"/>
  <c r="AC17" i="2"/>
  <c r="Z17" i="2"/>
  <c r="AD16" i="2"/>
  <c r="AC16" i="2"/>
  <c r="Z16" i="2"/>
  <c r="AD15" i="2"/>
  <c r="AC15" i="2"/>
  <c r="Z15" i="2"/>
  <c r="AD14" i="2"/>
  <c r="AC14" i="2"/>
  <c r="Z14" i="2"/>
  <c r="AD13" i="2"/>
  <c r="AC13" i="2"/>
  <c r="Z13" i="2"/>
  <c r="AD12" i="2"/>
  <c r="AC12" i="2"/>
  <c r="Z12" i="2"/>
  <c r="AD11" i="2"/>
  <c r="AC11" i="2"/>
  <c r="Z11" i="2"/>
  <c r="AD10" i="2"/>
  <c r="AC10" i="2"/>
  <c r="Z10" i="2"/>
  <c r="AD9" i="2"/>
  <c r="AC9" i="2"/>
  <c r="Z9" i="2"/>
  <c r="AD8" i="2"/>
  <c r="AC8" i="2"/>
  <c r="Z8" i="2"/>
  <c r="AD7" i="2"/>
  <c r="AC7" i="2"/>
  <c r="Z7" i="2"/>
  <c r="AD6" i="2"/>
  <c r="AC6" i="2"/>
  <c r="Z6" i="2"/>
  <c r="AC5" i="2"/>
  <c r="Z5" i="2"/>
  <c r="B32" i="1"/>
  <c r="K32" i="1"/>
  <c r="L32" i="1"/>
  <c r="B32" i="3"/>
  <c r="E32" i="3"/>
  <c r="F32" i="3"/>
  <c r="G32" i="3"/>
  <c r="H32" i="3"/>
  <c r="I32" i="3"/>
  <c r="J32" i="3"/>
  <c r="K32" i="3"/>
  <c r="L32" i="3"/>
  <c r="M32" i="3"/>
  <c r="G32" i="1" s="1"/>
  <c r="N32" i="3"/>
  <c r="I32" i="1" s="1"/>
  <c r="O32" i="3"/>
  <c r="P32" i="3"/>
  <c r="Q32" i="3"/>
  <c r="R32" i="3"/>
  <c r="S32" i="3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P2" i="3"/>
  <c r="O2" i="3"/>
  <c r="N2" i="3"/>
  <c r="E2" i="3"/>
  <c r="G2" i="3"/>
  <c r="G3" i="3"/>
  <c r="H2" i="3"/>
  <c r="I2" i="3"/>
  <c r="J2" i="3"/>
  <c r="K2" i="3"/>
  <c r="L2" i="3"/>
  <c r="M2" i="3"/>
  <c r="P29" i="3"/>
  <c r="P30" i="3"/>
  <c r="P31" i="3"/>
  <c r="O29" i="3"/>
  <c r="O30" i="3"/>
  <c r="O31" i="3"/>
  <c r="N29" i="3"/>
  <c r="N30" i="3"/>
  <c r="I30" i="1" s="1"/>
  <c r="N31" i="3"/>
  <c r="I31" i="1" s="1"/>
  <c r="M29" i="3"/>
  <c r="M30" i="3"/>
  <c r="G30" i="1" s="1"/>
  <c r="M31" i="3"/>
  <c r="G31" i="1" s="1"/>
  <c r="L29" i="3"/>
  <c r="L30" i="3"/>
  <c r="L31" i="3"/>
  <c r="K29" i="3"/>
  <c r="K30" i="3"/>
  <c r="K31" i="3"/>
  <c r="J29" i="3"/>
  <c r="J30" i="3"/>
  <c r="J31" i="3"/>
  <c r="I29" i="3"/>
  <c r="I30" i="3"/>
  <c r="I31" i="3"/>
  <c r="H29" i="3"/>
  <c r="H30" i="3"/>
  <c r="H31" i="3"/>
  <c r="G30" i="3"/>
  <c r="G31" i="3"/>
  <c r="G29" i="3"/>
  <c r="E29" i="3"/>
  <c r="E30" i="3"/>
  <c r="E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E32" i="1" l="1"/>
  <c r="E31" i="1"/>
  <c r="E30" i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S2" i="3" l="1"/>
  <c r="S3" i="3"/>
  <c r="S4" i="3"/>
  <c r="S5" i="3"/>
  <c r="S6" i="3"/>
  <c r="L2" i="1"/>
  <c r="R2" i="3"/>
  <c r="R3" i="3"/>
  <c r="R4" i="3"/>
  <c r="R5" i="3"/>
  <c r="R6" i="3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<sst xmlns="http://schemas.openxmlformats.org/spreadsheetml/2006/main" count="157" uniqueCount="61">
  <si>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</si>
  <si>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</si>
  <si>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</si>
  <si>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</si>
  <si>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</si>
  <si>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</si>
  <si>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</si>
  <si>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</si>
  <si>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</si>
  <si>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</si>
  <si>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</si>
  <si>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</si>
  <si>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</si>
  <si>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</si>
  <si>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</si>
  <si>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</si>
  <si>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</si>
  <si>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</si>
  <si>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</si>
  <si>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</si>
  <si>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</si>
  <si>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</si>
  <si>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</si>
  <si>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Hard Water Supply- m3</t>
  </si>
  <si>
    <t>Pool Supply- m3</t>
  </si>
  <si>
    <t xml:space="preserve">Kids Pool </t>
  </si>
  <si>
    <t xml:space="preserve"> </t>
  </si>
  <si>
    <t>Electrical</t>
  </si>
  <si>
    <t xml:space="preserve">Main Site Gas Meter </t>
  </si>
  <si>
    <t xml:space="preserve">Banquet Gas Meter </t>
  </si>
  <si>
    <t xml:space="preserve">WC
Kitchen Gas Meter </t>
  </si>
  <si>
    <t>Main Site Water Meter</t>
  </si>
  <si>
    <t>EAST
LTHW
Sub Meter</t>
  </si>
  <si>
    <t>SPA
LTHW
Sub Meter</t>
  </si>
  <si>
    <t>CHW
Sub Meter</t>
  </si>
  <si>
    <t>Water Softener 
Sub Meter</t>
  </si>
  <si>
    <t>Hard Water Supply Sub Meter</t>
  </si>
  <si>
    <t>Pool Supply Sub Meter</t>
  </si>
  <si>
    <t xml:space="preserve">Kids pool Sub Meter </t>
  </si>
  <si>
    <t>Main Pool
Backwash</t>
  </si>
  <si>
    <t>Room Night</t>
  </si>
  <si>
    <t>Guest</t>
  </si>
  <si>
    <t>Main Site Electric Meter 1</t>
  </si>
  <si>
    <t>Main Site Electric Meter 2</t>
  </si>
  <si>
    <t>East   MCC Sub Meter</t>
  </si>
  <si>
    <t>South    MCC 1 Sub Meter</t>
  </si>
  <si>
    <t>South       MCC 2 Sub Meter</t>
  </si>
  <si>
    <t>West    MCC 
Sub Meter</t>
  </si>
  <si>
    <t>Kitchen sub meter</t>
  </si>
  <si>
    <t>Spa electric Sub Meter</t>
  </si>
  <si>
    <t>East CHP 41 Electric generated</t>
  </si>
  <si>
    <t>Spa CHP 42 Electric generated</t>
  </si>
  <si>
    <t>GAS</t>
  </si>
  <si>
    <t>East LTHW Water</t>
  </si>
  <si>
    <t>Friday</t>
  </si>
  <si>
    <t>Saturday</t>
  </si>
  <si>
    <t>Sunday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</si>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</sst>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7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0" borderId="7" xfId="0" applyFont="1" applyBorder="1"/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1" xfId="0" applyBorder="1"/>
    <xf numFmtId="0" fontId="0" fillId="0" borderId="7" xfId="0" applyBorder="1"/>
    <xf numFmtId="1" fontId="0" fillId="0" borderId="7" xfId="0" applyNumberFormat="1" applyBorder="1"/>
    <xf numFmtId="0" fontId="8" fillId="0" borderId="0" xfId="0" applyFont="1"/>
    <xf numFmtId="0" fontId="10" fillId="0" borderId="7" xfId="0" applyFont="1" applyBorder="1"/>
    <xf numFmtId="0" fontId="10" fillId="0" borderId="15" xfId="0" applyFont="1" applyBorder="1"/>
    <xf numFmtId="0" fontId="8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" fontId="8" fillId="0" borderId="7" xfId="0" applyNumberFormat="1" applyFont="1" applyBorder="1"/>
    <xf numFmtId="0" fontId="10" fillId="0" borderId="11" xfId="0" applyFont="1" applyBorder="1"/>
    <xf numFmtId="0" fontId="10" fillId="0" borderId="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64" fontId="0" fillId="0" borderId="7" xfId="0" applyNumberFormat="1" applyBorder="1"/>
    <xf numFmtId="164" fontId="8" fillId="8" borderId="7" xfId="0" applyNumberFormat="1" applyFont="1" applyFill="1" applyBorder="1"/>
    <xf numFmtId="164" fontId="0" fillId="8" borderId="7" xfId="0" applyNumberFormat="1" applyFill="1" applyBorder="1"/>
    <xf numFmtId="164" fontId="0" fillId="0" borderId="0" xfId="0" applyNumberFormat="1"/>
    <xf numFmtId="2" fontId="0" fillId="0" borderId="7" xfId="0" applyNumberFormat="1" applyBorder="1"/>
    <xf numFmtId="2" fontId="8" fillId="8" borderId="7" xfId="0" applyNumberFormat="1" applyFont="1" applyFill="1" applyBorder="1"/>
    <xf numFmtId="2" fontId="0" fillId="8" borderId="7" xfId="0" applyNumberFormat="1" applyFill="1" applyBorder="1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164" fontId="8" fillId="0" borderId="7" xfId="0" applyNumberFormat="1" applyFont="1" applyBorder="1"/>
    <xf numFmtId="164" fontId="10" fillId="0" borderId="11" xfId="0" applyNumberFormat="1" applyFont="1" applyBorder="1"/>
    <xf numFmtId="1" fontId="0" fillId="0" borderId="11" xfId="0" applyNumberFormat="1" applyBorder="1"/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2" fillId="5" borderId="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2" fillId="5" borderId="9" xfId="1" applyFont="1" applyFill="1" applyBorder="1" applyAlignment="1">
      <alignment horizontal="center" wrapText="1"/>
    </xf>
    <xf numFmtId="0" fontId="2" fillId="5" borderId="1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2" fillId="5" borderId="14" xfId="1" applyFont="1" applyFill="1" applyBorder="1" applyAlignment="1">
      <alignment horizontal="center"/>
    </xf>
    <xf numFmtId="0" fontId="3" fillId="9" borderId="0" xfId="0" applyFont="1" applyFill="1" applyAlignment="1">
      <alignment horizontal="center" vertical="center" wrapText="1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164" fontId="2" fillId="7" borderId="2" xfId="1" applyNumberFormat="1" applyFont="1" applyFill="1" applyBorder="1" applyAlignment="1">
      <alignment horizontal="center" wrapText="1"/>
    </xf>
    <xf numFmtId="164" fontId="1" fillId="7" borderId="2" xfId="1" applyNumberFormat="1" applyFill="1" applyBorder="1" applyAlignment="1">
      <alignment horizontal="center"/>
    </xf>
    <xf numFmtId="2" fontId="2" fillId="7" borderId="2" xfId="1" applyNumberFormat="1" applyFont="1" applyFill="1" applyBorder="1" applyAlignment="1">
      <alignment horizontal="center" wrapText="1"/>
    </xf>
    <xf numFmtId="2" fontId="1" fillId="7" borderId="2" xfId="1" applyNumberFormat="1" applyFill="1" applyBorder="1" applyAlignment="1">
      <alignment horizontal="center"/>
    </xf>
    <xf numFmtId="164" fontId="11" fillId="3" borderId="2" xfId="1" applyNumberFormat="1" applyFont="1" applyFill="1" applyBorder="1" applyAlignment="1">
      <alignment horizontal="center" wrapText="1"/>
    </xf>
    <xf numFmtId="164" fontId="12" fillId="3" borderId="2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workbookViewId="0">
      <selection activeCell="N28" sqref="N28"/>
    </sheetView>
  </sheetViews>
  <sheetFormatPr defaultColWidth="11.5703125" defaultRowHeight="1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12</v>
      </c>
      <c r="B2" s="2">
        <v>1</v>
      </c>
      <c r="C2" s="2">
        <v>10</v>
      </c>
      <c r="D2" s="2">
        <v>2022</v>
      </c>
      <c r="E2" s="4">
        <f>(Submetering!E2+Submetering!F2)</f>
        <v>8496</v>
      </c>
      <c r="F2" s="12">
        <v>0.35</v>
      </c>
      <c r="G2" s="4">
        <f>Submetering!M2</f>
        <v>2077</v>
      </c>
      <c r="H2" s="12">
        <v>0.6</v>
      </c>
      <c r="I2" s="4">
        <f>Submetering!N2</f>
        <v>121.5</v>
      </c>
      <c r="J2" s="13">
        <v>2.06</v>
      </c>
      <c r="K2" s="4">
        <f>'Hampshire Daily'!B5</f>
        <v>108</v>
      </c>
      <c r="L2" s="4">
        <f>'Hampshire Daily'!C5</f>
        <v>225</v>
      </c>
    </row>
    <row r="3" spans="1:24">
      <c r="A3" s="3" t="s">
        <v>12</v>
      </c>
      <c r="B3" s="2">
        <f>B2+1</f>
        <v>2</v>
      </c>
      <c r="C3" s="2">
        <v>10</v>
      </c>
      <c r="D3" s="2">
        <v>2022</v>
      </c>
      <c r="E3" s="4">
        <f>Submetering!E3+Submetering!F3</f>
        <v>8496</v>
      </c>
      <c r="F3" s="12">
        <v>0.35</v>
      </c>
      <c r="G3" s="4">
        <f>Submetering!M3</f>
        <v>2077</v>
      </c>
      <c r="H3" s="12">
        <v>0.6</v>
      </c>
      <c r="I3" s="4">
        <f>Submetering!N3</f>
        <v>121.5</v>
      </c>
      <c r="J3" s="13">
        <v>2.06</v>
      </c>
      <c r="K3" s="4">
        <f>'Hampshire Daily'!B6</f>
        <v>45</v>
      </c>
      <c r="L3" s="4">
        <f>'Hampshire Daily'!C6</f>
        <v>86</v>
      </c>
    </row>
    <row r="4" spans="1:24">
      <c r="A4" s="3" t="s">
        <v>12</v>
      </c>
      <c r="B4" s="2">
        <f t="shared" ref="B4:B32" si="0">B3+1</f>
        <v>3</v>
      </c>
      <c r="C4" s="2">
        <v>10</v>
      </c>
      <c r="D4" s="2">
        <v>2022</v>
      </c>
      <c r="E4" s="4">
        <f>Submetering!E4+Submetering!F4</f>
        <v>6147</v>
      </c>
      <c r="F4" s="12">
        <v>0.35</v>
      </c>
      <c r="G4" s="4">
        <f>Submetering!M4</f>
        <v>2426</v>
      </c>
      <c r="H4" s="12">
        <v>0.6</v>
      </c>
      <c r="I4" s="4">
        <f>Submetering!N4</f>
        <v>116</v>
      </c>
      <c r="J4" s="13">
        <v>2.06</v>
      </c>
      <c r="K4" s="4">
        <f>'Hampshire Daily'!B7</f>
        <v>37</v>
      </c>
      <c r="L4" s="4">
        <f>'Hampshire Daily'!C7</f>
        <v>57</v>
      </c>
    </row>
    <row r="5" spans="1:24">
      <c r="A5" s="3" t="s">
        <v>12</v>
      </c>
      <c r="B5" s="2">
        <f t="shared" si="0"/>
        <v>4</v>
      </c>
      <c r="C5" s="2">
        <v>10</v>
      </c>
      <c r="D5" s="2">
        <v>2022</v>
      </c>
      <c r="E5" s="4">
        <f>Submetering!E5+Submetering!F5</f>
        <v>6806</v>
      </c>
      <c r="F5" s="12">
        <v>0.35</v>
      </c>
      <c r="G5" s="4">
        <f>Submetering!M5</f>
        <v>2462</v>
      </c>
      <c r="H5" s="12">
        <v>0.6</v>
      </c>
      <c r="I5" s="4">
        <f>Submetering!N5</f>
        <v>89</v>
      </c>
      <c r="J5" s="13">
        <v>2.06</v>
      </c>
      <c r="K5" s="4">
        <f>'Hampshire Daily'!B8</f>
        <v>53</v>
      </c>
      <c r="L5" s="4">
        <f>'Hampshire Daily'!C8</f>
        <v>69</v>
      </c>
    </row>
    <row r="6" spans="1:24">
      <c r="A6" s="3" t="s">
        <v>12</v>
      </c>
      <c r="B6" s="2">
        <f t="shared" si="0"/>
        <v>5</v>
      </c>
      <c r="C6" s="2">
        <v>10</v>
      </c>
      <c r="D6" s="2">
        <v>2022</v>
      </c>
      <c r="E6" s="4">
        <f>Submetering!E6+Submetering!F6</f>
        <v>6029</v>
      </c>
      <c r="F6" s="12">
        <v>0.35</v>
      </c>
      <c r="G6" s="4">
        <f>Submetering!M6</f>
        <v>2231</v>
      </c>
      <c r="H6" s="12">
        <v>0.6</v>
      </c>
      <c r="I6" s="4">
        <f>Submetering!N6</f>
        <v>89</v>
      </c>
      <c r="J6" s="13">
        <v>2.06</v>
      </c>
      <c r="K6" s="4">
        <f>'Hampshire Daily'!B9</f>
        <v>33</v>
      </c>
      <c r="L6" s="4">
        <f>'Hampshire Daily'!C9</f>
        <v>43</v>
      </c>
    </row>
    <row r="7" spans="1:24">
      <c r="A7" s="3" t="s">
        <v>12</v>
      </c>
      <c r="B7" s="2">
        <f t="shared" si="0"/>
        <v>6</v>
      </c>
      <c r="C7" s="2">
        <v>10</v>
      </c>
      <c r="D7" s="2">
        <v>2022</v>
      </c>
      <c r="E7" s="4">
        <f>Submetering!E7+Submetering!F7</f>
        <v>6029</v>
      </c>
      <c r="F7" s="12">
        <v>0.35</v>
      </c>
      <c r="G7" s="4">
        <f>Submetering!M7</f>
        <v>1785</v>
      </c>
      <c r="H7" s="12">
        <v>0.6</v>
      </c>
      <c r="I7" s="4">
        <f>Submetering!N7</f>
        <v>99</v>
      </c>
      <c r="J7" s="13">
        <v>2.06</v>
      </c>
      <c r="K7" s="4">
        <f>'Hampshire Daily'!B10</f>
        <v>93</v>
      </c>
      <c r="L7" s="4">
        <f>'Hampshire Daily'!C10</f>
        <v>106</v>
      </c>
    </row>
    <row r="8" spans="1:24">
      <c r="A8" s="3" t="s">
        <v>12</v>
      </c>
      <c r="B8" s="2">
        <f t="shared" si="0"/>
        <v>7</v>
      </c>
      <c r="C8" s="2">
        <v>10</v>
      </c>
      <c r="D8" s="2">
        <v>2022</v>
      </c>
      <c r="E8" s="4">
        <f>Submetering!E8+Submetering!F8</f>
        <v>6644</v>
      </c>
      <c r="F8" s="12">
        <v>0.35</v>
      </c>
      <c r="G8" s="4">
        <f>Submetering!M8</f>
        <v>2539</v>
      </c>
      <c r="H8" s="12">
        <v>0.6</v>
      </c>
      <c r="I8" s="4">
        <f>Submetering!N8</f>
        <v>95</v>
      </c>
      <c r="J8" s="13">
        <v>2.06</v>
      </c>
      <c r="K8" s="4">
        <f>'Hampshire Daily'!B11</f>
        <v>54</v>
      </c>
      <c r="L8" s="4">
        <f>'Hampshire Daily'!C11</f>
        <v>115</v>
      </c>
    </row>
    <row r="9" spans="1:24">
      <c r="A9" s="3" t="s">
        <v>12</v>
      </c>
      <c r="B9" s="2">
        <f t="shared" si="0"/>
        <v>8</v>
      </c>
      <c r="C9" s="2">
        <v>10</v>
      </c>
      <c r="D9" s="2">
        <v>2022</v>
      </c>
      <c r="E9" s="4">
        <f>Submetering!E9+Submetering!F9</f>
        <v>7453</v>
      </c>
      <c r="F9" s="12">
        <v>0.35</v>
      </c>
      <c r="G9" s="4">
        <f>Submetering!M9</f>
        <v>2278</v>
      </c>
      <c r="H9" s="12">
        <v>0.6</v>
      </c>
      <c r="I9" s="4">
        <f>Submetering!N9</f>
        <v>91</v>
      </c>
      <c r="J9" s="13">
        <v>2.06</v>
      </c>
      <c r="K9" s="4">
        <f>'Hampshire Daily'!B12</f>
        <v>88</v>
      </c>
      <c r="L9" s="4">
        <f>'Hampshire Daily'!C12</f>
        <v>198</v>
      </c>
    </row>
    <row r="10" spans="1:24">
      <c r="A10" s="3" t="s">
        <v>12</v>
      </c>
      <c r="B10" s="2">
        <f t="shared" si="0"/>
        <v>9</v>
      </c>
      <c r="C10" s="2">
        <v>10</v>
      </c>
      <c r="D10" s="2">
        <v>2022</v>
      </c>
      <c r="E10" s="4">
        <f>Submetering!E10+Submetering!F10</f>
        <v>8191</v>
      </c>
      <c r="F10" s="12">
        <v>0.35</v>
      </c>
      <c r="G10" s="4">
        <f>Submetering!M10</f>
        <v>2238</v>
      </c>
      <c r="H10" s="12">
        <v>0.6</v>
      </c>
      <c r="I10" s="4">
        <f>Submetering!N10</f>
        <v>92</v>
      </c>
      <c r="J10" s="13">
        <v>2.06</v>
      </c>
      <c r="K10" s="4">
        <f>'Hampshire Daily'!B13</f>
        <v>63</v>
      </c>
      <c r="L10" s="4">
        <f>'Hampshire Daily'!C13</f>
        <v>106</v>
      </c>
    </row>
    <row r="11" spans="1:24">
      <c r="A11" s="3" t="s">
        <v>12</v>
      </c>
      <c r="B11" s="2">
        <f t="shared" si="0"/>
        <v>10</v>
      </c>
      <c r="C11" s="2">
        <v>10</v>
      </c>
      <c r="D11" s="2">
        <v>2022</v>
      </c>
      <c r="E11" s="4">
        <f>Submetering!E11+Submetering!F11</f>
        <v>5962</v>
      </c>
      <c r="F11" s="12">
        <v>0.35</v>
      </c>
      <c r="G11" s="4">
        <f>Submetering!M11</f>
        <v>2602</v>
      </c>
      <c r="H11" s="12">
        <v>0.6</v>
      </c>
      <c r="I11" s="4">
        <f>Submetering!N11</f>
        <v>88</v>
      </c>
      <c r="J11" s="13">
        <v>2.06</v>
      </c>
      <c r="K11" s="4">
        <f>'Hampshire Daily'!B14</f>
        <v>131</v>
      </c>
      <c r="L11" s="4">
        <f>'Hampshire Daily'!C14</f>
        <v>156</v>
      </c>
    </row>
    <row r="12" spans="1:24">
      <c r="A12" s="3" t="s">
        <v>12</v>
      </c>
      <c r="B12" s="2">
        <f t="shared" si="0"/>
        <v>11</v>
      </c>
      <c r="C12" s="2">
        <v>10</v>
      </c>
      <c r="D12" s="2">
        <v>2022</v>
      </c>
      <c r="E12" s="4">
        <f>Submetering!E12+Submetering!F12</f>
        <v>6556</v>
      </c>
      <c r="F12" s="12">
        <v>0.35</v>
      </c>
      <c r="G12" s="4">
        <f>Submetering!M12</f>
        <v>2736</v>
      </c>
      <c r="H12" s="12">
        <v>0.6</v>
      </c>
      <c r="I12" s="4">
        <f>Submetering!N12</f>
        <v>129</v>
      </c>
      <c r="J12" s="13">
        <v>2.06</v>
      </c>
      <c r="K12" s="4">
        <f>'Hampshire Daily'!B15</f>
        <v>40</v>
      </c>
      <c r="L12" s="4">
        <f>'Hampshire Daily'!C15</f>
        <v>64</v>
      </c>
    </row>
    <row r="13" spans="1:24">
      <c r="A13" s="3" t="s">
        <v>12</v>
      </c>
      <c r="B13" s="2">
        <f t="shared" si="0"/>
        <v>12</v>
      </c>
      <c r="C13" s="2">
        <v>10</v>
      </c>
      <c r="D13" s="2">
        <v>2022</v>
      </c>
      <c r="E13" s="4">
        <f>Submetering!E13+Submetering!F13</f>
        <v>5807</v>
      </c>
      <c r="F13" s="12">
        <v>0.35</v>
      </c>
      <c r="G13" s="4">
        <f>Submetering!M13</f>
        <v>2664</v>
      </c>
      <c r="H13" s="12">
        <v>0.6</v>
      </c>
      <c r="I13" s="4">
        <f>Submetering!N13</f>
        <v>86</v>
      </c>
      <c r="J13" s="13">
        <v>2.06</v>
      </c>
      <c r="K13" s="4">
        <f>'Hampshire Daily'!B16</f>
        <v>66</v>
      </c>
      <c r="L13" s="4">
        <f>'Hampshire Daily'!C16</f>
        <v>91</v>
      </c>
    </row>
    <row r="14" spans="1:24">
      <c r="A14" s="3" t="s">
        <v>12</v>
      </c>
      <c r="B14" s="2">
        <f t="shared" si="0"/>
        <v>13</v>
      </c>
      <c r="C14" s="2">
        <v>10</v>
      </c>
      <c r="D14" s="2">
        <v>2022</v>
      </c>
      <c r="E14" s="4">
        <f>Submetering!E14+Submetering!F14</f>
        <v>5712</v>
      </c>
      <c r="F14" s="12">
        <v>0.35</v>
      </c>
      <c r="G14" s="4">
        <f>Submetering!M14</f>
        <v>2640</v>
      </c>
      <c r="H14" s="12">
        <v>0.6</v>
      </c>
      <c r="I14" s="4">
        <f>Submetering!N14</f>
        <v>75</v>
      </c>
      <c r="J14" s="13">
        <v>2.06</v>
      </c>
      <c r="K14" s="4">
        <f>'Hampshire Daily'!B17</f>
        <v>115</v>
      </c>
      <c r="L14" s="4">
        <f>'Hampshire Daily'!C17</f>
        <v>151</v>
      </c>
    </row>
    <row r="15" spans="1:24">
      <c r="A15" s="3" t="s">
        <v>12</v>
      </c>
      <c r="B15" s="2">
        <f t="shared" si="0"/>
        <v>14</v>
      </c>
      <c r="C15" s="2">
        <v>10</v>
      </c>
      <c r="D15" s="2">
        <v>2022</v>
      </c>
      <c r="E15" s="4">
        <f>Submetering!E15+Submetering!F15</f>
        <v>6041</v>
      </c>
      <c r="F15" s="12">
        <v>0.35</v>
      </c>
      <c r="G15" s="4">
        <f>Submetering!M15</f>
        <v>2705</v>
      </c>
      <c r="H15" s="12">
        <v>0.6</v>
      </c>
      <c r="I15" s="4">
        <f>Submetering!N15</f>
        <v>91</v>
      </c>
      <c r="J15" s="13">
        <v>2.06</v>
      </c>
      <c r="K15" s="4">
        <f>'Hampshire Daily'!B18</f>
        <v>64</v>
      </c>
      <c r="L15" s="4">
        <f>'Hampshire Daily'!C18</f>
        <v>128</v>
      </c>
    </row>
    <row r="16" spans="1:24">
      <c r="A16" s="3" t="s">
        <v>12</v>
      </c>
      <c r="B16" s="2">
        <f t="shared" si="0"/>
        <v>15</v>
      </c>
      <c r="C16" s="2">
        <v>10</v>
      </c>
      <c r="D16" s="2">
        <v>2022</v>
      </c>
      <c r="E16" s="4">
        <f>Submetering!E16+Submetering!F16</f>
        <v>5903</v>
      </c>
      <c r="F16" s="12">
        <v>0.35</v>
      </c>
      <c r="G16" s="4">
        <f>Submetering!M16</f>
        <v>2772</v>
      </c>
      <c r="H16" s="12">
        <v>0.6</v>
      </c>
      <c r="I16" s="4">
        <f>Submetering!N16</f>
        <v>93</v>
      </c>
      <c r="J16" s="13">
        <v>2.06</v>
      </c>
      <c r="K16" s="4">
        <f>'Hampshire Daily'!B19</f>
        <v>87</v>
      </c>
      <c r="L16" s="4">
        <f>'Hampshire Daily'!C19</f>
        <v>194</v>
      </c>
    </row>
    <row r="17" spans="1:12">
      <c r="A17" s="3" t="s">
        <v>12</v>
      </c>
      <c r="B17" s="2">
        <f t="shared" si="0"/>
        <v>16</v>
      </c>
      <c r="C17" s="2">
        <v>10</v>
      </c>
      <c r="D17" s="2">
        <v>2022</v>
      </c>
      <c r="E17" s="4">
        <f>Submetering!E17+Submetering!F17</f>
        <v>5743</v>
      </c>
      <c r="F17" s="12">
        <v>0.35</v>
      </c>
      <c r="G17" s="4">
        <f>Submetering!M17</f>
        <v>2839</v>
      </c>
      <c r="H17" s="12">
        <v>0.6</v>
      </c>
      <c r="I17" s="4">
        <f>Submetering!N17</f>
        <v>93</v>
      </c>
      <c r="J17" s="13">
        <v>2.06</v>
      </c>
      <c r="K17" s="4">
        <f>'Hampshire Daily'!B20</f>
        <v>44</v>
      </c>
      <c r="L17" s="4">
        <f>'Hampshire Daily'!C20</f>
        <v>103</v>
      </c>
    </row>
    <row r="18" spans="1:12">
      <c r="A18" s="3" t="s">
        <v>12</v>
      </c>
      <c r="B18" s="2">
        <f t="shared" si="0"/>
        <v>17</v>
      </c>
      <c r="C18" s="2">
        <v>10</v>
      </c>
      <c r="D18" s="2">
        <v>2022</v>
      </c>
      <c r="E18" s="4">
        <f>Submetering!E18+Submetering!F18</f>
        <v>5643</v>
      </c>
      <c r="F18" s="12">
        <v>0.35</v>
      </c>
      <c r="G18" s="4">
        <f>Submetering!M18</f>
        <v>2549</v>
      </c>
      <c r="H18" s="12">
        <v>0.6</v>
      </c>
      <c r="I18" s="4">
        <f>Submetering!N18</f>
        <v>96</v>
      </c>
      <c r="J18" s="13">
        <v>2.06</v>
      </c>
      <c r="K18" s="4">
        <f>'Hampshire Daily'!B21</f>
        <v>54</v>
      </c>
      <c r="L18" s="4">
        <f>'Hampshire Daily'!C21</f>
        <v>129</v>
      </c>
    </row>
    <row r="19" spans="1:12">
      <c r="A19" s="3" t="s">
        <v>12</v>
      </c>
      <c r="B19" s="2">
        <f t="shared" si="0"/>
        <v>18</v>
      </c>
      <c r="C19" s="2">
        <v>10</v>
      </c>
      <c r="D19" s="2">
        <v>2022</v>
      </c>
      <c r="E19" s="4">
        <f>Submetering!E19+Submetering!F19</f>
        <v>7672</v>
      </c>
      <c r="F19" s="12">
        <v>0.35</v>
      </c>
      <c r="G19" s="4">
        <f>Submetering!M19</f>
        <v>2417</v>
      </c>
      <c r="H19" s="12">
        <v>0.6</v>
      </c>
      <c r="I19" s="4">
        <f>Submetering!N19</f>
        <v>89</v>
      </c>
      <c r="J19" s="13">
        <v>2.06</v>
      </c>
      <c r="K19" s="4">
        <f>'Hampshire Daily'!B22</f>
        <v>52</v>
      </c>
      <c r="L19" s="4">
        <f>'Hampshire Daily'!C22</f>
        <v>115</v>
      </c>
    </row>
    <row r="20" spans="1:12">
      <c r="A20" s="3" t="s">
        <v>12</v>
      </c>
      <c r="B20" s="2">
        <f t="shared" si="0"/>
        <v>19</v>
      </c>
      <c r="C20" s="2">
        <v>10</v>
      </c>
      <c r="D20" s="2">
        <v>2022</v>
      </c>
      <c r="E20" s="4">
        <f>Submetering!E20+Submetering!F20</f>
        <v>6207</v>
      </c>
      <c r="F20" s="12">
        <v>0.35</v>
      </c>
      <c r="G20" s="4">
        <f>Submetering!M20</f>
        <v>2533</v>
      </c>
      <c r="H20" s="12">
        <v>0.6</v>
      </c>
      <c r="I20" s="4">
        <f>Submetering!N20</f>
        <v>80</v>
      </c>
      <c r="J20" s="13">
        <v>2.06</v>
      </c>
      <c r="K20" s="4">
        <f>'Hampshire Daily'!B23</f>
        <v>55</v>
      </c>
      <c r="L20" s="4">
        <f>'Hampshire Daily'!C23</f>
        <v>113</v>
      </c>
    </row>
    <row r="21" spans="1:12">
      <c r="A21" s="3" t="s">
        <v>12</v>
      </c>
      <c r="B21" s="2">
        <f t="shared" si="0"/>
        <v>20</v>
      </c>
      <c r="C21" s="2">
        <v>10</v>
      </c>
      <c r="D21" s="2">
        <v>2022</v>
      </c>
      <c r="E21" s="4">
        <f>Submetering!E21+Submetering!F21</f>
        <v>5928</v>
      </c>
      <c r="F21" s="12">
        <v>0.35</v>
      </c>
      <c r="G21" s="4">
        <f>Submetering!M21</f>
        <v>2670</v>
      </c>
      <c r="H21" s="12">
        <v>0.6</v>
      </c>
      <c r="I21" s="4">
        <f>Submetering!N21</f>
        <v>86</v>
      </c>
      <c r="J21" s="13">
        <v>2.06</v>
      </c>
      <c r="K21" s="4">
        <f>'Hampshire Daily'!B24</f>
        <v>96</v>
      </c>
      <c r="L21" s="4">
        <f>'Hampshire Daily'!C24</f>
        <v>177</v>
      </c>
    </row>
    <row r="22" spans="1:12">
      <c r="A22" s="3" t="s">
        <v>12</v>
      </c>
      <c r="B22" s="2">
        <f t="shared" si="0"/>
        <v>21</v>
      </c>
      <c r="C22" s="2">
        <v>10</v>
      </c>
      <c r="D22" s="2">
        <v>2022</v>
      </c>
      <c r="E22" s="4">
        <f>Submetering!E22+Submetering!F22</f>
        <v>6510</v>
      </c>
      <c r="F22" s="12">
        <v>0.35</v>
      </c>
      <c r="G22" s="4">
        <f>Submetering!M22</f>
        <v>2648</v>
      </c>
      <c r="H22" s="12">
        <v>0.6</v>
      </c>
      <c r="I22" s="4">
        <f>Submetering!N22</f>
        <v>91</v>
      </c>
      <c r="J22" s="13">
        <v>2.06</v>
      </c>
      <c r="K22" s="4">
        <f>'Hampshire Daily'!B25</f>
        <v>78</v>
      </c>
      <c r="L22" s="4">
        <f>'Hampshire Daily'!C25</f>
        <v>199</v>
      </c>
    </row>
    <row r="23" spans="1:12">
      <c r="A23" s="3" t="s">
        <v>12</v>
      </c>
      <c r="B23" s="2">
        <f t="shared" si="0"/>
        <v>22</v>
      </c>
      <c r="C23" s="2">
        <v>10</v>
      </c>
      <c r="D23" s="2">
        <v>2022</v>
      </c>
      <c r="E23" s="4">
        <f>Submetering!E23+Submetering!F23</f>
        <v>7237</v>
      </c>
      <c r="F23" s="12">
        <v>0.35</v>
      </c>
      <c r="G23" s="4">
        <f>Submetering!M23</f>
        <v>2528</v>
      </c>
      <c r="H23" s="12">
        <v>0.6</v>
      </c>
      <c r="I23" s="4">
        <f>Submetering!N23</f>
        <v>109</v>
      </c>
      <c r="J23" s="13">
        <v>2.06</v>
      </c>
      <c r="K23" s="4">
        <f>'Hampshire Daily'!B26</f>
        <v>91</v>
      </c>
      <c r="L23" s="4">
        <f>'Hampshire Daily'!C26</f>
        <v>223</v>
      </c>
    </row>
    <row r="24" spans="1:12">
      <c r="A24" s="3" t="s">
        <v>12</v>
      </c>
      <c r="B24" s="2">
        <f t="shared" si="0"/>
        <v>23</v>
      </c>
      <c r="C24" s="2">
        <v>10</v>
      </c>
      <c r="D24" s="2">
        <v>2022</v>
      </c>
      <c r="E24" s="4">
        <f>Submetering!E24+Submetering!F24</f>
        <v>6102</v>
      </c>
      <c r="F24" s="12">
        <v>0.35</v>
      </c>
      <c r="G24" s="4">
        <f>Submetering!M24</f>
        <v>2633</v>
      </c>
      <c r="H24" s="12">
        <v>0.6</v>
      </c>
      <c r="I24" s="4">
        <f>Submetering!N24</f>
        <v>113</v>
      </c>
      <c r="J24" s="13">
        <v>2.06</v>
      </c>
      <c r="K24" s="4">
        <f>'Hampshire Daily'!B27</f>
        <v>71</v>
      </c>
      <c r="L24" s="4">
        <f>'Hampshire Daily'!C27</f>
        <v>170</v>
      </c>
    </row>
    <row r="25" spans="1:12">
      <c r="A25" s="3" t="s">
        <v>12</v>
      </c>
      <c r="B25" s="2">
        <f t="shared" si="0"/>
        <v>24</v>
      </c>
      <c r="C25" s="2">
        <v>10</v>
      </c>
      <c r="D25" s="2">
        <v>2022</v>
      </c>
      <c r="E25" s="4">
        <f>Submetering!E25+Submetering!F25</f>
        <v>9834</v>
      </c>
      <c r="F25" s="12">
        <v>0.35</v>
      </c>
      <c r="G25" s="4">
        <f>Submetering!M25</f>
        <v>1903</v>
      </c>
      <c r="H25" s="12">
        <v>0.6</v>
      </c>
      <c r="I25" s="4">
        <f>Submetering!N25</f>
        <v>111</v>
      </c>
      <c r="J25" s="13">
        <v>2.06</v>
      </c>
      <c r="K25" s="4">
        <f>'Hampshire Daily'!B28</f>
        <v>49</v>
      </c>
      <c r="L25" s="4">
        <f>'Hampshire Daily'!C28</f>
        <v>123</v>
      </c>
    </row>
    <row r="26" spans="1:12">
      <c r="A26" s="3" t="s">
        <v>12</v>
      </c>
      <c r="B26" s="2">
        <f>B25+1</f>
        <v>25</v>
      </c>
      <c r="C26" s="2">
        <v>10</v>
      </c>
      <c r="D26" s="2">
        <v>2022</v>
      </c>
      <c r="E26" s="4">
        <f>Submetering!E26+Submetering!F26</f>
        <v>6102</v>
      </c>
      <c r="F26" s="12">
        <v>0.35</v>
      </c>
      <c r="G26" s="4">
        <f>Submetering!M26</f>
        <v>2429</v>
      </c>
      <c r="H26" s="12">
        <v>0.6</v>
      </c>
      <c r="I26" s="4">
        <f>Submetering!N26</f>
        <v>93</v>
      </c>
      <c r="J26" s="13">
        <v>2.06</v>
      </c>
      <c r="K26" s="4">
        <f>'Hampshire Daily'!B29</f>
        <v>53</v>
      </c>
      <c r="L26" s="4">
        <f>'Hampshire Daily'!C29</f>
        <v>131</v>
      </c>
    </row>
    <row r="27" spans="1:12">
      <c r="A27" s="3" t="s">
        <v>12</v>
      </c>
      <c r="B27" s="2">
        <f t="shared" si="0"/>
        <v>26</v>
      </c>
      <c r="C27" s="2">
        <v>10</v>
      </c>
      <c r="D27" s="2">
        <v>2022</v>
      </c>
      <c r="E27" s="4">
        <f>Submetering!E27+Submetering!F27</f>
        <v>6048</v>
      </c>
      <c r="F27" s="12">
        <v>0.35</v>
      </c>
      <c r="G27" s="4">
        <f>Submetering!M27</f>
        <v>2678</v>
      </c>
      <c r="H27" s="12">
        <v>0.6</v>
      </c>
      <c r="I27" s="4">
        <f>Submetering!N27</f>
        <v>80</v>
      </c>
      <c r="J27" s="13">
        <v>2.06</v>
      </c>
      <c r="K27" s="4">
        <f>'Hampshire Daily'!B30</f>
        <v>59</v>
      </c>
      <c r="L27" s="4">
        <f>'Hampshire Daily'!C30</f>
        <v>153</v>
      </c>
    </row>
    <row r="28" spans="1:12">
      <c r="A28" s="3" t="s">
        <v>12</v>
      </c>
      <c r="B28" s="2">
        <f t="shared" si="0"/>
        <v>27</v>
      </c>
      <c r="C28" s="2">
        <v>10</v>
      </c>
      <c r="D28" s="2">
        <v>2022</v>
      </c>
      <c r="E28" s="4">
        <f>Submetering!E28+Submetering!F28</f>
        <v>5270</v>
      </c>
      <c r="F28" s="12">
        <v>0.35</v>
      </c>
      <c r="G28" s="4">
        <f>Submetering!M28</f>
        <v>2425</v>
      </c>
      <c r="H28" s="12">
        <v>0.6</v>
      </c>
      <c r="I28" s="4">
        <f>Submetering!N28</f>
        <v>96</v>
      </c>
      <c r="J28" s="13">
        <v>2.06</v>
      </c>
      <c r="K28" s="4">
        <f>'Hampshire Daily'!B31</f>
        <v>46</v>
      </c>
      <c r="L28" s="4">
        <f>'Hampshire Daily'!C31</f>
        <v>125</v>
      </c>
    </row>
    <row r="29" spans="1:12">
      <c r="A29" s="3" t="s">
        <v>12</v>
      </c>
      <c r="B29" s="2">
        <f t="shared" si="0"/>
        <v>28</v>
      </c>
      <c r="C29" s="2">
        <v>10</v>
      </c>
      <c r="D29" s="2">
        <v>2022</v>
      </c>
      <c r="E29" s="4">
        <f>Submetering!E29+Submetering!F29</f>
        <v>5214</v>
      </c>
      <c r="F29" s="12">
        <v>0.35</v>
      </c>
      <c r="G29" s="4">
        <f>Submetering!M29</f>
        <v>2392</v>
      </c>
      <c r="H29" s="12">
        <v>0.6</v>
      </c>
      <c r="I29" s="4">
        <f>Submetering!N29</f>
        <v>102</v>
      </c>
      <c r="J29" s="13">
        <v>2.06</v>
      </c>
      <c r="K29" s="4">
        <f>'Hampshire Daily'!B32</f>
        <v>48</v>
      </c>
      <c r="L29" s="4">
        <f>'Hampshire Daily'!C32</f>
        <v>131</v>
      </c>
    </row>
    <row r="30" spans="1:12">
      <c r="A30" s="3" t="s">
        <v>12</v>
      </c>
      <c r="B30" s="2">
        <f t="shared" si="0"/>
        <v>29</v>
      </c>
      <c r="C30" s="2">
        <v>10</v>
      </c>
      <c r="D30" s="2">
        <v>2022</v>
      </c>
      <c r="E30" s="4">
        <f>Submetering!E30+Submetering!F30</f>
        <v>5695</v>
      </c>
      <c r="F30" s="12">
        <v>0.35</v>
      </c>
      <c r="G30" s="4">
        <f>Submetering!M30</f>
        <v>2545</v>
      </c>
      <c r="H30" s="12">
        <v>0.6</v>
      </c>
      <c r="I30" s="4">
        <f>Submetering!N30</f>
        <v>-5</v>
      </c>
      <c r="J30" s="13">
        <v>2.06</v>
      </c>
      <c r="K30" s="4">
        <f>'Hampshire Daily'!B33</f>
        <v>43</v>
      </c>
      <c r="L30" s="4">
        <f>'Hampshire Daily'!C33</f>
        <v>115</v>
      </c>
    </row>
    <row r="31" spans="1:12">
      <c r="A31" s="3" t="s">
        <v>12</v>
      </c>
      <c r="B31" s="2">
        <f t="shared" si="0"/>
        <v>30</v>
      </c>
      <c r="C31" s="2">
        <v>10</v>
      </c>
      <c r="D31" s="2">
        <v>2022</v>
      </c>
      <c r="E31" s="4">
        <f>Submetering!E31+Submetering!F31</f>
        <v>5208</v>
      </c>
      <c r="F31" s="12">
        <v>0.35</v>
      </c>
      <c r="G31" s="4">
        <f>Submetering!M31</f>
        <v>2449</v>
      </c>
      <c r="H31" s="12">
        <v>0.6</v>
      </c>
      <c r="I31" s="4">
        <f>Submetering!N31</f>
        <v>197</v>
      </c>
      <c r="J31" s="13">
        <v>2.06</v>
      </c>
      <c r="K31" s="4">
        <f>'Hampshire Daily'!B34</f>
        <v>16</v>
      </c>
      <c r="L31" s="4">
        <f>'Hampshire Daily'!C34</f>
        <v>39</v>
      </c>
    </row>
    <row r="32" spans="1:12">
      <c r="A32" s="3" t="s">
        <v>12</v>
      </c>
      <c r="B32" s="2">
        <f t="shared" si="0"/>
        <v>31</v>
      </c>
      <c r="C32" s="2">
        <v>10</v>
      </c>
      <c r="D32" s="2">
        <v>2022</v>
      </c>
      <c r="E32" s="4">
        <f>Submetering!E32+Submetering!F32</f>
        <v>5207</v>
      </c>
      <c r="F32" s="12">
        <v>1.35</v>
      </c>
      <c r="G32" s="4">
        <f>Submetering!M32</f>
        <v>2588</v>
      </c>
      <c r="H32" s="12">
        <v>1.6</v>
      </c>
      <c r="I32" s="4">
        <f>Submetering!N32</f>
        <v>79</v>
      </c>
      <c r="J32" s="13">
        <v>3.06</v>
      </c>
      <c r="K32" s="4">
        <f>'Hampshire Daily'!B35</f>
        <v>21</v>
      </c>
      <c r="L32" s="4">
        <f>'Hampshire Daily'!C35</f>
        <v>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zoomScale="85" zoomScaleNormal="85" workbookViewId="0">
      <pane xSplit="2" ySplit="1" topLeftCell="G3" activePane="bottomRight" state="frozen"/>
      <selection pane="bottomRight" activeCell="N5" sqref="N5"/>
      <selection pane="bottomLeft" activeCell="A2" sqref="A2"/>
      <selection pane="topRight" activeCell="C1" sqref="C1"/>
    </sheetView>
  </sheetViews>
  <sheetFormatPr defaultColWidth="11.5703125" defaultRowHeight="15"/>
  <cols>
    <col min="1" max="1" width="13.7109375" style="3" customWidth="1"/>
    <col min="2" max="2" width="11.5703125" style="1" customWidth="1"/>
    <col min="3" max="3" width="11.5703125" style="1"/>
    <col min="4" max="4" width="13.42578125" style="1" customWidth="1"/>
    <col min="5" max="16" width="12.5703125" style="4" customWidth="1"/>
    <col min="17" max="17" width="11.5703125" style="4"/>
  </cols>
  <sheetData>
    <row r="1" spans="1:23" s="3" customFormat="1" ht="45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10" t="s">
        <v>25</v>
      </c>
      <c r="R1" s="10" t="s">
        <v>10</v>
      </c>
      <c r="S1" s="9" t="s">
        <v>11</v>
      </c>
    </row>
    <row r="2" spans="1:23" ht="15" customHeight="1">
      <c r="A2" s="3" t="s">
        <v>12</v>
      </c>
      <c r="B2" s="1">
        <v>1</v>
      </c>
      <c r="C2" s="1">
        <v>10</v>
      </c>
      <c r="D2" s="1">
        <v>2022</v>
      </c>
      <c r="E2" s="4">
        <f>'Hampshire Daily'!D5-'Hampshire Daily'!D4</f>
        <v>4178</v>
      </c>
      <c r="F2" s="4">
        <f>'Hampshire Daily'!E5-'Hampshire Daily'!E4</f>
        <v>4318</v>
      </c>
      <c r="G2" s="4">
        <f>'Hampshire Daily'!F5-'Hampshire Daily'!F4</f>
        <v>642</v>
      </c>
      <c r="H2" s="4">
        <f>'Hampshire Daily'!G5-'Hampshire Daily'!G4</f>
        <v>1828.5</v>
      </c>
      <c r="I2" s="4">
        <f>'Hampshire Daily'!H5-'Hampshire Daily'!H4</f>
        <v>0</v>
      </c>
      <c r="J2" s="4">
        <f>'Hampshire Daily'!I5-'Hampshire Daily'!I4</f>
        <v>2558.5</v>
      </c>
      <c r="K2" s="4">
        <f>'Hampshire Daily'!J5-'Hampshire Daily'!J4</f>
        <v>1079</v>
      </c>
      <c r="L2" s="4">
        <f>'Hampshire Daily'!K5-'Hampshire Daily'!K4</f>
        <v>1</v>
      </c>
      <c r="M2" s="4">
        <f>'Hampshire Daily'!N5-'Hampshire Daily'!N4</f>
        <v>2077</v>
      </c>
      <c r="N2" s="4">
        <f>'Hampshire Daily'!Q5-'Hampshire Daily'!Q4</f>
        <v>121.5</v>
      </c>
      <c r="O2" s="4">
        <f>'Hampshire Daily'!U5-'Hampshire Daily'!U4</f>
        <v>87</v>
      </c>
      <c r="P2" s="4">
        <f>'Hampshire Daily'!V5-'Hampshire Daily'!V4</f>
        <v>91.5</v>
      </c>
      <c r="Q2" s="4">
        <f>'Hampshire Daily'!Y5-'Hampshire Daily'!Y4</f>
        <v>6.5</v>
      </c>
      <c r="R2" s="4">
        <f>'Hampshire Daily'!B5</f>
        <v>108</v>
      </c>
      <c r="S2" s="4">
        <f>'Hampshire Daily'!C5</f>
        <v>225</v>
      </c>
    </row>
    <row r="3" spans="1:23">
      <c r="A3" s="3" t="s">
        <v>12</v>
      </c>
      <c r="B3" s="1">
        <f>B2+1</f>
        <v>2</v>
      </c>
      <c r="C3" s="1">
        <v>10</v>
      </c>
      <c r="D3" s="1">
        <v>2022</v>
      </c>
      <c r="E3" s="4">
        <f>'Hampshire Daily'!D6-'Hampshire Daily'!D5</f>
        <v>4178</v>
      </c>
      <c r="F3" s="4">
        <f>'Hampshire Daily'!E6-'Hampshire Daily'!E5</f>
        <v>4318</v>
      </c>
      <c r="G3" s="4">
        <f>'Hampshire Daily'!F6-'Hampshire Daily'!F5</f>
        <v>642</v>
      </c>
      <c r="H3" s="4">
        <f>'Hampshire Daily'!G6-'Hampshire Daily'!G5</f>
        <v>1828.5</v>
      </c>
      <c r="I3" s="4">
        <f>'Hampshire Daily'!H6-'Hampshire Daily'!H5</f>
        <v>0</v>
      </c>
      <c r="J3" s="4">
        <f>'Hampshire Daily'!I6-'Hampshire Daily'!I5</f>
        <v>2558.5</v>
      </c>
      <c r="K3" s="4">
        <f>'Hampshire Daily'!J6-'Hampshire Daily'!J5</f>
        <v>1079</v>
      </c>
      <c r="L3" s="4">
        <f>'Hampshire Daily'!K6-'Hampshire Daily'!K5</f>
        <v>1</v>
      </c>
      <c r="M3" s="4">
        <f>'Hampshire Daily'!N6-'Hampshire Daily'!N5</f>
        <v>2077</v>
      </c>
      <c r="N3" s="4">
        <f>'Hampshire Daily'!Q6-'Hampshire Daily'!Q5</f>
        <v>121.5</v>
      </c>
      <c r="O3" s="4">
        <f>'Hampshire Daily'!U6-'Hampshire Daily'!U5</f>
        <v>87</v>
      </c>
      <c r="P3" s="4">
        <f>'Hampshire Daily'!V6-'Hampshire Daily'!V5</f>
        <v>91.5</v>
      </c>
      <c r="Q3" s="4">
        <f>'Hampshire Daily'!Y6-'Hampshire Daily'!Y5</f>
        <v>6.5</v>
      </c>
      <c r="R3" s="4">
        <f>'Hampshire Daily'!B6</f>
        <v>45</v>
      </c>
      <c r="S3" s="4">
        <f>'Hampshire Daily'!C6</f>
        <v>86</v>
      </c>
      <c r="T3" t="s">
        <v>26</v>
      </c>
      <c r="U3" t="s">
        <v>26</v>
      </c>
      <c r="V3" t="s">
        <v>26</v>
      </c>
      <c r="W3" t="s">
        <v>26</v>
      </c>
    </row>
    <row r="4" spans="1:23">
      <c r="A4" s="3" t="s">
        <v>12</v>
      </c>
      <c r="B4" s="1">
        <f t="shared" ref="B4:B32" si="0">B3+1</f>
        <v>3</v>
      </c>
      <c r="C4" s="1">
        <v>10</v>
      </c>
      <c r="D4" s="1">
        <v>2022</v>
      </c>
      <c r="E4" s="4">
        <f>'Hampshire Daily'!D7-'Hampshire Daily'!D6</f>
        <v>4000</v>
      </c>
      <c r="F4" s="4">
        <f>'Hampshire Daily'!E7-'Hampshire Daily'!E6</f>
        <v>2147</v>
      </c>
      <c r="G4" s="4">
        <f>'Hampshire Daily'!F7-'Hampshire Daily'!F6</f>
        <v>81</v>
      </c>
      <c r="H4" s="4">
        <f>'Hampshire Daily'!G7-'Hampshire Daily'!G6</f>
        <v>1773</v>
      </c>
      <c r="I4" s="4">
        <f>'Hampshire Daily'!H7-'Hampshire Daily'!H6</f>
        <v>0</v>
      </c>
      <c r="J4" s="4">
        <f>'Hampshire Daily'!I7-'Hampshire Daily'!I6</f>
        <v>2385</v>
      </c>
      <c r="K4" s="4">
        <f>'Hampshire Daily'!J7-'Hampshire Daily'!J6</f>
        <v>1015</v>
      </c>
      <c r="L4" s="4">
        <f>'Hampshire Daily'!K7-'Hampshire Daily'!K6</f>
        <v>0</v>
      </c>
      <c r="M4" s="4">
        <f>'Hampshire Daily'!N7-'Hampshire Daily'!N6</f>
        <v>2426</v>
      </c>
      <c r="N4" s="4">
        <f>'Hampshire Daily'!Q7-'Hampshire Daily'!Q6</f>
        <v>116</v>
      </c>
      <c r="O4" s="4">
        <f>'Hampshire Daily'!U7-'Hampshire Daily'!U6</f>
        <v>89</v>
      </c>
      <c r="P4" s="4">
        <f>'Hampshire Daily'!V7-'Hampshire Daily'!V6</f>
        <v>89</v>
      </c>
      <c r="Q4" s="4">
        <f>'Hampshire Daily'!Y7-'Hampshire Daily'!Y6</f>
        <v>5</v>
      </c>
      <c r="R4" s="4">
        <f>'Hampshire Daily'!B7</f>
        <v>37</v>
      </c>
      <c r="S4" s="4">
        <f>'Hampshire Daily'!C7</f>
        <v>57</v>
      </c>
      <c r="T4" t="s">
        <v>26</v>
      </c>
    </row>
    <row r="5" spans="1:23">
      <c r="A5" s="3" t="s">
        <v>12</v>
      </c>
      <c r="B5" s="1">
        <f t="shared" si="0"/>
        <v>4</v>
      </c>
      <c r="C5" s="1">
        <v>10</v>
      </c>
      <c r="D5" s="1">
        <v>2022</v>
      </c>
      <c r="E5" s="4">
        <f>'Hampshire Daily'!D8-'Hampshire Daily'!D7</f>
        <v>4720</v>
      </c>
      <c r="F5" s="4">
        <f>'Hampshire Daily'!E8-'Hampshire Daily'!E7</f>
        <v>2086</v>
      </c>
      <c r="G5" s="4">
        <f>'Hampshire Daily'!F8-'Hampshire Daily'!F7</f>
        <v>0</v>
      </c>
      <c r="H5" s="4">
        <f>'Hampshire Daily'!G8-'Hampshire Daily'!G7</f>
        <v>1939</v>
      </c>
      <c r="I5" s="4">
        <f>'Hampshire Daily'!H8-'Hampshire Daily'!H7</f>
        <v>0</v>
      </c>
      <c r="J5" s="4">
        <f>'Hampshire Daily'!I8-'Hampshire Daily'!I7</f>
        <v>2294</v>
      </c>
      <c r="K5" s="4">
        <f>'Hampshire Daily'!J8-'Hampshire Daily'!J7</f>
        <v>962</v>
      </c>
      <c r="L5" s="4">
        <f>'Hampshire Daily'!K8-'Hampshire Daily'!K7</f>
        <v>15</v>
      </c>
      <c r="M5" s="4">
        <f>'Hampshire Daily'!N8-'Hampshire Daily'!N7</f>
        <v>2462</v>
      </c>
      <c r="N5" s="4">
        <f>'Hampshire Daily'!Q8-'Hampshire Daily'!Q7</f>
        <v>89</v>
      </c>
      <c r="O5" s="4">
        <f>'Hampshire Daily'!U8-'Hampshire Daily'!U7</f>
        <v>74</v>
      </c>
      <c r="P5" s="4">
        <f>'Hampshire Daily'!V8-'Hampshire Daily'!V7</f>
        <v>76</v>
      </c>
      <c r="Q5" s="4">
        <f>'Hampshire Daily'!Y8-'Hampshire Daily'!Y7</f>
        <v>4</v>
      </c>
      <c r="R5" s="4">
        <f>'Hampshire Daily'!B8</f>
        <v>53</v>
      </c>
      <c r="S5" s="4">
        <f>'Hampshire Daily'!C8</f>
        <v>69</v>
      </c>
    </row>
    <row r="6" spans="1:23">
      <c r="A6" s="3" t="s">
        <v>12</v>
      </c>
      <c r="B6" s="1">
        <f t="shared" si="0"/>
        <v>5</v>
      </c>
      <c r="C6" s="1">
        <v>10</v>
      </c>
      <c r="D6" s="1">
        <v>2022</v>
      </c>
      <c r="E6" s="4">
        <f>'Hampshire Daily'!D9-'Hampshire Daily'!D8</f>
        <v>3239</v>
      </c>
      <c r="F6" s="4">
        <f>'Hampshire Daily'!E9-'Hampshire Daily'!E8</f>
        <v>2790</v>
      </c>
      <c r="G6" s="4">
        <f>'Hampshire Daily'!F9-'Hampshire Daily'!F8</f>
        <v>21.5</v>
      </c>
      <c r="H6" s="4">
        <f>'Hampshire Daily'!G9-'Hampshire Daily'!G8</f>
        <v>1839</v>
      </c>
      <c r="I6" s="4">
        <f>'Hampshire Daily'!H9-'Hampshire Daily'!H8</f>
        <v>0</v>
      </c>
      <c r="J6" s="4">
        <f>'Hampshire Daily'!I9-'Hampshire Daily'!I8</f>
        <v>2385</v>
      </c>
      <c r="K6" s="4">
        <f>'Hampshire Daily'!J9-'Hampshire Daily'!J8</f>
        <v>973.5</v>
      </c>
      <c r="L6" s="4">
        <f>'Hampshire Daily'!K9-'Hampshire Daily'!K8</f>
        <v>143.5</v>
      </c>
      <c r="M6" s="4">
        <f>'Hampshire Daily'!N9-'Hampshire Daily'!N8</f>
        <v>2231</v>
      </c>
      <c r="N6" s="4">
        <f>'Hampshire Daily'!Q9-'Hampshire Daily'!Q8</f>
        <v>89</v>
      </c>
      <c r="O6" s="4">
        <f>'Hampshire Daily'!U9-'Hampshire Daily'!U8</f>
        <v>69</v>
      </c>
      <c r="P6" s="4">
        <f>'Hampshire Daily'!V9-'Hampshire Daily'!V8</f>
        <v>70</v>
      </c>
      <c r="Q6" s="4">
        <f>'Hampshire Daily'!Y9-'Hampshire Daily'!Y8</f>
        <v>7</v>
      </c>
      <c r="R6" s="4">
        <f>'Hampshire Daily'!B9</f>
        <v>33</v>
      </c>
      <c r="S6" s="4">
        <f>'Hampshire Daily'!C9</f>
        <v>43</v>
      </c>
    </row>
    <row r="7" spans="1:23">
      <c r="A7" s="3" t="s">
        <v>12</v>
      </c>
      <c r="B7" s="1">
        <f t="shared" si="0"/>
        <v>6</v>
      </c>
      <c r="C7" s="1">
        <v>10</v>
      </c>
      <c r="D7" s="1">
        <v>2022</v>
      </c>
      <c r="E7" s="4">
        <f>'Hampshire Daily'!D10-'Hampshire Daily'!D9</f>
        <v>3239</v>
      </c>
      <c r="F7" s="4">
        <f>'Hampshire Daily'!E10-'Hampshire Daily'!E9</f>
        <v>2790</v>
      </c>
      <c r="G7" s="4">
        <f>'Hampshire Daily'!F10-'Hampshire Daily'!F9</f>
        <v>21.5</v>
      </c>
      <c r="H7" s="4">
        <f>'Hampshire Daily'!G10-'Hampshire Daily'!G9</f>
        <v>1839</v>
      </c>
      <c r="I7" s="4">
        <f>'Hampshire Daily'!H10-'Hampshire Daily'!H9</f>
        <v>0</v>
      </c>
      <c r="J7" s="4">
        <f>'Hampshire Daily'!I10-'Hampshire Daily'!I9</f>
        <v>2385</v>
      </c>
      <c r="K7" s="4">
        <f>'Hampshire Daily'!J10-'Hampshire Daily'!J9</f>
        <v>973.5</v>
      </c>
      <c r="L7" s="4">
        <f>'Hampshire Daily'!K10-'Hampshire Daily'!K9</f>
        <v>143.5</v>
      </c>
      <c r="M7" s="4">
        <f>'Hampshire Daily'!N10-'Hampshire Daily'!N9</f>
        <v>1785</v>
      </c>
      <c r="N7" s="4">
        <f>'Hampshire Daily'!Q10-'Hampshire Daily'!Q9</f>
        <v>99</v>
      </c>
      <c r="O7" s="4">
        <f>'Hampshire Daily'!U10-'Hampshire Daily'!U9</f>
        <v>45</v>
      </c>
      <c r="P7" s="4">
        <f>'Hampshire Daily'!V10-'Hampshire Daily'!V9</f>
        <v>69</v>
      </c>
      <c r="Q7" s="4">
        <f>'Hampshire Daily'!Y10-'Hampshire Daily'!Y9</f>
        <v>3</v>
      </c>
      <c r="R7" s="4">
        <f>'Hampshire Daily'!B10</f>
        <v>93</v>
      </c>
      <c r="S7" s="4">
        <f>'Hampshire Daily'!C10</f>
        <v>106</v>
      </c>
    </row>
    <row r="8" spans="1:23">
      <c r="A8" s="3" t="s">
        <v>12</v>
      </c>
      <c r="B8" s="1">
        <f t="shared" si="0"/>
        <v>7</v>
      </c>
      <c r="C8" s="1">
        <v>10</v>
      </c>
      <c r="D8" s="1">
        <v>2022</v>
      </c>
      <c r="E8" s="4">
        <f>'Hampshire Daily'!D11-'Hampshire Daily'!D10</f>
        <v>2339</v>
      </c>
      <c r="F8" s="4">
        <f>'Hampshire Daily'!E11-'Hampshire Daily'!E10</f>
        <v>4305</v>
      </c>
      <c r="G8" s="4">
        <f>'Hampshire Daily'!F11-'Hampshire Daily'!F10</f>
        <v>169</v>
      </c>
      <c r="H8" s="4">
        <f>'Hampshire Daily'!G11-'Hampshire Daily'!G10</f>
        <v>1825</v>
      </c>
      <c r="I8" s="4">
        <f>'Hampshire Daily'!H11-'Hampshire Daily'!H10</f>
        <v>0</v>
      </c>
      <c r="J8" s="4">
        <f>'Hampshire Daily'!I11-'Hampshire Daily'!I10</f>
        <v>2456</v>
      </c>
      <c r="K8" s="4">
        <f>'Hampshire Daily'!J11-'Hampshire Daily'!J10</f>
        <v>1130</v>
      </c>
      <c r="L8" s="4">
        <f>'Hampshire Daily'!K11-'Hampshire Daily'!K10</f>
        <v>16</v>
      </c>
      <c r="M8" s="4">
        <f>'Hampshire Daily'!N11-'Hampshire Daily'!N10</f>
        <v>2539</v>
      </c>
      <c r="N8" s="4">
        <f>'Hampshire Daily'!Q11-'Hampshire Daily'!Q10</f>
        <v>95</v>
      </c>
      <c r="O8" s="4">
        <f>'Hampshire Daily'!U11-'Hampshire Daily'!U10</f>
        <v>71</v>
      </c>
      <c r="P8" s="4">
        <f>'Hampshire Daily'!V11-'Hampshire Daily'!V10</f>
        <v>72</v>
      </c>
      <c r="Q8" s="4">
        <f>'Hampshire Daily'!Y11-'Hampshire Daily'!Y10</f>
        <v>4</v>
      </c>
      <c r="R8" s="4">
        <f>'Hampshire Daily'!B11</f>
        <v>54</v>
      </c>
      <c r="S8" s="4">
        <f>'Hampshire Daily'!C11</f>
        <v>115</v>
      </c>
    </row>
    <row r="9" spans="1:23">
      <c r="A9" s="3" t="s">
        <v>12</v>
      </c>
      <c r="B9" s="1">
        <f t="shared" si="0"/>
        <v>8</v>
      </c>
      <c r="C9" s="1">
        <v>10</v>
      </c>
      <c r="D9" s="1">
        <v>2022</v>
      </c>
      <c r="E9" s="4">
        <f>'Hampshire Daily'!D12-'Hampshire Daily'!D11</f>
        <v>3997</v>
      </c>
      <c r="F9" s="4">
        <f>'Hampshire Daily'!E12-'Hampshire Daily'!E11</f>
        <v>3456</v>
      </c>
      <c r="G9" s="4">
        <f>'Hampshire Daily'!F12-'Hampshire Daily'!F11</f>
        <v>0</v>
      </c>
      <c r="H9" s="4">
        <f>'Hampshire Daily'!G12-'Hampshire Daily'!G11</f>
        <v>1919</v>
      </c>
      <c r="I9" s="4">
        <f>'Hampshire Daily'!H12-'Hampshire Daily'!H11</f>
        <v>0</v>
      </c>
      <c r="J9" s="4">
        <f>'Hampshire Daily'!I12-'Hampshire Daily'!I11</f>
        <v>2614</v>
      </c>
      <c r="K9" s="4">
        <f>'Hampshire Daily'!J12-'Hampshire Daily'!J11</f>
        <v>1139</v>
      </c>
      <c r="L9" s="4">
        <f>'Hampshire Daily'!K12-'Hampshire Daily'!K11</f>
        <v>383</v>
      </c>
      <c r="M9" s="4">
        <f>'Hampshire Daily'!N12-'Hampshire Daily'!N11</f>
        <v>2278</v>
      </c>
      <c r="N9" s="4">
        <f>'Hampshire Daily'!Q12-'Hampshire Daily'!Q11</f>
        <v>91</v>
      </c>
      <c r="O9" s="4">
        <f>'Hampshire Daily'!U12-'Hampshire Daily'!U11</f>
        <v>62</v>
      </c>
      <c r="P9" s="4">
        <f>'Hampshire Daily'!V12-'Hampshire Daily'!V11</f>
        <v>67</v>
      </c>
      <c r="Q9" s="4">
        <f>'Hampshire Daily'!Y12-'Hampshire Daily'!Y11</f>
        <v>4</v>
      </c>
      <c r="R9" s="4">
        <f>'Hampshire Daily'!B12</f>
        <v>88</v>
      </c>
      <c r="S9" s="4">
        <f>'Hampshire Daily'!C12</f>
        <v>198</v>
      </c>
    </row>
    <row r="10" spans="1:23">
      <c r="A10" s="3" t="s">
        <v>12</v>
      </c>
      <c r="B10" s="1">
        <f t="shared" si="0"/>
        <v>9</v>
      </c>
      <c r="C10" s="1">
        <v>10</v>
      </c>
      <c r="D10" s="1">
        <v>2022</v>
      </c>
      <c r="E10" s="4">
        <f>'Hampshire Daily'!D13-'Hampshire Daily'!D12</f>
        <v>4811</v>
      </c>
      <c r="F10" s="4">
        <f>'Hampshire Daily'!E13-'Hampshire Daily'!E12</f>
        <v>3380</v>
      </c>
      <c r="G10" s="4">
        <f>'Hampshire Daily'!F13-'Hampshire Daily'!F12</f>
        <v>0</v>
      </c>
      <c r="H10" s="4">
        <f>'Hampshire Daily'!G13-'Hampshire Daily'!G12</f>
        <v>1823</v>
      </c>
      <c r="I10" s="4">
        <f>'Hampshire Daily'!H13-'Hampshire Daily'!H12</f>
        <v>0</v>
      </c>
      <c r="J10" s="4">
        <f>'Hampshire Daily'!I13-'Hampshire Daily'!I12</f>
        <v>2637</v>
      </c>
      <c r="K10" s="4">
        <f>'Hampshire Daily'!J13-'Hampshire Daily'!J12</f>
        <v>1200</v>
      </c>
      <c r="L10" s="4">
        <f>'Hampshire Daily'!K13-'Hampshire Daily'!K12</f>
        <v>681</v>
      </c>
      <c r="M10" s="4">
        <f>'Hampshire Daily'!N13-'Hampshire Daily'!N12</f>
        <v>2238</v>
      </c>
      <c r="N10" s="4">
        <f>'Hampshire Daily'!Q13-'Hampshire Daily'!Q12</f>
        <v>92</v>
      </c>
      <c r="O10" s="4">
        <f>'Hampshire Daily'!U13-'Hampshire Daily'!U12</f>
        <v>60</v>
      </c>
      <c r="P10" s="4">
        <f>'Hampshire Daily'!V13-'Hampshire Daily'!V12</f>
        <v>69</v>
      </c>
      <c r="Q10" s="4">
        <f>'Hampshire Daily'!Y13-'Hampshire Daily'!Y12</f>
        <v>6</v>
      </c>
      <c r="R10" s="4">
        <f>'Hampshire Daily'!B13</f>
        <v>63</v>
      </c>
      <c r="S10" s="4">
        <f>'Hampshire Daily'!C13</f>
        <v>106</v>
      </c>
    </row>
    <row r="11" spans="1:23">
      <c r="A11" s="3" t="s">
        <v>12</v>
      </c>
      <c r="B11" s="1">
        <f t="shared" si="0"/>
        <v>10</v>
      </c>
      <c r="C11" s="1">
        <v>10</v>
      </c>
      <c r="D11" s="1">
        <v>2022</v>
      </c>
      <c r="E11" s="4">
        <f>'Hampshire Daily'!D14-'Hampshire Daily'!D13</f>
        <v>2671</v>
      </c>
      <c r="F11" s="4">
        <f>'Hampshire Daily'!E14-'Hampshire Daily'!E13</f>
        <v>3291</v>
      </c>
      <c r="G11" s="4">
        <f>'Hampshire Daily'!F14-'Hampshire Daily'!F13</f>
        <v>0</v>
      </c>
      <c r="H11" s="4">
        <f>'Hampshire Daily'!G14-'Hampshire Daily'!G13</f>
        <v>1147</v>
      </c>
      <c r="I11" s="4">
        <f>'Hampshire Daily'!H14-'Hampshire Daily'!H13</f>
        <v>0</v>
      </c>
      <c r="J11" s="4">
        <f>'Hampshire Daily'!I14-'Hampshire Daily'!I13</f>
        <v>2771</v>
      </c>
      <c r="K11" s="4">
        <f>'Hampshire Daily'!J14-'Hampshire Daily'!J13</f>
        <v>1193</v>
      </c>
      <c r="L11" s="4">
        <f>'Hampshire Daily'!K14-'Hampshire Daily'!K13</f>
        <v>134</v>
      </c>
      <c r="M11" s="4">
        <f>'Hampshire Daily'!N14-'Hampshire Daily'!N13</f>
        <v>2602</v>
      </c>
      <c r="N11" s="4">
        <f>'Hampshire Daily'!Q14-'Hampshire Daily'!Q13</f>
        <v>88</v>
      </c>
      <c r="O11" s="4">
        <f>'Hampshire Daily'!U14-'Hampshire Daily'!U13</f>
        <v>71</v>
      </c>
      <c r="P11" s="4">
        <f>'Hampshire Daily'!V14-'Hampshire Daily'!V13</f>
        <v>69</v>
      </c>
      <c r="Q11" s="4">
        <f>'Hampshire Daily'!Y14-'Hampshire Daily'!Y13</f>
        <v>7</v>
      </c>
      <c r="R11" s="4">
        <f>'Hampshire Daily'!B14</f>
        <v>131</v>
      </c>
      <c r="S11" s="4">
        <f>'Hampshire Daily'!C14</f>
        <v>156</v>
      </c>
    </row>
    <row r="12" spans="1:23">
      <c r="A12" s="3" t="s">
        <v>12</v>
      </c>
      <c r="B12" s="1">
        <f t="shared" si="0"/>
        <v>11</v>
      </c>
      <c r="C12" s="1">
        <v>10</v>
      </c>
      <c r="D12" s="1">
        <v>2022</v>
      </c>
      <c r="E12" s="4">
        <f>'Hampshire Daily'!D15-'Hampshire Daily'!D14</f>
        <v>2960</v>
      </c>
      <c r="F12" s="4">
        <f>'Hampshire Daily'!E15-'Hampshire Daily'!E14</f>
        <v>3596</v>
      </c>
      <c r="G12" s="4">
        <f>'Hampshire Daily'!F15-'Hampshire Daily'!F14</f>
        <v>0</v>
      </c>
      <c r="H12" s="4">
        <f>'Hampshire Daily'!G15-'Hampshire Daily'!G14</f>
        <v>3172</v>
      </c>
      <c r="I12" s="4">
        <f>'Hampshire Daily'!H15-'Hampshire Daily'!H14</f>
        <v>86</v>
      </c>
      <c r="J12" s="4">
        <f>'Hampshire Daily'!I15-'Hampshire Daily'!I14</f>
        <v>2456</v>
      </c>
      <c r="K12" s="4">
        <f>'Hampshire Daily'!J15-'Hampshire Daily'!J14</f>
        <v>1140</v>
      </c>
      <c r="L12" s="4">
        <f>'Hampshire Daily'!K15-'Hampshire Daily'!K14</f>
        <v>82</v>
      </c>
      <c r="M12" s="4">
        <f>'Hampshire Daily'!N15-'Hampshire Daily'!N14</f>
        <v>2736</v>
      </c>
      <c r="N12" s="4">
        <f>'Hampshire Daily'!Q15-'Hampshire Daily'!Q14</f>
        <v>129</v>
      </c>
      <c r="O12" s="4">
        <f>'Hampshire Daily'!U15-'Hampshire Daily'!U14</f>
        <v>64</v>
      </c>
      <c r="P12" s="4">
        <f>'Hampshire Daily'!V15-'Hampshire Daily'!V14</f>
        <v>69</v>
      </c>
      <c r="Q12" s="4">
        <f>'Hampshire Daily'!Y15-'Hampshire Daily'!Y14</f>
        <v>4</v>
      </c>
      <c r="R12" s="4">
        <f>'Hampshire Daily'!B15</f>
        <v>40</v>
      </c>
      <c r="S12" s="4">
        <f>'Hampshire Daily'!C15</f>
        <v>64</v>
      </c>
    </row>
    <row r="13" spans="1:23">
      <c r="A13" s="3" t="s">
        <v>12</v>
      </c>
      <c r="B13" s="1">
        <f t="shared" si="0"/>
        <v>12</v>
      </c>
      <c r="C13" s="1">
        <v>10</v>
      </c>
      <c r="D13" s="1">
        <v>2022</v>
      </c>
      <c r="E13" s="4">
        <f>'Hampshire Daily'!D16-'Hampshire Daily'!D15</f>
        <v>2579</v>
      </c>
      <c r="F13" s="4">
        <f>'Hampshire Daily'!E16-'Hampshire Daily'!E15</f>
        <v>3228</v>
      </c>
      <c r="G13" s="4">
        <f>'Hampshire Daily'!F16-'Hampshire Daily'!F15</f>
        <v>2</v>
      </c>
      <c r="H13" s="4">
        <f>'Hampshire Daily'!G16-'Hampshire Daily'!G15</f>
        <v>2252</v>
      </c>
      <c r="I13" s="4">
        <f>'Hampshire Daily'!H16-'Hampshire Daily'!H15</f>
        <v>48</v>
      </c>
      <c r="J13" s="4">
        <f>'Hampshire Daily'!I16-'Hampshire Daily'!I15</f>
        <v>2513</v>
      </c>
      <c r="K13" s="4">
        <f>'Hampshire Daily'!J16-'Hampshire Daily'!J15</f>
        <v>1070</v>
      </c>
      <c r="L13" s="4">
        <f>'Hampshire Daily'!K16-'Hampshire Daily'!K15</f>
        <v>47</v>
      </c>
      <c r="M13" s="4">
        <f>'Hampshire Daily'!N16-'Hampshire Daily'!N15</f>
        <v>2664</v>
      </c>
      <c r="N13" s="4">
        <f>'Hampshire Daily'!Q16-'Hampshire Daily'!Q15</f>
        <v>86</v>
      </c>
      <c r="O13" s="4">
        <f>'Hampshire Daily'!U16-'Hampshire Daily'!U15</f>
        <v>56</v>
      </c>
      <c r="P13" s="4">
        <f>'Hampshire Daily'!V16-'Hampshire Daily'!V15</f>
        <v>61</v>
      </c>
      <c r="Q13" s="4">
        <f>'Hampshire Daily'!Y16-'Hampshire Daily'!Y15</f>
        <v>3</v>
      </c>
      <c r="R13" s="4">
        <f>'Hampshire Daily'!B16</f>
        <v>66</v>
      </c>
      <c r="S13" s="4">
        <f>'Hampshire Daily'!C16</f>
        <v>91</v>
      </c>
    </row>
    <row r="14" spans="1:23">
      <c r="A14" s="3" t="s">
        <v>12</v>
      </c>
      <c r="B14" s="1">
        <f t="shared" si="0"/>
        <v>13</v>
      </c>
      <c r="C14" s="1">
        <v>10</v>
      </c>
      <c r="D14" s="1">
        <v>2022</v>
      </c>
      <c r="E14" s="4">
        <f>'Hampshire Daily'!D17-'Hampshire Daily'!D16</f>
        <v>2358</v>
      </c>
      <c r="F14" s="4">
        <f>'Hampshire Daily'!E17-'Hampshire Daily'!E16</f>
        <v>3354</v>
      </c>
      <c r="G14" s="4">
        <f>'Hampshire Daily'!F17-'Hampshire Daily'!F16</f>
        <v>0</v>
      </c>
      <c r="H14" s="4">
        <f>'Hampshire Daily'!G17-'Hampshire Daily'!G16</f>
        <v>2100</v>
      </c>
      <c r="I14" s="4">
        <f>'Hampshire Daily'!H17-'Hampshire Daily'!H16</f>
        <v>0</v>
      </c>
      <c r="J14" s="4">
        <f>'Hampshire Daily'!I17-'Hampshire Daily'!I16</f>
        <v>2448</v>
      </c>
      <c r="K14" s="4">
        <f>'Hampshire Daily'!J17-'Hampshire Daily'!J16</f>
        <v>1046</v>
      </c>
      <c r="L14" s="4">
        <f>'Hampshire Daily'!K17-'Hampshire Daily'!K16</f>
        <v>0</v>
      </c>
      <c r="M14" s="4">
        <f>'Hampshire Daily'!N17-'Hampshire Daily'!N16</f>
        <v>2640</v>
      </c>
      <c r="N14" s="4">
        <f>'Hampshire Daily'!Q17-'Hampshire Daily'!Q16</f>
        <v>75</v>
      </c>
      <c r="O14" s="4">
        <f>'Hampshire Daily'!U17-'Hampshire Daily'!U16</f>
        <v>44</v>
      </c>
      <c r="P14" s="4">
        <f>'Hampshire Daily'!V17-'Hampshire Daily'!V16</f>
        <v>57</v>
      </c>
      <c r="Q14" s="4">
        <f>'Hampshire Daily'!Y17-'Hampshire Daily'!Y16</f>
        <v>4</v>
      </c>
      <c r="R14" s="4">
        <f>'Hampshire Daily'!B17</f>
        <v>115</v>
      </c>
      <c r="S14" s="4">
        <f>'Hampshire Daily'!C17</f>
        <v>151</v>
      </c>
    </row>
    <row r="15" spans="1:23">
      <c r="A15" s="3" t="s">
        <v>12</v>
      </c>
      <c r="B15" s="1">
        <f t="shared" si="0"/>
        <v>14</v>
      </c>
      <c r="C15" s="1">
        <v>10</v>
      </c>
      <c r="D15" s="1">
        <v>2022</v>
      </c>
      <c r="E15" s="4">
        <f>'Hampshire Daily'!D18-'Hampshire Daily'!D17</f>
        <v>3654</v>
      </c>
      <c r="F15" s="4">
        <f>'Hampshire Daily'!E18-'Hampshire Daily'!E17</f>
        <v>2387</v>
      </c>
      <c r="G15" s="4">
        <f>'Hampshire Daily'!F18-'Hampshire Daily'!F17</f>
        <v>0</v>
      </c>
      <c r="H15" s="4">
        <f>'Hampshire Daily'!G18-'Hampshire Daily'!G17</f>
        <v>2247</v>
      </c>
      <c r="I15" s="4">
        <f>'Hampshire Daily'!H18-'Hampshire Daily'!H17</f>
        <v>0</v>
      </c>
      <c r="J15" s="4">
        <f>'Hampshire Daily'!I18-'Hampshire Daily'!I17</f>
        <v>2677</v>
      </c>
      <c r="K15" s="4">
        <f>'Hampshire Daily'!J18-'Hampshire Daily'!J17</f>
        <v>1191</v>
      </c>
      <c r="L15" s="4">
        <f>'Hampshire Daily'!K18-'Hampshire Daily'!K17</f>
        <v>0</v>
      </c>
      <c r="M15" s="4">
        <f>'Hampshire Daily'!N18-'Hampshire Daily'!N17</f>
        <v>2705</v>
      </c>
      <c r="N15" s="4">
        <f>'Hampshire Daily'!Q18-'Hampshire Daily'!Q17</f>
        <v>91</v>
      </c>
      <c r="O15" s="4">
        <f>'Hampshire Daily'!U18-'Hampshire Daily'!U17</f>
        <v>49</v>
      </c>
      <c r="P15" s="4">
        <f>'Hampshire Daily'!V18-'Hampshire Daily'!V17</f>
        <v>67</v>
      </c>
      <c r="Q15" s="4">
        <f>'Hampshire Daily'!Y18-'Hampshire Daily'!Y17</f>
        <v>4</v>
      </c>
      <c r="R15" s="4">
        <f>'Hampshire Daily'!B18</f>
        <v>64</v>
      </c>
      <c r="S15" s="4">
        <f>'Hampshire Daily'!C18</f>
        <v>128</v>
      </c>
    </row>
    <row r="16" spans="1:23">
      <c r="A16" s="3" t="s">
        <v>12</v>
      </c>
      <c r="B16" s="1">
        <f t="shared" si="0"/>
        <v>15</v>
      </c>
      <c r="C16" s="1">
        <v>10</v>
      </c>
      <c r="D16" s="1">
        <v>2022</v>
      </c>
      <c r="E16" s="4">
        <f>'Hampshire Daily'!D19-'Hampshire Daily'!D18</f>
        <v>3651</v>
      </c>
      <c r="F16" s="4">
        <f>'Hampshire Daily'!E19-'Hampshire Daily'!E18</f>
        <v>2252</v>
      </c>
      <c r="G16" s="4">
        <f>'Hampshire Daily'!F19-'Hampshire Daily'!F18</f>
        <v>0</v>
      </c>
      <c r="H16" s="4">
        <f>'Hampshire Daily'!G19-'Hampshire Daily'!G18</f>
        <v>2101</v>
      </c>
      <c r="I16" s="4">
        <f>'Hampshire Daily'!H19-'Hampshire Daily'!H18</f>
        <v>0</v>
      </c>
      <c r="J16" s="4">
        <f>'Hampshire Daily'!I19-'Hampshire Daily'!I18</f>
        <v>2551</v>
      </c>
      <c r="K16" s="4">
        <f>'Hampshire Daily'!J19-'Hampshire Daily'!J18</f>
        <v>1163</v>
      </c>
      <c r="L16" s="4">
        <f>'Hampshire Daily'!K19-'Hampshire Daily'!K18</f>
        <v>0</v>
      </c>
      <c r="M16" s="4">
        <f>'Hampshire Daily'!N19-'Hampshire Daily'!N18</f>
        <v>2772</v>
      </c>
      <c r="N16" s="4">
        <f>'Hampshire Daily'!Q19-'Hampshire Daily'!Q18</f>
        <v>93</v>
      </c>
      <c r="O16" s="4">
        <f>'Hampshire Daily'!U19-'Hampshire Daily'!U18</f>
        <v>64</v>
      </c>
      <c r="P16" s="4">
        <f>'Hampshire Daily'!V19-'Hampshire Daily'!V18</f>
        <v>67</v>
      </c>
      <c r="Q16" s="4">
        <f>'Hampshire Daily'!Y19-'Hampshire Daily'!Y18</f>
        <v>4</v>
      </c>
      <c r="R16" s="4">
        <f>'Hampshire Daily'!B19</f>
        <v>87</v>
      </c>
      <c r="S16" s="4">
        <f>'Hampshire Daily'!C19</f>
        <v>194</v>
      </c>
    </row>
    <row r="17" spans="1:19">
      <c r="A17" s="3" t="s">
        <v>12</v>
      </c>
      <c r="B17" s="1">
        <f t="shared" si="0"/>
        <v>16</v>
      </c>
      <c r="C17" s="1">
        <v>10</v>
      </c>
      <c r="D17" s="1">
        <v>2022</v>
      </c>
      <c r="E17" s="4">
        <f>'Hampshire Daily'!D20-'Hampshire Daily'!D19</f>
        <v>3392</v>
      </c>
      <c r="F17" s="4">
        <f>'Hampshire Daily'!E20-'Hampshire Daily'!E19</f>
        <v>2351</v>
      </c>
      <c r="G17" s="4">
        <f>'Hampshire Daily'!F20-'Hampshire Daily'!F19</f>
        <v>0</v>
      </c>
      <c r="H17" s="4">
        <f>'Hampshire Daily'!G20-'Hampshire Daily'!G19</f>
        <v>1971</v>
      </c>
      <c r="I17" s="4">
        <f>'Hampshire Daily'!H20-'Hampshire Daily'!H19</f>
        <v>0</v>
      </c>
      <c r="J17" s="4">
        <f>'Hampshire Daily'!I20-'Hampshire Daily'!I19</f>
        <v>2609</v>
      </c>
      <c r="K17" s="4">
        <f>'Hampshire Daily'!J20-'Hampshire Daily'!J19</f>
        <v>1198</v>
      </c>
      <c r="L17" s="4">
        <f>'Hampshire Daily'!K20-'Hampshire Daily'!K19</f>
        <v>0</v>
      </c>
      <c r="M17" s="4">
        <f>'Hampshire Daily'!N20-'Hampshire Daily'!N19</f>
        <v>2839</v>
      </c>
      <c r="N17" s="4">
        <f>'Hampshire Daily'!Q20-'Hampshire Daily'!Q19</f>
        <v>93</v>
      </c>
      <c r="O17" s="4">
        <f>'Hampshire Daily'!U20-'Hampshire Daily'!U19</f>
        <v>68</v>
      </c>
      <c r="P17" s="4">
        <f>'Hampshire Daily'!V20-'Hampshire Daily'!V19</f>
        <v>71</v>
      </c>
      <c r="Q17" s="4">
        <f>'Hampshire Daily'!Y20-'Hampshire Daily'!Y19</f>
        <v>7</v>
      </c>
      <c r="R17" s="4">
        <f>'Hampshire Daily'!B20</f>
        <v>44</v>
      </c>
      <c r="S17" s="4">
        <f>'Hampshire Daily'!C20</f>
        <v>103</v>
      </c>
    </row>
    <row r="18" spans="1:19">
      <c r="A18" s="3" t="s">
        <v>12</v>
      </c>
      <c r="B18" s="1">
        <f t="shared" si="0"/>
        <v>17</v>
      </c>
      <c r="C18" s="1">
        <v>10</v>
      </c>
      <c r="D18" s="1">
        <v>2022</v>
      </c>
      <c r="E18" s="4">
        <f>'Hampshire Daily'!D21-'Hampshire Daily'!D20</f>
        <v>3399</v>
      </c>
      <c r="F18" s="4">
        <f>'Hampshire Daily'!E21-'Hampshire Daily'!E20</f>
        <v>2244</v>
      </c>
      <c r="G18" s="4">
        <f>'Hampshire Daily'!F21-'Hampshire Daily'!F20</f>
        <v>0</v>
      </c>
      <c r="H18" s="4">
        <f>'Hampshire Daily'!G21-'Hampshire Daily'!G20</f>
        <v>1840</v>
      </c>
      <c r="I18" s="4">
        <f>'Hampshire Daily'!H21-'Hampshire Daily'!H20</f>
        <v>0</v>
      </c>
      <c r="J18" s="4">
        <f>'Hampshire Daily'!I21-'Hampshire Daily'!I20</f>
        <v>2659</v>
      </c>
      <c r="K18" s="4">
        <f>'Hampshire Daily'!J21-'Hampshire Daily'!J20</f>
        <v>1183</v>
      </c>
      <c r="L18" s="4">
        <f>'Hampshire Daily'!K21-'Hampshire Daily'!K20</f>
        <v>0</v>
      </c>
      <c r="M18" s="4">
        <f>'Hampshire Daily'!N21-'Hampshire Daily'!N20</f>
        <v>2549</v>
      </c>
      <c r="N18" s="4">
        <f>'Hampshire Daily'!Q21-'Hampshire Daily'!Q20</f>
        <v>96</v>
      </c>
      <c r="O18" s="4">
        <f>'Hampshire Daily'!U21-'Hampshire Daily'!U20</f>
        <v>57</v>
      </c>
      <c r="P18" s="4">
        <f>'Hampshire Daily'!V21-'Hampshire Daily'!V20</f>
        <v>13</v>
      </c>
      <c r="Q18" s="4">
        <f>'Hampshire Daily'!Y21-'Hampshire Daily'!Y20</f>
        <v>5</v>
      </c>
      <c r="R18" s="4">
        <f>'Hampshire Daily'!B21</f>
        <v>54</v>
      </c>
      <c r="S18" s="4">
        <f>'Hampshire Daily'!C21</f>
        <v>129</v>
      </c>
    </row>
    <row r="19" spans="1:19">
      <c r="A19" s="3" t="s">
        <v>12</v>
      </c>
      <c r="B19" s="1">
        <f t="shared" si="0"/>
        <v>18</v>
      </c>
      <c r="C19" s="1">
        <v>10</v>
      </c>
      <c r="D19" s="1">
        <v>2022</v>
      </c>
      <c r="E19" s="4">
        <f>'Hampshire Daily'!D22-'Hampshire Daily'!D21</f>
        <v>5374</v>
      </c>
      <c r="F19" s="4">
        <f>'Hampshire Daily'!E22-'Hampshire Daily'!E21</f>
        <v>2298</v>
      </c>
      <c r="G19" s="4">
        <f>'Hampshire Daily'!F22-'Hampshire Daily'!F21</f>
        <v>0</v>
      </c>
      <c r="H19" s="4">
        <f>'Hampshire Daily'!G22-'Hampshire Daily'!G21</f>
        <v>1994</v>
      </c>
      <c r="I19" s="4">
        <f>'Hampshire Daily'!H22-'Hampshire Daily'!H21</f>
        <v>0</v>
      </c>
      <c r="J19" s="4">
        <f>'Hampshire Daily'!I22-'Hampshire Daily'!I21</f>
        <v>2512</v>
      </c>
      <c r="K19" s="4">
        <f>'Hampshire Daily'!J22-'Hampshire Daily'!J21</f>
        <v>1191</v>
      </c>
      <c r="L19" s="4">
        <f>'Hampshire Daily'!K22-'Hampshire Daily'!K21</f>
        <v>329</v>
      </c>
      <c r="M19" s="4">
        <f>'Hampshire Daily'!N22-'Hampshire Daily'!N21</f>
        <v>2417</v>
      </c>
      <c r="N19" s="4">
        <f>'Hampshire Daily'!Q22-'Hampshire Daily'!Q21</f>
        <v>89</v>
      </c>
      <c r="O19" s="4">
        <f>'Hampshire Daily'!U22-'Hampshire Daily'!U21</f>
        <v>53</v>
      </c>
      <c r="P19" s="4">
        <f>'Hampshire Daily'!V22-'Hampshire Daily'!V21</f>
        <v>113</v>
      </c>
      <c r="Q19" s="4">
        <f>'Hampshire Daily'!Y22-'Hampshire Daily'!Y21</f>
        <v>5</v>
      </c>
      <c r="R19" s="4">
        <f>'Hampshire Daily'!B22</f>
        <v>52</v>
      </c>
      <c r="S19" s="4">
        <f>'Hampshire Daily'!C22</f>
        <v>115</v>
      </c>
    </row>
    <row r="20" spans="1:19">
      <c r="A20" s="3" t="s">
        <v>12</v>
      </c>
      <c r="B20" s="1">
        <f t="shared" si="0"/>
        <v>19</v>
      </c>
      <c r="C20" s="1">
        <v>10</v>
      </c>
      <c r="D20" s="1">
        <v>2022</v>
      </c>
      <c r="E20" s="4">
        <f>'Hampshire Daily'!D23-'Hampshire Daily'!D22</f>
        <v>2658</v>
      </c>
      <c r="F20" s="4">
        <f>'Hampshire Daily'!E23-'Hampshire Daily'!E22</f>
        <v>3549</v>
      </c>
      <c r="G20" s="4">
        <f>'Hampshire Daily'!F23-'Hampshire Daily'!F22</f>
        <v>31</v>
      </c>
      <c r="H20" s="4">
        <f>'Hampshire Daily'!G23-'Hampshire Daily'!G22</f>
        <v>1976</v>
      </c>
      <c r="I20" s="4">
        <f>'Hampshire Daily'!H23-'Hampshire Daily'!H22</f>
        <v>0</v>
      </c>
      <c r="J20" s="4">
        <f>'Hampshire Daily'!I23-'Hampshire Daily'!I22</f>
        <v>2560</v>
      </c>
      <c r="K20" s="4">
        <f>'Hampshire Daily'!J23-'Hampshire Daily'!J22</f>
        <v>1209</v>
      </c>
      <c r="L20" s="4">
        <f>'Hampshire Daily'!K23-'Hampshire Daily'!K22</f>
        <v>37</v>
      </c>
      <c r="M20" s="4">
        <f>'Hampshire Daily'!N23-'Hampshire Daily'!N22</f>
        <v>2533</v>
      </c>
      <c r="N20" s="4">
        <f>'Hampshire Daily'!Q23-'Hampshire Daily'!Q22</f>
        <v>80</v>
      </c>
      <c r="O20" s="4">
        <f>'Hampshire Daily'!U23-'Hampshire Daily'!U22</f>
        <v>56</v>
      </c>
      <c r="P20" s="4">
        <f>'Hampshire Daily'!V23-'Hampshire Daily'!V22</f>
        <v>63</v>
      </c>
      <c r="Q20" s="4">
        <f>'Hampshire Daily'!Y23-'Hampshire Daily'!Y22</f>
        <v>5</v>
      </c>
      <c r="R20" s="4">
        <f>'Hampshire Daily'!B23</f>
        <v>55</v>
      </c>
      <c r="S20" s="4">
        <f>'Hampshire Daily'!C23</f>
        <v>113</v>
      </c>
    </row>
    <row r="21" spans="1:19">
      <c r="A21" s="3" t="s">
        <v>12</v>
      </c>
      <c r="B21" s="1">
        <f t="shared" si="0"/>
        <v>20</v>
      </c>
      <c r="C21" s="1">
        <v>10</v>
      </c>
      <c r="D21" s="1">
        <v>2022</v>
      </c>
      <c r="E21" s="4">
        <f>'Hampshire Daily'!D24-'Hampshire Daily'!D23</f>
        <v>2240</v>
      </c>
      <c r="F21" s="4">
        <f>'Hampshire Daily'!E24-'Hampshire Daily'!E23</f>
        <v>3688</v>
      </c>
      <c r="G21" s="4">
        <f>'Hampshire Daily'!F24-'Hampshire Daily'!F23</f>
        <v>0</v>
      </c>
      <c r="H21" s="4">
        <f>'Hampshire Daily'!G24-'Hampshire Daily'!G23</f>
        <v>1943</v>
      </c>
      <c r="I21" s="4">
        <f>'Hampshire Daily'!H24-'Hampshire Daily'!H23</f>
        <v>0</v>
      </c>
      <c r="J21" s="4">
        <f>'Hampshire Daily'!I24-'Hampshire Daily'!I23</f>
        <v>2611</v>
      </c>
      <c r="K21" s="4">
        <f>'Hampshire Daily'!J24-'Hampshire Daily'!J23</f>
        <v>1240</v>
      </c>
      <c r="L21" s="4">
        <f>'Hampshire Daily'!K24-'Hampshire Daily'!K23</f>
        <v>0</v>
      </c>
      <c r="M21" s="4">
        <f>'Hampshire Daily'!N24-'Hampshire Daily'!N23</f>
        <v>2670</v>
      </c>
      <c r="N21" s="4">
        <f>'Hampshire Daily'!Q24-'Hampshire Daily'!Q23</f>
        <v>86</v>
      </c>
      <c r="O21" s="4">
        <f>'Hampshire Daily'!U24-'Hampshire Daily'!U23</f>
        <v>51</v>
      </c>
      <c r="P21" s="4">
        <f>'Hampshire Daily'!V24-'Hampshire Daily'!V23</f>
        <v>58</v>
      </c>
      <c r="Q21" s="4">
        <f>'Hampshire Daily'!Y24-'Hampshire Daily'!Y23</f>
        <v>4</v>
      </c>
      <c r="R21" s="4">
        <f>'Hampshire Daily'!B24</f>
        <v>96</v>
      </c>
      <c r="S21" s="4">
        <f>'Hampshire Daily'!C24</f>
        <v>177</v>
      </c>
    </row>
    <row r="22" spans="1:19">
      <c r="A22" s="3" t="s">
        <v>12</v>
      </c>
      <c r="B22" s="1">
        <f t="shared" si="0"/>
        <v>21</v>
      </c>
      <c r="C22" s="1">
        <v>10</v>
      </c>
      <c r="D22" s="1">
        <v>2022</v>
      </c>
      <c r="E22" s="4">
        <f>'Hampshire Daily'!D25-'Hampshire Daily'!D24</f>
        <v>2376</v>
      </c>
      <c r="F22" s="4">
        <f>'Hampshire Daily'!E25-'Hampshire Daily'!E24</f>
        <v>4134</v>
      </c>
      <c r="G22" s="4">
        <f>'Hampshire Daily'!F25-'Hampshire Daily'!F24</f>
        <v>114</v>
      </c>
      <c r="H22" s="4">
        <f>'Hampshire Daily'!G25-'Hampshire Daily'!G24</f>
        <v>1984</v>
      </c>
      <c r="I22" s="4">
        <f>'Hampshire Daily'!H25-'Hampshire Daily'!H24</f>
        <v>0</v>
      </c>
      <c r="J22" s="4">
        <f>'Hampshire Daily'!I25-'Hampshire Daily'!I24</f>
        <v>2556</v>
      </c>
      <c r="K22" s="4">
        <f>'Hampshire Daily'!J25-'Hampshire Daily'!J24</f>
        <v>1169</v>
      </c>
      <c r="L22" s="4">
        <f>'Hampshire Daily'!K25-'Hampshire Daily'!K24</f>
        <v>1</v>
      </c>
      <c r="M22" s="4">
        <f>'Hampshire Daily'!N25-'Hampshire Daily'!N24</f>
        <v>2648</v>
      </c>
      <c r="N22" s="4">
        <f>'Hampshire Daily'!Q25-'Hampshire Daily'!Q24</f>
        <v>91</v>
      </c>
      <c r="O22" s="4">
        <f>'Hampshire Daily'!U25-'Hampshire Daily'!U24</f>
        <v>63</v>
      </c>
      <c r="P22" s="4">
        <f>'Hampshire Daily'!V25-'Hampshire Daily'!V24</f>
        <v>70</v>
      </c>
      <c r="Q22" s="4">
        <f>'Hampshire Daily'!Y25-'Hampshire Daily'!Y24</f>
        <v>7</v>
      </c>
      <c r="R22" s="4">
        <f>'Hampshire Daily'!B25</f>
        <v>78</v>
      </c>
      <c r="S22" s="4">
        <f>'Hampshire Daily'!C25</f>
        <v>199</v>
      </c>
    </row>
    <row r="23" spans="1:19">
      <c r="A23" s="3" t="s">
        <v>12</v>
      </c>
      <c r="B23" s="1">
        <f t="shared" si="0"/>
        <v>22</v>
      </c>
      <c r="C23" s="1">
        <v>10</v>
      </c>
      <c r="D23" s="1">
        <v>2022</v>
      </c>
      <c r="E23" s="4">
        <f>'Hampshire Daily'!D26-'Hampshire Daily'!D25</f>
        <v>2311</v>
      </c>
      <c r="F23" s="4">
        <f>'Hampshire Daily'!E26-'Hampshire Daily'!E25</f>
        <v>4926</v>
      </c>
      <c r="G23" s="4">
        <f>'Hampshire Daily'!F26-'Hampshire Daily'!F25</f>
        <v>241</v>
      </c>
      <c r="H23" s="4">
        <f>'Hampshire Daily'!G26-'Hampshire Daily'!G25</f>
        <v>1886</v>
      </c>
      <c r="I23" s="4">
        <f>'Hampshire Daily'!H26-'Hampshire Daily'!H25</f>
        <v>0</v>
      </c>
      <c r="J23" s="4">
        <f>'Hampshire Daily'!I26-'Hampshire Daily'!I25</f>
        <v>2748</v>
      </c>
      <c r="K23" s="4">
        <f>'Hampshire Daily'!J26-'Hampshire Daily'!J25</f>
        <v>1337</v>
      </c>
      <c r="L23" s="4">
        <f>'Hampshire Daily'!K26-'Hampshire Daily'!K25</f>
        <v>0</v>
      </c>
      <c r="M23" s="4">
        <f>'Hampshire Daily'!N26-'Hampshire Daily'!N25</f>
        <v>2528</v>
      </c>
      <c r="N23" s="4">
        <f>'Hampshire Daily'!Q26-'Hampshire Daily'!Q25</f>
        <v>109</v>
      </c>
      <c r="O23" s="4">
        <f>'Hampshire Daily'!U26-'Hampshire Daily'!U25</f>
        <v>72</v>
      </c>
      <c r="P23" s="4">
        <f>'Hampshire Daily'!V26-'Hampshire Daily'!V25</f>
        <v>80</v>
      </c>
      <c r="Q23" s="4">
        <f>'Hampshire Daily'!Y26-'Hampshire Daily'!Y25</f>
        <v>6</v>
      </c>
      <c r="R23" s="4">
        <f>'Hampshire Daily'!B26</f>
        <v>91</v>
      </c>
      <c r="S23" s="4">
        <f>'Hampshire Daily'!C26</f>
        <v>223</v>
      </c>
    </row>
    <row r="24" spans="1:19">
      <c r="A24" s="3" t="s">
        <v>12</v>
      </c>
      <c r="B24" s="1">
        <f t="shared" si="0"/>
        <v>23</v>
      </c>
      <c r="C24" s="1">
        <v>10</v>
      </c>
      <c r="D24" s="1">
        <v>2022</v>
      </c>
      <c r="E24" s="4">
        <f>'Hampshire Daily'!D27-'Hampshire Daily'!D26</f>
        <v>2327</v>
      </c>
      <c r="F24" s="4">
        <f>'Hampshire Daily'!E27-'Hampshire Daily'!E26</f>
        <v>3775</v>
      </c>
      <c r="G24" s="4">
        <f>'Hampshire Daily'!F27-'Hampshire Daily'!F26</f>
        <v>0</v>
      </c>
      <c r="H24" s="4">
        <f>'Hampshire Daily'!G27-'Hampshire Daily'!G26</f>
        <v>1942</v>
      </c>
      <c r="I24" s="4">
        <f>'Hampshire Daily'!H27-'Hampshire Daily'!H26</f>
        <v>0</v>
      </c>
      <c r="J24" s="4">
        <f>'Hampshire Daily'!I27-'Hampshire Daily'!I26</f>
        <v>2707</v>
      </c>
      <c r="K24" s="4">
        <f>'Hampshire Daily'!J27-'Hampshire Daily'!J26</f>
        <v>1314</v>
      </c>
      <c r="L24" s="4">
        <f>'Hampshire Daily'!K27-'Hampshire Daily'!K26</f>
        <v>0</v>
      </c>
      <c r="M24" s="4">
        <f>'Hampshire Daily'!N27-'Hampshire Daily'!N26</f>
        <v>2633</v>
      </c>
      <c r="N24" s="4">
        <f>'Hampshire Daily'!Q27-'Hampshire Daily'!Q26</f>
        <v>113</v>
      </c>
      <c r="O24" s="4">
        <f>'Hampshire Daily'!U27-'Hampshire Daily'!U26</f>
        <v>76</v>
      </c>
      <c r="P24" s="4">
        <f>'Hampshire Daily'!V27-'Hampshire Daily'!V26</f>
        <v>82</v>
      </c>
      <c r="Q24" s="4">
        <f>'Hampshire Daily'!Y27-'Hampshire Daily'!Y26</f>
        <v>10</v>
      </c>
      <c r="R24" s="4">
        <f>'Hampshire Daily'!B27</f>
        <v>71</v>
      </c>
      <c r="S24" s="4">
        <f>'Hampshire Daily'!C27</f>
        <v>170</v>
      </c>
    </row>
    <row r="25" spans="1:19">
      <c r="A25" s="3" t="s">
        <v>12</v>
      </c>
      <c r="B25" s="1">
        <f t="shared" si="0"/>
        <v>24</v>
      </c>
      <c r="C25" s="1">
        <v>10</v>
      </c>
      <c r="D25" s="1">
        <v>2022</v>
      </c>
      <c r="E25" s="4">
        <f>'Hampshire Daily'!D28-'Hampshire Daily'!D27</f>
        <v>4238</v>
      </c>
      <c r="F25" s="4">
        <f>'Hampshire Daily'!E28-'Hampshire Daily'!E27</f>
        <v>5596</v>
      </c>
      <c r="G25" s="4">
        <f>'Hampshire Daily'!F28-'Hampshire Daily'!F27</f>
        <v>478</v>
      </c>
      <c r="H25" s="4">
        <f>'Hampshire Daily'!G28-'Hampshire Daily'!G27</f>
        <v>2079</v>
      </c>
      <c r="I25" s="4">
        <f>'Hampshire Daily'!H28-'Hampshire Daily'!H27</f>
        <v>0</v>
      </c>
      <c r="J25" s="4">
        <f>'Hampshire Daily'!I28-'Hampshire Daily'!I27</f>
        <v>2387</v>
      </c>
      <c r="K25" s="4">
        <f>'Hampshire Daily'!J28-'Hampshire Daily'!J27</f>
        <v>1124</v>
      </c>
      <c r="L25" s="4">
        <f>'Hampshire Daily'!K28-'Hampshire Daily'!K27</f>
        <v>402</v>
      </c>
      <c r="M25" s="4">
        <f>'Hampshire Daily'!N28-'Hampshire Daily'!N27</f>
        <v>1903</v>
      </c>
      <c r="N25" s="4">
        <f>'Hampshire Daily'!Q28-'Hampshire Daily'!Q27</f>
        <v>111</v>
      </c>
      <c r="O25" s="4">
        <f>'Hampshire Daily'!U28-'Hampshire Daily'!U27</f>
        <v>62</v>
      </c>
      <c r="P25" s="4">
        <f>'Hampshire Daily'!V28-'Hampshire Daily'!V27</f>
        <v>68</v>
      </c>
      <c r="Q25" s="4">
        <f>'Hampshire Daily'!Y28-'Hampshire Daily'!Y27</f>
        <v>9</v>
      </c>
      <c r="R25" s="4">
        <f>'Hampshire Daily'!B28</f>
        <v>49</v>
      </c>
      <c r="S25" s="4">
        <f>'Hampshire Daily'!C28</f>
        <v>123</v>
      </c>
    </row>
    <row r="26" spans="1:19">
      <c r="A26" s="3" t="s">
        <v>12</v>
      </c>
      <c r="B26" s="23">
        <f>B25+1</f>
        <v>25</v>
      </c>
      <c r="C26" s="1">
        <v>10</v>
      </c>
      <c r="D26" s="1">
        <v>2022</v>
      </c>
      <c r="E26" s="4">
        <f>'Hampshire Daily'!D29-'Hampshire Daily'!D28</f>
        <v>3707</v>
      </c>
      <c r="F26" s="4">
        <f>'Hampshire Daily'!E29-'Hampshire Daily'!E28</f>
        <v>2395</v>
      </c>
      <c r="G26" s="4">
        <f>'Hampshire Daily'!F29-'Hampshire Daily'!F28</f>
        <v>29</v>
      </c>
      <c r="H26" s="4">
        <f>'Hampshire Daily'!G29-'Hampshire Daily'!G28</f>
        <v>1902</v>
      </c>
      <c r="I26" s="4">
        <f>'Hampshire Daily'!H29-'Hampshire Daily'!H28</f>
        <v>0</v>
      </c>
      <c r="J26" s="4">
        <f>'Hampshire Daily'!I29-'Hampshire Daily'!I28</f>
        <v>2745</v>
      </c>
      <c r="K26" s="4">
        <f>'Hampshire Daily'!J29-'Hampshire Daily'!J28</f>
        <v>106</v>
      </c>
      <c r="L26" s="4">
        <f>'Hampshire Daily'!K29-'Hampshire Daily'!K28</f>
        <v>60</v>
      </c>
      <c r="M26" s="4">
        <f>'Hampshire Daily'!N29-'Hampshire Daily'!N28</f>
        <v>2429</v>
      </c>
      <c r="N26" s="4">
        <f>'Hampshire Daily'!Q29-'Hampshire Daily'!Q28</f>
        <v>93</v>
      </c>
      <c r="O26" s="4">
        <f>'Hampshire Daily'!U29-'Hampshire Daily'!U28</f>
        <v>56</v>
      </c>
      <c r="P26" s="4">
        <f>'Hampshire Daily'!V29-'Hampshire Daily'!V28</f>
        <v>65</v>
      </c>
      <c r="Q26" s="4">
        <f>'Hampshire Daily'!Y29-'Hampshire Daily'!Y28</f>
        <v>7</v>
      </c>
      <c r="R26" s="4">
        <f>'Hampshire Daily'!B29</f>
        <v>53</v>
      </c>
      <c r="S26" s="4">
        <f>'Hampshire Daily'!C29</f>
        <v>131</v>
      </c>
    </row>
    <row r="27" spans="1:19">
      <c r="A27" s="3" t="s">
        <v>12</v>
      </c>
      <c r="B27" s="1">
        <f t="shared" si="0"/>
        <v>26</v>
      </c>
      <c r="C27" s="1">
        <v>10</v>
      </c>
      <c r="D27" s="1">
        <v>2022</v>
      </c>
      <c r="E27" s="4">
        <f>'Hampshire Daily'!D30-'Hampshire Daily'!D29</f>
        <v>3807</v>
      </c>
      <c r="F27" s="4">
        <f>'Hampshire Daily'!E30-'Hampshire Daily'!E29</f>
        <v>2241</v>
      </c>
      <c r="G27" s="4">
        <f>'Hampshire Daily'!F30-'Hampshire Daily'!F29</f>
        <v>1</v>
      </c>
      <c r="H27" s="4">
        <f>'Hampshire Daily'!G30-'Hampshire Daily'!G29</f>
        <v>1897</v>
      </c>
      <c r="I27" s="4">
        <f>'Hampshire Daily'!H30-'Hampshire Daily'!H29</f>
        <v>0</v>
      </c>
      <c r="J27" s="4">
        <f>'Hampshire Daily'!I30-'Hampshire Daily'!I29</f>
        <v>2643</v>
      </c>
      <c r="K27" s="4">
        <f>'Hampshire Daily'!J30-'Hampshire Daily'!J29</f>
        <v>2425</v>
      </c>
      <c r="L27" s="4">
        <f>'Hampshire Daily'!K30-'Hampshire Daily'!K29</f>
        <v>14</v>
      </c>
      <c r="M27" s="4">
        <f>'Hampshire Daily'!N30-'Hampshire Daily'!N29</f>
        <v>2678</v>
      </c>
      <c r="N27" s="4">
        <f>'Hampshire Daily'!Q30-'Hampshire Daily'!Q29</f>
        <v>80</v>
      </c>
      <c r="O27" s="4">
        <f>'Hampshire Daily'!U30-'Hampshire Daily'!U29</f>
        <v>63</v>
      </c>
      <c r="P27" s="4">
        <f>'Hampshire Daily'!V30-'Hampshire Daily'!V29</f>
        <v>65</v>
      </c>
      <c r="Q27" s="4">
        <f>'Hampshire Daily'!Y30-'Hampshire Daily'!Y29</f>
        <v>7</v>
      </c>
      <c r="R27" s="4">
        <f>'Hampshire Daily'!B30</f>
        <v>59</v>
      </c>
      <c r="S27" s="4">
        <f>'Hampshire Daily'!C30</f>
        <v>153</v>
      </c>
    </row>
    <row r="28" spans="1:19">
      <c r="A28" s="3" t="s">
        <v>12</v>
      </c>
      <c r="B28" s="1">
        <f t="shared" si="0"/>
        <v>27</v>
      </c>
      <c r="C28" s="1">
        <v>10</v>
      </c>
      <c r="D28" s="1">
        <v>2022</v>
      </c>
      <c r="E28" s="4">
        <f>'Hampshire Daily'!D31-'Hampshire Daily'!D30</f>
        <v>3242</v>
      </c>
      <c r="F28" s="4">
        <f>'Hampshire Daily'!E31-'Hampshire Daily'!E30</f>
        <v>2028</v>
      </c>
      <c r="G28" s="4">
        <f>'Hampshire Daily'!F31-'Hampshire Daily'!F30</f>
        <v>0</v>
      </c>
      <c r="H28" s="4">
        <f>'Hampshire Daily'!G31-'Hampshire Daily'!G30</f>
        <v>1653</v>
      </c>
      <c r="I28" s="4">
        <f>'Hampshire Daily'!H31-'Hampshire Daily'!H30</f>
        <v>0</v>
      </c>
      <c r="J28" s="4">
        <f>'Hampshire Daily'!I31-'Hampshire Daily'!I30</f>
        <v>2347</v>
      </c>
      <c r="K28" s="4">
        <f>'Hampshire Daily'!J31-'Hampshire Daily'!J30</f>
        <v>1049</v>
      </c>
      <c r="L28" s="4">
        <f>'Hampshire Daily'!K31-'Hampshire Daily'!K30</f>
        <v>11</v>
      </c>
      <c r="M28" s="4">
        <f>'Hampshire Daily'!N31-'Hampshire Daily'!N30</f>
        <v>2425</v>
      </c>
      <c r="N28" s="4">
        <f>'Hampshire Daily'!Q31-'Hampshire Daily'!Q30</f>
        <v>96</v>
      </c>
      <c r="O28" s="4">
        <f>'Hampshire Daily'!U31-'Hampshire Daily'!U30</f>
        <v>60</v>
      </c>
      <c r="P28" s="4">
        <f>'Hampshire Daily'!V31-'Hampshire Daily'!V30</f>
        <v>66</v>
      </c>
      <c r="Q28" s="4">
        <f>'Hampshire Daily'!Y31-'Hampshire Daily'!Y30</f>
        <v>6</v>
      </c>
      <c r="R28" s="4">
        <f>'Hampshire Daily'!B31</f>
        <v>46</v>
      </c>
      <c r="S28" s="4">
        <f>'Hampshire Daily'!C31</f>
        <v>125</v>
      </c>
    </row>
    <row r="29" spans="1:19">
      <c r="A29" s="3" t="s">
        <v>12</v>
      </c>
      <c r="B29" s="1">
        <f t="shared" si="0"/>
        <v>28</v>
      </c>
      <c r="C29" s="1">
        <v>10</v>
      </c>
      <c r="D29" s="1">
        <v>2022</v>
      </c>
      <c r="E29" s="4">
        <f>'Hampshire Daily'!D32-'Hampshire Daily'!D31</f>
        <v>3112</v>
      </c>
      <c r="F29" s="4">
        <f>'Hampshire Daily'!E32-'Hampshire Daily'!E31</f>
        <v>2102</v>
      </c>
      <c r="G29" s="4">
        <f>'Hampshire Daily'!F32-'Hampshire Daily'!F31</f>
        <v>0</v>
      </c>
      <c r="H29" s="4">
        <f>'Hampshire Daily'!G32-'Hampshire Daily'!G31</f>
        <v>1655</v>
      </c>
      <c r="I29" s="4">
        <f>'Hampshire Daily'!H32-'Hampshire Daily'!H31</f>
        <v>0</v>
      </c>
      <c r="J29" s="4">
        <f>'Hampshire Daily'!I32-'Hampshire Daily'!I31</f>
        <v>2530</v>
      </c>
      <c r="K29" s="4">
        <f>'Hampshire Daily'!J32-'Hampshire Daily'!J31</f>
        <v>1158</v>
      </c>
      <c r="L29" s="4">
        <f>'Hampshire Daily'!K32-'Hampshire Daily'!K31</f>
        <v>0</v>
      </c>
      <c r="M29" s="4">
        <f>'Hampshire Daily'!N32-'Hampshire Daily'!N31</f>
        <v>2392</v>
      </c>
      <c r="N29" s="4">
        <f>'Hampshire Daily'!Q32-'Hampshire Daily'!Q31</f>
        <v>102</v>
      </c>
      <c r="O29" s="4">
        <f>'Hampshire Daily'!U32-'Hampshire Daily'!U31</f>
        <v>51</v>
      </c>
      <c r="P29" s="4">
        <f>'Hampshire Daily'!V32-'Hampshire Daily'!V31</f>
        <v>61</v>
      </c>
      <c r="Q29" s="4">
        <f>'Hampshire Daily'!Y32-'Hampshire Daily'!Y31</f>
        <v>7</v>
      </c>
      <c r="R29" s="4">
        <f>'Hampshire Daily'!B32</f>
        <v>48</v>
      </c>
      <c r="S29" s="4">
        <f>'Hampshire Daily'!C32</f>
        <v>131</v>
      </c>
    </row>
    <row r="30" spans="1:19">
      <c r="A30" s="3" t="s">
        <v>12</v>
      </c>
      <c r="B30" s="1">
        <f t="shared" si="0"/>
        <v>29</v>
      </c>
      <c r="C30" s="1">
        <v>10</v>
      </c>
      <c r="D30" s="1">
        <v>2022</v>
      </c>
      <c r="E30" s="4">
        <f>'Hampshire Daily'!D33-'Hampshire Daily'!D32</f>
        <v>3419</v>
      </c>
      <c r="F30" s="4">
        <f>'Hampshire Daily'!E33-'Hampshire Daily'!E32</f>
        <v>2276</v>
      </c>
      <c r="G30" s="4">
        <f>'Hampshire Daily'!F33-'Hampshire Daily'!F32</f>
        <v>0</v>
      </c>
      <c r="H30" s="4">
        <f>'Hampshire Daily'!G33-'Hampshire Daily'!G32</f>
        <v>1724</v>
      </c>
      <c r="I30" s="4">
        <f>'Hampshire Daily'!H33-'Hampshire Daily'!H32</f>
        <v>0</v>
      </c>
      <c r="J30" s="4">
        <f>'Hampshire Daily'!I33-'Hampshire Daily'!I32</f>
        <v>2643</v>
      </c>
      <c r="K30" s="4">
        <f>'Hampshire Daily'!J33-'Hampshire Daily'!J32</f>
        <v>1246</v>
      </c>
      <c r="L30" s="4">
        <f>'Hampshire Daily'!K33-'Hampshire Daily'!K32</f>
        <v>46</v>
      </c>
      <c r="M30" s="4">
        <f>'Hampshire Daily'!N33-'Hampshire Daily'!N32</f>
        <v>2545</v>
      </c>
      <c r="N30" s="4">
        <f>'Hampshire Daily'!Q33-'Hampshire Daily'!Q32</f>
        <v>-5</v>
      </c>
      <c r="O30" s="4">
        <f>'Hampshire Daily'!U33-'Hampshire Daily'!U32</f>
        <v>56</v>
      </c>
      <c r="P30" s="4">
        <f>'Hampshire Daily'!V33-'Hampshire Daily'!V32</f>
        <v>67</v>
      </c>
      <c r="Q30" s="4">
        <f>'Hampshire Daily'!Y33-'Hampshire Daily'!Y32</f>
        <v>5</v>
      </c>
      <c r="R30" s="4">
        <f>'Hampshire Daily'!B33</f>
        <v>43</v>
      </c>
      <c r="S30" s="4">
        <f>'Hampshire Daily'!C33</f>
        <v>115</v>
      </c>
    </row>
    <row r="31" spans="1:19">
      <c r="A31" s="3" t="s">
        <v>12</v>
      </c>
      <c r="B31" s="1">
        <f t="shared" si="0"/>
        <v>30</v>
      </c>
      <c r="C31" s="1">
        <v>10</v>
      </c>
      <c r="D31" s="1">
        <v>2022</v>
      </c>
      <c r="E31" s="4">
        <f>'Hampshire Daily'!D34-'Hampshire Daily'!D33</f>
        <v>3133</v>
      </c>
      <c r="F31" s="4">
        <f>'Hampshire Daily'!E34-'Hampshire Daily'!E33</f>
        <v>2075</v>
      </c>
      <c r="G31" s="4">
        <f>'Hampshire Daily'!F34-'Hampshire Daily'!F33</f>
        <v>0</v>
      </c>
      <c r="H31" s="4">
        <f>'Hampshire Daily'!G34-'Hampshire Daily'!G33</f>
        <v>1639</v>
      </c>
      <c r="I31" s="4">
        <f>'Hampshire Daily'!H34-'Hampshire Daily'!H33</f>
        <v>0</v>
      </c>
      <c r="J31" s="4">
        <f>'Hampshire Daily'!I34-'Hampshire Daily'!I33</f>
        <v>2610</v>
      </c>
      <c r="K31" s="4">
        <f>'Hampshire Daily'!J34-'Hampshire Daily'!J33</f>
        <v>1189</v>
      </c>
      <c r="L31" s="4">
        <f>'Hampshire Daily'!K34-'Hampshire Daily'!K33</f>
        <v>0</v>
      </c>
      <c r="M31" s="4">
        <f>'Hampshire Daily'!N34-'Hampshire Daily'!N33</f>
        <v>2449</v>
      </c>
      <c r="N31" s="4">
        <f>'Hampshire Daily'!Q34-'Hampshire Daily'!Q33</f>
        <v>197</v>
      </c>
      <c r="O31" s="4">
        <f>'Hampshire Daily'!U34-'Hampshire Daily'!U33</f>
        <v>41</v>
      </c>
      <c r="P31" s="4">
        <f>'Hampshire Daily'!V34-'Hampshire Daily'!V33</f>
        <v>58</v>
      </c>
      <c r="Q31" s="4">
        <f>'Hampshire Daily'!Y34-'Hampshire Daily'!Y33</f>
        <v>4</v>
      </c>
      <c r="R31" s="4">
        <f>'Hampshire Daily'!B34</f>
        <v>16</v>
      </c>
      <c r="S31" s="4">
        <f>'Hampshire Daily'!C34</f>
        <v>39</v>
      </c>
    </row>
    <row r="32" spans="1:19">
      <c r="A32" s="3" t="s">
        <v>12</v>
      </c>
      <c r="B32" s="1">
        <f t="shared" si="0"/>
        <v>31</v>
      </c>
      <c r="C32" s="1">
        <v>10</v>
      </c>
      <c r="D32" s="1">
        <v>2022</v>
      </c>
      <c r="E32" s="4">
        <f>'Hampshire Daily'!D35-'Hampshire Daily'!D34</f>
        <v>3133</v>
      </c>
      <c r="F32" s="4">
        <f>'Hampshire Daily'!E35-'Hampshire Daily'!E34</f>
        <v>2074</v>
      </c>
      <c r="G32" s="4">
        <f>'Hampshire Daily'!F35-'Hampshire Daily'!F34</f>
        <v>0</v>
      </c>
      <c r="H32" s="4">
        <f>'Hampshire Daily'!G35-'Hampshire Daily'!G34</f>
        <v>1597</v>
      </c>
      <c r="I32" s="4">
        <f>'Hampshire Daily'!H35-'Hampshire Daily'!H34</f>
        <v>0</v>
      </c>
      <c r="J32" s="4">
        <f>'Hampshire Daily'!I35-'Hampshire Daily'!I34</f>
        <v>2462</v>
      </c>
      <c r="K32" s="4">
        <f>'Hampshire Daily'!J35-'Hampshire Daily'!J34</f>
        <v>1167</v>
      </c>
      <c r="L32" s="4">
        <f>'Hampshire Daily'!K35-'Hampshire Daily'!K34</f>
        <v>60</v>
      </c>
      <c r="M32" s="4">
        <f>'Hampshire Daily'!N35-'Hampshire Daily'!N34</f>
        <v>2588</v>
      </c>
      <c r="N32" s="4">
        <f>'Hampshire Daily'!Q35-'Hampshire Daily'!Q34</f>
        <v>79</v>
      </c>
      <c r="O32" s="4">
        <f>'Hampshire Daily'!U35-'Hampshire Daily'!U34</f>
        <v>50</v>
      </c>
      <c r="P32" s="4">
        <f>'Hampshire Daily'!V35-'Hampshire Daily'!V34</f>
        <v>54</v>
      </c>
      <c r="Q32" s="4">
        <f>'Hampshire Daily'!Y35-'Hampshire Daily'!Y34</f>
        <v>6</v>
      </c>
      <c r="R32" s="4">
        <f>'Hampshire Daily'!B35</f>
        <v>21</v>
      </c>
      <c r="S32" s="4">
        <f>'Hampshire Daily'!C35</f>
        <v>37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D237"/>
  <sheetViews>
    <sheetView tabSelected="1" zoomScaleNormal="100" workbookViewId="0">
      <pane xSplit="1" ySplit="3" topLeftCell="B32" activePane="bottomRight" state="frozen"/>
      <selection pane="bottomRight" activeCell="L36" sqref="L36"/>
      <selection pane="bottomLeft"/>
      <selection pane="topRight"/>
    </sheetView>
  </sheetViews>
  <sheetFormatPr defaultRowHeight="15"/>
  <cols>
    <col min="1" max="1" width="8.7109375" style="16" customWidth="1"/>
    <col min="2" max="3" width="8.7109375" style="20" customWidth="1"/>
    <col min="4" max="4" width="10" customWidth="1"/>
    <col min="5" max="5" width="9.7109375" customWidth="1"/>
    <col min="6" max="6" width="9.42578125" customWidth="1"/>
    <col min="7" max="7" width="10.28515625" customWidth="1"/>
    <col min="8" max="9" width="10.140625" customWidth="1"/>
    <col min="11" max="11" width="10.5703125" customWidth="1"/>
    <col min="12" max="12" width="11.42578125" style="1" customWidth="1"/>
    <col min="13" max="13" width="10.5703125" style="1" customWidth="1"/>
    <col min="15" max="15" width="11.42578125" style="42" customWidth="1"/>
    <col min="16" max="16" width="10.7109375" style="46" customWidth="1"/>
    <col min="18" max="18" width="9.28515625" bestFit="1" customWidth="1"/>
    <col min="19" max="19" width="9.140625" style="42"/>
    <col min="20" max="20" width="10.42578125" style="42" bestFit="1" customWidth="1"/>
    <col min="23" max="23" width="10.42578125" customWidth="1"/>
    <col min="26" max="26" width="9.28515625" customWidth="1"/>
    <col min="27" max="27" width="11.7109375" style="47" customWidth="1"/>
    <col min="30" max="30" width="10.7109375" customWidth="1"/>
  </cols>
  <sheetData>
    <row r="1" spans="1:30" ht="15" customHeight="1">
      <c r="A1" s="52"/>
      <c r="B1" s="19"/>
      <c r="C1" s="19"/>
      <c r="D1" s="62" t="s">
        <v>27</v>
      </c>
      <c r="E1" s="63"/>
      <c r="F1" s="63"/>
      <c r="G1" s="63"/>
      <c r="H1" s="63"/>
      <c r="I1" s="63"/>
      <c r="J1" s="63"/>
      <c r="K1" s="63"/>
      <c r="L1" s="63"/>
      <c r="M1" s="64"/>
      <c r="N1" s="70" t="s">
        <v>28</v>
      </c>
      <c r="O1" s="77" t="s">
        <v>29</v>
      </c>
      <c r="P1" s="79" t="s">
        <v>30</v>
      </c>
      <c r="Q1" s="72" t="s">
        <v>31</v>
      </c>
      <c r="R1" s="81" t="s">
        <v>32</v>
      </c>
      <c r="S1" s="81" t="s">
        <v>33</v>
      </c>
      <c r="T1" s="81" t="s">
        <v>34</v>
      </c>
      <c r="U1" s="72" t="s">
        <v>35</v>
      </c>
      <c r="V1" s="74"/>
      <c r="W1" s="72" t="s">
        <v>36</v>
      </c>
      <c r="X1" s="75" t="s">
        <v>37</v>
      </c>
      <c r="Y1" s="66" t="s">
        <v>38</v>
      </c>
      <c r="Z1" s="65" t="s">
        <v>39</v>
      </c>
    </row>
    <row r="2" spans="1:30" ht="15" customHeight="1">
      <c r="A2" s="53"/>
      <c r="B2" s="57" t="s">
        <v>40</v>
      </c>
      <c r="C2" s="57" t="s">
        <v>41</v>
      </c>
      <c r="D2" s="59" t="s">
        <v>42</v>
      </c>
      <c r="E2" s="55" t="s">
        <v>43</v>
      </c>
      <c r="F2" s="55" t="s">
        <v>44</v>
      </c>
      <c r="G2" s="55" t="s">
        <v>45</v>
      </c>
      <c r="H2" s="55" t="s">
        <v>46</v>
      </c>
      <c r="I2" s="55" t="s">
        <v>47</v>
      </c>
      <c r="J2" s="55" t="s">
        <v>48</v>
      </c>
      <c r="K2" s="55" t="s">
        <v>49</v>
      </c>
      <c r="L2" s="69" t="s">
        <v>50</v>
      </c>
      <c r="M2" s="69" t="s">
        <v>51</v>
      </c>
      <c r="N2" s="71"/>
      <c r="O2" s="78"/>
      <c r="P2" s="80"/>
      <c r="Q2" s="72"/>
      <c r="R2" s="81"/>
      <c r="S2" s="81"/>
      <c r="T2" s="81"/>
      <c r="U2" s="72"/>
      <c r="V2" s="74"/>
      <c r="W2" s="72"/>
      <c r="X2" s="75"/>
      <c r="Y2" s="67"/>
      <c r="Z2" s="65"/>
    </row>
    <row r="3" spans="1:30" ht="27" customHeight="1">
      <c r="A3" s="54"/>
      <c r="B3" s="58"/>
      <c r="C3" s="58"/>
      <c r="D3" s="60"/>
      <c r="E3" s="61"/>
      <c r="F3" s="55"/>
      <c r="G3" s="55"/>
      <c r="H3" s="55"/>
      <c r="I3" s="55"/>
      <c r="J3" s="55"/>
      <c r="K3" s="56"/>
      <c r="L3" s="69"/>
      <c r="M3" s="69"/>
      <c r="N3" s="71"/>
      <c r="O3" s="78"/>
      <c r="P3" s="80"/>
      <c r="Q3" s="73"/>
      <c r="R3" s="82"/>
      <c r="S3" s="82"/>
      <c r="T3" s="82"/>
      <c r="U3" s="74"/>
      <c r="V3" s="74"/>
      <c r="W3" s="73"/>
      <c r="X3" s="76"/>
      <c r="Y3" s="68"/>
      <c r="Z3" s="65"/>
      <c r="AC3" t="s">
        <v>52</v>
      </c>
      <c r="AD3" s="48" t="s">
        <v>53</v>
      </c>
    </row>
    <row r="4" spans="1:30" s="17" customFormat="1" ht="19.899999999999999" customHeight="1">
      <c r="A4" s="18">
        <v>44834</v>
      </c>
      <c r="B4" s="35">
        <v>51</v>
      </c>
      <c r="C4" s="36">
        <v>99</v>
      </c>
      <c r="D4" s="34">
        <v>2119011</v>
      </c>
      <c r="E4" s="34">
        <v>2107570</v>
      </c>
      <c r="F4" s="34">
        <v>344937</v>
      </c>
      <c r="G4" s="34">
        <v>8034594</v>
      </c>
      <c r="H4" s="34">
        <v>34816</v>
      </c>
      <c r="I4" s="34">
        <v>6265558</v>
      </c>
      <c r="J4" s="34">
        <v>238345</v>
      </c>
      <c r="K4" s="34">
        <v>2691890</v>
      </c>
      <c r="L4" s="34">
        <v>2785</v>
      </c>
      <c r="M4" s="34">
        <v>2923</v>
      </c>
      <c r="N4" s="34">
        <v>2075705</v>
      </c>
      <c r="O4" s="39">
        <v>50520</v>
      </c>
      <c r="P4" s="43">
        <v>354865</v>
      </c>
      <c r="Q4" s="34">
        <v>410888</v>
      </c>
      <c r="R4" s="34">
        <v>1101.5170000000001</v>
      </c>
      <c r="S4" s="50">
        <v>490.45400000000001</v>
      </c>
      <c r="T4" s="39">
        <v>3895.5360000000001</v>
      </c>
      <c r="U4" s="34">
        <v>364318</v>
      </c>
      <c r="V4" s="34">
        <v>68480</v>
      </c>
      <c r="W4" s="34">
        <v>55333</v>
      </c>
      <c r="X4" s="34">
        <v>31684</v>
      </c>
      <c r="Y4" s="34">
        <v>4492</v>
      </c>
      <c r="AA4" s="47" t="s">
        <v>54</v>
      </c>
    </row>
    <row r="5" spans="1:30">
      <c r="A5" s="18">
        <f>A4+1</f>
        <v>44835</v>
      </c>
      <c r="B5" s="22">
        <v>108</v>
      </c>
      <c r="C5" s="22">
        <v>225</v>
      </c>
      <c r="D5" s="33">
        <v>2123189</v>
      </c>
      <c r="E5" s="33">
        <v>2111888</v>
      </c>
      <c r="F5" s="33">
        <v>345579</v>
      </c>
      <c r="G5" s="33">
        <v>8036422.5</v>
      </c>
      <c r="H5" s="33">
        <v>34816</v>
      </c>
      <c r="I5" s="33">
        <v>6268116.5</v>
      </c>
      <c r="J5" s="33">
        <v>239424</v>
      </c>
      <c r="K5" s="33">
        <v>2691891</v>
      </c>
      <c r="L5" s="29">
        <v>0</v>
      </c>
      <c r="M5" s="29">
        <v>2924</v>
      </c>
      <c r="N5" s="21">
        <v>2077782</v>
      </c>
      <c r="O5" s="40"/>
      <c r="P5" s="44"/>
      <c r="Q5" s="33">
        <v>411009.5</v>
      </c>
      <c r="R5" s="49">
        <v>1101.8630000000001</v>
      </c>
      <c r="S5" s="49">
        <v>490.45400000000001</v>
      </c>
      <c r="T5" s="39">
        <v>3895.5360000000001</v>
      </c>
      <c r="U5" s="33">
        <v>364405</v>
      </c>
      <c r="V5" s="33">
        <v>68571.5</v>
      </c>
      <c r="W5" s="33">
        <v>55342</v>
      </c>
      <c r="X5" s="33">
        <v>31684</v>
      </c>
      <c r="Y5" s="33">
        <v>4498.5</v>
      </c>
      <c r="Z5">
        <f>SUM(X5-X4)</f>
        <v>0</v>
      </c>
      <c r="AA5" s="47" t="s">
        <v>55</v>
      </c>
      <c r="AC5">
        <f>N5-N4</f>
        <v>2077</v>
      </c>
      <c r="AD5" s="42"/>
    </row>
    <row r="6" spans="1:30">
      <c r="A6" s="18">
        <f t="shared" ref="A6:A33" si="0">A5+1</f>
        <v>44836</v>
      </c>
      <c r="B6" s="22">
        <v>45</v>
      </c>
      <c r="C6" s="22">
        <v>86</v>
      </c>
      <c r="D6" s="21">
        <v>2127367</v>
      </c>
      <c r="E6" s="21">
        <v>2116206</v>
      </c>
      <c r="F6" s="21">
        <v>346221</v>
      </c>
      <c r="G6" s="21">
        <v>8038251</v>
      </c>
      <c r="H6" s="33">
        <v>34816</v>
      </c>
      <c r="I6" s="33">
        <v>6270675</v>
      </c>
      <c r="J6" s="21">
        <v>240503</v>
      </c>
      <c r="K6" s="21">
        <v>2691892</v>
      </c>
      <c r="L6" s="29">
        <v>2102</v>
      </c>
      <c r="M6" s="29">
        <v>2923</v>
      </c>
      <c r="N6" s="21">
        <v>2079859</v>
      </c>
      <c r="O6" s="40"/>
      <c r="P6" s="44"/>
      <c r="Q6" s="21">
        <v>411131</v>
      </c>
      <c r="R6" s="21">
        <v>1102.2090000000001</v>
      </c>
      <c r="S6" s="49">
        <v>490.45400000000001</v>
      </c>
      <c r="T6" s="49">
        <v>3895.5360000000001</v>
      </c>
      <c r="U6" s="21">
        <v>364492</v>
      </c>
      <c r="V6" s="21">
        <v>68663</v>
      </c>
      <c r="W6" s="21">
        <v>55351</v>
      </c>
      <c r="X6" s="21">
        <v>31684</v>
      </c>
      <c r="Y6" s="21">
        <v>4505</v>
      </c>
      <c r="Z6">
        <f t="shared" ref="Z6:Z35" si="1">SUM(X6-X5)</f>
        <v>0</v>
      </c>
      <c r="AA6" s="47" t="s">
        <v>56</v>
      </c>
      <c r="AB6" s="27"/>
      <c r="AC6">
        <f t="shared" ref="AC6:AC35" si="2">N6-N5</f>
        <v>2077</v>
      </c>
      <c r="AD6" s="42">
        <f t="shared" ref="AD6:AD35" si="3">R6-R5</f>
        <v>0.34600000000000364</v>
      </c>
    </row>
    <row r="7" spans="1:30">
      <c r="A7" s="18">
        <f t="shared" si="0"/>
        <v>44837</v>
      </c>
      <c r="B7" s="22">
        <v>37</v>
      </c>
      <c r="C7" s="22">
        <v>57</v>
      </c>
      <c r="D7" s="21">
        <v>2131367</v>
      </c>
      <c r="E7" s="21">
        <v>2118353</v>
      </c>
      <c r="F7" s="21">
        <v>346302</v>
      </c>
      <c r="G7" s="21">
        <v>8040024</v>
      </c>
      <c r="H7" s="33">
        <v>34816</v>
      </c>
      <c r="I7" s="33">
        <v>6273060</v>
      </c>
      <c r="J7" s="21">
        <v>241518</v>
      </c>
      <c r="K7" s="21">
        <v>2691892</v>
      </c>
      <c r="L7" s="29">
        <v>3582</v>
      </c>
      <c r="M7" s="29">
        <v>2924</v>
      </c>
      <c r="N7" s="21">
        <v>2082285</v>
      </c>
      <c r="O7" s="40"/>
      <c r="P7" s="44"/>
      <c r="Q7" s="21">
        <v>411247</v>
      </c>
      <c r="R7" s="21">
        <v>1103.1310000000001</v>
      </c>
      <c r="S7" s="49">
        <v>490.45400000000001</v>
      </c>
      <c r="T7" s="49">
        <v>3896.018</v>
      </c>
      <c r="U7" s="21">
        <v>364581</v>
      </c>
      <c r="V7" s="21">
        <v>68752</v>
      </c>
      <c r="W7" s="21">
        <v>55359</v>
      </c>
      <c r="X7" s="21">
        <v>31685</v>
      </c>
      <c r="Y7" s="21">
        <v>4510</v>
      </c>
      <c r="Z7">
        <f t="shared" si="1"/>
        <v>1</v>
      </c>
      <c r="AA7" s="47" t="s">
        <v>57</v>
      </c>
      <c r="AC7">
        <f t="shared" si="2"/>
        <v>2426</v>
      </c>
      <c r="AD7" s="42">
        <f t="shared" si="3"/>
        <v>0.92200000000002547</v>
      </c>
    </row>
    <row r="8" spans="1:30">
      <c r="A8" s="18">
        <f t="shared" si="0"/>
        <v>44838</v>
      </c>
      <c r="B8" s="22">
        <v>53</v>
      </c>
      <c r="C8" s="22">
        <v>69</v>
      </c>
      <c r="D8" s="21">
        <v>2136087</v>
      </c>
      <c r="E8" s="21">
        <v>2120439</v>
      </c>
      <c r="F8" s="21">
        <v>346302</v>
      </c>
      <c r="G8" s="21">
        <v>8041963</v>
      </c>
      <c r="H8" s="33">
        <v>34816</v>
      </c>
      <c r="I8" s="33">
        <v>6275354</v>
      </c>
      <c r="J8" s="21">
        <v>242480</v>
      </c>
      <c r="K8" s="21">
        <v>2691907</v>
      </c>
      <c r="L8" s="29">
        <v>3540</v>
      </c>
      <c r="M8" s="29">
        <v>2689</v>
      </c>
      <c r="N8" s="21">
        <v>2084747</v>
      </c>
      <c r="O8" s="40"/>
      <c r="P8" s="44"/>
      <c r="Q8" s="21">
        <f>SUM(Q7+Q9)/2</f>
        <v>411336</v>
      </c>
      <c r="R8" s="21">
        <v>1104.07</v>
      </c>
      <c r="S8" s="49">
        <v>490.45400000000001</v>
      </c>
      <c r="T8" s="49">
        <v>3896.1190000000001</v>
      </c>
      <c r="U8" s="21">
        <v>364655</v>
      </c>
      <c r="V8" s="21">
        <v>68828</v>
      </c>
      <c r="W8" s="21">
        <v>55366</v>
      </c>
      <c r="X8" s="21">
        <v>31686</v>
      </c>
      <c r="Y8" s="21">
        <v>4514</v>
      </c>
      <c r="Z8">
        <f t="shared" si="1"/>
        <v>1</v>
      </c>
      <c r="AA8" s="47" t="s">
        <v>58</v>
      </c>
      <c r="AC8">
        <f t="shared" si="2"/>
        <v>2462</v>
      </c>
      <c r="AD8" s="42">
        <f t="shared" si="3"/>
        <v>0.93899999999985084</v>
      </c>
    </row>
    <row r="9" spans="1:30">
      <c r="A9" s="18">
        <f t="shared" si="0"/>
        <v>44839</v>
      </c>
      <c r="B9" s="22">
        <v>33</v>
      </c>
      <c r="C9" s="22">
        <v>43</v>
      </c>
      <c r="D9" s="21">
        <f>SUM(D8+D10)/2</f>
        <v>2139326</v>
      </c>
      <c r="E9" s="21">
        <f t="shared" ref="E9:G9" si="4">SUM(E8+E10)/2</f>
        <v>2123229</v>
      </c>
      <c r="F9" s="33">
        <f t="shared" si="4"/>
        <v>346323.5</v>
      </c>
      <c r="G9" s="21">
        <f t="shared" si="4"/>
        <v>8043802</v>
      </c>
      <c r="H9" s="21">
        <f>SUM(H8+H10)/2</f>
        <v>34816</v>
      </c>
      <c r="I9" s="21">
        <f t="shared" ref="I9" si="5">SUM(I8+I10)/2</f>
        <v>6277739</v>
      </c>
      <c r="J9" s="33">
        <f t="shared" ref="J9" si="6">SUM(J8+J10)/2</f>
        <v>243453.5</v>
      </c>
      <c r="K9" s="33">
        <f t="shared" ref="K9" si="7">SUM(K8+K10)/2</f>
        <v>2692050.5</v>
      </c>
      <c r="L9" s="29">
        <v>3272</v>
      </c>
      <c r="M9" s="29">
        <v>2700</v>
      </c>
      <c r="N9" s="21">
        <v>2086978</v>
      </c>
      <c r="O9" s="40"/>
      <c r="P9" s="44"/>
      <c r="Q9" s="21">
        <v>411425</v>
      </c>
      <c r="R9" s="21">
        <v>1104.925</v>
      </c>
      <c r="S9" s="49">
        <v>490.45400000000001</v>
      </c>
      <c r="T9" s="49">
        <v>3896.1210000000001</v>
      </c>
      <c r="U9" s="21">
        <v>364724</v>
      </c>
      <c r="V9" s="21">
        <v>68898</v>
      </c>
      <c r="W9" s="21">
        <v>55374</v>
      </c>
      <c r="X9" s="21">
        <v>31687</v>
      </c>
      <c r="Y9" s="21">
        <v>4521</v>
      </c>
      <c r="Z9">
        <f t="shared" si="1"/>
        <v>1</v>
      </c>
      <c r="AA9" s="47" t="s">
        <v>59</v>
      </c>
      <c r="AC9">
        <f t="shared" si="2"/>
        <v>2231</v>
      </c>
      <c r="AD9" s="42">
        <f t="shared" si="3"/>
        <v>0.85500000000001819</v>
      </c>
    </row>
    <row r="10" spans="1:30">
      <c r="A10" s="18">
        <f t="shared" si="0"/>
        <v>44840</v>
      </c>
      <c r="B10" s="22">
        <v>93</v>
      </c>
      <c r="C10" s="22">
        <v>106</v>
      </c>
      <c r="D10" s="21">
        <v>2142565</v>
      </c>
      <c r="E10" s="21">
        <v>2126019</v>
      </c>
      <c r="F10" s="21">
        <v>346345</v>
      </c>
      <c r="G10" s="21">
        <v>8045641</v>
      </c>
      <c r="H10" s="33">
        <v>34816</v>
      </c>
      <c r="I10" s="33">
        <v>6280124</v>
      </c>
      <c r="J10" s="21">
        <v>244427</v>
      </c>
      <c r="K10" s="21">
        <v>2692194</v>
      </c>
      <c r="L10" s="29">
        <v>1627</v>
      </c>
      <c r="M10" s="29">
        <v>1528</v>
      </c>
      <c r="N10" s="21">
        <v>2088763</v>
      </c>
      <c r="O10" s="40"/>
      <c r="P10" s="44"/>
      <c r="Q10" s="21">
        <v>411524</v>
      </c>
      <c r="R10" s="21">
        <v>1105.5309999999999</v>
      </c>
      <c r="S10" s="49">
        <v>490.45400000000001</v>
      </c>
      <c r="T10" s="49">
        <v>3896.1239999999998</v>
      </c>
      <c r="U10" s="21">
        <v>364769</v>
      </c>
      <c r="V10" s="21">
        <v>68967</v>
      </c>
      <c r="W10" s="21">
        <v>55380</v>
      </c>
      <c r="X10" s="21">
        <v>31694</v>
      </c>
      <c r="Y10" s="21">
        <v>4524</v>
      </c>
      <c r="Z10">
        <f t="shared" si="1"/>
        <v>7</v>
      </c>
      <c r="AA10" s="47" t="s">
        <v>60</v>
      </c>
      <c r="AC10">
        <f t="shared" si="2"/>
        <v>1785</v>
      </c>
      <c r="AD10" s="42">
        <f t="shared" si="3"/>
        <v>0.60599999999999454</v>
      </c>
    </row>
    <row r="11" spans="1:30">
      <c r="A11" s="18">
        <f t="shared" si="0"/>
        <v>44841</v>
      </c>
      <c r="B11" s="22">
        <v>54</v>
      </c>
      <c r="C11" s="22">
        <v>115</v>
      </c>
      <c r="D11" s="21">
        <v>2144904</v>
      </c>
      <c r="E11" s="21">
        <v>2130324</v>
      </c>
      <c r="F11" s="21">
        <v>346514</v>
      </c>
      <c r="G11" s="21">
        <v>8047466</v>
      </c>
      <c r="H11" s="33">
        <v>34816</v>
      </c>
      <c r="I11" s="33">
        <v>6282580</v>
      </c>
      <c r="J11" s="21">
        <v>245557</v>
      </c>
      <c r="K11" s="21">
        <v>2692210</v>
      </c>
      <c r="L11" s="29">
        <v>3573</v>
      </c>
      <c r="M11" s="29">
        <v>2059</v>
      </c>
      <c r="N11" s="21">
        <v>2091302</v>
      </c>
      <c r="O11" s="40"/>
      <c r="P11" s="44"/>
      <c r="Q11" s="21">
        <v>411619</v>
      </c>
      <c r="R11" s="21">
        <v>1106.403</v>
      </c>
      <c r="S11" s="49">
        <v>490.45400000000001</v>
      </c>
      <c r="T11" s="49">
        <v>3896.1260000000002</v>
      </c>
      <c r="U11" s="21">
        <v>364840</v>
      </c>
      <c r="V11" s="21">
        <v>69039</v>
      </c>
      <c r="W11" s="21">
        <v>55387</v>
      </c>
      <c r="X11" s="21">
        <v>31694</v>
      </c>
      <c r="Y11" s="21">
        <v>4528</v>
      </c>
      <c r="Z11">
        <f t="shared" si="1"/>
        <v>0</v>
      </c>
      <c r="AA11" s="47" t="s">
        <v>54</v>
      </c>
      <c r="AC11">
        <f t="shared" si="2"/>
        <v>2539</v>
      </c>
      <c r="AD11" s="42">
        <f t="shared" si="3"/>
        <v>0.87200000000007094</v>
      </c>
    </row>
    <row r="12" spans="1:30">
      <c r="A12" s="18">
        <f t="shared" si="0"/>
        <v>44842</v>
      </c>
      <c r="B12" s="22">
        <v>88</v>
      </c>
      <c r="C12" s="22">
        <v>198</v>
      </c>
      <c r="D12" s="21">
        <v>2148901</v>
      </c>
      <c r="E12" s="21">
        <v>2133780</v>
      </c>
      <c r="F12" s="21">
        <v>346514</v>
      </c>
      <c r="G12" s="21">
        <v>8049385</v>
      </c>
      <c r="H12" s="33">
        <v>34816</v>
      </c>
      <c r="I12" s="33">
        <v>6285194</v>
      </c>
      <c r="J12" s="21">
        <v>246696</v>
      </c>
      <c r="K12" s="21">
        <v>2692593</v>
      </c>
      <c r="L12" s="29">
        <v>3583</v>
      </c>
      <c r="M12" s="29">
        <v>0</v>
      </c>
      <c r="N12" s="21">
        <v>2093580</v>
      </c>
      <c r="O12" s="40"/>
      <c r="P12" s="44"/>
      <c r="Q12" s="21">
        <v>411710</v>
      </c>
      <c r="R12" s="21">
        <v>1107.3610000000001</v>
      </c>
      <c r="S12" s="49">
        <v>490.45400000000001</v>
      </c>
      <c r="T12" s="49">
        <v>3896.127</v>
      </c>
      <c r="U12" s="21">
        <v>364902</v>
      </c>
      <c r="V12" s="21">
        <v>69106</v>
      </c>
      <c r="W12" s="21">
        <v>55395</v>
      </c>
      <c r="X12" s="21">
        <v>31695</v>
      </c>
      <c r="Y12" s="21">
        <v>4532</v>
      </c>
      <c r="Z12">
        <f t="shared" si="1"/>
        <v>1</v>
      </c>
      <c r="AA12" s="47" t="s">
        <v>55</v>
      </c>
      <c r="AC12">
        <f t="shared" si="2"/>
        <v>2278</v>
      </c>
      <c r="AD12" s="42">
        <f t="shared" si="3"/>
        <v>0.95800000000008367</v>
      </c>
    </row>
    <row r="13" spans="1:30">
      <c r="A13" s="18">
        <f t="shared" si="0"/>
        <v>44843</v>
      </c>
      <c r="B13" s="38">
        <v>63</v>
      </c>
      <c r="C13" s="38">
        <v>106</v>
      </c>
      <c r="D13" s="21">
        <v>2153712</v>
      </c>
      <c r="E13" s="21">
        <v>2137160</v>
      </c>
      <c r="F13" s="21">
        <v>346514</v>
      </c>
      <c r="G13" s="21">
        <v>8051208</v>
      </c>
      <c r="H13" s="33">
        <v>34816</v>
      </c>
      <c r="I13" s="33">
        <v>6287831</v>
      </c>
      <c r="J13" s="21">
        <v>247896</v>
      </c>
      <c r="K13" s="21">
        <v>2693274</v>
      </c>
      <c r="L13" s="29">
        <v>3570</v>
      </c>
      <c r="M13" s="29">
        <v>1502</v>
      </c>
      <c r="N13" s="21">
        <v>2095818</v>
      </c>
      <c r="O13" s="40"/>
      <c r="P13" s="44"/>
      <c r="Q13" s="21">
        <v>411802</v>
      </c>
      <c r="R13" s="21">
        <v>1108.2919999999999</v>
      </c>
      <c r="S13" s="49">
        <v>490.45400000000001</v>
      </c>
      <c r="T13" s="49">
        <v>3896.1280000000002</v>
      </c>
      <c r="U13" s="21">
        <v>364962</v>
      </c>
      <c r="V13" s="21">
        <v>69175</v>
      </c>
      <c r="W13" s="21">
        <v>55401</v>
      </c>
      <c r="X13" s="21">
        <v>31696</v>
      </c>
      <c r="Y13" s="21">
        <v>4538</v>
      </c>
      <c r="Z13">
        <f t="shared" si="1"/>
        <v>1</v>
      </c>
      <c r="AA13" s="47" t="s">
        <v>56</v>
      </c>
      <c r="AC13">
        <f t="shared" si="2"/>
        <v>2238</v>
      </c>
      <c r="AD13" s="42">
        <f t="shared" si="3"/>
        <v>0.93099999999981264</v>
      </c>
    </row>
    <row r="14" spans="1:30">
      <c r="A14" s="18">
        <f t="shared" si="0"/>
        <v>44844</v>
      </c>
      <c r="B14" s="22">
        <v>131</v>
      </c>
      <c r="C14" s="22">
        <v>156</v>
      </c>
      <c r="D14" s="21">
        <v>2156383</v>
      </c>
      <c r="E14" s="21">
        <v>2140451</v>
      </c>
      <c r="F14" s="21">
        <v>346514</v>
      </c>
      <c r="G14" s="21">
        <v>8052355</v>
      </c>
      <c r="H14" s="33">
        <v>34816</v>
      </c>
      <c r="I14" s="33">
        <v>6290602</v>
      </c>
      <c r="J14" s="21">
        <v>249089</v>
      </c>
      <c r="K14" s="21">
        <v>2693408</v>
      </c>
      <c r="L14" s="29">
        <v>3581</v>
      </c>
      <c r="M14" s="29">
        <v>2629</v>
      </c>
      <c r="N14" s="21">
        <v>2098420</v>
      </c>
      <c r="O14" s="40"/>
      <c r="P14" s="44"/>
      <c r="Q14" s="21">
        <v>411890</v>
      </c>
      <c r="R14" s="21">
        <v>1109.3399999999999</v>
      </c>
      <c r="S14" s="49">
        <v>490.45400000000001</v>
      </c>
      <c r="T14" s="49">
        <v>3896.1289999999999</v>
      </c>
      <c r="U14" s="21">
        <v>365033</v>
      </c>
      <c r="V14" s="21">
        <v>69244</v>
      </c>
      <c r="W14" s="21">
        <v>55409</v>
      </c>
      <c r="X14" s="21">
        <v>31722</v>
      </c>
      <c r="Y14" s="21">
        <v>4545</v>
      </c>
      <c r="Z14">
        <f t="shared" si="1"/>
        <v>26</v>
      </c>
      <c r="AA14" s="47" t="s">
        <v>57</v>
      </c>
      <c r="AC14">
        <f t="shared" si="2"/>
        <v>2602</v>
      </c>
      <c r="AD14" s="42">
        <f t="shared" si="3"/>
        <v>1.0480000000000018</v>
      </c>
    </row>
    <row r="15" spans="1:30">
      <c r="A15" s="18">
        <f t="shared" si="0"/>
        <v>44845</v>
      </c>
      <c r="B15" s="22">
        <v>40</v>
      </c>
      <c r="C15" s="22">
        <v>64</v>
      </c>
      <c r="D15" s="21">
        <v>2159343</v>
      </c>
      <c r="E15" s="21">
        <v>2144047</v>
      </c>
      <c r="F15" s="21">
        <v>346514</v>
      </c>
      <c r="G15" s="21">
        <v>8055527</v>
      </c>
      <c r="H15" s="33">
        <v>34902</v>
      </c>
      <c r="I15" s="33">
        <v>6293058</v>
      </c>
      <c r="J15" s="21">
        <v>250229</v>
      </c>
      <c r="K15" s="21">
        <v>2693490</v>
      </c>
      <c r="L15" s="29">
        <v>3572</v>
      </c>
      <c r="M15" s="29">
        <v>2389</v>
      </c>
      <c r="N15" s="21">
        <v>2101156</v>
      </c>
      <c r="O15" s="40"/>
      <c r="P15" s="44"/>
      <c r="Q15" s="21">
        <v>412019</v>
      </c>
      <c r="R15" s="21">
        <v>1110.114</v>
      </c>
      <c r="S15" s="49">
        <v>490.45400000000001</v>
      </c>
      <c r="T15" s="49">
        <v>3896.1289999999999</v>
      </c>
      <c r="U15" s="21">
        <v>365097</v>
      </c>
      <c r="V15" s="21">
        <v>69313</v>
      </c>
      <c r="W15" s="21">
        <v>55416</v>
      </c>
      <c r="X15" s="21">
        <v>31722</v>
      </c>
      <c r="Y15" s="21">
        <v>4549</v>
      </c>
      <c r="Z15">
        <f t="shared" si="1"/>
        <v>0</v>
      </c>
      <c r="AA15" s="47" t="s">
        <v>58</v>
      </c>
      <c r="AC15">
        <f t="shared" si="2"/>
        <v>2736</v>
      </c>
      <c r="AD15" s="42">
        <f t="shared" si="3"/>
        <v>0.7740000000001146</v>
      </c>
    </row>
    <row r="16" spans="1:30">
      <c r="A16" s="18">
        <f t="shared" si="0"/>
        <v>44846</v>
      </c>
      <c r="B16" s="22">
        <v>66</v>
      </c>
      <c r="C16" s="22">
        <v>91</v>
      </c>
      <c r="D16" s="21">
        <v>2161922</v>
      </c>
      <c r="E16" s="21">
        <v>2147275</v>
      </c>
      <c r="F16" s="21">
        <v>346516</v>
      </c>
      <c r="G16" s="21">
        <v>8057779</v>
      </c>
      <c r="H16" s="33">
        <v>34950</v>
      </c>
      <c r="I16" s="33">
        <v>6295571</v>
      </c>
      <c r="J16" s="21">
        <v>251299</v>
      </c>
      <c r="K16" s="21">
        <v>2693537</v>
      </c>
      <c r="L16" s="29">
        <v>3576</v>
      </c>
      <c r="M16" s="29">
        <v>2924</v>
      </c>
      <c r="N16" s="21">
        <v>2103820</v>
      </c>
      <c r="O16" s="40"/>
      <c r="P16" s="44"/>
      <c r="Q16" s="21">
        <v>412105</v>
      </c>
      <c r="R16" s="21">
        <v>1110.9870000000001</v>
      </c>
      <c r="S16" s="49">
        <v>490.45400000000001</v>
      </c>
      <c r="T16" s="49">
        <v>3896.1289999999999</v>
      </c>
      <c r="U16" s="21">
        <v>365153</v>
      </c>
      <c r="V16" s="21">
        <v>69374</v>
      </c>
      <c r="W16" s="21">
        <v>55423</v>
      </c>
      <c r="X16" s="21">
        <v>31723</v>
      </c>
      <c r="Y16" s="21">
        <v>4552</v>
      </c>
      <c r="Z16">
        <f t="shared" si="1"/>
        <v>1</v>
      </c>
      <c r="AA16" s="47" t="s">
        <v>59</v>
      </c>
      <c r="AC16">
        <f t="shared" si="2"/>
        <v>2664</v>
      </c>
      <c r="AD16" s="42">
        <f t="shared" si="3"/>
        <v>0.87300000000004729</v>
      </c>
    </row>
    <row r="17" spans="1:30">
      <c r="A17" s="18">
        <f t="shared" si="0"/>
        <v>44847</v>
      </c>
      <c r="B17" s="22">
        <v>115</v>
      </c>
      <c r="C17" s="22">
        <v>151</v>
      </c>
      <c r="D17" s="21">
        <v>2164280</v>
      </c>
      <c r="E17" s="21">
        <v>2150629</v>
      </c>
      <c r="F17" s="21">
        <v>346516</v>
      </c>
      <c r="G17" s="21">
        <v>8059879</v>
      </c>
      <c r="H17" s="33">
        <v>34950</v>
      </c>
      <c r="I17" s="33">
        <v>6298019</v>
      </c>
      <c r="J17" s="21">
        <v>252345</v>
      </c>
      <c r="K17" s="21">
        <v>2693537</v>
      </c>
      <c r="L17" s="29">
        <v>3576</v>
      </c>
      <c r="M17" s="29">
        <v>2923</v>
      </c>
      <c r="N17" s="21">
        <v>2106460</v>
      </c>
      <c r="O17" s="40"/>
      <c r="P17" s="44"/>
      <c r="Q17" s="21">
        <v>412180</v>
      </c>
      <c r="R17" s="21">
        <v>1111.8240000000001</v>
      </c>
      <c r="S17" s="49">
        <v>490.45400000000001</v>
      </c>
      <c r="T17" s="49">
        <v>3896.13</v>
      </c>
      <c r="U17" s="21">
        <v>365197</v>
      </c>
      <c r="V17" s="21">
        <v>69431</v>
      </c>
      <c r="W17" s="21">
        <v>55430</v>
      </c>
      <c r="X17" s="21">
        <v>31723</v>
      </c>
      <c r="Y17" s="21">
        <v>4556</v>
      </c>
      <c r="Z17">
        <f t="shared" si="1"/>
        <v>0</v>
      </c>
      <c r="AA17" s="47" t="s">
        <v>60</v>
      </c>
      <c r="AC17">
        <f t="shared" si="2"/>
        <v>2640</v>
      </c>
      <c r="AD17" s="42">
        <f t="shared" si="3"/>
        <v>0.83699999999998909</v>
      </c>
    </row>
    <row r="18" spans="1:30">
      <c r="A18" s="18">
        <f t="shared" si="0"/>
        <v>44848</v>
      </c>
      <c r="B18" s="22">
        <v>64</v>
      </c>
      <c r="C18" s="22">
        <v>128</v>
      </c>
      <c r="D18" s="21">
        <v>2167934</v>
      </c>
      <c r="E18" s="21">
        <v>2153016</v>
      </c>
      <c r="F18" s="21">
        <v>346516</v>
      </c>
      <c r="G18" s="21">
        <v>8062126</v>
      </c>
      <c r="H18" s="33">
        <v>34950</v>
      </c>
      <c r="I18" s="33">
        <v>6300696</v>
      </c>
      <c r="J18" s="21">
        <v>253536</v>
      </c>
      <c r="K18" s="21">
        <v>2693537</v>
      </c>
      <c r="L18" s="28">
        <v>3547</v>
      </c>
      <c r="M18" s="28">
        <v>2923</v>
      </c>
      <c r="N18" s="21">
        <v>2109165</v>
      </c>
      <c r="O18" s="40"/>
      <c r="P18" s="44"/>
      <c r="Q18" s="21">
        <v>412271</v>
      </c>
      <c r="R18" s="21">
        <v>1112.5989999999999</v>
      </c>
      <c r="S18" s="49">
        <v>490.45400000000001</v>
      </c>
      <c r="T18" s="49">
        <v>3896.134</v>
      </c>
      <c r="U18" s="21">
        <v>365246</v>
      </c>
      <c r="V18" s="21">
        <v>69498</v>
      </c>
      <c r="W18" s="21">
        <v>55438</v>
      </c>
      <c r="X18" s="21">
        <v>31724</v>
      </c>
      <c r="Y18" s="21">
        <v>4560</v>
      </c>
      <c r="Z18">
        <f t="shared" si="1"/>
        <v>1</v>
      </c>
      <c r="AA18" s="47" t="s">
        <v>54</v>
      </c>
      <c r="AC18">
        <f t="shared" si="2"/>
        <v>2705</v>
      </c>
      <c r="AD18" s="42">
        <f t="shared" si="3"/>
        <v>0.77499999999986358</v>
      </c>
    </row>
    <row r="19" spans="1:30">
      <c r="A19" s="18">
        <f t="shared" si="0"/>
        <v>44849</v>
      </c>
      <c r="B19" s="22">
        <v>87</v>
      </c>
      <c r="C19" s="22">
        <v>194</v>
      </c>
      <c r="D19" s="21">
        <v>2171585</v>
      </c>
      <c r="E19" s="21">
        <v>2155268</v>
      </c>
      <c r="F19" s="21">
        <v>346516</v>
      </c>
      <c r="G19" s="21">
        <v>8064227</v>
      </c>
      <c r="H19" s="33">
        <v>34950</v>
      </c>
      <c r="I19" s="33">
        <v>6303247</v>
      </c>
      <c r="J19" s="21">
        <v>254699</v>
      </c>
      <c r="K19" s="21">
        <v>2693537</v>
      </c>
      <c r="L19" s="29">
        <v>3524</v>
      </c>
      <c r="M19" s="29">
        <v>2924</v>
      </c>
      <c r="N19" s="21">
        <v>2111937</v>
      </c>
      <c r="O19" s="40"/>
      <c r="P19" s="44"/>
      <c r="Q19" s="21">
        <v>412364</v>
      </c>
      <c r="R19" s="21">
        <v>1113.3520000000001</v>
      </c>
      <c r="S19" s="49">
        <v>490.45400000000001</v>
      </c>
      <c r="T19" s="49">
        <v>3896.134</v>
      </c>
      <c r="U19" s="21">
        <v>365310</v>
      </c>
      <c r="V19" s="21">
        <v>69565</v>
      </c>
      <c r="W19" s="21">
        <v>55445</v>
      </c>
      <c r="X19" s="21">
        <v>31725</v>
      </c>
      <c r="Y19" s="21">
        <v>4564</v>
      </c>
      <c r="Z19">
        <f t="shared" si="1"/>
        <v>1</v>
      </c>
      <c r="AA19" s="47" t="s">
        <v>55</v>
      </c>
      <c r="AC19">
        <f t="shared" si="2"/>
        <v>2772</v>
      </c>
      <c r="AD19" s="42">
        <f t="shared" si="3"/>
        <v>0.75300000000015643</v>
      </c>
    </row>
    <row r="20" spans="1:30">
      <c r="A20" s="18">
        <f t="shared" si="0"/>
        <v>44850</v>
      </c>
      <c r="B20" s="22">
        <v>44</v>
      </c>
      <c r="C20" s="22">
        <v>103</v>
      </c>
      <c r="D20" s="21">
        <v>2174977</v>
      </c>
      <c r="E20" s="21">
        <v>2157619</v>
      </c>
      <c r="F20" s="21">
        <v>346516</v>
      </c>
      <c r="G20" s="21">
        <v>8066198</v>
      </c>
      <c r="H20" s="33">
        <v>34950</v>
      </c>
      <c r="I20" s="33">
        <v>6305856</v>
      </c>
      <c r="J20" s="21">
        <v>255897</v>
      </c>
      <c r="K20" s="21">
        <v>2693537</v>
      </c>
      <c r="L20" s="29">
        <v>3532</v>
      </c>
      <c r="M20" s="29">
        <v>2924</v>
      </c>
      <c r="N20" s="21">
        <v>2114776</v>
      </c>
      <c r="O20" s="40"/>
      <c r="P20" s="44"/>
      <c r="Q20" s="21">
        <v>412457</v>
      </c>
      <c r="R20" s="21">
        <v>1114.097</v>
      </c>
      <c r="S20" s="49">
        <v>490.45400000000001</v>
      </c>
      <c r="T20" s="49">
        <v>3896.134</v>
      </c>
      <c r="U20" s="21">
        <v>365378</v>
      </c>
      <c r="V20" s="21">
        <v>69636</v>
      </c>
      <c r="W20" s="21">
        <v>55451</v>
      </c>
      <c r="X20" s="21">
        <v>31726</v>
      </c>
      <c r="Y20" s="21">
        <v>4571</v>
      </c>
      <c r="Z20">
        <f t="shared" si="1"/>
        <v>1</v>
      </c>
      <c r="AA20" s="47" t="s">
        <v>56</v>
      </c>
      <c r="AC20">
        <f t="shared" si="2"/>
        <v>2839</v>
      </c>
      <c r="AD20" s="42">
        <f t="shared" si="3"/>
        <v>0.74499999999989086</v>
      </c>
    </row>
    <row r="21" spans="1:30">
      <c r="A21" s="18">
        <f t="shared" si="0"/>
        <v>44851</v>
      </c>
      <c r="B21" s="22">
        <v>54</v>
      </c>
      <c r="C21" s="22">
        <v>129</v>
      </c>
      <c r="D21" s="21">
        <v>2178376</v>
      </c>
      <c r="E21" s="21">
        <v>2159863</v>
      </c>
      <c r="F21" s="21">
        <v>346516</v>
      </c>
      <c r="G21" s="21">
        <v>8068038</v>
      </c>
      <c r="H21" s="33">
        <v>34950</v>
      </c>
      <c r="I21" s="33">
        <v>6308515</v>
      </c>
      <c r="J21" s="21">
        <v>257080</v>
      </c>
      <c r="K21" s="21">
        <v>2693537</v>
      </c>
      <c r="L21" s="29">
        <v>3548</v>
      </c>
      <c r="M21" s="29">
        <v>2234</v>
      </c>
      <c r="N21" s="21">
        <v>2117325</v>
      </c>
      <c r="O21" s="40"/>
      <c r="P21" s="44"/>
      <c r="Q21" s="21">
        <v>412553</v>
      </c>
      <c r="R21" s="21">
        <v>1114.7439999999999</v>
      </c>
      <c r="S21" s="49">
        <v>490.45400000000001</v>
      </c>
      <c r="T21" s="49">
        <v>3896.136</v>
      </c>
      <c r="U21" s="21">
        <v>365435</v>
      </c>
      <c r="V21" s="21">
        <v>69649</v>
      </c>
      <c r="W21" s="21">
        <v>55459</v>
      </c>
      <c r="X21" s="21">
        <v>31736</v>
      </c>
      <c r="Y21" s="21">
        <v>4576</v>
      </c>
      <c r="Z21">
        <f t="shared" si="1"/>
        <v>10</v>
      </c>
      <c r="AA21" s="47" t="s">
        <v>57</v>
      </c>
      <c r="AC21">
        <f t="shared" si="2"/>
        <v>2549</v>
      </c>
      <c r="AD21" s="42">
        <f t="shared" si="3"/>
        <v>0.64699999999993452</v>
      </c>
    </row>
    <row r="22" spans="1:30">
      <c r="A22" s="18">
        <f t="shared" si="0"/>
        <v>44852</v>
      </c>
      <c r="B22" s="22">
        <v>52</v>
      </c>
      <c r="C22" s="22">
        <v>115</v>
      </c>
      <c r="D22" s="21">
        <v>2183750</v>
      </c>
      <c r="E22" s="21">
        <v>2162161</v>
      </c>
      <c r="F22" s="21">
        <v>346516</v>
      </c>
      <c r="G22" s="21">
        <v>8070032</v>
      </c>
      <c r="H22" s="33">
        <v>34950</v>
      </c>
      <c r="I22" s="33">
        <v>6311027</v>
      </c>
      <c r="J22" s="21">
        <v>258271</v>
      </c>
      <c r="K22" s="21">
        <v>2693866</v>
      </c>
      <c r="L22" s="29">
        <v>3409</v>
      </c>
      <c r="M22" s="29">
        <v>1893</v>
      </c>
      <c r="N22" s="21">
        <v>2119742</v>
      </c>
      <c r="O22" s="40"/>
      <c r="P22" s="44"/>
      <c r="Q22" s="21">
        <v>412642</v>
      </c>
      <c r="R22" s="21">
        <v>1114.99</v>
      </c>
      <c r="S22" s="49">
        <v>490.45400000000001</v>
      </c>
      <c r="T22" s="49">
        <v>3896.1379999999999</v>
      </c>
      <c r="U22" s="21">
        <v>365488</v>
      </c>
      <c r="V22" s="21">
        <v>69762</v>
      </c>
      <c r="W22" s="21">
        <v>55467</v>
      </c>
      <c r="X22" s="21">
        <v>31736</v>
      </c>
      <c r="Y22" s="21">
        <v>4581</v>
      </c>
      <c r="Z22">
        <f t="shared" si="1"/>
        <v>0</v>
      </c>
      <c r="AA22" s="47" t="s">
        <v>58</v>
      </c>
      <c r="AC22">
        <f t="shared" si="2"/>
        <v>2417</v>
      </c>
      <c r="AD22" s="42">
        <f t="shared" si="3"/>
        <v>0.24600000000009459</v>
      </c>
    </row>
    <row r="23" spans="1:30">
      <c r="A23" s="18">
        <f t="shared" si="0"/>
        <v>44853</v>
      </c>
      <c r="B23" s="22">
        <v>55</v>
      </c>
      <c r="C23" s="22">
        <v>113</v>
      </c>
      <c r="D23" s="21">
        <v>2186408</v>
      </c>
      <c r="E23" s="21">
        <v>2165710</v>
      </c>
      <c r="F23" s="21">
        <v>346547</v>
      </c>
      <c r="G23" s="21">
        <v>8072008</v>
      </c>
      <c r="H23" s="33">
        <v>34950</v>
      </c>
      <c r="I23" s="33">
        <v>6313587</v>
      </c>
      <c r="J23" s="21">
        <v>259480</v>
      </c>
      <c r="K23" s="21">
        <v>2693903</v>
      </c>
      <c r="L23" s="29">
        <v>3558</v>
      </c>
      <c r="M23" s="29">
        <v>2925</v>
      </c>
      <c r="N23" s="21">
        <v>2122275</v>
      </c>
      <c r="O23" s="40"/>
      <c r="P23" s="44"/>
      <c r="Q23" s="21">
        <v>412722</v>
      </c>
      <c r="R23" s="21">
        <v>1115.6489999999999</v>
      </c>
      <c r="S23" s="49">
        <v>490.45400000000001</v>
      </c>
      <c r="T23" s="49">
        <v>3896.1379999999999</v>
      </c>
      <c r="U23" s="21">
        <v>365544</v>
      </c>
      <c r="V23" s="21">
        <v>69825</v>
      </c>
      <c r="W23" s="21">
        <v>55474</v>
      </c>
      <c r="X23" s="21">
        <v>31737</v>
      </c>
      <c r="Y23" s="21">
        <v>4586</v>
      </c>
      <c r="Z23">
        <f t="shared" si="1"/>
        <v>1</v>
      </c>
      <c r="AA23" s="47" t="s">
        <v>59</v>
      </c>
      <c r="AC23">
        <f t="shared" si="2"/>
        <v>2533</v>
      </c>
      <c r="AD23" s="42">
        <f t="shared" si="3"/>
        <v>0.65899999999987813</v>
      </c>
    </row>
    <row r="24" spans="1:30">
      <c r="A24" s="18">
        <f t="shared" si="0"/>
        <v>44854</v>
      </c>
      <c r="B24" s="22">
        <v>96</v>
      </c>
      <c r="C24" s="22">
        <v>177</v>
      </c>
      <c r="D24" s="21">
        <v>2188648</v>
      </c>
      <c r="E24" s="21">
        <v>2169398</v>
      </c>
      <c r="F24" s="21">
        <v>346547</v>
      </c>
      <c r="G24" s="21">
        <v>8073951</v>
      </c>
      <c r="H24" s="33">
        <v>34950</v>
      </c>
      <c r="I24" s="33">
        <v>6316198</v>
      </c>
      <c r="J24" s="21">
        <v>260720</v>
      </c>
      <c r="K24" s="21">
        <v>2693903</v>
      </c>
      <c r="L24" s="29">
        <v>3526</v>
      </c>
      <c r="M24" s="29">
        <v>2923</v>
      </c>
      <c r="N24" s="21">
        <v>2124945</v>
      </c>
      <c r="O24" s="40"/>
      <c r="P24" s="44"/>
      <c r="Q24" s="21">
        <v>412808</v>
      </c>
      <c r="R24" s="21">
        <v>1116.335</v>
      </c>
      <c r="S24" s="49">
        <v>490.45400000000001</v>
      </c>
      <c r="T24" s="49">
        <v>3896.1390000000001</v>
      </c>
      <c r="U24" s="21">
        <v>365595</v>
      </c>
      <c r="V24" s="21">
        <v>69883</v>
      </c>
      <c r="W24" s="21">
        <v>55481</v>
      </c>
      <c r="X24" s="21">
        <v>31742</v>
      </c>
      <c r="Y24" s="21">
        <v>4590</v>
      </c>
      <c r="Z24">
        <f t="shared" si="1"/>
        <v>5</v>
      </c>
      <c r="AA24" s="47" t="s">
        <v>60</v>
      </c>
      <c r="AC24">
        <f t="shared" si="2"/>
        <v>2670</v>
      </c>
      <c r="AD24" s="42">
        <f t="shared" si="3"/>
        <v>0.68600000000014916</v>
      </c>
    </row>
    <row r="25" spans="1:30">
      <c r="A25" s="18">
        <f t="shared" si="0"/>
        <v>44855</v>
      </c>
      <c r="B25" s="22">
        <v>78</v>
      </c>
      <c r="C25" s="22">
        <v>199</v>
      </c>
      <c r="D25" s="21">
        <v>2191024</v>
      </c>
      <c r="E25" s="21">
        <v>2173532</v>
      </c>
      <c r="F25" s="21">
        <v>346661</v>
      </c>
      <c r="G25" s="21">
        <v>8075935</v>
      </c>
      <c r="H25" s="33">
        <v>34950</v>
      </c>
      <c r="I25" s="33">
        <v>6318754</v>
      </c>
      <c r="J25" s="21">
        <v>261889</v>
      </c>
      <c r="K25" s="21">
        <v>2693904</v>
      </c>
      <c r="L25" s="32">
        <v>1998</v>
      </c>
      <c r="M25" s="30">
        <v>2924</v>
      </c>
      <c r="N25" s="21">
        <v>2127593</v>
      </c>
      <c r="O25" s="40"/>
      <c r="P25" s="44"/>
      <c r="Q25" s="21">
        <v>412899</v>
      </c>
      <c r="R25" s="21">
        <v>1116.952</v>
      </c>
      <c r="S25" s="49">
        <v>490.45499999999998</v>
      </c>
      <c r="T25" s="49">
        <v>3896.1390000000001</v>
      </c>
      <c r="U25" s="21">
        <v>365658</v>
      </c>
      <c r="V25" s="21">
        <v>69953</v>
      </c>
      <c r="W25" s="21">
        <v>55488</v>
      </c>
      <c r="X25" s="21">
        <v>31742</v>
      </c>
      <c r="Y25" s="21">
        <v>4597</v>
      </c>
      <c r="Z25">
        <f t="shared" si="1"/>
        <v>0</v>
      </c>
      <c r="AA25" s="47" t="s">
        <v>54</v>
      </c>
      <c r="AC25">
        <f t="shared" si="2"/>
        <v>2648</v>
      </c>
      <c r="AD25" s="42">
        <f t="shared" si="3"/>
        <v>0.6169999999999618</v>
      </c>
    </row>
    <row r="26" spans="1:30">
      <c r="A26" s="18">
        <f t="shared" si="0"/>
        <v>44856</v>
      </c>
      <c r="B26" s="22">
        <v>91</v>
      </c>
      <c r="C26" s="37">
        <v>223</v>
      </c>
      <c r="D26" s="25">
        <v>2193335</v>
      </c>
      <c r="E26" s="25">
        <v>2178458</v>
      </c>
      <c r="F26" s="25">
        <v>346902</v>
      </c>
      <c r="G26" s="25">
        <v>8077821</v>
      </c>
      <c r="H26" s="26">
        <v>34950</v>
      </c>
      <c r="I26" s="26">
        <v>6321502</v>
      </c>
      <c r="J26" s="26">
        <v>263226</v>
      </c>
      <c r="K26" s="25">
        <v>2693904</v>
      </c>
      <c r="L26" s="30">
        <v>3532</v>
      </c>
      <c r="M26" s="30">
        <v>2924</v>
      </c>
      <c r="N26" s="25">
        <v>2130121</v>
      </c>
      <c r="O26" s="41"/>
      <c r="P26" s="45"/>
      <c r="Q26" s="25">
        <v>413008</v>
      </c>
      <c r="R26" s="39">
        <v>1117.57</v>
      </c>
      <c r="S26" s="39">
        <v>490.45499999999998</v>
      </c>
      <c r="T26" s="39">
        <v>3896.1390000000001</v>
      </c>
      <c r="U26" s="25">
        <v>365730</v>
      </c>
      <c r="V26" s="25">
        <v>70033</v>
      </c>
      <c r="W26" s="25">
        <v>55496</v>
      </c>
      <c r="X26" s="25">
        <v>31744</v>
      </c>
      <c r="Y26" s="25">
        <v>4603</v>
      </c>
      <c r="Z26">
        <f t="shared" si="1"/>
        <v>2</v>
      </c>
      <c r="AA26" s="47" t="s">
        <v>55</v>
      </c>
      <c r="AC26">
        <f t="shared" si="2"/>
        <v>2528</v>
      </c>
      <c r="AD26" s="42">
        <f t="shared" si="3"/>
        <v>0.61799999999993815</v>
      </c>
    </row>
    <row r="27" spans="1:30">
      <c r="A27" s="18">
        <f t="shared" si="0"/>
        <v>44857</v>
      </c>
      <c r="B27" s="22">
        <v>71</v>
      </c>
      <c r="C27" s="37">
        <v>170</v>
      </c>
      <c r="D27" s="25">
        <v>2195662</v>
      </c>
      <c r="E27" s="25">
        <v>2182233</v>
      </c>
      <c r="F27" s="25">
        <v>346902</v>
      </c>
      <c r="G27" s="25">
        <v>8079763</v>
      </c>
      <c r="H27" s="26">
        <v>34950</v>
      </c>
      <c r="I27" s="26">
        <v>6324209</v>
      </c>
      <c r="J27" s="26">
        <v>264540</v>
      </c>
      <c r="K27" s="25">
        <v>2693904</v>
      </c>
      <c r="L27" s="30">
        <v>2378</v>
      </c>
      <c r="M27" s="30">
        <v>1979</v>
      </c>
      <c r="N27" s="25">
        <v>2132754</v>
      </c>
      <c r="O27" s="41"/>
      <c r="P27" s="45"/>
      <c r="Q27" s="26">
        <v>413121</v>
      </c>
      <c r="R27" s="39">
        <v>1118.097</v>
      </c>
      <c r="S27" s="39">
        <v>490.45400000000001</v>
      </c>
      <c r="T27" s="39">
        <v>3896.14</v>
      </c>
      <c r="U27" s="25">
        <v>365806</v>
      </c>
      <c r="V27" s="25">
        <v>70115</v>
      </c>
      <c r="W27" s="25">
        <v>55504</v>
      </c>
      <c r="X27" s="25">
        <v>31745</v>
      </c>
      <c r="Y27" s="25">
        <v>4613</v>
      </c>
      <c r="Z27">
        <f t="shared" si="1"/>
        <v>1</v>
      </c>
      <c r="AA27" s="47" t="s">
        <v>56</v>
      </c>
      <c r="AC27">
        <f t="shared" si="2"/>
        <v>2633</v>
      </c>
      <c r="AD27" s="42">
        <f t="shared" si="3"/>
        <v>0.52700000000004366</v>
      </c>
    </row>
    <row r="28" spans="1:30">
      <c r="A28" s="18">
        <f t="shared" si="0"/>
        <v>44858</v>
      </c>
      <c r="B28" s="22">
        <v>49</v>
      </c>
      <c r="C28" s="37">
        <v>123</v>
      </c>
      <c r="D28" s="25">
        <v>2199900</v>
      </c>
      <c r="E28" s="25">
        <v>2187829</v>
      </c>
      <c r="F28" s="25">
        <v>347380</v>
      </c>
      <c r="G28" s="25">
        <v>8081842</v>
      </c>
      <c r="H28" s="26">
        <v>34950</v>
      </c>
      <c r="I28" s="26">
        <v>6326596</v>
      </c>
      <c r="J28" s="26">
        <v>265664</v>
      </c>
      <c r="K28" s="25">
        <v>2694306</v>
      </c>
      <c r="L28" s="30">
        <v>2358</v>
      </c>
      <c r="M28" s="30">
        <v>1776</v>
      </c>
      <c r="N28" s="25">
        <v>2134657</v>
      </c>
      <c r="O28" s="41"/>
      <c r="P28" s="45"/>
      <c r="Q28" s="26">
        <v>413232</v>
      </c>
      <c r="R28" s="39">
        <v>1118.6410000000001</v>
      </c>
      <c r="S28" s="39">
        <v>490.45499999999998</v>
      </c>
      <c r="T28" s="39">
        <v>3896.1410000000001</v>
      </c>
      <c r="U28" s="25">
        <v>365868</v>
      </c>
      <c r="V28" s="25">
        <v>70183</v>
      </c>
      <c r="W28" s="25">
        <v>55512</v>
      </c>
      <c r="X28" s="25">
        <v>31751</v>
      </c>
      <c r="Y28" s="25">
        <v>4622</v>
      </c>
      <c r="Z28">
        <f t="shared" si="1"/>
        <v>6</v>
      </c>
      <c r="AA28" s="47" t="s">
        <v>57</v>
      </c>
      <c r="AC28">
        <f t="shared" si="2"/>
        <v>1903</v>
      </c>
      <c r="AD28" s="42">
        <f t="shared" si="3"/>
        <v>0.54400000000009641</v>
      </c>
    </row>
    <row r="29" spans="1:30">
      <c r="A29" s="18">
        <f t="shared" si="0"/>
        <v>44859</v>
      </c>
      <c r="B29" s="22">
        <v>53</v>
      </c>
      <c r="C29" s="37">
        <v>131</v>
      </c>
      <c r="D29" s="25">
        <v>2203607</v>
      </c>
      <c r="E29" s="25">
        <v>2190224</v>
      </c>
      <c r="F29" s="25">
        <v>347409</v>
      </c>
      <c r="G29" s="25">
        <v>8083744</v>
      </c>
      <c r="H29" s="26">
        <v>34950</v>
      </c>
      <c r="I29" s="26">
        <v>6329341</v>
      </c>
      <c r="J29" s="26">
        <v>265770</v>
      </c>
      <c r="K29" s="25">
        <v>2694366</v>
      </c>
      <c r="L29" s="30">
        <v>3532</v>
      </c>
      <c r="M29" s="30">
        <v>2883</v>
      </c>
      <c r="N29" s="25">
        <v>2137086</v>
      </c>
      <c r="O29" s="41"/>
      <c r="P29" s="45"/>
      <c r="Q29" s="26">
        <v>413325</v>
      </c>
      <c r="R29" s="39">
        <v>1119.0930000000001</v>
      </c>
      <c r="S29" s="39">
        <v>490.45499999999998</v>
      </c>
      <c r="T29" s="39">
        <v>3896.1410000000001</v>
      </c>
      <c r="U29" s="25">
        <v>365924</v>
      </c>
      <c r="V29" s="25">
        <v>70248</v>
      </c>
      <c r="W29" s="25">
        <v>55520</v>
      </c>
      <c r="X29" s="25">
        <v>31751</v>
      </c>
      <c r="Y29" s="25">
        <v>4629</v>
      </c>
      <c r="Z29">
        <f t="shared" si="1"/>
        <v>0</v>
      </c>
      <c r="AA29" s="47" t="s">
        <v>58</v>
      </c>
      <c r="AC29">
        <f t="shared" si="2"/>
        <v>2429</v>
      </c>
      <c r="AD29" s="42">
        <f t="shared" si="3"/>
        <v>0.45199999999999818</v>
      </c>
    </row>
    <row r="30" spans="1:30">
      <c r="A30" s="18">
        <f t="shared" si="0"/>
        <v>44860</v>
      </c>
      <c r="B30" s="22">
        <v>59</v>
      </c>
      <c r="C30" s="37">
        <v>153</v>
      </c>
      <c r="D30" s="25">
        <v>2207414</v>
      </c>
      <c r="E30" s="25">
        <v>2192465</v>
      </c>
      <c r="F30" s="25">
        <v>347410</v>
      </c>
      <c r="G30" s="25">
        <v>8085641</v>
      </c>
      <c r="H30" s="26">
        <v>34950</v>
      </c>
      <c r="I30" s="26">
        <v>6331984</v>
      </c>
      <c r="J30" s="25">
        <v>268195</v>
      </c>
      <c r="K30" s="25">
        <v>2694380</v>
      </c>
      <c r="L30" s="30">
        <v>3534</v>
      </c>
      <c r="M30" s="30">
        <v>2893</v>
      </c>
      <c r="N30" s="25">
        <v>2139764</v>
      </c>
      <c r="O30" s="41"/>
      <c r="P30" s="45"/>
      <c r="Q30" s="25">
        <v>413405</v>
      </c>
      <c r="R30" s="25">
        <v>1119.4739999999999</v>
      </c>
      <c r="S30" s="39">
        <v>490.45499999999998</v>
      </c>
      <c r="T30" s="39">
        <v>3896.1419999999998</v>
      </c>
      <c r="U30" s="25">
        <v>365987</v>
      </c>
      <c r="V30" s="25">
        <v>70313</v>
      </c>
      <c r="W30" s="25">
        <v>55527</v>
      </c>
      <c r="X30" s="25">
        <v>31752</v>
      </c>
      <c r="Y30" s="25">
        <v>4636</v>
      </c>
      <c r="Z30">
        <f t="shared" si="1"/>
        <v>1</v>
      </c>
      <c r="AA30" s="47" t="s">
        <v>59</v>
      </c>
      <c r="AC30">
        <f t="shared" si="2"/>
        <v>2678</v>
      </c>
      <c r="AD30" s="42">
        <f t="shared" si="3"/>
        <v>0.38099999999985812</v>
      </c>
    </row>
    <row r="31" spans="1:30">
      <c r="A31" s="18">
        <f t="shared" si="0"/>
        <v>44861</v>
      </c>
      <c r="B31" s="22">
        <v>46</v>
      </c>
      <c r="C31" s="37">
        <v>125</v>
      </c>
      <c r="D31" s="25">
        <v>2210656</v>
      </c>
      <c r="E31" s="25">
        <v>2194493</v>
      </c>
      <c r="F31" s="25">
        <v>347410</v>
      </c>
      <c r="G31" s="25">
        <v>8087294</v>
      </c>
      <c r="H31" s="26">
        <v>34950</v>
      </c>
      <c r="I31" s="26">
        <v>6334331</v>
      </c>
      <c r="J31" s="25">
        <v>269244</v>
      </c>
      <c r="K31" s="25">
        <v>2694391</v>
      </c>
      <c r="L31" s="30">
        <v>3535</v>
      </c>
      <c r="M31" s="30">
        <v>2924</v>
      </c>
      <c r="N31" s="25">
        <v>2142189</v>
      </c>
      <c r="O31" s="41"/>
      <c r="P31" s="45"/>
      <c r="Q31" s="25">
        <v>413501</v>
      </c>
      <c r="R31" s="25">
        <v>1119.787</v>
      </c>
      <c r="S31" s="39">
        <v>490.45499999999998</v>
      </c>
      <c r="T31" s="39">
        <v>3896.1419999999998</v>
      </c>
      <c r="U31" s="25">
        <v>366047</v>
      </c>
      <c r="V31" s="25">
        <v>70379</v>
      </c>
      <c r="W31" s="25">
        <v>55534</v>
      </c>
      <c r="X31" s="25">
        <v>31753</v>
      </c>
      <c r="Y31" s="25">
        <v>4642</v>
      </c>
      <c r="Z31">
        <f t="shared" si="1"/>
        <v>1</v>
      </c>
      <c r="AA31" s="47" t="s">
        <v>60</v>
      </c>
      <c r="AC31">
        <f t="shared" si="2"/>
        <v>2425</v>
      </c>
      <c r="AD31" s="42">
        <f t="shared" si="3"/>
        <v>0.31300000000010186</v>
      </c>
    </row>
    <row r="32" spans="1:30">
      <c r="A32" s="18">
        <f t="shared" si="0"/>
        <v>44862</v>
      </c>
      <c r="B32" s="22">
        <v>48</v>
      </c>
      <c r="C32" s="37">
        <v>131</v>
      </c>
      <c r="D32" s="25">
        <v>2213768</v>
      </c>
      <c r="E32" s="25">
        <v>2196595</v>
      </c>
      <c r="F32" s="25">
        <v>347410</v>
      </c>
      <c r="G32" s="25">
        <v>8088949</v>
      </c>
      <c r="H32" s="26">
        <v>34950</v>
      </c>
      <c r="I32" s="26">
        <v>6336861</v>
      </c>
      <c r="J32" s="25">
        <v>270402</v>
      </c>
      <c r="K32" s="25">
        <v>2694391</v>
      </c>
      <c r="L32" s="30">
        <v>3547</v>
      </c>
      <c r="M32" s="30">
        <v>2762</v>
      </c>
      <c r="N32" s="25">
        <v>2144581</v>
      </c>
      <c r="O32" s="41"/>
      <c r="P32" s="45"/>
      <c r="Q32" s="25">
        <v>413603</v>
      </c>
      <c r="R32" s="39">
        <v>1120.03</v>
      </c>
      <c r="S32" s="39">
        <v>490.45499999999998</v>
      </c>
      <c r="T32" s="39">
        <v>3896.1439999999998</v>
      </c>
      <c r="U32" s="25">
        <v>366098</v>
      </c>
      <c r="V32" s="25">
        <v>70440</v>
      </c>
      <c r="W32" s="25">
        <v>55540</v>
      </c>
      <c r="X32" s="25">
        <v>31767</v>
      </c>
      <c r="Y32" s="25">
        <v>4649</v>
      </c>
      <c r="Z32">
        <f t="shared" si="1"/>
        <v>14</v>
      </c>
      <c r="AA32" s="47" t="s">
        <v>54</v>
      </c>
      <c r="AC32">
        <f t="shared" si="2"/>
        <v>2392</v>
      </c>
      <c r="AD32" s="42">
        <f t="shared" si="3"/>
        <v>0.24299999999993815</v>
      </c>
    </row>
    <row r="33" spans="1:30">
      <c r="A33" s="18">
        <f t="shared" si="0"/>
        <v>44863</v>
      </c>
      <c r="B33" s="22">
        <v>43</v>
      </c>
      <c r="C33" s="37">
        <v>115</v>
      </c>
      <c r="D33" s="24">
        <v>2217187</v>
      </c>
      <c r="E33" s="25">
        <v>2198871</v>
      </c>
      <c r="F33" s="25">
        <v>347410</v>
      </c>
      <c r="G33" s="25">
        <v>8090673</v>
      </c>
      <c r="H33" s="25">
        <v>34950</v>
      </c>
      <c r="I33" s="25">
        <v>6339504</v>
      </c>
      <c r="J33" s="25">
        <v>271648</v>
      </c>
      <c r="K33" s="25">
        <v>2694437</v>
      </c>
      <c r="L33" s="31">
        <v>3610</v>
      </c>
      <c r="M33" s="31">
        <v>2878</v>
      </c>
      <c r="N33" s="25">
        <v>2147126</v>
      </c>
      <c r="O33" s="41"/>
      <c r="P33" s="45"/>
      <c r="Q33" s="25">
        <v>413598</v>
      </c>
      <c r="R33" s="39">
        <v>1120.232</v>
      </c>
      <c r="S33" s="39">
        <v>490.45499999999998</v>
      </c>
      <c r="T33" s="39">
        <v>3896.145</v>
      </c>
      <c r="U33" s="25">
        <v>366154</v>
      </c>
      <c r="V33" s="25">
        <v>70507</v>
      </c>
      <c r="W33" s="25">
        <v>55546</v>
      </c>
      <c r="X33" s="25">
        <v>31767</v>
      </c>
      <c r="Y33" s="25">
        <v>4654</v>
      </c>
      <c r="Z33">
        <f t="shared" si="1"/>
        <v>0</v>
      </c>
      <c r="AA33" s="47" t="s">
        <v>55</v>
      </c>
      <c r="AC33">
        <f t="shared" si="2"/>
        <v>2545</v>
      </c>
      <c r="AD33" s="42">
        <f t="shared" si="3"/>
        <v>0.20199999999999818</v>
      </c>
    </row>
    <row r="34" spans="1:30">
      <c r="A34" s="18">
        <f>A33+1</f>
        <v>44864</v>
      </c>
      <c r="B34" s="22">
        <v>16</v>
      </c>
      <c r="C34" s="37">
        <v>39</v>
      </c>
      <c r="D34" s="24">
        <v>2220320</v>
      </c>
      <c r="E34" s="51">
        <v>2200946</v>
      </c>
      <c r="F34" s="25">
        <v>347410</v>
      </c>
      <c r="G34" s="25">
        <v>8092312</v>
      </c>
      <c r="H34" s="25">
        <v>34950</v>
      </c>
      <c r="I34" s="25">
        <v>6342114</v>
      </c>
      <c r="J34" s="25">
        <v>272837</v>
      </c>
      <c r="K34" s="25">
        <v>2694437</v>
      </c>
      <c r="L34" s="31">
        <v>3610</v>
      </c>
      <c r="M34" s="31">
        <v>2878</v>
      </c>
      <c r="N34" s="25">
        <v>2149575</v>
      </c>
      <c r="O34" s="41"/>
      <c r="P34" s="45"/>
      <c r="Q34" s="25">
        <v>413795</v>
      </c>
      <c r="R34" s="25">
        <v>1120.4269999999999</v>
      </c>
      <c r="S34" s="39">
        <v>490.45499999999998</v>
      </c>
      <c r="T34" s="39">
        <v>3896.145</v>
      </c>
      <c r="U34" s="25">
        <v>366195</v>
      </c>
      <c r="V34" s="25">
        <v>70565</v>
      </c>
      <c r="W34" s="25">
        <v>55553</v>
      </c>
      <c r="X34" s="25">
        <v>31785</v>
      </c>
      <c r="Y34" s="25">
        <v>4658</v>
      </c>
      <c r="Z34">
        <f t="shared" si="1"/>
        <v>18</v>
      </c>
      <c r="AA34" s="47" t="s">
        <v>56</v>
      </c>
      <c r="AC34">
        <f t="shared" si="2"/>
        <v>2449</v>
      </c>
      <c r="AD34" s="42">
        <f t="shared" si="3"/>
        <v>0.19499999999993634</v>
      </c>
    </row>
    <row r="35" spans="1:30">
      <c r="A35" s="18">
        <f>A34+1</f>
        <v>44865</v>
      </c>
      <c r="B35" s="22">
        <v>21</v>
      </c>
      <c r="C35" s="37">
        <v>37</v>
      </c>
      <c r="D35" s="24">
        <v>2223453</v>
      </c>
      <c r="E35" s="25">
        <v>2203020</v>
      </c>
      <c r="F35" s="25">
        <v>347410</v>
      </c>
      <c r="G35" s="25">
        <v>8093909</v>
      </c>
      <c r="H35" s="25">
        <v>34950</v>
      </c>
      <c r="I35" s="25">
        <v>6344576</v>
      </c>
      <c r="J35" s="25">
        <v>274004</v>
      </c>
      <c r="K35" s="25">
        <v>2694497</v>
      </c>
      <c r="L35" s="31">
        <v>2117</v>
      </c>
      <c r="M35" s="31">
        <v>2924</v>
      </c>
      <c r="N35" s="25">
        <v>2152163</v>
      </c>
      <c r="O35" s="21">
        <v>50817</v>
      </c>
      <c r="P35" s="21">
        <v>357349</v>
      </c>
      <c r="Q35" s="25">
        <v>413874</v>
      </c>
      <c r="R35" s="25">
        <v>1120.56</v>
      </c>
      <c r="S35" s="39">
        <v>490.45499999999998</v>
      </c>
      <c r="T35" s="39">
        <v>3896.1460000000002</v>
      </c>
      <c r="U35" s="25">
        <v>366245</v>
      </c>
      <c r="V35" s="25">
        <v>70619</v>
      </c>
      <c r="W35" s="25">
        <v>55559</v>
      </c>
      <c r="X35" s="25">
        <v>31790</v>
      </c>
      <c r="Y35" s="25">
        <v>4664</v>
      </c>
      <c r="Z35">
        <f t="shared" si="1"/>
        <v>5</v>
      </c>
      <c r="AA35" s="47" t="s">
        <v>57</v>
      </c>
      <c r="AC35">
        <f t="shared" si="2"/>
        <v>2588</v>
      </c>
      <c r="AD35" s="42">
        <f t="shared" si="3"/>
        <v>0.1330000000000382</v>
      </c>
    </row>
    <row r="36" spans="1:30">
      <c r="B36" s="1"/>
      <c r="C36" s="1"/>
    </row>
    <row r="37" spans="1:30">
      <c r="B37"/>
      <c r="C37"/>
      <c r="N37">
        <f>SUM(N35-N4)</f>
        <v>76458</v>
      </c>
      <c r="O37">
        <f t="shared" ref="O37:P37" si="8">SUM(O35-O4)</f>
        <v>297</v>
      </c>
      <c r="P37">
        <f t="shared" si="8"/>
        <v>2484</v>
      </c>
    </row>
    <row r="38" spans="1:30">
      <c r="B38"/>
      <c r="C38"/>
    </row>
    <row r="39" spans="1:30">
      <c r="B39"/>
      <c r="C39"/>
    </row>
    <row r="40" spans="1:30">
      <c r="B40"/>
      <c r="C40"/>
    </row>
    <row r="41" spans="1:30">
      <c r="B41"/>
      <c r="C41"/>
    </row>
    <row r="42" spans="1:30">
      <c r="B42"/>
      <c r="C42"/>
    </row>
    <row r="43" spans="1:30">
      <c r="B43"/>
      <c r="C43"/>
    </row>
    <row r="44" spans="1:30">
      <c r="B44"/>
      <c r="C44"/>
    </row>
    <row r="45" spans="1:30">
      <c r="B45"/>
      <c r="C45"/>
    </row>
    <row r="46" spans="1:30">
      <c r="B46"/>
      <c r="C46"/>
    </row>
    <row r="47" spans="1:30">
      <c r="B47"/>
      <c r="C47"/>
    </row>
    <row r="48" spans="1:30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</sheetData>
  <mergeCells count="26">
    <mergeCell ref="Z1:Z3"/>
    <mergeCell ref="Y1:Y3"/>
    <mergeCell ref="M2:M3"/>
    <mergeCell ref="L2:L3"/>
    <mergeCell ref="N1:N3"/>
    <mergeCell ref="Q1:Q3"/>
    <mergeCell ref="U1:V3"/>
    <mergeCell ref="W1:W3"/>
    <mergeCell ref="X1:X3"/>
    <mergeCell ref="O1:O3"/>
    <mergeCell ref="P1:P3"/>
    <mergeCell ref="R1:R3"/>
    <mergeCell ref="S1:S3"/>
    <mergeCell ref="T1:T3"/>
    <mergeCell ref="A1:A3"/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  <mergeCell ref="D1:M1"/>
  </mergeCells>
  <conditionalFormatting sqref="AA1:AA1048576">
    <cfRule type="containsText" dxfId="1" priority="2" operator="containsText" text="Thursday">
      <formula>NOT(ISERROR(SEARCH("Thursday",AA1)))</formula>
    </cfRule>
  </conditionalFormatting>
  <conditionalFormatting sqref="AA1:AA1048576">
    <cfRule type="containsText" dxfId="0" priority="1" operator="containsText" text="Monday">
      <formula>NOT(ISERROR(SEARCH("Monday",AA1)))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6" ma:contentTypeDescription="Create a new document." ma:contentTypeScope="" ma:versionID="81b0e45494f70d550f0933c8704a847b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f0359d90319941969adcf037f8ce83d9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ff7659-e828-429d-9d0c-0fbe586886a6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97C1F4-E8A0-43FC-8973-91349128826A}"/>
</file>

<file path=customXml/itemProps2.xml><?xml version="1.0" encoding="utf-8"?>
<ds:datastoreItem xmlns:ds="http://schemas.openxmlformats.org/officeDocument/2006/customXml" ds:itemID="{D6CDD560-7822-4EA1-8593-5175C6066E7C}"/>
</file>

<file path=customXml/itemProps3.xml><?xml version="1.0" encoding="utf-8"?>
<ds:datastoreItem xmlns:ds="http://schemas.openxmlformats.org/officeDocument/2006/customXml" ds:itemID="{A0BACACF-264B-4E80-A364-6E53198B6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/>
  <cp:revision/>
  <dcterms:created xsi:type="dcterms:W3CDTF">2017-05-03T09:23:30Z</dcterms:created>
  <dcterms:modified xsi:type="dcterms:W3CDTF">2022-11-01T09:04:50Z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