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 activeTab="2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K326" i="4" l="1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S350" i="4"/>
  <c r="R350" i="4"/>
  <c r="O350" i="4"/>
  <c r="L350" i="4"/>
  <c r="M350" i="4" s="1"/>
  <c r="J350" i="4"/>
  <c r="K350" i="4" s="1"/>
  <c r="S349" i="4"/>
  <c r="R349" i="4"/>
  <c r="O349" i="4"/>
  <c r="M349" i="4"/>
  <c r="J349" i="4"/>
  <c r="K349" i="4" s="1"/>
  <c r="S348" i="4"/>
  <c r="R348" i="4"/>
  <c r="O348" i="4"/>
  <c r="M348" i="4"/>
  <c r="J348" i="4"/>
  <c r="K348" i="4" s="1"/>
  <c r="S347" i="4"/>
  <c r="R347" i="4"/>
  <c r="O347" i="4"/>
  <c r="M347" i="4"/>
  <c r="J347" i="4"/>
  <c r="K347" i="4" s="1"/>
  <c r="S346" i="4"/>
  <c r="R346" i="4"/>
  <c r="O346" i="4"/>
  <c r="M346" i="4"/>
  <c r="J346" i="4"/>
  <c r="K346" i="4" s="1"/>
  <c r="S345" i="4"/>
  <c r="R345" i="4"/>
  <c r="O345" i="4"/>
  <c r="M345" i="4"/>
  <c r="J345" i="4"/>
  <c r="K345" i="4" s="1"/>
  <c r="S344" i="4"/>
  <c r="R344" i="4"/>
  <c r="O344" i="4"/>
  <c r="M344" i="4"/>
  <c r="J344" i="4"/>
  <c r="K344" i="4" s="1"/>
  <c r="S343" i="4"/>
  <c r="R343" i="4"/>
  <c r="O343" i="4"/>
  <c r="M343" i="4"/>
  <c r="J343" i="4"/>
  <c r="K343" i="4" s="1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6" i="1" s="1"/>
  <c r="L277" i="4"/>
  <c r="M277" i="4" s="1"/>
  <c r="K277" i="4"/>
  <c r="S276" i="4"/>
  <c r="R276" i="4"/>
  <c r="O276" i="4"/>
  <c r="E275" i="1" s="1"/>
  <c r="L276" i="4"/>
  <c r="S275" i="4"/>
  <c r="R275" i="4"/>
  <c r="O275" i="4"/>
  <c r="L275" i="4"/>
  <c r="M275" i="4" s="1"/>
  <c r="K275" i="4"/>
  <c r="S274" i="4"/>
  <c r="R274" i="4"/>
  <c r="O274" i="4"/>
  <c r="E273" i="1" s="1"/>
  <c r="L274" i="4"/>
  <c r="M274" i="4" s="1"/>
  <c r="K274" i="4"/>
  <c r="S273" i="4"/>
  <c r="R273" i="4"/>
  <c r="O273" i="4"/>
  <c r="E272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M310" i="4" l="1"/>
  <c r="Q288" i="3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E329" i="1"/>
  <c r="E330" i="1"/>
  <c r="E162" i="1"/>
  <c r="E163" i="1"/>
  <c r="E301" i="1"/>
  <c r="E122" i="1"/>
  <c r="E310" i="1"/>
  <c r="E340" i="1"/>
  <c r="F340" i="1" s="1"/>
  <c r="E341" i="1"/>
  <c r="F341" i="1" s="1"/>
  <c r="E343" i="1"/>
  <c r="F343" i="1" s="1"/>
  <c r="E345" i="1"/>
  <c r="F345" i="1" s="1"/>
  <c r="E349" i="1"/>
  <c r="E353" i="1"/>
  <c r="M79" i="3"/>
  <c r="G77" i="1" s="1"/>
  <c r="Q143" i="3"/>
  <c r="Q155" i="3"/>
  <c r="Q158" i="3"/>
  <c r="Q181" i="3"/>
  <c r="Q146" i="4"/>
  <c r="E157" i="1"/>
  <c r="E188" i="1"/>
  <c r="E201" i="1"/>
  <c r="E270" i="1"/>
  <c r="E332" i="1"/>
  <c r="E350" i="1"/>
  <c r="F350" i="1" s="1"/>
  <c r="E358" i="1"/>
  <c r="F358" i="1" s="1"/>
  <c r="E363" i="1"/>
  <c r="F363" i="1" s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E335" i="1"/>
  <c r="E348" i="1"/>
  <c r="F348" i="1" s="1"/>
  <c r="E352" i="1"/>
  <c r="F352" i="1" s="1"/>
  <c r="Q321" i="3"/>
  <c r="Q324" i="3"/>
  <c r="Q341" i="3"/>
  <c r="M348" i="3"/>
  <c r="G346" i="1" s="1"/>
  <c r="M362" i="3"/>
  <c r="G360" i="1" s="1"/>
  <c r="E185" i="1"/>
  <c r="E316" i="1"/>
  <c r="E320" i="1"/>
  <c r="E334" i="1"/>
  <c r="Q84" i="4"/>
  <c r="E85" i="1"/>
  <c r="E158" i="1"/>
  <c r="E167" i="1"/>
  <c r="E198" i="1"/>
  <c r="E212" i="1"/>
  <c r="E216" i="1"/>
  <c r="E293" i="1"/>
  <c r="E297" i="1"/>
  <c r="E302" i="1"/>
  <c r="E311" i="1"/>
  <c r="E324" i="1"/>
  <c r="E347" i="1"/>
  <c r="F347" i="1" s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E318" i="1"/>
  <c r="E360" i="1"/>
  <c r="F360" i="1" s="1"/>
  <c r="E308" i="1"/>
  <c r="E322" i="1"/>
  <c r="E327" i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E312" i="1"/>
  <c r="E317" i="1"/>
  <c r="E326" i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F364" i="1" s="1"/>
  <c r="E10" i="1"/>
  <c r="E128" i="1"/>
  <c r="E359" i="1"/>
  <c r="F359" i="1" s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O335" i="3"/>
  <c r="I333" i="1"/>
  <c r="M343" i="3"/>
  <c r="G341" i="1" s="1"/>
  <c r="M349" i="3"/>
  <c r="G347" i="1" s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Q331" i="3"/>
  <c r="I329" i="1"/>
  <c r="M335" i="3"/>
  <c r="G333" i="1" s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<sst xmlns="http://schemas.openxmlformats.org/spreadsheetml/2006/main" count="608" uniqueCount="78">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</sst>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opLeftCell="A312" workbookViewId="0">
      <selection activeCell="Q335" sqref="Q335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13.9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13.9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13.9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13.9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13.9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13.9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13.9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13.9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13.9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13.9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13.9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13.9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13.9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13.9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13.9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13.9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13.9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13.9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13.9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13.9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13.9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13.9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13.9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13.9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13.9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13.9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13.9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13.9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13.9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13.9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13.9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13.9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13.9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13.9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13.9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53">
        <v>0.85</v>
      </c>
      <c r="G280" s="4">
        <f>'Gas Water'!M282</f>
        <v>1832</v>
      </c>
      <c r="H280" s="153">
        <v>2.65</v>
      </c>
      <c r="I280" s="2">
        <f>'Gas Water'!L282</f>
        <v>230</v>
      </c>
      <c r="J280" s="153">
        <v>13.9</v>
      </c>
      <c r="K280" s="5">
        <v>129</v>
      </c>
      <c r="L280" s="5">
        <v>211</v>
      </c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53">
        <v>0.85</v>
      </c>
      <c r="G281" s="4">
        <f>'Gas Water'!M283</f>
        <v>1728</v>
      </c>
      <c r="H281" s="153">
        <v>2.65</v>
      </c>
      <c r="I281" s="2">
        <f>'Gas Water'!L283</f>
        <v>209</v>
      </c>
      <c r="J281" s="153">
        <v>13.9</v>
      </c>
      <c r="K281" s="5">
        <v>150</v>
      </c>
      <c r="L281" s="5">
        <v>247</v>
      </c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53">
        <v>0.85</v>
      </c>
      <c r="G282" s="4">
        <f>'Gas Water'!M284</f>
        <v>1712</v>
      </c>
      <c r="H282" s="153">
        <v>2.65</v>
      </c>
      <c r="I282" s="2">
        <f>'Gas Water'!L284</f>
        <v>188</v>
      </c>
      <c r="J282" s="153">
        <v>13.9</v>
      </c>
      <c r="K282" s="5">
        <v>154</v>
      </c>
      <c r="L282" s="5">
        <v>266</v>
      </c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53">
        <v>0.85</v>
      </c>
      <c r="G283" s="4">
        <f>'Gas Water'!M285</f>
        <v>2020</v>
      </c>
      <c r="H283" s="153">
        <v>2.65</v>
      </c>
      <c r="I283" s="2">
        <f>'Gas Water'!L285</f>
        <v>185</v>
      </c>
      <c r="J283" s="153">
        <v>13.9</v>
      </c>
      <c r="K283" s="5">
        <v>156</v>
      </c>
      <c r="L283" s="5">
        <v>259</v>
      </c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53">
        <v>0.85</v>
      </c>
      <c r="G284" s="4">
        <f>'Gas Water'!M286</f>
        <v>1669</v>
      </c>
      <c r="H284" s="153">
        <v>2.65</v>
      </c>
      <c r="I284" s="2">
        <f>'Gas Water'!L286</f>
        <v>168</v>
      </c>
      <c r="J284" s="153">
        <v>13.9</v>
      </c>
      <c r="K284" s="5">
        <v>157</v>
      </c>
      <c r="L284" s="5">
        <v>257</v>
      </c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53">
        <v>0.85</v>
      </c>
      <c r="G285" s="4">
        <f>'Gas Water'!M287</f>
        <v>1718</v>
      </c>
      <c r="H285" s="153">
        <v>2.65</v>
      </c>
      <c r="I285" s="2">
        <f>'Gas Water'!L287</f>
        <v>165</v>
      </c>
      <c r="J285" s="153">
        <v>13.9</v>
      </c>
      <c r="K285" s="5">
        <v>146</v>
      </c>
      <c r="L285" s="5">
        <v>248</v>
      </c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>
        <f>'Electricity '!I287+'Electricity '!O287</f>
        <v>27108.720000000008</v>
      </c>
      <c r="F286" s="153">
        <v>0.85</v>
      </c>
      <c r="G286" s="4">
        <f>'Gas Water'!M288</f>
        <v>1789</v>
      </c>
      <c r="H286" s="153">
        <v>2.65</v>
      </c>
      <c r="I286" s="2">
        <f>'Gas Water'!L288</f>
        <v>175</v>
      </c>
      <c r="J286" s="153">
        <v>13.9</v>
      </c>
      <c r="K286" s="5">
        <v>146</v>
      </c>
      <c r="L286" s="5">
        <v>249</v>
      </c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>
        <f>'Electricity '!I288+'Electricity '!O288</f>
        <v>24649.559999999798</v>
      </c>
      <c r="F287" s="153">
        <v>0.85</v>
      </c>
      <c r="G287" s="4">
        <f>'Gas Water'!M289</f>
        <v>2091</v>
      </c>
      <c r="H287" s="153">
        <v>2.65</v>
      </c>
      <c r="I287" s="2">
        <f>'Gas Water'!L289</f>
        <v>230</v>
      </c>
      <c r="J287" s="153">
        <v>13.9</v>
      </c>
      <c r="K287" s="5">
        <v>144</v>
      </c>
      <c r="L287" s="5">
        <v>253</v>
      </c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>
        <f>'Electricity '!I289+'Electricity '!O289</f>
        <v>26164.799999999737</v>
      </c>
      <c r="F288" s="153">
        <v>0.85</v>
      </c>
      <c r="G288" s="4">
        <f>'Gas Water'!M290</f>
        <v>1884</v>
      </c>
      <c r="H288" s="153">
        <v>2.65</v>
      </c>
      <c r="I288" s="2">
        <f>'Gas Water'!L290</f>
        <v>215</v>
      </c>
      <c r="J288" s="153">
        <v>13.9</v>
      </c>
      <c r="K288" s="5">
        <v>135</v>
      </c>
      <c r="L288" s="5">
        <v>240</v>
      </c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>
        <f>'Electricity '!I290+'Electricity '!O290</f>
        <v>24144.480000000443</v>
      </c>
      <c r="F289" s="153">
        <v>0.85</v>
      </c>
      <c r="G289" s="4">
        <f>'Gas Water'!M291</f>
        <v>1637</v>
      </c>
      <c r="H289" s="153">
        <v>2.65</v>
      </c>
      <c r="I289" s="2">
        <f>'Gas Water'!L291</f>
        <v>209</v>
      </c>
      <c r="J289" s="153">
        <v>13.9</v>
      </c>
      <c r="K289" s="5">
        <v>149</v>
      </c>
      <c r="L289" s="5">
        <v>270</v>
      </c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>
        <f>'Electricity '!I291+'Electricity '!O291</f>
        <v>25581.060000000361</v>
      </c>
      <c r="F290" s="153">
        <v>0.85</v>
      </c>
      <c r="G290" s="4">
        <f>'Gas Water'!M292</f>
        <v>1539</v>
      </c>
      <c r="H290" s="153">
        <v>2.65</v>
      </c>
      <c r="I290" s="2">
        <f>'Gas Water'!L292</f>
        <v>204</v>
      </c>
      <c r="J290" s="153">
        <v>13.9</v>
      </c>
      <c r="K290" s="5">
        <v>153</v>
      </c>
      <c r="L290" s="5">
        <v>285</v>
      </c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>
        <f>'Electricity '!I292+'Electricity '!O292</f>
        <v>24243.839999999978</v>
      </c>
      <c r="F291" s="153">
        <v>0.85</v>
      </c>
      <c r="G291" s="4">
        <f>'Gas Water'!M293</f>
        <v>2160</v>
      </c>
      <c r="H291" s="153">
        <v>2.65</v>
      </c>
      <c r="I291" s="2">
        <f>'Gas Water'!L293</f>
        <v>216</v>
      </c>
      <c r="J291" s="153">
        <v>13.9</v>
      </c>
      <c r="K291" s="5">
        <v>140</v>
      </c>
      <c r="L291" s="5">
        <v>244</v>
      </c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>
        <f>'Electricity '!I293+'Electricity '!O293</f>
        <v>25237.440000000017</v>
      </c>
      <c r="F292" s="153">
        <v>0.85</v>
      </c>
      <c r="G292" s="4">
        <f>'Gas Water'!M294</f>
        <v>1918</v>
      </c>
      <c r="H292" s="153">
        <v>2.65</v>
      </c>
      <c r="I292" s="2">
        <f>'Gas Water'!L294</f>
        <v>217</v>
      </c>
      <c r="J292" s="153">
        <v>13.9</v>
      </c>
      <c r="K292" s="5">
        <v>146</v>
      </c>
      <c r="L292" s="5">
        <v>276</v>
      </c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>
        <f>'Electricity '!I294+'Electricity '!O294</f>
        <v>25547.93999999926</v>
      </c>
      <c r="F293" s="153">
        <v>0.85</v>
      </c>
      <c r="G293" s="4">
        <f>'Gas Water'!M295</f>
        <v>2056</v>
      </c>
      <c r="H293" s="153">
        <v>2.65</v>
      </c>
      <c r="I293" s="2">
        <f>'Gas Water'!L295</f>
        <v>228</v>
      </c>
      <c r="J293" s="153">
        <v>13.9</v>
      </c>
      <c r="K293" s="5">
        <v>140</v>
      </c>
      <c r="L293" s="5">
        <v>263</v>
      </c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>
        <f>'Electricity '!I295+'Electricity '!O295</f>
        <v>24397.02000000012</v>
      </c>
      <c r="F294" s="153">
        <v>0.85</v>
      </c>
      <c r="G294" s="4">
        <f>'Gas Water'!M296</f>
        <v>2107</v>
      </c>
      <c r="H294" s="153">
        <v>2.65</v>
      </c>
      <c r="I294" s="2">
        <f>'Gas Water'!L296</f>
        <v>239</v>
      </c>
      <c r="J294" s="153">
        <v>13.9</v>
      </c>
      <c r="K294" s="5">
        <v>149</v>
      </c>
      <c r="L294" s="5">
        <v>289</v>
      </c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>
        <f>'Electricity '!I296+'Electricity '!O296</f>
        <v>24686.819999999858</v>
      </c>
      <c r="F295" s="153">
        <v>0.85</v>
      </c>
      <c r="G295" s="4">
        <f>'Gas Water'!M297</f>
        <v>1962</v>
      </c>
      <c r="H295" s="153">
        <v>2.65</v>
      </c>
      <c r="I295" s="2">
        <f>'Gas Water'!L297</f>
        <v>239</v>
      </c>
      <c r="J295" s="153">
        <v>13.9</v>
      </c>
      <c r="K295" s="5">
        <v>154</v>
      </c>
      <c r="L295" s="5">
        <v>269</v>
      </c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>
        <f>'Electricity '!I297+'Electricity '!O297</f>
        <v>24993.180000000142</v>
      </c>
      <c r="F296" s="153">
        <v>0.85</v>
      </c>
      <c r="G296" s="4">
        <f>'Gas Water'!M298</f>
        <v>1900</v>
      </c>
      <c r="H296" s="153">
        <v>2.65</v>
      </c>
      <c r="I296" s="2">
        <f>'Gas Water'!L298</f>
        <v>226</v>
      </c>
      <c r="J296" s="153">
        <v>13.9</v>
      </c>
      <c r="K296" s="5">
        <v>156</v>
      </c>
      <c r="L296" s="5">
        <v>267</v>
      </c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>
        <f>'Electricity '!I298+'Electricity '!O298</f>
        <v>25427.880000000219</v>
      </c>
      <c r="F297" s="153">
        <v>0.85</v>
      </c>
      <c r="G297" s="4">
        <f>'Gas Water'!M299</f>
        <v>1936</v>
      </c>
      <c r="H297" s="153">
        <v>2.65</v>
      </c>
      <c r="I297" s="2">
        <f>'Gas Water'!L299</f>
        <v>233</v>
      </c>
      <c r="J297" s="153">
        <v>13.9</v>
      </c>
      <c r="K297" s="5">
        <v>148</v>
      </c>
      <c r="L297" s="5">
        <v>268</v>
      </c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>
        <f>'Electricity '!I299+'Electricity '!O299</f>
        <v>25001.459999999948</v>
      </c>
      <c r="F298" s="153">
        <v>0.85</v>
      </c>
      <c r="G298" s="4">
        <f>'Gas Water'!M300</f>
        <v>2366</v>
      </c>
      <c r="H298" s="153">
        <v>2.65</v>
      </c>
      <c r="I298" s="2">
        <f>'Gas Water'!L300</f>
        <v>213</v>
      </c>
      <c r="J298" s="153">
        <v>13.9</v>
      </c>
      <c r="K298" s="5">
        <v>140</v>
      </c>
      <c r="L298" s="5">
        <v>251</v>
      </c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>
        <f>'Electricity '!I300+'Electricity '!O300</f>
        <v>22943.879999999655</v>
      </c>
      <c r="F299" s="153">
        <v>0.85</v>
      </c>
      <c r="G299" s="4">
        <f>'Gas Water'!M301</f>
        <v>2249</v>
      </c>
      <c r="H299" s="153">
        <v>2.65</v>
      </c>
      <c r="I299" s="2">
        <f>'Gas Water'!L301</f>
        <v>212</v>
      </c>
      <c r="J299" s="153">
        <v>13.9</v>
      </c>
      <c r="K299" s="5">
        <v>142</v>
      </c>
      <c r="L299" s="5">
        <v>252</v>
      </c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>
        <f>'Electricity '!I301+'Electricity '!O301</f>
        <v>22248.360000000099</v>
      </c>
      <c r="F300" s="153">
        <v>0.85</v>
      </c>
      <c r="G300" s="4">
        <f>'Gas Water'!M302</f>
        <v>2121</v>
      </c>
      <c r="H300" s="153">
        <v>2.65</v>
      </c>
      <c r="I300" s="2">
        <f>'Gas Water'!L302</f>
        <v>214</v>
      </c>
      <c r="J300" s="153">
        <v>13.9</v>
      </c>
      <c r="K300" s="5">
        <v>127</v>
      </c>
      <c r="L300" s="5">
        <v>233</v>
      </c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>
        <f>'Electricity '!I302+'Electricity '!O302</f>
        <v>22285.620000000159</v>
      </c>
      <c r="F301" s="153">
        <v>0.85</v>
      </c>
      <c r="G301" s="4">
        <f>'Gas Water'!M303</f>
        <v>2006</v>
      </c>
      <c r="H301" s="153">
        <v>2.65</v>
      </c>
      <c r="I301" s="2">
        <f>'Gas Water'!L303</f>
        <v>246</v>
      </c>
      <c r="J301" s="153">
        <v>13.9</v>
      </c>
      <c r="K301" s="5">
        <v>137</v>
      </c>
      <c r="L301" s="5">
        <v>240</v>
      </c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>
        <f>'Electricity '!I303+'Electricity '!O303</f>
        <v>22376.699999999888</v>
      </c>
      <c r="F302" s="153">
        <v>0.85</v>
      </c>
      <c r="G302" s="4">
        <f>'Gas Water'!M304</f>
        <v>1976</v>
      </c>
      <c r="H302" s="153">
        <v>2.65</v>
      </c>
      <c r="I302" s="2">
        <f>'Gas Water'!L304</f>
        <v>184</v>
      </c>
      <c r="J302" s="153">
        <v>13.9</v>
      </c>
      <c r="K302" s="5">
        <v>141</v>
      </c>
      <c r="L302" s="5">
        <v>252</v>
      </c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>
        <f>'Electricity '!I304+'Electricity '!O304</f>
        <v>21867.480000000633</v>
      </c>
      <c r="F303" s="153">
        <v>0.85</v>
      </c>
      <c r="G303" s="4">
        <f>'Gas Water'!M305</f>
        <v>2020</v>
      </c>
      <c r="H303" s="153">
        <v>2.65</v>
      </c>
      <c r="I303" s="2">
        <f>'Gas Water'!L305</f>
        <v>221</v>
      </c>
      <c r="J303" s="153">
        <v>13.9</v>
      </c>
      <c r="K303" s="5">
        <v>154</v>
      </c>
      <c r="L303" s="5">
        <v>288</v>
      </c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>
        <f>'Electricity '!I305+'Electricity '!O305</f>
        <v>23631.119999999406</v>
      </c>
      <c r="F304" s="153">
        <v>0.85</v>
      </c>
      <c r="G304" s="4">
        <f>'Gas Water'!M306</f>
        <v>2000</v>
      </c>
      <c r="H304" s="153">
        <v>2.65</v>
      </c>
      <c r="I304" s="2">
        <f>'Gas Water'!L306</f>
        <v>211</v>
      </c>
      <c r="J304" s="153">
        <v>13.9</v>
      </c>
      <c r="K304" s="5">
        <v>152</v>
      </c>
      <c r="L304" s="5">
        <v>290</v>
      </c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>
        <f>'Electricity '!I306+'Electricity '!O306</f>
        <v>24442.559999999983</v>
      </c>
      <c r="F305" s="153">
        <v>0.85</v>
      </c>
      <c r="G305" s="4">
        <f>'Gas Water'!M307</f>
        <v>1940</v>
      </c>
      <c r="H305" s="153">
        <v>2.65</v>
      </c>
      <c r="I305" s="2">
        <f>'Gas Water'!L307</f>
        <v>163</v>
      </c>
      <c r="J305" s="153">
        <v>13.9</v>
      </c>
      <c r="K305" s="5">
        <v>139</v>
      </c>
      <c r="L305" s="5">
        <v>250</v>
      </c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>
        <f>'Electricity '!I307+'Electricity '!O307</f>
        <v>21983.400000000714</v>
      </c>
      <c r="F306" s="153">
        <v>0.97</v>
      </c>
      <c r="G306" s="4">
        <f>'Gas Water'!M308</f>
        <v>2103</v>
      </c>
      <c r="H306" s="153">
        <v>3.85</v>
      </c>
      <c r="I306" s="2">
        <f>'Gas Water'!L308</f>
        <v>277</v>
      </c>
      <c r="J306" s="153">
        <v>13.9</v>
      </c>
      <c r="K306" s="5">
        <v>150</v>
      </c>
      <c r="L306" s="5">
        <v>251</v>
      </c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>
        <f>'Electricity '!I308+'Electricity '!O308</f>
        <v>28826.819999999858</v>
      </c>
      <c r="F307" s="153">
        <v>0.97</v>
      </c>
      <c r="G307" s="4">
        <f>'Gas Water'!M309</f>
        <v>2052</v>
      </c>
      <c r="H307" s="153">
        <v>3.85</v>
      </c>
      <c r="I307" s="2">
        <f>'Gas Water'!L309</f>
        <v>243</v>
      </c>
      <c r="J307" s="153">
        <v>13.9</v>
      </c>
      <c r="K307" s="5">
        <v>147</v>
      </c>
      <c r="L307" s="5">
        <v>241</v>
      </c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>
        <f>'Electricity '!I309+'Electricity '!O309</f>
        <v>21184.379999999841</v>
      </c>
      <c r="F308" s="153">
        <v>0.97</v>
      </c>
      <c r="G308" s="4">
        <f>'Gas Water'!M310</f>
        <v>1612</v>
      </c>
      <c r="H308" s="153">
        <v>3.85</v>
      </c>
      <c r="I308" s="2">
        <f>'Gas Water'!L310</f>
        <v>233</v>
      </c>
      <c r="J308" s="153">
        <v>13.9</v>
      </c>
      <c r="K308" s="5">
        <v>144</v>
      </c>
      <c r="L308" s="5">
        <v>226</v>
      </c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>
        <f>'Electricity '!I310+'Electricity '!O310</f>
        <v>23900.21999999963</v>
      </c>
      <c r="F309" s="153">
        <v>0.97</v>
      </c>
      <c r="G309" s="4">
        <f>'Gas Water'!M311</f>
        <v>1533</v>
      </c>
      <c r="H309" s="153">
        <v>3.85</v>
      </c>
      <c r="I309" s="2">
        <f>'Gas Water'!L311</f>
        <v>193</v>
      </c>
      <c r="J309" s="153">
        <v>13.9</v>
      </c>
      <c r="K309" s="5">
        <v>127</v>
      </c>
      <c r="L309" s="5">
        <v>202</v>
      </c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>
        <f>'Electricity '!I311+'Electricity '!O311</f>
        <v>24583.320000000422</v>
      </c>
      <c r="F310" s="153">
        <v>0.97</v>
      </c>
      <c r="G310" s="4">
        <f>'Gas Water'!M312</f>
        <v>1593</v>
      </c>
      <c r="H310" s="153">
        <v>3.85</v>
      </c>
      <c r="I310" s="2">
        <f>'Gas Water'!L312</f>
        <v>168</v>
      </c>
      <c r="J310" s="153">
        <v>13.9</v>
      </c>
      <c r="K310" s="5">
        <v>112</v>
      </c>
      <c r="L310" s="5">
        <v>208</v>
      </c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>
        <f>'Electricity '!I312+'Electricity '!O312</f>
        <v>25721.819999999858</v>
      </c>
      <c r="F311" s="153">
        <v>0.97</v>
      </c>
      <c r="G311" s="4">
        <f>'Gas Water'!M313</f>
        <v>1596</v>
      </c>
      <c r="H311" s="153">
        <v>3.85</v>
      </c>
      <c r="I311" s="2">
        <f>'Gas Water'!L313</f>
        <v>171</v>
      </c>
      <c r="J311" s="153">
        <v>13.9</v>
      </c>
      <c r="K311" s="5">
        <v>126</v>
      </c>
      <c r="L311" s="5">
        <v>236</v>
      </c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>
        <f>'Electricity '!I313+'Electricity '!O313</f>
        <v>25034.580000000104</v>
      </c>
      <c r="F312" s="153">
        <v>0.97</v>
      </c>
      <c r="G312" s="4">
        <f>'Gas Water'!M314</f>
        <v>1741</v>
      </c>
      <c r="H312" s="153">
        <v>3.85</v>
      </c>
      <c r="I312" s="2">
        <f>'Gas Water'!L314</f>
        <v>184</v>
      </c>
      <c r="J312" s="153">
        <v>13.9</v>
      </c>
      <c r="K312" s="5">
        <v>127</v>
      </c>
      <c r="L312" s="5">
        <v>213</v>
      </c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>
        <f>'Electricity '!I314+'Electricity '!O314</f>
        <v>23473.800000000301</v>
      </c>
      <c r="F313" s="153">
        <v>0.97</v>
      </c>
      <c r="G313" s="4">
        <f>'Gas Water'!M315</f>
        <v>1596</v>
      </c>
      <c r="H313" s="153">
        <v>3.85</v>
      </c>
      <c r="I313" s="2">
        <f>'Gas Water'!L315</f>
        <v>190</v>
      </c>
      <c r="J313" s="153">
        <v>13.9</v>
      </c>
      <c r="K313" s="5">
        <v>132</v>
      </c>
      <c r="L313" s="5">
        <v>209</v>
      </c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>
        <f>'Electricity '!I315+'Electricity '!O315</f>
        <v>23258.519999999742</v>
      </c>
      <c r="F314" s="153">
        <v>0.97</v>
      </c>
      <c r="G314" s="4">
        <f>'Gas Water'!M316</f>
        <v>1752</v>
      </c>
      <c r="H314" s="153">
        <v>3.85</v>
      </c>
      <c r="I314" s="2">
        <f>'Gas Water'!L316</f>
        <v>179</v>
      </c>
      <c r="J314" s="153">
        <v>13.9</v>
      </c>
      <c r="K314" s="5">
        <v>143</v>
      </c>
      <c r="L314" s="5">
        <v>215</v>
      </c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>
        <f>'Electricity '!I316+'Electricity '!O316</f>
        <v>22960.440000000202</v>
      </c>
      <c r="F315" s="153">
        <v>0.97</v>
      </c>
      <c r="G315" s="4">
        <f>'Gas Water'!M317</f>
        <v>2040</v>
      </c>
      <c r="H315" s="153">
        <v>3.85</v>
      </c>
      <c r="I315" s="2">
        <f>'Gas Water'!L317</f>
        <v>193</v>
      </c>
      <c r="J315" s="153">
        <v>13.9</v>
      </c>
      <c r="K315" s="5">
        <v>129</v>
      </c>
      <c r="L315" s="5">
        <v>192</v>
      </c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>
        <f>'Electricity '!I317+'Electricity '!O317</f>
        <v>22914.899999999398</v>
      </c>
      <c r="F316" s="153">
        <v>0.97</v>
      </c>
      <c r="G316" s="4">
        <f>'Gas Water'!M318</f>
        <v>2064</v>
      </c>
      <c r="H316" s="153">
        <v>3.85</v>
      </c>
      <c r="I316" s="2">
        <f>'Gas Water'!L318</f>
        <v>179</v>
      </c>
      <c r="J316" s="153">
        <v>13.9</v>
      </c>
      <c r="K316" s="5">
        <v>149</v>
      </c>
      <c r="L316" s="5">
        <v>238</v>
      </c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>
        <f>'Electricity '!I318+'Electricity '!O318</f>
        <v>22981.140000000654</v>
      </c>
      <c r="F317" s="153">
        <v>0.97</v>
      </c>
      <c r="G317" s="4">
        <f>'Gas Water'!M319</f>
        <v>1961</v>
      </c>
      <c r="H317" s="153">
        <v>3.85</v>
      </c>
      <c r="I317" s="2">
        <f>'Gas Water'!L319</f>
        <v>165</v>
      </c>
      <c r="J317" s="153">
        <v>13.9</v>
      </c>
      <c r="K317" s="5">
        <v>133</v>
      </c>
      <c r="L317" s="5">
        <v>224</v>
      </c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>
        <f>'Electricity '!I319+'Electricity '!O319</f>
        <v>22993.559999999419</v>
      </c>
      <c r="F318" s="153">
        <v>0.97</v>
      </c>
      <c r="G318" s="4">
        <f>'Gas Water'!M320</f>
        <v>2032</v>
      </c>
      <c r="H318" s="153">
        <v>3.85</v>
      </c>
      <c r="I318" s="2">
        <f>'Gas Water'!L320</f>
        <v>164</v>
      </c>
      <c r="J318" s="153">
        <v>13.9</v>
      </c>
      <c r="K318" s="5">
        <v>134</v>
      </c>
      <c r="L318" s="5">
        <v>230</v>
      </c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>
        <f>'Electricity '!I320+'Electricity '!O320</f>
        <v>22583.699999999699</v>
      </c>
      <c r="F319" s="153">
        <v>0.97</v>
      </c>
      <c r="G319" s="4">
        <f>'Gas Water'!M321</f>
        <v>1811</v>
      </c>
      <c r="H319" s="153">
        <v>3.85</v>
      </c>
      <c r="I319" s="2">
        <f>'Gas Water'!L321</f>
        <v>176</v>
      </c>
      <c r="J319" s="153">
        <v>13.9</v>
      </c>
      <c r="K319" s="5">
        <v>144</v>
      </c>
      <c r="L319" s="5">
        <v>217</v>
      </c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>
        <f>'Electricity '!I321+'Electricity '!O321</f>
        <v>22637.52000000031</v>
      </c>
      <c r="F320" s="153">
        <v>0.97</v>
      </c>
      <c r="G320" s="4">
        <f>'Gas Water'!M322</f>
        <v>1757</v>
      </c>
      <c r="H320" s="153">
        <v>3.85</v>
      </c>
      <c r="I320" s="2">
        <f>'Gas Water'!L322</f>
        <v>210</v>
      </c>
      <c r="J320" s="153">
        <v>13.9</v>
      </c>
      <c r="K320" s="5">
        <v>128</v>
      </c>
      <c r="L320" s="5">
        <v>199</v>
      </c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>
        <f>'Electricity '!I322+'Electricity '!O322</f>
        <v>23308.200000000452</v>
      </c>
      <c r="F321" s="153">
        <v>0.97</v>
      </c>
      <c r="G321" s="4">
        <f>'Gas Water'!M323</f>
        <v>1897</v>
      </c>
      <c r="H321" s="153">
        <v>3.85</v>
      </c>
      <c r="I321" s="2">
        <f>'Gas Water'!L323</f>
        <v>231</v>
      </c>
      <c r="J321" s="153">
        <v>13.9</v>
      </c>
      <c r="K321" s="5">
        <v>118</v>
      </c>
      <c r="L321" s="5">
        <v>183</v>
      </c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>
        <f>'Electricity '!I323+'Electricity '!O323</f>
        <v>22939.739999999751</v>
      </c>
      <c r="F322" s="153">
        <v>0.97</v>
      </c>
      <c r="G322" s="4">
        <f>'Gas Water'!M324</f>
        <v>1954</v>
      </c>
      <c r="H322" s="153">
        <v>3.85</v>
      </c>
      <c r="I322" s="2">
        <f>'Gas Water'!L324</f>
        <v>159</v>
      </c>
      <c r="J322" s="153">
        <v>13.9</v>
      </c>
      <c r="K322" s="5">
        <v>98</v>
      </c>
      <c r="L322" s="5">
        <v>166</v>
      </c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>
        <f>'Electricity '!I324+'Electricity '!O324</f>
        <v>23614.559999999798</v>
      </c>
      <c r="F323" s="153">
        <v>0.97</v>
      </c>
      <c r="G323" s="4">
        <f>'Gas Water'!M325</f>
        <v>2113</v>
      </c>
      <c r="H323" s="153">
        <v>3.85</v>
      </c>
      <c r="I323" s="2">
        <f>'Gas Water'!L325</f>
        <v>217</v>
      </c>
      <c r="J323" s="153">
        <v>13.9</v>
      </c>
      <c r="K323" s="5">
        <v>122</v>
      </c>
      <c r="L323" s="5">
        <v>205</v>
      </c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>
        <f>'Electricity '!I325+'Electricity '!O325</f>
        <v>25432.02000000012</v>
      </c>
      <c r="F324" s="153">
        <v>0.97</v>
      </c>
      <c r="G324" s="4">
        <f>'Gas Water'!M326</f>
        <v>2339</v>
      </c>
      <c r="H324" s="153">
        <v>3.85</v>
      </c>
      <c r="I324" s="2">
        <f>'Gas Water'!L326</f>
        <v>178</v>
      </c>
      <c r="J324" s="153">
        <v>13.9</v>
      </c>
      <c r="K324" s="5">
        <v>141</v>
      </c>
      <c r="L324" s="5">
        <v>243</v>
      </c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>
        <f>'Electricity '!I326+'Electricity '!O326</f>
        <v>24202.440000000017</v>
      </c>
      <c r="F325" s="153">
        <v>0.97</v>
      </c>
      <c r="G325" s="4">
        <f>'Gas Water'!M327</f>
        <v>2342</v>
      </c>
      <c r="H325" s="153">
        <v>3.85</v>
      </c>
      <c r="I325" s="2">
        <f>'Gas Water'!L327</f>
        <v>193</v>
      </c>
      <c r="J325" s="153">
        <v>13.9</v>
      </c>
      <c r="K325" s="5">
        <v>138</v>
      </c>
      <c r="L325" s="5">
        <v>237</v>
      </c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>
        <f>'Electricity '!I327+'Electricity '!O327</f>
        <v>22724.460000000137</v>
      </c>
      <c r="F326" s="153">
        <v>0.97</v>
      </c>
      <c r="G326" s="4">
        <f>'Gas Water'!M328</f>
        <v>2017</v>
      </c>
      <c r="H326" s="153">
        <v>3.85</v>
      </c>
      <c r="I326" s="2">
        <f>'Gas Water'!L328</f>
        <v>169</v>
      </c>
      <c r="J326" s="153">
        <v>13.9</v>
      </c>
      <c r="K326" s="5">
        <v>117</v>
      </c>
      <c r="L326" s="5">
        <v>190</v>
      </c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>
        <f>'Electricity '!I328+'Electricity '!O328</f>
        <v>21921.300000000301</v>
      </c>
      <c r="F327" s="153">
        <v>0.97</v>
      </c>
      <c r="G327" s="4">
        <f>'Gas Water'!M329</f>
        <v>1716</v>
      </c>
      <c r="H327" s="153">
        <v>3.85</v>
      </c>
      <c r="I327" s="2">
        <f>'Gas Water'!L329</f>
        <v>166</v>
      </c>
      <c r="J327" s="153">
        <v>13.9</v>
      </c>
      <c r="K327" s="5">
        <v>127</v>
      </c>
      <c r="L327" s="5">
        <v>198</v>
      </c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>
        <f>'Electricity '!I329+'Electricity '!O329</f>
        <v>24604.019999999931</v>
      </c>
      <c r="F328" s="153">
        <v>0.97</v>
      </c>
      <c r="G328" s="4">
        <f>'Gas Water'!M330</f>
        <v>1923</v>
      </c>
      <c r="H328" s="153">
        <v>3.85</v>
      </c>
      <c r="I328" s="2">
        <f>'Gas Water'!L330</f>
        <v>171</v>
      </c>
      <c r="J328" s="153">
        <v>13.9</v>
      </c>
      <c r="K328" s="5">
        <v>142</v>
      </c>
      <c r="L328" s="5">
        <v>217</v>
      </c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>
        <f>'Electricity '!I330+'Electricity '!O330</f>
        <v>24111.359999999346</v>
      </c>
      <c r="F329" s="153">
        <v>0.97</v>
      </c>
      <c r="G329" s="4">
        <f>'Gas Water'!M331</f>
        <v>2248</v>
      </c>
      <c r="H329" s="153">
        <v>3.85</v>
      </c>
      <c r="I329" s="2">
        <f>'Gas Water'!L331</f>
        <v>286</v>
      </c>
      <c r="J329" s="153">
        <v>13.9</v>
      </c>
      <c r="K329" s="5">
        <v>138</v>
      </c>
      <c r="L329" s="5">
        <v>229</v>
      </c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>
        <f>'Electricity '!I331+'Electricity '!O331</f>
        <v>24136.200000000641</v>
      </c>
      <c r="F330" s="153">
        <v>0.97</v>
      </c>
      <c r="G330" s="4">
        <f>'Gas Water'!M332</f>
        <v>2253</v>
      </c>
      <c r="H330" s="153">
        <v>3.85</v>
      </c>
      <c r="I330" s="2">
        <f>'Gas Water'!L332</f>
        <v>159</v>
      </c>
      <c r="J330" s="153">
        <v>13.9</v>
      </c>
      <c r="K330" s="5">
        <v>147</v>
      </c>
      <c r="L330" s="5">
        <v>271</v>
      </c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>
        <f>'Electricity '!I332+'Electricity '!O332</f>
        <v>25324.379999999841</v>
      </c>
      <c r="F331" s="153">
        <v>0.97</v>
      </c>
      <c r="G331" s="4">
        <f>'Gas Water'!M333</f>
        <v>1849</v>
      </c>
      <c r="H331" s="153">
        <v>3.85</v>
      </c>
      <c r="I331" s="2">
        <f>'Gas Water'!L333</f>
        <v>181</v>
      </c>
      <c r="J331" s="153">
        <v>13.9</v>
      </c>
      <c r="K331" s="5">
        <v>136</v>
      </c>
      <c r="L331" s="5">
        <v>265</v>
      </c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>
        <f>'Electricity '!I333+'Electricity '!O333</f>
        <v>22749.299999999548</v>
      </c>
      <c r="F332" s="153">
        <v>0.97</v>
      </c>
      <c r="G332" s="4">
        <f>'Gas Water'!M334</f>
        <v>1632</v>
      </c>
      <c r="H332" s="153">
        <v>3.85</v>
      </c>
      <c r="I332" s="2">
        <f>'Gas Water'!L334</f>
        <v>219</v>
      </c>
      <c r="J332" s="153">
        <v>13.9</v>
      </c>
      <c r="K332" s="5">
        <v>141</v>
      </c>
      <c r="L332" s="5">
        <v>280</v>
      </c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>
        <f>'Electricity '!I334+'Electricity '!O334</f>
        <v>23573.159999999836</v>
      </c>
      <c r="F333" s="153">
        <v>0.97</v>
      </c>
      <c r="G333" s="4">
        <f>'Gas Water'!M335</f>
        <v>1526</v>
      </c>
      <c r="H333" s="153">
        <v>3.85</v>
      </c>
      <c r="I333" s="2">
        <f>'Gas Water'!L335</f>
        <v>184</v>
      </c>
      <c r="J333" s="153">
        <v>13.9</v>
      </c>
      <c r="K333" s="5">
        <v>111</v>
      </c>
      <c r="L333" s="5">
        <v>206</v>
      </c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>
        <f>'Electricity '!I335+'Electricity '!O335</f>
        <v>19391.760000000813</v>
      </c>
      <c r="F334" s="153">
        <v>0.97</v>
      </c>
      <c r="G334" s="4">
        <f>'Gas Water'!M336</f>
        <v>1550</v>
      </c>
      <c r="H334" s="153">
        <v>3.85</v>
      </c>
      <c r="I334" s="2">
        <f>'Gas Water'!L336</f>
        <v>145</v>
      </c>
      <c r="J334" s="153">
        <v>13.9</v>
      </c>
      <c r="K334" s="5">
        <v>86</v>
      </c>
      <c r="L334" s="5">
        <v>164</v>
      </c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>
        <f>'Electricity '!I336+'Electricity '!O336</f>
        <v>21565.259999999307</v>
      </c>
      <c r="F335" s="153">
        <v>0.97</v>
      </c>
      <c r="G335" s="4">
        <f>'Gas Water'!M337</f>
        <v>2192</v>
      </c>
      <c r="H335" s="153">
        <v>3.85</v>
      </c>
      <c r="I335" s="2">
        <f>'Gas Water'!L337</f>
        <v>178</v>
      </c>
      <c r="J335" s="153">
        <v>13.9</v>
      </c>
      <c r="K335" s="5">
        <v>98</v>
      </c>
      <c r="L335" s="5">
        <v>184</v>
      </c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>
        <f>'Electricity '!I337+'Electricity '!O337</f>
        <v>20911.140000000654</v>
      </c>
      <c r="F336" s="153">
        <f>('Electricity '!I337*0.55+'Gas Water'!H338*1.88)/(Total!E336)</f>
        <v>0.55000000000000004</v>
      </c>
      <c r="G336" s="4">
        <f>'Gas Water'!M338</f>
        <v>2217</v>
      </c>
      <c r="H336" s="153">
        <v>1.88</v>
      </c>
      <c r="I336" s="2">
        <f>'Gas Water'!L338</f>
        <v>189</v>
      </c>
      <c r="J336" s="153">
        <v>11.3</v>
      </c>
      <c r="K336" s="5">
        <v>95</v>
      </c>
      <c r="L336" s="5">
        <v>169</v>
      </c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>
        <f>'Electricity '!I338+'Electricity '!O338</f>
        <v>23366.160000000022</v>
      </c>
      <c r="F337" s="153">
        <f>('Electricity '!I338*0.55+'Gas Water'!H339*1.88)/(Total!E337)</f>
        <v>0.55000000000000004</v>
      </c>
      <c r="G337" s="4">
        <f>'Gas Water'!M339</f>
        <v>1907</v>
      </c>
      <c r="H337" s="153">
        <v>1.88</v>
      </c>
      <c r="I337" s="2">
        <f>'Gas Water'!L339</f>
        <v>166</v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298" workbookViewId="0">
      <selection activeCell="R320" sqref="R320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>
        <v>16228335</v>
      </c>
      <c r="D288" s="24">
        <v>4956992</v>
      </c>
      <c r="E288" s="25">
        <v>227942</v>
      </c>
      <c r="F288" s="26">
        <v>622864</v>
      </c>
      <c r="G288" s="27">
        <v>278607</v>
      </c>
      <c r="H288" s="28">
        <f t="shared" si="23"/>
        <v>0</v>
      </c>
      <c r="I288" s="28">
        <f t="shared" si="23"/>
        <v>1347</v>
      </c>
      <c r="J288" s="28">
        <f t="shared" si="23"/>
        <v>242</v>
      </c>
      <c r="K288" s="28">
        <f t="shared" si="23"/>
        <v>200</v>
      </c>
      <c r="L288" s="29">
        <f t="shared" si="23"/>
        <v>175</v>
      </c>
      <c r="M288" s="30">
        <f t="shared" si="24"/>
        <v>1789</v>
      </c>
      <c r="Q288" s="20">
        <f t="shared" si="25"/>
        <v>0</v>
      </c>
    </row>
    <row r="289" spans="2:17" ht="12.95" customHeight="1" x14ac:dyDescent="0.2">
      <c r="B289" s="22">
        <v>44482</v>
      </c>
      <c r="C289" s="41">
        <v>16228335</v>
      </c>
      <c r="D289" s="24">
        <v>4958607</v>
      </c>
      <c r="E289" s="25">
        <v>228231</v>
      </c>
      <c r="F289" s="26">
        <v>623051</v>
      </c>
      <c r="G289" s="27">
        <v>278837</v>
      </c>
      <c r="H289" s="28">
        <f t="shared" si="23"/>
        <v>0</v>
      </c>
      <c r="I289" s="28">
        <f t="shared" si="23"/>
        <v>1615</v>
      </c>
      <c r="J289" s="28">
        <f t="shared" si="23"/>
        <v>289</v>
      </c>
      <c r="K289" s="28">
        <f t="shared" si="23"/>
        <v>187</v>
      </c>
      <c r="L289" s="29">
        <f t="shared" si="23"/>
        <v>230</v>
      </c>
      <c r="M289" s="30">
        <f t="shared" si="24"/>
        <v>2091</v>
      </c>
      <c r="Q289" s="20">
        <f t="shared" si="25"/>
        <v>0</v>
      </c>
    </row>
    <row r="290" spans="2:17" ht="12.95" customHeight="1" x14ac:dyDescent="0.2">
      <c r="B290" s="22">
        <v>44483</v>
      </c>
      <c r="C290" s="41">
        <v>16228335</v>
      </c>
      <c r="D290" s="24">
        <v>4960009</v>
      </c>
      <c r="E290" s="25">
        <v>228480</v>
      </c>
      <c r="F290" s="26">
        <v>623284</v>
      </c>
      <c r="G290" s="27">
        <v>279052</v>
      </c>
      <c r="H290" s="28">
        <f t="shared" si="23"/>
        <v>0</v>
      </c>
      <c r="I290" s="28">
        <f t="shared" si="23"/>
        <v>1402</v>
      </c>
      <c r="J290" s="28">
        <f t="shared" si="23"/>
        <v>249</v>
      </c>
      <c r="K290" s="28">
        <f t="shared" si="23"/>
        <v>233</v>
      </c>
      <c r="L290" s="29">
        <f t="shared" si="23"/>
        <v>215</v>
      </c>
      <c r="M290" s="30">
        <f t="shared" si="24"/>
        <v>1884</v>
      </c>
      <c r="Q290" s="20">
        <f t="shared" si="25"/>
        <v>0</v>
      </c>
    </row>
    <row r="291" spans="2:17" ht="12.95" customHeight="1" x14ac:dyDescent="0.2">
      <c r="B291" s="22">
        <v>44484</v>
      </c>
      <c r="C291" s="41">
        <v>16228335</v>
      </c>
      <c r="D291" s="24">
        <v>4961205</v>
      </c>
      <c r="E291" s="25">
        <v>228711</v>
      </c>
      <c r="F291" s="26">
        <v>623494</v>
      </c>
      <c r="G291" s="27">
        <v>279261</v>
      </c>
      <c r="H291" s="28">
        <f t="shared" si="23"/>
        <v>0</v>
      </c>
      <c r="I291" s="28">
        <f t="shared" si="23"/>
        <v>1196</v>
      </c>
      <c r="J291" s="28">
        <f t="shared" si="23"/>
        <v>231</v>
      </c>
      <c r="K291" s="28">
        <f t="shared" si="23"/>
        <v>210</v>
      </c>
      <c r="L291" s="29">
        <f t="shared" si="23"/>
        <v>209</v>
      </c>
      <c r="M291" s="30">
        <f t="shared" si="24"/>
        <v>1637</v>
      </c>
      <c r="Q291" s="20">
        <f t="shared" si="25"/>
        <v>0</v>
      </c>
    </row>
    <row r="292" spans="2:17" ht="12.95" customHeight="1" x14ac:dyDescent="0.2">
      <c r="B292" s="22">
        <v>44485</v>
      </c>
      <c r="C292" s="41">
        <v>16228335</v>
      </c>
      <c r="D292" s="24">
        <v>4962286</v>
      </c>
      <c r="E292" s="25">
        <v>228946</v>
      </c>
      <c r="F292" s="26">
        <v>623717</v>
      </c>
      <c r="G292" s="27">
        <v>279465</v>
      </c>
      <c r="H292" s="28">
        <f t="shared" si="23"/>
        <v>0</v>
      </c>
      <c r="I292" s="28">
        <f t="shared" si="23"/>
        <v>1081</v>
      </c>
      <c r="J292" s="28">
        <f t="shared" si="23"/>
        <v>235</v>
      </c>
      <c r="K292" s="28">
        <f t="shared" si="23"/>
        <v>223</v>
      </c>
      <c r="L292" s="29">
        <f t="shared" si="23"/>
        <v>204</v>
      </c>
      <c r="M292" s="30">
        <f t="shared" si="24"/>
        <v>1539</v>
      </c>
      <c r="Q292" s="20">
        <f t="shared" si="25"/>
        <v>0</v>
      </c>
    </row>
    <row r="293" spans="2:17" ht="12.95" customHeight="1" x14ac:dyDescent="0.2">
      <c r="B293" s="22">
        <v>44486</v>
      </c>
      <c r="C293" s="41">
        <v>16228335</v>
      </c>
      <c r="D293" s="24">
        <v>4963998</v>
      </c>
      <c r="E293" s="25">
        <v>229176</v>
      </c>
      <c r="F293" s="26">
        <v>623935</v>
      </c>
      <c r="G293" s="27">
        <v>279681</v>
      </c>
      <c r="H293" s="28">
        <f t="shared" si="23"/>
        <v>0</v>
      </c>
      <c r="I293" s="28">
        <f t="shared" si="23"/>
        <v>1712</v>
      </c>
      <c r="J293" s="28">
        <f t="shared" si="23"/>
        <v>230</v>
      </c>
      <c r="K293" s="28">
        <f t="shared" si="23"/>
        <v>218</v>
      </c>
      <c r="L293" s="29">
        <f t="shared" si="23"/>
        <v>216</v>
      </c>
      <c r="M293" s="30">
        <f t="shared" si="24"/>
        <v>2160</v>
      </c>
      <c r="Q293" s="20">
        <f t="shared" si="25"/>
        <v>0</v>
      </c>
    </row>
    <row r="294" spans="2:17" ht="12.95" customHeight="1" x14ac:dyDescent="0.2">
      <c r="B294" s="22">
        <v>44487</v>
      </c>
      <c r="C294" s="41">
        <v>16228335</v>
      </c>
      <c r="D294" s="24">
        <v>4965458</v>
      </c>
      <c r="E294" s="25">
        <v>229421</v>
      </c>
      <c r="F294" s="26">
        <v>624148</v>
      </c>
      <c r="G294" s="27">
        <v>279898</v>
      </c>
      <c r="H294" s="28">
        <f t="shared" si="23"/>
        <v>0</v>
      </c>
      <c r="I294" s="28">
        <f t="shared" si="23"/>
        <v>1460</v>
      </c>
      <c r="J294" s="28">
        <f t="shared" si="23"/>
        <v>245</v>
      </c>
      <c r="K294" s="28">
        <f t="shared" si="23"/>
        <v>213</v>
      </c>
      <c r="L294" s="29">
        <f t="shared" si="23"/>
        <v>217</v>
      </c>
      <c r="M294" s="30">
        <f t="shared" si="24"/>
        <v>1918</v>
      </c>
      <c r="Q294" s="20">
        <f t="shared" si="25"/>
        <v>0</v>
      </c>
    </row>
    <row r="295" spans="2:17" ht="12.95" customHeight="1" x14ac:dyDescent="0.2">
      <c r="B295" s="22">
        <v>44488</v>
      </c>
      <c r="C295" s="41">
        <v>16228335</v>
      </c>
      <c r="D295" s="24">
        <v>4967056</v>
      </c>
      <c r="E295" s="25">
        <v>229660</v>
      </c>
      <c r="F295" s="26">
        <v>624367</v>
      </c>
      <c r="G295" s="27">
        <v>280126</v>
      </c>
      <c r="H295" s="28">
        <f t="shared" si="23"/>
        <v>0</v>
      </c>
      <c r="I295" s="28">
        <f t="shared" si="23"/>
        <v>1598</v>
      </c>
      <c r="J295" s="28">
        <f t="shared" si="23"/>
        <v>239</v>
      </c>
      <c r="K295" s="28">
        <f t="shared" si="23"/>
        <v>219</v>
      </c>
      <c r="L295" s="29">
        <f t="shared" si="23"/>
        <v>228</v>
      </c>
      <c r="M295" s="30">
        <f t="shared" si="24"/>
        <v>2056</v>
      </c>
      <c r="Q295" s="20">
        <f t="shared" si="25"/>
        <v>0</v>
      </c>
    </row>
    <row r="296" spans="2:17" ht="12.95" customHeight="1" x14ac:dyDescent="0.2">
      <c r="B296" s="22">
        <v>44489</v>
      </c>
      <c r="C296" s="41">
        <v>16228335</v>
      </c>
      <c r="D296" s="24">
        <v>4968713</v>
      </c>
      <c r="E296" s="25">
        <v>229906</v>
      </c>
      <c r="F296" s="26">
        <v>624571</v>
      </c>
      <c r="G296" s="27">
        <v>280365</v>
      </c>
      <c r="H296" s="28">
        <f t="shared" si="23"/>
        <v>0</v>
      </c>
      <c r="I296" s="28">
        <f t="shared" si="23"/>
        <v>1657</v>
      </c>
      <c r="J296" s="28">
        <f t="shared" si="23"/>
        <v>246</v>
      </c>
      <c r="K296" s="28">
        <f t="shared" si="23"/>
        <v>204</v>
      </c>
      <c r="L296" s="29">
        <f t="shared" si="23"/>
        <v>239</v>
      </c>
      <c r="M296" s="30">
        <f t="shared" si="24"/>
        <v>2107</v>
      </c>
      <c r="Q296" s="20">
        <f t="shared" si="25"/>
        <v>0</v>
      </c>
    </row>
    <row r="297" spans="2:17" ht="12.95" customHeight="1" thickBot="1" x14ac:dyDescent="0.25">
      <c r="B297" s="22">
        <v>44490</v>
      </c>
      <c r="C297" s="41">
        <v>16228335</v>
      </c>
      <c r="D297" s="24">
        <v>4970224</v>
      </c>
      <c r="E297" s="25">
        <v>230148</v>
      </c>
      <c r="F297" s="26">
        <v>624780</v>
      </c>
      <c r="G297" s="27">
        <v>280604</v>
      </c>
      <c r="H297" s="28">
        <f t="shared" si="23"/>
        <v>0</v>
      </c>
      <c r="I297" s="28">
        <f t="shared" si="23"/>
        <v>1511</v>
      </c>
      <c r="J297" s="28">
        <f t="shared" si="23"/>
        <v>242</v>
      </c>
      <c r="K297" s="28">
        <f t="shared" si="23"/>
        <v>209</v>
      </c>
      <c r="L297" s="29">
        <f t="shared" si="23"/>
        <v>239</v>
      </c>
      <c r="M297" s="30">
        <f t="shared" si="24"/>
        <v>1962</v>
      </c>
      <c r="Q297" s="20">
        <f t="shared" si="25"/>
        <v>0</v>
      </c>
    </row>
    <row r="298" spans="2:17" ht="12.95" customHeight="1" x14ac:dyDescent="0.2">
      <c r="B298" s="22">
        <v>44491</v>
      </c>
      <c r="C298" s="41">
        <v>16228335</v>
      </c>
      <c r="D298" s="24">
        <v>4971690</v>
      </c>
      <c r="E298" s="25">
        <v>230358</v>
      </c>
      <c r="F298" s="26">
        <v>625004</v>
      </c>
      <c r="G298" s="27">
        <v>280830</v>
      </c>
      <c r="H298" s="28">
        <f t="shared" si="23"/>
        <v>0</v>
      </c>
      <c r="I298" s="28">
        <f t="shared" si="23"/>
        <v>1466</v>
      </c>
      <c r="J298" s="28">
        <f t="shared" si="23"/>
        <v>210</v>
      </c>
      <c r="K298" s="28">
        <f t="shared" si="23"/>
        <v>224</v>
      </c>
      <c r="L298" s="29">
        <f t="shared" si="23"/>
        <v>226</v>
      </c>
      <c r="M298" s="30">
        <f t="shared" si="24"/>
        <v>1900</v>
      </c>
      <c r="N298" s="198" t="s">
        <v>21</v>
      </c>
      <c r="O298" s="198" t="s">
        <v>22</v>
      </c>
      <c r="Q298" s="20">
        <f t="shared" si="25"/>
        <v>0</v>
      </c>
    </row>
    <row r="299" spans="2:17" ht="12.95" customHeight="1" x14ac:dyDescent="0.2">
      <c r="B299" s="22">
        <v>44492</v>
      </c>
      <c r="C299" s="41">
        <v>16228335</v>
      </c>
      <c r="D299" s="24">
        <v>4973167</v>
      </c>
      <c r="E299" s="25">
        <v>230582</v>
      </c>
      <c r="F299" s="26">
        <v>625239</v>
      </c>
      <c r="G299" s="27">
        <v>281063</v>
      </c>
      <c r="H299" s="28">
        <f t="shared" si="23"/>
        <v>0</v>
      </c>
      <c r="I299" s="28">
        <f t="shared" si="23"/>
        <v>1477</v>
      </c>
      <c r="J299" s="28">
        <f t="shared" si="23"/>
        <v>224</v>
      </c>
      <c r="K299" s="28">
        <f t="shared" si="23"/>
        <v>235</v>
      </c>
      <c r="L299" s="29">
        <f t="shared" si="23"/>
        <v>233</v>
      </c>
      <c r="M299" s="30">
        <f t="shared" si="24"/>
        <v>1936</v>
      </c>
      <c r="N299" s="199"/>
      <c r="O299" s="199"/>
      <c r="Q299" s="20">
        <f t="shared" si="25"/>
        <v>0</v>
      </c>
    </row>
    <row r="300" spans="2:17" ht="12.95" customHeight="1" thickBot="1" x14ac:dyDescent="0.25">
      <c r="B300" s="22">
        <v>44493</v>
      </c>
      <c r="C300" s="41">
        <v>16228335</v>
      </c>
      <c r="D300" s="24">
        <v>4975060</v>
      </c>
      <c r="E300" s="25">
        <v>230825</v>
      </c>
      <c r="F300" s="26">
        <v>625469</v>
      </c>
      <c r="G300" s="27">
        <v>281276</v>
      </c>
      <c r="H300" s="28">
        <f t="shared" si="23"/>
        <v>0</v>
      </c>
      <c r="I300" s="28">
        <f t="shared" si="23"/>
        <v>1893</v>
      </c>
      <c r="J300" s="28">
        <f t="shared" si="23"/>
        <v>243</v>
      </c>
      <c r="K300" s="28">
        <f t="shared" si="23"/>
        <v>230</v>
      </c>
      <c r="L300" s="29">
        <f t="shared" si="23"/>
        <v>213</v>
      </c>
      <c r="M300" s="30">
        <f t="shared" si="24"/>
        <v>2366</v>
      </c>
      <c r="N300" s="200"/>
      <c r="O300" s="200"/>
      <c r="Q300" s="20">
        <f t="shared" si="25"/>
        <v>0</v>
      </c>
    </row>
    <row r="301" spans="2:17" ht="12.95" customHeight="1" thickBot="1" x14ac:dyDescent="0.25">
      <c r="B301" s="22">
        <v>44494</v>
      </c>
      <c r="C301" s="41">
        <v>16228335</v>
      </c>
      <c r="D301" s="24">
        <v>4976930</v>
      </c>
      <c r="E301" s="25">
        <v>231004</v>
      </c>
      <c r="F301" s="26">
        <v>625669</v>
      </c>
      <c r="G301" s="27">
        <v>281488</v>
      </c>
      <c r="H301" s="28">
        <f>IF(C301="","",+(C301-C300))</f>
        <v>0</v>
      </c>
      <c r="I301" s="28">
        <f t="shared" si="23"/>
        <v>1870</v>
      </c>
      <c r="J301" s="28">
        <f t="shared" si="23"/>
        <v>179</v>
      </c>
      <c r="K301" s="28">
        <f t="shared" si="23"/>
        <v>200</v>
      </c>
      <c r="L301" s="29">
        <f t="shared" si="23"/>
        <v>212</v>
      </c>
      <c r="M301" s="30">
        <f t="shared" si="24"/>
        <v>2249</v>
      </c>
      <c r="N301" s="32">
        <f>SUM(L278:L308)</f>
        <v>6537</v>
      </c>
      <c r="O301" s="32">
        <f>SUM(M278:M308)</f>
        <v>59632</v>
      </c>
      <c r="Q301" s="20">
        <f t="shared" si="25"/>
        <v>0</v>
      </c>
    </row>
    <row r="302" spans="2:17" ht="12.95" customHeight="1" x14ac:dyDescent="0.2">
      <c r="B302" s="22">
        <v>44495</v>
      </c>
      <c r="C302" s="41">
        <v>16228335</v>
      </c>
      <c r="D302" s="24">
        <v>4978656</v>
      </c>
      <c r="E302" s="25">
        <v>231209</v>
      </c>
      <c r="F302" s="26">
        <v>625859</v>
      </c>
      <c r="G302" s="27">
        <v>281702</v>
      </c>
      <c r="H302" s="28">
        <f t="shared" si="23"/>
        <v>0</v>
      </c>
      <c r="I302" s="28">
        <f t="shared" si="23"/>
        <v>1726</v>
      </c>
      <c r="J302" s="28">
        <f t="shared" si="23"/>
        <v>205</v>
      </c>
      <c r="K302" s="28">
        <f t="shared" si="23"/>
        <v>190</v>
      </c>
      <c r="L302" s="29">
        <f t="shared" si="23"/>
        <v>214</v>
      </c>
      <c r="M302" s="30">
        <f t="shared" si="24"/>
        <v>2121</v>
      </c>
      <c r="N302" s="198" t="s">
        <v>23</v>
      </c>
      <c r="O302" s="198" t="s">
        <v>24</v>
      </c>
      <c r="Q302" s="20">
        <f t="shared" si="25"/>
        <v>0</v>
      </c>
    </row>
    <row r="303" spans="2:17" ht="12.95" customHeight="1" thickBot="1" x14ac:dyDescent="0.25">
      <c r="B303" s="22">
        <v>44496</v>
      </c>
      <c r="C303" s="41">
        <v>16228335</v>
      </c>
      <c r="D303" s="24">
        <v>4980232</v>
      </c>
      <c r="E303" s="25">
        <v>231444</v>
      </c>
      <c r="F303" s="26">
        <v>626054</v>
      </c>
      <c r="G303" s="27">
        <v>281948</v>
      </c>
      <c r="H303" s="28">
        <f t="shared" si="23"/>
        <v>0</v>
      </c>
      <c r="I303" s="28">
        <f t="shared" si="23"/>
        <v>1576</v>
      </c>
      <c r="J303" s="28">
        <f t="shared" si="23"/>
        <v>235</v>
      </c>
      <c r="K303" s="28">
        <f t="shared" si="23"/>
        <v>195</v>
      </c>
      <c r="L303" s="29">
        <f t="shared" si="23"/>
        <v>246</v>
      </c>
      <c r="M303" s="30">
        <f t="shared" si="24"/>
        <v>2006</v>
      </c>
      <c r="N303" s="200"/>
      <c r="O303" s="200"/>
      <c r="Q303" s="20">
        <f t="shared" si="25"/>
        <v>0</v>
      </c>
    </row>
    <row r="304" spans="2:17" ht="12.95" customHeight="1" thickBot="1" x14ac:dyDescent="0.25">
      <c r="B304" s="22">
        <v>44497</v>
      </c>
      <c r="C304" s="41">
        <v>16228335</v>
      </c>
      <c r="D304" s="24">
        <v>4981837</v>
      </c>
      <c r="E304" s="25">
        <v>231619</v>
      </c>
      <c r="F304" s="26">
        <v>626250</v>
      </c>
      <c r="G304" s="27">
        <v>282132</v>
      </c>
      <c r="H304" s="28">
        <f t="shared" si="23"/>
        <v>0</v>
      </c>
      <c r="I304" s="28">
        <f t="shared" si="23"/>
        <v>1605</v>
      </c>
      <c r="J304" s="28">
        <f t="shared" si="23"/>
        <v>175</v>
      </c>
      <c r="K304" s="28">
        <f t="shared" si="23"/>
        <v>196</v>
      </c>
      <c r="L304" s="29">
        <f t="shared" si="23"/>
        <v>184</v>
      </c>
      <c r="M304" s="30">
        <f t="shared" si="24"/>
        <v>1976</v>
      </c>
      <c r="N304" s="32">
        <f>AVERAGE(L278:L308)</f>
        <v>210.87096774193549</v>
      </c>
      <c r="O304" s="32">
        <f>AVERAGE(M278:M308)</f>
        <v>1923.6129032258063</v>
      </c>
      <c r="Q304" s="20">
        <f t="shared" si="25"/>
        <v>0</v>
      </c>
    </row>
    <row r="305" spans="1:17" ht="12.95" customHeight="1" x14ac:dyDescent="0.2">
      <c r="B305" s="22">
        <v>44498</v>
      </c>
      <c r="C305" s="41">
        <v>16228335</v>
      </c>
      <c r="D305" s="24">
        <v>4983440</v>
      </c>
      <c r="E305" s="25">
        <v>231848</v>
      </c>
      <c r="F305" s="26">
        <v>626438</v>
      </c>
      <c r="G305" s="27">
        <v>282353</v>
      </c>
      <c r="H305" s="28">
        <f t="shared" si="23"/>
        <v>0</v>
      </c>
      <c r="I305" s="28">
        <f t="shared" si="23"/>
        <v>1603</v>
      </c>
      <c r="J305" s="28">
        <f t="shared" si="23"/>
        <v>229</v>
      </c>
      <c r="K305" s="28">
        <f t="shared" si="23"/>
        <v>188</v>
      </c>
      <c r="L305" s="29">
        <f t="shared" si="23"/>
        <v>221</v>
      </c>
      <c r="M305" s="30">
        <f t="shared" si="24"/>
        <v>2020</v>
      </c>
      <c r="O305" s="20">
        <f>IF(L305="",1,0)</f>
        <v>0</v>
      </c>
    </row>
    <row r="306" spans="1:17" ht="12.95" customHeight="1" x14ac:dyDescent="0.2">
      <c r="B306" s="22">
        <v>44499</v>
      </c>
      <c r="C306" s="41">
        <v>16228335</v>
      </c>
      <c r="D306" s="24">
        <v>4985024</v>
      </c>
      <c r="E306" s="25">
        <v>232062</v>
      </c>
      <c r="F306" s="26">
        <v>626640</v>
      </c>
      <c r="G306" s="27">
        <v>282564</v>
      </c>
      <c r="H306" s="28">
        <f t="shared" si="23"/>
        <v>0</v>
      </c>
      <c r="I306" s="28">
        <f t="shared" si="23"/>
        <v>1584</v>
      </c>
      <c r="J306" s="28">
        <f t="shared" si="23"/>
        <v>214</v>
      </c>
      <c r="K306" s="28">
        <f t="shared" si="23"/>
        <v>202</v>
      </c>
      <c r="L306" s="29">
        <f t="shared" si="23"/>
        <v>211</v>
      </c>
      <c r="M306" s="30">
        <f t="shared" si="24"/>
        <v>2000</v>
      </c>
      <c r="O306" s="20">
        <f>IF(L306="",1,0)</f>
        <v>0</v>
      </c>
    </row>
    <row r="307" spans="1:17" ht="12.95" customHeight="1" x14ac:dyDescent="0.2">
      <c r="B307" s="22">
        <v>44500</v>
      </c>
      <c r="C307" s="41">
        <v>16228335</v>
      </c>
      <c r="D307" s="24">
        <v>4986585</v>
      </c>
      <c r="E307" s="25">
        <v>232227</v>
      </c>
      <c r="F307" s="26">
        <v>626854</v>
      </c>
      <c r="G307" s="27">
        <v>282727</v>
      </c>
      <c r="H307" s="28">
        <f t="shared" si="23"/>
        <v>0</v>
      </c>
      <c r="I307" s="28">
        <f t="shared" si="23"/>
        <v>1561</v>
      </c>
      <c r="J307" s="28">
        <f t="shared" si="23"/>
        <v>165</v>
      </c>
      <c r="K307" s="28">
        <f t="shared" si="23"/>
        <v>214</v>
      </c>
      <c r="L307" s="29">
        <f t="shared" si="23"/>
        <v>163</v>
      </c>
      <c r="M307" s="30">
        <f t="shared" si="24"/>
        <v>1940</v>
      </c>
      <c r="O307" s="20">
        <f>IF(L307="",1,0)</f>
        <v>0</v>
      </c>
    </row>
    <row r="308" spans="1:17" ht="12.95" customHeight="1" x14ac:dyDescent="0.2">
      <c r="B308" s="22">
        <v>44501</v>
      </c>
      <c r="C308" s="41">
        <v>16228335</v>
      </c>
      <c r="D308" s="34">
        <v>4988263</v>
      </c>
      <c r="E308" s="34">
        <v>232415</v>
      </c>
      <c r="F308" s="34">
        <v>627091</v>
      </c>
      <c r="G308" s="34">
        <v>283004</v>
      </c>
      <c r="H308" s="35">
        <f t="shared" si="23"/>
        <v>0</v>
      </c>
      <c r="I308" s="39">
        <f t="shared" si="23"/>
        <v>1678</v>
      </c>
      <c r="J308" s="35">
        <f t="shared" si="23"/>
        <v>188</v>
      </c>
      <c r="K308" s="35">
        <f t="shared" si="23"/>
        <v>237</v>
      </c>
      <c r="L308" s="36">
        <f t="shared" si="23"/>
        <v>277</v>
      </c>
      <c r="M308" s="35">
        <f t="shared" si="24"/>
        <v>2103</v>
      </c>
      <c r="Q308" s="20">
        <f t="shared" si="25"/>
        <v>0</v>
      </c>
    </row>
    <row r="309" spans="1:17" ht="12.95" customHeight="1" x14ac:dyDescent="0.2">
      <c r="B309" s="22">
        <v>44502</v>
      </c>
      <c r="C309" s="41">
        <v>16228335</v>
      </c>
      <c r="D309" s="24">
        <v>4989888</v>
      </c>
      <c r="E309" s="25">
        <v>232634</v>
      </c>
      <c r="F309" s="26">
        <v>627299</v>
      </c>
      <c r="G309" s="27">
        <v>283247</v>
      </c>
      <c r="H309" s="28">
        <f t="shared" si="23"/>
        <v>0</v>
      </c>
      <c r="I309" s="28">
        <f t="shared" si="23"/>
        <v>1625</v>
      </c>
      <c r="J309" s="28">
        <f t="shared" si="23"/>
        <v>219</v>
      </c>
      <c r="K309" s="28">
        <f t="shared" si="23"/>
        <v>208</v>
      </c>
      <c r="L309" s="29">
        <f t="shared" si="23"/>
        <v>243</v>
      </c>
      <c r="M309" s="30">
        <f t="shared" si="24"/>
        <v>2052</v>
      </c>
      <c r="Q309" s="20">
        <f t="shared" si="25"/>
        <v>0</v>
      </c>
    </row>
    <row r="310" spans="1:17" ht="12.95" customHeight="1" x14ac:dyDescent="0.2">
      <c r="B310" s="22">
        <v>44503</v>
      </c>
      <c r="C310" s="41">
        <v>16228335</v>
      </c>
      <c r="D310" s="24">
        <v>4991096</v>
      </c>
      <c r="E310" s="25">
        <v>232857</v>
      </c>
      <c r="F310" s="26">
        <v>627480</v>
      </c>
      <c r="G310" s="27">
        <v>283480</v>
      </c>
      <c r="H310" s="28">
        <f t="shared" si="23"/>
        <v>0</v>
      </c>
      <c r="I310" s="28">
        <f t="shared" si="23"/>
        <v>1208</v>
      </c>
      <c r="J310" s="28">
        <f t="shared" si="23"/>
        <v>223</v>
      </c>
      <c r="K310" s="28">
        <f t="shared" si="23"/>
        <v>181</v>
      </c>
      <c r="L310" s="29">
        <f t="shared" si="23"/>
        <v>233</v>
      </c>
      <c r="M310" s="30">
        <f t="shared" si="24"/>
        <v>1612</v>
      </c>
      <c r="Q310" s="20">
        <f t="shared" si="25"/>
        <v>0</v>
      </c>
    </row>
    <row r="311" spans="1:17" ht="12.95" customHeight="1" x14ac:dyDescent="0.2">
      <c r="B311" s="22">
        <v>44504</v>
      </c>
      <c r="C311" s="41">
        <v>16228335</v>
      </c>
      <c r="D311" s="24">
        <v>4992199</v>
      </c>
      <c r="E311" s="25">
        <v>233070</v>
      </c>
      <c r="F311" s="26">
        <v>627697</v>
      </c>
      <c r="G311" s="27">
        <v>283673</v>
      </c>
      <c r="H311" s="28">
        <f t="shared" si="23"/>
        <v>0</v>
      </c>
      <c r="I311" s="28">
        <f t="shared" si="23"/>
        <v>1103</v>
      </c>
      <c r="J311" s="28">
        <f t="shared" si="23"/>
        <v>213</v>
      </c>
      <c r="K311" s="28">
        <f t="shared" si="23"/>
        <v>217</v>
      </c>
      <c r="L311" s="29">
        <f t="shared" si="23"/>
        <v>193</v>
      </c>
      <c r="M311" s="30">
        <f t="shared" si="24"/>
        <v>1533</v>
      </c>
      <c r="Q311" s="20">
        <f t="shared" si="25"/>
        <v>0</v>
      </c>
    </row>
    <row r="312" spans="1:17" ht="12.95" customHeight="1" x14ac:dyDescent="0.2">
      <c r="B312" s="22">
        <v>44505</v>
      </c>
      <c r="C312" s="41">
        <v>16228335</v>
      </c>
      <c r="D312" s="24">
        <v>4993372</v>
      </c>
      <c r="E312" s="25">
        <v>233284</v>
      </c>
      <c r="F312" s="26">
        <v>627903</v>
      </c>
      <c r="G312" s="27">
        <v>283841</v>
      </c>
      <c r="H312" s="28">
        <f t="shared" si="23"/>
        <v>0</v>
      </c>
      <c r="I312" s="28">
        <f t="shared" si="23"/>
        <v>1173</v>
      </c>
      <c r="J312" s="28">
        <f t="shared" si="23"/>
        <v>214</v>
      </c>
      <c r="K312" s="28">
        <f t="shared" si="23"/>
        <v>206</v>
      </c>
      <c r="L312" s="29">
        <f t="shared" si="23"/>
        <v>168</v>
      </c>
      <c r="M312" s="30">
        <f t="shared" si="24"/>
        <v>1593</v>
      </c>
      <c r="Q312" s="20">
        <f t="shared" si="25"/>
        <v>0</v>
      </c>
    </row>
    <row r="313" spans="1:17" ht="12.95" customHeight="1" x14ac:dyDescent="0.2">
      <c r="A313" s="9" t="s">
        <v>29</v>
      </c>
      <c r="B313" s="22">
        <v>44506</v>
      </c>
      <c r="C313" s="41">
        <v>16228335</v>
      </c>
      <c r="D313" s="24">
        <v>4994528</v>
      </c>
      <c r="E313" s="25">
        <v>233513</v>
      </c>
      <c r="F313" s="26">
        <v>628114</v>
      </c>
      <c r="G313" s="27">
        <v>284012</v>
      </c>
      <c r="H313" s="28">
        <f t="shared" si="23"/>
        <v>0</v>
      </c>
      <c r="I313" s="28">
        <f t="shared" si="23"/>
        <v>1156</v>
      </c>
      <c r="J313" s="28">
        <f t="shared" si="23"/>
        <v>229</v>
      </c>
      <c r="K313" s="28">
        <f t="shared" si="23"/>
        <v>211</v>
      </c>
      <c r="L313" s="29">
        <f t="shared" si="23"/>
        <v>171</v>
      </c>
      <c r="M313" s="30">
        <f t="shared" si="24"/>
        <v>1596</v>
      </c>
      <c r="Q313" s="20">
        <f t="shared" si="25"/>
        <v>0</v>
      </c>
    </row>
    <row r="314" spans="1:17" ht="12.95" customHeight="1" x14ac:dyDescent="0.2">
      <c r="B314" s="22">
        <v>44507</v>
      </c>
      <c r="C314" s="41">
        <v>16228335</v>
      </c>
      <c r="D314" s="24">
        <v>4995826</v>
      </c>
      <c r="E314" s="25">
        <v>233742</v>
      </c>
      <c r="F314" s="26">
        <v>628328</v>
      </c>
      <c r="G314" s="27">
        <v>284196</v>
      </c>
      <c r="H314" s="28">
        <f t="shared" si="23"/>
        <v>0</v>
      </c>
      <c r="I314" s="28">
        <f t="shared" si="23"/>
        <v>1298</v>
      </c>
      <c r="J314" s="28">
        <f t="shared" si="23"/>
        <v>229</v>
      </c>
      <c r="K314" s="28">
        <f t="shared" si="23"/>
        <v>214</v>
      </c>
      <c r="L314" s="29">
        <f t="shared" si="23"/>
        <v>184</v>
      </c>
      <c r="M314" s="30">
        <f t="shared" si="24"/>
        <v>1741</v>
      </c>
      <c r="Q314" s="20">
        <f t="shared" si="25"/>
        <v>0</v>
      </c>
    </row>
    <row r="315" spans="1:17" ht="12.95" customHeight="1" x14ac:dyDescent="0.2">
      <c r="B315" s="22">
        <v>44508</v>
      </c>
      <c r="C315" s="41">
        <v>16228335</v>
      </c>
      <c r="D315" s="24">
        <v>4997028</v>
      </c>
      <c r="E315" s="25">
        <v>233903</v>
      </c>
      <c r="F315" s="26">
        <v>628561</v>
      </c>
      <c r="G315" s="27">
        <v>284386</v>
      </c>
      <c r="H315" s="28">
        <f t="shared" si="23"/>
        <v>0</v>
      </c>
      <c r="I315" s="28">
        <f t="shared" si="23"/>
        <v>1202</v>
      </c>
      <c r="J315" s="28">
        <f t="shared" si="23"/>
        <v>161</v>
      </c>
      <c r="K315" s="28">
        <f t="shared" si="23"/>
        <v>233</v>
      </c>
      <c r="L315" s="29">
        <f t="shared" si="23"/>
        <v>190</v>
      </c>
      <c r="M315" s="30">
        <f t="shared" si="24"/>
        <v>1596</v>
      </c>
      <c r="Q315" s="20">
        <f t="shared" si="25"/>
        <v>0</v>
      </c>
    </row>
    <row r="316" spans="1:17" ht="12.95" customHeight="1" x14ac:dyDescent="0.2">
      <c r="B316" s="22">
        <v>44509</v>
      </c>
      <c r="C316" s="41">
        <v>16228335</v>
      </c>
      <c r="D316" s="24">
        <v>4998380</v>
      </c>
      <c r="E316" s="25">
        <v>234093</v>
      </c>
      <c r="F316" s="26">
        <v>628771</v>
      </c>
      <c r="G316" s="27">
        <v>284565</v>
      </c>
      <c r="H316" s="28">
        <f t="shared" ref="H316:L367" si="26">IF(C316="","",+(C316-C315))</f>
        <v>0</v>
      </c>
      <c r="I316" s="28">
        <f t="shared" si="26"/>
        <v>1352</v>
      </c>
      <c r="J316" s="28">
        <f t="shared" si="26"/>
        <v>190</v>
      </c>
      <c r="K316" s="28">
        <f t="shared" si="26"/>
        <v>210</v>
      </c>
      <c r="L316" s="29">
        <f t="shared" si="26"/>
        <v>179</v>
      </c>
      <c r="M316" s="30">
        <f t="shared" si="24"/>
        <v>1752</v>
      </c>
      <c r="Q316" s="20">
        <f t="shared" si="25"/>
        <v>0</v>
      </c>
    </row>
    <row r="317" spans="1:17" ht="12.95" customHeight="1" x14ac:dyDescent="0.2">
      <c r="B317" s="22">
        <v>44510</v>
      </c>
      <c r="C317" s="41">
        <v>16228335</v>
      </c>
      <c r="D317" s="24">
        <v>5000032</v>
      </c>
      <c r="E317" s="25">
        <v>234278</v>
      </c>
      <c r="F317" s="26">
        <v>628974</v>
      </c>
      <c r="G317" s="27">
        <v>284758</v>
      </c>
      <c r="H317" s="28">
        <f t="shared" si="26"/>
        <v>0</v>
      </c>
      <c r="I317" s="28">
        <f t="shared" si="26"/>
        <v>1652</v>
      </c>
      <c r="J317" s="28">
        <f t="shared" si="26"/>
        <v>185</v>
      </c>
      <c r="K317" s="28">
        <f t="shared" si="26"/>
        <v>203</v>
      </c>
      <c r="L317" s="29">
        <f t="shared" si="26"/>
        <v>193</v>
      </c>
      <c r="M317" s="30">
        <f t="shared" si="24"/>
        <v>2040</v>
      </c>
      <c r="Q317" s="20">
        <f t="shared" si="25"/>
        <v>0</v>
      </c>
    </row>
    <row r="318" spans="1:17" ht="12.95" customHeight="1" x14ac:dyDescent="0.2">
      <c r="B318" s="22">
        <v>44511</v>
      </c>
      <c r="C318" s="41">
        <v>16228335</v>
      </c>
      <c r="D318" s="24">
        <v>5001724</v>
      </c>
      <c r="E318" s="25">
        <v>234460</v>
      </c>
      <c r="F318" s="26">
        <v>629164</v>
      </c>
      <c r="G318" s="27">
        <v>284937</v>
      </c>
      <c r="H318" s="28">
        <f t="shared" si="26"/>
        <v>0</v>
      </c>
      <c r="I318" s="28">
        <f t="shared" si="26"/>
        <v>1692</v>
      </c>
      <c r="J318" s="28">
        <f t="shared" si="26"/>
        <v>182</v>
      </c>
      <c r="K318" s="28">
        <f t="shared" si="26"/>
        <v>190</v>
      </c>
      <c r="L318" s="29">
        <f t="shared" si="26"/>
        <v>179</v>
      </c>
      <c r="M318" s="30">
        <f t="shared" si="24"/>
        <v>2064</v>
      </c>
      <c r="Q318" s="20">
        <f t="shared" si="25"/>
        <v>0</v>
      </c>
    </row>
    <row r="319" spans="1:17" ht="12.95" customHeight="1" x14ac:dyDescent="0.2">
      <c r="B319" s="22">
        <v>44512</v>
      </c>
      <c r="C319" s="41">
        <v>16228335</v>
      </c>
      <c r="D319" s="24">
        <v>5003297</v>
      </c>
      <c r="E319" s="25">
        <v>234637</v>
      </c>
      <c r="F319" s="26">
        <v>629375</v>
      </c>
      <c r="G319" s="27">
        <v>285102</v>
      </c>
      <c r="H319" s="28">
        <f t="shared" si="26"/>
        <v>0</v>
      </c>
      <c r="I319" s="28">
        <f t="shared" si="26"/>
        <v>1573</v>
      </c>
      <c r="J319" s="28">
        <f t="shared" si="26"/>
        <v>177</v>
      </c>
      <c r="K319" s="28">
        <f t="shared" si="26"/>
        <v>211</v>
      </c>
      <c r="L319" s="29">
        <f t="shared" si="26"/>
        <v>165</v>
      </c>
      <c r="M319" s="30">
        <f t="shared" si="24"/>
        <v>1961</v>
      </c>
      <c r="Q319" s="20">
        <f t="shared" si="25"/>
        <v>0</v>
      </c>
    </row>
    <row r="320" spans="1:17" ht="12.95" customHeight="1" x14ac:dyDescent="0.2">
      <c r="B320" s="22">
        <v>44513</v>
      </c>
      <c r="C320" s="41">
        <v>16228335</v>
      </c>
      <c r="D320" s="24">
        <v>5004919</v>
      </c>
      <c r="E320" s="25">
        <v>234855</v>
      </c>
      <c r="F320" s="26">
        <v>629567</v>
      </c>
      <c r="G320" s="27">
        <v>285266</v>
      </c>
      <c r="H320" s="28">
        <f t="shared" si="26"/>
        <v>0</v>
      </c>
      <c r="I320" s="28">
        <f t="shared" si="26"/>
        <v>1622</v>
      </c>
      <c r="J320" s="28">
        <f t="shared" si="26"/>
        <v>218</v>
      </c>
      <c r="K320" s="28">
        <f t="shared" si="26"/>
        <v>192</v>
      </c>
      <c r="L320" s="29">
        <f t="shared" si="26"/>
        <v>164</v>
      </c>
      <c r="M320" s="30">
        <f t="shared" si="24"/>
        <v>2032</v>
      </c>
      <c r="Q320" s="20">
        <f t="shared" si="25"/>
        <v>0</v>
      </c>
    </row>
    <row r="321" spans="1:17" ht="12.95" customHeight="1" x14ac:dyDescent="0.2">
      <c r="B321" s="22">
        <v>44514</v>
      </c>
      <c r="C321" s="41">
        <v>16228335</v>
      </c>
      <c r="D321" s="24">
        <v>5006360</v>
      </c>
      <c r="E321" s="25">
        <v>235024</v>
      </c>
      <c r="F321" s="26">
        <v>629768</v>
      </c>
      <c r="G321" s="27">
        <v>285442</v>
      </c>
      <c r="H321" s="28">
        <f>IF(C321="","",+(C321-C320))</f>
        <v>0</v>
      </c>
      <c r="I321" s="28">
        <f t="shared" si="26"/>
        <v>1441</v>
      </c>
      <c r="J321" s="28">
        <f t="shared" si="26"/>
        <v>169</v>
      </c>
      <c r="K321" s="28">
        <f t="shared" si="26"/>
        <v>201</v>
      </c>
      <c r="L321" s="29">
        <f t="shared" si="26"/>
        <v>176</v>
      </c>
      <c r="M321" s="30">
        <f t="shared" si="24"/>
        <v>1811</v>
      </c>
      <c r="Q321" s="20">
        <f t="shared" si="25"/>
        <v>0</v>
      </c>
    </row>
    <row r="322" spans="1:17" ht="12.95" customHeight="1" x14ac:dyDescent="0.2">
      <c r="B322" s="22">
        <v>44515</v>
      </c>
      <c r="C322" s="41">
        <v>16228335</v>
      </c>
      <c r="D322" s="24">
        <v>5007711</v>
      </c>
      <c r="E322" s="25">
        <v>235204</v>
      </c>
      <c r="F322" s="26">
        <v>629994</v>
      </c>
      <c r="G322" s="27">
        <v>285652</v>
      </c>
      <c r="H322" s="28">
        <f t="shared" si="26"/>
        <v>0</v>
      </c>
      <c r="I322" s="28">
        <f t="shared" si="26"/>
        <v>1351</v>
      </c>
      <c r="J322" s="28">
        <f t="shared" si="26"/>
        <v>180</v>
      </c>
      <c r="K322" s="28">
        <f t="shared" si="26"/>
        <v>226</v>
      </c>
      <c r="L322" s="29">
        <f t="shared" si="26"/>
        <v>210</v>
      </c>
      <c r="M322" s="30">
        <f t="shared" si="24"/>
        <v>1757</v>
      </c>
      <c r="Q322" s="20">
        <f t="shared" si="25"/>
        <v>0</v>
      </c>
    </row>
    <row r="323" spans="1:17" ht="12.95" customHeight="1" x14ac:dyDescent="0.2">
      <c r="B323" s="22">
        <v>44516</v>
      </c>
      <c r="C323" s="41">
        <v>16228335</v>
      </c>
      <c r="D323" s="24">
        <v>5009210</v>
      </c>
      <c r="E323" s="25">
        <v>235422</v>
      </c>
      <c r="F323" s="26">
        <v>630174</v>
      </c>
      <c r="G323" s="27">
        <v>285883</v>
      </c>
      <c r="H323" s="28">
        <f t="shared" si="26"/>
        <v>0</v>
      </c>
      <c r="I323" s="28">
        <f t="shared" si="26"/>
        <v>1499</v>
      </c>
      <c r="J323" s="28">
        <f t="shared" si="26"/>
        <v>218</v>
      </c>
      <c r="K323" s="28">
        <f t="shared" si="26"/>
        <v>180</v>
      </c>
      <c r="L323" s="29">
        <f t="shared" si="26"/>
        <v>231</v>
      </c>
      <c r="M323" s="30">
        <f t="shared" si="24"/>
        <v>1897</v>
      </c>
      <c r="Q323" s="20">
        <f t="shared" si="25"/>
        <v>0</v>
      </c>
    </row>
    <row r="324" spans="1:17" ht="12.95" customHeight="1" x14ac:dyDescent="0.2">
      <c r="A324" s="9" t="s">
        <v>30</v>
      </c>
      <c r="B324" s="22">
        <v>44517</v>
      </c>
      <c r="C324" s="41">
        <v>16228335</v>
      </c>
      <c r="D324" s="24">
        <v>5010749</v>
      </c>
      <c r="E324" s="25">
        <v>235639</v>
      </c>
      <c r="F324" s="26">
        <v>630372</v>
      </c>
      <c r="G324" s="27">
        <v>286042</v>
      </c>
      <c r="H324" s="28">
        <f t="shared" si="26"/>
        <v>0</v>
      </c>
      <c r="I324" s="28">
        <f t="shared" si="26"/>
        <v>1539</v>
      </c>
      <c r="J324" s="28">
        <f t="shared" si="26"/>
        <v>217</v>
      </c>
      <c r="K324" s="28">
        <f t="shared" si="26"/>
        <v>198</v>
      </c>
      <c r="L324" s="29">
        <f t="shared" si="26"/>
        <v>159</v>
      </c>
      <c r="M324" s="30">
        <f t="shared" si="24"/>
        <v>1954</v>
      </c>
      <c r="Q324" s="20">
        <f t="shared" si="25"/>
        <v>0</v>
      </c>
    </row>
    <row r="325" spans="1:17" ht="12.95" customHeight="1" x14ac:dyDescent="0.2">
      <c r="B325" s="22">
        <v>44518</v>
      </c>
      <c r="C325" s="41">
        <v>16228335</v>
      </c>
      <c r="D325" s="24">
        <v>5012470</v>
      </c>
      <c r="E325" s="25">
        <v>235848</v>
      </c>
      <c r="F325" s="26">
        <v>630555</v>
      </c>
      <c r="G325" s="27">
        <v>286259</v>
      </c>
      <c r="H325" s="28">
        <f t="shared" si="26"/>
        <v>0</v>
      </c>
      <c r="I325" s="28">
        <f t="shared" si="26"/>
        <v>1721</v>
      </c>
      <c r="J325" s="28">
        <f t="shared" si="26"/>
        <v>209</v>
      </c>
      <c r="K325" s="28">
        <f t="shared" si="26"/>
        <v>183</v>
      </c>
      <c r="L325" s="29">
        <f t="shared" si="26"/>
        <v>217</v>
      </c>
      <c r="M325" s="30">
        <f t="shared" si="24"/>
        <v>2113</v>
      </c>
      <c r="Q325" s="20">
        <f t="shared" si="25"/>
        <v>0</v>
      </c>
    </row>
    <row r="326" spans="1:17" ht="12.95" customHeight="1" x14ac:dyDescent="0.2">
      <c r="B326" s="22">
        <v>44519</v>
      </c>
      <c r="C326" s="41">
        <v>16228335</v>
      </c>
      <c r="D326" s="24">
        <v>5014438</v>
      </c>
      <c r="E326" s="25">
        <v>236045</v>
      </c>
      <c r="F326" s="26">
        <v>630729</v>
      </c>
      <c r="G326" s="27">
        <v>286437</v>
      </c>
      <c r="H326" s="28">
        <f t="shared" si="26"/>
        <v>0</v>
      </c>
      <c r="I326" s="28">
        <f t="shared" si="26"/>
        <v>1968</v>
      </c>
      <c r="J326" s="28">
        <f t="shared" si="26"/>
        <v>197</v>
      </c>
      <c r="K326" s="28">
        <f t="shared" si="26"/>
        <v>174</v>
      </c>
      <c r="L326" s="29">
        <f t="shared" si="26"/>
        <v>178</v>
      </c>
      <c r="M326" s="30">
        <f t="shared" ref="M326:M369" si="27">IF(H326="","",+(H326+I326+J326+K326))</f>
        <v>2339</v>
      </c>
      <c r="Q326" s="20">
        <f t="shared" si="25"/>
        <v>0</v>
      </c>
    </row>
    <row r="327" spans="1:17" ht="12.95" customHeight="1" thickBot="1" x14ac:dyDescent="0.25">
      <c r="B327" s="22">
        <v>44520</v>
      </c>
      <c r="C327" s="41">
        <v>16228335</v>
      </c>
      <c r="D327" s="24">
        <v>5016362</v>
      </c>
      <c r="E327" s="25">
        <v>236264</v>
      </c>
      <c r="F327" s="26">
        <v>630928</v>
      </c>
      <c r="G327" s="27">
        <v>286630</v>
      </c>
      <c r="H327" s="28">
        <f t="shared" si="26"/>
        <v>0</v>
      </c>
      <c r="I327" s="28">
        <f t="shared" si="26"/>
        <v>1924</v>
      </c>
      <c r="J327" s="28">
        <f t="shared" si="26"/>
        <v>219</v>
      </c>
      <c r="K327" s="28">
        <f t="shared" si="26"/>
        <v>199</v>
      </c>
      <c r="L327" s="29">
        <f t="shared" si="26"/>
        <v>193</v>
      </c>
      <c r="M327" s="30">
        <f t="shared" si="27"/>
        <v>2342</v>
      </c>
      <c r="Q327" s="20">
        <f t="shared" si="25"/>
        <v>0</v>
      </c>
    </row>
    <row r="328" spans="1:17" ht="12.95" customHeight="1" x14ac:dyDescent="0.2">
      <c r="B328" s="22">
        <v>44521</v>
      </c>
      <c r="C328" s="41">
        <v>16228335</v>
      </c>
      <c r="D328" s="24">
        <v>5018004</v>
      </c>
      <c r="E328" s="25">
        <v>236415</v>
      </c>
      <c r="F328" s="26">
        <v>631152</v>
      </c>
      <c r="G328" s="27">
        <v>286799</v>
      </c>
      <c r="H328" s="28">
        <f t="shared" si="26"/>
        <v>0</v>
      </c>
      <c r="I328" s="28">
        <f t="shared" si="26"/>
        <v>1642</v>
      </c>
      <c r="J328" s="28">
        <f t="shared" si="26"/>
        <v>151</v>
      </c>
      <c r="K328" s="28">
        <f t="shared" si="26"/>
        <v>224</v>
      </c>
      <c r="L328" s="29">
        <f t="shared" si="26"/>
        <v>169</v>
      </c>
      <c r="M328" s="30">
        <f t="shared" si="27"/>
        <v>2017</v>
      </c>
      <c r="N328" s="198" t="s">
        <v>21</v>
      </c>
      <c r="O328" s="198" t="s">
        <v>22</v>
      </c>
      <c r="Q328" s="20">
        <f t="shared" si="25"/>
        <v>0</v>
      </c>
    </row>
    <row r="329" spans="1:17" ht="12.95" customHeight="1" x14ac:dyDescent="0.2">
      <c r="B329" s="22">
        <v>44522</v>
      </c>
      <c r="C329" s="41">
        <v>16228335</v>
      </c>
      <c r="D329" s="24">
        <v>5019350</v>
      </c>
      <c r="E329" s="25">
        <v>236570</v>
      </c>
      <c r="F329" s="26">
        <v>631367</v>
      </c>
      <c r="G329" s="27">
        <v>286965</v>
      </c>
      <c r="H329" s="28">
        <f t="shared" si="26"/>
        <v>0</v>
      </c>
      <c r="I329" s="28">
        <f t="shared" si="26"/>
        <v>1346</v>
      </c>
      <c r="J329" s="28">
        <f t="shared" si="26"/>
        <v>155</v>
      </c>
      <c r="K329" s="28">
        <f t="shared" si="26"/>
        <v>215</v>
      </c>
      <c r="L329" s="29">
        <f t="shared" si="26"/>
        <v>166</v>
      </c>
      <c r="M329" s="30">
        <f t="shared" si="27"/>
        <v>1716</v>
      </c>
      <c r="N329" s="199"/>
      <c r="O329" s="199"/>
      <c r="Q329" s="20">
        <f t="shared" si="25"/>
        <v>0</v>
      </c>
    </row>
    <row r="330" spans="1:17" ht="12.95" customHeight="1" thickBot="1" x14ac:dyDescent="0.25">
      <c r="B330" s="22">
        <v>44523</v>
      </c>
      <c r="C330" s="41">
        <v>16228335</v>
      </c>
      <c r="D330" s="24">
        <v>5020919</v>
      </c>
      <c r="E330" s="25">
        <v>236726</v>
      </c>
      <c r="F330" s="26">
        <v>631565</v>
      </c>
      <c r="G330" s="27">
        <v>287136</v>
      </c>
      <c r="H330" s="28">
        <f t="shared" si="26"/>
        <v>0</v>
      </c>
      <c r="I330" s="28">
        <f t="shared" si="26"/>
        <v>1569</v>
      </c>
      <c r="J330" s="28">
        <f t="shared" si="26"/>
        <v>156</v>
      </c>
      <c r="K330" s="28">
        <f t="shared" si="26"/>
        <v>198</v>
      </c>
      <c r="L330" s="29">
        <f t="shared" si="26"/>
        <v>171</v>
      </c>
      <c r="M330" s="30">
        <f t="shared" si="27"/>
        <v>1923</v>
      </c>
      <c r="N330" s="200"/>
      <c r="O330" s="200"/>
      <c r="Q330" s="20">
        <f t="shared" si="25"/>
        <v>0</v>
      </c>
    </row>
    <row r="331" spans="1:17" ht="12.95" customHeight="1" thickBot="1" x14ac:dyDescent="0.25">
      <c r="B331" s="22">
        <v>44524</v>
      </c>
      <c r="C331" s="41">
        <v>16228335</v>
      </c>
      <c r="D331" s="24">
        <v>5022778</v>
      </c>
      <c r="E331" s="25">
        <v>236927</v>
      </c>
      <c r="F331" s="26">
        <v>631753</v>
      </c>
      <c r="G331" s="27">
        <v>287422</v>
      </c>
      <c r="H331" s="28">
        <f t="shared" si="26"/>
        <v>0</v>
      </c>
      <c r="I331" s="28">
        <f t="shared" si="26"/>
        <v>1859</v>
      </c>
      <c r="J331" s="28">
        <f t="shared" si="26"/>
        <v>201</v>
      </c>
      <c r="K331" s="28">
        <f t="shared" si="26"/>
        <v>188</v>
      </c>
      <c r="L331" s="29">
        <f t="shared" si="26"/>
        <v>286</v>
      </c>
      <c r="M331" s="30">
        <f t="shared" si="27"/>
        <v>2248</v>
      </c>
      <c r="N331" s="32">
        <f>SUM(L309:L338)</f>
        <v>5673</v>
      </c>
      <c r="O331" s="32">
        <f>SUM(M309:M338)</f>
        <v>56908</v>
      </c>
      <c r="Q331" s="20">
        <f t="shared" si="25"/>
        <v>0</v>
      </c>
    </row>
    <row r="332" spans="1:17" ht="12.95" customHeight="1" x14ac:dyDescent="0.2">
      <c r="B332" s="22">
        <v>44525</v>
      </c>
      <c r="C332" s="41">
        <v>16228335</v>
      </c>
      <c r="D332" s="24">
        <v>5024644</v>
      </c>
      <c r="E332" s="25">
        <v>237121</v>
      </c>
      <c r="F332" s="26">
        <v>631946</v>
      </c>
      <c r="G332" s="27">
        <v>287581</v>
      </c>
      <c r="H332" s="28">
        <f t="shared" si="26"/>
        <v>0</v>
      </c>
      <c r="I332" s="28">
        <f t="shared" si="26"/>
        <v>1866</v>
      </c>
      <c r="J332" s="28">
        <f t="shared" si="26"/>
        <v>194</v>
      </c>
      <c r="K332" s="28">
        <f t="shared" si="26"/>
        <v>193</v>
      </c>
      <c r="L332" s="29">
        <f t="shared" si="26"/>
        <v>159</v>
      </c>
      <c r="M332" s="30">
        <f t="shared" si="27"/>
        <v>2253</v>
      </c>
      <c r="N332" s="198" t="s">
        <v>23</v>
      </c>
      <c r="O332" s="198" t="s">
        <v>24</v>
      </c>
      <c r="Q332" s="20">
        <f t="shared" si="25"/>
        <v>0</v>
      </c>
    </row>
    <row r="333" spans="1:17" ht="12.95" customHeight="1" thickBot="1" x14ac:dyDescent="0.25">
      <c r="B333" s="22">
        <v>44526</v>
      </c>
      <c r="C333" s="41">
        <v>16228335</v>
      </c>
      <c r="D333" s="24">
        <v>5026118</v>
      </c>
      <c r="E333" s="25">
        <v>237301</v>
      </c>
      <c r="F333" s="26">
        <v>632141</v>
      </c>
      <c r="G333" s="27">
        <v>287762</v>
      </c>
      <c r="H333" s="28">
        <f t="shared" si="26"/>
        <v>0</v>
      </c>
      <c r="I333" s="28">
        <f t="shared" si="26"/>
        <v>1474</v>
      </c>
      <c r="J333" s="28">
        <f t="shared" si="26"/>
        <v>180</v>
      </c>
      <c r="K333" s="28">
        <f t="shared" si="26"/>
        <v>195</v>
      </c>
      <c r="L333" s="29">
        <f t="shared" si="26"/>
        <v>181</v>
      </c>
      <c r="M333" s="30">
        <f t="shared" si="27"/>
        <v>1849</v>
      </c>
      <c r="N333" s="200"/>
      <c r="O333" s="200"/>
      <c r="Q333" s="20">
        <f t="shared" si="25"/>
        <v>0</v>
      </c>
    </row>
    <row r="334" spans="1:17" ht="12.95" customHeight="1" thickBot="1" x14ac:dyDescent="0.25">
      <c r="B334" s="22">
        <v>44527</v>
      </c>
      <c r="C334" s="41">
        <v>16228335</v>
      </c>
      <c r="D334" s="24">
        <v>5027374</v>
      </c>
      <c r="E334" s="25">
        <v>237440</v>
      </c>
      <c r="F334" s="26">
        <v>632378</v>
      </c>
      <c r="G334" s="27">
        <v>287981</v>
      </c>
      <c r="H334" s="28">
        <f t="shared" si="26"/>
        <v>0</v>
      </c>
      <c r="I334" s="28">
        <f t="shared" si="26"/>
        <v>1256</v>
      </c>
      <c r="J334" s="28">
        <f t="shared" si="26"/>
        <v>139</v>
      </c>
      <c r="K334" s="28">
        <f t="shared" si="26"/>
        <v>237</v>
      </c>
      <c r="L334" s="29">
        <f t="shared" si="26"/>
        <v>219</v>
      </c>
      <c r="M334" s="30">
        <f t="shared" si="27"/>
        <v>1632</v>
      </c>
      <c r="N334" s="32">
        <f>AVERAGE(L309:L338)</f>
        <v>189.1</v>
      </c>
      <c r="O334" s="32">
        <f>AVERAGE(M309:M338)</f>
        <v>1896.9333333333334</v>
      </c>
      <c r="Q334" s="20">
        <f t="shared" si="25"/>
        <v>0</v>
      </c>
    </row>
    <row r="335" spans="1:17" ht="12.95" customHeight="1" x14ac:dyDescent="0.2">
      <c r="B335" s="22">
        <v>44528</v>
      </c>
      <c r="C335" s="41">
        <v>16228335</v>
      </c>
      <c r="D335" s="24">
        <v>5028519</v>
      </c>
      <c r="E335" s="25">
        <v>237609</v>
      </c>
      <c r="F335" s="26">
        <v>632590</v>
      </c>
      <c r="G335" s="27">
        <v>288165</v>
      </c>
      <c r="H335" s="28">
        <f t="shared" si="26"/>
        <v>0</v>
      </c>
      <c r="I335" s="28">
        <f t="shared" si="26"/>
        <v>1145</v>
      </c>
      <c r="J335" s="28">
        <f t="shared" si="26"/>
        <v>169</v>
      </c>
      <c r="K335" s="28">
        <f t="shared" si="26"/>
        <v>212</v>
      </c>
      <c r="L335" s="29">
        <f t="shared" si="26"/>
        <v>184</v>
      </c>
      <c r="M335" s="30">
        <f t="shared" si="27"/>
        <v>1526</v>
      </c>
      <c r="O335" s="20">
        <f>IF(L335="",1,0)</f>
        <v>0</v>
      </c>
    </row>
    <row r="336" spans="1:17" ht="12.95" customHeight="1" x14ac:dyDescent="0.2">
      <c r="B336" s="22">
        <v>44529</v>
      </c>
      <c r="C336" s="41">
        <v>16228335</v>
      </c>
      <c r="D336" s="24">
        <v>5029676</v>
      </c>
      <c r="E336" s="25">
        <v>237773</v>
      </c>
      <c r="F336" s="26">
        <v>632819</v>
      </c>
      <c r="G336" s="27">
        <v>288310</v>
      </c>
      <c r="H336" s="28">
        <f t="shared" si="26"/>
        <v>0</v>
      </c>
      <c r="I336" s="28">
        <f t="shared" si="26"/>
        <v>1157</v>
      </c>
      <c r="J336" s="28">
        <f>IF(E336="","",+(E336-E335))</f>
        <v>164</v>
      </c>
      <c r="K336" s="28">
        <f t="shared" si="26"/>
        <v>229</v>
      </c>
      <c r="L336" s="29">
        <f t="shared" si="26"/>
        <v>145</v>
      </c>
      <c r="M336" s="30">
        <f t="shared" si="27"/>
        <v>1550</v>
      </c>
      <c r="O336" s="20">
        <f>IF(L336="",1,0)</f>
        <v>0</v>
      </c>
    </row>
    <row r="337" spans="2:17" ht="12.95" customHeight="1" x14ac:dyDescent="0.2">
      <c r="B337" s="22">
        <v>44530</v>
      </c>
      <c r="C337" s="41">
        <v>16228335</v>
      </c>
      <c r="D337" s="24">
        <v>5031550</v>
      </c>
      <c r="E337" s="25">
        <v>237912</v>
      </c>
      <c r="F337" s="26">
        <v>632998</v>
      </c>
      <c r="G337" s="27">
        <v>288488</v>
      </c>
      <c r="H337" s="28">
        <f t="shared" si="26"/>
        <v>0</v>
      </c>
      <c r="I337" s="28">
        <f t="shared" si="26"/>
        <v>1874</v>
      </c>
      <c r="J337" s="28">
        <f>IF(E337="","",+(E337-E336))</f>
        <v>139</v>
      </c>
      <c r="K337" s="28">
        <f t="shared" si="26"/>
        <v>179</v>
      </c>
      <c r="L337" s="29">
        <f>IF(G337="","",+(G337-G336))</f>
        <v>178</v>
      </c>
      <c r="M337" s="30">
        <f t="shared" si="27"/>
        <v>2192</v>
      </c>
      <c r="O337" s="20">
        <f>IF(L337="",1,0)</f>
        <v>0</v>
      </c>
    </row>
    <row r="338" spans="2:17" ht="12.95" customHeight="1" x14ac:dyDescent="0.2">
      <c r="B338" s="22">
        <v>44531</v>
      </c>
      <c r="C338" s="41">
        <v>16228335</v>
      </c>
      <c r="D338" s="34">
        <v>5033393</v>
      </c>
      <c r="E338" s="34">
        <v>238107</v>
      </c>
      <c r="F338" s="34">
        <v>633177</v>
      </c>
      <c r="G338" s="34">
        <v>288677</v>
      </c>
      <c r="H338" s="35">
        <f t="shared" si="26"/>
        <v>0</v>
      </c>
      <c r="I338" s="39">
        <f t="shared" si="26"/>
        <v>1843</v>
      </c>
      <c r="J338" s="35">
        <f t="shared" si="26"/>
        <v>195</v>
      </c>
      <c r="K338" s="35">
        <f t="shared" si="26"/>
        <v>179</v>
      </c>
      <c r="L338" s="36">
        <f t="shared" si="26"/>
        <v>189</v>
      </c>
      <c r="M338" s="35">
        <f t="shared" si="27"/>
        <v>2217</v>
      </c>
      <c r="Q338" s="20">
        <f t="shared" si="25"/>
        <v>0</v>
      </c>
    </row>
    <row r="339" spans="2:17" ht="12.95" customHeight="1" x14ac:dyDescent="0.2">
      <c r="B339" s="22">
        <v>44532</v>
      </c>
      <c r="C339" s="41">
        <v>16228335</v>
      </c>
      <c r="D339" s="24">
        <v>5034906</v>
      </c>
      <c r="E339" s="25">
        <v>238333</v>
      </c>
      <c r="F339" s="26">
        <v>633345</v>
      </c>
      <c r="G339" s="27">
        <v>288843</v>
      </c>
      <c r="H339" s="28">
        <f t="shared" si="26"/>
        <v>0</v>
      </c>
      <c r="I339" s="28">
        <f t="shared" si="26"/>
        <v>1513</v>
      </c>
      <c r="J339" s="28">
        <f t="shared" si="26"/>
        <v>226</v>
      </c>
      <c r="K339" s="28">
        <f t="shared" si="26"/>
        <v>168</v>
      </c>
      <c r="L339" s="29">
        <f t="shared" si="26"/>
        <v>166</v>
      </c>
      <c r="M339" s="30">
        <f t="shared" si="27"/>
        <v>1907</v>
      </c>
      <c r="Q339" s="20">
        <f t="shared" si="25"/>
        <v>0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166</v>
      </c>
      <c r="O362" s="32">
        <f>SUM(M339:M369)</f>
        <v>1907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>
        <f>AVERAGE(L339:L369)</f>
        <v>166</v>
      </c>
      <c r="O365" s="32">
        <f>AVERAGE(M339:M369)</f>
        <v>1907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594344</v>
      </c>
      <c r="J371" s="40">
        <f t="shared" si="30"/>
        <v>62051</v>
      </c>
      <c r="K371" s="40">
        <f t="shared" si="30"/>
        <v>57555</v>
      </c>
      <c r="L371" s="40">
        <f t="shared" si="30"/>
        <v>63285</v>
      </c>
      <c r="M371" s="40">
        <f t="shared" si="30"/>
        <v>713950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abSelected="1" topLeftCell="A317" workbookViewId="0">
      <selection activeCell="V336" sqref="V336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  <c r="W278" s="1" t="s">
        <v>77</v>
      </c>
    </row>
    <row r="279" spans="1:23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3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3" ht="15.75" thickBot="1" x14ac:dyDescent="0.3">
      <c r="A281" s="54">
        <v>44475</v>
      </c>
      <c r="D281" s="56">
        <v>0.14199999999999999</v>
      </c>
      <c r="E281" s="57">
        <v>1382.3340000000001</v>
      </c>
      <c r="F281" s="58">
        <v>49.222999999999999</v>
      </c>
      <c r="G281" s="59"/>
      <c r="H281" s="59">
        <v>4140</v>
      </c>
      <c r="I281" s="59">
        <f t="shared" si="33"/>
        <v>24339.060000000551</v>
      </c>
      <c r="J281" s="59">
        <f t="shared" si="34"/>
        <v>339.48000000000309</v>
      </c>
      <c r="K281" s="60">
        <f t="shared" si="39"/>
        <v>1.3947950331688875E-2</v>
      </c>
      <c r="L281" s="59">
        <f t="shared" si="36"/>
        <v>339.48000000000309</v>
      </c>
      <c r="M281" s="60">
        <f t="shared" si="40"/>
        <v>1.3947950331688875E-2</v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4">
        <v>44476</v>
      </c>
      <c r="D282" s="56">
        <v>0.14199999999999999</v>
      </c>
      <c r="E282" s="57">
        <v>1388.6130000000001</v>
      </c>
      <c r="F282" s="58">
        <v>49.418999999999997</v>
      </c>
      <c r="G282" s="59"/>
      <c r="H282" s="59">
        <v>4140</v>
      </c>
      <c r="I282" s="59">
        <f t="shared" si="33"/>
        <v>25995.059999999983</v>
      </c>
      <c r="J282" s="59">
        <f t="shared" si="34"/>
        <v>811.43999999999153</v>
      </c>
      <c r="K282" s="60">
        <f t="shared" si="39"/>
        <v>3.1215161649943955E-2</v>
      </c>
      <c r="L282" s="59">
        <f t="shared" si="36"/>
        <v>811.43999999999153</v>
      </c>
      <c r="M282" s="60">
        <f t="shared" si="40"/>
        <v>3.1215161649943955E-2</v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4">
        <v>44477</v>
      </c>
      <c r="D283" s="56">
        <v>0.14199999999999999</v>
      </c>
      <c r="E283" s="57">
        <v>1394.6769999999999</v>
      </c>
      <c r="F283" s="58">
        <v>49.613999999999997</v>
      </c>
      <c r="G283" s="59"/>
      <c r="H283" s="59">
        <v>4140</v>
      </c>
      <c r="I283" s="59">
        <f t="shared" si="33"/>
        <v>25104.959999999381</v>
      </c>
      <c r="J283" s="59">
        <f t="shared" si="34"/>
        <v>807.30000000000121</v>
      </c>
      <c r="K283" s="60">
        <f t="shared" si="39"/>
        <v>3.215699208443356E-2</v>
      </c>
      <c r="L283" s="59">
        <f t="shared" si="36"/>
        <v>807.30000000000121</v>
      </c>
      <c r="M283" s="60">
        <f t="shared" si="40"/>
        <v>3.215699208443356E-2</v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4">
        <v>44478</v>
      </c>
      <c r="D284" s="56">
        <v>0.14199999999999999</v>
      </c>
      <c r="E284" s="57">
        <v>1400.9490000000001</v>
      </c>
      <c r="F284" s="58">
        <v>49.866</v>
      </c>
      <c r="G284" s="59"/>
      <c r="H284" s="59">
        <v>4140</v>
      </c>
      <c r="I284" s="59">
        <f t="shared" si="33"/>
        <v>25966.080000000671</v>
      </c>
      <c r="J284" s="59">
        <f t="shared" si="34"/>
        <v>1043.2800000000102</v>
      </c>
      <c r="K284" s="60">
        <f t="shared" si="39"/>
        <v>4.0178571428570786E-2</v>
      </c>
      <c r="L284" s="59">
        <f t="shared" si="36"/>
        <v>1043.2800000000102</v>
      </c>
      <c r="M284" s="60">
        <f t="shared" si="40"/>
        <v>4.0178571428570786E-2</v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3" ht="15.75" thickBot="1" x14ac:dyDescent="0.3">
      <c r="A285" s="54">
        <v>44479</v>
      </c>
      <c r="D285" s="56">
        <v>0.14199999999999999</v>
      </c>
      <c r="E285" s="57">
        <v>1406.4469999999999</v>
      </c>
      <c r="F285" s="58">
        <v>49.911999999999999</v>
      </c>
      <c r="G285" s="59"/>
      <c r="H285" s="59">
        <v>4140</v>
      </c>
      <c r="I285" s="59">
        <f t="shared" si="33"/>
        <v>22761.719999999255</v>
      </c>
      <c r="J285" s="59">
        <f t="shared" si="34"/>
        <v>190.43999999999741</v>
      </c>
      <c r="K285" s="60">
        <f t="shared" si="39"/>
        <v>8.3666787922882652E-3</v>
      </c>
      <c r="L285" s="59">
        <f t="shared" si="36"/>
        <v>190.43999999999741</v>
      </c>
      <c r="M285" s="60">
        <f t="shared" si="40"/>
        <v>8.3666787922882652E-3</v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3" ht="15.75" thickBot="1" x14ac:dyDescent="0.3">
      <c r="A286" s="54">
        <v>44480</v>
      </c>
      <c r="D286" s="56">
        <v>0.14199999999999999</v>
      </c>
      <c r="E286" s="57">
        <v>1412.019</v>
      </c>
      <c r="F286" s="58">
        <v>50.119</v>
      </c>
      <c r="G286" s="59"/>
      <c r="H286" s="59">
        <v>4140</v>
      </c>
      <c r="I286" s="59">
        <f t="shared" si="33"/>
        <v>23068.080000000482</v>
      </c>
      <c r="J286" s="59">
        <f t="shared" si="34"/>
        <v>856.98000000000309</v>
      </c>
      <c r="K286" s="60">
        <f t="shared" si="39"/>
        <v>3.7150035893753847E-2</v>
      </c>
      <c r="L286" s="59">
        <f t="shared" si="36"/>
        <v>856.98000000000309</v>
      </c>
      <c r="M286" s="60">
        <f t="shared" si="40"/>
        <v>3.7150035893753847E-2</v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4">
        <v>44481</v>
      </c>
      <c r="D287" s="56">
        <v>0.14199999999999999</v>
      </c>
      <c r="E287" s="57">
        <v>1418.567</v>
      </c>
      <c r="F287" s="58">
        <v>50.241</v>
      </c>
      <c r="G287" s="59"/>
      <c r="H287" s="59">
        <v>4140</v>
      </c>
      <c r="I287" s="59">
        <f t="shared" si="33"/>
        <v>27108.720000000008</v>
      </c>
      <c r="J287" s="59">
        <f t="shared" si="34"/>
        <v>505.07999999999953</v>
      </c>
      <c r="K287" s="60">
        <f t="shared" si="39"/>
        <v>1.8631643249847257E-2</v>
      </c>
      <c r="L287" s="59">
        <f t="shared" si="36"/>
        <v>505.07999999999953</v>
      </c>
      <c r="M287" s="60">
        <f t="shared" si="40"/>
        <v>1.8631643249847257E-2</v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4">
        <v>44482</v>
      </c>
      <c r="D288" s="56">
        <v>0.14199999999999999</v>
      </c>
      <c r="E288" s="57">
        <v>1424.521</v>
      </c>
      <c r="F288" s="58">
        <v>50.499000000000002</v>
      </c>
      <c r="G288" s="59"/>
      <c r="H288" s="59">
        <v>4140</v>
      </c>
      <c r="I288" s="59">
        <f t="shared" si="33"/>
        <v>24649.559999999798</v>
      </c>
      <c r="J288" s="59">
        <f t="shared" si="34"/>
        <v>1068.120000000011</v>
      </c>
      <c r="K288" s="60">
        <f t="shared" si="39"/>
        <v>4.3332213637891297E-2</v>
      </c>
      <c r="L288" s="59">
        <f t="shared" si="36"/>
        <v>1068.120000000011</v>
      </c>
      <c r="M288" s="60">
        <f t="shared" si="40"/>
        <v>4.3332213637891297E-2</v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>
        <v>0.14199999999999999</v>
      </c>
      <c r="E289" s="57">
        <v>1430.8409999999999</v>
      </c>
      <c r="F289" s="58">
        <v>50.707999999999998</v>
      </c>
      <c r="G289" s="59"/>
      <c r="H289" s="59">
        <v>4140</v>
      </c>
      <c r="I289" s="59">
        <f t="shared" si="33"/>
        <v>26164.799999999737</v>
      </c>
      <c r="J289" s="59">
        <f t="shared" si="34"/>
        <v>865.25999999998373</v>
      </c>
      <c r="K289" s="60">
        <f t="shared" si="39"/>
        <v>3.3069620253164268E-2</v>
      </c>
      <c r="L289" s="59">
        <f t="shared" si="36"/>
        <v>865.25999999998373</v>
      </c>
      <c r="M289" s="60">
        <f t="shared" si="40"/>
        <v>3.3069620253164268E-2</v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>
        <v>0.14199999999999999</v>
      </c>
      <c r="E290" s="57">
        <v>1436.673</v>
      </c>
      <c r="F290" s="58">
        <v>50.91</v>
      </c>
      <c r="G290" s="59"/>
      <c r="H290" s="59">
        <v>4140</v>
      </c>
      <c r="I290" s="59">
        <f t="shared" si="33"/>
        <v>24144.480000000443</v>
      </c>
      <c r="J290" s="59">
        <f t="shared" si="34"/>
        <v>836.27999999999247</v>
      </c>
      <c r="K290" s="60">
        <f t="shared" si="39"/>
        <v>3.4636488340191098E-2</v>
      </c>
      <c r="L290" s="59">
        <f t="shared" si="36"/>
        <v>836.27999999999247</v>
      </c>
      <c r="M290" s="60">
        <f t="shared" si="40"/>
        <v>3.4636488340191098E-2</v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>
        <v>0.14199999999999999</v>
      </c>
      <c r="E291" s="57">
        <v>1442.8520000000001</v>
      </c>
      <c r="F291" s="58">
        <v>51.125999999999998</v>
      </c>
      <c r="G291" s="59"/>
      <c r="H291" s="59">
        <v>4140</v>
      </c>
      <c r="I291" s="59">
        <f t="shared" si="33"/>
        <v>25581.060000000361</v>
      </c>
      <c r="J291" s="59">
        <f t="shared" si="34"/>
        <v>894.24000000000444</v>
      </c>
      <c r="K291" s="60">
        <f t="shared" si="39"/>
        <v>3.4957112801423856E-2</v>
      </c>
      <c r="L291" s="59">
        <f t="shared" si="36"/>
        <v>894.24000000000444</v>
      </c>
      <c r="M291" s="60">
        <f t="shared" si="40"/>
        <v>3.4957112801423856E-2</v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>
        <v>0.14199999999999999</v>
      </c>
      <c r="E292" s="57">
        <v>1448.7080000000001</v>
      </c>
      <c r="F292" s="58">
        <v>51.274000000000001</v>
      </c>
      <c r="G292" s="59"/>
      <c r="H292" s="59">
        <v>4140</v>
      </c>
      <c r="I292" s="59">
        <f t="shared" si="33"/>
        <v>24243.839999999978</v>
      </c>
      <c r="J292" s="59">
        <f t="shared" si="34"/>
        <v>612.72000000001344</v>
      </c>
      <c r="K292" s="60">
        <f t="shared" si="39"/>
        <v>2.5273224043716423E-2</v>
      </c>
      <c r="L292" s="59">
        <f t="shared" si="36"/>
        <v>612.72000000001344</v>
      </c>
      <c r="M292" s="60">
        <f t="shared" si="40"/>
        <v>2.5273224043716423E-2</v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>
        <v>0.14199999999999999</v>
      </c>
      <c r="E293" s="57">
        <v>1454.8040000000001</v>
      </c>
      <c r="F293" s="58">
        <v>51.38</v>
      </c>
      <c r="G293" s="59"/>
      <c r="H293" s="59">
        <v>4140</v>
      </c>
      <c r="I293" s="59">
        <f t="shared" si="33"/>
        <v>25237.440000000017</v>
      </c>
      <c r="J293" s="59">
        <f t="shared" si="34"/>
        <v>438.84000000000685</v>
      </c>
      <c r="K293" s="60">
        <f t="shared" si="39"/>
        <v>1.7388451443569812E-2</v>
      </c>
      <c r="L293" s="59">
        <f t="shared" si="36"/>
        <v>438.84000000000685</v>
      </c>
      <c r="M293" s="60">
        <f t="shared" si="40"/>
        <v>1.7388451443569812E-2</v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>
        <v>0.14199999999999999</v>
      </c>
      <c r="E294" s="57">
        <v>1460.9749999999999</v>
      </c>
      <c r="F294" s="58">
        <v>51.512</v>
      </c>
      <c r="G294" s="59"/>
      <c r="H294" s="59">
        <v>4140</v>
      </c>
      <c r="I294" s="59">
        <f t="shared" si="33"/>
        <v>25547.93999999926</v>
      </c>
      <c r="J294" s="59">
        <f t="shared" si="34"/>
        <v>546.47999999999126</v>
      </c>
      <c r="K294" s="60">
        <f t="shared" si="39"/>
        <v>2.1390374331551078E-2</v>
      </c>
      <c r="L294" s="59">
        <f t="shared" si="36"/>
        <v>546.47999999999126</v>
      </c>
      <c r="M294" s="60">
        <f t="shared" si="40"/>
        <v>2.1390374331551078E-2</v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>
        <v>0.14199999999999999</v>
      </c>
      <c r="E295" s="57">
        <v>1466.8679999999999</v>
      </c>
      <c r="F295" s="58">
        <v>51.713999999999999</v>
      </c>
      <c r="G295" s="59"/>
      <c r="H295" s="59">
        <v>4140</v>
      </c>
      <c r="I295" s="59">
        <f t="shared" si="33"/>
        <v>24397.02000000012</v>
      </c>
      <c r="J295" s="59">
        <f t="shared" si="34"/>
        <v>836.27999999999247</v>
      </c>
      <c r="K295" s="60">
        <f t="shared" si="39"/>
        <v>3.4277956898014113E-2</v>
      </c>
      <c r="L295" s="59">
        <f t="shared" si="36"/>
        <v>836.27999999999247</v>
      </c>
      <c r="M295" s="60">
        <f t="shared" si="40"/>
        <v>3.4277956898014113E-2</v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>
        <v>0.14199999999999999</v>
      </c>
      <c r="E296" s="57">
        <v>1472.8309999999999</v>
      </c>
      <c r="F296" s="58">
        <v>51.901000000000003</v>
      </c>
      <c r="G296" s="59"/>
      <c r="H296" s="59">
        <v>4140</v>
      </c>
      <c r="I296" s="59">
        <f t="shared" si="33"/>
        <v>24686.819999999858</v>
      </c>
      <c r="J296" s="59">
        <f t="shared" si="34"/>
        <v>774.1800000000195</v>
      </c>
      <c r="K296" s="60">
        <f t="shared" si="39"/>
        <v>3.1360053664263927E-2</v>
      </c>
      <c r="L296" s="59">
        <f t="shared" si="36"/>
        <v>774.1800000000195</v>
      </c>
      <c r="M296" s="60">
        <f t="shared" si="40"/>
        <v>3.1360053664263927E-2</v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>
        <v>0.14199999999999999</v>
      </c>
      <c r="E297" s="57">
        <v>1478.8679999999999</v>
      </c>
      <c r="F297" s="58">
        <v>51.996000000000002</v>
      </c>
      <c r="G297" s="59"/>
      <c r="H297" s="59">
        <v>4140</v>
      </c>
      <c r="I297" s="59">
        <f t="shared" si="33"/>
        <v>24993.180000000142</v>
      </c>
      <c r="J297" s="59">
        <f t="shared" si="34"/>
        <v>393.29999999999529</v>
      </c>
      <c r="K297" s="60">
        <f t="shared" si="39"/>
        <v>1.5736292860692121E-2</v>
      </c>
      <c r="L297" s="59">
        <f t="shared" si="36"/>
        <v>393.29999999999529</v>
      </c>
      <c r="M297" s="60">
        <f t="shared" si="40"/>
        <v>1.5736292860692121E-2</v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>
        <v>0.14199999999999999</v>
      </c>
      <c r="E298" s="57">
        <v>1485.01</v>
      </c>
      <c r="F298" s="58">
        <v>52.140999999999998</v>
      </c>
      <c r="G298" s="59"/>
      <c r="H298" s="59">
        <v>4140</v>
      </c>
      <c r="I298" s="59">
        <f t="shared" si="33"/>
        <v>25427.880000000219</v>
      </c>
      <c r="J298" s="59">
        <f t="shared" si="34"/>
        <v>600.29999999998358</v>
      </c>
      <c r="K298" s="60">
        <f t="shared" si="39"/>
        <v>2.3607945294691433E-2</v>
      </c>
      <c r="L298" s="59">
        <f t="shared" si="36"/>
        <v>600.29999999998358</v>
      </c>
      <c r="M298" s="60">
        <f t="shared" si="40"/>
        <v>2.3607945294691433E-2</v>
      </c>
      <c r="N298" s="61">
        <v>66068309</v>
      </c>
      <c r="O298" s="61">
        <f t="shared" si="37"/>
        <v>0</v>
      </c>
      <c r="P298" s="70">
        <f>IF(J277="",0,+SUM(J277:J307)/SUM(I277:I307))</f>
        <v>2.6619411123227899E-2</v>
      </c>
      <c r="Q298" s="70">
        <f>IF(L277="",0,+SUM(L277:L307)/SUM(I277:I307))</f>
        <v>2.6619411123227899E-2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>
        <v>0.14199999999999999</v>
      </c>
      <c r="E299" s="57">
        <v>1491.049</v>
      </c>
      <c r="F299" s="58">
        <v>52.317</v>
      </c>
      <c r="G299" s="59"/>
      <c r="H299" s="59">
        <v>4140</v>
      </c>
      <c r="I299" s="59">
        <f t="shared" si="33"/>
        <v>25001.459999999948</v>
      </c>
      <c r="J299" s="59">
        <f t="shared" si="34"/>
        <v>728.64000000000806</v>
      </c>
      <c r="K299" s="60">
        <f t="shared" si="39"/>
        <v>2.9143897996357394E-2</v>
      </c>
      <c r="L299" s="59">
        <f t="shared" si="36"/>
        <v>728.64000000000806</v>
      </c>
      <c r="M299" s="60">
        <f t="shared" si="40"/>
        <v>2.9143897996357394E-2</v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>
        <v>0.14199999999999999</v>
      </c>
      <c r="E300" s="57">
        <v>1496.5909999999999</v>
      </c>
      <c r="F300" s="58">
        <v>52.392000000000003</v>
      </c>
      <c r="G300" s="59"/>
      <c r="H300" s="59">
        <v>4140</v>
      </c>
      <c r="I300" s="59">
        <f t="shared" ref="I300:J315" si="41">IF(D300="","",+(E300-E299)*4140)</f>
        <v>22943.879999999655</v>
      </c>
      <c r="J300" s="59">
        <f t="shared" si="41"/>
        <v>310.50000000001177</v>
      </c>
      <c r="K300" s="60">
        <f t="shared" si="39"/>
        <v>1.3533020570191982E-2</v>
      </c>
      <c r="L300" s="59">
        <f t="shared" si="36"/>
        <v>310.50000000001177</v>
      </c>
      <c r="M300" s="60">
        <f t="shared" si="40"/>
        <v>1.3533020570191982E-2</v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>
        <v>0.14199999999999999</v>
      </c>
      <c r="E301" s="57">
        <v>1501.9649999999999</v>
      </c>
      <c r="F301" s="58">
        <v>52.481999999999999</v>
      </c>
      <c r="G301" s="59"/>
      <c r="H301" s="59">
        <v>4140</v>
      </c>
      <c r="I301" s="59">
        <f t="shared" si="41"/>
        <v>22248.360000000099</v>
      </c>
      <c r="J301" s="59">
        <f t="shared" si="41"/>
        <v>372.59999999998468</v>
      </c>
      <c r="K301" s="60">
        <f t="shared" si="39"/>
        <v>1.6747301823594324E-2</v>
      </c>
      <c r="L301" s="59">
        <f t="shared" si="36"/>
        <v>372.59999999998468</v>
      </c>
      <c r="M301" s="60">
        <f t="shared" si="40"/>
        <v>1.6747301823594324E-2</v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>
        <v>0.14199999999999999</v>
      </c>
      <c r="E302" s="57">
        <v>1507.348</v>
      </c>
      <c r="F302" s="58">
        <v>52.624000000000002</v>
      </c>
      <c r="G302" s="59"/>
      <c r="H302" s="59">
        <v>4140</v>
      </c>
      <c r="I302" s="59">
        <f t="shared" si="41"/>
        <v>22285.620000000159</v>
      </c>
      <c r="J302" s="59">
        <f t="shared" si="41"/>
        <v>587.8800000000125</v>
      </c>
      <c r="K302" s="60">
        <f t="shared" si="39"/>
        <v>2.6379342374141187E-2</v>
      </c>
      <c r="L302" s="59">
        <f t="shared" si="36"/>
        <v>587.8800000000125</v>
      </c>
      <c r="M302" s="60">
        <f t="shared" si="40"/>
        <v>2.6379342374141187E-2</v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>
        <v>0.14199999999999999</v>
      </c>
      <c r="E303" s="57">
        <v>1512.7529999999999</v>
      </c>
      <c r="F303" s="58">
        <v>52.731000000000002</v>
      </c>
      <c r="G303" s="59"/>
      <c r="H303" s="59">
        <v>4140</v>
      </c>
      <c r="I303" s="59">
        <f t="shared" si="41"/>
        <v>22376.699999999888</v>
      </c>
      <c r="J303" s="59">
        <f t="shared" si="41"/>
        <v>442.97999999999718</v>
      </c>
      <c r="K303" s="60">
        <f t="shared" si="39"/>
        <v>1.9796484736355199E-2</v>
      </c>
      <c r="L303" s="59">
        <f t="shared" si="36"/>
        <v>442.97999999999718</v>
      </c>
      <c r="M303" s="60">
        <f t="shared" si="40"/>
        <v>1.9796484736355199E-2</v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>
        <v>0.14199999999999999</v>
      </c>
      <c r="E304" s="57">
        <v>1518.0350000000001</v>
      </c>
      <c r="F304" s="58">
        <v>52.853000000000002</v>
      </c>
      <c r="G304" s="59"/>
      <c r="H304" s="59">
        <v>4140</v>
      </c>
      <c r="I304" s="59">
        <f t="shared" si="41"/>
        <v>21867.480000000633</v>
      </c>
      <c r="J304" s="59">
        <f t="shared" si="41"/>
        <v>505.07999999999953</v>
      </c>
      <c r="K304" s="60">
        <f t="shared" si="39"/>
        <v>2.3097311624384012E-2</v>
      </c>
      <c r="L304" s="59">
        <f t="shared" si="36"/>
        <v>505.07999999999953</v>
      </c>
      <c r="M304" s="60">
        <f t="shared" si="40"/>
        <v>2.3097311624384012E-2</v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>
        <v>0.14199999999999999</v>
      </c>
      <c r="E305" s="57">
        <v>1523.7429999999999</v>
      </c>
      <c r="F305" s="58">
        <v>52.972000000000001</v>
      </c>
      <c r="G305" s="59"/>
      <c r="H305" s="59">
        <v>4140</v>
      </c>
      <c r="I305" s="59">
        <f t="shared" si="41"/>
        <v>23631.119999999406</v>
      </c>
      <c r="J305" s="59">
        <f t="shared" si="41"/>
        <v>492.65999999999906</v>
      </c>
      <c r="K305" s="60">
        <f t="shared" si="39"/>
        <v>2.0847932725999083E-2</v>
      </c>
      <c r="L305" s="59">
        <f t="shared" si="36"/>
        <v>492.65999999999906</v>
      </c>
      <c r="M305" s="60">
        <f t="shared" si="40"/>
        <v>2.0847932725999083E-2</v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>
        <v>0.14199999999999999</v>
      </c>
      <c r="E306" s="57">
        <v>1529.6469999999999</v>
      </c>
      <c r="F306" s="58">
        <v>53.185000000000002</v>
      </c>
      <c r="G306" s="59"/>
      <c r="H306" s="59">
        <v>4140</v>
      </c>
      <c r="I306" s="59">
        <f t="shared" si="41"/>
        <v>24442.559999999983</v>
      </c>
      <c r="J306" s="59">
        <f t="shared" si="41"/>
        <v>881.82000000000403</v>
      </c>
      <c r="K306" s="60">
        <f t="shared" si="39"/>
        <v>3.6077235772357913E-2</v>
      </c>
      <c r="L306" s="59">
        <f t="shared" si="36"/>
        <v>881.82000000000403</v>
      </c>
      <c r="M306" s="60">
        <f t="shared" si="40"/>
        <v>3.6077235772357913E-2</v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56">
        <v>0.14199999999999999</v>
      </c>
      <c r="E307" s="57">
        <v>1534.9570000000001</v>
      </c>
      <c r="F307" s="58">
        <v>53.332000000000001</v>
      </c>
      <c r="G307" s="90"/>
      <c r="H307" s="59">
        <v>4140</v>
      </c>
      <c r="I307" s="59">
        <f t="shared" si="41"/>
        <v>21983.400000000714</v>
      </c>
      <c r="J307" s="59">
        <f t="shared" si="41"/>
        <v>608.57999999999367</v>
      </c>
      <c r="K307" s="60">
        <f t="shared" si="39"/>
        <v>2.7683615819207853E-2</v>
      </c>
      <c r="L307" s="90">
        <f t="shared" si="36"/>
        <v>608.57999999999367</v>
      </c>
      <c r="M307" s="60">
        <f t="shared" si="40"/>
        <v>2.7683615819207853E-2</v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>
        <v>0.14199999999999999</v>
      </c>
      <c r="E308" s="57">
        <v>1541.92</v>
      </c>
      <c r="F308" s="58">
        <v>53.502000000000002</v>
      </c>
      <c r="G308" s="59"/>
      <c r="H308" s="59">
        <v>4140</v>
      </c>
      <c r="I308" s="59">
        <f t="shared" si="41"/>
        <v>28826.819999999858</v>
      </c>
      <c r="J308" s="59">
        <f t="shared" si="41"/>
        <v>703.800000000007</v>
      </c>
      <c r="K308" s="60">
        <f t="shared" si="39"/>
        <v>2.4414763751257007E-2</v>
      </c>
      <c r="L308" s="59">
        <f t="shared" si="36"/>
        <v>703.800000000007</v>
      </c>
      <c r="M308" s="60">
        <f t="shared" si="40"/>
        <v>2.4414763751257007E-2</v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>
        <v>0.14199999999999999</v>
      </c>
      <c r="E309" s="57">
        <v>1547.037</v>
      </c>
      <c r="F309" s="58">
        <v>53.655000000000001</v>
      </c>
      <c r="G309" s="59"/>
      <c r="H309" s="59">
        <v>4140</v>
      </c>
      <c r="I309" s="59">
        <f t="shared" si="41"/>
        <v>21184.379999999841</v>
      </c>
      <c r="J309" s="59">
        <f t="shared" si="41"/>
        <v>633.41999999999462</v>
      </c>
      <c r="K309" s="60">
        <f t="shared" si="39"/>
        <v>2.9900332225913592E-2</v>
      </c>
      <c r="L309" s="59">
        <f t="shared" si="36"/>
        <v>633.41999999999462</v>
      </c>
      <c r="M309" s="60">
        <f t="shared" si="40"/>
        <v>2.9900332225913592E-2</v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>
        <v>0.14199999999999999</v>
      </c>
      <c r="E310" s="57">
        <v>1552.81</v>
      </c>
      <c r="F310" s="58">
        <v>53.750999999999998</v>
      </c>
      <c r="G310" s="59"/>
      <c r="H310" s="59">
        <v>4140</v>
      </c>
      <c r="I310" s="59">
        <f t="shared" si="41"/>
        <v>23900.21999999963</v>
      </c>
      <c r="J310" s="59">
        <f t="shared" si="41"/>
        <v>397.43999999998562</v>
      </c>
      <c r="K310" s="60">
        <f t="shared" si="39"/>
        <v>1.6629135631387151E-2</v>
      </c>
      <c r="L310" s="59">
        <f t="shared" si="36"/>
        <v>397.43999999998562</v>
      </c>
      <c r="M310" s="60">
        <f t="shared" si="40"/>
        <v>1.6629135631387151E-2</v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>
        <v>0.14199999999999999</v>
      </c>
      <c r="E311" s="57">
        <v>1558.748</v>
      </c>
      <c r="F311" s="58">
        <v>53.89</v>
      </c>
      <c r="G311" s="59"/>
      <c r="H311" s="59">
        <v>4140</v>
      </c>
      <c r="I311" s="59">
        <f t="shared" si="41"/>
        <v>24583.320000000422</v>
      </c>
      <c r="J311" s="59">
        <f t="shared" si="41"/>
        <v>575.46000000001197</v>
      </c>
      <c r="K311" s="60">
        <f t="shared" si="39"/>
        <v>2.3408555069046901E-2</v>
      </c>
      <c r="L311" s="59">
        <f t="shared" si="36"/>
        <v>575.46000000001197</v>
      </c>
      <c r="M311" s="60">
        <f t="shared" si="40"/>
        <v>2.3408555069046901E-2</v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>
        <v>0.14199999999999999</v>
      </c>
      <c r="E312" s="57">
        <v>1564.961</v>
      </c>
      <c r="F312" s="58">
        <v>54.003</v>
      </c>
      <c r="G312" s="59"/>
      <c r="H312" s="59">
        <v>4140</v>
      </c>
      <c r="I312" s="59">
        <f t="shared" si="41"/>
        <v>25721.819999999858</v>
      </c>
      <c r="J312" s="59">
        <f t="shared" si="41"/>
        <v>467.81999999999812</v>
      </c>
      <c r="K312" s="60">
        <f t="shared" si="39"/>
        <v>1.8187671012393398E-2</v>
      </c>
      <c r="L312" s="59">
        <f t="shared" si="36"/>
        <v>467.81999999999812</v>
      </c>
      <c r="M312" s="60">
        <f t="shared" si="40"/>
        <v>1.8187671012393398E-2</v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>
        <v>0.14199999999999999</v>
      </c>
      <c r="E313" s="57">
        <v>1571.008</v>
      </c>
      <c r="F313" s="58">
        <v>54.164999999999999</v>
      </c>
      <c r="G313" s="59"/>
      <c r="H313" s="59">
        <v>4140</v>
      </c>
      <c r="I313" s="59">
        <f t="shared" si="41"/>
        <v>25034.580000000104</v>
      </c>
      <c r="J313" s="59">
        <f t="shared" si="41"/>
        <v>670.67999999999597</v>
      </c>
      <c r="K313" s="60">
        <f t="shared" si="39"/>
        <v>2.6790143872994603E-2</v>
      </c>
      <c r="L313" s="59">
        <f t="shared" si="36"/>
        <v>670.67999999999597</v>
      </c>
      <c r="M313" s="60">
        <f t="shared" si="40"/>
        <v>2.6790143872994603E-2</v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>
        <v>0.14199999999999999</v>
      </c>
      <c r="E314" s="57">
        <v>1576.6780000000001</v>
      </c>
      <c r="F314" s="58">
        <v>54.335000000000001</v>
      </c>
      <c r="G314" s="59"/>
      <c r="H314" s="59">
        <v>4140</v>
      </c>
      <c r="I314" s="59">
        <f t="shared" si="41"/>
        <v>23473.800000000301</v>
      </c>
      <c r="J314" s="59">
        <f t="shared" si="41"/>
        <v>703.800000000007</v>
      </c>
      <c r="K314" s="60">
        <f t="shared" si="39"/>
        <v>2.9982363315696564E-2</v>
      </c>
      <c r="L314" s="59">
        <f t="shared" si="36"/>
        <v>703.800000000007</v>
      </c>
      <c r="M314" s="60">
        <f t="shared" si="40"/>
        <v>2.9982363315696564E-2</v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>
        <v>0.14199999999999999</v>
      </c>
      <c r="E315" s="57">
        <v>1582.296</v>
      </c>
      <c r="F315" s="58">
        <v>54.503999999999998</v>
      </c>
      <c r="G315" s="59"/>
      <c r="H315" s="59">
        <v>4140</v>
      </c>
      <c r="I315" s="59">
        <f t="shared" si="41"/>
        <v>23258.519999999742</v>
      </c>
      <c r="J315" s="59">
        <f t="shared" si="41"/>
        <v>699.65999999998735</v>
      </c>
      <c r="K315" s="60">
        <f t="shared" si="39"/>
        <v>3.0081879672481101E-2</v>
      </c>
      <c r="L315" s="59">
        <f t="shared" si="36"/>
        <v>699.65999999998735</v>
      </c>
      <c r="M315" s="60">
        <f t="shared" si="40"/>
        <v>3.0081879672481101E-2</v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>
        <v>0.14199999999999999</v>
      </c>
      <c r="E316" s="57">
        <v>1587.8420000000001</v>
      </c>
      <c r="F316" s="58">
        <v>54.634</v>
      </c>
      <c r="G316" s="59"/>
      <c r="H316" s="59">
        <v>4140</v>
      </c>
      <c r="I316" s="59">
        <f t="shared" ref="I316:I351" si="42">IF(D316="","",+(E316-E315)*4140)</f>
        <v>22960.440000000202</v>
      </c>
      <c r="J316" s="59">
        <f t="shared" ref="J316:J342" si="43">IF(E316="","",+(F316-F315)*4140)</f>
        <v>538.20000000001062</v>
      </c>
      <c r="K316" s="60">
        <f t="shared" si="39"/>
        <v>2.3440317345835092E-2</v>
      </c>
      <c r="L316" s="59">
        <f t="shared" si="36"/>
        <v>538.20000000001062</v>
      </c>
      <c r="M316" s="60">
        <f t="shared" si="40"/>
        <v>2.3440317345835092E-2</v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>
        <v>0.14199999999999999</v>
      </c>
      <c r="E317" s="57">
        <v>1593.377</v>
      </c>
      <c r="F317" s="58">
        <v>54.726999999999997</v>
      </c>
      <c r="G317" s="59"/>
      <c r="H317" s="59">
        <v>4140</v>
      </c>
      <c r="I317" s="59">
        <f t="shared" si="42"/>
        <v>22914.899999999398</v>
      </c>
      <c r="J317" s="59">
        <f t="shared" si="43"/>
        <v>385.0199999999852</v>
      </c>
      <c r="K317" s="60">
        <f t="shared" si="39"/>
        <v>1.6802168021680011E-2</v>
      </c>
      <c r="L317" s="59">
        <f t="shared" si="36"/>
        <v>385.0199999999852</v>
      </c>
      <c r="M317" s="60">
        <f t="shared" si="40"/>
        <v>1.6802168021680011E-2</v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>
        <v>0.14199999999999999</v>
      </c>
      <c r="E318" s="57">
        <v>1598.9280000000001</v>
      </c>
      <c r="F318" s="58">
        <v>54.811</v>
      </c>
      <c r="G318" s="59"/>
      <c r="H318" s="59">
        <v>4140</v>
      </c>
      <c r="I318" s="59">
        <f t="shared" si="42"/>
        <v>22981.140000000654</v>
      </c>
      <c r="J318" s="59">
        <f t="shared" si="43"/>
        <v>347.76000000001318</v>
      </c>
      <c r="K318" s="60">
        <f t="shared" si="39"/>
        <v>1.5132408575031668E-2</v>
      </c>
      <c r="L318" s="59">
        <f t="shared" si="36"/>
        <v>347.76000000001318</v>
      </c>
      <c r="M318" s="60">
        <f t="shared" si="40"/>
        <v>1.5132408575031668E-2</v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>
        <v>0.14199999999999999</v>
      </c>
      <c r="E319" s="57">
        <v>1604.482</v>
      </c>
      <c r="F319" s="58">
        <v>54.966999999999999</v>
      </c>
      <c r="G319" s="59"/>
      <c r="H319" s="59">
        <v>4140</v>
      </c>
      <c r="I319" s="59">
        <f t="shared" si="42"/>
        <v>22993.559999999419</v>
      </c>
      <c r="J319" s="59">
        <f t="shared" si="43"/>
        <v>645.83999999999503</v>
      </c>
      <c r="K319" s="60">
        <f t="shared" si="39"/>
        <v>2.8087864602089077E-2</v>
      </c>
      <c r="L319" s="59">
        <f t="shared" si="36"/>
        <v>645.83999999999503</v>
      </c>
      <c r="M319" s="60">
        <f t="shared" si="40"/>
        <v>2.8087864602089077E-2</v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>
        <v>0.14199999999999999</v>
      </c>
      <c r="E320" s="57">
        <v>1609.9369999999999</v>
      </c>
      <c r="F320" s="58">
        <v>55.100999999999999</v>
      </c>
      <c r="G320" s="59"/>
      <c r="H320" s="59">
        <v>4140</v>
      </c>
      <c r="I320" s="59">
        <f t="shared" si="42"/>
        <v>22583.699999999699</v>
      </c>
      <c r="J320" s="59">
        <f t="shared" si="43"/>
        <v>554.76000000000136</v>
      </c>
      <c r="K320" s="60">
        <f t="shared" si="39"/>
        <v>2.4564619615032469E-2</v>
      </c>
      <c r="L320" s="59">
        <f t="shared" si="36"/>
        <v>554.76000000000136</v>
      </c>
      <c r="M320" s="60">
        <f t="shared" si="40"/>
        <v>2.4564619615032469E-2</v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>
        <v>0.14199999999999999</v>
      </c>
      <c r="E321" s="57">
        <v>1615.405</v>
      </c>
      <c r="F321" s="58">
        <v>55.244</v>
      </c>
      <c r="G321" s="59"/>
      <c r="H321" s="59">
        <v>4140</v>
      </c>
      <c r="I321" s="59">
        <f t="shared" si="42"/>
        <v>22637.52000000031</v>
      </c>
      <c r="J321" s="59">
        <f t="shared" si="43"/>
        <v>592.02000000000282</v>
      </c>
      <c r="K321" s="60">
        <f t="shared" si="39"/>
        <v>2.6152158010241171E-2</v>
      </c>
      <c r="L321" s="59">
        <f t="shared" si="36"/>
        <v>592.02000000000282</v>
      </c>
      <c r="M321" s="60">
        <f t="shared" si="40"/>
        <v>2.6152158010241171E-2</v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>
        <v>0.14199999999999999</v>
      </c>
      <c r="E322" s="57">
        <v>1621.0350000000001</v>
      </c>
      <c r="F322" s="58">
        <v>55.363999999999997</v>
      </c>
      <c r="G322" s="59"/>
      <c r="H322" s="59">
        <v>4140</v>
      </c>
      <c r="I322" s="59">
        <f t="shared" si="42"/>
        <v>23308.200000000452</v>
      </c>
      <c r="J322" s="59">
        <f t="shared" si="43"/>
        <v>496.79999999998938</v>
      </c>
      <c r="K322" s="60">
        <f t="shared" si="39"/>
        <v>2.1314387211366803E-2</v>
      </c>
      <c r="L322" s="59">
        <f t="shared" si="36"/>
        <v>496.79999999998938</v>
      </c>
      <c r="M322" s="60">
        <f t="shared" si="40"/>
        <v>2.1314387211366803E-2</v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>
        <v>0.14199999999999999</v>
      </c>
      <c r="E323" s="57">
        <v>1626.576</v>
      </c>
      <c r="F323" s="58">
        <v>55.484000000000002</v>
      </c>
      <c r="G323" s="59"/>
      <c r="H323" s="59">
        <v>4140</v>
      </c>
      <c r="I323" s="59">
        <f t="shared" si="42"/>
        <v>22939.739999999751</v>
      </c>
      <c r="J323" s="59">
        <f t="shared" si="43"/>
        <v>496.80000000001883</v>
      </c>
      <c r="K323" s="60">
        <f t="shared" si="39"/>
        <v>2.1656740660531647E-2</v>
      </c>
      <c r="L323" s="59">
        <f t="shared" si="36"/>
        <v>496.80000000001883</v>
      </c>
      <c r="M323" s="60">
        <f t="shared" si="40"/>
        <v>2.1656740660531647E-2</v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>
        <v>0.14199999999999999</v>
      </c>
      <c r="E324" s="57">
        <v>1632.28</v>
      </c>
      <c r="F324" s="58">
        <v>55.616</v>
      </c>
      <c r="G324" s="59"/>
      <c r="H324" s="59">
        <v>4140</v>
      </c>
      <c r="I324" s="59">
        <f t="shared" si="42"/>
        <v>23614.559999999798</v>
      </c>
      <c r="J324" s="59">
        <f t="shared" si="43"/>
        <v>546.47999999999126</v>
      </c>
      <c r="K324" s="60">
        <f t="shared" si="39"/>
        <v>2.3141654978961961E-2</v>
      </c>
      <c r="L324" s="59">
        <f t="shared" si="36"/>
        <v>546.47999999999126</v>
      </c>
      <c r="M324" s="60">
        <f t="shared" si="40"/>
        <v>2.3141654978961961E-2</v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>
        <v>0.14199999999999999</v>
      </c>
      <c r="E325" s="57">
        <v>1638.423</v>
      </c>
      <c r="F325" s="58">
        <v>55.79</v>
      </c>
      <c r="G325" s="59"/>
      <c r="H325" s="59">
        <v>4140</v>
      </c>
      <c r="I325" s="59">
        <f t="shared" si="42"/>
        <v>25432.02000000012</v>
      </c>
      <c r="J325" s="59">
        <f t="shared" si="43"/>
        <v>720.35999999999785</v>
      </c>
      <c r="K325" s="60">
        <f t="shared" si="39"/>
        <v>2.8324922676216613E-2</v>
      </c>
      <c r="L325" s="59">
        <f t="shared" ref="L325:L368" si="46">IF(F325="","",+(F325-F324)*4140)</f>
        <v>720.35999999999785</v>
      </c>
      <c r="M325" s="60">
        <f t="shared" si="40"/>
        <v>2.8324922676216613E-2</v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>
        <v>0.14199999999999999</v>
      </c>
      <c r="E326" s="57">
        <v>1644.269</v>
      </c>
      <c r="F326" s="58">
        <v>55.923000000000002</v>
      </c>
      <c r="G326" s="59"/>
      <c r="H326" s="59">
        <v>4140</v>
      </c>
      <c r="I326" s="59">
        <f t="shared" ref="I326:J328" si="47">IF(D326="","",+(E326-E325)*4140)</f>
        <v>24202.440000000017</v>
      </c>
      <c r="J326" s="59">
        <f t="shared" si="47"/>
        <v>550.62000000001103</v>
      </c>
      <c r="K326" s="60">
        <f t="shared" si="39"/>
        <v>2.2750598699966228E-2</v>
      </c>
      <c r="L326" s="59">
        <f>IF(F326="","",+(F326-F325)*4140)</f>
        <v>550.62000000001103</v>
      </c>
      <c r="M326" s="60">
        <f t="shared" si="40"/>
        <v>2.2750598699966228E-2</v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>
        <v>0.14199999999999999</v>
      </c>
      <c r="E327" s="57">
        <v>1649.758</v>
      </c>
      <c r="F327" s="58">
        <v>56.069000000000003</v>
      </c>
      <c r="G327" s="59"/>
      <c r="H327" s="59">
        <v>4140</v>
      </c>
      <c r="I327" s="59">
        <f t="shared" si="47"/>
        <v>22724.460000000137</v>
      </c>
      <c r="J327" s="59">
        <f t="shared" si="47"/>
        <v>604.44000000000324</v>
      </c>
      <c r="K327" s="60">
        <f t="shared" si="39"/>
        <v>2.6598651849152832E-2</v>
      </c>
      <c r="L327" s="59">
        <f>IF(F327="","",+(F327-F326)*4140)</f>
        <v>604.44000000000324</v>
      </c>
      <c r="M327" s="60">
        <f t="shared" si="40"/>
        <v>2.6598651849152832E-2</v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>
        <v>0.14199999999999999</v>
      </c>
      <c r="E328" s="57">
        <v>1655.0530000000001</v>
      </c>
      <c r="F328" s="58">
        <v>56.207999999999998</v>
      </c>
      <c r="G328" s="59"/>
      <c r="H328" s="59">
        <v>4140</v>
      </c>
      <c r="I328" s="59">
        <f t="shared" si="47"/>
        <v>21921.300000000301</v>
      </c>
      <c r="J328" s="59">
        <f t="shared" si="47"/>
        <v>575.45999999998253</v>
      </c>
      <c r="K328" s="60">
        <f t="shared" si="39"/>
        <v>2.6251180358827925E-2</v>
      </c>
      <c r="L328" s="59">
        <f>IF(F328="","",+(F328-F327)*4140)</f>
        <v>575.45999999998253</v>
      </c>
      <c r="M328" s="60">
        <f t="shared" si="40"/>
        <v>2.6251180358827925E-2</v>
      </c>
      <c r="N328" s="61">
        <v>66068309</v>
      </c>
      <c r="O328" s="61">
        <f>IF(N328="","",N328-N327)</f>
        <v>0</v>
      </c>
      <c r="P328" s="70">
        <f>IF(J308="",0,+SUM(J308:J337)/SUM(I308:I337))</f>
        <v>2.667364940009298E-2</v>
      </c>
      <c r="Q328" s="70">
        <f>IF(L308="",0,+SUM(L308:L337)/SUM(I308:I337))</f>
        <v>2.667364940009298E-2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>
        <v>0.14199999999999999</v>
      </c>
      <c r="E329" s="57">
        <v>1660.9960000000001</v>
      </c>
      <c r="F329" s="58">
        <v>56.447000000000003</v>
      </c>
      <c r="G329" s="59"/>
      <c r="H329" s="59">
        <v>4140</v>
      </c>
      <c r="I329" s="59">
        <f t="shared" si="42"/>
        <v>24604.019999999931</v>
      </c>
      <c r="J329" s="59">
        <f t="shared" si="43"/>
        <v>989.46000000001789</v>
      </c>
      <c r="K329" s="60">
        <f t="shared" si="39"/>
        <v>4.0215379437995115E-2</v>
      </c>
      <c r="L329" s="59">
        <f t="shared" si="46"/>
        <v>989.46000000001789</v>
      </c>
      <c r="M329" s="60">
        <f t="shared" si="40"/>
        <v>4.0215379437995115E-2</v>
      </c>
      <c r="N329" s="61">
        <v>66068309</v>
      </c>
      <c r="O329" s="61">
        <f t="shared" si="44"/>
        <v>0</v>
      </c>
      <c r="P329" s="71" t="e">
        <f>IF(J308="",0,+(+(LOOKUP(9.99999999999999E+307,E308:E337)-E307))/(+(LOOKUP(9.99999999999999E+307,D308:D337)-D307)))</f>
        <v>#DIV/0!</v>
      </c>
      <c r="Q329" s="71" t="e">
        <f>IF(L308="",0,+(+(LOOKUP(9.99999999999999E+307,F308:F337)-F307))/(+(LOOKUP(9.99999999999999E+307,D308:D337)-D307)))</f>
        <v>#DIV/0!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>
        <v>0.14199999999999999</v>
      </c>
      <c r="E330" s="57">
        <v>1666.82</v>
      </c>
      <c r="F330" s="58">
        <v>56.622999999999998</v>
      </c>
      <c r="G330" s="59"/>
      <c r="H330" s="59">
        <v>4140</v>
      </c>
      <c r="I330" s="59">
        <f t="shared" si="42"/>
        <v>24111.359999999346</v>
      </c>
      <c r="J330" s="59">
        <f t="shared" si="43"/>
        <v>728.63999999997861</v>
      </c>
      <c r="K330" s="60">
        <f t="shared" si="39"/>
        <v>3.0219780219780154E-2</v>
      </c>
      <c r="L330" s="59">
        <f t="shared" si="46"/>
        <v>728.63999999997861</v>
      </c>
      <c r="M330" s="60">
        <f t="shared" si="40"/>
        <v>3.0219780219780154E-2</v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>
        <v>0.14199999999999999</v>
      </c>
      <c r="E331" s="57">
        <v>1672.65</v>
      </c>
      <c r="F331" s="58">
        <v>56.802</v>
      </c>
      <c r="G331" s="59"/>
      <c r="H331" s="59">
        <v>4140</v>
      </c>
      <c r="I331" s="59">
        <f t="shared" si="42"/>
        <v>24136.200000000641</v>
      </c>
      <c r="J331" s="59">
        <f t="shared" si="43"/>
        <v>741.06000000000847</v>
      </c>
      <c r="K331" s="60">
        <f t="shared" si="39"/>
        <v>3.0703259005145332E-2</v>
      </c>
      <c r="L331" s="59">
        <f t="shared" si="46"/>
        <v>741.06000000000847</v>
      </c>
      <c r="M331" s="60">
        <f t="shared" si="40"/>
        <v>3.0703259005145332E-2</v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>
        <v>0.14199999999999999</v>
      </c>
      <c r="E332" s="57">
        <v>1678.7670000000001</v>
      </c>
      <c r="F332" s="58">
        <v>57.036999999999999</v>
      </c>
      <c r="G332" s="59"/>
      <c r="H332" s="59">
        <v>4140</v>
      </c>
      <c r="I332" s="59">
        <f t="shared" si="42"/>
        <v>25324.379999999841</v>
      </c>
      <c r="J332" s="59">
        <f t="shared" si="43"/>
        <v>972.89999999999759</v>
      </c>
      <c r="K332" s="60">
        <f t="shared" si="39"/>
        <v>3.841752493052164E-2</v>
      </c>
      <c r="L332" s="59">
        <f t="shared" si="46"/>
        <v>972.89999999999759</v>
      </c>
      <c r="M332" s="60">
        <f t="shared" si="40"/>
        <v>3.841752493052164E-2</v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>
        <v>0.14199999999999999</v>
      </c>
      <c r="E333" s="57">
        <v>1684.2619999999999</v>
      </c>
      <c r="F333" s="58">
        <v>57.143999999999998</v>
      </c>
      <c r="G333" s="59"/>
      <c r="H333" s="59">
        <v>4140</v>
      </c>
      <c r="I333" s="59">
        <f t="shared" si="42"/>
        <v>22749.299999999548</v>
      </c>
      <c r="J333" s="59">
        <f t="shared" si="43"/>
        <v>442.97999999999718</v>
      </c>
      <c r="K333" s="60">
        <f t="shared" ref="K333:K337" si="49">IF(J333="","",+(J333/I333))</f>
        <v>1.9472247497725467E-2</v>
      </c>
      <c r="L333" s="59">
        <f t="shared" si="46"/>
        <v>442.97999999999718</v>
      </c>
      <c r="M333" s="60">
        <f t="shared" ref="M333:M362" si="50">IF(L333="","",(L333/I333))</f>
        <v>1.9472247497725467E-2</v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>
        <v>0.14199999999999999</v>
      </c>
      <c r="E334" s="57">
        <v>1689.9559999999999</v>
      </c>
      <c r="F334" s="58">
        <v>57.305</v>
      </c>
      <c r="G334" s="59"/>
      <c r="H334" s="59">
        <v>4140</v>
      </c>
      <c r="I334" s="59">
        <f t="shared" si="42"/>
        <v>23573.159999999836</v>
      </c>
      <c r="J334" s="59">
        <f t="shared" si="43"/>
        <v>666.54000000000565</v>
      </c>
      <c r="K334" s="60">
        <f t="shared" si="49"/>
        <v>2.8275377590446519E-2</v>
      </c>
      <c r="L334" s="59">
        <f t="shared" si="46"/>
        <v>666.54000000000565</v>
      </c>
      <c r="M334" s="60">
        <f t="shared" si="50"/>
        <v>2.8275377590446519E-2</v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>
        <v>0.14199999999999999</v>
      </c>
      <c r="E335" s="57">
        <v>1694.64</v>
      </c>
      <c r="F335" s="58">
        <v>57.460999999999999</v>
      </c>
      <c r="G335" s="59"/>
      <c r="H335" s="59">
        <v>4140</v>
      </c>
      <c r="I335" s="59">
        <f t="shared" si="42"/>
        <v>19391.760000000813</v>
      </c>
      <c r="J335" s="59">
        <f t="shared" si="43"/>
        <v>645.83999999999503</v>
      </c>
      <c r="K335" s="60">
        <f t="shared" si="49"/>
        <v>3.3304867634498775E-2</v>
      </c>
      <c r="L335" s="59">
        <f t="shared" si="46"/>
        <v>645.83999999999503</v>
      </c>
      <c r="M335" s="60">
        <f t="shared" si="50"/>
        <v>3.3304867634498775E-2</v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>
        <v>0.14199999999999999</v>
      </c>
      <c r="E336" s="57">
        <v>1699.8489999999999</v>
      </c>
      <c r="F336" s="58">
        <v>57.747</v>
      </c>
      <c r="G336" s="59"/>
      <c r="H336" s="59">
        <v>4140</v>
      </c>
      <c r="I336" s="59">
        <f t="shared" si="42"/>
        <v>21565.259999999307</v>
      </c>
      <c r="J336" s="59">
        <f t="shared" si="43"/>
        <v>1184.0400000000056</v>
      </c>
      <c r="K336" s="60">
        <f t="shared" si="49"/>
        <v>5.4904972163565088E-2</v>
      </c>
      <c r="L336" s="59">
        <f t="shared" si="46"/>
        <v>1184.0400000000056</v>
      </c>
      <c r="M336" s="60">
        <f t="shared" si="50"/>
        <v>5.4904972163565088E-2</v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56">
        <v>0.14199999999999999</v>
      </c>
      <c r="E337" s="57">
        <v>1704.9</v>
      </c>
      <c r="F337" s="58">
        <v>57.865000000000002</v>
      </c>
      <c r="G337" s="90"/>
      <c r="H337" s="59">
        <v>4140</v>
      </c>
      <c r="I337" s="59">
        <f t="shared" si="42"/>
        <v>20911.140000000654</v>
      </c>
      <c r="J337" s="59">
        <f t="shared" si="43"/>
        <v>488.52000000000874</v>
      </c>
      <c r="K337" s="60">
        <f t="shared" si="49"/>
        <v>2.3361710552365553E-2</v>
      </c>
      <c r="L337" s="59">
        <f t="shared" si="46"/>
        <v>488.52000000000874</v>
      </c>
      <c r="M337" s="60">
        <f t="shared" si="50"/>
        <v>2.3361710552365553E-2</v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>
        <v>0.14199999999999999</v>
      </c>
      <c r="E338" s="57">
        <v>1710.5440000000001</v>
      </c>
      <c r="F338" s="58">
        <v>58.009</v>
      </c>
      <c r="G338" s="59"/>
      <c r="H338" s="59">
        <v>4140</v>
      </c>
      <c r="I338" s="59">
        <f t="shared" si="42"/>
        <v>23366.160000000022</v>
      </c>
      <c r="J338" s="59">
        <f t="shared" si="43"/>
        <v>596.15999999999315</v>
      </c>
      <c r="K338" s="60">
        <f t="shared" ref="K338:K368" si="51">IF(J338="","",+(J338/I338))</f>
        <v>2.5513819985825338E-2</v>
      </c>
      <c r="L338" s="59">
        <f t="shared" si="46"/>
        <v>596.15999999999315</v>
      </c>
      <c r="M338" s="60">
        <f t="shared" si="50"/>
        <v>2.5513819985825338E-2</v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2"/>
        <v/>
      </c>
      <c r="J339" s="59" t="str">
        <f t="shared" si="43"/>
        <v/>
      </c>
      <c r="K339" s="60" t="str">
        <f t="shared" si="51"/>
        <v/>
      </c>
      <c r="L339" s="59" t="str">
        <f t="shared" si="46"/>
        <v/>
      </c>
      <c r="M339" s="60" t="str">
        <f t="shared" si="50"/>
        <v/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2"/>
        <v/>
      </c>
      <c r="J340" s="59" t="str">
        <f t="shared" si="43"/>
        <v/>
      </c>
      <c r="K340" s="60" t="str">
        <f t="shared" si="51"/>
        <v/>
      </c>
      <c r="L340" s="59" t="str">
        <f t="shared" si="46"/>
        <v/>
      </c>
      <c r="M340" s="60" t="str">
        <f t="shared" si="50"/>
        <v/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2"/>
        <v/>
      </c>
      <c r="J341" s="59" t="str">
        <f t="shared" si="43"/>
        <v/>
      </c>
      <c r="K341" s="60" t="str">
        <f t="shared" si="51"/>
        <v/>
      </c>
      <c r="L341" s="59" t="str">
        <f t="shared" si="46"/>
        <v/>
      </c>
      <c r="M341" s="60" t="str">
        <f t="shared" si="50"/>
        <v/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2"/>
        <v/>
      </c>
      <c r="J342" s="59" t="str">
        <f t="shared" si="43"/>
        <v/>
      </c>
      <c r="K342" s="60" t="str">
        <f t="shared" si="51"/>
        <v/>
      </c>
      <c r="L342" s="59" t="str">
        <f t="shared" si="46"/>
        <v/>
      </c>
      <c r="M342" s="60" t="str">
        <f t="shared" si="50"/>
        <v/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2"/>
        <v/>
      </c>
      <c r="J343" s="59" t="str">
        <f t="shared" ref="I343:J368" si="52">IF(E343="","",+(E343-E342)*4140)</f>
        <v/>
      </c>
      <c r="K343" s="60" t="str">
        <f t="shared" si="51"/>
        <v/>
      </c>
      <c r="L343" s="59" t="str">
        <f t="shared" si="46"/>
        <v/>
      </c>
      <c r="M343" s="60" t="str">
        <f t="shared" si="50"/>
        <v/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2"/>
        <v/>
      </c>
      <c r="J344" s="59" t="str">
        <f t="shared" si="52"/>
        <v/>
      </c>
      <c r="K344" s="60" t="str">
        <f t="shared" si="51"/>
        <v/>
      </c>
      <c r="L344" s="59" t="str">
        <f t="shared" si="46"/>
        <v/>
      </c>
      <c r="M344" s="60" t="str">
        <f t="shared" si="50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2"/>
        <v/>
      </c>
      <c r="J345" s="59" t="str">
        <f t="shared" si="52"/>
        <v/>
      </c>
      <c r="K345" s="60" t="str">
        <f t="shared" si="51"/>
        <v/>
      </c>
      <c r="L345" s="59" t="str">
        <f t="shared" si="46"/>
        <v/>
      </c>
      <c r="M345" s="60" t="str">
        <f t="shared" si="50"/>
        <v/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2"/>
        <v/>
      </c>
      <c r="J346" s="59" t="str">
        <f t="shared" si="52"/>
        <v/>
      </c>
      <c r="K346" s="60" t="str">
        <f t="shared" si="51"/>
        <v/>
      </c>
      <c r="L346" s="59" t="str">
        <f t="shared" si="46"/>
        <v/>
      </c>
      <c r="M346" s="60" t="str">
        <f t="shared" si="50"/>
        <v/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2"/>
        <v/>
      </c>
      <c r="J347" s="59" t="str">
        <f t="shared" si="52"/>
        <v/>
      </c>
      <c r="K347" s="60" t="str">
        <f t="shared" si="51"/>
        <v/>
      </c>
      <c r="L347" s="59" t="str">
        <f t="shared" si="46"/>
        <v/>
      </c>
      <c r="M347" s="60" t="str">
        <f t="shared" si="50"/>
        <v/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2"/>
        <v/>
      </c>
      <c r="J348" s="59" t="str">
        <f t="shared" si="52"/>
        <v/>
      </c>
      <c r="K348" s="60" t="str">
        <f t="shared" si="51"/>
        <v/>
      </c>
      <c r="L348" s="59" t="str">
        <f t="shared" si="46"/>
        <v/>
      </c>
      <c r="M348" s="60" t="str">
        <f t="shared" si="50"/>
        <v/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2"/>
        <v/>
      </c>
      <c r="J349" s="59" t="str">
        <f t="shared" si="52"/>
        <v/>
      </c>
      <c r="K349" s="60" t="str">
        <f t="shared" si="51"/>
        <v/>
      </c>
      <c r="L349" s="59" t="str">
        <f t="shared" si="46"/>
        <v/>
      </c>
      <c r="M349" s="60" t="str">
        <f t="shared" si="50"/>
        <v/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2"/>
        <v/>
      </c>
      <c r="J350" s="59" t="str">
        <f t="shared" si="52"/>
        <v/>
      </c>
      <c r="K350" s="60" t="str">
        <f t="shared" si="51"/>
        <v/>
      </c>
      <c r="L350" s="59" t="str">
        <f t="shared" si="46"/>
        <v/>
      </c>
      <c r="M350" s="60" t="str">
        <f t="shared" si="50"/>
        <v/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2"/>
        <v/>
      </c>
      <c r="J351" s="59" t="str">
        <f t="shared" si="52"/>
        <v/>
      </c>
      <c r="K351" s="60" t="str">
        <f t="shared" si="51"/>
        <v/>
      </c>
      <c r="L351" s="59" t="str">
        <f t="shared" si="46"/>
        <v/>
      </c>
      <c r="M351" s="60" t="str">
        <f t="shared" si="50"/>
        <v/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52"/>
        <v/>
      </c>
      <c r="J352" s="59" t="str">
        <f t="shared" si="52"/>
        <v/>
      </c>
      <c r="K352" s="60" t="str">
        <f t="shared" si="51"/>
        <v/>
      </c>
      <c r="L352" s="59" t="str">
        <f t="shared" si="46"/>
        <v/>
      </c>
      <c r="M352" s="60" t="str">
        <f t="shared" si="50"/>
        <v/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52"/>
        <v/>
      </c>
      <c r="J353" s="59" t="str">
        <f t="shared" si="52"/>
        <v/>
      </c>
      <c r="K353" s="60" t="str">
        <f t="shared" si="51"/>
        <v/>
      </c>
      <c r="L353" s="59" t="str">
        <f t="shared" si="46"/>
        <v/>
      </c>
      <c r="M353" s="60" t="str">
        <f t="shared" si="50"/>
        <v/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52"/>
        <v/>
      </c>
      <c r="J354" s="59" t="str">
        <f t="shared" si="52"/>
        <v/>
      </c>
      <c r="K354" s="60" t="str">
        <f t="shared" si="51"/>
        <v/>
      </c>
      <c r="L354" s="59" t="str">
        <f t="shared" si="46"/>
        <v/>
      </c>
      <c r="M354" s="60" t="str">
        <f t="shared" si="50"/>
        <v/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52"/>
        <v/>
      </c>
      <c r="J355" s="59" t="str">
        <f>IF(E355="","",+(E355-E354)*4140)</f>
        <v/>
      </c>
      <c r="K355" s="60" t="str">
        <f t="shared" si="51"/>
        <v/>
      </c>
      <c r="L355" s="59" t="str">
        <f t="shared" si="46"/>
        <v/>
      </c>
      <c r="M355" s="60" t="str">
        <f t="shared" si="50"/>
        <v/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52"/>
        <v/>
      </c>
      <c r="J356" s="59" t="str">
        <f>IF(E356="","",+(E356-E355)*4140)</f>
        <v/>
      </c>
      <c r="K356" s="60" t="str">
        <f t="shared" si="51"/>
        <v/>
      </c>
      <c r="L356" s="59" t="str">
        <f t="shared" si="46"/>
        <v/>
      </c>
      <c r="M356" s="60" t="str">
        <f t="shared" si="50"/>
        <v/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52"/>
        <v/>
      </c>
      <c r="J357" s="59" t="str">
        <f>IF(E357="","",+(E357-E356)*4140)</f>
        <v/>
      </c>
      <c r="K357" s="60" t="str">
        <f t="shared" si="51"/>
        <v/>
      </c>
      <c r="L357" s="59" t="str">
        <f t="shared" si="46"/>
        <v/>
      </c>
      <c r="M357" s="60" t="str">
        <f t="shared" si="50"/>
        <v/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52"/>
        <v/>
      </c>
      <c r="J358" s="59" t="str">
        <f>IF(E358="","",+(E358-E357)*4140)</f>
        <v/>
      </c>
      <c r="K358" s="60" t="str">
        <f t="shared" si="51"/>
        <v/>
      </c>
      <c r="L358" s="59" t="str">
        <f t="shared" si="46"/>
        <v/>
      </c>
      <c r="M358" s="60" t="str">
        <f t="shared" si="50"/>
        <v/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52"/>
        <v/>
      </c>
      <c r="J359" s="59" t="str">
        <f t="shared" si="52"/>
        <v/>
      </c>
      <c r="K359" s="60" t="str">
        <f t="shared" si="51"/>
        <v/>
      </c>
      <c r="L359" s="59" t="str">
        <f t="shared" si="46"/>
        <v/>
      </c>
      <c r="M359" s="60" t="str">
        <f t="shared" si="50"/>
        <v/>
      </c>
      <c r="N359" s="61">
        <v>66068309</v>
      </c>
      <c r="O359" s="61">
        <f t="shared" si="44"/>
        <v>0</v>
      </c>
      <c r="P359" s="70">
        <f>IF(J338="",0,+SUM(J338:J368)/SUM(I338:I368))</f>
        <v>2.5513819985825338E-2</v>
      </c>
      <c r="Q359" s="70">
        <f>IF(L338="",0,+SUM(L338:L368)/SUM(I338:I368))</f>
        <v>2.5513819985825338E-2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52"/>
        <v/>
      </c>
      <c r="J360" s="59" t="str">
        <f t="shared" si="52"/>
        <v/>
      </c>
      <c r="K360" s="60" t="str">
        <f t="shared" si="51"/>
        <v/>
      </c>
      <c r="L360" s="59" t="str">
        <f t="shared" si="46"/>
        <v/>
      </c>
      <c r="M360" s="60" t="str">
        <f t="shared" si="50"/>
        <v/>
      </c>
      <c r="N360" s="61">
        <v>66068309</v>
      </c>
      <c r="O360" s="61">
        <f t="shared" si="44"/>
        <v>0</v>
      </c>
      <c r="P360" s="71" t="e">
        <f>IF(J338="",0,+(+(LOOKUP(9.99999999999999E+307,E338:E368)-E337))/(+(LOOKUP(9.99999999999999E+307,D338:D368)-D337)))</f>
        <v>#DIV/0!</v>
      </c>
      <c r="Q360" s="71" t="e">
        <f>IF(L338="",0,+(+(LOOKUP(9.99999999999999E+307,F338:F368)-F337))/(+(LOOKUP(9.99999999999999E+307,D338:D368)-D337)))</f>
        <v>#DIV/0!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52"/>
        <v/>
      </c>
      <c r="J361" s="59" t="str">
        <f t="shared" si="52"/>
        <v/>
      </c>
      <c r="K361" s="60" t="str">
        <f t="shared" si="51"/>
        <v/>
      </c>
      <c r="L361" s="59" t="str">
        <f t="shared" si="46"/>
        <v/>
      </c>
      <c r="M361" s="60" t="str">
        <f t="shared" si="50"/>
        <v/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52"/>
        <v/>
      </c>
      <c r="J362" s="59" t="str">
        <f t="shared" si="52"/>
        <v/>
      </c>
      <c r="K362" s="60" t="str">
        <f t="shared" si="51"/>
        <v/>
      </c>
      <c r="L362" s="59" t="str">
        <f t="shared" si="46"/>
        <v/>
      </c>
      <c r="M362" s="60" t="str">
        <f t="shared" si="50"/>
        <v/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52"/>
        <v/>
      </c>
      <c r="J363" s="59" t="str">
        <f t="shared" si="52"/>
        <v/>
      </c>
      <c r="K363" s="60" t="str">
        <f t="shared" si="51"/>
        <v/>
      </c>
      <c r="L363" s="59" t="str">
        <f t="shared" si="46"/>
        <v/>
      </c>
      <c r="M363" s="60" t="str">
        <f t="shared" ref="M363:M368" si="53">IF(L363="","",(L363/I363))</f>
        <v/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52"/>
        <v/>
      </c>
      <c r="J364" s="59" t="str">
        <f t="shared" si="52"/>
        <v/>
      </c>
      <c r="K364" s="60" t="str">
        <f t="shared" si="51"/>
        <v/>
      </c>
      <c r="L364" s="59" t="str">
        <f t="shared" si="46"/>
        <v/>
      </c>
      <c r="M364" s="60" t="str">
        <f t="shared" si="53"/>
        <v/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52"/>
        <v/>
      </c>
      <c r="J365" s="59" t="str">
        <f t="shared" si="52"/>
        <v/>
      </c>
      <c r="K365" s="60" t="str">
        <f t="shared" si="51"/>
        <v/>
      </c>
      <c r="L365" s="59" t="str">
        <f t="shared" si="46"/>
        <v/>
      </c>
      <c r="M365" s="60" t="str">
        <f t="shared" si="53"/>
        <v/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52"/>
        <v/>
      </c>
      <c r="K366" s="60" t="str">
        <f t="shared" si="51"/>
        <v/>
      </c>
      <c r="L366" s="59" t="str">
        <f t="shared" si="46"/>
        <v/>
      </c>
      <c r="M366" s="60" t="str">
        <f t="shared" si="53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52"/>
        <v/>
      </c>
      <c r="J367" s="59" t="str">
        <f t="shared" si="52"/>
        <v/>
      </c>
      <c r="K367" s="60" t="str">
        <f t="shared" si="51"/>
        <v/>
      </c>
      <c r="L367" s="59" t="str">
        <f t="shared" si="46"/>
        <v/>
      </c>
      <c r="M367" s="60" t="str">
        <f t="shared" si="53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52"/>
        <v/>
      </c>
      <c r="J368" s="90" t="str">
        <f t="shared" si="52"/>
        <v/>
      </c>
      <c r="K368" s="91" t="str">
        <f t="shared" si="51"/>
        <v/>
      </c>
      <c r="L368" s="90" t="str">
        <f t="shared" si="46"/>
        <v/>
      </c>
      <c r="M368" s="91" t="str">
        <f t="shared" si="53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8670269.040000001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2021-12-03T06:06:32Z</dcterms:modified>
  <cp:category/>
  <cp:contentStatus/>
</cp:coreProperties>
</file>