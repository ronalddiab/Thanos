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0" yWindow="-90" windowWidth="14150" windowHeight="12230" tabRatio="580" firstSheet="3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2020'!$A$41:$AJ$92</definedName>
    <definedName name="_xlnm.Print_Area" localSheetId="4">WATER!$A$3:$C$34</definedName>
  </definedNames>
  <calcPr calcId="125725"/>
</workbook>
</file>

<file path=xl/calcChain.xml><?xml version="1.0" encoding="utf-8"?>
<calcChain xmlns="http://schemas.openxmlformats.org/spreadsheetml/2006/main">
  <c r="T14" i="3"/>
  <c r="T13"/>
  <c r="D18" i="77"/>
  <c r="C19" l="1"/>
  <c r="C18"/>
  <c r="C17"/>
  <c r="C16"/>
  <c r="C15"/>
  <c r="C14"/>
  <c r="BB5" i="7"/>
  <c r="BA5"/>
  <c r="AZ5"/>
  <c r="AY5"/>
  <c r="AX5"/>
  <c r="AW5"/>
  <c r="AV5"/>
  <c r="AU5"/>
  <c r="AT5"/>
  <c r="AS5"/>
  <c r="AR5"/>
  <c r="AQ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3" i="76" l="1"/>
  <c r="C5" i="5" l="1"/>
  <c r="D5"/>
  <c r="E5"/>
  <c r="F5"/>
  <c r="H5"/>
  <c r="I5"/>
  <c r="J5"/>
  <c r="K5"/>
  <c r="L5"/>
  <c r="M5"/>
  <c r="N5"/>
  <c r="O5"/>
  <c r="P5"/>
  <c r="Q5"/>
  <c r="R5"/>
  <c r="S5"/>
  <c r="U5"/>
  <c r="W5"/>
  <c r="Y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X5"/>
  <c r="V5"/>
  <c r="W6" s="1"/>
  <c r="T5"/>
  <c r="G5"/>
  <c r="B5"/>
  <c r="I9" i="77" l="1"/>
  <c r="H7"/>
  <c r="I7" s="1"/>
  <c r="H8" l="1"/>
  <c r="I8" s="1"/>
  <c r="H10" l="1"/>
  <c r="I10" s="1"/>
  <c r="G37" i="74" l="1"/>
  <c r="F37"/>
  <c r="G36"/>
  <c r="F36"/>
  <c r="G35"/>
  <c r="F35"/>
  <c r="G34"/>
  <c r="F34"/>
  <c r="G33"/>
  <c r="H33" s="1"/>
  <c r="F33"/>
  <c r="G32"/>
  <c r="H32" s="1"/>
  <c r="F32"/>
  <c r="G31"/>
  <c r="F31"/>
  <c r="G30"/>
  <c r="F30"/>
  <c r="G29"/>
  <c r="F29"/>
  <c r="G28"/>
  <c r="F28"/>
  <c r="G27"/>
  <c r="F27"/>
  <c r="G26"/>
  <c r="F26"/>
  <c r="G25"/>
  <c r="H25" s="1"/>
  <c r="F25"/>
  <c r="G24"/>
  <c r="F24"/>
  <c r="G23"/>
  <c r="H23" s="1"/>
  <c r="F23"/>
  <c r="G22"/>
  <c r="F22"/>
  <c r="G21"/>
  <c r="H21" s="1"/>
  <c r="F21"/>
  <c r="G20"/>
  <c r="H20" s="1"/>
  <c r="F20"/>
  <c r="G19"/>
  <c r="F19"/>
  <c r="G18"/>
  <c r="F18"/>
  <c r="G17"/>
  <c r="H17" s="1"/>
  <c r="F17"/>
  <c r="G16"/>
  <c r="F16"/>
  <c r="G15"/>
  <c r="H15" s="1"/>
  <c r="F15"/>
  <c r="G14"/>
  <c r="F14"/>
  <c r="G13"/>
  <c r="H13" s="1"/>
  <c r="F13"/>
  <c r="G12"/>
  <c r="H12" s="1"/>
  <c r="F12"/>
  <c r="G11"/>
  <c r="H11" s="1"/>
  <c r="F11"/>
  <c r="G10"/>
  <c r="F10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H36"/>
  <c r="E36"/>
  <c r="X35"/>
  <c r="T35"/>
  <c r="P35"/>
  <c r="M35"/>
  <c r="L35"/>
  <c r="I35"/>
  <c r="H35"/>
  <c r="E35"/>
  <c r="X34"/>
  <c r="T34"/>
  <c r="P34"/>
  <c r="M34"/>
  <c r="L34"/>
  <c r="I34"/>
  <c r="H34"/>
  <c r="E34"/>
  <c r="X33"/>
  <c r="T33"/>
  <c r="P33"/>
  <c r="M33"/>
  <c r="L33"/>
  <c r="I33"/>
  <c r="E33"/>
  <c r="X32"/>
  <c r="T32"/>
  <c r="P32"/>
  <c r="M32"/>
  <c r="L32"/>
  <c r="I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H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H24"/>
  <c r="E24"/>
  <c r="X23"/>
  <c r="T23"/>
  <c r="P23"/>
  <c r="M23"/>
  <c r="L23"/>
  <c r="I23"/>
  <c r="E23"/>
  <c r="X22"/>
  <c r="T22"/>
  <c r="P22"/>
  <c r="M22"/>
  <c r="L22"/>
  <c r="I22"/>
  <c r="H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H19"/>
  <c r="E19"/>
  <c r="X18"/>
  <c r="T18"/>
  <c r="P18"/>
  <c r="M18"/>
  <c r="L18"/>
  <c r="I18"/>
  <c r="H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H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H5"/>
  <c r="H6" s="1"/>
  <c r="H7" s="1"/>
  <c r="I7" s="1"/>
  <c r="G5"/>
  <c r="F5"/>
  <c r="E5"/>
  <c r="D5"/>
  <c r="C5"/>
  <c r="B5"/>
  <c r="W16" i="76"/>
  <c r="W15"/>
  <c r="W14"/>
  <c r="W13"/>
  <c r="AA17"/>
  <c r="AD11"/>
  <c r="AD10"/>
  <c r="AD9"/>
  <c r="Z11"/>
  <c r="Z10"/>
  <c r="Z9"/>
  <c r="Y11"/>
  <c r="Y10"/>
  <c r="Y9"/>
  <c r="X11"/>
  <c r="X10"/>
  <c r="X9"/>
  <c r="W11"/>
  <c r="W10"/>
  <c r="W9"/>
  <c r="F16"/>
  <c r="F17" s="1"/>
  <c r="F18" s="1"/>
  <c r="F19" s="1"/>
  <c r="F20" s="1"/>
  <c r="F21" s="1"/>
  <c r="F22" s="1"/>
  <c r="S3"/>
  <c r="Q3"/>
  <c r="N3"/>
  <c r="M3"/>
  <c r="L3"/>
  <c r="K3"/>
  <c r="J16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W26" s="1"/>
  <c r="I3"/>
  <c r="H16"/>
  <c r="H17" s="1"/>
  <c r="H18" s="1"/>
  <c r="H19" s="1"/>
  <c r="H20" s="1"/>
  <c r="H21" s="1"/>
  <c r="H22" s="1"/>
  <c r="G3"/>
  <c r="E3"/>
  <c r="D3"/>
  <c r="C3"/>
  <c r="B16"/>
  <c r="B17" s="1"/>
  <c r="B18" s="1"/>
  <c r="B19" s="1"/>
  <c r="B20" s="1"/>
  <c r="B21" s="1"/>
  <c r="B22" s="1"/>
  <c r="D15" i="3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B15"/>
  <c r="B16" s="1"/>
  <c r="B17" s="1"/>
  <c r="B18" s="1"/>
  <c r="B19" s="1"/>
  <c r="B20" s="1"/>
  <c r="B21" s="1"/>
  <c r="AK2"/>
  <c r="AJ2"/>
  <c r="AI2"/>
  <c r="AG2"/>
  <c r="AF2"/>
  <c r="AE2"/>
  <c r="AD2"/>
  <c r="Z2"/>
  <c r="W2"/>
  <c r="V2"/>
  <c r="U2"/>
  <c r="T2"/>
  <c r="T3" s="1"/>
  <c r="T4" s="1"/>
  <c r="T5" s="1"/>
  <c r="T6" s="1"/>
  <c r="T7" s="1"/>
  <c r="T8" s="1"/>
  <c r="T9" s="1"/>
  <c r="T10" s="1"/>
  <c r="T11" s="1"/>
  <c r="T12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S2"/>
  <c r="R2"/>
  <c r="R3" s="1"/>
  <c r="R4" s="1"/>
  <c r="R5" s="1"/>
  <c r="R6" s="1"/>
  <c r="R8" s="1"/>
  <c r="R9" s="1"/>
  <c r="R10" s="1"/>
  <c r="R11" s="1"/>
  <c r="R12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Q2"/>
  <c r="P2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O2"/>
  <c r="K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I2"/>
  <c r="H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G2"/>
  <c r="F2"/>
  <c r="E2"/>
  <c r="D2"/>
  <c r="C2"/>
  <c r="B2"/>
  <c r="AV18" i="5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X18"/>
  <c r="AX19" s="1"/>
  <c r="AX20" s="1"/>
  <c r="AX21" s="1"/>
  <c r="AX22" s="1"/>
  <c r="AX23" s="1"/>
  <c r="AX24" s="1"/>
  <c r="AT9"/>
  <c r="AT11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G7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X6" i="1"/>
  <c r="X7" s="1"/>
  <c r="X8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H7"/>
  <c r="H10" s="1"/>
  <c r="H13" s="1"/>
  <c r="H16" s="1"/>
  <c r="H17" s="1"/>
  <c r="H18" s="1"/>
  <c r="H19" s="1"/>
  <c r="H20" s="1"/>
  <c r="H21" s="1"/>
  <c r="H22" s="1"/>
  <c r="H23" s="1"/>
  <c r="B17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U4"/>
  <c r="AT4"/>
  <c r="AS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Q4"/>
  <c r="AP4"/>
  <c r="AP5" s="1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O4"/>
  <c r="AN4"/>
  <c r="AN5" s="1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M4"/>
  <c r="AL4"/>
  <c r="AK4"/>
  <c r="AJ4"/>
  <c r="AI4"/>
  <c r="AH4"/>
  <c r="AG4"/>
  <c r="AF4"/>
  <c r="AE4"/>
  <c r="AE5" s="1"/>
  <c r="AE6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D4"/>
  <c r="AC4"/>
  <c r="AC5" s="1"/>
  <c r="AC6" s="1"/>
  <c r="AC7" s="1"/>
  <c r="AC8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B4"/>
  <c r="AA4"/>
  <c r="Z4"/>
  <c r="Z6" s="1"/>
  <c r="Z7" s="1"/>
  <c r="Z8" s="1"/>
  <c r="Z9" s="1"/>
  <c r="Z10" s="1"/>
  <c r="Z11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Y4"/>
  <c r="X4"/>
  <c r="W4"/>
  <c r="V4"/>
  <c r="U4"/>
  <c r="T4"/>
  <c r="S4"/>
  <c r="R4"/>
  <c r="Q4"/>
  <c r="Q6" s="1"/>
  <c r="Q9" s="1"/>
  <c r="Q12" s="1"/>
  <c r="Q15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P4"/>
  <c r="P6" s="1"/>
  <c r="P9" s="1"/>
  <c r="P12" s="1"/>
  <c r="P15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O4"/>
  <c r="N4"/>
  <c r="M4"/>
  <c r="M5" s="1"/>
  <c r="M8" s="1"/>
  <c r="M11" s="1"/>
  <c r="M14" s="1"/>
  <c r="M17" s="1"/>
  <c r="M18" s="1"/>
  <c r="M19" s="1"/>
  <c r="M20" s="1"/>
  <c r="M21" s="1"/>
  <c r="M22" s="1"/>
  <c r="M23" s="1"/>
  <c r="L4"/>
  <c r="K4"/>
  <c r="K5" s="1"/>
  <c r="K8" s="1"/>
  <c r="K11" s="1"/>
  <c r="K14" s="1"/>
  <c r="K17" s="1"/>
  <c r="K18" s="1"/>
  <c r="K19" s="1"/>
  <c r="K20" s="1"/>
  <c r="K21" s="1"/>
  <c r="K22" s="1"/>
  <c r="K23" s="1"/>
  <c r="J4"/>
  <c r="I4"/>
  <c r="H4"/>
  <c r="G4"/>
  <c r="F4"/>
  <c r="F7" s="1"/>
  <c r="F10" s="1"/>
  <c r="F13" s="1"/>
  <c r="F17" s="1"/>
  <c r="F18" s="1"/>
  <c r="F19" s="1"/>
  <c r="F20" s="1"/>
  <c r="F21" s="1"/>
  <c r="F22" s="1"/>
  <c r="F23" s="1"/>
  <c r="E4"/>
  <c r="D4"/>
  <c r="C4"/>
  <c r="C17" s="1"/>
  <c r="C18" s="1"/>
  <c r="C19" s="1"/>
  <c r="C20" s="1"/>
  <c r="C21" s="1"/>
  <c r="C22" s="1"/>
  <c r="B4"/>
  <c r="L15" i="2"/>
  <c r="L16" s="1"/>
  <c r="L17" s="1"/>
  <c r="L18" s="1"/>
  <c r="L19" s="1"/>
  <c r="L20" s="1"/>
  <c r="L21" s="1"/>
  <c r="AG2"/>
  <c r="AF2"/>
  <c r="AE2"/>
  <c r="AD2"/>
  <c r="AC2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B2"/>
  <c r="AA2"/>
  <c r="AA9" s="1"/>
  <c r="AA10" s="1"/>
  <c r="AA11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Z2"/>
  <c r="Y2"/>
  <c r="Y3" s="1"/>
  <c r="Y4" s="1"/>
  <c r="Y5" s="1"/>
  <c r="Y6" s="1"/>
  <c r="Y7" s="1"/>
  <c r="Y8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X2"/>
  <c r="W2"/>
  <c r="W3" s="1"/>
  <c r="W4" s="1"/>
  <c r="W5" s="1"/>
  <c r="W6" s="1"/>
  <c r="W7" s="1"/>
  <c r="W8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V2"/>
  <c r="U2"/>
  <c r="U3" s="1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T2"/>
  <c r="S2"/>
  <c r="S3" s="1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R2"/>
  <c r="Q2"/>
  <c r="P2"/>
  <c r="P15" s="1"/>
  <c r="P16" s="1"/>
  <c r="P17" s="1"/>
  <c r="P18" s="1"/>
  <c r="P19" s="1"/>
  <c r="P20" s="1"/>
  <c r="P21" s="1"/>
  <c r="O2"/>
  <c r="N2"/>
  <c r="M2"/>
  <c r="L2"/>
  <c r="K2"/>
  <c r="J2"/>
  <c r="J15" s="1"/>
  <c r="J16" s="1"/>
  <c r="J17" s="1"/>
  <c r="J18" s="1"/>
  <c r="J19" s="1"/>
  <c r="J20" s="1"/>
  <c r="J21" s="1"/>
  <c r="I2"/>
  <c r="H2"/>
  <c r="H15" s="1"/>
  <c r="H16" s="1"/>
  <c r="H17" s="1"/>
  <c r="H18" s="1"/>
  <c r="H19" s="1"/>
  <c r="H20" s="1"/>
  <c r="H21" s="1"/>
  <c r="G2"/>
  <c r="F2"/>
  <c r="F15" s="1"/>
  <c r="F16" s="1"/>
  <c r="F17" s="1"/>
  <c r="F18" s="1"/>
  <c r="F19" s="1"/>
  <c r="F20" s="1"/>
  <c r="F21" s="1"/>
  <c r="E2"/>
  <c r="D2"/>
  <c r="D15" s="1"/>
  <c r="D16" s="1"/>
  <c r="D17" s="1"/>
  <c r="D18" s="1"/>
  <c r="D19" s="1"/>
  <c r="D20" s="1"/>
  <c r="D21" s="1"/>
  <c r="C2"/>
  <c r="D24" i="73"/>
  <c r="AP24" i="5"/>
  <c r="AN24"/>
  <c r="AM24"/>
  <c r="K24"/>
  <c r="AJ23" i="1"/>
  <c r="A23"/>
  <c r="H29" i="74" l="1"/>
  <c r="H27"/>
  <c r="H31"/>
  <c r="H37"/>
  <c r="H16"/>
  <c r="H10"/>
  <c r="H8" i="79"/>
  <c r="H9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2" i="76"/>
  <c r="H23"/>
  <c r="H24" s="1"/>
  <c r="H25" s="1"/>
  <c r="H26" s="1"/>
  <c r="H27" s="1"/>
  <c r="H28" s="1"/>
  <c r="H29" s="1"/>
  <c r="H30" s="1"/>
  <c r="H31" s="1"/>
  <c r="W27" s="1"/>
  <c r="G22"/>
  <c r="F23"/>
  <c r="F24" s="1"/>
  <c r="F25" s="1"/>
  <c r="F26" s="1"/>
  <c r="F27" s="1"/>
  <c r="F28" s="1"/>
  <c r="F29" s="1"/>
  <c r="F30" s="1"/>
  <c r="F31" s="1"/>
  <c r="W28" s="1"/>
  <c r="C22"/>
  <c r="B23"/>
  <c r="B24" s="1"/>
  <c r="B25" s="1"/>
  <c r="B26" s="1"/>
  <c r="B27" s="1"/>
  <c r="B28" s="1"/>
  <c r="B29" s="1"/>
  <c r="B30" s="1"/>
  <c r="B31" s="1"/>
  <c r="C21" i="3"/>
  <c r="B22"/>
  <c r="B23" s="1"/>
  <c r="B24" s="1"/>
  <c r="B25" s="1"/>
  <c r="B26" s="1"/>
  <c r="B27" s="1"/>
  <c r="B28" s="1"/>
  <c r="B29" s="1"/>
  <c r="B30" s="1"/>
  <c r="BA24" i="5"/>
  <c r="AX25"/>
  <c r="AX26" s="1"/>
  <c r="AX27" s="1"/>
  <c r="AX28" s="1"/>
  <c r="AX29" s="1"/>
  <c r="AX30" s="1"/>
  <c r="AX31" s="1"/>
  <c r="AX32" s="1"/>
  <c r="AX33" s="1"/>
  <c r="AA24"/>
  <c r="Z25"/>
  <c r="Z26" s="1"/>
  <c r="Z27" s="1"/>
  <c r="Z28" s="1"/>
  <c r="Z29" s="1"/>
  <c r="Z30" s="1"/>
  <c r="Z31" s="1"/>
  <c r="Z32" s="1"/>
  <c r="Z33" s="1"/>
  <c r="AJ24"/>
  <c r="X25"/>
  <c r="X26" s="1"/>
  <c r="X27" s="1"/>
  <c r="X28" s="1"/>
  <c r="X29" s="1"/>
  <c r="X30" s="1"/>
  <c r="X31" s="1"/>
  <c r="X32" s="1"/>
  <c r="X33" s="1"/>
  <c r="Y24"/>
  <c r="G25"/>
  <c r="G26" s="1"/>
  <c r="G27" s="1"/>
  <c r="G28" s="1"/>
  <c r="G29" s="1"/>
  <c r="G30" s="1"/>
  <c r="G31" s="1"/>
  <c r="G32" s="1"/>
  <c r="G33" s="1"/>
  <c r="H24"/>
  <c r="N23" i="1"/>
  <c r="M24"/>
  <c r="M25" s="1"/>
  <c r="M26" s="1"/>
  <c r="M27" s="1"/>
  <c r="M28" s="1"/>
  <c r="M29" s="1"/>
  <c r="M30" s="1"/>
  <c r="M31" s="1"/>
  <c r="M32" s="1"/>
  <c r="L23"/>
  <c r="K24"/>
  <c r="K25" s="1"/>
  <c r="K26" s="1"/>
  <c r="K27" s="1"/>
  <c r="K28" s="1"/>
  <c r="K29" s="1"/>
  <c r="K30" s="1"/>
  <c r="K31" s="1"/>
  <c r="K32" s="1"/>
  <c r="I23"/>
  <c r="H24"/>
  <c r="H25" s="1"/>
  <c r="H26" s="1"/>
  <c r="H27" s="1"/>
  <c r="H28" s="1"/>
  <c r="H29" s="1"/>
  <c r="H30" s="1"/>
  <c r="H31" s="1"/>
  <c r="H32" s="1"/>
  <c r="G23"/>
  <c r="J23" s="1"/>
  <c r="F24"/>
  <c r="F25" s="1"/>
  <c r="F26" s="1"/>
  <c r="F27" s="1"/>
  <c r="F28" s="1"/>
  <c r="F29" s="1"/>
  <c r="F30" s="1"/>
  <c r="F31" s="1"/>
  <c r="F32" s="1"/>
  <c r="C23"/>
  <c r="C24" s="1"/>
  <c r="C25" s="1"/>
  <c r="C26" s="1"/>
  <c r="C27" s="1"/>
  <c r="C28" s="1"/>
  <c r="C29" s="1"/>
  <c r="C30" s="1"/>
  <c r="C31" s="1"/>
  <c r="C32" s="1"/>
  <c r="V21" i="2"/>
  <c r="U22"/>
  <c r="U23" s="1"/>
  <c r="U24" s="1"/>
  <c r="U25" s="1"/>
  <c r="U26" s="1"/>
  <c r="U27" s="1"/>
  <c r="U28" s="1"/>
  <c r="U29" s="1"/>
  <c r="U30" s="1"/>
  <c r="T21"/>
  <c r="S22"/>
  <c r="S23" s="1"/>
  <c r="S24" s="1"/>
  <c r="S25" s="1"/>
  <c r="S26" s="1"/>
  <c r="S27" s="1"/>
  <c r="S28" s="1"/>
  <c r="S29" s="1"/>
  <c r="S30" s="1"/>
  <c r="Q21"/>
  <c r="P22"/>
  <c r="P23" s="1"/>
  <c r="P24" s="1"/>
  <c r="P25" s="1"/>
  <c r="P26" s="1"/>
  <c r="P27" s="1"/>
  <c r="P28" s="1"/>
  <c r="P29" s="1"/>
  <c r="P30" s="1"/>
  <c r="M21"/>
  <c r="L22"/>
  <c r="L23" s="1"/>
  <c r="L24" s="1"/>
  <c r="L25" s="1"/>
  <c r="L26" s="1"/>
  <c r="L27" s="1"/>
  <c r="L28" s="1"/>
  <c r="L29" s="1"/>
  <c r="L30" s="1"/>
  <c r="J22"/>
  <c r="J23" s="1"/>
  <c r="J24" s="1"/>
  <c r="J25" s="1"/>
  <c r="J26" s="1"/>
  <c r="J27" s="1"/>
  <c r="J28" s="1"/>
  <c r="J29" s="1"/>
  <c r="J30" s="1"/>
  <c r="K21"/>
  <c r="H22"/>
  <c r="H23" s="1"/>
  <c r="H24" s="1"/>
  <c r="H25" s="1"/>
  <c r="H26" s="1"/>
  <c r="H27" s="1"/>
  <c r="H28" s="1"/>
  <c r="H29" s="1"/>
  <c r="H30" s="1"/>
  <c r="I21"/>
  <c r="F22"/>
  <c r="F23" s="1"/>
  <c r="F24" s="1"/>
  <c r="F25" s="1"/>
  <c r="F26" s="1"/>
  <c r="F27" s="1"/>
  <c r="F28" s="1"/>
  <c r="F29" s="1"/>
  <c r="F30" s="1"/>
  <c r="G21"/>
  <c r="D22"/>
  <c r="D23" s="1"/>
  <c r="D24" s="1"/>
  <c r="D25" s="1"/>
  <c r="D26" s="1"/>
  <c r="D27" s="1"/>
  <c r="D28" s="1"/>
  <c r="D29" s="1"/>
  <c r="D30" s="1"/>
  <c r="E21"/>
  <c r="D23" i="1" l="1"/>
  <c r="E23" s="1"/>
  <c r="N21" i="2"/>
  <c r="R21" s="1"/>
  <c r="I22" i="1"/>
  <c r="E18" i="3"/>
  <c r="E19"/>
  <c r="AO21" i="1"/>
  <c r="AB15" i="76" l="1"/>
  <c r="AC15"/>
  <c r="AB16"/>
  <c r="AC16"/>
  <c r="AC17"/>
  <c r="AC18"/>
  <c r="AC19"/>
  <c r="AB12"/>
  <c r="AC12"/>
  <c r="AD12"/>
  <c r="X14"/>
  <c r="Y14"/>
  <c r="AP5" i="7"/>
  <c r="BC5"/>
  <c r="BD5"/>
  <c r="BE5"/>
  <c r="BF5"/>
  <c r="BG5"/>
  <c r="D5" i="73"/>
  <c r="E5"/>
  <c r="F5"/>
  <c r="G5"/>
  <c r="H5"/>
  <c r="I5"/>
  <c r="J5"/>
  <c r="K5"/>
  <c r="L5"/>
  <c r="M5"/>
  <c r="N5"/>
  <c r="O5"/>
  <c r="AH2" i="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DD2"/>
  <c r="B2"/>
  <c r="A2"/>
  <c r="U24" i="5" l="1"/>
  <c r="R23" i="1"/>
  <c r="V23" s="1"/>
  <c r="S23"/>
  <c r="AF23"/>
  <c r="AD23"/>
  <c r="AG23" s="1"/>
  <c r="AA23"/>
  <c r="Y23"/>
  <c r="X21" i="2"/>
  <c r="Z21"/>
  <c r="I24" i="1"/>
  <c r="E20" i="3"/>
  <c r="K7" i="5"/>
  <c r="U10" i="3"/>
  <c r="AB23" i="1" l="1"/>
  <c r="AM23"/>
  <c r="T23"/>
  <c r="AL23"/>
  <c r="U23"/>
  <c r="AH23"/>
  <c r="AI23" s="1"/>
  <c r="AK23" s="1"/>
  <c r="I25"/>
  <c r="K8" i="5"/>
  <c r="U11" i="3"/>
  <c r="I26" i="1" l="1"/>
  <c r="K9" i="5"/>
  <c r="U12" i="3"/>
  <c r="I27" i="1" l="1"/>
  <c r="K10" i="5"/>
  <c r="U13" i="3"/>
  <c r="I28" i="1" l="1"/>
  <c r="K11" i="5"/>
  <c r="U14" i="3"/>
  <c r="I29" i="1" l="1"/>
  <c r="K12" i="5"/>
  <c r="U15" i="3"/>
  <c r="I30" i="1" l="1"/>
  <c r="U16" i="3"/>
  <c r="K13" i="5"/>
  <c r="I31" i="1" l="1"/>
  <c r="U17" i="3"/>
  <c r="K14" i="5"/>
  <c r="I32" i="1" l="1"/>
  <c r="U18" i="3"/>
  <c r="K15" i="5"/>
  <c r="U19" i="3" l="1"/>
  <c r="K16" i="5"/>
  <c r="U20" i="3" l="1"/>
  <c r="K17" i="5"/>
  <c r="K18" l="1"/>
  <c r="AI2" i="2"/>
  <c r="K19" i="5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1" i="3"/>
  <c r="AK35" i="5"/>
  <c r="F34"/>
  <c r="AD24" l="1"/>
  <c r="AQ23" i="1"/>
  <c r="AS23"/>
  <c r="AO23"/>
  <c r="AB21" i="2"/>
  <c r="AE21" s="1"/>
  <c r="AD21"/>
  <c r="AF21" s="1"/>
  <c r="K25" i="5"/>
  <c r="BA19"/>
  <c r="N6" i="1"/>
  <c r="L5"/>
  <c r="AT23" l="1"/>
  <c r="K26" i="5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22" i="2"/>
  <c r="C17" i="76"/>
  <c r="Q15" i="2"/>
  <c r="C12" i="76"/>
  <c r="K27" i="5" l="1"/>
  <c r="L7" i="1"/>
  <c r="BA21" i="5"/>
  <c r="N8" i="1"/>
  <c r="AS34" i="7"/>
  <c r="AU34" s="1"/>
  <c r="AT34"/>
  <c r="K28" i="5" l="1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N14" i="1"/>
  <c r="L13"/>
  <c r="S5" i="3"/>
  <c r="S6"/>
  <c r="K11" i="73"/>
  <c r="Y7" i="5"/>
  <c r="Y8"/>
  <c r="N15" i="1" l="1"/>
  <c r="L14"/>
  <c r="N16" l="1"/>
  <c r="L15"/>
  <c r="V26" i="7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E22" i="3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X15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I18"/>
  <c r="D17"/>
  <c r="E17" s="1"/>
  <c r="D16"/>
  <c r="E16" s="1"/>
  <c r="S12" i="3"/>
  <c r="V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AQ11" i="1"/>
  <c r="K22" i="76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I31"/>
  <c r="C31"/>
  <c r="G31"/>
  <c r="L30"/>
  <c r="K31"/>
  <c r="N31" s="1"/>
  <c r="N32" s="1"/>
  <c r="O7" i="79"/>
  <c r="AS29" i="1"/>
  <c r="E26" i="2"/>
  <c r="M31" i="76" l="1"/>
  <c r="M32" s="1"/>
  <c r="D31"/>
  <c r="E31" s="1"/>
  <c r="L31"/>
  <c r="L32" s="1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Q10" i="3" l="1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5" i="5"/>
  <c r="F36"/>
  <c r="B36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U3" i="3"/>
  <c r="S3"/>
  <c r="Q3"/>
  <c r="I3"/>
  <c r="E3"/>
  <c r="AD7" i="5"/>
  <c r="AJ6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H8" i="5"/>
  <c r="H10"/>
  <c r="AO9" i="1"/>
  <c r="AF13"/>
  <c r="AA6"/>
  <c r="Y6"/>
  <c r="Y15"/>
  <c r="AB15" s="1"/>
  <c r="R13"/>
  <c r="S10"/>
  <c r="T10" s="1"/>
  <c r="V4" i="2"/>
  <c r="F34" i="73"/>
  <c r="B17" i="77" s="1"/>
  <c r="J9" i="63"/>
  <c r="K9" i="73"/>
  <c r="G9"/>
  <c r="C6" i="76"/>
  <c r="K4"/>
  <c r="K3" i="3"/>
  <c r="AS33" i="1"/>
  <c r="AW35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F2" i="63"/>
  <c r="AV33" i="1"/>
  <c r="AV36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5" i="1"/>
  <c r="AH34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39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Y9" i="5"/>
  <c r="H9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Y10" i="5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AS10" i="1"/>
  <c r="AQ10"/>
  <c r="AD1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V10" s="1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5"/>
  <c r="F4" i="3" l="1"/>
  <c r="Z4"/>
  <c r="F4" i="63" s="1"/>
  <c r="A32" i="76"/>
  <c r="C32" s="1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V7" i="3"/>
  <c r="V5"/>
  <c r="J10" i="1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BD8" i="5"/>
  <c r="BD10"/>
  <c r="BD13"/>
  <c r="AT9" i="1"/>
  <c r="V3" i="3"/>
  <c r="BD12" i="5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Z5" s="1"/>
  <c r="BD7" i="5"/>
  <c r="AZ10"/>
  <c r="AU11"/>
  <c r="BD9"/>
  <c r="K7" i="82"/>
  <c r="BD6" i="5"/>
  <c r="K3" i="82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5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5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Q4" i="3"/>
  <c r="AK6" i="5"/>
  <c r="K2" i="82"/>
  <c r="T5" i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3" i="1"/>
  <c r="G34" i="73"/>
  <c r="P58" i="74"/>
  <c r="AE12" i="2"/>
  <c r="T13"/>
  <c r="A12" i="63" s="1"/>
  <c r="AP15" i="5"/>
  <c r="P57" i="74"/>
  <c r="S13" i="3"/>
  <c r="V13" s="1"/>
  <c r="S14"/>
  <c r="V14" s="1"/>
  <c r="E14"/>
  <c r="C13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N11" i="3"/>
  <c r="N10"/>
  <c r="BA15" i="5"/>
  <c r="BA14"/>
  <c r="BD14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AE3" i="3"/>
  <c r="AF3" s="1"/>
  <c r="AG3" s="1"/>
  <c r="K32" i="76"/>
  <c r="I32"/>
  <c r="G32"/>
  <c r="AU6" i="1"/>
  <c r="I3" i="81" s="1"/>
  <c r="O20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AU7" i="1"/>
  <c r="I4" i="81" s="1"/>
  <c r="AG3" i="2"/>
  <c r="B7" i="63"/>
  <c r="H6" i="65"/>
  <c r="Q5" i="3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AU11" i="1"/>
  <c r="I8" i="81" s="1"/>
  <c r="B6" i="63"/>
  <c r="B9"/>
  <c r="AI4" i="3"/>
  <c r="D6" i="65" s="1"/>
  <c r="R8" i="2"/>
  <c r="J10" i="65" s="1"/>
  <c r="F81" i="74"/>
  <c r="B81"/>
  <c r="E5" i="3"/>
  <c r="C6"/>
  <c r="Z6" s="1"/>
  <c r="AU12" i="5"/>
  <c r="AZ11"/>
  <c r="BC1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B14" i="77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B15" i="77" s="1"/>
  <c r="L13" i="76"/>
  <c r="D13"/>
  <c r="E13" s="1"/>
  <c r="S15" i="3"/>
  <c r="V15" s="1"/>
  <c r="K12"/>
  <c r="Z12" s="1"/>
  <c r="BA16" i="5"/>
  <c r="BD16" s="1"/>
  <c r="AA15"/>
  <c r="AJ15"/>
  <c r="U16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AK3"/>
  <c r="J12" i="82"/>
  <c r="E14" i="77"/>
  <c r="C14" i="65"/>
  <c r="I5" i="3"/>
  <c r="I27" i="79"/>
  <c r="M29"/>
  <c r="O28"/>
  <c r="F5" i="3"/>
  <c r="AB5" s="1"/>
  <c r="J11" i="65"/>
  <c r="AF7" i="7"/>
  <c r="AG7" s="1"/>
  <c r="Q6" i="3"/>
  <c r="D10" i="63"/>
  <c r="AK4" i="3"/>
  <c r="AI8" i="2"/>
  <c r="AI6"/>
  <c r="E6" i="3"/>
  <c r="F5" i="63"/>
  <c r="AE5" i="3"/>
  <c r="AF5" s="1"/>
  <c r="AG5" s="1"/>
  <c r="C7"/>
  <c r="Z7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AO17" i="1"/>
  <c r="AT16"/>
  <c r="AU16" s="1"/>
  <c r="I13" i="81" s="1"/>
  <c r="Y17" i="1"/>
  <c r="AB17" s="1"/>
  <c r="V14" i="2"/>
  <c r="V15"/>
  <c r="T16"/>
  <c r="K13" i="3"/>
  <c r="Z13" s="1"/>
  <c r="N12"/>
  <c r="BA17" i="5"/>
  <c r="BD17" s="1"/>
  <c r="K11" i="82"/>
  <c r="AA16" i="5"/>
  <c r="AJ16"/>
  <c r="K12" i="82" s="1"/>
  <c r="U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I6" i="3"/>
  <c r="M30" i="79"/>
  <c r="O29"/>
  <c r="I28"/>
  <c r="F6" i="3"/>
  <c r="AB6" s="1"/>
  <c r="AH7" i="7"/>
  <c r="AI7" s="1"/>
  <c r="Q7" i="3"/>
  <c r="AB12"/>
  <c r="AG13" i="7"/>
  <c r="E7" i="3"/>
  <c r="C8"/>
  <c r="Z8" s="1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AO18" i="1"/>
  <c r="AT17"/>
  <c r="AU17" s="1"/>
  <c r="I14" i="81" s="1"/>
  <c r="Y18" i="1"/>
  <c r="AB18" s="1"/>
  <c r="V16" i="2"/>
  <c r="T17"/>
  <c r="S17" i="3"/>
  <c r="V17" s="1"/>
  <c r="K14"/>
  <c r="Z14" s="1"/>
  <c r="N13"/>
  <c r="AK12"/>
  <c r="F12" i="63"/>
  <c r="BA18" i="5"/>
  <c r="BD19" s="1"/>
  <c r="AJ17"/>
  <c r="AA17"/>
  <c r="U18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B7" s="1"/>
  <c r="AO6" i="7"/>
  <c r="Q8" i="3"/>
  <c r="E8"/>
  <c r="C9"/>
  <c r="Z9" s="1"/>
  <c r="F7" i="63"/>
  <c r="AE7" i="3"/>
  <c r="AF7" s="1"/>
  <c r="AK7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C17" i="3"/>
  <c r="Y19" i="5"/>
  <c r="AO19" i="1"/>
  <c r="AT18"/>
  <c r="AU18" s="1"/>
  <c r="I15" i="81" s="1"/>
  <c r="Y19" i="1"/>
  <c r="AB19" s="1"/>
  <c r="V17" i="2"/>
  <c r="T18"/>
  <c r="S18" i="3"/>
  <c r="V18" s="1"/>
  <c r="K15"/>
  <c r="Z15" s="1"/>
  <c r="F13" i="63"/>
  <c r="AK13" i="3"/>
  <c r="N14"/>
  <c r="AE13"/>
  <c r="AF13" s="1"/>
  <c r="AG13" s="1"/>
  <c r="K13" i="82"/>
  <c r="AJ18" i="5"/>
  <c r="K14" i="82" s="1"/>
  <c r="AA18" i="5"/>
  <c r="U19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I8" i="3"/>
  <c r="I30" i="79"/>
  <c r="M32"/>
  <c r="O31"/>
  <c r="AL7" i="7"/>
  <c r="AM7" s="1"/>
  <c r="AO7" s="1"/>
  <c r="F8" i="3"/>
  <c r="AB8" s="1"/>
  <c r="Q9"/>
  <c r="AO9" i="7"/>
  <c r="E9" i="3"/>
  <c r="F8" i="63"/>
  <c r="AE8" i="3"/>
  <c r="AF8" s="1"/>
  <c r="AG8" s="1"/>
  <c r="AK8"/>
  <c r="C11"/>
  <c r="Z11" s="1"/>
  <c r="C10"/>
  <c r="Z10" s="1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C18" i="3"/>
  <c r="F17"/>
  <c r="Y20" i="5"/>
  <c r="AO20" i="1"/>
  <c r="AT19"/>
  <c r="AU19" s="1"/>
  <c r="I16" i="81" s="1"/>
  <c r="Y20" i="1"/>
  <c r="AB20" s="1"/>
  <c r="V18" i="2"/>
  <c r="T19"/>
  <c r="S19" i="3"/>
  <c r="V19" s="1"/>
  <c r="N15"/>
  <c r="K16"/>
  <c r="Z16" s="1"/>
  <c r="AK14"/>
  <c r="F14" i="63"/>
  <c r="AA19" i="5"/>
  <c r="AJ19"/>
  <c r="U20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AB9" s="1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C19" i="3"/>
  <c r="Y21" i="5"/>
  <c r="AT20" i="1"/>
  <c r="AU20" s="1"/>
  <c r="I17" i="81" s="1"/>
  <c r="Y21" i="1"/>
  <c r="AB21" s="1"/>
  <c r="V19" i="2"/>
  <c r="T20"/>
  <c r="S20" i="3"/>
  <c r="V20" s="1"/>
  <c r="AK15"/>
  <c r="F15" i="63"/>
  <c r="N16" i="3"/>
  <c r="K17"/>
  <c r="Z17" s="1"/>
  <c r="AE15"/>
  <c r="AF15" s="1"/>
  <c r="AG15" s="1"/>
  <c r="BD21" i="5"/>
  <c r="AA20"/>
  <c r="AJ20"/>
  <c r="K16" i="82" s="1"/>
  <c r="K15"/>
  <c r="U21" i="5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I10"/>
  <c r="O33" i="79"/>
  <c r="I32"/>
  <c r="AN11" i="7"/>
  <c r="AN8"/>
  <c r="F11" i="3"/>
  <c r="AB11" s="1"/>
  <c r="Q1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AO22" i="1"/>
  <c r="AT21"/>
  <c r="AU21" s="1"/>
  <c r="I18" i="81" s="1"/>
  <c r="Y22" i="1"/>
  <c r="AB22" s="1"/>
  <c r="V20" i="2"/>
  <c r="S21" i="3"/>
  <c r="K18"/>
  <c r="Z18" s="1"/>
  <c r="N17"/>
  <c r="F16" i="63"/>
  <c r="AK16" i="3"/>
  <c r="BA22" i="5"/>
  <c r="BD22" s="1"/>
  <c r="AA21"/>
  <c r="AJ21"/>
  <c r="U22"/>
  <c r="AQ22" i="1"/>
  <c r="AF2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Q12" i="3"/>
  <c r="AU19" i="5"/>
  <c r="AZ19" s="1"/>
  <c r="AZ18"/>
  <c r="AB17" i="3"/>
  <c r="AJ11" i="1"/>
  <c r="AK11" s="1"/>
  <c r="G8" i="81"/>
  <c r="W12" i="1"/>
  <c r="AI12"/>
  <c r="AW13" i="7" s="1"/>
  <c r="B12" i="65"/>
  <c r="E12" s="1"/>
  <c r="V13" i="1"/>
  <c r="Y23" i="5"/>
  <c r="AT22" i="1"/>
  <c r="AU23" s="1"/>
  <c r="Y14" i="7"/>
  <c r="AR14" s="1"/>
  <c r="T22" i="2"/>
  <c r="S22" i="3"/>
  <c r="N18"/>
  <c r="F17" i="63"/>
  <c r="AK17" i="3"/>
  <c r="K19"/>
  <c r="Z19" s="1"/>
  <c r="AE17"/>
  <c r="AF17" s="1"/>
  <c r="AG17" s="1"/>
  <c r="BA23" i="5"/>
  <c r="BD23" s="1"/>
  <c r="AA22"/>
  <c r="AJ22"/>
  <c r="K18" i="82" s="1"/>
  <c r="K17"/>
  <c r="U23" i="5"/>
  <c r="AS24" i="1"/>
  <c r="AF22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AE18" i="3"/>
  <c r="AF18" s="1"/>
  <c r="AG18" s="1"/>
  <c r="BC18" i="5"/>
  <c r="J19" i="82"/>
  <c r="O18" i="2"/>
  <c r="S19" i="76"/>
  <c r="I12" i="3"/>
  <c r="AN16" i="7"/>
  <c r="Q13" i="3"/>
  <c r="AU20" i="5"/>
  <c r="AZ20" s="1"/>
  <c r="BC20" s="1"/>
  <c r="X14" i="7"/>
  <c r="AB18" i="3"/>
  <c r="G9" i="81"/>
  <c r="AJ12" i="1"/>
  <c r="AK12" s="1"/>
  <c r="V14"/>
  <c r="B13" i="65"/>
  <c r="E13" s="1"/>
  <c r="W13" i="1"/>
  <c r="AI13"/>
  <c r="AW14" i="7" s="1"/>
  <c r="Y7"/>
  <c r="AR7" s="1"/>
  <c r="H25" i="5"/>
  <c r="C22" i="3"/>
  <c r="F21"/>
  <c r="AO24" i="1"/>
  <c r="AU22"/>
  <c r="I19" i="81" s="1"/>
  <c r="I20"/>
  <c r="Y24" i="1"/>
  <c r="AB24" s="1"/>
  <c r="V22" i="2"/>
  <c r="T23"/>
  <c r="S23" i="3"/>
  <c r="K20"/>
  <c r="Z20" s="1"/>
  <c r="F18" i="63"/>
  <c r="AK18" i="3"/>
  <c r="N19"/>
  <c r="BD24" i="5"/>
  <c r="AA23"/>
  <c r="AJ23"/>
  <c r="K19" i="82" s="1"/>
  <c r="AS25" i="1"/>
  <c r="AQ24"/>
  <c r="S24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AE19"/>
  <c r="AF19" s="1"/>
  <c r="AG19" s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Y25" i="5"/>
  <c r="AO25" i="1"/>
  <c r="Y25"/>
  <c r="AB25" s="1"/>
  <c r="AO18" i="7"/>
  <c r="Y15"/>
  <c r="AR15" s="1"/>
  <c r="AS15" s="1"/>
  <c r="V23" i="2"/>
  <c r="T24"/>
  <c r="U21" i="3"/>
  <c r="S24"/>
  <c r="N20"/>
  <c r="AK19"/>
  <c r="F19" i="63"/>
  <c r="K21" i="3"/>
  <c r="Z21" s="1"/>
  <c r="BA25" i="5"/>
  <c r="BD25" s="1"/>
  <c r="K20" i="82"/>
  <c r="U25" i="5"/>
  <c r="AS26" i="1"/>
  <c r="AQ25"/>
  <c r="AF24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X15" l="1"/>
  <c r="Q13" i="76" s="1"/>
  <c r="F23" i="3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X13" i="7"/>
  <c r="X10"/>
  <c r="BC10"/>
  <c r="AN18"/>
  <c r="BC8"/>
  <c r="Q15" i="3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AT25" i="1"/>
  <c r="AU25" s="1"/>
  <c r="I22" i="81" s="1"/>
  <c r="AO26" i="1"/>
  <c r="Y26"/>
  <c r="AB26" s="1"/>
  <c r="V24" i="2"/>
  <c r="T25"/>
  <c r="U22" i="3"/>
  <c r="S25"/>
  <c r="K22"/>
  <c r="Z22" s="1"/>
  <c r="AK20"/>
  <c r="F20" i="63"/>
  <c r="AE20" i="3"/>
  <c r="AF20" s="1"/>
  <c r="AG20" s="1"/>
  <c r="N21"/>
  <c r="BA26" i="5"/>
  <c r="BD26" s="1"/>
  <c r="AA25"/>
  <c r="AJ25"/>
  <c r="K21" i="82" s="1"/>
  <c r="U26" i="5"/>
  <c r="AS27" i="1"/>
  <c r="AQ26"/>
  <c r="AF25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AQ15" i="7"/>
  <c r="BC15"/>
  <c r="X6"/>
  <c r="AQ6"/>
  <c r="AQ9"/>
  <c r="AQ12"/>
  <c r="AQ11"/>
  <c r="BC12"/>
  <c r="F24" i="3" l="1"/>
  <c r="T26" i="1"/>
  <c r="J22" i="82"/>
  <c r="S22" i="76"/>
  <c r="I15" i="3"/>
  <c r="AQ8" i="7"/>
  <c r="BC9"/>
  <c r="AX8"/>
  <c r="AY8" s="1"/>
  <c r="AX9"/>
  <c r="Q7" i="76" s="1"/>
  <c r="AN19" i="7"/>
  <c r="Q16" i="3"/>
  <c r="V22"/>
  <c r="AU23" i="5"/>
  <c r="AU24" s="1"/>
  <c r="AZ24" s="1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Y27" i="5"/>
  <c r="AO27" i="1"/>
  <c r="Y27"/>
  <c r="AB27" s="1"/>
  <c r="V25" i="2"/>
  <c r="T26"/>
  <c r="U23" i="3"/>
  <c r="S26"/>
  <c r="AK21"/>
  <c r="F21" i="63"/>
  <c r="K23" i="3"/>
  <c r="Z23" s="1"/>
  <c r="N22"/>
  <c r="AE21"/>
  <c r="AF21" s="1"/>
  <c r="AG21" s="1"/>
  <c r="BA27" i="5"/>
  <c r="BD27" s="1"/>
  <c r="AJ26"/>
  <c r="K22" i="82" s="1"/>
  <c r="AA26" i="5"/>
  <c r="U27"/>
  <c r="AS28" i="1"/>
  <c r="AQ27"/>
  <c r="AF26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F25" i="3" l="1"/>
  <c r="U24"/>
  <c r="AE22"/>
  <c r="AF22" s="1"/>
  <c r="AG22" s="1"/>
  <c r="T27" i="1"/>
  <c r="J23" i="82"/>
  <c r="O22" i="2"/>
  <c r="S23" i="76"/>
  <c r="I16" i="3"/>
  <c r="Q6" i="76"/>
  <c r="AY9" i="7"/>
  <c r="AN20"/>
  <c r="X16"/>
  <c r="Q17" i="3"/>
  <c r="Q9" i="76"/>
  <c r="AB22" i="3"/>
  <c r="AZ23" i="5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Y28" i="5"/>
  <c r="AO28" i="1"/>
  <c r="AT27"/>
  <c r="AU27" s="1"/>
  <c r="I24" i="81" s="1"/>
  <c r="Y28" i="1"/>
  <c r="AB28" s="1"/>
  <c r="V26" i="2"/>
  <c r="T27"/>
  <c r="S27" i="3"/>
  <c r="K24"/>
  <c r="Z24" s="1"/>
  <c r="N23"/>
  <c r="AK22"/>
  <c r="F22" i="63"/>
  <c r="BA28" i="5"/>
  <c r="BD28" s="1"/>
  <c r="AA27"/>
  <c r="AJ27"/>
  <c r="K23" i="82" s="1"/>
  <c r="U28" i="5"/>
  <c r="AQ28" i="1"/>
  <c r="AF27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U25"/>
  <c r="AE23"/>
  <c r="AF23" s="1"/>
  <c r="AG23" s="1"/>
  <c r="T28" i="1"/>
  <c r="J24" i="82"/>
  <c r="D27" i="75"/>
  <c r="E27" s="1"/>
  <c r="O23" i="2"/>
  <c r="S24" i="76"/>
  <c r="I17" i="3"/>
  <c r="AN21" i="7"/>
  <c r="Q19" i="3"/>
  <c r="AU25" i="5"/>
  <c r="BC24"/>
  <c r="X17" i="7"/>
  <c r="V24" i="3"/>
  <c r="AB23"/>
  <c r="B18" i="65"/>
  <c r="V19" i="1"/>
  <c r="H30" i="5"/>
  <c r="AO22" i="7"/>
  <c r="E28" i="3"/>
  <c r="C27"/>
  <c r="Y29" i="5"/>
  <c r="AO29" i="1"/>
  <c r="AT28"/>
  <c r="AU28" s="1"/>
  <c r="I25" i="81" s="1"/>
  <c r="Y29" i="1"/>
  <c r="AB29" s="1"/>
  <c r="Y18" i="7"/>
  <c r="AR18" s="1"/>
  <c r="V27" i="2"/>
  <c r="T28"/>
  <c r="S28" i="3"/>
  <c r="K25"/>
  <c r="Z25" s="1"/>
  <c r="N24"/>
  <c r="F23" i="63"/>
  <c r="AK23" i="3"/>
  <c r="BA29" i="5"/>
  <c r="BD29" s="1"/>
  <c r="AA28"/>
  <c r="AJ28"/>
  <c r="K24" i="82" s="1"/>
  <c r="U29" i="5"/>
  <c r="AS30" i="1"/>
  <c r="AQ29"/>
  <c r="AF28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AE24"/>
  <c r="AF24" s="1"/>
  <c r="AG24" s="1"/>
  <c r="T29" i="1"/>
  <c r="J25" i="82"/>
  <c r="O24" i="2"/>
  <c r="S25" i="76"/>
  <c r="I18" i="3"/>
  <c r="X18" i="7"/>
  <c r="AN22"/>
  <c r="Q20" i="3"/>
  <c r="AU26" i="5"/>
  <c r="AZ25"/>
  <c r="BC25" s="1"/>
  <c r="V25" i="3"/>
  <c r="AB24"/>
  <c r="B19" i="65"/>
  <c r="V20" i="1"/>
  <c r="H31" i="5"/>
  <c r="E29" i="3"/>
  <c r="C28"/>
  <c r="Y30" i="5"/>
  <c r="AO30" i="1"/>
  <c r="AT29"/>
  <c r="AU29" s="1"/>
  <c r="I26" i="81" s="1"/>
  <c r="Y30" i="1"/>
  <c r="AB30" s="1"/>
  <c r="V28" i="2"/>
  <c r="T29"/>
  <c r="U26" i="3"/>
  <c r="S29"/>
  <c r="K26"/>
  <c r="Z26" s="1"/>
  <c r="N25"/>
  <c r="F24" i="63"/>
  <c r="AK24" i="3"/>
  <c r="BA30" i="5"/>
  <c r="BD30" s="1"/>
  <c r="AA29"/>
  <c r="AJ29"/>
  <c r="K25" i="82" s="1"/>
  <c r="U30" i="5"/>
  <c r="AS31" i="1"/>
  <c r="AQ30"/>
  <c r="AF29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Q21" i="3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Y31" i="5"/>
  <c r="AO31" i="1"/>
  <c r="Y31"/>
  <c r="AB31" s="1"/>
  <c r="V29" i="2"/>
  <c r="T30"/>
  <c r="U27" i="3"/>
  <c r="S30"/>
  <c r="N26"/>
  <c r="K27"/>
  <c r="Z27" s="1"/>
  <c r="F25" i="63"/>
  <c r="AK25" i="3"/>
  <c r="AE25"/>
  <c r="AF25" s="1"/>
  <c r="AG25" s="1"/>
  <c r="BA31" i="5"/>
  <c r="BD31" s="1"/>
  <c r="AJ30"/>
  <c r="K26" i="82" s="1"/>
  <c r="AA30" i="5"/>
  <c r="U31"/>
  <c r="AS32" i="1"/>
  <c r="AQ31"/>
  <c r="AF30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AE26"/>
  <c r="AF26" s="1"/>
  <c r="AG26" s="1"/>
  <c r="T31" i="1"/>
  <c r="O26" i="2"/>
  <c r="S27" i="76"/>
  <c r="I20" i="3"/>
  <c r="J27" i="82"/>
  <c r="AN24" i="7"/>
  <c r="X20"/>
  <c r="Q22" i="3"/>
  <c r="AU28" i="5"/>
  <c r="AZ27"/>
  <c r="BC27" s="1"/>
  <c r="V27" i="3"/>
  <c r="AB26"/>
  <c r="B21" i="65"/>
  <c r="V22" i="1"/>
  <c r="AT31"/>
  <c r="AU31" s="1"/>
  <c r="H33" i="5"/>
  <c r="C30" i="3"/>
  <c r="Y32" i="5"/>
  <c r="Y32" i="1"/>
  <c r="AB32" s="1"/>
  <c r="V30" i="2"/>
  <c r="U28" i="3"/>
  <c r="F26" i="63"/>
  <c r="AK26" i="3"/>
  <c r="N27"/>
  <c r="K28"/>
  <c r="Z28" s="1"/>
  <c r="BA32" i="5"/>
  <c r="BD32" s="1"/>
  <c r="AJ31"/>
  <c r="K27" i="82" s="1"/>
  <c r="AA31" i="5"/>
  <c r="U32"/>
  <c r="AQ32" i="1"/>
  <c r="AF3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F30" i="3" l="1"/>
  <c r="AE27"/>
  <c r="AF27" s="1"/>
  <c r="AG27" s="1"/>
  <c r="T32" i="1"/>
  <c r="O27" i="2"/>
  <c r="S28" i="76"/>
  <c r="I21" i="3"/>
  <c r="J28" i="82"/>
  <c r="AN25" i="7"/>
  <c r="AU29" i="5"/>
  <c r="AZ28"/>
  <c r="BC28" s="1"/>
  <c r="AB27" i="3"/>
  <c r="V28"/>
  <c r="B22" i="65"/>
  <c r="Y22" i="7"/>
  <c r="AR22" s="1"/>
  <c r="AT32" i="1"/>
  <c r="AU32" s="1"/>
  <c r="I29" i="81" s="1"/>
  <c r="Y33" i="5"/>
  <c r="X21" i="7"/>
  <c r="U29" i="3"/>
  <c r="S32"/>
  <c r="F27" i="63"/>
  <c r="AK27" i="3"/>
  <c r="N28"/>
  <c r="K29"/>
  <c r="Z29" s="1"/>
  <c r="BA33" i="5"/>
  <c r="BD33" s="1"/>
  <c r="AA32"/>
  <c r="AJ32"/>
  <c r="K28" i="82" s="1"/>
  <c r="U33" i="5"/>
  <c r="I28" i="81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Q24" i="3"/>
  <c r="Q23"/>
  <c r="I22"/>
  <c r="J29" i="82"/>
  <c r="AN26" i="7"/>
  <c r="V29" i="3"/>
  <c r="AB28"/>
  <c r="AU30" i="5"/>
  <c r="AZ29"/>
  <c r="BC29" s="1"/>
  <c r="B23" i="65"/>
  <c r="V24" i="1"/>
  <c r="X22" i="7"/>
  <c r="H34" i="5"/>
  <c r="D1"/>
  <c r="AO27" i="7"/>
  <c r="Y23"/>
  <c r="AR23" s="1"/>
  <c r="U30" i="3"/>
  <c r="K30"/>
  <c r="Z30" s="1"/>
  <c r="F28" i="63"/>
  <c r="AK28" i="3"/>
  <c r="N29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H31"/>
  <c r="G31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AE29" i="3" l="1"/>
  <c r="AF29" s="1"/>
  <c r="AG29" s="1"/>
  <c r="C32"/>
  <c r="I25"/>
  <c r="D34" i="75"/>
  <c r="E34" s="1"/>
  <c r="O29" i="2"/>
  <c r="S30" i="76"/>
  <c r="I23" i="3"/>
  <c r="I24"/>
  <c r="AN27" i="7"/>
  <c r="Q25" i="3"/>
  <c r="AB29"/>
  <c r="B7" i="77"/>
  <c r="AU31" i="5"/>
  <c r="AZ30"/>
  <c r="BC30" s="1"/>
  <c r="V30" i="3"/>
  <c r="V25" i="1"/>
  <c r="B24" i="65"/>
  <c r="Y24" i="7"/>
  <c r="AR24" s="1"/>
  <c r="Y34" i="5"/>
  <c r="X23" i="7"/>
  <c r="N30" i="3"/>
  <c r="F29" i="63"/>
  <c r="AK29" i="3"/>
  <c r="U34" i="5"/>
  <c r="G31" i="63"/>
  <c r="AD33" i="7"/>
  <c r="AC33"/>
  <c r="AJ30"/>
  <c r="AI30"/>
  <c r="AF32"/>
  <c r="AE32"/>
  <c r="AK29"/>
  <c r="AL29"/>
  <c r="AM29" s="1"/>
  <c r="AH31"/>
  <c r="AG31"/>
  <c r="AO28"/>
  <c r="E33"/>
  <c r="F33"/>
  <c r="H32"/>
  <c r="G32"/>
  <c r="I31"/>
  <c r="J31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R30" s="1"/>
  <c r="H29" i="82"/>
  <c r="J30" i="65"/>
  <c r="AI28" i="2"/>
  <c r="AE30" i="3" l="1"/>
  <c r="AF30" s="1"/>
  <c r="AG30" s="1"/>
  <c r="I26"/>
  <c r="O30" i="2"/>
  <c r="S31" i="76"/>
  <c r="X24" i="7"/>
  <c r="AN28"/>
  <c r="AU32" i="5"/>
  <c r="AZ31"/>
  <c r="BC31" s="1"/>
  <c r="AB30" i="3"/>
  <c r="B25" i="65"/>
  <c r="V26" i="1"/>
  <c r="AO29" i="7"/>
  <c r="Y25"/>
  <c r="AR25" s="1"/>
  <c r="F30" i="63"/>
  <c r="AK30" i="3"/>
  <c r="J33" i="1"/>
  <c r="J1" s="1"/>
  <c r="AG32" i="7"/>
  <c r="AH32"/>
  <c r="AL30"/>
  <c r="AM30" s="1"/>
  <c r="AK30"/>
  <c r="AF33"/>
  <c r="AE33"/>
  <c r="AI31"/>
  <c r="AJ31"/>
  <c r="I32"/>
  <c r="J32"/>
  <c r="R28"/>
  <c r="Q28"/>
  <c r="H33"/>
  <c r="G33"/>
  <c r="V26"/>
  <c r="W26" s="1"/>
  <c r="U26"/>
  <c r="L31"/>
  <c r="K31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Q26" i="3" l="1"/>
  <c r="Q27"/>
  <c r="K32"/>
  <c r="U31" s="1"/>
  <c r="AJ34" i="5"/>
  <c r="Z35" s="1"/>
  <c r="I27" i="3"/>
  <c r="D35" i="75"/>
  <c r="E35" s="1"/>
  <c r="AL33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L32"/>
  <c r="K32"/>
  <c r="R29"/>
  <c r="Q29"/>
  <c r="P30"/>
  <c r="O30"/>
  <c r="I33"/>
  <c r="J33"/>
  <c r="N31"/>
  <c r="M31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BC33" s="1"/>
  <c r="D35" i="73"/>
  <c r="B16" i="77" s="1"/>
  <c r="E8"/>
  <c r="G8" s="1"/>
  <c r="K33" i="76"/>
  <c r="AO31" i="7"/>
  <c r="B27" i="65"/>
  <c r="V28" i="1"/>
  <c r="W31" i="76"/>
  <c r="AJ33" i="7"/>
  <c r="AI33"/>
  <c r="AK32"/>
  <c r="AL32"/>
  <c r="AM32" s="1"/>
  <c r="K33"/>
  <c r="L33"/>
  <c r="P31"/>
  <c r="O31"/>
  <c r="V28"/>
  <c r="W28" s="1"/>
  <c r="U28"/>
  <c r="N32"/>
  <c r="M32"/>
  <c r="Y27"/>
  <c r="AR27" s="1"/>
  <c r="S29"/>
  <c r="T29"/>
  <c r="R30"/>
  <c r="Q30"/>
  <c r="C31" i="63"/>
  <c r="D31" s="1"/>
  <c r="J33" i="65"/>
  <c r="I29" i="3" l="1"/>
  <c r="AN31" i="7"/>
  <c r="Q28" i="3"/>
  <c r="E16" i="77"/>
  <c r="X31" i="76"/>
  <c r="F7" i="77"/>
  <c r="G33" i="76"/>
  <c r="AD26"/>
  <c r="I33"/>
  <c r="AD27" s="1"/>
  <c r="E9" i="77"/>
  <c r="G9" s="1"/>
  <c r="V29" i="1"/>
  <c r="B28" i="65"/>
  <c r="F8" i="77"/>
  <c r="Z31" i="3"/>
  <c r="B18" i="77" s="1"/>
  <c r="AK33" i="7"/>
  <c r="AL33"/>
  <c r="AM33" s="1"/>
  <c r="AO32"/>
  <c r="Y28"/>
  <c r="AR28" s="1"/>
  <c r="X27"/>
  <c r="M33"/>
  <c r="N33"/>
  <c r="R31"/>
  <c r="Q31"/>
  <c r="P32"/>
  <c r="O32"/>
  <c r="V29"/>
  <c r="W29" s="1"/>
  <c r="U29"/>
  <c r="S30"/>
  <c r="T30"/>
  <c r="AD28" i="76" l="1"/>
  <c r="C33"/>
  <c r="I30" i="3"/>
  <c r="AN32" i="7"/>
  <c r="E18" i="77"/>
  <c r="Q29" i="3"/>
  <c r="Y31" i="76"/>
  <c r="F9" i="77"/>
  <c r="B29" i="65"/>
  <c r="V30" i="1"/>
  <c r="AO33" i="7"/>
  <c r="X28"/>
  <c r="U30"/>
  <c r="V30"/>
  <c r="W30" s="1"/>
  <c r="Y29"/>
  <c r="AR29" s="1"/>
  <c r="P33"/>
  <c r="O33"/>
  <c r="Q32"/>
  <c r="R32"/>
  <c r="S31"/>
  <c r="T31"/>
  <c r="AN33" l="1"/>
  <c r="F18" i="77"/>
  <c r="B19"/>
  <c r="Q30" i="3"/>
  <c r="V31" i="1"/>
  <c r="B30" i="65"/>
  <c r="Y30" i="7"/>
  <c r="AR30" s="1"/>
  <c r="Q33"/>
  <c r="R33"/>
  <c r="T32"/>
  <c r="S32"/>
  <c r="U31"/>
  <c r="V31"/>
  <c r="W31" s="1"/>
  <c r="X29"/>
  <c r="X30" l="1"/>
  <c r="V32" i="1"/>
  <c r="B31" i="65"/>
  <c r="Y31" i="7"/>
  <c r="AR31" s="1"/>
  <c r="T33"/>
  <c r="S33"/>
  <c r="V32"/>
  <c r="W32" s="1"/>
  <c r="U32"/>
  <c r="B32" i="65" l="1"/>
  <c r="Y32" i="7"/>
  <c r="AR32" s="1"/>
  <c r="X31"/>
  <c r="U33"/>
  <c r="V33"/>
  <c r="W33" s="1"/>
  <c r="X32" l="1"/>
  <c r="B33" i="65"/>
  <c r="Y33" i="7"/>
  <c r="AR33" s="1"/>
  <c r="B34" i="65" l="1"/>
  <c r="X33" i="7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4"/>
  <c r="AK34" s="1"/>
  <c r="F7" i="65"/>
  <c r="H4" i="63"/>
  <c r="AA28" i="76" l="1"/>
  <c r="AB28" s="1"/>
  <c r="AE28" s="1"/>
  <c r="AF28" s="1"/>
  <c r="AA27"/>
  <c r="AB27" s="1"/>
  <c r="AA26"/>
  <c r="AB26" l="1"/>
  <c r="AB30" s="1"/>
  <c r="AA29"/>
  <c r="W36" l="1"/>
  <c r="W38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37" l="1"/>
  <c r="AD26" i="5" l="1"/>
  <c r="AD5" i="1"/>
  <c r="I5"/>
  <c r="V5" s="1"/>
  <c r="AA5"/>
  <c r="AH5" s="1"/>
  <c r="AD27" i="5" l="1"/>
  <c r="AD17" i="1"/>
  <c r="AA17"/>
  <c r="AH17" s="1"/>
  <c r="W5"/>
  <c r="B5" i="65"/>
  <c r="V33" i="1"/>
  <c r="AG5"/>
  <c r="AM5"/>
  <c r="C5" i="65"/>
  <c r="AI5" i="1"/>
  <c r="AD28" i="5" l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AM22" i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G24" i="1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AM33" i="1" l="1"/>
  <c r="F35" i="75"/>
  <c r="G35" s="1"/>
  <c r="Q31" i="76"/>
  <c r="AY33" i="7"/>
  <c r="AH33" i="1"/>
  <c r="C34" i="65"/>
  <c r="E34" s="1"/>
  <c r="AI34" i="1" l="1"/>
  <c r="AY34" i="7" l="1"/>
  <c r="AX34"/>
  <c r="Z37" i="76" s="1"/>
  <c r="F5" i="75" l="1"/>
  <c r="G5" s="1"/>
  <c r="AU5" i="1"/>
  <c r="I2" i="81" l="1"/>
  <c r="AU33" i="1"/>
  <c r="AU35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6" i="7" l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G34" i="65" l="1"/>
  <c r="I31" i="63" l="1"/>
  <c r="I12" i="77" l="1"/>
  <c r="H12"/>
  <c r="L2" i="3" l="1"/>
  <c r="L3" s="1"/>
  <c r="B6" i="5" l="1"/>
  <c r="AG6"/>
  <c r="M6"/>
  <c r="L4" i="3"/>
  <c r="M3"/>
  <c r="AA3" s="1"/>
  <c r="AC3" s="1"/>
  <c r="AH3" s="1"/>
  <c r="AE6" i="5"/>
  <c r="O6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E7" l="1"/>
  <c r="AF6"/>
  <c r="AI6" s="1"/>
  <c r="AG7"/>
  <c r="AH6"/>
  <c r="O7"/>
  <c r="P6"/>
  <c r="V7"/>
  <c r="AL6"/>
  <c r="L5" i="3"/>
  <c r="M4"/>
  <c r="AA4" s="1"/>
  <c r="AC4" s="1"/>
  <c r="AH4" s="1"/>
  <c r="B7" i="5"/>
  <c r="C6"/>
  <c r="M7"/>
  <c r="N6"/>
  <c r="AE8" l="1"/>
  <c r="AF7"/>
  <c r="AI7" s="1"/>
  <c r="M8"/>
  <c r="N7"/>
  <c r="O8"/>
  <c r="P7"/>
  <c r="W7"/>
  <c r="AL7" s="1"/>
  <c r="L6" i="3"/>
  <c r="M5"/>
  <c r="AA5" s="1"/>
  <c r="AC5" s="1"/>
  <c r="AH5" s="1"/>
  <c r="B8" i="5"/>
  <c r="C7"/>
  <c r="AG8"/>
  <c r="AH7"/>
  <c r="G3" i="63"/>
  <c r="I6" i="5"/>
  <c r="E6"/>
  <c r="D6"/>
  <c r="Q6"/>
  <c r="M2" i="81" s="1"/>
  <c r="J6" i="5" l="1"/>
  <c r="L2" i="81" s="1"/>
  <c r="K2"/>
  <c r="AE9" i="5"/>
  <c r="AF8"/>
  <c r="L7" i="3"/>
  <c r="M6"/>
  <c r="AA6" s="1"/>
  <c r="AC6" s="1"/>
  <c r="AH6" s="1"/>
  <c r="B9" i="5"/>
  <c r="C8"/>
  <c r="E7"/>
  <c r="I7"/>
  <c r="D7"/>
  <c r="G4" i="63"/>
  <c r="AG9" i="5"/>
  <c r="AH8"/>
  <c r="M9"/>
  <c r="N8"/>
  <c r="O9"/>
  <c r="P8"/>
  <c r="V9"/>
  <c r="W8"/>
  <c r="AL8" s="1"/>
  <c r="Q7"/>
  <c r="M3" i="81" s="1"/>
  <c r="M10" i="5" l="1"/>
  <c r="N9"/>
  <c r="B10"/>
  <c r="C9"/>
  <c r="E8"/>
  <c r="D8"/>
  <c r="G5" i="63"/>
  <c r="I8" i="5"/>
  <c r="K3" i="81"/>
  <c r="J7" i="5"/>
  <c r="L3" i="81" s="1"/>
  <c r="O10" i="5"/>
  <c r="P9"/>
  <c r="AE10"/>
  <c r="AF9"/>
  <c r="V10"/>
  <c r="W9"/>
  <c r="AL9" s="1"/>
  <c r="AG10"/>
  <c r="AH9"/>
  <c r="L8" i="3"/>
  <c r="M7"/>
  <c r="AA7" s="1"/>
  <c r="AC7" s="1"/>
  <c r="AH7" s="1"/>
  <c r="Q8" i="5"/>
  <c r="M4" i="81" s="1"/>
  <c r="AI8" i="5"/>
  <c r="V11" l="1"/>
  <c r="W10"/>
  <c r="AL10" s="1"/>
  <c r="M11"/>
  <c r="N10"/>
  <c r="B11"/>
  <c r="C10"/>
  <c r="E9"/>
  <c r="G6" i="63"/>
  <c r="I9" i="5"/>
  <c r="D9"/>
  <c r="L9" i="3"/>
  <c r="M8"/>
  <c r="AA8" s="1"/>
  <c r="AC8" s="1"/>
  <c r="AH8" s="1"/>
  <c r="O11" i="5"/>
  <c r="P10"/>
  <c r="AG11"/>
  <c r="AH10"/>
  <c r="AE11"/>
  <c r="AF10"/>
  <c r="Q9"/>
  <c r="M5" i="81" s="1"/>
  <c r="K4"/>
  <c r="J8" i="5"/>
  <c r="L4" i="81" s="1"/>
  <c r="AI9" i="5"/>
  <c r="AI10" l="1"/>
  <c r="O12"/>
  <c r="P11"/>
  <c r="B12"/>
  <c r="C11"/>
  <c r="E10"/>
  <c r="G7" i="63"/>
  <c r="D10" i="5"/>
  <c r="I10"/>
  <c r="Q10"/>
  <c r="M6" i="81" s="1"/>
  <c r="AE12" i="5"/>
  <c r="AF11"/>
  <c r="AI11" s="1"/>
  <c r="K5" i="81"/>
  <c r="J9" i="5"/>
  <c r="L5" i="81" s="1"/>
  <c r="V12" i="5"/>
  <c r="W11"/>
  <c r="AL11" s="1"/>
  <c r="L10" i="3"/>
  <c r="M9"/>
  <c r="AA9" s="1"/>
  <c r="AC9" s="1"/>
  <c r="AH9" s="1"/>
  <c r="M12" i="5"/>
  <c r="N11"/>
  <c r="AG12"/>
  <c r="AH11"/>
  <c r="Q11" l="1"/>
  <c r="M7" i="81" s="1"/>
  <c r="L11" i="3"/>
  <c r="M10"/>
  <c r="AA10" s="1"/>
  <c r="AC10" s="1"/>
  <c r="AH10" s="1"/>
  <c r="AG13" i="5"/>
  <c r="AH12"/>
  <c r="O13"/>
  <c r="P12"/>
  <c r="AE13"/>
  <c r="AF12"/>
  <c r="B13"/>
  <c r="C12"/>
  <c r="M13"/>
  <c r="N12"/>
  <c r="E11"/>
  <c r="D11"/>
  <c r="I11"/>
  <c r="G8" i="63"/>
  <c r="V13" i="5"/>
  <c r="W12"/>
  <c r="AL12" s="1"/>
  <c r="K6" i="81"/>
  <c r="J10" i="5"/>
  <c r="L6" i="81" s="1"/>
  <c r="Q12" i="5" l="1"/>
  <c r="M8" i="81" s="1"/>
  <c r="AI12" i="5"/>
  <c r="AE14"/>
  <c r="AF13"/>
  <c r="L12" i="3"/>
  <c r="M11"/>
  <c r="AA11" s="1"/>
  <c r="AC11" s="1"/>
  <c r="AH11" s="1"/>
  <c r="K7" i="81"/>
  <c r="J11" i="5"/>
  <c r="L7" i="81" s="1"/>
  <c r="AG14" i="5"/>
  <c r="AH13"/>
  <c r="V14"/>
  <c r="W13"/>
  <c r="AL13" s="1"/>
  <c r="I12"/>
  <c r="E12"/>
  <c r="D12"/>
  <c r="G9" i="63"/>
  <c r="B14" i="5"/>
  <c r="C13"/>
  <c r="M14"/>
  <c r="N13"/>
  <c r="O14"/>
  <c r="P13"/>
  <c r="Q13" l="1"/>
  <c r="M9" i="81" s="1"/>
  <c r="AG15" i="5"/>
  <c r="AH14"/>
  <c r="AE15"/>
  <c r="AF14"/>
  <c r="B15"/>
  <c r="C14"/>
  <c r="V15"/>
  <c r="W14"/>
  <c r="AL14" s="1"/>
  <c r="L13" i="3"/>
  <c r="M12"/>
  <c r="AA12" s="1"/>
  <c r="AC12" s="1"/>
  <c r="AH12" s="1"/>
  <c r="E13" i="5"/>
  <c r="D13"/>
  <c r="I13"/>
  <c r="G10" i="63"/>
  <c r="M15" i="5"/>
  <c r="N14"/>
  <c r="K8" i="81"/>
  <c r="J12" i="5"/>
  <c r="L8" i="81" s="1"/>
  <c r="AI13" i="5"/>
  <c r="O15"/>
  <c r="P14"/>
  <c r="AI14" l="1"/>
  <c r="AE16"/>
  <c r="AF15"/>
  <c r="B16"/>
  <c r="C15"/>
  <c r="L14" i="3"/>
  <c r="M13"/>
  <c r="AA13" s="1"/>
  <c r="AC13" s="1"/>
  <c r="AH13" s="1"/>
  <c r="AG16" i="5"/>
  <c r="AH15"/>
  <c r="O16"/>
  <c r="P15"/>
  <c r="K9" i="81"/>
  <c r="J13" i="5"/>
  <c r="L9" i="81" s="1"/>
  <c r="E14" i="5"/>
  <c r="I14"/>
  <c r="D14"/>
  <c r="G11" i="63"/>
  <c r="M16" i="5"/>
  <c r="N15"/>
  <c r="V16"/>
  <c r="W15"/>
  <c r="AL15" s="1"/>
  <c r="Q14"/>
  <c r="M10" i="81" s="1"/>
  <c r="Q15" i="5" l="1"/>
  <c r="M11" i="81" s="1"/>
  <c r="AE17" i="5"/>
  <c r="AF16"/>
  <c r="AI16" s="1"/>
  <c r="E15"/>
  <c r="G12" i="63"/>
  <c r="D15" i="5"/>
  <c r="I15"/>
  <c r="L15" i="3"/>
  <c r="M14"/>
  <c r="AA14" s="1"/>
  <c r="AC14" s="1"/>
  <c r="AH14" s="1"/>
  <c r="K10" i="81"/>
  <c r="J14" i="5"/>
  <c r="L10" i="81" s="1"/>
  <c r="O17" i="5"/>
  <c r="P16"/>
  <c r="B17"/>
  <c r="C16"/>
  <c r="M17"/>
  <c r="N16"/>
  <c r="V17"/>
  <c r="W16"/>
  <c r="AL16" s="1"/>
  <c r="AG17"/>
  <c r="AH16"/>
  <c r="AI15"/>
  <c r="AE18" l="1"/>
  <c r="AF17"/>
  <c r="AI17" s="1"/>
  <c r="AG18"/>
  <c r="AH17"/>
  <c r="E16"/>
  <c r="I16"/>
  <c r="D16"/>
  <c r="G13" i="63"/>
  <c r="L16" i="3"/>
  <c r="M15"/>
  <c r="AA15" s="1"/>
  <c r="AC15" s="1"/>
  <c r="AH15" s="1"/>
  <c r="V18" i="5"/>
  <c r="W17"/>
  <c r="AL17" s="1"/>
  <c r="O18"/>
  <c r="P17"/>
  <c r="B18"/>
  <c r="C17"/>
  <c r="J15"/>
  <c r="L11" i="81" s="1"/>
  <c r="K11"/>
  <c r="M18" i="5"/>
  <c r="N17"/>
  <c r="Q16"/>
  <c r="M12" i="81" s="1"/>
  <c r="AG19" i="5" l="1"/>
  <c r="AH18"/>
  <c r="L17" i="3"/>
  <c r="M16"/>
  <c r="AA16" s="1"/>
  <c r="AC16" s="1"/>
  <c r="AH16" s="1"/>
  <c r="V19" i="5"/>
  <c r="W18"/>
  <c r="AL18" s="1"/>
  <c r="M19"/>
  <c r="N18"/>
  <c r="O19"/>
  <c r="P18"/>
  <c r="AE19"/>
  <c r="AF18"/>
  <c r="K12" i="81"/>
  <c r="J16" i="5"/>
  <c r="L12" i="81" s="1"/>
  <c r="B19" i="5"/>
  <c r="C18"/>
  <c r="E17"/>
  <c r="D17"/>
  <c r="G14" i="63"/>
  <c r="I17" i="5"/>
  <c r="Q17"/>
  <c r="M13" i="81" s="1"/>
  <c r="Q18" i="5" l="1"/>
  <c r="M14" i="81" s="1"/>
  <c r="O20" i="5"/>
  <c r="P19"/>
  <c r="L18" i="3"/>
  <c r="M17"/>
  <c r="AA17" s="1"/>
  <c r="AC17" s="1"/>
  <c r="AH17" s="1"/>
  <c r="E18" i="5"/>
  <c r="D18"/>
  <c r="I18"/>
  <c r="G15" i="63"/>
  <c r="AG20" i="5"/>
  <c r="AH19"/>
  <c r="AE20"/>
  <c r="AF19"/>
  <c r="J17"/>
  <c r="L13" i="81" s="1"/>
  <c r="K13"/>
  <c r="V20" i="5"/>
  <c r="W19"/>
  <c r="AL19" s="1"/>
  <c r="M20"/>
  <c r="N19"/>
  <c r="B20"/>
  <c r="C19"/>
  <c r="AI18"/>
  <c r="Q19" l="1"/>
  <c r="M15" i="81" s="1"/>
  <c r="AG21" i="5"/>
  <c r="AH20"/>
  <c r="O21"/>
  <c r="P20"/>
  <c r="Q20" s="1"/>
  <c r="M16" i="81" s="1"/>
  <c r="M21" i="5"/>
  <c r="N20"/>
  <c r="AI19"/>
  <c r="AE21"/>
  <c r="AF20"/>
  <c r="AI20" s="1"/>
  <c r="L19" i="3"/>
  <c r="M18"/>
  <c r="AA18" s="1"/>
  <c r="AC18" s="1"/>
  <c r="AH18" s="1"/>
  <c r="B21" i="5"/>
  <c r="C20"/>
  <c r="E19"/>
  <c r="G16" i="63"/>
  <c r="I19" i="5"/>
  <c r="D19"/>
  <c r="K14" i="81"/>
  <c r="J18" i="5"/>
  <c r="L14" i="81" s="1"/>
  <c r="V21" i="5"/>
  <c r="W20"/>
  <c r="AL20" s="1"/>
  <c r="AG22" l="1"/>
  <c r="AH21"/>
  <c r="L20" i="3"/>
  <c r="M19"/>
  <c r="AA19" s="1"/>
  <c r="AC19" s="1"/>
  <c r="AH19" s="1"/>
  <c r="B22" i="5"/>
  <c r="C21"/>
  <c r="V22"/>
  <c r="W21"/>
  <c r="AL21" s="1"/>
  <c r="O22"/>
  <c r="P21"/>
  <c r="E20"/>
  <c r="D20"/>
  <c r="G17" i="63"/>
  <c r="I20" i="5"/>
  <c r="M22"/>
  <c r="N21"/>
  <c r="K15" i="81"/>
  <c r="J19" i="5"/>
  <c r="L15" i="81" s="1"/>
  <c r="AE22" i="5"/>
  <c r="AF21"/>
  <c r="Q21" l="1"/>
  <c r="M17" i="81" s="1"/>
  <c r="O23" i="5"/>
  <c r="P22"/>
  <c r="L21" i="3"/>
  <c r="M20"/>
  <c r="AA20" s="1"/>
  <c r="AC20" s="1"/>
  <c r="AH20" s="1"/>
  <c r="AE23" i="5"/>
  <c r="AF22"/>
  <c r="B23"/>
  <c r="C22"/>
  <c r="AG23"/>
  <c r="AH22"/>
  <c r="K16" i="81"/>
  <c r="J20" i="5"/>
  <c r="L16" i="81" s="1"/>
  <c r="E21" i="5"/>
  <c r="I21"/>
  <c r="G18" i="63"/>
  <c r="D21" i="5"/>
  <c r="M23"/>
  <c r="N22"/>
  <c r="V23"/>
  <c r="W22"/>
  <c r="AL22" s="1"/>
  <c r="AI21"/>
  <c r="Q22" l="1"/>
  <c r="M18" i="81" s="1"/>
  <c r="O24" i="5"/>
  <c r="P23"/>
  <c r="AE24"/>
  <c r="AF23"/>
  <c r="AI22"/>
  <c r="AG24"/>
  <c r="AH23"/>
  <c r="M24"/>
  <c r="N23"/>
  <c r="L22" i="3"/>
  <c r="M21"/>
  <c r="AA21" s="1"/>
  <c r="AC21" s="1"/>
  <c r="AH21" s="1"/>
  <c r="V24" i="5"/>
  <c r="W23"/>
  <c r="AL23" s="1"/>
  <c r="K17" i="81"/>
  <c r="J21" i="5"/>
  <c r="L17" i="81" s="1"/>
  <c r="B24" i="5"/>
  <c r="C23"/>
  <c r="E22"/>
  <c r="D22"/>
  <c r="G19" i="63"/>
  <c r="I22" i="5"/>
  <c r="AI23" l="1"/>
  <c r="V25"/>
  <c r="W24"/>
  <c r="AL24" s="1"/>
  <c r="AE25"/>
  <c r="AF24"/>
  <c r="J22"/>
  <c r="L18" i="81" s="1"/>
  <c r="K18"/>
  <c r="AG25" i="5"/>
  <c r="AH24"/>
  <c r="Q23"/>
  <c r="M19" i="81" s="1"/>
  <c r="C24" i="5"/>
  <c r="B25"/>
  <c r="P24"/>
  <c r="Q24" s="1"/>
  <c r="M20" i="81" s="1"/>
  <c r="O25" i="5"/>
  <c r="E23"/>
  <c r="D23"/>
  <c r="G20" i="63"/>
  <c r="I23" i="5"/>
  <c r="L23" i="3"/>
  <c r="M22"/>
  <c r="AA22" s="1"/>
  <c r="AC22" s="1"/>
  <c r="AH22" s="1"/>
  <c r="M25" i="5"/>
  <c r="N24"/>
  <c r="V26" l="1"/>
  <c r="W25"/>
  <c r="AL25" s="1"/>
  <c r="J23"/>
  <c r="L19" i="81" s="1"/>
  <c r="K19"/>
  <c r="AE26" i="5"/>
  <c r="AF25"/>
  <c r="O26"/>
  <c r="P25"/>
  <c r="E24"/>
  <c r="D24"/>
  <c r="I24"/>
  <c r="G21" i="63"/>
  <c r="B26" i="5"/>
  <c r="C25"/>
  <c r="L24" i="3"/>
  <c r="M23"/>
  <c r="AA23" s="1"/>
  <c r="AC23" s="1"/>
  <c r="AH23" s="1"/>
  <c r="M26" i="5"/>
  <c r="N25"/>
  <c r="AG26"/>
  <c r="AH25"/>
  <c r="AI24"/>
  <c r="Q25" l="1"/>
  <c r="M21" i="81" s="1"/>
  <c r="J24" i="5"/>
  <c r="L20" i="81" s="1"/>
  <c r="K20"/>
  <c r="AG27" i="5"/>
  <c r="AH26"/>
  <c r="B27"/>
  <c r="C26"/>
  <c r="AI25"/>
  <c r="V27"/>
  <c r="W26"/>
  <c r="AL26" s="1"/>
  <c r="M27"/>
  <c r="N26"/>
  <c r="AE27"/>
  <c r="AF26"/>
  <c r="E25"/>
  <c r="I25"/>
  <c r="G22" i="63"/>
  <c r="D25" i="5"/>
  <c r="L25" i="3"/>
  <c r="M24"/>
  <c r="AA24" s="1"/>
  <c r="AC24" s="1"/>
  <c r="AH24" s="1"/>
  <c r="O27" i="5"/>
  <c r="P26"/>
  <c r="V28" l="1"/>
  <c r="W27"/>
  <c r="AL27" s="1"/>
  <c r="AI26"/>
  <c r="O28"/>
  <c r="P27"/>
  <c r="Q27" s="1"/>
  <c r="M23" i="81" s="1"/>
  <c r="AE28" i="5"/>
  <c r="AF27"/>
  <c r="B28"/>
  <c r="C27"/>
  <c r="Q26"/>
  <c r="M22" i="81" s="1"/>
  <c r="L26" i="3"/>
  <c r="M25"/>
  <c r="AA25" s="1"/>
  <c r="AC25" s="1"/>
  <c r="AH25" s="1"/>
  <c r="M28" i="5"/>
  <c r="N27"/>
  <c r="AG28"/>
  <c r="AH27"/>
  <c r="E26"/>
  <c r="D26"/>
  <c r="I26"/>
  <c r="G23" i="63"/>
  <c r="J25" i="5"/>
  <c r="L21" i="81" s="1"/>
  <c r="K21"/>
  <c r="AI27" i="5" l="1"/>
  <c r="E27"/>
  <c r="G24" i="63"/>
  <c r="D27" i="5"/>
  <c r="I27"/>
  <c r="L27" i="3"/>
  <c r="M26"/>
  <c r="AA26" s="1"/>
  <c r="AC26" s="1"/>
  <c r="AH26" s="1"/>
  <c r="V29" i="5"/>
  <c r="W28"/>
  <c r="AL28" s="1"/>
  <c r="J26"/>
  <c r="L22" i="81" s="1"/>
  <c r="K22"/>
  <c r="AG29" i="5"/>
  <c r="AH28"/>
  <c r="O29"/>
  <c r="P28"/>
  <c r="M29"/>
  <c r="N28"/>
  <c r="AE29"/>
  <c r="AF28"/>
  <c r="AI28" s="1"/>
  <c r="B29"/>
  <c r="C28"/>
  <c r="AG30" l="1"/>
  <c r="AH29"/>
  <c r="AE30"/>
  <c r="AF29"/>
  <c r="B30"/>
  <c r="C29"/>
  <c r="K23" i="81"/>
  <c r="J27" i="5"/>
  <c r="L23" i="81" s="1"/>
  <c r="E28" i="5"/>
  <c r="D28"/>
  <c r="G25" i="63"/>
  <c r="I28" i="5"/>
  <c r="L28" i="3"/>
  <c r="M27"/>
  <c r="AA27" s="1"/>
  <c r="AC27" s="1"/>
  <c r="AH27" s="1"/>
  <c r="O30" i="5"/>
  <c r="P29"/>
  <c r="V30"/>
  <c r="W29"/>
  <c r="AL29" s="1"/>
  <c r="M30"/>
  <c r="N29"/>
  <c r="Q28"/>
  <c r="M24" i="81" s="1"/>
  <c r="Q29" i="5" l="1"/>
  <c r="M25" i="81" s="1"/>
  <c r="AG31" i="5"/>
  <c r="AH30"/>
  <c r="B31"/>
  <c r="C30"/>
  <c r="M31"/>
  <c r="N30"/>
  <c r="K24" i="81"/>
  <c r="J28" i="5"/>
  <c r="L24" i="81" s="1"/>
  <c r="L29" i="3"/>
  <c r="M28"/>
  <c r="AA28" s="1"/>
  <c r="AC28" s="1"/>
  <c r="AH28" s="1"/>
  <c r="E29" i="5"/>
  <c r="I29"/>
  <c r="G26" i="63"/>
  <c r="D29" i="5"/>
  <c r="AI29"/>
  <c r="V31"/>
  <c r="W30"/>
  <c r="AL30" s="1"/>
  <c r="AE31"/>
  <c r="AF30"/>
  <c r="O31"/>
  <c r="P30"/>
  <c r="Q30" s="1"/>
  <c r="M26" i="81" s="1"/>
  <c r="B32" i="5" l="1"/>
  <c r="C31"/>
  <c r="E30"/>
  <c r="G27" i="63"/>
  <c r="I30" i="5"/>
  <c r="D30"/>
  <c r="K25" i="81"/>
  <c r="J29" i="5"/>
  <c r="L25" i="81" s="1"/>
  <c r="M32" i="5"/>
  <c r="N31"/>
  <c r="AI30"/>
  <c r="V32"/>
  <c r="W31"/>
  <c r="AL31" s="1"/>
  <c r="AG32"/>
  <c r="AH31"/>
  <c r="AE32"/>
  <c r="AF31"/>
  <c r="AI31" s="1"/>
  <c r="L30" i="3"/>
  <c r="M30" s="1"/>
  <c r="AA30" s="1"/>
  <c r="AC30" s="1"/>
  <c r="AH30" s="1"/>
  <c r="M29"/>
  <c r="AA29" s="1"/>
  <c r="AC29" s="1"/>
  <c r="AH29" s="1"/>
  <c r="O32" i="5"/>
  <c r="P31"/>
  <c r="B33" l="1"/>
  <c r="C33" s="1"/>
  <c r="C32"/>
  <c r="V33"/>
  <c r="W33" s="1"/>
  <c r="AL33" s="1"/>
  <c r="AL34" s="1"/>
  <c r="W32"/>
  <c r="AL32" s="1"/>
  <c r="J30"/>
  <c r="L26" i="81" s="1"/>
  <c r="K26"/>
  <c r="O33" i="5"/>
  <c r="P33" s="1"/>
  <c r="P32"/>
  <c r="AG33"/>
  <c r="AH33" s="1"/>
  <c r="AH32"/>
  <c r="Q31"/>
  <c r="M27" i="81" s="1"/>
  <c r="AE33" i="5"/>
  <c r="AF33" s="1"/>
  <c r="AF32"/>
  <c r="M33"/>
  <c r="N33" s="1"/>
  <c r="N32"/>
  <c r="E31"/>
  <c r="G28" i="63"/>
  <c r="I31" i="5"/>
  <c r="D31"/>
  <c r="Q32" l="1"/>
  <c r="M28" i="81" s="1"/>
  <c r="E33" i="5"/>
  <c r="E35" s="1"/>
  <c r="I33"/>
  <c r="D33"/>
  <c r="G30" i="63"/>
  <c r="I30" s="1"/>
  <c r="C34" i="5"/>
  <c r="E32"/>
  <c r="I32"/>
  <c r="G29" i="63"/>
  <c r="D32" i="5"/>
  <c r="K27" i="81"/>
  <c r="J31" i="5"/>
  <c r="L27" i="81" s="1"/>
  <c r="AI33" i="5"/>
  <c r="AI32"/>
  <c r="Q33"/>
  <c r="M29" i="81" s="1"/>
  <c r="V9" i="76"/>
  <c r="C35" i="5" l="1"/>
  <c r="B6" i="77"/>
  <c r="D34" i="5"/>
  <c r="D36"/>
  <c r="J32"/>
  <c r="L28" i="81" s="1"/>
  <c r="K28"/>
  <c r="K29"/>
  <c r="J33" i="5"/>
  <c r="L29" i="81" s="1"/>
  <c r="I34" i="5"/>
  <c r="G6" i="77" l="1"/>
  <c r="D6"/>
  <c r="E6" s="1"/>
  <c r="H36" i="5"/>
  <c r="K36" s="1"/>
  <c r="AJ36"/>
  <c r="AM36" s="1"/>
  <c r="I35"/>
  <c r="G36"/>
  <c r="F6" i="77" l="1"/>
  <c r="V11" i="76" l="1"/>
  <c r="V10"/>
  <c r="N2" i="3" l="1"/>
  <c r="AB2" l="1"/>
  <c r="G2" i="63" l="1"/>
  <c r="AU6" i="5" l="1"/>
  <c r="AZ6" l="1"/>
  <c r="AU7"/>
  <c r="AZ7" s="1"/>
  <c r="BC6" l="1"/>
  <c r="BC7"/>
  <c r="BC8"/>
  <c r="AA9" i="76" l="1"/>
  <c r="AA11" l="1"/>
  <c r="AB10"/>
  <c r="AA10"/>
  <c r="AA12"/>
  <c r="AB11" l="1"/>
  <c r="AE11" s="1"/>
  <c r="AF11" s="1"/>
  <c r="AB13"/>
  <c r="AB9"/>
  <c r="M2" i="3" l="1"/>
  <c r="AA2" l="1"/>
  <c r="AH2" l="1"/>
  <c r="AC2"/>
  <c r="Y2" l="1"/>
  <c r="X3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Y30" s="1"/>
  <c r="Y29"/>
  <c r="Q34" i="5" l="1"/>
  <c r="O35" s="1"/>
  <c r="AC11" i="76" l="1"/>
  <c r="AC28" s="1"/>
  <c r="AC10"/>
  <c r="AC27" s="1"/>
  <c r="AC9"/>
  <c r="AC26" s="1"/>
  <c r="AC30" l="1"/>
  <c r="W35" l="1"/>
  <c r="W37" s="1"/>
  <c r="W39" s="1"/>
  <c r="AC31"/>
  <c r="AC13"/>
  <c r="O28" l="1"/>
  <c r="P28" s="1"/>
  <c r="R28" s="1"/>
  <c r="T28" s="1"/>
  <c r="F26" i="81" s="1"/>
  <c r="O4" i="76"/>
  <c r="P4" s="1"/>
  <c r="R4" s="1"/>
  <c r="T4" s="1"/>
  <c r="F2" i="81" s="1"/>
  <c r="O12" i="76"/>
  <c r="P12" s="1"/>
  <c r="R12" s="1"/>
  <c r="T12" s="1"/>
  <c r="F10" i="81" s="1"/>
  <c r="O16" i="76"/>
  <c r="P16" s="1"/>
  <c r="R16" s="1"/>
  <c r="T16" s="1"/>
  <c r="F14" i="81" s="1"/>
  <c r="O21" i="76"/>
  <c r="P21" s="1"/>
  <c r="R21" s="1"/>
  <c r="T21" s="1"/>
  <c r="F19" i="81" s="1"/>
  <c r="O8" i="76"/>
  <c r="P8" s="1"/>
  <c r="R8" s="1"/>
  <c r="T8" s="1"/>
  <c r="F6" i="81" s="1"/>
  <c r="O29" i="76"/>
  <c r="P29" s="1"/>
  <c r="R29" s="1"/>
  <c r="T29" s="1"/>
  <c r="F27" i="81" s="1"/>
  <c r="O6" i="76"/>
  <c r="P6" s="1"/>
  <c r="R6" s="1"/>
  <c r="T6" s="1"/>
  <c r="F4" i="81" s="1"/>
  <c r="O19" i="76"/>
  <c r="P19" s="1"/>
  <c r="R19" s="1"/>
  <c r="T19" s="1"/>
  <c r="F17" i="81" s="1"/>
  <c r="O10" i="76"/>
  <c r="P10" s="1"/>
  <c r="R10" s="1"/>
  <c r="T10" s="1"/>
  <c r="F8" i="81" s="1"/>
  <c r="O9" i="76"/>
  <c r="P9" s="1"/>
  <c r="R9" s="1"/>
  <c r="T9" s="1"/>
  <c r="F7" i="81" s="1"/>
  <c r="O25" i="76"/>
  <c r="P25" s="1"/>
  <c r="R25" s="1"/>
  <c r="T25" s="1"/>
  <c r="F23" i="81" s="1"/>
  <c r="O30" i="76"/>
  <c r="P30" s="1"/>
  <c r="R30" s="1"/>
  <c r="T30" s="1"/>
  <c r="F28" i="81" s="1"/>
  <c r="O31" i="76"/>
  <c r="O11"/>
  <c r="P11" s="1"/>
  <c r="R11" s="1"/>
  <c r="T11" s="1"/>
  <c r="F9" i="81" s="1"/>
  <c r="O14" i="76"/>
  <c r="P14" s="1"/>
  <c r="R14" s="1"/>
  <c r="T14" s="1"/>
  <c r="F12" i="81" s="1"/>
  <c r="O22" i="76"/>
  <c r="P22" s="1"/>
  <c r="R22" s="1"/>
  <c r="T22" s="1"/>
  <c r="F20" i="81" s="1"/>
  <c r="O18" i="76"/>
  <c r="P18" s="1"/>
  <c r="R18" s="1"/>
  <c r="T18" s="1"/>
  <c r="F16" i="81" s="1"/>
  <c r="O26" i="76"/>
  <c r="P26" s="1"/>
  <c r="R26" s="1"/>
  <c r="T26" s="1"/>
  <c r="F24" i="81" s="1"/>
  <c r="O5" i="76"/>
  <c r="P5" s="1"/>
  <c r="R5" s="1"/>
  <c r="T5" s="1"/>
  <c r="F3" i="81" s="1"/>
  <c r="O17" i="76"/>
  <c r="P17" s="1"/>
  <c r="R17" s="1"/>
  <c r="T17" s="1"/>
  <c r="F15" i="81" s="1"/>
  <c r="O20" i="76"/>
  <c r="P20" s="1"/>
  <c r="R20" s="1"/>
  <c r="T20" s="1"/>
  <c r="F18" i="81" s="1"/>
  <c r="AB31" i="76"/>
  <c r="O7"/>
  <c r="P7" s="1"/>
  <c r="R7" s="1"/>
  <c r="T7" s="1"/>
  <c r="F5" i="81" s="1"/>
  <c r="O13" i="76"/>
  <c r="P13" s="1"/>
  <c r="R13" s="1"/>
  <c r="T13" s="1"/>
  <c r="F11" i="81" s="1"/>
  <c r="O24" i="76"/>
  <c r="P24" s="1"/>
  <c r="R24" s="1"/>
  <c r="T24" s="1"/>
  <c r="F22" i="81" s="1"/>
  <c r="O27" i="76"/>
  <c r="P27" s="1"/>
  <c r="R27" s="1"/>
  <c r="T27" s="1"/>
  <c r="F25" i="81" s="1"/>
  <c r="O23" i="76"/>
  <c r="P23" s="1"/>
  <c r="R23" s="1"/>
  <c r="T23" s="1"/>
  <c r="F21" i="81" s="1"/>
  <c r="O15" i="76"/>
  <c r="P15" s="1"/>
  <c r="R15" s="1"/>
  <c r="T15" s="1"/>
  <c r="F13" i="81" s="1"/>
  <c r="AC14" i="76"/>
  <c r="P31" l="1"/>
  <c r="R31" s="1"/>
  <c r="T31" s="1"/>
  <c r="F29" i="81" s="1"/>
  <c r="O32" i="76"/>
  <c r="O3"/>
  <c r="AB14"/>
  <c r="AA37"/>
  <c r="AB33"/>
  <c r="AB35" s="1"/>
  <c r="Z36" s="1"/>
  <c r="Z38" s="1"/>
  <c r="Z40" s="1"/>
  <c r="D10" i="77"/>
  <c r="E10" s="1"/>
  <c r="E12" s="1"/>
  <c r="AB19" i="76" l="1"/>
  <c r="P3"/>
  <c r="AB18"/>
  <c r="AB17"/>
  <c r="AA38"/>
  <c r="AB37"/>
  <c r="AB38" s="1"/>
  <c r="F10" i="77"/>
  <c r="F12" s="1"/>
  <c r="G10"/>
  <c r="G12" s="1"/>
  <c r="R3" i="76" l="1"/>
  <c r="I14" i="77"/>
  <c r="H14"/>
  <c r="T3" i="76" l="1"/>
  <c r="AX4" i="1" l="1"/>
  <c r="AX5" s="1"/>
  <c r="AS6" i="5"/>
  <c r="J2" i="81" l="1"/>
  <c r="AX6" i="1"/>
  <c r="AY6" i="5"/>
  <c r="AS7"/>
  <c r="AX7" i="1" l="1"/>
  <c r="J3" i="81"/>
  <c r="AS8" i="5"/>
  <c r="AY7"/>
  <c r="BB7" s="1"/>
  <c r="BE7" s="1"/>
  <c r="BB6"/>
  <c r="BE6" s="1"/>
  <c r="BF6" l="1"/>
  <c r="BG6" s="1"/>
  <c r="G6" i="65" s="1"/>
  <c r="I2" i="63"/>
  <c r="AX8" i="1"/>
  <c r="J4" i="81"/>
  <c r="AY8" i="5"/>
  <c r="BB8" s="1"/>
  <c r="BE8" s="1"/>
  <c r="AS9"/>
  <c r="BF7"/>
  <c r="BG7" s="1"/>
  <c r="G7" i="65" s="1"/>
  <c r="I3" i="63"/>
  <c r="BF8" i="5" l="1"/>
  <c r="BG8" s="1"/>
  <c r="G8" i="65" s="1"/>
  <c r="I4" i="63"/>
  <c r="AS10" i="5"/>
  <c r="AY9"/>
  <c r="BB9" s="1"/>
  <c r="BE9" s="1"/>
  <c r="AX9" i="1"/>
  <c r="J5" i="81"/>
  <c r="AY10" i="5" l="1"/>
  <c r="BB10" s="1"/>
  <c r="BE10" s="1"/>
  <c r="AS11"/>
  <c r="BF9"/>
  <c r="BG9" s="1"/>
  <c r="G9" i="65" s="1"/>
  <c r="I5" i="63"/>
  <c r="J6" i="81"/>
  <c r="AX10" i="1"/>
  <c r="G5" i="65" l="1"/>
  <c r="I6" i="63"/>
  <c r="BF10" i="5"/>
  <c r="BG10" s="1"/>
  <c r="G10" i="65" s="1"/>
  <c r="AY11" i="5"/>
  <c r="BB11" s="1"/>
  <c r="BE11" s="1"/>
  <c r="AS12"/>
  <c r="AX11" i="1"/>
  <c r="J7" i="81"/>
  <c r="I7" i="63" l="1"/>
  <c r="BF11" i="5"/>
  <c r="BG11" s="1"/>
  <c r="G11" i="65" s="1"/>
  <c r="AS13" i="5"/>
  <c r="AY12"/>
  <c r="BB12" s="1"/>
  <c r="BE12" s="1"/>
  <c r="J8" i="81"/>
  <c r="AX12" i="1"/>
  <c r="AY13" i="5" l="1"/>
  <c r="BB13" s="1"/>
  <c r="BE13" s="1"/>
  <c r="AS14"/>
  <c r="I8" i="63"/>
  <c r="BF12" i="5"/>
  <c r="BG12" s="1"/>
  <c r="G12" i="65" s="1"/>
  <c r="J9" i="81"/>
  <c r="AX13" i="1"/>
  <c r="I9" i="63" l="1"/>
  <c r="BF13" i="5"/>
  <c r="BG13" s="1"/>
  <c r="G13" i="65" s="1"/>
  <c r="AY14" i="5"/>
  <c r="BB14" s="1"/>
  <c r="BE14" s="1"/>
  <c r="AS15"/>
  <c r="J10" i="81"/>
  <c r="AX14" i="1"/>
  <c r="I10" i="63" l="1"/>
  <c r="BF14" i="5"/>
  <c r="BG14" s="1"/>
  <c r="G14" i="65" s="1"/>
  <c r="AS16" i="5"/>
  <c r="AY15"/>
  <c r="BB15" s="1"/>
  <c r="BE15" s="1"/>
  <c r="AX15" i="1"/>
  <c r="J11" i="81"/>
  <c r="I11" i="63" l="1"/>
  <c r="BF15" i="5"/>
  <c r="BG15" s="1"/>
  <c r="G15" i="65" s="1"/>
  <c r="AY16" i="5"/>
  <c r="BB16" s="1"/>
  <c r="BE16" s="1"/>
  <c r="AS17"/>
  <c r="AX16" i="1"/>
  <c r="J12" i="81"/>
  <c r="AY17" i="5" l="1"/>
  <c r="BB17" s="1"/>
  <c r="BE17" s="1"/>
  <c r="AS18"/>
  <c r="I12" i="63"/>
  <c r="BF16" i="5"/>
  <c r="BG16" s="1"/>
  <c r="G16" i="65" s="1"/>
  <c r="J13" i="81"/>
  <c r="AX17" i="1"/>
  <c r="I13" i="63" l="1"/>
  <c r="BF17" i="5"/>
  <c r="BG17" s="1"/>
  <c r="G17" i="65" s="1"/>
  <c r="AS19" i="5"/>
  <c r="AY18"/>
  <c r="BB18" s="1"/>
  <c r="BE18" s="1"/>
  <c r="AX18" i="1"/>
  <c r="J14" i="81"/>
  <c r="I14" i="63" l="1"/>
  <c r="BF18" i="5"/>
  <c r="BG18" s="1"/>
  <c r="G18" i="65" s="1"/>
  <c r="AY19" i="5"/>
  <c r="BB19" s="1"/>
  <c r="BE19" s="1"/>
  <c r="AS20"/>
  <c r="AX19" i="1"/>
  <c r="J15" i="81"/>
  <c r="AS21" i="5" l="1"/>
  <c r="AY20"/>
  <c r="BB20" s="1"/>
  <c r="BE20" s="1"/>
  <c r="I15" i="63"/>
  <c r="BF19" i="5"/>
  <c r="BG19" s="1"/>
  <c r="G19" i="65" s="1"/>
  <c r="J16" i="81"/>
  <c r="AX20" i="1"/>
  <c r="AS22" i="5" l="1"/>
  <c r="AY21"/>
  <c r="BB21" s="1"/>
  <c r="BE21" s="1"/>
  <c r="I16" i="63"/>
  <c r="BF20" i="5"/>
  <c r="BG20" s="1"/>
  <c r="G20" i="65" s="1"/>
  <c r="AX21" i="1"/>
  <c r="J17" i="81"/>
  <c r="AS23" i="5" l="1"/>
  <c r="AY22"/>
  <c r="BB22" s="1"/>
  <c r="BE22" s="1"/>
  <c r="I17" i="63"/>
  <c r="BF21" i="5"/>
  <c r="BG21" s="1"/>
  <c r="G21" i="65" s="1"/>
  <c r="J18" i="81"/>
  <c r="AX22" i="1"/>
  <c r="AS24" i="5" l="1"/>
  <c r="AY23"/>
  <c r="BB23" s="1"/>
  <c r="BE23" s="1"/>
  <c r="I18" i="63"/>
  <c r="BF22" i="5"/>
  <c r="BG22" s="1"/>
  <c r="G22" i="65" s="1"/>
  <c r="J19" i="81"/>
  <c r="AX23" i="1"/>
  <c r="AY24" i="5" l="1"/>
  <c r="BB24" s="1"/>
  <c r="BE24" s="1"/>
  <c r="AS25"/>
  <c r="I19" i="63"/>
  <c r="BF23" i="5"/>
  <c r="BG23" s="1"/>
  <c r="G23" i="65" s="1"/>
  <c r="AX24" i="1"/>
  <c r="J20" i="81"/>
  <c r="I20" i="63" l="1"/>
  <c r="BF24" i="5"/>
  <c r="BG24" s="1"/>
  <c r="G24" i="65" s="1"/>
  <c r="AS26" i="5"/>
  <c r="AY25"/>
  <c r="BB25" s="1"/>
  <c r="BE25" s="1"/>
  <c r="AX25" i="1"/>
  <c r="J21" i="81"/>
  <c r="I21" i="63" l="1"/>
  <c r="BF25" i="5"/>
  <c r="BG25" s="1"/>
  <c r="G25" i="65" s="1"/>
  <c r="AS27" i="5"/>
  <c r="AY26"/>
  <c r="BB26" s="1"/>
  <c r="BE26" s="1"/>
  <c r="AX26" i="1"/>
  <c r="J22" i="81"/>
  <c r="I22" i="63" l="1"/>
  <c r="BF26" i="5"/>
  <c r="BG26" s="1"/>
  <c r="G26" i="65" s="1"/>
  <c r="AY27" i="5"/>
  <c r="BB27" s="1"/>
  <c r="BE27" s="1"/>
  <c r="AS28"/>
  <c r="AX27" i="1"/>
  <c r="J23" i="81"/>
  <c r="AS29" i="5" l="1"/>
  <c r="AY28"/>
  <c r="BB28" s="1"/>
  <c r="BE28" s="1"/>
  <c r="I23" i="63"/>
  <c r="BF27" i="5"/>
  <c r="BG27" s="1"/>
  <c r="G27" i="65" s="1"/>
  <c r="J24" i="81"/>
  <c r="AX28" i="1"/>
  <c r="I24" i="63" l="1"/>
  <c r="BF28" i="5"/>
  <c r="BG28" s="1"/>
  <c r="G28" i="65" s="1"/>
  <c r="AY29" i="5"/>
  <c r="BB29" s="1"/>
  <c r="BE29" s="1"/>
  <c r="AS30"/>
  <c r="J25" i="81"/>
  <c r="AX29" i="1"/>
  <c r="AS31" i="5" l="1"/>
  <c r="AY30"/>
  <c r="BB30" s="1"/>
  <c r="BE30" s="1"/>
  <c r="I25" i="63"/>
  <c r="BF29" i="5"/>
  <c r="BG29" s="1"/>
  <c r="G29" i="65" s="1"/>
  <c r="AX30" i="1"/>
  <c r="J26" i="81"/>
  <c r="AY31" i="5" l="1"/>
  <c r="BB31" s="1"/>
  <c r="BE31" s="1"/>
  <c r="AS32"/>
  <c r="I26" i="63"/>
  <c r="BF30" i="5"/>
  <c r="BG30" s="1"/>
  <c r="G30" i="65" s="1"/>
  <c r="J27" i="81"/>
  <c r="AX31" i="1"/>
  <c r="I27" i="63" l="1"/>
  <c r="BF31" i="5"/>
  <c r="BG31" s="1"/>
  <c r="G31" i="65" s="1"/>
  <c r="AS33" i="5"/>
  <c r="AY33" s="1"/>
  <c r="BB33" s="1"/>
  <c r="BE33" s="1"/>
  <c r="AY32"/>
  <c r="BB32" s="1"/>
  <c r="BE32" s="1"/>
  <c r="J28" i="81"/>
  <c r="AX32" i="1"/>
  <c r="J29" i="81" s="1"/>
  <c r="I29" i="63" l="1"/>
  <c r="BF33" i="5"/>
  <c r="BG33" s="1"/>
  <c r="G33" i="65" s="1"/>
  <c r="I28" i="63"/>
  <c r="BF32" i="5"/>
  <c r="BG32" s="1"/>
  <c r="G32" i="65" s="1"/>
</calcChain>
</file>

<file path=xl/comments1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<sst xmlns="http://schemas.openxmlformats.org/spreadsheetml/2006/main" count="646" uniqueCount="418">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</sst>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0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43" xfId="0" applyBorder="1" applyAlignment="1">
      <alignment horizontal="right" vertical="center"/>
    </xf>
    <xf numFmtId="0" fontId="0" fillId="0" borderId="43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5731584"/>
        <c:axId val="105733120"/>
      </c:lineChart>
      <c:catAx>
        <c:axId val="10573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33120"/>
        <c:crosses val="autoZero"/>
        <c:auto val="1"/>
        <c:lblAlgn val="ctr"/>
        <c:lblOffset val="100"/>
      </c:catAx>
      <c:valAx>
        <c:axId val="105733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3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98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5757696"/>
        <c:axId val="105759488"/>
      </c:lineChart>
      <c:catAx>
        <c:axId val="105757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59488"/>
        <c:crosses val="autoZero"/>
        <c:auto val="1"/>
        <c:lblAlgn val="ctr"/>
        <c:lblOffset val="100"/>
      </c:catAx>
      <c:valAx>
        <c:axId val="105759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57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151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5070848"/>
        <c:axId val="155072384"/>
      </c:lineChart>
      <c:catAx>
        <c:axId val="15507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72384"/>
        <c:crosses val="autoZero"/>
        <c:auto val="1"/>
        <c:lblAlgn val="ctr"/>
        <c:lblOffset val="100"/>
      </c:catAx>
      <c:valAx>
        <c:axId val="1550723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7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079"/>
          <c:y val="0.62975887529635965"/>
          <c:w val="7.9124755870162669E-2"/>
          <c:h val="4.498269896194982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920000"/>
        <c:axId val="105921536"/>
      </c:lineChart>
      <c:catAx>
        <c:axId val="10592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21536"/>
        <c:crosses val="autoZero"/>
        <c:auto val="1"/>
        <c:lblAlgn val="ctr"/>
        <c:lblOffset val="100"/>
      </c:catAx>
      <c:valAx>
        <c:axId val="105921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2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738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5933440"/>
        <c:axId val="105951616"/>
      </c:lineChart>
      <c:catAx>
        <c:axId val="105933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51616"/>
        <c:crosses val="autoZero"/>
        <c:auto val="1"/>
        <c:lblAlgn val="ctr"/>
        <c:lblOffset val="100"/>
      </c:catAx>
      <c:valAx>
        <c:axId val="1059516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3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45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226432"/>
        <c:axId val="106227968"/>
      </c:lineChart>
      <c:catAx>
        <c:axId val="106226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27968"/>
        <c:crosses val="autoZero"/>
        <c:auto val="1"/>
        <c:lblAlgn val="ctr"/>
        <c:lblOffset val="100"/>
      </c:catAx>
      <c:valAx>
        <c:axId val="10622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26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3446272"/>
        <c:axId val="153447808"/>
      </c:lineChart>
      <c:catAx>
        <c:axId val="153446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47808"/>
        <c:crosses val="autoZero"/>
        <c:auto val="1"/>
        <c:lblAlgn val="ctr"/>
        <c:lblOffset val="100"/>
      </c:catAx>
      <c:valAx>
        <c:axId val="153447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46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53467520"/>
        <c:axId val="153481600"/>
      </c:lineChart>
      <c:catAx>
        <c:axId val="15346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81600"/>
        <c:crosses val="autoZero"/>
        <c:auto val="1"/>
        <c:lblAlgn val="ctr"/>
        <c:lblOffset val="100"/>
      </c:catAx>
      <c:valAx>
        <c:axId val="15348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254336"/>
        <c:axId val="106255872"/>
      </c:lineChart>
      <c:catAx>
        <c:axId val="10625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55872"/>
        <c:crosses val="autoZero"/>
        <c:auto val="1"/>
        <c:lblAlgn val="ctr"/>
        <c:lblOffset val="100"/>
      </c:catAx>
      <c:valAx>
        <c:axId val="106255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5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5883"/>
          <c:w val="0.1272403315177380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296448"/>
        <c:axId val="106297984"/>
      </c:lineChart>
      <c:catAx>
        <c:axId val="10629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97984"/>
        <c:crosses val="autoZero"/>
        <c:auto val="1"/>
        <c:lblAlgn val="ctr"/>
        <c:lblOffset val="100"/>
      </c:catAx>
      <c:valAx>
        <c:axId val="10629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9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267</c:v>
                </c:pt>
                <c:pt idx="1">
                  <c:v>467.60000000000582</c:v>
                </c:pt>
                <c:pt idx="2">
                  <c:v>234</c:v>
                </c:pt>
                <c:pt idx="3">
                  <c:v>289</c:v>
                </c:pt>
                <c:pt idx="4">
                  <c:v>314</c:v>
                </c:pt>
                <c:pt idx="5">
                  <c:v>391</c:v>
                </c:pt>
                <c:pt idx="6">
                  <c:v>311</c:v>
                </c:pt>
                <c:pt idx="7">
                  <c:v>279</c:v>
                </c:pt>
                <c:pt idx="8">
                  <c:v>333.39999999999418</c:v>
                </c:pt>
                <c:pt idx="9">
                  <c:v>236</c:v>
                </c:pt>
                <c:pt idx="10">
                  <c:v>236</c:v>
                </c:pt>
                <c:pt idx="11">
                  <c:v>253</c:v>
                </c:pt>
                <c:pt idx="12">
                  <c:v>234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6334464"/>
        <c:axId val="106336256"/>
      </c:lineChart>
      <c:catAx>
        <c:axId val="106334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36256"/>
        <c:crosses val="autoZero"/>
        <c:auto val="1"/>
        <c:lblAlgn val="ctr"/>
        <c:lblOffset val="100"/>
      </c:catAx>
      <c:valAx>
        <c:axId val="10633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34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5883"/>
          <c:w val="0.135416885389355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343808"/>
        <c:axId val="106448000"/>
      </c:lineChart>
      <c:catAx>
        <c:axId val="10634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48000"/>
        <c:crosses val="autoZero"/>
        <c:auto val="1"/>
        <c:lblAlgn val="ctr"/>
        <c:lblOffset val="100"/>
      </c:catAx>
      <c:valAx>
        <c:axId val="1064480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4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5883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6347</c:v>
                </c:pt>
                <c:pt idx="1">
                  <c:v>6404.3999999999069</c:v>
                </c:pt>
                <c:pt idx="2">
                  <c:v>6622</c:v>
                </c:pt>
                <c:pt idx="3">
                  <c:v>6753</c:v>
                </c:pt>
                <c:pt idx="4">
                  <c:v>6587</c:v>
                </c:pt>
                <c:pt idx="5">
                  <c:v>5932</c:v>
                </c:pt>
                <c:pt idx="6">
                  <c:v>5977</c:v>
                </c:pt>
                <c:pt idx="7">
                  <c:v>6551.2000000001863</c:v>
                </c:pt>
                <c:pt idx="8">
                  <c:v>6289.7999999998137</c:v>
                </c:pt>
                <c:pt idx="9">
                  <c:v>7008</c:v>
                </c:pt>
                <c:pt idx="10">
                  <c:v>7276</c:v>
                </c:pt>
                <c:pt idx="11">
                  <c:v>7236</c:v>
                </c:pt>
                <c:pt idx="12">
                  <c:v>5643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6472576"/>
        <c:axId val="106474112"/>
      </c:lineChart>
      <c:catAx>
        <c:axId val="10647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74112"/>
        <c:crosses val="autoZero"/>
        <c:auto val="1"/>
        <c:lblAlgn val="ctr"/>
        <c:lblOffset val="100"/>
      </c:catAx>
      <c:valAx>
        <c:axId val="106474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7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97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6367232"/>
        <c:axId val="106373120"/>
      </c:lineChart>
      <c:catAx>
        <c:axId val="10636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73120"/>
        <c:crosses val="autoZero"/>
        <c:auto val="1"/>
        <c:lblAlgn val="ctr"/>
        <c:lblOffset val="100"/>
      </c:catAx>
      <c:valAx>
        <c:axId val="106373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6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5883"/>
          <c:w val="0.135416885389355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384768"/>
        <c:axId val="106415232"/>
      </c:lineChart>
      <c:catAx>
        <c:axId val="10638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15232"/>
        <c:crosses val="autoZero"/>
        <c:auto val="1"/>
        <c:lblAlgn val="ctr"/>
        <c:lblOffset val="100"/>
      </c:catAx>
      <c:valAx>
        <c:axId val="106415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8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001"/>
          <c:y val="0.54325368498487869"/>
          <c:w val="0.11458355205599259"/>
          <c:h val="4.498269896194936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-1226.8096774193486</c:v>
                </c:pt>
                <c:pt idx="1">
                  <c:v>-920.03225806450064</c:v>
                </c:pt>
                <c:pt idx="2">
                  <c:v>-1226.7096774193778</c:v>
                </c:pt>
                <c:pt idx="3">
                  <c:v>-1226.7096774193633</c:v>
                </c:pt>
                <c:pt idx="4">
                  <c:v>53.612903225817718</c:v>
                </c:pt>
                <c:pt idx="5">
                  <c:v>-850.03225806448609</c:v>
                </c:pt>
                <c:pt idx="6">
                  <c:v>-1226.7096774193633</c:v>
                </c:pt>
                <c:pt idx="7">
                  <c:v>-920.03225806454429</c:v>
                </c:pt>
                <c:pt idx="8">
                  <c:v>-1226.7096774193342</c:v>
                </c:pt>
                <c:pt idx="9">
                  <c:v>-1840.0645161290304</c:v>
                </c:pt>
                <c:pt idx="10">
                  <c:v>-1533.3870967742114</c:v>
                </c:pt>
                <c:pt idx="11">
                  <c:v>-990.03225806451519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513152"/>
        <c:axId val="106514688"/>
      </c:lineChart>
      <c:catAx>
        <c:axId val="106513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14688"/>
        <c:crosses val="autoZero"/>
        <c:auto val="1"/>
        <c:lblAlgn val="ctr"/>
        <c:lblOffset val="100"/>
      </c:catAx>
      <c:valAx>
        <c:axId val="106514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13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189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-1</c:v>
                </c:pt>
                <c:pt idx="5">
                  <c:v>0.5</c:v>
                </c:pt>
                <c:pt idx="6">
                  <c:v>0.5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-5</c:v>
                </c:pt>
                <c:pt idx="19">
                  <c:v>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531072"/>
        <c:axId val="106561536"/>
      </c:lineChart>
      <c:catAx>
        <c:axId val="10653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61536"/>
        <c:crosses val="autoZero"/>
        <c:auto val="1"/>
        <c:lblAlgn val="ctr"/>
        <c:lblOffset val="100"/>
      </c:catAx>
      <c:valAx>
        <c:axId val="10656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3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559"/>
          <c:h val="4.49826989619497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569088"/>
        <c:axId val="106579072"/>
      </c:lineChart>
      <c:catAx>
        <c:axId val="10656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79072"/>
        <c:crosses val="autoZero"/>
        <c:auto val="1"/>
        <c:lblAlgn val="ctr"/>
        <c:lblOffset val="100"/>
      </c:catAx>
      <c:valAx>
        <c:axId val="10657907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97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374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627840"/>
        <c:axId val="106629376"/>
      </c:lineChart>
      <c:catAx>
        <c:axId val="106627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29376"/>
        <c:crosses val="autoZero"/>
        <c:auto val="1"/>
        <c:lblAlgn val="ctr"/>
        <c:lblOffset val="100"/>
      </c:catAx>
      <c:valAx>
        <c:axId val="1066293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27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97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653568"/>
        <c:axId val="106655104"/>
      </c:lineChart>
      <c:catAx>
        <c:axId val="10665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55104"/>
        <c:crosses val="autoZero"/>
        <c:auto val="1"/>
        <c:lblAlgn val="ctr"/>
        <c:lblOffset val="100"/>
      </c:catAx>
      <c:valAx>
        <c:axId val="10665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5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42"/>
          <c:y val="0.62975887529635965"/>
          <c:w val="0.13250539334757044"/>
          <c:h val="4.49826989619497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687488"/>
        <c:axId val="106758912"/>
      </c:lineChart>
      <c:catAx>
        <c:axId val="10668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58912"/>
        <c:crosses val="autoZero"/>
        <c:auto val="1"/>
        <c:lblAlgn val="ctr"/>
        <c:lblOffset val="100"/>
      </c:catAx>
      <c:valAx>
        <c:axId val="106758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87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5883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795392"/>
        <c:axId val="106796928"/>
      </c:lineChart>
      <c:catAx>
        <c:axId val="10679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96928"/>
        <c:crosses val="autoZero"/>
        <c:auto val="1"/>
        <c:lblAlgn val="ctr"/>
        <c:lblOffset val="100"/>
      </c:catAx>
      <c:valAx>
        <c:axId val="10679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9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7386"/>
          <c:w val="0.1234311819809305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6830080"/>
        <c:axId val="106835968"/>
      </c:lineChart>
      <c:catAx>
        <c:axId val="10683008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35968"/>
        <c:crosses val="autoZero"/>
        <c:auto val="1"/>
        <c:lblAlgn val="ctr"/>
        <c:lblOffset val="100"/>
      </c:catAx>
      <c:valAx>
        <c:axId val="1068359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3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561"/>
          <c:w val="0.1569039853282195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198.5</c:v>
                </c:pt>
                <c:pt idx="1">
                  <c:v>128.5</c:v>
                </c:pt>
                <c:pt idx="2">
                  <c:v>229.33333333333334</c:v>
                </c:pt>
                <c:pt idx="3">
                  <c:v>137</c:v>
                </c:pt>
                <c:pt idx="4">
                  <c:v>146.66666666666666</c:v>
                </c:pt>
                <c:pt idx="5">
                  <c:v>187</c:v>
                </c:pt>
                <c:pt idx="6">
                  <c:v>240.5</c:v>
                </c:pt>
                <c:pt idx="7">
                  <c:v>172.66666666666666</c:v>
                </c:pt>
                <c:pt idx="8">
                  <c:v>219</c:v>
                </c:pt>
                <c:pt idx="9">
                  <c:v>157.66666666666666</c:v>
                </c:pt>
                <c:pt idx="10">
                  <c:v>163</c:v>
                </c:pt>
                <c:pt idx="11">
                  <c:v>138.75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6843136"/>
        <c:axId val="106877696"/>
      </c:lineChart>
      <c:catAx>
        <c:axId val="10684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77696"/>
        <c:crosses val="autoZero"/>
        <c:auto val="1"/>
        <c:lblAlgn val="ctr"/>
        <c:lblOffset val="100"/>
      </c:catAx>
      <c:valAx>
        <c:axId val="106877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4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986"/>
          <c:h val="4.49826989619499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18.5</c:v>
                </c:pt>
                <c:pt idx="1">
                  <c:v>20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</c:v>
                </c:pt>
                <c:pt idx="6">
                  <c:v>19</c:v>
                </c:pt>
                <c:pt idx="7">
                  <c:v>21</c:v>
                </c:pt>
                <c:pt idx="8">
                  <c:v>19.5</c:v>
                </c:pt>
                <c:pt idx="9">
                  <c:v>16.5</c:v>
                </c:pt>
                <c:pt idx="10">
                  <c:v>15.5</c:v>
                </c:pt>
                <c:pt idx="11">
                  <c:v>15.5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102976"/>
        <c:axId val="107104512"/>
      </c:lineChart>
      <c:catAx>
        <c:axId val="10710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04512"/>
        <c:crosses val="autoZero"/>
        <c:auto val="1"/>
        <c:lblAlgn val="ctr"/>
        <c:lblOffset val="100"/>
      </c:catAx>
      <c:valAx>
        <c:axId val="107104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0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0814"/>
          <c:y val="0.62975887529635965"/>
          <c:w val="0.12164948453608219"/>
          <c:h val="4.49826989619499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07440000"/>
        <c:axId val="107441536"/>
      </c:lineChart>
      <c:catAx>
        <c:axId val="10744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1536"/>
        <c:crosses val="autoZero"/>
        <c:auto val="1"/>
        <c:lblAlgn val="ctr"/>
        <c:lblOffset val="100"/>
      </c:catAx>
      <c:valAx>
        <c:axId val="1074415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log'!$C$3:$C$31</c:f>
              <c:numCache>
                <c:formatCode>General</c:formatCode>
                <c:ptCount val="29"/>
                <c:pt idx="0">
                  <c:v>2345</c:v>
                </c:pt>
                <c:pt idx="1">
                  <c:v>2500</c:v>
                </c:pt>
                <c:pt idx="2">
                  <c:v>2228</c:v>
                </c:pt>
                <c:pt idx="3">
                  <c:v>2087</c:v>
                </c:pt>
                <c:pt idx="4">
                  <c:v>2155</c:v>
                </c:pt>
                <c:pt idx="5">
                  <c:v>2146</c:v>
                </c:pt>
                <c:pt idx="6">
                  <c:v>2329</c:v>
                </c:pt>
                <c:pt idx="7">
                  <c:v>2409</c:v>
                </c:pt>
                <c:pt idx="8">
                  <c:v>2283</c:v>
                </c:pt>
                <c:pt idx="9">
                  <c:v>1959</c:v>
                </c:pt>
                <c:pt idx="10">
                  <c:v>1574</c:v>
                </c:pt>
                <c:pt idx="11">
                  <c:v>1780</c:v>
                </c:pt>
                <c:pt idx="12">
                  <c:v>1667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07584896"/>
        <c:axId val="107484288"/>
      </c:lineChart>
      <c:catAx>
        <c:axId val="107584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84288"/>
        <c:crosses val="autoZero"/>
        <c:auto val="1"/>
        <c:lblAlgn val="ctr"/>
        <c:lblOffset val="100"/>
      </c:catAx>
      <c:valAx>
        <c:axId val="10748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8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770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7788160"/>
        <c:axId val="107789696"/>
      </c:lineChart>
      <c:catAx>
        <c:axId val="1077881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89696"/>
        <c:crosses val="autoZero"/>
        <c:auto val="1"/>
        <c:lblAlgn val="ctr"/>
        <c:lblOffset val="100"/>
      </c:catAx>
      <c:valAx>
        <c:axId val="10778969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8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561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30</xdr:row>
      <xdr:rowOff>152400</xdr:rowOff>
    </xdr:from>
    <xdr:to>
      <xdr:col>6</xdr:col>
      <xdr:colOff>609600</xdr:colOff>
      <xdr:row>45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31</xdr:row>
      <xdr:rowOff>38100</xdr:rowOff>
    </xdr:from>
    <xdr:to>
      <xdr:col>14</xdr:col>
      <xdr:colOff>114300</xdr:colOff>
      <xdr:row>45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30</xdr:row>
      <xdr:rowOff>180975</xdr:rowOff>
    </xdr:from>
    <xdr:to>
      <xdr:col>21</xdr:col>
      <xdr:colOff>266700</xdr:colOff>
      <xdr:row>45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31</xdr:row>
      <xdr:rowOff>142875</xdr:rowOff>
    </xdr:from>
    <xdr:to>
      <xdr:col>30</xdr:col>
      <xdr:colOff>219075</xdr:colOff>
      <xdr:row>46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31</xdr:row>
      <xdr:rowOff>180975</xdr:rowOff>
    </xdr:from>
    <xdr:to>
      <xdr:col>38</xdr:col>
      <xdr:colOff>295275</xdr:colOff>
      <xdr:row>46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0</xdr:rowOff>
    </xdr:from>
    <xdr:to>
      <xdr:col>7</xdr:col>
      <xdr:colOff>523875</xdr:colOff>
      <xdr:row>50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36</xdr:row>
      <xdr:rowOff>57150</xdr:rowOff>
    </xdr:from>
    <xdr:to>
      <xdr:col>39</xdr:col>
      <xdr:colOff>295275</xdr:colOff>
      <xdr:row>50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37</xdr:row>
      <xdr:rowOff>114300</xdr:rowOff>
    </xdr:from>
    <xdr:to>
      <xdr:col>47</xdr:col>
      <xdr:colOff>152400</xdr:colOff>
      <xdr:row>51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35</xdr:row>
      <xdr:rowOff>180975</xdr:rowOff>
    </xdr:from>
    <xdr:to>
      <xdr:col>55</xdr:col>
      <xdr:colOff>123825</xdr:colOff>
      <xdr:row>50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51</xdr:row>
      <xdr:rowOff>161925</xdr:rowOff>
    </xdr:from>
    <xdr:to>
      <xdr:col>23</xdr:col>
      <xdr:colOff>276225</xdr:colOff>
      <xdr:row>66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41</xdr:row>
      <xdr:rowOff>161925</xdr:rowOff>
    </xdr:from>
    <xdr:to>
      <xdr:col>6</xdr:col>
      <xdr:colOff>638175</xdr:colOff>
      <xdr:row>56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35</xdr:row>
      <xdr:rowOff>38100</xdr:rowOff>
    </xdr:from>
    <xdr:to>
      <xdr:col>19</xdr:col>
      <xdr:colOff>209550</xdr:colOff>
      <xdr:row>49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AI33">
            <v>-770946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  <cell r="Y31">
            <v>1.8709677419354838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  <cell r="D33">
            <v>32583138</v>
          </cell>
          <cell r="E33">
            <v>2268</v>
          </cell>
          <cell r="F33">
            <v>3954026.6</v>
          </cell>
          <cell r="G33">
            <v>559</v>
          </cell>
          <cell r="H33">
            <v>17779688</v>
          </cell>
          <cell r="I33">
            <v>842</v>
          </cell>
          <cell r="J33">
            <v>28877552</v>
          </cell>
          <cell r="K33">
            <v>1066</v>
          </cell>
          <cell r="L33">
            <v>23997558</v>
          </cell>
          <cell r="M33">
            <v>1612</v>
          </cell>
          <cell r="N33">
            <v>6347</v>
          </cell>
          <cell r="O33">
            <v>0</v>
          </cell>
          <cell r="P33">
            <v>16575.627</v>
          </cell>
          <cell r="Q33">
            <v>2007.0000000014261</v>
          </cell>
          <cell r="R33">
            <v>4339.9999999985739</v>
          </cell>
          <cell r="S33">
            <v>10118</v>
          </cell>
          <cell r="T33">
            <v>0</v>
          </cell>
          <cell r="U33">
            <v>420722</v>
          </cell>
          <cell r="V33">
            <v>0</v>
          </cell>
          <cell r="W33">
            <v>32167</v>
          </cell>
          <cell r="X33">
            <v>0</v>
          </cell>
          <cell r="Y33">
            <v>696352</v>
          </cell>
          <cell r="Z33">
            <v>0</v>
          </cell>
          <cell r="AA33">
            <v>35671</v>
          </cell>
          <cell r="AB33">
            <v>4</v>
          </cell>
          <cell r="AC33">
            <v>912352</v>
          </cell>
          <cell r="AD33">
            <v>637</v>
          </cell>
          <cell r="AE33">
            <v>4</v>
          </cell>
          <cell r="AF33">
            <v>637</v>
          </cell>
          <cell r="AG33">
            <v>159.25</v>
          </cell>
        </row>
      </sheetData>
      <sheetData sheetId="3">
        <row r="35">
          <cell r="B35">
            <v>236</v>
          </cell>
          <cell r="C35">
            <v>242</v>
          </cell>
          <cell r="D35">
            <v>3</v>
          </cell>
          <cell r="E35">
            <v>25.14</v>
          </cell>
          <cell r="F35">
            <v>1715</v>
          </cell>
          <cell r="G35">
            <v>0</v>
          </cell>
          <cell r="H35">
            <v>3991</v>
          </cell>
          <cell r="I35">
            <v>0</v>
          </cell>
          <cell r="J35">
            <v>0</v>
          </cell>
          <cell r="K35">
            <v>2216</v>
          </cell>
          <cell r="L35">
            <v>2</v>
          </cell>
          <cell r="M35">
            <v>162924</v>
          </cell>
          <cell r="N35">
            <v>175</v>
          </cell>
          <cell r="O35">
            <v>1869</v>
          </cell>
          <cell r="P35">
            <v>1964</v>
          </cell>
          <cell r="Q35">
            <v>166179</v>
          </cell>
          <cell r="R35">
            <v>92</v>
          </cell>
          <cell r="S35">
            <v>1</v>
          </cell>
          <cell r="T35">
            <v>0</v>
          </cell>
          <cell r="U35">
            <v>3</v>
          </cell>
          <cell r="V35">
            <v>267</v>
          </cell>
          <cell r="X35">
            <v>2452</v>
          </cell>
          <cell r="Y35">
            <v>0</v>
          </cell>
          <cell r="Z35">
            <v>137831.1</v>
          </cell>
          <cell r="AA35">
            <v>0</v>
          </cell>
          <cell r="AB35">
            <v>0</v>
          </cell>
          <cell r="AC35">
            <v>1934</v>
          </cell>
          <cell r="AD35">
            <v>0</v>
          </cell>
          <cell r="AE35">
            <v>365317</v>
          </cell>
          <cell r="AF35">
            <v>0</v>
          </cell>
          <cell r="AG35">
            <v>0</v>
          </cell>
          <cell r="AH35">
            <v>0</v>
          </cell>
          <cell r="AI35">
            <v>267</v>
          </cell>
          <cell r="AJ35">
            <v>267</v>
          </cell>
          <cell r="AK35">
            <v>0</v>
          </cell>
          <cell r="AL35">
            <v>3</v>
          </cell>
          <cell r="AM35">
            <v>0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615374</v>
          </cell>
          <cell r="H36">
            <v>0</v>
          </cell>
          <cell r="I36">
            <v>0</v>
          </cell>
          <cell r="J36">
            <v>0</v>
          </cell>
          <cell r="K36">
            <v>6716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5164</v>
          </cell>
          <cell r="U36">
            <v>0</v>
          </cell>
          <cell r="V36">
            <v>460</v>
          </cell>
          <cell r="W36">
            <v>0</v>
          </cell>
          <cell r="X36">
            <v>150077</v>
          </cell>
          <cell r="Y36">
            <v>0</v>
          </cell>
          <cell r="Z36">
            <v>98262</v>
          </cell>
          <cell r="AA36">
            <v>1</v>
          </cell>
          <cell r="AB36">
            <v>256</v>
          </cell>
          <cell r="AC36">
            <v>731</v>
          </cell>
          <cell r="AD36">
            <v>0</v>
          </cell>
          <cell r="AE36">
            <v>227.8</v>
          </cell>
          <cell r="AF36">
            <v>0</v>
          </cell>
          <cell r="AG36">
            <v>2181.5700000000002</v>
          </cell>
          <cell r="AH36">
            <v>0</v>
          </cell>
          <cell r="AI36">
            <v>0</v>
          </cell>
          <cell r="AJ36">
            <v>1</v>
          </cell>
          <cell r="AK36">
            <v>0</v>
          </cell>
          <cell r="AL36">
            <v>1</v>
          </cell>
          <cell r="AM36">
            <v>0</v>
          </cell>
          <cell r="AN36">
            <v>0</v>
          </cell>
          <cell r="AP36">
            <v>0</v>
          </cell>
          <cell r="AR36">
            <v>44227</v>
          </cell>
          <cell r="AS36">
            <v>0.9</v>
          </cell>
          <cell r="AT36">
            <v>182</v>
          </cell>
          <cell r="AU36">
            <v>1.1000000000000001</v>
          </cell>
          <cell r="AV36">
            <v>150</v>
          </cell>
          <cell r="AW36">
            <v>2.9</v>
          </cell>
          <cell r="AX36">
            <v>166</v>
          </cell>
          <cell r="AY36">
            <v>163.80000000000001</v>
          </cell>
          <cell r="AZ36">
            <v>165</v>
          </cell>
          <cell r="BA36">
            <v>481.4</v>
          </cell>
          <cell r="BB36">
            <v>0</v>
          </cell>
          <cell r="BC36">
            <v>-2.2000000000000171</v>
          </cell>
          <cell r="BD36">
            <v>-2.9000000000000341</v>
          </cell>
          <cell r="BE36">
            <v>-5.1000000000000512</v>
          </cell>
          <cell r="BF36">
            <v>5.1000000000000512</v>
          </cell>
          <cell r="BG36">
            <v>-5.1000000000000512</v>
          </cell>
        </row>
      </sheetData>
      <sheetData sheetId="5" refreshError="1"/>
      <sheetData sheetId="6" refreshError="1"/>
      <sheetData sheetId="7">
        <row r="36">
          <cell r="B36">
            <v>236</v>
          </cell>
          <cell r="C36">
            <v>5077.8064516129034</v>
          </cell>
          <cell r="D36">
            <v>236</v>
          </cell>
          <cell r="E36">
            <v>5077.8064516129034</v>
          </cell>
          <cell r="F36">
            <v>236</v>
          </cell>
          <cell r="G36">
            <v>5077.8064516129034</v>
          </cell>
          <cell r="H36">
            <v>236</v>
          </cell>
          <cell r="I36">
            <v>5077.8064516129034</v>
          </cell>
          <cell r="J36">
            <v>236</v>
          </cell>
          <cell r="K36">
            <v>5077.8064516129034</v>
          </cell>
          <cell r="L36">
            <v>236</v>
          </cell>
          <cell r="M36">
            <v>5077.8064516129034</v>
          </cell>
          <cell r="N36">
            <v>236</v>
          </cell>
          <cell r="O36">
            <v>5077.8064516129034</v>
          </cell>
          <cell r="P36">
            <v>236</v>
          </cell>
          <cell r="Q36">
            <v>5077.8064516129034</v>
          </cell>
          <cell r="R36">
            <v>236</v>
          </cell>
          <cell r="S36">
            <v>5077.8064516129034</v>
          </cell>
          <cell r="T36">
            <v>236</v>
          </cell>
          <cell r="U36">
            <v>5077.8064516129034</v>
          </cell>
          <cell r="V36">
            <v>236</v>
          </cell>
          <cell r="W36">
            <v>5077.8064516129034</v>
          </cell>
          <cell r="X36">
            <v>0.761290322580645</v>
          </cell>
          <cell r="Y36">
            <v>55855.870967741925</v>
          </cell>
          <cell r="Z36">
            <v>242</v>
          </cell>
          <cell r="AA36">
            <v>2420</v>
          </cell>
          <cell r="AB36">
            <v>242</v>
          </cell>
          <cell r="AC36">
            <v>2420</v>
          </cell>
          <cell r="AD36">
            <v>242</v>
          </cell>
          <cell r="AE36">
            <v>2420</v>
          </cell>
          <cell r="AF36">
            <v>242</v>
          </cell>
          <cell r="AG36">
            <v>2420</v>
          </cell>
          <cell r="AH36">
            <v>242</v>
          </cell>
          <cell r="AI36">
            <v>2420</v>
          </cell>
          <cell r="AJ36">
            <v>242</v>
          </cell>
          <cell r="AK36">
            <v>2420</v>
          </cell>
          <cell r="AL36">
            <v>242</v>
          </cell>
          <cell r="AM36">
            <v>2420</v>
          </cell>
          <cell r="AN36">
            <v>0.86428571428571432</v>
          </cell>
          <cell r="AO36">
            <v>16940</v>
          </cell>
          <cell r="AQ36">
            <v>0.78300388262602905</v>
          </cell>
          <cell r="AR36">
            <v>72795.870967741925</v>
          </cell>
          <cell r="AS36">
            <v>-920.03225806451519</v>
          </cell>
          <cell r="AV36">
            <v>0.67</v>
          </cell>
          <cell r="AW36">
            <v>-267</v>
          </cell>
          <cell r="AX36">
            <v>-653.03225806451519</v>
          </cell>
          <cell r="AY36">
            <v>-920.03225806451519</v>
          </cell>
          <cell r="AZ36">
            <v>0</v>
          </cell>
          <cell r="BA36">
            <v>18.5</v>
          </cell>
          <cell r="BB36">
            <v>0.56000000000000005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  <cell r="C33">
            <v>3</v>
          </cell>
          <cell r="D33">
            <v>311030.8</v>
          </cell>
          <cell r="E33">
            <v>521.79999999998836</v>
          </cell>
          <cell r="F33">
            <v>173.93333333332944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11798</v>
          </cell>
          <cell r="S33">
            <v>0</v>
          </cell>
          <cell r="T33">
            <v>379229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521.79999999998836</v>
          </cell>
          <cell r="AB33">
            <v>173.93333333332944</v>
          </cell>
          <cell r="AC33">
            <v>173.93333333332944</v>
          </cell>
          <cell r="AD33">
            <v>2007.0000000014261</v>
          </cell>
          <cell r="AE33">
            <v>669.00000000047532</v>
          </cell>
          <cell r="AF33">
            <v>0.41812500000029706</v>
          </cell>
          <cell r="AG33">
            <v>133.80000000009505</v>
          </cell>
          <cell r="AH33">
            <v>40.13333333323439</v>
          </cell>
          <cell r="AI33">
            <v>516.56962025353164</v>
          </cell>
          <cell r="AJ33">
            <v>0.25738396624472576</v>
          </cell>
          <cell r="AK33">
            <v>172.18987341784387</v>
          </cell>
        </row>
      </sheetData>
      <sheetData sheetId="12">
        <row r="26">
          <cell r="V26">
            <v>271580</v>
          </cell>
          <cell r="W26">
            <v>297890</v>
          </cell>
          <cell r="X26" t="str">
            <v>Night</v>
          </cell>
          <cell r="Y26">
            <v>80</v>
          </cell>
          <cell r="Z26">
            <v>1</v>
          </cell>
          <cell r="AA26">
            <v>26310</v>
          </cell>
          <cell r="AB26">
            <v>2104800</v>
          </cell>
          <cell r="AC26">
            <v>1033333</v>
          </cell>
          <cell r="AD26">
            <v>0.37186935920577618</v>
          </cell>
        </row>
        <row r="27">
          <cell r="V27">
            <v>393641</v>
          </cell>
          <cell r="W27">
            <v>425107</v>
          </cell>
          <cell r="X27" t="str">
            <v>day</v>
          </cell>
          <cell r="Y27">
            <v>112</v>
          </cell>
          <cell r="Z27">
            <v>1</v>
          </cell>
          <cell r="AA27">
            <v>31466</v>
          </cell>
          <cell r="AB27">
            <v>3524192</v>
          </cell>
          <cell r="AC27">
            <v>6200000</v>
          </cell>
          <cell r="AD27">
            <v>0.4429010604693141</v>
          </cell>
        </row>
        <row r="28">
          <cell r="V28">
            <v>115015</v>
          </cell>
          <cell r="W28">
            <v>128283</v>
          </cell>
          <cell r="X28" t="str">
            <v>Peak</v>
          </cell>
          <cell r="Y28">
            <v>320</v>
          </cell>
          <cell r="Z28">
            <v>1</v>
          </cell>
          <cell r="AA28">
            <v>13268</v>
          </cell>
          <cell r="AB28">
            <v>4245760</v>
          </cell>
          <cell r="AC28">
            <v>1000</v>
          </cell>
          <cell r="AD28">
            <v>0.18524368231046931</v>
          </cell>
        </row>
        <row r="29">
          <cell r="AA29">
            <v>71044</v>
          </cell>
        </row>
        <row r="30">
          <cell r="W30">
            <v>0</v>
          </cell>
          <cell r="AB30">
            <v>9874752</v>
          </cell>
          <cell r="AC30">
            <v>7234333</v>
          </cell>
        </row>
        <row r="31">
          <cell r="W31">
            <v>112</v>
          </cell>
          <cell r="AB31">
            <v>17109085</v>
          </cell>
          <cell r="AC31">
            <v>7234333</v>
          </cell>
        </row>
        <row r="32">
          <cell r="W32">
            <v>0</v>
          </cell>
        </row>
        <row r="33">
          <cell r="W33">
            <v>0</v>
          </cell>
        </row>
        <row r="34">
          <cell r="B34">
            <v>853626</v>
          </cell>
          <cell r="C34">
            <v>2345</v>
          </cell>
          <cell r="D34">
            <v>2346</v>
          </cell>
          <cell r="E34">
            <v>853627</v>
          </cell>
          <cell r="G34">
            <v>446</v>
          </cell>
          <cell r="I34">
            <v>935</v>
          </cell>
          <cell r="K34">
            <v>965</v>
          </cell>
          <cell r="L34">
            <v>94.673300165837475</v>
          </cell>
          <cell r="M34">
            <v>69.466003316749592</v>
          </cell>
          <cell r="N34">
            <v>51.210613598673298</v>
          </cell>
          <cell r="O34">
            <v>154.80303857058792</v>
          </cell>
          <cell r="P34">
            <v>370.15295565184829</v>
          </cell>
          <cell r="Q34">
            <v>431.00129032258002</v>
          </cell>
          <cell r="R34">
            <v>801.15424597442825</v>
          </cell>
          <cell r="S34">
            <v>6347</v>
          </cell>
          <cell r="T34">
            <v>0.12622565715683445</v>
          </cell>
          <cell r="AA34">
            <v>0.11</v>
          </cell>
          <cell r="AB34">
            <v>1881999.35</v>
          </cell>
        </row>
        <row r="35">
          <cell r="AB35">
            <v>18991084.350000001</v>
          </cell>
        </row>
        <row r="36">
          <cell r="AB36">
            <v>11349.310116086235</v>
          </cell>
        </row>
      </sheetData>
      <sheetData sheetId="13">
        <row r="36">
          <cell r="B36">
            <v>1.2</v>
          </cell>
          <cell r="C36">
            <v>7.8</v>
          </cell>
          <cell r="E36">
            <v>1.3</v>
          </cell>
          <cell r="F36">
            <v>8</v>
          </cell>
          <cell r="H36">
            <v>6716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</row>
        <row r="14">
          <cell r="C14">
            <v>28095.438387096758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opLeftCell="A10" workbookViewId="0">
      <selection activeCell="A30" sqref="A30:XFD30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293" bestFit="1" customWidth="1"/>
    <col min="13" max="13" width="12.1796875" style="293" customWidth="1"/>
    <col min="14" max="14" width="12.1796875" style="499" customWidth="1"/>
    <col min="15" max="15" width="11.7265625" bestFit="1" customWidth="1"/>
  </cols>
  <sheetData>
    <row r="1" spans="1:15" ht="43.5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1</v>
      </c>
      <c r="D2">
        <v>2021</v>
      </c>
      <c r="E2" s="203">
        <f>ELEC!N3</f>
        <v>6404.3999999999069</v>
      </c>
      <c r="F2" s="330">
        <f>SUM('EDl log'!T4)</f>
        <v>9.3949341271216139E-2</v>
      </c>
      <c r="G2" s="203">
        <f>-tanks!AW6</f>
        <v>467.60000000000582</v>
      </c>
      <c r="H2" s="330">
        <f>SUM(tanks!AV6)</f>
        <v>0.1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1</v>
      </c>
      <c r="D3">
        <v>2021</v>
      </c>
      <c r="E3" s="203">
        <f>ELEC!N4</f>
        <v>6622</v>
      </c>
      <c r="F3" s="330">
        <f>SUM('EDl log'!T5)</f>
        <v>8.4333644489739831E-2</v>
      </c>
      <c r="G3" s="203">
        <f>-tanks!AW7</f>
        <v>234</v>
      </c>
      <c r="H3" s="330">
        <f>SUM(tanks!AV7)</f>
        <v>0.1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ELEC!N5</f>
        <v>6753</v>
      </c>
      <c r="F4" s="330">
        <f>SUM('EDl log'!T6)</f>
        <v>8.9263908682595469E-2</v>
      </c>
      <c r="G4" s="203">
        <f>-tanks!AW8</f>
        <v>289</v>
      </c>
      <c r="H4" s="330">
        <f>SUM(tanks!AV8)</f>
        <v>0.1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1</v>
      </c>
      <c r="D5">
        <v>2021</v>
      </c>
      <c r="E5" s="203">
        <f>ELEC!N6</f>
        <v>6587</v>
      </c>
      <c r="F5" s="330">
        <f>SUM('EDl log'!T7)</f>
        <v>9.6457613185561897E-2</v>
      </c>
      <c r="G5" s="203">
        <f>-tanks!AW9</f>
        <v>314</v>
      </c>
      <c r="H5" s="330">
        <f>SUM(tanks!AV9)</f>
        <v>0.1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1</v>
      </c>
      <c r="D6">
        <v>2021</v>
      </c>
      <c r="E6" s="203">
        <f>ELEC!N7</f>
        <v>5932</v>
      </c>
      <c r="F6" s="330">
        <f>SUM('EDl log'!T8)</f>
        <v>1.7181490553581136E-2</v>
      </c>
      <c r="G6" s="203">
        <f>-tanks!AW10</f>
        <v>391</v>
      </c>
      <c r="H6" s="330">
        <f>SUM(tanks!AV10)</f>
        <v>0.67400000000000004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1</v>
      </c>
      <c r="D7">
        <v>2021</v>
      </c>
      <c r="E7" s="203">
        <f>ELEC!N8</f>
        <v>5977</v>
      </c>
      <c r="F7" s="330">
        <f>SUM('EDl log'!T9)</f>
        <v>8.3584348479027001E-2</v>
      </c>
      <c r="G7" s="203">
        <f>-tanks!AW11</f>
        <v>311</v>
      </c>
      <c r="H7" s="330">
        <f>SUM(tanks!AV11)</f>
        <v>0.67400000000000004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1</v>
      </c>
      <c r="D8">
        <v>2021</v>
      </c>
      <c r="E8" s="203">
        <f>ELEC!N9</f>
        <v>6551.2000000001863</v>
      </c>
      <c r="F8" s="330">
        <f>SUM('EDl log'!T10)</f>
        <v>9.9245072092960129E-2</v>
      </c>
      <c r="G8" s="203">
        <f>-tanks!AW12</f>
        <v>279</v>
      </c>
      <c r="H8" s="330">
        <f>SUM(tanks!AV12)</f>
        <v>0.67400000000000004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1</v>
      </c>
      <c r="D9">
        <v>2021</v>
      </c>
      <c r="E9" s="203">
        <f>ELEC!N10</f>
        <v>6289.7999999998137</v>
      </c>
      <c r="F9" s="330">
        <f>SUM('EDl log'!T11)</f>
        <v>8.1623986300831841E-2</v>
      </c>
      <c r="G9" s="203">
        <f>-tanks!AW13</f>
        <v>333.39999999999418</v>
      </c>
      <c r="H9" s="330">
        <f>SUM(tanks!AV13)</f>
        <v>0.67400000000000004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1</v>
      </c>
      <c r="D10">
        <v>2021</v>
      </c>
      <c r="E10" s="203">
        <f>ELEC!N11</f>
        <v>7008</v>
      </c>
      <c r="F10" s="330">
        <f>SUM('EDl log'!T12)</f>
        <v>8.7597788200864696E-2</v>
      </c>
      <c r="G10" s="203">
        <f>-tanks!AW14</f>
        <v>236</v>
      </c>
      <c r="H10" s="330">
        <f>SUM(tanks!AV14)</f>
        <v>0.67400000000000004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1</v>
      </c>
      <c r="D11">
        <v>2021</v>
      </c>
      <c r="E11" s="203">
        <f>ELEC!N12</f>
        <v>7276</v>
      </c>
      <c r="F11" s="330">
        <f>SUM('EDl log'!T13)</f>
        <v>0.1159400756530396</v>
      </c>
      <c r="G11" s="203">
        <f>-tanks!AW15</f>
        <v>236</v>
      </c>
      <c r="H11" s="330">
        <f>SUM(tanks!AV15)</f>
        <v>0.67400000000000004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1</v>
      </c>
      <c r="D12">
        <v>2021</v>
      </c>
      <c r="E12" s="203">
        <f>ELEC!N13</f>
        <v>7236</v>
      </c>
      <c r="F12" s="330">
        <f>SUM('EDl log'!T14)</f>
        <v>9.8706634503959903E-2</v>
      </c>
      <c r="G12" s="203">
        <f>-tanks!AW16</f>
        <v>253</v>
      </c>
      <c r="H12" s="330">
        <f>SUM(tanks!AV16)</f>
        <v>0.67400000000000004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1</v>
      </c>
      <c r="D13">
        <v>2021</v>
      </c>
      <c r="E13" s="203">
        <f>ELEC!N14</f>
        <v>5643</v>
      </c>
      <c r="F13" s="330">
        <f>SUM('EDl log'!T15)</f>
        <v>9.2903395618067403E-2</v>
      </c>
      <c r="G13" s="203">
        <f>-tanks!AW17</f>
        <v>234</v>
      </c>
      <c r="H13" s="330">
        <f>SUM(tanks!AV17)</f>
        <v>0.67400000000000004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1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0.67400000000000004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1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0.67400000000000004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1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0.67400000000000004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1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0.67400000000000004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1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0.67400000000000004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1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0.67400000000000004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1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0.67400000000000004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1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0.67400000000000004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1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0.67400000000000004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1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0.67400000000000004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1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0.67400000000000004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1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0.67400000000000004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1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0.67400000000000004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1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0.67400000000000004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1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0.67400000000000004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1</v>
      </c>
      <c r="D29">
        <v>2021</v>
      </c>
      <c r="E29" s="203">
        <f>ELEC!N30</f>
        <v>0</v>
      </c>
      <c r="F29" s="330">
        <f>SUM('EDl log'!T31)</f>
        <v>0</v>
      </c>
      <c r="G29" s="203">
        <f>-tanks!AW33</f>
        <v>0</v>
      </c>
      <c r="H29" s="330">
        <f>SUM(tanks!AV33)</f>
        <v>0.67400000000000004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selection activeCell="A30" sqref="A30:XFD32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1</v>
      </c>
      <c r="D2">
        <v>2021</v>
      </c>
      <c r="E2" s="203">
        <f>ELEC!M3</f>
        <v>1898</v>
      </c>
      <c r="F2" s="203">
        <f>ELEC!K3</f>
        <v>970</v>
      </c>
      <c r="G2" s="203">
        <f>ELEC!I3</f>
        <v>874</v>
      </c>
      <c r="H2" s="203">
        <f>ELEC!E3</f>
        <v>2060</v>
      </c>
      <c r="I2" s="203">
        <f>ELEC!G3</f>
        <v>602.39999999990687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1</v>
      </c>
      <c r="D3">
        <v>2021</v>
      </c>
      <c r="E3" s="203">
        <f>ELEC!M4</f>
        <v>2070</v>
      </c>
      <c r="F3" s="203">
        <f>ELEC!K4</f>
        <v>912</v>
      </c>
      <c r="G3" s="203">
        <f>ELEC!I4</f>
        <v>812</v>
      </c>
      <c r="H3" s="203">
        <f>ELEC!E4</f>
        <v>2192</v>
      </c>
      <c r="I3" s="203">
        <f>ELEC!G4</f>
        <v>636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29" si="0">B3+1</f>
        <v>3</v>
      </c>
      <c r="C4">
        <v>1</v>
      </c>
      <c r="D4">
        <v>2021</v>
      </c>
      <c r="E4" s="203">
        <f>ELEC!M5</f>
        <v>1956</v>
      </c>
      <c r="F4" s="203">
        <f>ELEC!K5</f>
        <v>928</v>
      </c>
      <c r="G4" s="203">
        <f>ELEC!I5</f>
        <v>820</v>
      </c>
      <c r="H4" s="203">
        <f>ELEC!E5</f>
        <v>2410</v>
      </c>
      <c r="I4" s="203">
        <f>ELEC!G5</f>
        <v>639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1</v>
      </c>
      <c r="D5">
        <v>2021</v>
      </c>
      <c r="E5" s="203">
        <f>ELEC!M6</f>
        <v>1846</v>
      </c>
      <c r="F5" s="203">
        <f>ELEC!K6</f>
        <v>956</v>
      </c>
      <c r="G5" s="203">
        <f>ELEC!I6</f>
        <v>840</v>
      </c>
      <c r="H5" s="203">
        <f>ELEC!E6</f>
        <v>2294</v>
      </c>
      <c r="I5" s="203">
        <f>ELEC!G6</f>
        <v>651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1</v>
      </c>
      <c r="D6">
        <v>2021</v>
      </c>
      <c r="E6" s="203">
        <f>ELEC!M7</f>
        <v>1612</v>
      </c>
      <c r="F6" s="203">
        <f>ELEC!K7</f>
        <v>916</v>
      </c>
      <c r="G6" s="203">
        <f>ELEC!I7</f>
        <v>740</v>
      </c>
      <c r="H6" s="203">
        <f>ELEC!E7</f>
        <v>2056</v>
      </c>
      <c r="I6" s="203">
        <f>ELEC!G7</f>
        <v>608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1</v>
      </c>
      <c r="D7">
        <v>2021</v>
      </c>
      <c r="E7" s="203">
        <f>ELEC!M8</f>
        <v>1658</v>
      </c>
      <c r="F7" s="203">
        <f>ELEC!K8</f>
        <v>902</v>
      </c>
      <c r="G7" s="203">
        <f>ELEC!I8</f>
        <v>800</v>
      </c>
      <c r="H7" s="203">
        <f>ELEC!E8</f>
        <v>1952</v>
      </c>
      <c r="I7" s="203">
        <f>ELEC!G8</f>
        <v>665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1</v>
      </c>
      <c r="D8">
        <v>2021</v>
      </c>
      <c r="E8" s="203">
        <f>ELEC!M9</f>
        <v>1976</v>
      </c>
      <c r="F8" s="203">
        <f>ELEC!K9</f>
        <v>1446</v>
      </c>
      <c r="G8" s="203">
        <f>ELEC!I9</f>
        <v>816</v>
      </c>
      <c r="H8" s="203">
        <f>ELEC!E9</f>
        <v>1710</v>
      </c>
      <c r="I8" s="203">
        <f>ELEC!G9</f>
        <v>603.20000000018626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1</v>
      </c>
      <c r="D9">
        <v>2021</v>
      </c>
      <c r="E9" s="203">
        <f>ELEC!M10</f>
        <v>1758</v>
      </c>
      <c r="F9" s="203">
        <f>ELEC!K10</f>
        <v>1470</v>
      </c>
      <c r="G9" s="203">
        <f>ELEC!I10</f>
        <v>796</v>
      </c>
      <c r="H9" s="203">
        <f>ELEC!E10</f>
        <v>1662</v>
      </c>
      <c r="I9" s="203">
        <f>ELEC!G10</f>
        <v>603.79999999981374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1</v>
      </c>
      <c r="D10">
        <v>2021</v>
      </c>
      <c r="E10" s="203">
        <f>ELEC!M11</f>
        <v>1638</v>
      </c>
      <c r="F10" s="203">
        <f>ELEC!K11</f>
        <v>1918</v>
      </c>
      <c r="G10" s="203">
        <f>ELEC!I11</f>
        <v>876</v>
      </c>
      <c r="H10" s="203">
        <f>ELEC!E11</f>
        <v>1908</v>
      </c>
      <c r="I10" s="203">
        <f>ELEC!G11</f>
        <v>668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1</v>
      </c>
      <c r="D11">
        <v>2021</v>
      </c>
      <c r="E11" s="203">
        <f>ELEC!M12</f>
        <v>1680</v>
      </c>
      <c r="F11" s="203">
        <f>ELEC!K12</f>
        <v>2182</v>
      </c>
      <c r="G11" s="203">
        <f>ELEC!I12</f>
        <v>832</v>
      </c>
      <c r="H11" s="203">
        <f>ELEC!E12</f>
        <v>1948</v>
      </c>
      <c r="I11" s="203">
        <f>ELEC!G12</f>
        <v>634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1</v>
      </c>
      <c r="D12">
        <v>2021</v>
      </c>
      <c r="E12" s="203">
        <f>ELEC!M13</f>
        <v>1740</v>
      </c>
      <c r="F12" s="203">
        <f>ELEC!K13</f>
        <v>2034</v>
      </c>
      <c r="G12" s="203">
        <f>ELEC!I13</f>
        <v>888</v>
      </c>
      <c r="H12" s="203">
        <f>ELEC!E13</f>
        <v>1926</v>
      </c>
      <c r="I12" s="203">
        <f>ELEC!G13</f>
        <v>648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1</v>
      </c>
      <c r="D13">
        <v>2021</v>
      </c>
      <c r="E13" s="203">
        <f>ELEC!M14</f>
        <v>1352</v>
      </c>
      <c r="F13" s="203">
        <f>ELEC!K14</f>
        <v>1496</v>
      </c>
      <c r="G13" s="203">
        <f>ELEC!I14</f>
        <v>764</v>
      </c>
      <c r="H13" s="203">
        <f>ELEC!E14</f>
        <v>1422</v>
      </c>
      <c r="I13" s="203">
        <f>ELEC!G14</f>
        <v>609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1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1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1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1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1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1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1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1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1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1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1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1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1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1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1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1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0"/>
  <sheetViews>
    <sheetView topLeftCell="S1" zoomScale="85" zoomScaleNormal="85" zoomScaleSheetLayoutView="100" workbookViewId="0">
      <pane ySplit="1" topLeftCell="A2" activePane="bottomLeft" state="frozen"/>
      <selection activeCell="C1" sqref="C1"/>
      <selection pane="bottomLeft" activeCell="AH14" sqref="AH14"/>
    </sheetView>
  </sheetViews>
  <sheetFormatPr defaultColWidth="9.1796875" defaultRowHeight="14.5"/>
  <cols>
    <col min="1" max="1" width="7.7265625" style="466" bestFit="1" customWidth="1"/>
    <col min="2" max="2" width="10.26953125" style="474" bestFit="1" customWidth="1"/>
    <col min="3" max="3" width="11.54296875" style="466" customWidth="1"/>
    <col min="4" max="4" width="18" style="475" bestFit="1" customWidth="1"/>
    <col min="5" max="5" width="14.453125" style="475" bestFit="1" customWidth="1"/>
    <col min="6" max="6" width="15.269531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265625" style="475" customWidth="1"/>
    <col min="12" max="12" width="18" style="475" bestFit="1" customWidth="1"/>
    <col min="13" max="13" width="12.54296875" style="475" bestFit="1" customWidth="1"/>
    <col min="14" max="14" width="15.453125" style="466" bestFit="1" customWidth="1"/>
    <col min="15" max="15" width="13.1796875" style="476" bestFit="1" customWidth="1"/>
    <col min="16" max="16" width="14.26953125" style="466" bestFit="1" customWidth="1"/>
    <col min="17" max="17" width="13.7265625" style="466" bestFit="1" customWidth="1"/>
    <col min="18" max="18" width="12.453125" style="466" bestFit="1" customWidth="1"/>
    <col min="19" max="21" width="11.54296875" style="466" bestFit="1" customWidth="1"/>
    <col min="22" max="22" width="13.1796875" style="466" bestFit="1" customWidth="1"/>
    <col min="23" max="25" width="11.54296875" style="466" bestFit="1" customWidth="1"/>
    <col min="26" max="26" width="13.1796875" style="466" bestFit="1" customWidth="1"/>
    <col min="27" max="29" width="11.54296875" style="466" bestFit="1" customWidth="1"/>
    <col min="30" max="30" width="13.1796875" style="466" bestFit="1" customWidth="1"/>
    <col min="31" max="32" width="11.54296875" style="466" bestFit="1" customWidth="1"/>
    <col min="33" max="33" width="14.453125" style="466" bestFit="1" customWidth="1"/>
    <col min="34" max="34" width="9.1796875" style="466"/>
    <col min="35" max="35" width="9.7265625" style="466" bestFit="1" customWidth="1"/>
    <col min="36" max="16384" width="9.179687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[1]ELEC!A33</f>
        <v>0</v>
      </c>
      <c r="B2" s="535">
        <f>[1]ELEC!B33</f>
        <v>0</v>
      </c>
      <c r="C2" s="458">
        <f>[2]ELEC!$C$33</f>
        <v>44227</v>
      </c>
      <c r="D2" s="536">
        <f>[2]ELEC!D33</f>
        <v>32583138</v>
      </c>
      <c r="E2" s="536">
        <f>[2]ELEC!E33</f>
        <v>2268</v>
      </c>
      <c r="F2" s="536">
        <f>[2]ELEC!F33</f>
        <v>3954026.6</v>
      </c>
      <c r="G2" s="536">
        <f>[2]ELEC!G33</f>
        <v>559</v>
      </c>
      <c r="H2" s="536">
        <f>[2]ELEC!H33</f>
        <v>17779688</v>
      </c>
      <c r="I2" s="536">
        <f>[2]ELEC!I33</f>
        <v>842</v>
      </c>
      <c r="J2" s="536">
        <f>[2]ELEC!J33</f>
        <v>28877552</v>
      </c>
      <c r="K2" s="536">
        <f>[2]ELEC!K33</f>
        <v>1066</v>
      </c>
      <c r="L2" s="536">
        <f>[2]ELEC!L33</f>
        <v>23997558</v>
      </c>
      <c r="M2" s="536">
        <f>[2]ELEC!M33</f>
        <v>1612</v>
      </c>
      <c r="N2" s="536">
        <f>[2]ELEC!N33</f>
        <v>6347</v>
      </c>
      <c r="O2" s="536">
        <f>[2]ELEC!O33</f>
        <v>0</v>
      </c>
      <c r="P2" s="536">
        <f>[2]ELEC!P33</f>
        <v>16575.627</v>
      </c>
      <c r="Q2" s="536">
        <f>[2]ELEC!Q33</f>
        <v>2007.0000000014261</v>
      </c>
      <c r="R2" s="536">
        <f>[2]ELEC!R33</f>
        <v>4339.9999999985739</v>
      </c>
      <c r="S2" s="536">
        <f>[2]ELEC!S33</f>
        <v>10118</v>
      </c>
      <c r="T2" s="536">
        <f>[2]ELEC!T33</f>
        <v>0</v>
      </c>
      <c r="U2" s="536">
        <f>[2]ELEC!U33</f>
        <v>420722</v>
      </c>
      <c r="V2" s="536">
        <f>[2]ELEC!V33</f>
        <v>0</v>
      </c>
      <c r="W2" s="536">
        <f>[2]ELEC!W33</f>
        <v>32167</v>
      </c>
      <c r="X2" s="536">
        <f>[2]ELEC!X33</f>
        <v>0</v>
      </c>
      <c r="Y2" s="536">
        <f>[2]ELEC!Y33</f>
        <v>696352</v>
      </c>
      <c r="Z2" s="536">
        <f>[2]ELEC!Z33</f>
        <v>0</v>
      </c>
      <c r="AA2" s="536">
        <f>[2]ELEC!AA33</f>
        <v>35671</v>
      </c>
      <c r="AB2" s="536">
        <f>[2]ELEC!AB33</f>
        <v>4</v>
      </c>
      <c r="AC2" s="536">
        <f>[2]ELEC!AC33</f>
        <v>912352</v>
      </c>
      <c r="AD2" s="536">
        <f>[2]ELEC!AD33</f>
        <v>637</v>
      </c>
      <c r="AE2" s="536">
        <f>[2]ELEC!AE33</f>
        <v>4</v>
      </c>
      <c r="AF2" s="536">
        <f>[2]ELEC!AF33</f>
        <v>637</v>
      </c>
      <c r="AG2" s="536">
        <f>[2]ELEC!AG33</f>
        <v>159.25</v>
      </c>
      <c r="AH2" s="536">
        <f>[1]ELEC!AH33</f>
        <v>0</v>
      </c>
      <c r="AI2" s="536">
        <f>[1]ELEC!AI33</f>
        <v>-770946</v>
      </c>
      <c r="AJ2" s="536">
        <f>[1]ELEC!AJ33</f>
        <v>0</v>
      </c>
      <c r="AK2" s="536">
        <f>[1]ELEC!AK33</f>
        <v>0</v>
      </c>
      <c r="AL2" s="536">
        <f>[1]ELEC!AL33</f>
        <v>0</v>
      </c>
      <c r="AM2" s="536">
        <f>[1]ELEC!AM33</f>
        <v>0</v>
      </c>
      <c r="AN2" s="536">
        <f>[1]ELEC!AN33</f>
        <v>0</v>
      </c>
      <c r="AO2" s="536">
        <f>[1]ELEC!AO33</f>
        <v>0</v>
      </c>
      <c r="AP2" s="536">
        <f>[1]ELEC!AP33</f>
        <v>0</v>
      </c>
      <c r="AQ2" s="536">
        <f>[1]ELEC!AQ33</f>
        <v>0</v>
      </c>
      <c r="AR2" s="536">
        <f>[1]ELEC!AR33</f>
        <v>0</v>
      </c>
      <c r="AS2" s="536">
        <f>[1]ELEC!AS33</f>
        <v>0</v>
      </c>
      <c r="AT2" s="536">
        <f>[1]ELEC!AT33</f>
        <v>0</v>
      </c>
      <c r="AU2" s="536">
        <f>[1]ELEC!AU33</f>
        <v>0</v>
      </c>
      <c r="AV2" s="536">
        <f>[1]ELEC!AV33</f>
        <v>0</v>
      </c>
      <c r="AW2" s="536">
        <f>[1]ELEC!AW33</f>
        <v>0</v>
      </c>
      <c r="AX2" s="536">
        <f>[1]ELEC!AX33</f>
        <v>0</v>
      </c>
      <c r="AY2" s="536">
        <f>[1]ELEC!AY33</f>
        <v>0</v>
      </c>
      <c r="AZ2" s="536">
        <f>[1]ELEC!AZ33</f>
        <v>0</v>
      </c>
      <c r="BA2" s="536">
        <f>[1]ELEC!BA33</f>
        <v>0</v>
      </c>
      <c r="BB2" s="536">
        <f>[1]ELEC!BB33</f>
        <v>0</v>
      </c>
      <c r="BC2" s="536">
        <f>[1]ELEC!BC33</f>
        <v>0</v>
      </c>
      <c r="BD2" s="536">
        <f>[1]ELEC!BD33</f>
        <v>0</v>
      </c>
      <c r="BE2" s="536">
        <f>[1]ELEC!BE33</f>
        <v>0</v>
      </c>
      <c r="BF2" s="536">
        <f>[1]ELEC!BF33</f>
        <v>0</v>
      </c>
      <c r="BG2" s="536">
        <f>[1]ELEC!BG33</f>
        <v>0</v>
      </c>
      <c r="BH2" s="536">
        <f>[1]ELEC!BH33</f>
        <v>0</v>
      </c>
      <c r="BI2" s="536">
        <f>[1]ELEC!BI33</f>
        <v>0</v>
      </c>
      <c r="BJ2" s="536">
        <f>[1]ELEC!BJ33</f>
        <v>0</v>
      </c>
      <c r="BK2" s="536">
        <f>[1]ELEC!BK33</f>
        <v>0</v>
      </c>
      <c r="BL2" s="536">
        <f>[1]ELEC!BL33</f>
        <v>0</v>
      </c>
      <c r="BM2" s="536">
        <f>[1]ELEC!BM33</f>
        <v>0</v>
      </c>
      <c r="BN2" s="536">
        <f>[1]ELEC!BN33</f>
        <v>0</v>
      </c>
      <c r="BO2" s="536">
        <f>[1]ELEC!BO33</f>
        <v>0</v>
      </c>
      <c r="BP2" s="536">
        <f>[1]ELEC!BP33</f>
        <v>0</v>
      </c>
      <c r="BQ2" s="536">
        <f>[1]ELEC!BQ33</f>
        <v>0</v>
      </c>
      <c r="BR2" s="536">
        <f>[1]ELEC!BR33</f>
        <v>0</v>
      </c>
      <c r="BS2" s="536">
        <f>[1]ELEC!BS33</f>
        <v>0</v>
      </c>
      <c r="BT2" s="536">
        <f>[1]ELEC!BT33</f>
        <v>0</v>
      </c>
      <c r="BU2" s="536">
        <f>[1]ELEC!BU33</f>
        <v>0</v>
      </c>
      <c r="BV2" s="536">
        <f>[1]ELEC!BV33</f>
        <v>0</v>
      </c>
      <c r="BW2" s="536">
        <f>[1]ELEC!BW33</f>
        <v>0</v>
      </c>
      <c r="BX2" s="536">
        <f>[1]ELEC!BX33</f>
        <v>0</v>
      </c>
      <c r="BY2" s="536">
        <f>[1]ELEC!BY33</f>
        <v>0</v>
      </c>
      <c r="BZ2" s="536">
        <f>[1]ELEC!BZ33</f>
        <v>0</v>
      </c>
      <c r="CA2" s="536">
        <f>[1]ELEC!CA33</f>
        <v>0</v>
      </c>
      <c r="CB2" s="536">
        <f>[1]ELEC!CB33</f>
        <v>0</v>
      </c>
      <c r="CC2" s="536">
        <f>[1]ELEC!CC33</f>
        <v>0</v>
      </c>
      <c r="CD2" s="536">
        <f>[1]ELEC!CD33</f>
        <v>0</v>
      </c>
      <c r="CE2" s="536">
        <f>[1]ELEC!CE33</f>
        <v>0</v>
      </c>
      <c r="CF2" s="536">
        <f>[1]ELEC!CF33</f>
        <v>0</v>
      </c>
      <c r="CG2" s="536">
        <f>[1]ELEC!CG33</f>
        <v>0</v>
      </c>
      <c r="CH2" s="536">
        <f>[1]ELEC!CH33</f>
        <v>0</v>
      </c>
      <c r="CI2" s="536">
        <f>[1]ELEC!CI33</f>
        <v>0</v>
      </c>
      <c r="CJ2" s="536">
        <f>[1]ELEC!CJ33</f>
        <v>0</v>
      </c>
      <c r="CK2" s="536">
        <f>[1]ELEC!CK33</f>
        <v>0</v>
      </c>
      <c r="CL2" s="536">
        <f>[1]ELEC!CL33</f>
        <v>0</v>
      </c>
      <c r="CM2" s="536">
        <f>[1]ELEC!CM33</f>
        <v>0</v>
      </c>
      <c r="CN2" s="536">
        <f>[1]ELEC!CN33</f>
        <v>0</v>
      </c>
      <c r="CO2" s="536">
        <f>[1]ELEC!CO33</f>
        <v>0</v>
      </c>
      <c r="CP2" s="536">
        <f>[1]ELEC!CP33</f>
        <v>0</v>
      </c>
      <c r="CQ2" s="536">
        <f>[1]ELEC!CQ33</f>
        <v>0</v>
      </c>
      <c r="CR2" s="536">
        <f>[1]ELEC!CR33</f>
        <v>0</v>
      </c>
      <c r="CS2" s="536">
        <f>[1]ELEC!CS33</f>
        <v>0</v>
      </c>
      <c r="CT2" s="536">
        <f>[1]ELEC!CT33</f>
        <v>0</v>
      </c>
      <c r="CU2" s="536">
        <f>[1]ELEC!CU33</f>
        <v>0</v>
      </c>
      <c r="CV2" s="536">
        <f>[1]ELEC!CV33</f>
        <v>0</v>
      </c>
      <c r="CW2" s="536">
        <f>[1]ELEC!CW33</f>
        <v>0</v>
      </c>
      <c r="CX2" s="536">
        <f>[1]ELEC!CX33</f>
        <v>0</v>
      </c>
      <c r="CY2" s="536">
        <f>[1]ELEC!CY33</f>
        <v>0</v>
      </c>
      <c r="CZ2" s="536">
        <f>[1]ELEC!CZ33</f>
        <v>0</v>
      </c>
      <c r="DA2" s="536">
        <f>[1]ELEC!DA33</f>
        <v>0</v>
      </c>
      <c r="DB2" s="536">
        <f>[1]ELEC!DB33</f>
        <v>0</v>
      </c>
      <c r="DC2" s="536">
        <f>[1]ELEC!DC33</f>
        <v>0</v>
      </c>
      <c r="DD2" s="536">
        <f>[1]ELEC!DD33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44228</v>
      </c>
      <c r="D3" s="445">
        <v>32585198</v>
      </c>
      <c r="E3" s="446">
        <f>D3-D2</f>
        <v>2060</v>
      </c>
      <c r="F3" s="445">
        <v>3954629</v>
      </c>
      <c r="G3" s="447">
        <f t="shared" ref="G3:G30" si="0">F3-F2</f>
        <v>602.39999999990687</v>
      </c>
      <c r="H3" s="445">
        <v>17780562</v>
      </c>
      <c r="I3" s="447">
        <f>H3-H2</f>
        <v>874</v>
      </c>
      <c r="J3" s="445">
        <v>28878522</v>
      </c>
      <c r="K3" s="447">
        <f>J3-J2</f>
        <v>970</v>
      </c>
      <c r="L3" s="445">
        <v>23999456</v>
      </c>
      <c r="M3" s="447">
        <f>L3-L2</f>
        <v>1898</v>
      </c>
      <c r="N3" s="448">
        <f>M3+K3+I3+G3+E3</f>
        <v>6404.3999999999069</v>
      </c>
      <c r="O3" s="459">
        <f t="shared" ref="O3:O9" si="1">IF(B3&gt;0,N3/B3,0)</f>
        <v>0</v>
      </c>
      <c r="P3" s="445">
        <v>16577.595000000001</v>
      </c>
      <c r="Q3" s="468">
        <f t="shared" ref="Q3:Q12" si="2">(P3-P2)*1000</f>
        <v>1968.0000000007567</v>
      </c>
      <c r="R3" s="461">
        <f>+N3-Q3</f>
        <v>4436.3999999991502</v>
      </c>
      <c r="S3" s="445">
        <f>S2</f>
        <v>10118</v>
      </c>
      <c r="T3" s="462">
        <f t="shared" ref="T3:T30" si="3">S3-S2</f>
        <v>0</v>
      </c>
      <c r="U3" s="445">
        <f>U2</f>
        <v>420722</v>
      </c>
      <c r="V3" s="460">
        <f>U3-U2</f>
        <v>0</v>
      </c>
      <c r="W3" s="445">
        <f>W2</f>
        <v>32167</v>
      </c>
      <c r="X3" s="460">
        <f t="shared" ref="X3:X8" si="4">W3-W2</f>
        <v>0</v>
      </c>
      <c r="Y3" s="445">
        <f>Y2</f>
        <v>696352</v>
      </c>
      <c r="Z3" s="460">
        <f>Y3-Y2</f>
        <v>0</v>
      </c>
      <c r="AA3" s="445">
        <v>35673</v>
      </c>
      <c r="AB3" s="460">
        <f>AA3-AA2</f>
        <v>2</v>
      </c>
      <c r="AC3" s="445">
        <v>912749</v>
      </c>
      <c r="AD3" s="463">
        <f>AC3-AC2</f>
        <v>397</v>
      </c>
      <c r="AE3" s="464">
        <f>AB3+X3+T3</f>
        <v>2</v>
      </c>
      <c r="AF3" s="445">
        <f>V3+Z3+AD3</f>
        <v>397</v>
      </c>
      <c r="AG3" s="465">
        <f t="shared" ref="AG3:AG9" si="5">IF(AE3&gt;0,AF3/AE3,0)</f>
        <v>198.5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44229</v>
      </c>
      <c r="D4" s="445">
        <v>32587390</v>
      </c>
      <c r="E4" s="311">
        <f>D4-D3</f>
        <v>2192</v>
      </c>
      <c r="F4" s="445">
        <v>3955265</v>
      </c>
      <c r="G4" s="312">
        <f t="shared" si="0"/>
        <v>636</v>
      </c>
      <c r="H4" s="445">
        <v>17781374</v>
      </c>
      <c r="I4" s="312">
        <f>H4-H3</f>
        <v>812</v>
      </c>
      <c r="J4" s="445">
        <v>28879434</v>
      </c>
      <c r="K4" s="312">
        <f>J4-J3</f>
        <v>912</v>
      </c>
      <c r="L4" s="445">
        <v>24001526</v>
      </c>
      <c r="M4" s="312">
        <f>L4-L3</f>
        <v>2070</v>
      </c>
      <c r="N4" s="310">
        <f>M4+K4+I4+G4+E4</f>
        <v>6622</v>
      </c>
      <c r="O4" s="467">
        <f t="shared" si="1"/>
        <v>0</v>
      </c>
      <c r="P4" s="445">
        <v>16579.849999999999</v>
      </c>
      <c r="Q4" s="468">
        <f t="shared" si="2"/>
        <v>2254.9999999973807</v>
      </c>
      <c r="R4" s="449">
        <f>N4-Q4</f>
        <v>4367.0000000026193</v>
      </c>
      <c r="S4" s="445">
        <f t="shared" ref="S4:AC30" si="7">S3</f>
        <v>10118</v>
      </c>
      <c r="T4" s="469">
        <f t="shared" si="3"/>
        <v>0</v>
      </c>
      <c r="U4" s="445">
        <f t="shared" si="7"/>
        <v>420722</v>
      </c>
      <c r="V4" s="449">
        <f>U4-U3</f>
        <v>0</v>
      </c>
      <c r="W4" s="445">
        <f t="shared" si="7"/>
        <v>32167</v>
      </c>
      <c r="X4" s="449">
        <f t="shared" si="4"/>
        <v>0</v>
      </c>
      <c r="Y4" s="445">
        <f t="shared" si="7"/>
        <v>696352</v>
      </c>
      <c r="Z4" s="449">
        <f>Y4-Y3</f>
        <v>0</v>
      </c>
      <c r="AA4" s="445">
        <v>35677</v>
      </c>
      <c r="AB4" s="470">
        <f>AA4-AA3</f>
        <v>4</v>
      </c>
      <c r="AC4" s="445">
        <v>913263</v>
      </c>
      <c r="AD4" s="471">
        <f>AC4-AC3</f>
        <v>514</v>
      </c>
      <c r="AE4" s="472">
        <f t="shared" ref="AE4:AE30" si="8">AB4+X4+T4</f>
        <v>4</v>
      </c>
      <c r="AF4" s="473">
        <f t="shared" ref="AF4:AF30" si="9">V4+Z4+AD4</f>
        <v>514</v>
      </c>
      <c r="AG4" s="465">
        <f t="shared" si="5"/>
        <v>128.5</v>
      </c>
    </row>
    <row r="5" spans="1:115">
      <c r="A5" s="457">
        <f>'General information '!F8</f>
        <v>0</v>
      </c>
      <c r="B5" s="451">
        <f>SUM(230*A5)</f>
        <v>0</v>
      </c>
      <c r="C5" s="458">
        <v>44230</v>
      </c>
      <c r="D5" s="445">
        <v>32589800</v>
      </c>
      <c r="E5" s="311">
        <f t="shared" ref="E5:E30" si="10">D5-D4</f>
        <v>2410</v>
      </c>
      <c r="F5" s="445">
        <v>3955904</v>
      </c>
      <c r="G5" s="312">
        <f t="shared" si="0"/>
        <v>639</v>
      </c>
      <c r="H5" s="445">
        <v>17782194</v>
      </c>
      <c r="I5" s="312">
        <f t="shared" ref="I5:I30" si="11">H5-H4</f>
        <v>820</v>
      </c>
      <c r="J5" s="445">
        <v>28880362</v>
      </c>
      <c r="K5" s="312">
        <f t="shared" ref="K5:K30" si="12">J5-J4</f>
        <v>928</v>
      </c>
      <c r="L5" s="445">
        <v>24003482</v>
      </c>
      <c r="M5" s="312">
        <f t="shared" ref="M5:M30" si="13">L5-L4</f>
        <v>1956</v>
      </c>
      <c r="N5" s="310">
        <f t="shared" ref="N5:N30" si="14">M5+K5+I5+G5+E5</f>
        <v>6753</v>
      </c>
      <c r="O5" s="467">
        <f t="shared" si="1"/>
        <v>0</v>
      </c>
      <c r="P5" s="445">
        <v>16582.771000000001</v>
      </c>
      <c r="Q5" s="468">
        <f>(P5-P4)*1000</f>
        <v>2921.0000000020955</v>
      </c>
      <c r="R5" s="449">
        <f>N5-Q5</f>
        <v>3831.9999999979045</v>
      </c>
      <c r="S5" s="445">
        <f t="shared" si="7"/>
        <v>10118</v>
      </c>
      <c r="T5" s="469">
        <f t="shared" si="3"/>
        <v>0</v>
      </c>
      <c r="U5" s="445">
        <f t="shared" si="7"/>
        <v>420722</v>
      </c>
      <c r="V5" s="449">
        <f t="shared" ref="V5:V30" si="15">U5-U4</f>
        <v>0</v>
      </c>
      <c r="W5" s="445">
        <f t="shared" si="7"/>
        <v>32167</v>
      </c>
      <c r="X5" s="449">
        <f t="shared" si="4"/>
        <v>0</v>
      </c>
      <c r="Y5" s="445">
        <f t="shared" si="7"/>
        <v>696352</v>
      </c>
      <c r="Z5" s="449">
        <f>Y5-Y4</f>
        <v>0</v>
      </c>
      <c r="AA5" s="445">
        <v>35680</v>
      </c>
      <c r="AB5" s="449">
        <f t="shared" ref="AB5:AB30" si="16">AA5-AA4</f>
        <v>3</v>
      </c>
      <c r="AC5" s="445">
        <v>913951</v>
      </c>
      <c r="AD5" s="449">
        <f t="shared" ref="AD5:AD16" si="17">AC5-AC4</f>
        <v>688</v>
      </c>
      <c r="AE5" s="472">
        <f t="shared" si="8"/>
        <v>3</v>
      </c>
      <c r="AF5" s="473">
        <f t="shared" si="9"/>
        <v>688</v>
      </c>
      <c r="AG5" s="465">
        <f t="shared" si="5"/>
        <v>229.33333333333334</v>
      </c>
      <c r="AI5" s="466">
        <f>R5-'EDl log'!B3</f>
        <v>-849794.0000000021</v>
      </c>
    </row>
    <row r="6" spans="1:115">
      <c r="A6" s="457">
        <f>'General information '!F9</f>
        <v>0</v>
      </c>
      <c r="B6" s="451">
        <f t="shared" si="6"/>
        <v>0</v>
      </c>
      <c r="C6" s="458">
        <v>44231</v>
      </c>
      <c r="D6" s="445">
        <v>32592094</v>
      </c>
      <c r="E6" s="311">
        <f t="shared" si="10"/>
        <v>2294</v>
      </c>
      <c r="F6" s="445">
        <v>3956555</v>
      </c>
      <c r="G6" s="312">
        <f t="shared" si="0"/>
        <v>651</v>
      </c>
      <c r="H6" s="445">
        <v>17783034</v>
      </c>
      <c r="I6" s="312">
        <f t="shared" si="11"/>
        <v>840</v>
      </c>
      <c r="J6" s="445">
        <v>28881318</v>
      </c>
      <c r="K6" s="312">
        <f t="shared" si="12"/>
        <v>956</v>
      </c>
      <c r="L6" s="445">
        <v>24005328</v>
      </c>
      <c r="M6" s="312">
        <f t="shared" si="13"/>
        <v>1846</v>
      </c>
      <c r="N6" s="310">
        <f t="shared" si="14"/>
        <v>6587</v>
      </c>
      <c r="O6" s="467">
        <f t="shared" si="1"/>
        <v>0</v>
      </c>
      <c r="P6" s="445">
        <v>16585.395</v>
      </c>
      <c r="Q6" s="449">
        <f t="shared" si="2"/>
        <v>2623.9999999997963</v>
      </c>
      <c r="R6" s="449">
        <f t="shared" ref="R6:R12" si="18">N6-Q6</f>
        <v>3963.0000000002037</v>
      </c>
      <c r="S6" s="445">
        <f t="shared" si="7"/>
        <v>10118</v>
      </c>
      <c r="T6" s="469">
        <f t="shared" si="3"/>
        <v>0</v>
      </c>
      <c r="U6" s="445">
        <f t="shared" si="7"/>
        <v>420722</v>
      </c>
      <c r="V6" s="449">
        <f t="shared" si="15"/>
        <v>0</v>
      </c>
      <c r="W6" s="445">
        <f t="shared" si="7"/>
        <v>32167</v>
      </c>
      <c r="X6" s="449">
        <f t="shared" si="4"/>
        <v>0</v>
      </c>
      <c r="Y6" s="445">
        <f t="shared" si="7"/>
        <v>696352</v>
      </c>
      <c r="Z6" s="449">
        <f t="shared" ref="Z6:Z30" si="19">Y6-Y5</f>
        <v>0</v>
      </c>
      <c r="AA6" s="445">
        <v>35684</v>
      </c>
      <c r="AB6" s="449">
        <f t="shared" si="16"/>
        <v>4</v>
      </c>
      <c r="AC6" s="445">
        <v>914499</v>
      </c>
      <c r="AD6" s="449">
        <f t="shared" si="17"/>
        <v>548</v>
      </c>
      <c r="AE6" s="472">
        <f t="shared" si="8"/>
        <v>4</v>
      </c>
      <c r="AF6" s="473">
        <f t="shared" si="9"/>
        <v>548</v>
      </c>
      <c r="AG6" s="465">
        <f t="shared" si="5"/>
        <v>137</v>
      </c>
      <c r="AI6" s="466">
        <f>R6-'EDl log'!B4</f>
        <v>-852162.99999999977</v>
      </c>
    </row>
    <row r="7" spans="1:115">
      <c r="A7" s="457">
        <f>'General information '!F10</f>
        <v>0</v>
      </c>
      <c r="B7" s="451">
        <f t="shared" si="6"/>
        <v>0</v>
      </c>
      <c r="C7" s="458">
        <v>44232</v>
      </c>
      <c r="D7" s="445">
        <v>32594150</v>
      </c>
      <c r="E7" s="311">
        <f t="shared" si="10"/>
        <v>2056</v>
      </c>
      <c r="F7" s="445">
        <v>3957163</v>
      </c>
      <c r="G7" s="312">
        <f t="shared" si="0"/>
        <v>608</v>
      </c>
      <c r="H7" s="445">
        <v>17783774</v>
      </c>
      <c r="I7" s="312">
        <f t="shared" si="11"/>
        <v>740</v>
      </c>
      <c r="J7" s="445">
        <v>28882234</v>
      </c>
      <c r="K7" s="312">
        <f t="shared" si="12"/>
        <v>916</v>
      </c>
      <c r="L7" s="445">
        <v>24006940</v>
      </c>
      <c r="M7" s="312">
        <f t="shared" si="13"/>
        <v>1612</v>
      </c>
      <c r="N7" s="310">
        <f t="shared" si="14"/>
        <v>5932</v>
      </c>
      <c r="O7" s="467">
        <f t="shared" si="1"/>
        <v>0</v>
      </c>
      <c r="P7" s="445">
        <v>16587.36</v>
      </c>
      <c r="Q7" s="449">
        <f t="shared" si="2"/>
        <v>1965.0000000001455</v>
      </c>
      <c r="R7" s="449">
        <f t="shared" si="18"/>
        <v>3966.9999999998545</v>
      </c>
      <c r="S7" s="445">
        <f t="shared" si="7"/>
        <v>10118</v>
      </c>
      <c r="T7" s="469">
        <f t="shared" si="3"/>
        <v>0</v>
      </c>
      <c r="U7" s="445">
        <f t="shared" si="7"/>
        <v>420722</v>
      </c>
      <c r="V7" s="449">
        <f t="shared" si="15"/>
        <v>0</v>
      </c>
      <c r="W7" s="445">
        <f t="shared" si="7"/>
        <v>32167</v>
      </c>
      <c r="X7" s="449">
        <f t="shared" si="4"/>
        <v>0</v>
      </c>
      <c r="Y7" s="445">
        <f t="shared" si="7"/>
        <v>696352</v>
      </c>
      <c r="Z7" s="449">
        <f t="shared" si="19"/>
        <v>0</v>
      </c>
      <c r="AA7" s="445">
        <v>35687</v>
      </c>
      <c r="AB7" s="449">
        <f t="shared" si="16"/>
        <v>3</v>
      </c>
      <c r="AC7" s="445">
        <v>914939</v>
      </c>
      <c r="AD7" s="449">
        <f t="shared" si="17"/>
        <v>440</v>
      </c>
      <c r="AE7" s="472">
        <f t="shared" si="8"/>
        <v>3</v>
      </c>
      <c r="AF7" s="473">
        <f t="shared" si="9"/>
        <v>440</v>
      </c>
      <c r="AG7" s="465">
        <f t="shared" si="5"/>
        <v>146.66666666666666</v>
      </c>
      <c r="AI7" s="466">
        <f>R7-'EDl log'!B5</f>
        <v>-854387.00000000012</v>
      </c>
    </row>
    <row r="8" spans="1:115">
      <c r="A8" s="457">
        <f>'General information '!F11</f>
        <v>0</v>
      </c>
      <c r="B8" s="451">
        <f t="shared" si="6"/>
        <v>0</v>
      </c>
      <c r="C8" s="458">
        <v>44233</v>
      </c>
      <c r="D8" s="445">
        <v>32596102</v>
      </c>
      <c r="E8" s="311">
        <f t="shared" si="10"/>
        <v>1952</v>
      </c>
      <c r="F8" s="445">
        <v>3957828</v>
      </c>
      <c r="G8" s="312">
        <f t="shared" si="0"/>
        <v>665</v>
      </c>
      <c r="H8" s="445">
        <v>17784574</v>
      </c>
      <c r="I8" s="312">
        <f t="shared" si="11"/>
        <v>800</v>
      </c>
      <c r="J8" s="445">
        <v>28883136</v>
      </c>
      <c r="K8" s="312">
        <f t="shared" si="12"/>
        <v>902</v>
      </c>
      <c r="L8" s="445">
        <v>24008598</v>
      </c>
      <c r="M8" s="312">
        <f t="shared" si="13"/>
        <v>1658</v>
      </c>
      <c r="N8" s="310">
        <f t="shared" si="14"/>
        <v>5977</v>
      </c>
      <c r="O8" s="467">
        <f t="shared" si="1"/>
        <v>0</v>
      </c>
      <c r="P8" s="445">
        <v>16589.054</v>
      </c>
      <c r="Q8" s="449">
        <f t="shared" si="2"/>
        <v>1693.9999999995052</v>
      </c>
      <c r="R8" s="449">
        <f t="shared" si="18"/>
        <v>4283.0000000004948</v>
      </c>
      <c r="S8" s="445">
        <f t="shared" si="7"/>
        <v>10118</v>
      </c>
      <c r="T8" s="469">
        <f t="shared" si="3"/>
        <v>0</v>
      </c>
      <c r="U8" s="445">
        <f t="shared" si="7"/>
        <v>420722</v>
      </c>
      <c r="V8" s="449">
        <f t="shared" si="15"/>
        <v>0</v>
      </c>
      <c r="W8" s="445">
        <f t="shared" si="7"/>
        <v>32167</v>
      </c>
      <c r="X8" s="449">
        <f t="shared" si="4"/>
        <v>0</v>
      </c>
      <c r="Y8" s="445">
        <f t="shared" si="7"/>
        <v>696352</v>
      </c>
      <c r="Z8" s="449">
        <f t="shared" si="19"/>
        <v>0</v>
      </c>
      <c r="AA8" s="445">
        <v>35689</v>
      </c>
      <c r="AB8" s="449">
        <f t="shared" si="16"/>
        <v>2</v>
      </c>
      <c r="AC8" s="445">
        <v>915313</v>
      </c>
      <c r="AD8" s="449">
        <f t="shared" si="17"/>
        <v>374</v>
      </c>
      <c r="AE8" s="472">
        <f t="shared" si="8"/>
        <v>2</v>
      </c>
      <c r="AF8" s="473">
        <f t="shared" si="9"/>
        <v>374</v>
      </c>
      <c r="AG8" s="465">
        <f t="shared" si="5"/>
        <v>187</v>
      </c>
      <c r="AI8" s="466">
        <f>R8-'EDl log'!B6</f>
        <v>-856157.99999999953</v>
      </c>
    </row>
    <row r="9" spans="1:115">
      <c r="A9" s="457">
        <f>'General information '!F12</f>
        <v>0</v>
      </c>
      <c r="B9" s="451">
        <f t="shared" si="6"/>
        <v>0</v>
      </c>
      <c r="C9" s="458">
        <v>44234</v>
      </c>
      <c r="D9" s="445">
        <v>32597812</v>
      </c>
      <c r="E9" s="311">
        <f t="shared" si="10"/>
        <v>1710</v>
      </c>
      <c r="F9" s="445">
        <v>3958431.2</v>
      </c>
      <c r="G9" s="312">
        <f t="shared" si="0"/>
        <v>603.20000000018626</v>
      </c>
      <c r="H9" s="445">
        <v>17785390</v>
      </c>
      <c r="I9" s="312">
        <f t="shared" si="11"/>
        <v>816</v>
      </c>
      <c r="J9" s="445">
        <v>28884582</v>
      </c>
      <c r="K9" s="312">
        <f t="shared" si="12"/>
        <v>1446</v>
      </c>
      <c r="L9" s="445">
        <v>24010574</v>
      </c>
      <c r="M9" s="312">
        <f t="shared" si="13"/>
        <v>1976</v>
      </c>
      <c r="N9" s="310">
        <f t="shared" si="14"/>
        <v>6551.2000000001863</v>
      </c>
      <c r="O9" s="467">
        <f t="shared" si="1"/>
        <v>0</v>
      </c>
      <c r="P9" s="445">
        <v>16591.098000000002</v>
      </c>
      <c r="Q9" s="449">
        <f t="shared" si="2"/>
        <v>2044.000000001688</v>
      </c>
      <c r="R9" s="449">
        <f t="shared" si="18"/>
        <v>4507.1999999984982</v>
      </c>
      <c r="S9" s="445">
        <f t="shared" si="7"/>
        <v>10118</v>
      </c>
      <c r="T9" s="469">
        <f t="shared" si="3"/>
        <v>0</v>
      </c>
      <c r="U9" s="445">
        <f t="shared" si="7"/>
        <v>420722</v>
      </c>
      <c r="V9" s="449">
        <f t="shared" si="15"/>
        <v>0</v>
      </c>
      <c r="W9" s="445">
        <v>32169</v>
      </c>
      <c r="X9" s="449">
        <f t="shared" ref="X9:X30" si="20">W9-W8</f>
        <v>2</v>
      </c>
      <c r="Y9" s="445">
        <v>696833</v>
      </c>
      <c r="Z9" s="449">
        <f t="shared" si="19"/>
        <v>481</v>
      </c>
      <c r="AA9" s="445">
        <f t="shared" si="7"/>
        <v>35689</v>
      </c>
      <c r="AB9" s="449">
        <f t="shared" si="16"/>
        <v>0</v>
      </c>
      <c r="AC9" s="445">
        <v>915313</v>
      </c>
      <c r="AD9" s="449">
        <f t="shared" si="17"/>
        <v>0</v>
      </c>
      <c r="AE9" s="472">
        <f t="shared" si="8"/>
        <v>2</v>
      </c>
      <c r="AF9" s="473">
        <f t="shared" si="9"/>
        <v>481</v>
      </c>
      <c r="AG9" s="465">
        <f t="shared" si="5"/>
        <v>240.5</v>
      </c>
      <c r="AI9" s="466">
        <f>R9-'EDl log'!B7</f>
        <v>-858088.80000000144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44235</v>
      </c>
      <c r="D10" s="445">
        <v>32599474</v>
      </c>
      <c r="E10" s="311">
        <f t="shared" si="10"/>
        <v>1662</v>
      </c>
      <c r="F10" s="445">
        <v>3959035</v>
      </c>
      <c r="G10" s="312">
        <f t="shared" si="0"/>
        <v>603.79999999981374</v>
      </c>
      <c r="H10" s="445">
        <v>17786186</v>
      </c>
      <c r="I10" s="312">
        <f t="shared" si="11"/>
        <v>796</v>
      </c>
      <c r="J10" s="445">
        <v>28886052</v>
      </c>
      <c r="K10" s="312">
        <f t="shared" si="12"/>
        <v>1470</v>
      </c>
      <c r="L10" s="445">
        <v>24012332</v>
      </c>
      <c r="M10" s="312">
        <f t="shared" si="13"/>
        <v>1758</v>
      </c>
      <c r="N10" s="310">
        <f t="shared" si="14"/>
        <v>6289.7999999998137</v>
      </c>
      <c r="O10" s="467">
        <f t="shared" ref="O10:O30" si="21">IF(B10&gt;0,N10/B10,0)</f>
        <v>0</v>
      </c>
      <c r="P10" s="445">
        <v>16593.143</v>
      </c>
      <c r="Q10" s="449">
        <f t="shared" si="2"/>
        <v>2044.9999999982538</v>
      </c>
      <c r="R10" s="449">
        <f t="shared" si="18"/>
        <v>4244.80000000156</v>
      </c>
      <c r="S10" s="445">
        <f t="shared" si="7"/>
        <v>10118</v>
      </c>
      <c r="T10" s="469">
        <f t="shared" si="3"/>
        <v>0</v>
      </c>
      <c r="U10" s="445">
        <f t="shared" si="7"/>
        <v>420722</v>
      </c>
      <c r="V10" s="449">
        <f t="shared" si="15"/>
        <v>0</v>
      </c>
      <c r="W10" s="445">
        <v>32172</v>
      </c>
      <c r="X10" s="449">
        <f t="shared" si="20"/>
        <v>3</v>
      </c>
      <c r="Y10" s="445">
        <v>697351</v>
      </c>
      <c r="Z10" s="449">
        <f t="shared" si="19"/>
        <v>518</v>
      </c>
      <c r="AA10" s="445">
        <f t="shared" si="7"/>
        <v>35689</v>
      </c>
      <c r="AB10" s="449">
        <f t="shared" si="16"/>
        <v>0</v>
      </c>
      <c r="AC10" s="445">
        <f t="shared" si="7"/>
        <v>915313</v>
      </c>
      <c r="AD10" s="449">
        <f t="shared" si="17"/>
        <v>0</v>
      </c>
      <c r="AE10" s="472">
        <f t="shared" si="8"/>
        <v>3</v>
      </c>
      <c r="AF10" s="473">
        <f t="shared" si="9"/>
        <v>518</v>
      </c>
      <c r="AG10" s="465">
        <f t="shared" ref="AG10:AG30" si="22">IF(AE10&gt;0,AF10/AE10,0)</f>
        <v>172.66666666666666</v>
      </c>
      <c r="AI10" s="466">
        <f>R10-'EDl log'!B8</f>
        <v>-860497.19999999844</v>
      </c>
    </row>
    <row r="11" spans="1:115">
      <c r="A11" s="457">
        <f>'General information '!F14</f>
        <v>0</v>
      </c>
      <c r="B11" s="451">
        <f>SUM(230*A11)</f>
        <v>0</v>
      </c>
      <c r="C11" s="458">
        <v>44236</v>
      </c>
      <c r="D11" s="445">
        <v>32601382</v>
      </c>
      <c r="E11" s="311">
        <f t="shared" si="10"/>
        <v>1908</v>
      </c>
      <c r="F11" s="445">
        <v>3959703</v>
      </c>
      <c r="G11" s="312">
        <f t="shared" si="0"/>
        <v>668</v>
      </c>
      <c r="H11" s="445">
        <v>17787062</v>
      </c>
      <c r="I11" s="312">
        <f t="shared" si="11"/>
        <v>876</v>
      </c>
      <c r="J11" s="445">
        <v>28887970</v>
      </c>
      <c r="K11" s="312">
        <f t="shared" si="12"/>
        <v>1918</v>
      </c>
      <c r="L11" s="445">
        <v>24013970</v>
      </c>
      <c r="M11" s="312">
        <f t="shared" si="13"/>
        <v>1638</v>
      </c>
      <c r="N11" s="310">
        <f>M11+K11+I11+G11+E11</f>
        <v>7008</v>
      </c>
      <c r="O11" s="467">
        <f t="shared" si="21"/>
        <v>0</v>
      </c>
      <c r="P11" s="445">
        <v>16596.579000000002</v>
      </c>
      <c r="Q11" s="449">
        <f t="shared" si="2"/>
        <v>3436.0000000015134</v>
      </c>
      <c r="R11" s="449">
        <f t="shared" si="18"/>
        <v>3571.9999999984866</v>
      </c>
      <c r="S11" s="445">
        <f t="shared" si="7"/>
        <v>10118</v>
      </c>
      <c r="T11" s="469">
        <f t="shared" si="3"/>
        <v>0</v>
      </c>
      <c r="U11" s="445">
        <f t="shared" si="7"/>
        <v>420722</v>
      </c>
      <c r="V11" s="449">
        <f t="shared" si="15"/>
        <v>0</v>
      </c>
      <c r="W11" s="445">
        <v>32176</v>
      </c>
      <c r="X11" s="449">
        <f t="shared" si="20"/>
        <v>4</v>
      </c>
      <c r="Y11" s="445">
        <v>698227</v>
      </c>
      <c r="Z11" s="449">
        <f t="shared" si="19"/>
        <v>876</v>
      </c>
      <c r="AA11" s="445">
        <f t="shared" si="7"/>
        <v>35689</v>
      </c>
      <c r="AB11" s="449">
        <f t="shared" si="16"/>
        <v>0</v>
      </c>
      <c r="AC11" s="445">
        <f t="shared" si="7"/>
        <v>915313</v>
      </c>
      <c r="AD11" s="449">
        <f t="shared" si="17"/>
        <v>0</v>
      </c>
      <c r="AE11" s="472">
        <f t="shared" si="8"/>
        <v>4</v>
      </c>
      <c r="AF11" s="473">
        <f t="shared" si="9"/>
        <v>876</v>
      </c>
      <c r="AG11" s="465">
        <f t="shared" si="22"/>
        <v>219</v>
      </c>
      <c r="AI11" s="466">
        <f>R11-'EDl log'!B9</f>
        <v>-863499.00000000151</v>
      </c>
    </row>
    <row r="12" spans="1:115">
      <c r="A12" s="457">
        <f>'General information '!F15</f>
        <v>0</v>
      </c>
      <c r="B12" s="451">
        <f t="shared" si="6"/>
        <v>0</v>
      </c>
      <c r="C12" s="458">
        <v>44237</v>
      </c>
      <c r="D12" s="445">
        <v>32603330</v>
      </c>
      <c r="E12" s="311">
        <f t="shared" si="10"/>
        <v>1948</v>
      </c>
      <c r="F12" s="445">
        <v>3960337</v>
      </c>
      <c r="G12" s="312">
        <f t="shared" si="0"/>
        <v>634</v>
      </c>
      <c r="H12" s="445">
        <v>17787894</v>
      </c>
      <c r="I12" s="312">
        <f t="shared" si="11"/>
        <v>832</v>
      </c>
      <c r="J12" s="445">
        <v>28890152</v>
      </c>
      <c r="K12" s="312">
        <f t="shared" si="12"/>
        <v>2182</v>
      </c>
      <c r="L12" s="445">
        <v>24015650</v>
      </c>
      <c r="M12" s="312">
        <f t="shared" si="13"/>
        <v>1680</v>
      </c>
      <c r="N12" s="310">
        <f>M12+K12+I12+G12+E12</f>
        <v>7276</v>
      </c>
      <c r="O12" s="467">
        <f t="shared" si="21"/>
        <v>0</v>
      </c>
      <c r="P12" s="445">
        <v>16601.021000000001</v>
      </c>
      <c r="Q12" s="449">
        <f t="shared" si="2"/>
        <v>4441.9999999990978</v>
      </c>
      <c r="R12" s="449">
        <f t="shared" si="18"/>
        <v>2834.0000000009022</v>
      </c>
      <c r="S12" s="445">
        <f t="shared" si="7"/>
        <v>10118</v>
      </c>
      <c r="T12" s="469">
        <f t="shared" si="3"/>
        <v>0</v>
      </c>
      <c r="U12" s="445">
        <f t="shared" si="7"/>
        <v>420722</v>
      </c>
      <c r="V12" s="449">
        <f t="shared" si="15"/>
        <v>0</v>
      </c>
      <c r="W12" s="445">
        <v>32182</v>
      </c>
      <c r="X12" s="449">
        <f t="shared" si="20"/>
        <v>6</v>
      </c>
      <c r="Y12" s="445">
        <v>699173</v>
      </c>
      <c r="Z12" s="449">
        <f t="shared" si="19"/>
        <v>946</v>
      </c>
      <c r="AA12" s="445">
        <v>35689</v>
      </c>
      <c r="AB12" s="449">
        <f t="shared" si="16"/>
        <v>0</v>
      </c>
      <c r="AC12" s="445">
        <f t="shared" si="7"/>
        <v>915313</v>
      </c>
      <c r="AD12" s="449">
        <f t="shared" si="17"/>
        <v>0</v>
      </c>
      <c r="AE12" s="472">
        <f t="shared" si="8"/>
        <v>6</v>
      </c>
      <c r="AF12" s="473">
        <f t="shared" si="9"/>
        <v>946</v>
      </c>
      <c r="AG12" s="465">
        <f t="shared" si="22"/>
        <v>157.66666666666666</v>
      </c>
      <c r="AI12" s="466">
        <f>R12-'EDl log'!B10</f>
        <v>-866645.99999999907</v>
      </c>
    </row>
    <row r="13" spans="1:115">
      <c r="A13" s="457">
        <f>'General information '!F16</f>
        <v>0</v>
      </c>
      <c r="B13" s="451">
        <f t="shared" si="6"/>
        <v>0</v>
      </c>
      <c r="C13" s="458">
        <v>44238</v>
      </c>
      <c r="D13" s="445">
        <v>32605256</v>
      </c>
      <c r="E13" s="311">
        <f t="shared" si="10"/>
        <v>1926</v>
      </c>
      <c r="F13" s="445">
        <v>3960985</v>
      </c>
      <c r="G13" s="312">
        <f t="shared" si="0"/>
        <v>648</v>
      </c>
      <c r="H13" s="445">
        <v>17788782</v>
      </c>
      <c r="I13" s="312">
        <f t="shared" si="11"/>
        <v>888</v>
      </c>
      <c r="J13" s="445">
        <v>28892186</v>
      </c>
      <c r="K13" s="312">
        <f t="shared" si="12"/>
        <v>2034</v>
      </c>
      <c r="L13" s="445">
        <v>24017390</v>
      </c>
      <c r="M13" s="312">
        <f t="shared" si="13"/>
        <v>1740</v>
      </c>
      <c r="N13" s="310">
        <f t="shared" si="14"/>
        <v>7236</v>
      </c>
      <c r="O13" s="467">
        <f t="shared" si="21"/>
        <v>0</v>
      </c>
      <c r="P13" s="445">
        <v>16605.02</v>
      </c>
      <c r="Q13" s="449">
        <f>(P13-P12)*1000</f>
        <v>3998.9999999997963</v>
      </c>
      <c r="R13" s="449">
        <f t="shared" ref="R13" si="23">N13-Q13</f>
        <v>3237.0000000002037</v>
      </c>
      <c r="S13" s="445">
        <f t="shared" si="7"/>
        <v>10118</v>
      </c>
      <c r="T13" s="469">
        <f t="shared" si="3"/>
        <v>0</v>
      </c>
      <c r="U13" s="445">
        <f t="shared" si="7"/>
        <v>420722</v>
      </c>
      <c r="V13" s="449">
        <f t="shared" si="15"/>
        <v>0</v>
      </c>
      <c r="W13" s="445">
        <v>32187</v>
      </c>
      <c r="X13" s="449">
        <f t="shared" si="20"/>
        <v>5</v>
      </c>
      <c r="Y13" s="445">
        <v>699988</v>
      </c>
      <c r="Z13" s="449">
        <f t="shared" si="19"/>
        <v>815</v>
      </c>
      <c r="AA13" s="445">
        <f t="shared" si="7"/>
        <v>35689</v>
      </c>
      <c r="AB13" s="449">
        <f t="shared" si="16"/>
        <v>0</v>
      </c>
      <c r="AC13" s="445">
        <f t="shared" si="7"/>
        <v>915313</v>
      </c>
      <c r="AD13" s="449">
        <f t="shared" si="17"/>
        <v>0</v>
      </c>
      <c r="AE13" s="472">
        <f t="shared" si="8"/>
        <v>5</v>
      </c>
      <c r="AF13" s="473">
        <f t="shared" si="9"/>
        <v>815</v>
      </c>
      <c r="AG13" s="465">
        <f t="shared" si="22"/>
        <v>163</v>
      </c>
      <c r="AI13" s="466">
        <f>R13-'EDl log'!B11</f>
        <v>-868525.99999999977</v>
      </c>
    </row>
    <row r="14" spans="1:115">
      <c r="A14" s="457">
        <f>'General information '!F17</f>
        <v>0</v>
      </c>
      <c r="B14" s="451">
        <f t="shared" si="6"/>
        <v>0</v>
      </c>
      <c r="C14" s="458">
        <v>44239</v>
      </c>
      <c r="D14" s="445">
        <v>32606678</v>
      </c>
      <c r="E14" s="311">
        <f t="shared" si="10"/>
        <v>1422</v>
      </c>
      <c r="F14" s="445">
        <v>3961594</v>
      </c>
      <c r="G14" s="312">
        <f t="shared" si="0"/>
        <v>609</v>
      </c>
      <c r="H14" s="445">
        <v>17789546</v>
      </c>
      <c r="I14" s="312">
        <f t="shared" si="11"/>
        <v>764</v>
      </c>
      <c r="J14" s="445">
        <v>28893682</v>
      </c>
      <c r="K14" s="312">
        <f t="shared" si="12"/>
        <v>1496</v>
      </c>
      <c r="L14" s="445">
        <v>24018742</v>
      </c>
      <c r="M14" s="312">
        <f t="shared" si="13"/>
        <v>1352</v>
      </c>
      <c r="N14" s="310">
        <f t="shared" si="14"/>
        <v>5643</v>
      </c>
      <c r="O14" s="467">
        <f t="shared" si="21"/>
        <v>0</v>
      </c>
      <c r="P14" s="445">
        <v>16607.648000000001</v>
      </c>
      <c r="Q14" s="449">
        <f t="shared" ref="Q14:Q30" si="24">(P14-P13)*1000</f>
        <v>2628.0000000006112</v>
      </c>
      <c r="R14" s="449">
        <f t="shared" ref="R14:R30" si="25">N14-Q14</f>
        <v>3014.9999999993888</v>
      </c>
      <c r="S14" s="445">
        <f t="shared" si="7"/>
        <v>10118</v>
      </c>
      <c r="T14" s="469">
        <f t="shared" si="3"/>
        <v>0</v>
      </c>
      <c r="U14" s="445">
        <f t="shared" si="7"/>
        <v>420722</v>
      </c>
      <c r="V14" s="449">
        <f t="shared" si="15"/>
        <v>0</v>
      </c>
      <c r="W14" s="445">
        <v>32191</v>
      </c>
      <c r="X14" s="449">
        <f t="shared" si="20"/>
        <v>4</v>
      </c>
      <c r="Y14" s="445">
        <v>700543</v>
      </c>
      <c r="Z14" s="449">
        <f t="shared" si="19"/>
        <v>555</v>
      </c>
      <c r="AA14" s="445">
        <f t="shared" si="7"/>
        <v>35689</v>
      </c>
      <c r="AB14" s="449">
        <f t="shared" si="16"/>
        <v>0</v>
      </c>
      <c r="AC14" s="445">
        <f t="shared" si="7"/>
        <v>915313</v>
      </c>
      <c r="AD14" s="449">
        <f t="shared" si="17"/>
        <v>0</v>
      </c>
      <c r="AE14" s="472">
        <f t="shared" si="8"/>
        <v>4</v>
      </c>
      <c r="AF14" s="473">
        <f t="shared" si="9"/>
        <v>555</v>
      </c>
      <c r="AG14" s="465">
        <f t="shared" si="22"/>
        <v>138.75</v>
      </c>
      <c r="AI14" s="466">
        <f>R14-'EDl log'!B12</f>
        <v>-870707.00000000058</v>
      </c>
    </row>
    <row r="15" spans="1:115">
      <c r="A15" s="457">
        <f>'General information '!F18</f>
        <v>0</v>
      </c>
      <c r="B15" s="451">
        <f t="shared" si="6"/>
        <v>0</v>
      </c>
      <c r="C15" s="458">
        <v>44240</v>
      </c>
      <c r="D15" s="445">
        <f t="shared" ref="D15:L30" si="26">D14</f>
        <v>32606678</v>
      </c>
      <c r="E15" s="311">
        <f t="shared" si="10"/>
        <v>0</v>
      </c>
      <c r="F15" s="445">
        <f t="shared" si="26"/>
        <v>3961594</v>
      </c>
      <c r="G15" s="312">
        <f t="shared" si="0"/>
        <v>0</v>
      </c>
      <c r="H15" s="445">
        <f t="shared" si="26"/>
        <v>17789546</v>
      </c>
      <c r="I15" s="312">
        <f t="shared" si="11"/>
        <v>0</v>
      </c>
      <c r="J15" s="445">
        <f t="shared" si="26"/>
        <v>28893682</v>
      </c>
      <c r="K15" s="312">
        <f t="shared" si="12"/>
        <v>0</v>
      </c>
      <c r="L15" s="445">
        <f t="shared" si="26"/>
        <v>24018742</v>
      </c>
      <c r="M15" s="312">
        <f t="shared" si="13"/>
        <v>0</v>
      </c>
      <c r="N15" s="310">
        <f t="shared" si="14"/>
        <v>0</v>
      </c>
      <c r="O15" s="467">
        <f t="shared" si="21"/>
        <v>0</v>
      </c>
      <c r="P15" s="445">
        <f t="shared" ref="P15:P30" si="27">P14</f>
        <v>16607.648000000001</v>
      </c>
      <c r="Q15" s="449">
        <f t="shared" si="24"/>
        <v>0</v>
      </c>
      <c r="R15" s="449">
        <f t="shared" si="25"/>
        <v>0</v>
      </c>
      <c r="S15" s="445">
        <f t="shared" si="7"/>
        <v>10118</v>
      </c>
      <c r="T15" s="469">
        <f t="shared" si="3"/>
        <v>0</v>
      </c>
      <c r="U15" s="445">
        <f t="shared" si="7"/>
        <v>420722</v>
      </c>
      <c r="V15" s="449">
        <f t="shared" si="15"/>
        <v>0</v>
      </c>
      <c r="W15" s="445">
        <f t="shared" si="7"/>
        <v>32191</v>
      </c>
      <c r="X15" s="449">
        <f t="shared" si="20"/>
        <v>0</v>
      </c>
      <c r="Y15" s="445">
        <f t="shared" si="7"/>
        <v>700543</v>
      </c>
      <c r="Z15" s="449">
        <f t="shared" si="19"/>
        <v>0</v>
      </c>
      <c r="AA15" s="445">
        <f t="shared" si="7"/>
        <v>35689</v>
      </c>
      <c r="AB15" s="449">
        <f t="shared" si="16"/>
        <v>0</v>
      </c>
      <c r="AC15" s="445">
        <f t="shared" si="7"/>
        <v>915313</v>
      </c>
      <c r="AD15" s="449">
        <f t="shared" si="17"/>
        <v>0</v>
      </c>
      <c r="AE15" s="472">
        <f t="shared" si="8"/>
        <v>0</v>
      </c>
      <c r="AF15" s="473">
        <f t="shared" si="9"/>
        <v>0</v>
      </c>
      <c r="AG15" s="465">
        <f t="shared" si="22"/>
        <v>0</v>
      </c>
      <c r="AI15" s="466">
        <f>R15-'EDl log'!B13</f>
        <v>-875296</v>
      </c>
    </row>
    <row r="16" spans="1:115">
      <c r="A16" s="457">
        <f>'General information '!F19</f>
        <v>0</v>
      </c>
      <c r="B16" s="451">
        <f t="shared" si="6"/>
        <v>0</v>
      </c>
      <c r="C16" s="458">
        <v>44241</v>
      </c>
      <c r="D16" s="445">
        <f t="shared" si="26"/>
        <v>32606678</v>
      </c>
      <c r="E16" s="311">
        <f t="shared" si="10"/>
        <v>0</v>
      </c>
      <c r="F16" s="445">
        <f t="shared" si="26"/>
        <v>3961594</v>
      </c>
      <c r="G16" s="312">
        <f t="shared" si="0"/>
        <v>0</v>
      </c>
      <c r="H16" s="445">
        <f t="shared" si="26"/>
        <v>17789546</v>
      </c>
      <c r="I16" s="312">
        <f t="shared" si="11"/>
        <v>0</v>
      </c>
      <c r="J16" s="445">
        <f t="shared" si="26"/>
        <v>28893682</v>
      </c>
      <c r="K16" s="312">
        <f t="shared" si="12"/>
        <v>0</v>
      </c>
      <c r="L16" s="445">
        <f t="shared" si="26"/>
        <v>24018742</v>
      </c>
      <c r="M16" s="312">
        <f t="shared" si="13"/>
        <v>0</v>
      </c>
      <c r="N16" s="310">
        <f t="shared" si="14"/>
        <v>0</v>
      </c>
      <c r="O16" s="467">
        <f t="shared" si="21"/>
        <v>0</v>
      </c>
      <c r="P16" s="445">
        <f t="shared" si="27"/>
        <v>16607.648000000001</v>
      </c>
      <c r="Q16" s="449">
        <f t="shared" si="24"/>
        <v>0</v>
      </c>
      <c r="R16" s="449">
        <f t="shared" si="25"/>
        <v>0</v>
      </c>
      <c r="S16" s="445">
        <f t="shared" si="7"/>
        <v>10118</v>
      </c>
      <c r="T16" s="469">
        <f t="shared" si="3"/>
        <v>0</v>
      </c>
      <c r="U16" s="445">
        <f t="shared" si="7"/>
        <v>420722</v>
      </c>
      <c r="V16" s="449">
        <f t="shared" si="15"/>
        <v>0</v>
      </c>
      <c r="W16" s="445">
        <f t="shared" si="7"/>
        <v>32191</v>
      </c>
      <c r="X16" s="449">
        <f>W16-W15</f>
        <v>0</v>
      </c>
      <c r="Y16" s="445">
        <f t="shared" si="7"/>
        <v>700543</v>
      </c>
      <c r="Z16" s="449">
        <f>Y16-Y15</f>
        <v>0</v>
      </c>
      <c r="AA16" s="445">
        <f t="shared" si="7"/>
        <v>35689</v>
      </c>
      <c r="AB16" s="449">
        <f>AA16-AA15</f>
        <v>0</v>
      </c>
      <c r="AC16" s="445">
        <f t="shared" si="7"/>
        <v>915313</v>
      </c>
      <c r="AD16" s="449">
        <f t="shared" si="17"/>
        <v>0</v>
      </c>
      <c r="AE16" s="472">
        <f t="shared" si="8"/>
        <v>0</v>
      </c>
      <c r="AF16" s="473">
        <f t="shared" si="9"/>
        <v>0</v>
      </c>
      <c r="AG16" s="465">
        <f t="shared" si="22"/>
        <v>0</v>
      </c>
      <c r="AI16" s="466">
        <f>R16-'EDl log'!B14</f>
        <v>-877076</v>
      </c>
    </row>
    <row r="17" spans="1:35">
      <c r="A17" s="457">
        <f>'General information '!F20</f>
        <v>0</v>
      </c>
      <c r="B17" s="451">
        <f t="shared" si="6"/>
        <v>0</v>
      </c>
      <c r="C17" s="458">
        <v>44242</v>
      </c>
      <c r="D17" s="445">
        <f t="shared" si="26"/>
        <v>32606678</v>
      </c>
      <c r="E17" s="311">
        <f t="shared" si="10"/>
        <v>0</v>
      </c>
      <c r="F17" s="445">
        <f t="shared" si="26"/>
        <v>3961594</v>
      </c>
      <c r="G17" s="312">
        <f t="shared" si="0"/>
        <v>0</v>
      </c>
      <c r="H17" s="445">
        <f t="shared" si="26"/>
        <v>17789546</v>
      </c>
      <c r="I17" s="312">
        <f t="shared" si="11"/>
        <v>0</v>
      </c>
      <c r="J17" s="445">
        <f t="shared" si="26"/>
        <v>28893682</v>
      </c>
      <c r="K17" s="312">
        <f t="shared" si="12"/>
        <v>0</v>
      </c>
      <c r="L17" s="445">
        <f t="shared" si="26"/>
        <v>24018742</v>
      </c>
      <c r="M17" s="312">
        <f t="shared" si="13"/>
        <v>0</v>
      </c>
      <c r="N17" s="310">
        <f t="shared" si="14"/>
        <v>0</v>
      </c>
      <c r="O17" s="467">
        <f t="shared" si="21"/>
        <v>0</v>
      </c>
      <c r="P17" s="445">
        <f t="shared" si="27"/>
        <v>16607.648000000001</v>
      </c>
      <c r="Q17" s="449">
        <f t="shared" si="24"/>
        <v>0</v>
      </c>
      <c r="R17" s="449">
        <f t="shared" si="25"/>
        <v>0</v>
      </c>
      <c r="S17" s="445">
        <f t="shared" si="7"/>
        <v>10118</v>
      </c>
      <c r="T17" s="469">
        <f t="shared" si="3"/>
        <v>0</v>
      </c>
      <c r="U17" s="445">
        <f t="shared" si="7"/>
        <v>420722</v>
      </c>
      <c r="V17" s="449">
        <f t="shared" si="15"/>
        <v>0</v>
      </c>
      <c r="W17" s="445">
        <f t="shared" si="7"/>
        <v>32191</v>
      </c>
      <c r="X17" s="449">
        <f t="shared" si="20"/>
        <v>0</v>
      </c>
      <c r="Y17" s="445">
        <f t="shared" si="7"/>
        <v>700543</v>
      </c>
      <c r="Z17" s="449">
        <f t="shared" si="19"/>
        <v>0</v>
      </c>
      <c r="AA17" s="445">
        <f t="shared" si="7"/>
        <v>35689</v>
      </c>
      <c r="AB17" s="449">
        <f t="shared" si="16"/>
        <v>0</v>
      </c>
      <c r="AC17" s="445">
        <f t="shared" si="7"/>
        <v>915313</v>
      </c>
      <c r="AD17" s="449">
        <f t="shared" ref="AD17:AD30" si="28">AC17-AC16</f>
        <v>0</v>
      </c>
      <c r="AE17" s="472">
        <f t="shared" si="8"/>
        <v>0</v>
      </c>
      <c r="AF17" s="473">
        <f t="shared" si="9"/>
        <v>0</v>
      </c>
      <c r="AG17" s="465">
        <f t="shared" si="22"/>
        <v>0</v>
      </c>
      <c r="AI17" s="466">
        <f>R17-'EDl log'!B15</f>
        <v>-878743</v>
      </c>
    </row>
    <row r="18" spans="1:35">
      <c r="A18" s="457">
        <f>'General information '!F21</f>
        <v>0</v>
      </c>
      <c r="B18" s="451">
        <f t="shared" si="6"/>
        <v>0</v>
      </c>
      <c r="C18" s="458">
        <v>44243</v>
      </c>
      <c r="D18" s="445">
        <f t="shared" si="26"/>
        <v>32606678</v>
      </c>
      <c r="E18" s="311">
        <f t="shared" si="10"/>
        <v>0</v>
      </c>
      <c r="F18" s="445">
        <f t="shared" si="26"/>
        <v>3961594</v>
      </c>
      <c r="G18" s="312">
        <f t="shared" si="0"/>
        <v>0</v>
      </c>
      <c r="H18" s="445">
        <f t="shared" si="26"/>
        <v>17789546</v>
      </c>
      <c r="I18" s="312">
        <f t="shared" si="11"/>
        <v>0</v>
      </c>
      <c r="J18" s="445">
        <f t="shared" si="26"/>
        <v>28893682</v>
      </c>
      <c r="K18" s="312">
        <f t="shared" si="12"/>
        <v>0</v>
      </c>
      <c r="L18" s="445">
        <f t="shared" si="26"/>
        <v>24018742</v>
      </c>
      <c r="M18" s="312">
        <f t="shared" si="13"/>
        <v>0</v>
      </c>
      <c r="N18" s="310">
        <f t="shared" si="14"/>
        <v>0</v>
      </c>
      <c r="O18" s="467">
        <f t="shared" si="21"/>
        <v>0</v>
      </c>
      <c r="P18" s="445">
        <f t="shared" si="27"/>
        <v>16607.648000000001</v>
      </c>
      <c r="Q18" s="449">
        <f t="shared" si="24"/>
        <v>0</v>
      </c>
      <c r="R18" s="449">
        <f t="shared" si="25"/>
        <v>0</v>
      </c>
      <c r="S18" s="445">
        <f t="shared" si="7"/>
        <v>10118</v>
      </c>
      <c r="T18" s="469">
        <f t="shared" si="3"/>
        <v>0</v>
      </c>
      <c r="U18" s="445">
        <f t="shared" si="7"/>
        <v>420722</v>
      </c>
      <c r="V18" s="449">
        <f t="shared" si="15"/>
        <v>0</v>
      </c>
      <c r="W18" s="445">
        <f t="shared" si="7"/>
        <v>32191</v>
      </c>
      <c r="X18" s="449">
        <f t="shared" si="20"/>
        <v>0</v>
      </c>
      <c r="Y18" s="445">
        <f t="shared" si="7"/>
        <v>700543</v>
      </c>
      <c r="Z18" s="449">
        <f t="shared" si="19"/>
        <v>0</v>
      </c>
      <c r="AA18" s="445">
        <f t="shared" si="7"/>
        <v>35689</v>
      </c>
      <c r="AB18" s="449">
        <f t="shared" si="16"/>
        <v>0</v>
      </c>
      <c r="AC18" s="445">
        <f t="shared" si="7"/>
        <v>915313</v>
      </c>
      <c r="AD18" s="449">
        <f t="shared" si="28"/>
        <v>0</v>
      </c>
      <c r="AE18" s="472">
        <f t="shared" si="8"/>
        <v>0</v>
      </c>
      <c r="AF18" s="473">
        <f t="shared" si="9"/>
        <v>0</v>
      </c>
      <c r="AG18" s="465">
        <f t="shared" si="22"/>
        <v>0</v>
      </c>
      <c r="AI18" s="466">
        <f>R18-'EDl log'!B16</f>
        <v>-878743</v>
      </c>
    </row>
    <row r="19" spans="1:35">
      <c r="A19" s="457">
        <f>'General information '!F22</f>
        <v>0</v>
      </c>
      <c r="B19" s="451">
        <f t="shared" si="6"/>
        <v>0</v>
      </c>
      <c r="C19" s="458">
        <v>44244</v>
      </c>
      <c r="D19" s="445">
        <f t="shared" si="26"/>
        <v>32606678</v>
      </c>
      <c r="E19" s="311">
        <f t="shared" si="10"/>
        <v>0</v>
      </c>
      <c r="F19" s="445">
        <f t="shared" si="26"/>
        <v>3961594</v>
      </c>
      <c r="G19" s="312">
        <f t="shared" si="0"/>
        <v>0</v>
      </c>
      <c r="H19" s="445">
        <f t="shared" si="26"/>
        <v>17789546</v>
      </c>
      <c r="I19" s="312">
        <f t="shared" si="11"/>
        <v>0</v>
      </c>
      <c r="J19" s="445">
        <f t="shared" si="26"/>
        <v>28893682</v>
      </c>
      <c r="K19" s="312">
        <f t="shared" si="12"/>
        <v>0</v>
      </c>
      <c r="L19" s="445">
        <f t="shared" si="26"/>
        <v>24018742</v>
      </c>
      <c r="M19" s="312">
        <f t="shared" si="13"/>
        <v>0</v>
      </c>
      <c r="N19" s="310">
        <f t="shared" si="14"/>
        <v>0</v>
      </c>
      <c r="O19" s="467">
        <f t="shared" si="21"/>
        <v>0</v>
      </c>
      <c r="P19" s="445">
        <f t="shared" si="27"/>
        <v>16607.648000000001</v>
      </c>
      <c r="Q19" s="449">
        <f t="shared" si="24"/>
        <v>0</v>
      </c>
      <c r="R19" s="449">
        <f t="shared" si="25"/>
        <v>0</v>
      </c>
      <c r="S19" s="445">
        <f t="shared" si="7"/>
        <v>10118</v>
      </c>
      <c r="T19" s="469">
        <f t="shared" si="3"/>
        <v>0</v>
      </c>
      <c r="U19" s="445">
        <f t="shared" si="7"/>
        <v>420722</v>
      </c>
      <c r="V19" s="449">
        <f t="shared" si="15"/>
        <v>0</v>
      </c>
      <c r="W19" s="445">
        <f t="shared" si="7"/>
        <v>32191</v>
      </c>
      <c r="X19" s="449">
        <f t="shared" si="20"/>
        <v>0</v>
      </c>
      <c r="Y19" s="445">
        <f t="shared" si="7"/>
        <v>700543</v>
      </c>
      <c r="Z19" s="449">
        <f t="shared" si="19"/>
        <v>0</v>
      </c>
      <c r="AA19" s="445">
        <f t="shared" si="7"/>
        <v>35689</v>
      </c>
      <c r="AB19" s="449">
        <f t="shared" si="16"/>
        <v>0</v>
      </c>
      <c r="AC19" s="445">
        <f t="shared" si="7"/>
        <v>915313</v>
      </c>
      <c r="AD19" s="449">
        <f t="shared" si="28"/>
        <v>0</v>
      </c>
      <c r="AE19" s="472">
        <f t="shared" si="8"/>
        <v>0</v>
      </c>
      <c r="AF19" s="473">
        <f t="shared" si="9"/>
        <v>0</v>
      </c>
      <c r="AG19" s="465">
        <f t="shared" si="22"/>
        <v>0</v>
      </c>
      <c r="AI19" s="466">
        <f>R19-'EDl log'!B17</f>
        <v>-878743</v>
      </c>
    </row>
    <row r="20" spans="1:35">
      <c r="A20" s="457">
        <f>'General information '!F23</f>
        <v>0</v>
      </c>
      <c r="B20" s="451">
        <f t="shared" si="6"/>
        <v>0</v>
      </c>
      <c r="C20" s="458">
        <v>44245</v>
      </c>
      <c r="D20" s="445">
        <f t="shared" si="26"/>
        <v>32606678</v>
      </c>
      <c r="E20" s="311">
        <f t="shared" si="10"/>
        <v>0</v>
      </c>
      <c r="F20" s="445">
        <f t="shared" si="26"/>
        <v>3961594</v>
      </c>
      <c r="G20" s="312">
        <f t="shared" si="0"/>
        <v>0</v>
      </c>
      <c r="H20" s="445">
        <f t="shared" si="26"/>
        <v>17789546</v>
      </c>
      <c r="I20" s="312">
        <f t="shared" si="11"/>
        <v>0</v>
      </c>
      <c r="J20" s="445">
        <f t="shared" si="26"/>
        <v>28893682</v>
      </c>
      <c r="K20" s="312">
        <f t="shared" si="12"/>
        <v>0</v>
      </c>
      <c r="L20" s="445">
        <f t="shared" si="26"/>
        <v>24018742</v>
      </c>
      <c r="M20" s="312">
        <f t="shared" si="13"/>
        <v>0</v>
      </c>
      <c r="N20" s="310">
        <f t="shared" si="14"/>
        <v>0</v>
      </c>
      <c r="O20" s="467">
        <f t="shared" si="21"/>
        <v>0</v>
      </c>
      <c r="P20" s="445">
        <f t="shared" si="27"/>
        <v>16607.648000000001</v>
      </c>
      <c r="Q20" s="449">
        <f t="shared" si="24"/>
        <v>0</v>
      </c>
      <c r="R20" s="449">
        <f t="shared" si="25"/>
        <v>0</v>
      </c>
      <c r="S20" s="445">
        <f t="shared" si="7"/>
        <v>10118</v>
      </c>
      <c r="T20" s="469">
        <f t="shared" si="3"/>
        <v>0</v>
      </c>
      <c r="U20" s="445">
        <f t="shared" si="7"/>
        <v>420722</v>
      </c>
      <c r="V20" s="449">
        <f t="shared" si="15"/>
        <v>0</v>
      </c>
      <c r="W20" s="445">
        <f t="shared" si="7"/>
        <v>32191</v>
      </c>
      <c r="X20" s="449">
        <f t="shared" si="20"/>
        <v>0</v>
      </c>
      <c r="Y20" s="445">
        <f t="shared" si="7"/>
        <v>700543</v>
      </c>
      <c r="Z20" s="449">
        <f t="shared" si="19"/>
        <v>0</v>
      </c>
      <c r="AA20" s="445">
        <f t="shared" si="7"/>
        <v>35689</v>
      </c>
      <c r="AB20" s="449">
        <f t="shared" si="16"/>
        <v>0</v>
      </c>
      <c r="AC20" s="445">
        <f t="shared" si="7"/>
        <v>915313</v>
      </c>
      <c r="AD20" s="449">
        <f t="shared" si="28"/>
        <v>0</v>
      </c>
      <c r="AE20" s="472">
        <f t="shared" si="8"/>
        <v>0</v>
      </c>
      <c r="AF20" s="473">
        <f t="shared" si="9"/>
        <v>0</v>
      </c>
      <c r="AG20" s="465">
        <f t="shared" si="22"/>
        <v>0</v>
      </c>
      <c r="AI20" s="466">
        <f>R20-'EDl log'!B18</f>
        <v>-878743</v>
      </c>
    </row>
    <row r="21" spans="1:35">
      <c r="A21" s="457">
        <f>'General information '!F24</f>
        <v>0</v>
      </c>
      <c r="B21" s="451">
        <f t="shared" si="6"/>
        <v>0</v>
      </c>
      <c r="C21" s="458">
        <v>44246</v>
      </c>
      <c r="D21" s="445">
        <f t="shared" si="26"/>
        <v>32606678</v>
      </c>
      <c r="E21" s="311">
        <f t="shared" si="10"/>
        <v>0</v>
      </c>
      <c r="F21" s="445">
        <f t="shared" si="26"/>
        <v>3961594</v>
      </c>
      <c r="G21" s="312">
        <f t="shared" si="0"/>
        <v>0</v>
      </c>
      <c r="H21" s="445">
        <f t="shared" si="26"/>
        <v>17789546</v>
      </c>
      <c r="I21" s="312">
        <f t="shared" si="11"/>
        <v>0</v>
      </c>
      <c r="J21" s="445">
        <f t="shared" si="26"/>
        <v>28893682</v>
      </c>
      <c r="K21" s="312">
        <f t="shared" si="12"/>
        <v>0</v>
      </c>
      <c r="L21" s="445">
        <f t="shared" si="26"/>
        <v>24018742</v>
      </c>
      <c r="M21" s="312">
        <f t="shared" si="13"/>
        <v>0</v>
      </c>
      <c r="N21" s="310">
        <f t="shared" si="14"/>
        <v>0</v>
      </c>
      <c r="O21" s="467">
        <f t="shared" si="21"/>
        <v>0</v>
      </c>
      <c r="P21" s="445">
        <f t="shared" si="27"/>
        <v>16607.648000000001</v>
      </c>
      <c r="Q21" s="449">
        <f t="shared" si="24"/>
        <v>0</v>
      </c>
      <c r="R21" s="449">
        <f t="shared" si="25"/>
        <v>0</v>
      </c>
      <c r="S21" s="445">
        <f t="shared" si="7"/>
        <v>10118</v>
      </c>
      <c r="T21" s="469">
        <f t="shared" si="3"/>
        <v>0</v>
      </c>
      <c r="U21" s="445">
        <f t="shared" si="7"/>
        <v>420722</v>
      </c>
      <c r="V21" s="449">
        <f t="shared" si="15"/>
        <v>0</v>
      </c>
      <c r="W21" s="445">
        <f t="shared" si="7"/>
        <v>32191</v>
      </c>
      <c r="X21" s="449">
        <f t="shared" si="20"/>
        <v>0</v>
      </c>
      <c r="Y21" s="445">
        <f t="shared" si="7"/>
        <v>700543</v>
      </c>
      <c r="Z21" s="449">
        <f t="shared" si="19"/>
        <v>0</v>
      </c>
      <c r="AA21" s="445">
        <f t="shared" si="7"/>
        <v>35689</v>
      </c>
      <c r="AB21" s="449">
        <f t="shared" si="16"/>
        <v>0</v>
      </c>
      <c r="AC21" s="445">
        <f t="shared" si="7"/>
        <v>915313</v>
      </c>
      <c r="AD21" s="449">
        <f t="shared" si="28"/>
        <v>0</v>
      </c>
      <c r="AE21" s="472">
        <f t="shared" si="8"/>
        <v>0</v>
      </c>
      <c r="AF21" s="473">
        <f t="shared" si="9"/>
        <v>0</v>
      </c>
      <c r="AG21" s="465">
        <f t="shared" si="22"/>
        <v>0</v>
      </c>
      <c r="AI21" s="466">
        <f>R21-'EDl log'!B19</f>
        <v>-878743</v>
      </c>
    </row>
    <row r="22" spans="1:35">
      <c r="A22" s="457">
        <f>'General information '!F25</f>
        <v>0</v>
      </c>
      <c r="B22" s="451">
        <f t="shared" si="6"/>
        <v>0</v>
      </c>
      <c r="C22" s="458">
        <v>44247</v>
      </c>
      <c r="D22" s="445">
        <f t="shared" si="26"/>
        <v>32606678</v>
      </c>
      <c r="E22" s="311">
        <f t="shared" si="10"/>
        <v>0</v>
      </c>
      <c r="F22" s="445">
        <f t="shared" si="26"/>
        <v>3961594</v>
      </c>
      <c r="G22" s="312">
        <f t="shared" si="0"/>
        <v>0</v>
      </c>
      <c r="H22" s="445">
        <f t="shared" si="26"/>
        <v>17789546</v>
      </c>
      <c r="I22" s="312">
        <f t="shared" si="11"/>
        <v>0</v>
      </c>
      <c r="J22" s="445">
        <f t="shared" si="26"/>
        <v>28893682</v>
      </c>
      <c r="K22" s="312">
        <f t="shared" si="12"/>
        <v>0</v>
      </c>
      <c r="L22" s="445">
        <f t="shared" si="26"/>
        <v>24018742</v>
      </c>
      <c r="M22" s="312">
        <f t="shared" si="13"/>
        <v>0</v>
      </c>
      <c r="N22" s="310">
        <f t="shared" si="14"/>
        <v>0</v>
      </c>
      <c r="O22" s="467">
        <f t="shared" si="21"/>
        <v>0</v>
      </c>
      <c r="P22" s="445">
        <f t="shared" si="27"/>
        <v>16607.648000000001</v>
      </c>
      <c r="Q22" s="449">
        <f t="shared" si="24"/>
        <v>0</v>
      </c>
      <c r="R22" s="449">
        <f t="shared" si="25"/>
        <v>0</v>
      </c>
      <c r="S22" s="445">
        <f t="shared" si="7"/>
        <v>10118</v>
      </c>
      <c r="T22" s="469">
        <f t="shared" si="3"/>
        <v>0</v>
      </c>
      <c r="U22" s="445">
        <f t="shared" si="7"/>
        <v>420722</v>
      </c>
      <c r="V22" s="449">
        <f t="shared" si="15"/>
        <v>0</v>
      </c>
      <c r="W22" s="445">
        <f t="shared" si="7"/>
        <v>32191</v>
      </c>
      <c r="X22" s="449">
        <f t="shared" si="20"/>
        <v>0</v>
      </c>
      <c r="Y22" s="445">
        <f t="shared" si="7"/>
        <v>700543</v>
      </c>
      <c r="Z22" s="449">
        <f t="shared" si="19"/>
        <v>0</v>
      </c>
      <c r="AA22" s="445">
        <f t="shared" si="7"/>
        <v>35689</v>
      </c>
      <c r="AB22" s="449">
        <f t="shared" si="16"/>
        <v>0</v>
      </c>
      <c r="AC22" s="445">
        <f t="shared" si="7"/>
        <v>915313</v>
      </c>
      <c r="AD22" s="449">
        <f t="shared" si="28"/>
        <v>0</v>
      </c>
      <c r="AE22" s="472">
        <f t="shared" si="8"/>
        <v>0</v>
      </c>
      <c r="AF22" s="473">
        <f t="shared" si="9"/>
        <v>0</v>
      </c>
      <c r="AG22" s="465">
        <f t="shared" si="22"/>
        <v>0</v>
      </c>
      <c r="AI22" s="466">
        <f>R22-'EDl log'!B20</f>
        <v>-878743</v>
      </c>
    </row>
    <row r="23" spans="1:35">
      <c r="A23" s="457">
        <f>'General information '!F26</f>
        <v>0</v>
      </c>
      <c r="B23" s="451">
        <f t="shared" si="6"/>
        <v>0</v>
      </c>
      <c r="C23" s="458">
        <v>44248</v>
      </c>
      <c r="D23" s="445">
        <f t="shared" si="26"/>
        <v>32606678</v>
      </c>
      <c r="E23" s="311">
        <f t="shared" si="10"/>
        <v>0</v>
      </c>
      <c r="F23" s="445">
        <f t="shared" si="26"/>
        <v>3961594</v>
      </c>
      <c r="G23" s="312">
        <f t="shared" si="0"/>
        <v>0</v>
      </c>
      <c r="H23" s="445">
        <f t="shared" si="26"/>
        <v>17789546</v>
      </c>
      <c r="I23" s="438">
        <f t="shared" si="11"/>
        <v>0</v>
      </c>
      <c r="J23" s="445">
        <f t="shared" si="26"/>
        <v>28893682</v>
      </c>
      <c r="K23" s="312">
        <f t="shared" si="12"/>
        <v>0</v>
      </c>
      <c r="L23" s="445">
        <f t="shared" si="26"/>
        <v>24018742</v>
      </c>
      <c r="M23" s="312">
        <f t="shared" si="13"/>
        <v>0</v>
      </c>
      <c r="N23" s="310">
        <f t="shared" si="14"/>
        <v>0</v>
      </c>
      <c r="O23" s="467">
        <f t="shared" si="21"/>
        <v>0</v>
      </c>
      <c r="P23" s="445">
        <f t="shared" si="27"/>
        <v>16607.648000000001</v>
      </c>
      <c r="Q23" s="449">
        <f t="shared" si="24"/>
        <v>0</v>
      </c>
      <c r="R23" s="449">
        <f t="shared" si="25"/>
        <v>0</v>
      </c>
      <c r="S23" s="445">
        <f t="shared" si="7"/>
        <v>10118</v>
      </c>
      <c r="T23" s="469">
        <f t="shared" si="3"/>
        <v>0</v>
      </c>
      <c r="U23" s="445">
        <f t="shared" si="7"/>
        <v>420722</v>
      </c>
      <c r="V23" s="449">
        <f t="shared" si="15"/>
        <v>0</v>
      </c>
      <c r="W23" s="445">
        <f t="shared" si="7"/>
        <v>32191</v>
      </c>
      <c r="X23" s="449">
        <f t="shared" si="20"/>
        <v>0</v>
      </c>
      <c r="Y23" s="445">
        <f t="shared" si="7"/>
        <v>700543</v>
      </c>
      <c r="Z23" s="449">
        <f t="shared" si="19"/>
        <v>0</v>
      </c>
      <c r="AA23" s="445">
        <f t="shared" si="7"/>
        <v>35689</v>
      </c>
      <c r="AB23" s="449">
        <f t="shared" si="16"/>
        <v>0</v>
      </c>
      <c r="AC23" s="445">
        <f t="shared" si="7"/>
        <v>915313</v>
      </c>
      <c r="AD23" s="449">
        <f t="shared" si="28"/>
        <v>0</v>
      </c>
      <c r="AE23" s="472">
        <f t="shared" si="8"/>
        <v>0</v>
      </c>
      <c r="AF23" s="473">
        <f t="shared" si="9"/>
        <v>0</v>
      </c>
      <c r="AG23" s="465">
        <f t="shared" si="22"/>
        <v>0</v>
      </c>
      <c r="AI23" s="466">
        <f>R23-'EDl log'!B21</f>
        <v>-878743</v>
      </c>
    </row>
    <row r="24" spans="1:35">
      <c r="A24" s="457">
        <f>'General information '!F27</f>
        <v>0</v>
      </c>
      <c r="B24" s="451">
        <f t="shared" si="6"/>
        <v>0</v>
      </c>
      <c r="C24" s="458">
        <v>44249</v>
      </c>
      <c r="D24" s="445">
        <f t="shared" si="26"/>
        <v>32606678</v>
      </c>
      <c r="E24" s="311">
        <f t="shared" si="10"/>
        <v>0</v>
      </c>
      <c r="F24" s="445">
        <f t="shared" si="26"/>
        <v>3961594</v>
      </c>
      <c r="G24" s="312">
        <f t="shared" si="0"/>
        <v>0</v>
      </c>
      <c r="H24" s="445">
        <f t="shared" si="26"/>
        <v>17789546</v>
      </c>
      <c r="I24" s="312">
        <f t="shared" si="11"/>
        <v>0</v>
      </c>
      <c r="J24" s="445">
        <f t="shared" si="26"/>
        <v>28893682</v>
      </c>
      <c r="K24" s="312">
        <f t="shared" si="12"/>
        <v>0</v>
      </c>
      <c r="L24" s="445">
        <f t="shared" si="26"/>
        <v>24018742</v>
      </c>
      <c r="M24" s="312">
        <f t="shared" si="13"/>
        <v>0</v>
      </c>
      <c r="N24" s="310">
        <f t="shared" si="14"/>
        <v>0</v>
      </c>
      <c r="O24" s="467">
        <f t="shared" si="21"/>
        <v>0</v>
      </c>
      <c r="P24" s="445">
        <f t="shared" si="27"/>
        <v>16607.648000000001</v>
      </c>
      <c r="Q24" s="449">
        <f t="shared" si="24"/>
        <v>0</v>
      </c>
      <c r="R24" s="449">
        <f t="shared" si="25"/>
        <v>0</v>
      </c>
      <c r="S24" s="445">
        <f t="shared" si="7"/>
        <v>10118</v>
      </c>
      <c r="T24" s="469">
        <f t="shared" si="3"/>
        <v>0</v>
      </c>
      <c r="U24" s="445">
        <f t="shared" si="7"/>
        <v>420722</v>
      </c>
      <c r="V24" s="449">
        <f t="shared" si="15"/>
        <v>0</v>
      </c>
      <c r="W24" s="445">
        <f t="shared" si="7"/>
        <v>32191</v>
      </c>
      <c r="X24" s="449">
        <f t="shared" si="20"/>
        <v>0</v>
      </c>
      <c r="Y24" s="445">
        <f t="shared" si="7"/>
        <v>700543</v>
      </c>
      <c r="Z24" s="449">
        <f t="shared" si="19"/>
        <v>0</v>
      </c>
      <c r="AA24" s="445">
        <f t="shared" si="7"/>
        <v>35689</v>
      </c>
      <c r="AB24" s="449">
        <f t="shared" si="16"/>
        <v>0</v>
      </c>
      <c r="AC24" s="445">
        <f t="shared" si="7"/>
        <v>915313</v>
      </c>
      <c r="AD24" s="449">
        <f t="shared" si="28"/>
        <v>0</v>
      </c>
      <c r="AE24" s="472">
        <f t="shared" si="8"/>
        <v>0</v>
      </c>
      <c r="AF24" s="473">
        <f t="shared" si="9"/>
        <v>0</v>
      </c>
      <c r="AG24" s="465">
        <f t="shared" si="22"/>
        <v>0</v>
      </c>
      <c r="AI24" s="466">
        <f>R24-'EDl log'!B22</f>
        <v>-878743</v>
      </c>
    </row>
    <row r="25" spans="1:35">
      <c r="A25" s="457">
        <f>'General information '!F28</f>
        <v>0</v>
      </c>
      <c r="B25" s="451">
        <f t="shared" si="6"/>
        <v>0</v>
      </c>
      <c r="C25" s="458">
        <v>44250</v>
      </c>
      <c r="D25" s="445">
        <f t="shared" si="26"/>
        <v>32606678</v>
      </c>
      <c r="E25" s="311">
        <f t="shared" si="10"/>
        <v>0</v>
      </c>
      <c r="F25" s="445">
        <f t="shared" si="26"/>
        <v>3961594</v>
      </c>
      <c r="G25" s="312">
        <f t="shared" si="0"/>
        <v>0</v>
      </c>
      <c r="H25" s="445">
        <f t="shared" si="26"/>
        <v>17789546</v>
      </c>
      <c r="I25" s="312">
        <f t="shared" si="11"/>
        <v>0</v>
      </c>
      <c r="J25" s="445">
        <f t="shared" si="26"/>
        <v>28893682</v>
      </c>
      <c r="K25" s="312">
        <f t="shared" si="12"/>
        <v>0</v>
      </c>
      <c r="L25" s="445">
        <f t="shared" si="26"/>
        <v>24018742</v>
      </c>
      <c r="M25" s="312">
        <f t="shared" si="13"/>
        <v>0</v>
      </c>
      <c r="N25" s="310">
        <f t="shared" si="14"/>
        <v>0</v>
      </c>
      <c r="O25" s="467">
        <f t="shared" si="21"/>
        <v>0</v>
      </c>
      <c r="P25" s="445">
        <f t="shared" si="27"/>
        <v>16607.648000000001</v>
      </c>
      <c r="Q25" s="449">
        <f t="shared" si="24"/>
        <v>0</v>
      </c>
      <c r="R25" s="449">
        <f t="shared" si="25"/>
        <v>0</v>
      </c>
      <c r="S25" s="445">
        <f t="shared" si="7"/>
        <v>10118</v>
      </c>
      <c r="T25" s="469">
        <f t="shared" si="3"/>
        <v>0</v>
      </c>
      <c r="U25" s="445">
        <f t="shared" si="7"/>
        <v>420722</v>
      </c>
      <c r="V25" s="449">
        <f t="shared" si="15"/>
        <v>0</v>
      </c>
      <c r="W25" s="445">
        <f t="shared" si="7"/>
        <v>32191</v>
      </c>
      <c r="X25" s="449">
        <f t="shared" si="20"/>
        <v>0</v>
      </c>
      <c r="Y25" s="445">
        <f t="shared" si="7"/>
        <v>700543</v>
      </c>
      <c r="Z25" s="449">
        <f t="shared" si="19"/>
        <v>0</v>
      </c>
      <c r="AA25" s="445">
        <f t="shared" si="7"/>
        <v>35689</v>
      </c>
      <c r="AB25" s="449">
        <f t="shared" si="16"/>
        <v>0</v>
      </c>
      <c r="AC25" s="445">
        <f t="shared" si="7"/>
        <v>915313</v>
      </c>
      <c r="AD25" s="449">
        <f t="shared" si="28"/>
        <v>0</v>
      </c>
      <c r="AE25" s="472">
        <f t="shared" si="8"/>
        <v>0</v>
      </c>
      <c r="AF25" s="473">
        <f t="shared" si="9"/>
        <v>0</v>
      </c>
      <c r="AG25" s="465">
        <f t="shared" si="22"/>
        <v>0</v>
      </c>
      <c r="AI25" s="466">
        <f>R25-'EDl log'!B23</f>
        <v>-878743</v>
      </c>
    </row>
    <row r="26" spans="1:35">
      <c r="A26" s="457">
        <f>'General information '!F29</f>
        <v>0</v>
      </c>
      <c r="B26" s="451">
        <f t="shared" si="6"/>
        <v>0</v>
      </c>
      <c r="C26" s="458">
        <v>44251</v>
      </c>
      <c r="D26" s="445">
        <f t="shared" si="26"/>
        <v>32606678</v>
      </c>
      <c r="E26" s="311">
        <f t="shared" si="10"/>
        <v>0</v>
      </c>
      <c r="F26" s="445">
        <f t="shared" si="26"/>
        <v>3961594</v>
      </c>
      <c r="G26" s="312">
        <f t="shared" si="0"/>
        <v>0</v>
      </c>
      <c r="H26" s="445">
        <f t="shared" si="26"/>
        <v>17789546</v>
      </c>
      <c r="I26" s="312">
        <f t="shared" si="11"/>
        <v>0</v>
      </c>
      <c r="J26" s="445">
        <f t="shared" si="26"/>
        <v>28893682</v>
      </c>
      <c r="K26" s="312">
        <f t="shared" si="12"/>
        <v>0</v>
      </c>
      <c r="L26" s="445">
        <f t="shared" si="26"/>
        <v>24018742</v>
      </c>
      <c r="M26" s="312">
        <f t="shared" si="13"/>
        <v>0</v>
      </c>
      <c r="N26" s="310">
        <f t="shared" si="14"/>
        <v>0</v>
      </c>
      <c r="O26" s="467">
        <f t="shared" si="21"/>
        <v>0</v>
      </c>
      <c r="P26" s="445">
        <f t="shared" si="27"/>
        <v>16607.648000000001</v>
      </c>
      <c r="Q26" s="449">
        <f t="shared" si="24"/>
        <v>0</v>
      </c>
      <c r="R26" s="449">
        <f t="shared" si="25"/>
        <v>0</v>
      </c>
      <c r="S26" s="445">
        <f t="shared" si="7"/>
        <v>10118</v>
      </c>
      <c r="T26" s="469">
        <f t="shared" si="3"/>
        <v>0</v>
      </c>
      <c r="U26" s="445">
        <f t="shared" si="7"/>
        <v>420722</v>
      </c>
      <c r="V26" s="449">
        <f t="shared" si="15"/>
        <v>0</v>
      </c>
      <c r="W26" s="445">
        <f t="shared" si="7"/>
        <v>32191</v>
      </c>
      <c r="X26" s="449">
        <f t="shared" si="20"/>
        <v>0</v>
      </c>
      <c r="Y26" s="445">
        <f t="shared" si="7"/>
        <v>700543</v>
      </c>
      <c r="Z26" s="449">
        <f t="shared" si="19"/>
        <v>0</v>
      </c>
      <c r="AA26" s="445">
        <f t="shared" si="7"/>
        <v>35689</v>
      </c>
      <c r="AB26" s="449">
        <f t="shared" si="16"/>
        <v>0</v>
      </c>
      <c r="AC26" s="445">
        <f t="shared" si="7"/>
        <v>915313</v>
      </c>
      <c r="AD26" s="449">
        <f t="shared" si="28"/>
        <v>0</v>
      </c>
      <c r="AE26" s="472">
        <f t="shared" si="8"/>
        <v>0</v>
      </c>
      <c r="AF26" s="473">
        <f t="shared" si="9"/>
        <v>0</v>
      </c>
      <c r="AG26" s="465">
        <f t="shared" si="22"/>
        <v>0</v>
      </c>
      <c r="AI26" s="466">
        <f>R26-'EDl log'!B24</f>
        <v>-878743</v>
      </c>
    </row>
    <row r="27" spans="1:35">
      <c r="A27" s="457">
        <f>'General information '!F30</f>
        <v>0</v>
      </c>
      <c r="B27" s="451">
        <f t="shared" si="6"/>
        <v>0</v>
      </c>
      <c r="C27" s="458">
        <v>44252</v>
      </c>
      <c r="D27" s="445">
        <f t="shared" si="26"/>
        <v>32606678</v>
      </c>
      <c r="E27" s="311">
        <f t="shared" si="10"/>
        <v>0</v>
      </c>
      <c r="F27" s="445">
        <f t="shared" si="26"/>
        <v>3961594</v>
      </c>
      <c r="G27" s="312">
        <f>F27-F26</f>
        <v>0</v>
      </c>
      <c r="H27" s="445">
        <f t="shared" si="26"/>
        <v>17789546</v>
      </c>
      <c r="I27" s="312">
        <f t="shared" si="11"/>
        <v>0</v>
      </c>
      <c r="J27" s="445">
        <f t="shared" si="26"/>
        <v>28893682</v>
      </c>
      <c r="K27" s="312">
        <f t="shared" si="12"/>
        <v>0</v>
      </c>
      <c r="L27" s="445">
        <f t="shared" si="26"/>
        <v>24018742</v>
      </c>
      <c r="M27" s="312">
        <f t="shared" si="13"/>
        <v>0</v>
      </c>
      <c r="N27" s="310">
        <f t="shared" si="14"/>
        <v>0</v>
      </c>
      <c r="O27" s="467">
        <f t="shared" si="21"/>
        <v>0</v>
      </c>
      <c r="P27" s="445">
        <f t="shared" si="27"/>
        <v>16607.648000000001</v>
      </c>
      <c r="Q27" s="449">
        <f t="shared" si="24"/>
        <v>0</v>
      </c>
      <c r="R27" s="449">
        <f t="shared" si="25"/>
        <v>0</v>
      </c>
      <c r="S27" s="445">
        <f t="shared" si="7"/>
        <v>10118</v>
      </c>
      <c r="T27" s="469">
        <f t="shared" si="3"/>
        <v>0</v>
      </c>
      <c r="U27" s="445">
        <f t="shared" si="7"/>
        <v>420722</v>
      </c>
      <c r="V27" s="449">
        <f t="shared" si="15"/>
        <v>0</v>
      </c>
      <c r="W27" s="445">
        <f t="shared" si="7"/>
        <v>32191</v>
      </c>
      <c r="X27" s="449">
        <f t="shared" si="20"/>
        <v>0</v>
      </c>
      <c r="Y27" s="445">
        <f t="shared" si="7"/>
        <v>700543</v>
      </c>
      <c r="Z27" s="449">
        <f t="shared" si="19"/>
        <v>0</v>
      </c>
      <c r="AA27" s="445">
        <f t="shared" si="7"/>
        <v>35689</v>
      </c>
      <c r="AB27" s="449">
        <f t="shared" si="16"/>
        <v>0</v>
      </c>
      <c r="AC27" s="445">
        <f t="shared" si="7"/>
        <v>915313</v>
      </c>
      <c r="AD27" s="449">
        <f t="shared" si="28"/>
        <v>0</v>
      </c>
      <c r="AE27" s="472">
        <f t="shared" si="8"/>
        <v>0</v>
      </c>
      <c r="AF27" s="473">
        <f t="shared" si="9"/>
        <v>0</v>
      </c>
      <c r="AG27" s="465">
        <f t="shared" si="22"/>
        <v>0</v>
      </c>
      <c r="AI27" s="466">
        <f>R27-'EDl log'!B25</f>
        <v>-878743</v>
      </c>
    </row>
    <row r="28" spans="1:35">
      <c r="A28" s="457">
        <f>'General information '!F31</f>
        <v>0</v>
      </c>
      <c r="B28" s="451">
        <f t="shared" si="6"/>
        <v>0</v>
      </c>
      <c r="C28" s="458">
        <v>44253</v>
      </c>
      <c r="D28" s="445">
        <f t="shared" si="26"/>
        <v>32606678</v>
      </c>
      <c r="E28" s="311">
        <f t="shared" si="10"/>
        <v>0</v>
      </c>
      <c r="F28" s="445">
        <f t="shared" si="26"/>
        <v>3961594</v>
      </c>
      <c r="G28" s="312">
        <f t="shared" si="0"/>
        <v>0</v>
      </c>
      <c r="H28" s="445">
        <f t="shared" si="26"/>
        <v>17789546</v>
      </c>
      <c r="I28" s="312">
        <f t="shared" si="11"/>
        <v>0</v>
      </c>
      <c r="J28" s="445">
        <f t="shared" si="26"/>
        <v>28893682</v>
      </c>
      <c r="K28" s="312">
        <f t="shared" si="12"/>
        <v>0</v>
      </c>
      <c r="L28" s="445">
        <f t="shared" si="26"/>
        <v>24018742</v>
      </c>
      <c r="M28" s="312">
        <f t="shared" si="13"/>
        <v>0</v>
      </c>
      <c r="N28" s="310">
        <f t="shared" si="14"/>
        <v>0</v>
      </c>
      <c r="O28" s="467">
        <f t="shared" si="21"/>
        <v>0</v>
      </c>
      <c r="P28" s="445">
        <f t="shared" si="27"/>
        <v>16607.648000000001</v>
      </c>
      <c r="Q28" s="449">
        <f t="shared" si="24"/>
        <v>0</v>
      </c>
      <c r="R28" s="449">
        <f t="shared" si="25"/>
        <v>0</v>
      </c>
      <c r="S28" s="445">
        <f t="shared" si="7"/>
        <v>10118</v>
      </c>
      <c r="T28" s="469">
        <f t="shared" si="3"/>
        <v>0</v>
      </c>
      <c r="U28" s="445">
        <f t="shared" si="7"/>
        <v>420722</v>
      </c>
      <c r="V28" s="449">
        <f t="shared" si="15"/>
        <v>0</v>
      </c>
      <c r="W28" s="445">
        <f t="shared" si="7"/>
        <v>32191</v>
      </c>
      <c r="X28" s="449">
        <f t="shared" si="20"/>
        <v>0</v>
      </c>
      <c r="Y28" s="445">
        <f t="shared" si="7"/>
        <v>700543</v>
      </c>
      <c r="Z28" s="449">
        <f t="shared" si="19"/>
        <v>0</v>
      </c>
      <c r="AA28" s="445">
        <f t="shared" si="7"/>
        <v>35689</v>
      </c>
      <c r="AB28" s="449">
        <f t="shared" si="16"/>
        <v>0</v>
      </c>
      <c r="AC28" s="445">
        <f t="shared" si="7"/>
        <v>915313</v>
      </c>
      <c r="AD28" s="449">
        <f t="shared" si="28"/>
        <v>0</v>
      </c>
      <c r="AE28" s="472">
        <f t="shared" si="8"/>
        <v>0</v>
      </c>
      <c r="AF28" s="473">
        <f t="shared" si="9"/>
        <v>0</v>
      </c>
      <c r="AG28" s="465">
        <f t="shared" si="22"/>
        <v>0</v>
      </c>
      <c r="AI28" s="466">
        <f>R28-'EDl log'!B26</f>
        <v>-878743</v>
      </c>
    </row>
    <row r="29" spans="1:35">
      <c r="A29" s="457">
        <f>'General information '!F32</f>
        <v>0</v>
      </c>
      <c r="B29" s="451">
        <f>SUM(230*A29)</f>
        <v>0</v>
      </c>
      <c r="C29" s="458">
        <v>44254</v>
      </c>
      <c r="D29" s="445">
        <f t="shared" si="26"/>
        <v>32606678</v>
      </c>
      <c r="E29" s="311">
        <f t="shared" si="10"/>
        <v>0</v>
      </c>
      <c r="F29" s="445">
        <f t="shared" si="26"/>
        <v>3961594</v>
      </c>
      <c r="G29" s="312">
        <f t="shared" si="0"/>
        <v>0</v>
      </c>
      <c r="H29" s="445">
        <f t="shared" si="26"/>
        <v>17789546</v>
      </c>
      <c r="I29" s="312">
        <f t="shared" si="11"/>
        <v>0</v>
      </c>
      <c r="J29" s="445">
        <f t="shared" si="26"/>
        <v>28893682</v>
      </c>
      <c r="K29" s="312">
        <f t="shared" si="12"/>
        <v>0</v>
      </c>
      <c r="L29" s="445">
        <f t="shared" si="26"/>
        <v>24018742</v>
      </c>
      <c r="M29" s="312">
        <f t="shared" si="13"/>
        <v>0</v>
      </c>
      <c r="N29" s="310">
        <f t="shared" si="14"/>
        <v>0</v>
      </c>
      <c r="O29" s="467">
        <f t="shared" si="21"/>
        <v>0</v>
      </c>
      <c r="P29" s="445">
        <f t="shared" si="27"/>
        <v>16607.648000000001</v>
      </c>
      <c r="Q29" s="449">
        <f t="shared" si="24"/>
        <v>0</v>
      </c>
      <c r="R29" s="449">
        <f t="shared" si="25"/>
        <v>0</v>
      </c>
      <c r="S29" s="445">
        <f t="shared" si="7"/>
        <v>10118</v>
      </c>
      <c r="T29" s="469">
        <f t="shared" si="3"/>
        <v>0</v>
      </c>
      <c r="U29" s="445">
        <f t="shared" si="7"/>
        <v>420722</v>
      </c>
      <c r="V29" s="449">
        <f t="shared" si="15"/>
        <v>0</v>
      </c>
      <c r="W29" s="445">
        <f t="shared" si="7"/>
        <v>32191</v>
      </c>
      <c r="X29" s="449">
        <f t="shared" si="20"/>
        <v>0</v>
      </c>
      <c r="Y29" s="445">
        <f t="shared" si="7"/>
        <v>700543</v>
      </c>
      <c r="Z29" s="449">
        <f t="shared" si="19"/>
        <v>0</v>
      </c>
      <c r="AA29" s="445">
        <f t="shared" si="7"/>
        <v>35689</v>
      </c>
      <c r="AB29" s="449">
        <f t="shared" si="16"/>
        <v>0</v>
      </c>
      <c r="AC29" s="445">
        <f t="shared" si="7"/>
        <v>915313</v>
      </c>
      <c r="AD29" s="449">
        <f t="shared" si="28"/>
        <v>0</v>
      </c>
      <c r="AE29" s="472">
        <f t="shared" si="8"/>
        <v>0</v>
      </c>
      <c r="AF29" s="473">
        <f t="shared" si="9"/>
        <v>0</v>
      </c>
      <c r="AG29" s="465">
        <f t="shared" si="22"/>
        <v>0</v>
      </c>
      <c r="AI29" s="466">
        <f>R29-'EDl log'!B27</f>
        <v>-878743</v>
      </c>
    </row>
    <row r="30" spans="1:35">
      <c r="A30" s="457">
        <f>'General information '!F33</f>
        <v>0</v>
      </c>
      <c r="B30" s="451">
        <f t="shared" si="6"/>
        <v>0</v>
      </c>
      <c r="C30" s="458">
        <v>44255</v>
      </c>
      <c r="D30" s="445">
        <f t="shared" si="26"/>
        <v>32606678</v>
      </c>
      <c r="E30" s="311">
        <f t="shared" si="10"/>
        <v>0</v>
      </c>
      <c r="F30" s="445">
        <f t="shared" si="26"/>
        <v>3961594</v>
      </c>
      <c r="G30" s="312">
        <f t="shared" si="0"/>
        <v>0</v>
      </c>
      <c r="H30" s="445">
        <f t="shared" si="26"/>
        <v>17789546</v>
      </c>
      <c r="I30" s="312">
        <f t="shared" si="11"/>
        <v>0</v>
      </c>
      <c r="J30" s="445">
        <f t="shared" si="26"/>
        <v>28893682</v>
      </c>
      <c r="K30" s="312">
        <f t="shared" si="12"/>
        <v>0</v>
      </c>
      <c r="L30" s="445">
        <f t="shared" si="26"/>
        <v>24018742</v>
      </c>
      <c r="M30" s="312">
        <f t="shared" si="13"/>
        <v>0</v>
      </c>
      <c r="N30" s="310">
        <f t="shared" si="14"/>
        <v>0</v>
      </c>
      <c r="O30" s="467">
        <f t="shared" si="21"/>
        <v>0</v>
      </c>
      <c r="P30" s="445">
        <f t="shared" si="27"/>
        <v>16607.648000000001</v>
      </c>
      <c r="Q30" s="449">
        <f t="shared" si="24"/>
        <v>0</v>
      </c>
      <c r="R30" s="449">
        <f t="shared" si="25"/>
        <v>0</v>
      </c>
      <c r="S30" s="445">
        <f t="shared" si="7"/>
        <v>10118</v>
      </c>
      <c r="T30" s="469">
        <f t="shared" si="3"/>
        <v>0</v>
      </c>
      <c r="U30" s="445">
        <f t="shared" si="7"/>
        <v>420722</v>
      </c>
      <c r="V30" s="449">
        <f t="shared" si="15"/>
        <v>0</v>
      </c>
      <c r="W30" s="445">
        <f t="shared" si="7"/>
        <v>32191</v>
      </c>
      <c r="X30" s="470">
        <f t="shared" si="20"/>
        <v>0</v>
      </c>
      <c r="Y30" s="445">
        <f t="shared" si="7"/>
        <v>700543</v>
      </c>
      <c r="Z30" s="449">
        <f t="shared" si="19"/>
        <v>0</v>
      </c>
      <c r="AA30" s="445">
        <f t="shared" si="7"/>
        <v>35689</v>
      </c>
      <c r="AB30" s="449">
        <f t="shared" si="16"/>
        <v>0</v>
      </c>
      <c r="AC30" s="445">
        <f t="shared" si="7"/>
        <v>915313</v>
      </c>
      <c r="AD30" s="449">
        <f t="shared" si="28"/>
        <v>0</v>
      </c>
      <c r="AE30" s="472">
        <f t="shared" si="8"/>
        <v>0</v>
      </c>
      <c r="AF30" s="473">
        <f t="shared" si="9"/>
        <v>0</v>
      </c>
      <c r="AG30" s="465">
        <f t="shared" si="22"/>
        <v>0</v>
      </c>
      <c r="AI30" s="466">
        <f>R30-'EDl log'!B28</f>
        <v>-878743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0"/>
  <sheetViews>
    <sheetView topLeftCell="AF1" zoomScale="90" zoomScaleNormal="90" workbookViewId="0">
      <pane ySplit="1" topLeftCell="A14" activePane="bottomLeft" state="frozen"/>
      <selection activeCell="K1" sqref="K1"/>
      <selection pane="bottomLeft" activeCell="AQ16" sqref="AQ16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8" customWidth="1"/>
    <col min="16" max="16" width="8.1796875" style="42" bestFit="1" customWidth="1"/>
    <col min="17" max="17" width="7.81640625" style="42" customWidth="1"/>
    <col min="18" max="18" width="6.1796875" style="42" bestFit="1" customWidth="1"/>
    <col min="19" max="19" width="6.453125" style="42" customWidth="1"/>
    <col min="20" max="20" width="13" style="70" hidden="1" customWidth="1"/>
    <col min="21" max="21" width="13" style="70" customWidth="1"/>
    <col min="22" max="22" width="12.7265625" style="70" customWidth="1"/>
    <col min="23" max="23" width="13" style="70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1" bestFit="1" customWidth="1"/>
    <col min="32" max="32" width="10" style="42" customWidth="1"/>
    <col min="33" max="33" width="11.7265625" style="68" hidden="1" customWidth="1"/>
    <col min="34" max="34" width="12.54296875" style="70" customWidth="1"/>
    <col min="35" max="37" width="12.7265625" style="321" customWidth="1"/>
    <col min="38" max="38" width="11.1796875" style="321" bestFit="1" customWidth="1"/>
    <col min="39" max="39" width="11.453125" style="321" bestFit="1" customWidth="1"/>
    <col min="40" max="40" width="8.453125" style="71" customWidth="1"/>
    <col min="41" max="41" width="8.1796875" style="71" customWidth="1"/>
    <col min="42" max="45" width="9.1796875" style="71"/>
    <col min="46" max="46" width="10.1796875" style="71" customWidth="1"/>
    <col min="47" max="47" width="10.1796875" style="71" bestFit="1" customWidth="1"/>
    <col min="48" max="49" width="9.1796875" style="42"/>
    <col min="50" max="50" width="9.1796875" style="313"/>
    <col min="51" max="16384" width="9.1796875" style="42"/>
  </cols>
  <sheetData>
    <row r="1" spans="1:52" ht="29.5" thickBot="1">
      <c r="F1" s="612" t="s">
        <v>2</v>
      </c>
      <c r="G1" s="613"/>
      <c r="H1" s="613"/>
      <c r="I1" s="614"/>
      <c r="J1" s="282">
        <f>J33</f>
        <v>64.625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397"/>
      <c r="V1" s="27" t="s">
        <v>104</v>
      </c>
      <c r="W1" s="39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44227</v>
      </c>
      <c r="B4" s="395">
        <f>[2]B5!B35</f>
        <v>236</v>
      </c>
      <c r="C4" s="395">
        <f>[2]B5!C35</f>
        <v>242</v>
      </c>
      <c r="D4" s="395">
        <f>[2]B5!D35</f>
        <v>3</v>
      </c>
      <c r="E4" s="395">
        <f>[2]B5!E35</f>
        <v>25.14</v>
      </c>
      <c r="F4" s="395">
        <f>[2]B5!F35</f>
        <v>1715</v>
      </c>
      <c r="G4" s="395">
        <f>[2]B5!G35</f>
        <v>0</v>
      </c>
      <c r="H4" s="395">
        <f>[2]B5!H35</f>
        <v>3991</v>
      </c>
      <c r="I4" s="395">
        <f>[2]B5!I35</f>
        <v>0</v>
      </c>
      <c r="J4" s="395">
        <f>[2]B5!J35</f>
        <v>0</v>
      </c>
      <c r="K4" s="395">
        <f>[2]B5!K35</f>
        <v>2216</v>
      </c>
      <c r="L4" s="395">
        <f>[2]B5!L35</f>
        <v>2</v>
      </c>
      <c r="M4" s="395">
        <f>[2]B5!M35</f>
        <v>162924</v>
      </c>
      <c r="N4" s="395">
        <f>[2]B5!N35</f>
        <v>175</v>
      </c>
      <c r="O4" s="395">
        <f>[2]B5!O35</f>
        <v>1869</v>
      </c>
      <c r="P4" s="395">
        <f>[2]B5!P35</f>
        <v>1964</v>
      </c>
      <c r="Q4" s="395">
        <f>[2]B5!Q35</f>
        <v>166179</v>
      </c>
      <c r="R4" s="395">
        <f>[2]B5!R35</f>
        <v>92</v>
      </c>
      <c r="S4" s="395">
        <f>[2]B5!S35</f>
        <v>1</v>
      </c>
      <c r="T4" s="395">
        <f>[2]B5!T35</f>
        <v>0</v>
      </c>
      <c r="U4" s="395">
        <f>[2]B5!U35</f>
        <v>3</v>
      </c>
      <c r="V4" s="395">
        <f>[2]B5!V35</f>
        <v>267</v>
      </c>
      <c r="W4" s="395">
        <f>[2]B5!W35</f>
        <v>0</v>
      </c>
      <c r="X4" s="395">
        <f>[2]B5!X35</f>
        <v>2452</v>
      </c>
      <c r="Y4" s="395">
        <f>[2]B5!Y35</f>
        <v>0</v>
      </c>
      <c r="Z4" s="395">
        <f>[2]B5!Z35</f>
        <v>137831.1</v>
      </c>
      <c r="AA4" s="395">
        <f>[2]B5!AA35</f>
        <v>0</v>
      </c>
      <c r="AB4" s="395">
        <f>[2]B5!AB35</f>
        <v>0</v>
      </c>
      <c r="AC4" s="395">
        <f>[2]B5!AC35</f>
        <v>1934</v>
      </c>
      <c r="AD4" s="395">
        <f>[2]B5!AD35</f>
        <v>0</v>
      </c>
      <c r="AE4" s="395">
        <f>[2]B5!AE35</f>
        <v>365317</v>
      </c>
      <c r="AF4" s="395">
        <f>[2]B5!AF35</f>
        <v>0</v>
      </c>
      <c r="AG4" s="395">
        <f>[2]B5!AG35</f>
        <v>0</v>
      </c>
      <c r="AH4" s="395">
        <f>[2]B5!AH35</f>
        <v>0</v>
      </c>
      <c r="AI4" s="395">
        <f>[2]B5!AI35</f>
        <v>267</v>
      </c>
      <c r="AJ4" s="395">
        <f>[2]B5!AJ35</f>
        <v>267</v>
      </c>
      <c r="AK4" s="395">
        <f>[2]B5!AK35</f>
        <v>0</v>
      </c>
      <c r="AL4" s="395">
        <f>[2]B5!AL35</f>
        <v>3</v>
      </c>
      <c r="AM4" s="395">
        <f>[2]B5!AM35</f>
        <v>0</v>
      </c>
      <c r="AN4" s="395">
        <f>[2]B5!AN35</f>
        <v>67</v>
      </c>
      <c r="AO4" s="395">
        <f>[2]B5!AO35</f>
        <v>2010.0000000000002</v>
      </c>
      <c r="AP4" s="395">
        <f>[2]B5!AP35</f>
        <v>55</v>
      </c>
      <c r="AQ4" s="395">
        <f>[2]B5!AQ35</f>
        <v>1650.0000000000002</v>
      </c>
      <c r="AR4" s="395">
        <f>[2]B5!AR35</f>
        <v>61</v>
      </c>
      <c r="AS4" s="395">
        <f>[2]B5!AS35</f>
        <v>1830</v>
      </c>
      <c r="AT4" s="395">
        <f>[2]B5!AT35</f>
        <v>5490</v>
      </c>
      <c r="AU4" s="395">
        <f>[2]B5!AU35</f>
        <v>0</v>
      </c>
      <c r="AV4" s="395">
        <v>0.1</v>
      </c>
      <c r="AW4" s="395">
        <v>0.1</v>
      </c>
      <c r="AX4" s="395">
        <f>[2]B5!AX35</f>
        <v>0.8</v>
      </c>
    </row>
    <row r="5" spans="1:52">
      <c r="A5" s="63">
        <f>ELEC!C3</f>
        <v>44228</v>
      </c>
      <c r="B5" s="589">
        <v>232</v>
      </c>
      <c r="C5" s="589">
        <v>238</v>
      </c>
      <c r="D5" s="45">
        <f>C4-C5</f>
        <v>4</v>
      </c>
      <c r="E5" s="45">
        <f>D5*8.38</f>
        <v>33.520000000000003</v>
      </c>
      <c r="F5" s="589">
        <v>1717</v>
      </c>
      <c r="G5" s="52">
        <f t="shared" ref="G5:G32" si="0">F5-F4</f>
        <v>2</v>
      </c>
      <c r="H5" s="589">
        <v>4147</v>
      </c>
      <c r="I5" s="396">
        <f t="shared" ref="I5:I32" si="1">SUM(H5-H4)</f>
        <v>156</v>
      </c>
      <c r="J5" s="66">
        <v>1</v>
      </c>
      <c r="K5" s="589">
        <f>K4</f>
        <v>2216</v>
      </c>
      <c r="L5" s="52">
        <f>K5-K4</f>
        <v>0</v>
      </c>
      <c r="M5" s="589">
        <f>M4</f>
        <v>162924</v>
      </c>
      <c r="N5" s="396">
        <f t="shared" ref="N5:N32" si="2">M5-M4</f>
        <v>0</v>
      </c>
      <c r="O5" s="64">
        <f>O4</f>
        <v>1869</v>
      </c>
      <c r="P5" s="589">
        <v>1966</v>
      </c>
      <c r="Q5" s="589">
        <v>166371</v>
      </c>
      <c r="R5" s="395">
        <f t="shared" ref="R5:R10" si="3">Q5-Q4</f>
        <v>192</v>
      </c>
      <c r="S5" s="52">
        <f t="shared" ref="S5:S32" si="4">SUM(P5-P4)</f>
        <v>2</v>
      </c>
      <c r="T5" s="67">
        <f>SUM(S5*$T$2)</f>
        <v>0</v>
      </c>
      <c r="U5" s="402">
        <f>SUM(G5+L5+S5)</f>
        <v>4</v>
      </c>
      <c r="V5" s="62">
        <f>R5+N5+I5:I5</f>
        <v>348</v>
      </c>
      <c r="W5" s="400">
        <f>SUM(V5/U5)</f>
        <v>87</v>
      </c>
      <c r="X5" s="589">
        <v>2453</v>
      </c>
      <c r="Y5" s="52">
        <f>X5-X4</f>
        <v>1</v>
      </c>
      <c r="Z5" s="589">
        <v>137950.70000000001</v>
      </c>
      <c r="AA5" s="65">
        <f t="shared" ref="AA5:AA32" si="5">Z5-Z4</f>
        <v>119.60000000000582</v>
      </c>
      <c r="AB5" s="284">
        <f>SUM(Y5*$AB$2)</f>
        <v>0</v>
      </c>
      <c r="AC5" s="589">
        <f>AC4</f>
        <v>1934</v>
      </c>
      <c r="AD5" s="45">
        <f t="shared" ref="AD5:AD32" si="6">AC5-AC4</f>
        <v>0</v>
      </c>
      <c r="AE5" s="589">
        <f>AE4</f>
        <v>365317</v>
      </c>
      <c r="AF5" s="306">
        <f>AE5-AE4</f>
        <v>0</v>
      </c>
      <c r="AG5" s="209">
        <f>IF(AD5&gt;0,AF5/AD5,0)</f>
        <v>0</v>
      </c>
      <c r="AH5" s="62">
        <f>AF5+AA5</f>
        <v>119.60000000000582</v>
      </c>
      <c r="AI5" s="318">
        <f>SUM(AH5+V5)</f>
        <v>467.60000000000582</v>
      </c>
      <c r="AJ5" s="318">
        <f>-tanks!AW6</f>
        <v>467.60000000000582</v>
      </c>
      <c r="AK5" s="318">
        <f>SUM(AJ5-AI5)</f>
        <v>0</v>
      </c>
      <c r="AL5" s="318">
        <f t="shared" ref="AL5:AL32" si="7">S5+L5+G5</f>
        <v>4</v>
      </c>
      <c r="AM5" s="318">
        <f>Y5+AD5</f>
        <v>1</v>
      </c>
      <c r="AN5" s="589">
        <f>AN4</f>
        <v>67</v>
      </c>
      <c r="AO5" s="320">
        <f>(AN5/100)*3000</f>
        <v>2010.0000000000002</v>
      </c>
      <c r="AP5" s="589">
        <f>AP4</f>
        <v>55</v>
      </c>
      <c r="AQ5" s="320">
        <f>(AP5/100)*3000</f>
        <v>1650.0000000000002</v>
      </c>
      <c r="AR5" s="589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44229</v>
      </c>
      <c r="B6" s="589">
        <v>229</v>
      </c>
      <c r="C6" s="589">
        <v>235</v>
      </c>
      <c r="D6" s="45">
        <f>C5-C6</f>
        <v>3</v>
      </c>
      <c r="E6" s="45">
        <f t="shared" ref="E6:E31" si="8">D6*8.38</f>
        <v>25.14</v>
      </c>
      <c r="F6" s="589">
        <v>1719</v>
      </c>
      <c r="G6" s="52">
        <f t="shared" si="0"/>
        <v>2</v>
      </c>
      <c r="H6" s="589">
        <v>4287</v>
      </c>
      <c r="I6" s="396">
        <f t="shared" si="1"/>
        <v>140</v>
      </c>
      <c r="J6" s="66">
        <f t="shared" ref="J6:J32" si="9">IF(G6&gt;0,I6/G6,0)</f>
        <v>70</v>
      </c>
      <c r="K6" s="589">
        <v>2218</v>
      </c>
      <c r="L6" s="52">
        <f t="shared" ref="L6:L32" si="10">K6-K5</f>
        <v>2</v>
      </c>
      <c r="M6" s="589">
        <v>163018</v>
      </c>
      <c r="N6" s="396">
        <f t="shared" si="2"/>
        <v>94</v>
      </c>
      <c r="O6" s="64">
        <f t="shared" ref="O6:P32" si="11">O5</f>
        <v>1869</v>
      </c>
      <c r="P6" s="589">
        <f t="shared" si="11"/>
        <v>1966</v>
      </c>
      <c r="Q6" s="589">
        <f t="shared" ref="Q6" si="12">Q5</f>
        <v>166371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3">SUM(G6+L6+S6)</f>
        <v>4</v>
      </c>
      <c r="V6" s="62">
        <f t="shared" ref="V6:V32" si="14">R6+N6+I6:I6</f>
        <v>234</v>
      </c>
      <c r="W6" s="400">
        <f t="shared" ref="W6:W16" si="15">SUM(V6/U6)</f>
        <v>58.5</v>
      </c>
      <c r="X6" s="589">
        <f t="shared" ref="X6:Z32" si="16">X5</f>
        <v>2453</v>
      </c>
      <c r="Y6" s="52">
        <f t="shared" ref="Y6:Y32" si="17">X6-X5</f>
        <v>0</v>
      </c>
      <c r="Z6" s="589">
        <f t="shared" si="16"/>
        <v>137950.70000000001</v>
      </c>
      <c r="AA6" s="65">
        <f t="shared" si="5"/>
        <v>0</v>
      </c>
      <c r="AB6" s="284">
        <f>SUM(Y6*$AB$2)</f>
        <v>0</v>
      </c>
      <c r="AC6" s="589">
        <f t="shared" ref="AC6:AE6" si="18">AC5</f>
        <v>1934</v>
      </c>
      <c r="AD6" s="45">
        <f t="shared" si="6"/>
        <v>0</v>
      </c>
      <c r="AE6" s="589">
        <f t="shared" si="18"/>
        <v>365317</v>
      </c>
      <c r="AF6" s="306">
        <f t="shared" ref="AF6:AF32" si="19">AE6-AE5</f>
        <v>0</v>
      </c>
      <c r="AG6" s="209">
        <f>IF(AD6&gt;0,AF6/AD6,0)</f>
        <v>0</v>
      </c>
      <c r="AH6" s="62">
        <f>AF6+AA6</f>
        <v>0</v>
      </c>
      <c r="AI6" s="318">
        <f t="shared" ref="AI6:AI32" si="20">SUM(AH6+V6)</f>
        <v>234</v>
      </c>
      <c r="AJ6" s="318">
        <f>-tanks!AW7</f>
        <v>234</v>
      </c>
      <c r="AK6" s="318">
        <f t="shared" ref="AK6:AK32" si="21">SUM(AJ6-AI6)</f>
        <v>0</v>
      </c>
      <c r="AL6" s="318">
        <f t="shared" si="7"/>
        <v>4</v>
      </c>
      <c r="AM6" s="318">
        <f t="shared" ref="AM6:AM32" si="22">Y6+AD6</f>
        <v>0</v>
      </c>
      <c r="AN6" s="589">
        <f t="shared" ref="AN6:AP6" si="23">AN5</f>
        <v>67</v>
      </c>
      <c r="AO6" s="320">
        <f t="shared" ref="AO6:AO26" si="24">(AN6/100)*3000</f>
        <v>2010.0000000000002</v>
      </c>
      <c r="AP6" s="589">
        <f t="shared" si="23"/>
        <v>55</v>
      </c>
      <c r="AQ6" s="320">
        <f t="shared" ref="AQ6:AQ24" si="25">(AP6/100)*3000</f>
        <v>1650.0000000000002</v>
      </c>
      <c r="AR6" s="589">
        <f t="shared" ref="AR6" si="26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7">IF(AV6&gt;0,AW6,AX5)</f>
        <v>0.8</v>
      </c>
    </row>
    <row r="7" spans="1:52">
      <c r="A7" s="63">
        <f>ELEC!C5</f>
        <v>44230</v>
      </c>
      <c r="B7" s="589">
        <v>225</v>
      </c>
      <c r="C7" s="589">
        <v>231</v>
      </c>
      <c r="D7" s="45">
        <f t="shared" ref="D7:D32" si="28">C6-C7</f>
        <v>4</v>
      </c>
      <c r="E7" s="45">
        <f t="shared" si="8"/>
        <v>33.520000000000003</v>
      </c>
      <c r="F7" s="589">
        <f t="shared" ref="F7:H32" si="29">F6</f>
        <v>1719</v>
      </c>
      <c r="G7" s="52">
        <f t="shared" si="0"/>
        <v>0</v>
      </c>
      <c r="H7" s="589">
        <f t="shared" si="29"/>
        <v>4287</v>
      </c>
      <c r="I7" s="396">
        <f t="shared" si="1"/>
        <v>0</v>
      </c>
      <c r="J7" s="66">
        <f t="shared" si="9"/>
        <v>0</v>
      </c>
      <c r="K7" s="589">
        <v>2220</v>
      </c>
      <c r="L7" s="52">
        <f t="shared" si="10"/>
        <v>2</v>
      </c>
      <c r="M7" s="589">
        <v>163181</v>
      </c>
      <c r="N7" s="396">
        <f t="shared" si="2"/>
        <v>163</v>
      </c>
      <c r="O7" s="64">
        <f t="shared" si="11"/>
        <v>1869</v>
      </c>
      <c r="P7" s="589">
        <v>1968</v>
      </c>
      <c r="Q7" s="589">
        <v>166462</v>
      </c>
      <c r="R7" s="395">
        <f t="shared" si="3"/>
        <v>91</v>
      </c>
      <c r="S7" s="52">
        <f t="shared" si="4"/>
        <v>2</v>
      </c>
      <c r="T7" s="67">
        <f t="shared" ref="T7:T32" si="30">SUM(S7*$T$2)</f>
        <v>0</v>
      </c>
      <c r="U7" s="402">
        <f t="shared" si="13"/>
        <v>4</v>
      </c>
      <c r="V7" s="62">
        <f t="shared" si="14"/>
        <v>254</v>
      </c>
      <c r="W7" s="400">
        <f t="shared" si="15"/>
        <v>63.5</v>
      </c>
      <c r="X7" s="589">
        <f t="shared" si="16"/>
        <v>2453</v>
      </c>
      <c r="Y7" s="52">
        <f t="shared" si="17"/>
        <v>0</v>
      </c>
      <c r="Z7" s="589">
        <f t="shared" si="16"/>
        <v>137950.70000000001</v>
      </c>
      <c r="AA7" s="65">
        <f t="shared" si="5"/>
        <v>0</v>
      </c>
      <c r="AB7" s="284">
        <f t="shared" ref="AB7:AB17" si="31">SUM(Y7*$AB$2)</f>
        <v>0</v>
      </c>
      <c r="AC7" s="589">
        <f t="shared" ref="AC7" si="32">AC6</f>
        <v>1934</v>
      </c>
      <c r="AD7" s="45">
        <f t="shared" si="6"/>
        <v>0</v>
      </c>
      <c r="AE7" s="589">
        <v>365352</v>
      </c>
      <c r="AF7" s="306">
        <f t="shared" si="19"/>
        <v>35</v>
      </c>
      <c r="AG7" s="209">
        <f t="shared" ref="AG7:AG32" si="33">IF(AD7&gt;0,AF7/AD7,0)</f>
        <v>0</v>
      </c>
      <c r="AH7" s="62">
        <f t="shared" ref="AH7:AH32" si="34">AF7+AA7</f>
        <v>35</v>
      </c>
      <c r="AI7" s="318">
        <f t="shared" si="20"/>
        <v>289</v>
      </c>
      <c r="AJ7" s="318">
        <f>-tanks!AW8</f>
        <v>289</v>
      </c>
      <c r="AK7" s="318">
        <f t="shared" si="21"/>
        <v>0</v>
      </c>
      <c r="AL7" s="318">
        <f t="shared" si="7"/>
        <v>4</v>
      </c>
      <c r="AM7" s="318">
        <f t="shared" si="22"/>
        <v>0</v>
      </c>
      <c r="AN7" s="589">
        <f t="shared" ref="AN7:AP7" si="35">AN6</f>
        <v>67</v>
      </c>
      <c r="AO7" s="320">
        <f t="shared" si="24"/>
        <v>2010.0000000000002</v>
      </c>
      <c r="AP7" s="589">
        <f t="shared" si="35"/>
        <v>55</v>
      </c>
      <c r="AQ7" s="320">
        <f t="shared" si="25"/>
        <v>1650.0000000000002</v>
      </c>
      <c r="AR7" s="589">
        <f t="shared" ref="AR7" si="36">AR6</f>
        <v>61</v>
      </c>
      <c r="AS7" s="320">
        <f t="shared" ref="AS7:AS32" si="37">(AR7/100)*3000</f>
        <v>1830</v>
      </c>
      <c r="AT7" s="320">
        <f t="shared" ref="AT7:AT23" si="38">SUM(AO7+AQ7+AS7)</f>
        <v>5490</v>
      </c>
      <c r="AU7" s="320">
        <f t="shared" ref="AU7:AU32" si="39">AT6-AT7+AV7</f>
        <v>0</v>
      </c>
      <c r="AV7" s="269"/>
      <c r="AW7" s="269"/>
      <c r="AX7" s="313">
        <f t="shared" si="27"/>
        <v>0.8</v>
      </c>
      <c r="AZ7" s="42" t="s">
        <v>413</v>
      </c>
    </row>
    <row r="8" spans="1:52">
      <c r="A8" s="63">
        <f>ELEC!C6</f>
        <v>44231</v>
      </c>
      <c r="B8" s="589">
        <v>221</v>
      </c>
      <c r="C8" s="589">
        <v>227</v>
      </c>
      <c r="D8" s="45">
        <f t="shared" si="28"/>
        <v>4</v>
      </c>
      <c r="E8" s="45">
        <f t="shared" si="8"/>
        <v>33.520000000000003</v>
      </c>
      <c r="F8" s="589">
        <v>1721</v>
      </c>
      <c r="G8" s="52">
        <f t="shared" si="0"/>
        <v>2</v>
      </c>
      <c r="H8" s="589">
        <v>4416</v>
      </c>
      <c r="I8" s="396">
        <f t="shared" si="1"/>
        <v>129</v>
      </c>
      <c r="J8" s="66">
        <f t="shared" si="9"/>
        <v>64.5</v>
      </c>
      <c r="K8" s="589">
        <f t="shared" ref="K8:M32" si="40">K7</f>
        <v>2220</v>
      </c>
      <c r="L8" s="52">
        <f t="shared" si="10"/>
        <v>0</v>
      </c>
      <c r="M8" s="589">
        <f t="shared" si="40"/>
        <v>163181</v>
      </c>
      <c r="N8" s="396">
        <f t="shared" si="2"/>
        <v>0</v>
      </c>
      <c r="O8" s="64">
        <f t="shared" si="11"/>
        <v>1869</v>
      </c>
      <c r="P8" s="589">
        <v>1970</v>
      </c>
      <c r="Q8" s="589">
        <v>166647</v>
      </c>
      <c r="R8" s="395">
        <f t="shared" si="3"/>
        <v>185</v>
      </c>
      <c r="S8" s="52">
        <f t="shared" si="4"/>
        <v>2</v>
      </c>
      <c r="T8" s="67">
        <f t="shared" si="30"/>
        <v>0</v>
      </c>
      <c r="U8" s="402">
        <f t="shared" si="13"/>
        <v>4</v>
      </c>
      <c r="V8" s="62">
        <f t="shared" si="14"/>
        <v>314</v>
      </c>
      <c r="W8" s="400">
        <f t="shared" si="15"/>
        <v>78.5</v>
      </c>
      <c r="X8" s="589">
        <f t="shared" si="16"/>
        <v>2453</v>
      </c>
      <c r="Y8" s="52">
        <f t="shared" si="17"/>
        <v>0</v>
      </c>
      <c r="Z8" s="589">
        <f t="shared" si="16"/>
        <v>137950.70000000001</v>
      </c>
      <c r="AA8" s="65">
        <f t="shared" si="5"/>
        <v>0</v>
      </c>
      <c r="AB8" s="284">
        <f t="shared" si="31"/>
        <v>0</v>
      </c>
      <c r="AC8" s="589">
        <f t="shared" ref="AC8:AE8" si="41">AC7</f>
        <v>1934</v>
      </c>
      <c r="AD8" s="45">
        <f t="shared" si="6"/>
        <v>0</v>
      </c>
      <c r="AE8" s="589">
        <f t="shared" si="41"/>
        <v>365352</v>
      </c>
      <c r="AF8" s="306">
        <f t="shared" si="19"/>
        <v>0</v>
      </c>
      <c r="AG8" s="209">
        <f t="shared" si="33"/>
        <v>0</v>
      </c>
      <c r="AH8" s="62">
        <f t="shared" si="34"/>
        <v>0</v>
      </c>
      <c r="AI8" s="318">
        <f t="shared" si="20"/>
        <v>314</v>
      </c>
      <c r="AJ8" s="318">
        <f>-tanks!AW9</f>
        <v>314</v>
      </c>
      <c r="AK8" s="318">
        <f t="shared" si="21"/>
        <v>0</v>
      </c>
      <c r="AL8" s="318">
        <f t="shared" si="7"/>
        <v>4</v>
      </c>
      <c r="AM8" s="318">
        <f t="shared" si="22"/>
        <v>0</v>
      </c>
      <c r="AN8" s="589">
        <f t="shared" ref="AN8:AP8" si="42">AN7</f>
        <v>67</v>
      </c>
      <c r="AO8" s="320">
        <f t="shared" si="24"/>
        <v>2010.0000000000002</v>
      </c>
      <c r="AP8" s="589">
        <f t="shared" si="42"/>
        <v>55</v>
      </c>
      <c r="AQ8" s="320">
        <f t="shared" si="25"/>
        <v>1650.0000000000002</v>
      </c>
      <c r="AR8" s="589">
        <f t="shared" ref="AR8" si="43">AR7</f>
        <v>61</v>
      </c>
      <c r="AS8" s="320">
        <f t="shared" si="37"/>
        <v>1830</v>
      </c>
      <c r="AT8" s="320">
        <f t="shared" si="38"/>
        <v>5490</v>
      </c>
      <c r="AU8" s="320">
        <f t="shared" si="39"/>
        <v>0</v>
      </c>
      <c r="AV8" s="269"/>
      <c r="AW8" s="269"/>
      <c r="AX8" s="313">
        <f t="shared" si="27"/>
        <v>0.8</v>
      </c>
    </row>
    <row r="9" spans="1:52" ht="15.75" customHeight="1">
      <c r="A9" s="63">
        <f>ELEC!C7</f>
        <v>44232</v>
      </c>
      <c r="B9" s="589">
        <v>247</v>
      </c>
      <c r="C9" s="589">
        <v>252</v>
      </c>
      <c r="D9" s="45">
        <f t="shared" si="28"/>
        <v>-25</v>
      </c>
      <c r="E9" s="45">
        <f t="shared" si="8"/>
        <v>-209.50000000000003</v>
      </c>
      <c r="F9" s="589">
        <v>1724</v>
      </c>
      <c r="G9" s="52">
        <f t="shared" si="0"/>
        <v>3</v>
      </c>
      <c r="H9" s="589">
        <v>4626</v>
      </c>
      <c r="I9" s="396">
        <f t="shared" si="1"/>
        <v>210</v>
      </c>
      <c r="J9" s="66">
        <f t="shared" si="9"/>
        <v>70</v>
      </c>
      <c r="K9" s="589">
        <v>2222</v>
      </c>
      <c r="L9" s="52">
        <f t="shared" si="10"/>
        <v>2</v>
      </c>
      <c r="M9" s="589">
        <v>163362</v>
      </c>
      <c r="N9" s="396">
        <f t="shared" si="2"/>
        <v>181</v>
      </c>
      <c r="O9" s="64">
        <f t="shared" si="11"/>
        <v>1869</v>
      </c>
      <c r="P9" s="589">
        <f t="shared" si="11"/>
        <v>1970</v>
      </c>
      <c r="Q9" s="589">
        <f t="shared" ref="Q9" si="44">Q8</f>
        <v>166647</v>
      </c>
      <c r="R9" s="395">
        <f t="shared" si="3"/>
        <v>0</v>
      </c>
      <c r="S9" s="52">
        <f t="shared" si="4"/>
        <v>0</v>
      </c>
      <c r="T9" s="67">
        <f t="shared" si="30"/>
        <v>0</v>
      </c>
      <c r="U9" s="402">
        <f t="shared" si="13"/>
        <v>5</v>
      </c>
      <c r="V9" s="62">
        <f t="shared" si="14"/>
        <v>391</v>
      </c>
      <c r="W9" s="400">
        <f t="shared" si="15"/>
        <v>78.2</v>
      </c>
      <c r="X9" s="589">
        <f t="shared" si="16"/>
        <v>2453</v>
      </c>
      <c r="Y9" s="52">
        <f t="shared" si="17"/>
        <v>0</v>
      </c>
      <c r="Z9" s="589">
        <f t="shared" si="16"/>
        <v>137950.70000000001</v>
      </c>
      <c r="AA9" s="65">
        <f t="shared" si="5"/>
        <v>0</v>
      </c>
      <c r="AB9" s="284">
        <f t="shared" si="31"/>
        <v>0</v>
      </c>
      <c r="AC9" s="589">
        <v>1934</v>
      </c>
      <c r="AD9" s="45">
        <f t="shared" si="6"/>
        <v>0</v>
      </c>
      <c r="AE9" s="589">
        <f t="shared" ref="AE9" si="45">AE8</f>
        <v>365352</v>
      </c>
      <c r="AF9" s="306">
        <f t="shared" si="19"/>
        <v>0</v>
      </c>
      <c r="AG9" s="209">
        <f t="shared" si="33"/>
        <v>0</v>
      </c>
      <c r="AH9" s="62">
        <f t="shared" si="34"/>
        <v>0</v>
      </c>
      <c r="AI9" s="318">
        <f t="shared" si="20"/>
        <v>391</v>
      </c>
      <c r="AJ9" s="318">
        <f>-tanks!AW10</f>
        <v>391</v>
      </c>
      <c r="AK9" s="318">
        <f t="shared" si="21"/>
        <v>0</v>
      </c>
      <c r="AL9" s="318">
        <f t="shared" si="7"/>
        <v>5</v>
      </c>
      <c r="AM9" s="318">
        <f t="shared" si="22"/>
        <v>0</v>
      </c>
      <c r="AN9" s="589">
        <f t="shared" ref="AN9:AP9" si="46">AN8</f>
        <v>67</v>
      </c>
      <c r="AO9" s="320">
        <f t="shared" si="24"/>
        <v>2010.0000000000002</v>
      </c>
      <c r="AP9" s="589">
        <f t="shared" si="46"/>
        <v>55</v>
      </c>
      <c r="AQ9" s="320">
        <f t="shared" si="25"/>
        <v>1650.0000000000002</v>
      </c>
      <c r="AR9" s="589">
        <f t="shared" ref="AR9" si="47">AR8</f>
        <v>61</v>
      </c>
      <c r="AS9" s="320">
        <f>(AR9/100)*3000</f>
        <v>1830</v>
      </c>
      <c r="AT9" s="320">
        <f t="shared" si="38"/>
        <v>5490</v>
      </c>
      <c r="AU9" s="320">
        <f t="shared" si="39"/>
        <v>0</v>
      </c>
      <c r="AV9" s="269"/>
      <c r="AW9" s="269"/>
      <c r="AX9" s="313">
        <f t="shared" si="27"/>
        <v>0.8</v>
      </c>
    </row>
    <row r="10" spans="1:52">
      <c r="A10" s="63">
        <f>ELEC!C8</f>
        <v>44233</v>
      </c>
      <c r="B10" s="589">
        <v>244</v>
      </c>
      <c r="C10" s="589">
        <v>250</v>
      </c>
      <c r="D10" s="45">
        <f t="shared" si="28"/>
        <v>2</v>
      </c>
      <c r="E10" s="45">
        <f t="shared" si="8"/>
        <v>16.760000000000002</v>
      </c>
      <c r="F10" s="589">
        <f t="shared" si="29"/>
        <v>1724</v>
      </c>
      <c r="G10" s="52">
        <f t="shared" si="0"/>
        <v>0</v>
      </c>
      <c r="H10" s="589">
        <f t="shared" si="29"/>
        <v>4626</v>
      </c>
      <c r="I10" s="396">
        <f t="shared" si="1"/>
        <v>0</v>
      </c>
      <c r="J10" s="66">
        <f t="shared" si="9"/>
        <v>0</v>
      </c>
      <c r="K10" s="589">
        <v>2224</v>
      </c>
      <c r="L10" s="52">
        <f t="shared" si="10"/>
        <v>2</v>
      </c>
      <c r="M10" s="589">
        <v>163480</v>
      </c>
      <c r="N10" s="396">
        <f t="shared" si="2"/>
        <v>118</v>
      </c>
      <c r="O10" s="64">
        <f t="shared" si="11"/>
        <v>1869</v>
      </c>
      <c r="P10" s="589">
        <v>1973</v>
      </c>
      <c r="Q10" s="589">
        <v>166840</v>
      </c>
      <c r="R10" s="395">
        <f t="shared" si="3"/>
        <v>193</v>
      </c>
      <c r="S10" s="52">
        <f t="shared" si="4"/>
        <v>3</v>
      </c>
      <c r="T10" s="67">
        <f t="shared" si="30"/>
        <v>0</v>
      </c>
      <c r="U10" s="402">
        <f t="shared" si="13"/>
        <v>5</v>
      </c>
      <c r="V10" s="62">
        <f t="shared" si="14"/>
        <v>311</v>
      </c>
      <c r="W10" s="400">
        <f t="shared" si="15"/>
        <v>62.2</v>
      </c>
      <c r="X10" s="589">
        <f t="shared" si="16"/>
        <v>2453</v>
      </c>
      <c r="Y10" s="52">
        <f t="shared" si="17"/>
        <v>0</v>
      </c>
      <c r="Z10" s="589">
        <f t="shared" si="16"/>
        <v>137950.70000000001</v>
      </c>
      <c r="AA10" s="65">
        <f t="shared" si="5"/>
        <v>0</v>
      </c>
      <c r="AB10" s="284">
        <f t="shared" si="31"/>
        <v>0</v>
      </c>
      <c r="AC10" s="589">
        <f t="shared" ref="AC10:AE10" si="48">AC9</f>
        <v>1934</v>
      </c>
      <c r="AD10" s="45">
        <f t="shared" si="6"/>
        <v>0</v>
      </c>
      <c r="AE10" s="589">
        <f t="shared" si="48"/>
        <v>365352</v>
      </c>
      <c r="AF10" s="306">
        <f t="shared" si="19"/>
        <v>0</v>
      </c>
      <c r="AG10" s="209">
        <f t="shared" si="33"/>
        <v>0</v>
      </c>
      <c r="AH10" s="62">
        <f t="shared" si="34"/>
        <v>0</v>
      </c>
      <c r="AI10" s="318">
        <f>SUM(AH10+V10)</f>
        <v>311</v>
      </c>
      <c r="AJ10" s="318">
        <f>-tanks!AW11</f>
        <v>311</v>
      </c>
      <c r="AK10" s="318">
        <f t="shared" si="21"/>
        <v>0</v>
      </c>
      <c r="AL10" s="318">
        <f t="shared" si="7"/>
        <v>5</v>
      </c>
      <c r="AM10" s="318">
        <f t="shared" si="22"/>
        <v>0</v>
      </c>
      <c r="AN10" s="589">
        <f t="shared" ref="AN10:AP10" si="49">AN9</f>
        <v>67</v>
      </c>
      <c r="AO10" s="320">
        <f t="shared" si="24"/>
        <v>2010.0000000000002</v>
      </c>
      <c r="AP10" s="589">
        <f t="shared" si="49"/>
        <v>55</v>
      </c>
      <c r="AQ10" s="320">
        <f t="shared" si="25"/>
        <v>1650.0000000000002</v>
      </c>
      <c r="AR10" s="589">
        <f t="shared" ref="AR10" si="50">AR9</f>
        <v>61</v>
      </c>
      <c r="AS10" s="320">
        <f t="shared" si="37"/>
        <v>1830</v>
      </c>
      <c r="AT10" s="320">
        <f t="shared" si="38"/>
        <v>5490</v>
      </c>
      <c r="AU10" s="320">
        <f t="shared" si="39"/>
        <v>0</v>
      </c>
      <c r="AV10" s="269"/>
      <c r="AW10" s="269"/>
      <c r="AX10" s="313">
        <f t="shared" si="27"/>
        <v>0.8</v>
      </c>
    </row>
    <row r="11" spans="1:52">
      <c r="A11" s="63">
        <f>ELEC!C9</f>
        <v>44234</v>
      </c>
      <c r="B11" s="589">
        <v>240</v>
      </c>
      <c r="C11" s="589">
        <v>246</v>
      </c>
      <c r="D11" s="45">
        <f t="shared" si="28"/>
        <v>4</v>
      </c>
      <c r="E11" s="45">
        <f t="shared" si="8"/>
        <v>33.520000000000003</v>
      </c>
      <c r="F11" s="589">
        <v>1725</v>
      </c>
      <c r="G11" s="52">
        <f t="shared" si="0"/>
        <v>1</v>
      </c>
      <c r="H11" s="589">
        <v>4721</v>
      </c>
      <c r="I11" s="396">
        <f t="shared" si="1"/>
        <v>95</v>
      </c>
      <c r="J11" s="66">
        <f t="shared" si="9"/>
        <v>95</v>
      </c>
      <c r="K11" s="589">
        <f t="shared" si="40"/>
        <v>2224</v>
      </c>
      <c r="L11" s="52">
        <f t="shared" si="10"/>
        <v>0</v>
      </c>
      <c r="M11" s="589">
        <f t="shared" si="40"/>
        <v>163480</v>
      </c>
      <c r="N11" s="396">
        <f t="shared" si="2"/>
        <v>0</v>
      </c>
      <c r="O11" s="64">
        <f t="shared" si="11"/>
        <v>1869</v>
      </c>
      <c r="P11" s="589">
        <v>1975</v>
      </c>
      <c r="Q11" s="589">
        <v>167024</v>
      </c>
      <c r="R11" s="395">
        <f t="shared" ref="R11:R32" si="51">Q11-Q10</f>
        <v>184</v>
      </c>
      <c r="S11" s="52">
        <f t="shared" si="4"/>
        <v>2</v>
      </c>
      <c r="T11" s="67">
        <f t="shared" si="30"/>
        <v>0</v>
      </c>
      <c r="U11" s="402">
        <f t="shared" si="13"/>
        <v>3</v>
      </c>
      <c r="V11" s="62">
        <f t="shared" si="14"/>
        <v>279</v>
      </c>
      <c r="W11" s="400">
        <f t="shared" si="15"/>
        <v>93</v>
      </c>
      <c r="X11" s="589">
        <f t="shared" si="16"/>
        <v>2453</v>
      </c>
      <c r="Y11" s="52">
        <f t="shared" si="17"/>
        <v>0</v>
      </c>
      <c r="Z11" s="589">
        <f t="shared" si="16"/>
        <v>137950.70000000001</v>
      </c>
      <c r="AA11" s="65">
        <f t="shared" si="5"/>
        <v>0</v>
      </c>
      <c r="AB11" s="284">
        <f t="shared" si="31"/>
        <v>0</v>
      </c>
      <c r="AC11" s="589">
        <f t="shared" ref="AC11:AE11" si="52">AC10</f>
        <v>1934</v>
      </c>
      <c r="AD11" s="45">
        <f t="shared" si="6"/>
        <v>0</v>
      </c>
      <c r="AE11" s="589">
        <f t="shared" si="52"/>
        <v>365352</v>
      </c>
      <c r="AF11" s="306">
        <f t="shared" si="19"/>
        <v>0</v>
      </c>
      <c r="AG11" s="209">
        <f t="shared" si="33"/>
        <v>0</v>
      </c>
      <c r="AH11" s="62">
        <f>AF11+AA11</f>
        <v>0</v>
      </c>
      <c r="AI11" s="318">
        <f>SUM(AH11+V11)</f>
        <v>279</v>
      </c>
      <c r="AJ11" s="318">
        <f>-tanks!AW12</f>
        <v>279</v>
      </c>
      <c r="AK11" s="318">
        <f t="shared" si="21"/>
        <v>0</v>
      </c>
      <c r="AL11" s="318">
        <f t="shared" si="7"/>
        <v>3</v>
      </c>
      <c r="AM11" s="318">
        <f t="shared" si="22"/>
        <v>0</v>
      </c>
      <c r="AN11" s="589">
        <f t="shared" ref="AN11:AP11" si="53">AN10</f>
        <v>67</v>
      </c>
      <c r="AO11" s="320">
        <f t="shared" si="24"/>
        <v>2010.0000000000002</v>
      </c>
      <c r="AP11" s="589">
        <f t="shared" si="53"/>
        <v>55</v>
      </c>
      <c r="AQ11" s="320">
        <f t="shared" si="25"/>
        <v>1650.0000000000002</v>
      </c>
      <c r="AR11" s="589">
        <f t="shared" ref="AR11" si="54">AR10</f>
        <v>61</v>
      </c>
      <c r="AS11" s="320">
        <f t="shared" si="37"/>
        <v>1830</v>
      </c>
      <c r="AT11" s="320">
        <f t="shared" si="38"/>
        <v>5490</v>
      </c>
      <c r="AU11" s="320">
        <f t="shared" si="39"/>
        <v>0</v>
      </c>
      <c r="AV11" s="269"/>
      <c r="AW11" s="269"/>
      <c r="AX11" s="313">
        <f t="shared" si="27"/>
        <v>0.8</v>
      </c>
    </row>
    <row r="12" spans="1:52">
      <c r="A12" s="63">
        <f>ELEC!C10</f>
        <v>44235</v>
      </c>
      <c r="B12" s="589">
        <v>237</v>
      </c>
      <c r="C12" s="589">
        <v>243</v>
      </c>
      <c r="D12" s="45">
        <f t="shared" si="28"/>
        <v>3</v>
      </c>
      <c r="E12" s="45">
        <f t="shared" si="8"/>
        <v>25.14</v>
      </c>
      <c r="F12" s="589">
        <v>1727</v>
      </c>
      <c r="G12" s="52">
        <f t="shared" si="0"/>
        <v>2</v>
      </c>
      <c r="H12" s="589">
        <v>4872</v>
      </c>
      <c r="I12" s="396">
        <f t="shared" si="1"/>
        <v>151</v>
      </c>
      <c r="J12" s="66">
        <f t="shared" si="9"/>
        <v>75.5</v>
      </c>
      <c r="K12" s="589">
        <v>2225</v>
      </c>
      <c r="L12" s="52">
        <f t="shared" si="10"/>
        <v>1</v>
      </c>
      <c r="M12" s="589">
        <v>163585</v>
      </c>
      <c r="N12" s="396">
        <f t="shared" si="2"/>
        <v>105</v>
      </c>
      <c r="O12" s="64">
        <f t="shared" si="11"/>
        <v>1869</v>
      </c>
      <c r="P12" s="589">
        <f t="shared" si="11"/>
        <v>1975</v>
      </c>
      <c r="Q12" s="589">
        <f t="shared" ref="Q12" si="55">Q11</f>
        <v>167024</v>
      </c>
      <c r="R12" s="395">
        <f t="shared" si="51"/>
        <v>0</v>
      </c>
      <c r="S12" s="52">
        <f t="shared" si="4"/>
        <v>0</v>
      </c>
      <c r="T12" s="67">
        <f t="shared" si="30"/>
        <v>0</v>
      </c>
      <c r="U12" s="402">
        <f t="shared" si="13"/>
        <v>3</v>
      </c>
      <c r="V12" s="62">
        <f t="shared" si="14"/>
        <v>256</v>
      </c>
      <c r="W12" s="400">
        <f t="shared" si="15"/>
        <v>85.333333333333329</v>
      </c>
      <c r="X12" s="589">
        <v>2454</v>
      </c>
      <c r="Y12" s="52">
        <f t="shared" si="17"/>
        <v>1</v>
      </c>
      <c r="Z12" s="589">
        <v>138028.1</v>
      </c>
      <c r="AA12" s="65">
        <f t="shared" si="5"/>
        <v>77.399999999994179</v>
      </c>
      <c r="AB12" s="284">
        <f t="shared" si="31"/>
        <v>0</v>
      </c>
      <c r="AC12" s="589">
        <f t="shared" ref="AC12:AE12" si="56">AC11</f>
        <v>1934</v>
      </c>
      <c r="AD12" s="45">
        <f t="shared" si="6"/>
        <v>0</v>
      </c>
      <c r="AE12" s="589">
        <f t="shared" si="56"/>
        <v>365352</v>
      </c>
      <c r="AF12" s="306">
        <f t="shared" si="19"/>
        <v>0</v>
      </c>
      <c r="AG12" s="209">
        <f t="shared" si="33"/>
        <v>0</v>
      </c>
      <c r="AH12" s="62">
        <f t="shared" si="34"/>
        <v>77.399999999994179</v>
      </c>
      <c r="AI12" s="318">
        <f t="shared" si="20"/>
        <v>333.39999999999418</v>
      </c>
      <c r="AJ12" s="318">
        <f>-tanks!AW13</f>
        <v>333.39999999999418</v>
      </c>
      <c r="AK12" s="318">
        <f t="shared" si="21"/>
        <v>0</v>
      </c>
      <c r="AL12" s="318">
        <f t="shared" si="7"/>
        <v>3</v>
      </c>
      <c r="AM12" s="318">
        <f t="shared" si="22"/>
        <v>1</v>
      </c>
      <c r="AN12" s="589">
        <f t="shared" ref="AN12:AP12" si="57">AN11</f>
        <v>67</v>
      </c>
      <c r="AO12" s="320">
        <f t="shared" si="24"/>
        <v>2010.0000000000002</v>
      </c>
      <c r="AP12" s="589">
        <f t="shared" si="57"/>
        <v>55</v>
      </c>
      <c r="AQ12" s="320">
        <f t="shared" si="25"/>
        <v>1650.0000000000002</v>
      </c>
      <c r="AR12" s="589">
        <f t="shared" ref="AR12" si="58">AR11</f>
        <v>61</v>
      </c>
      <c r="AS12" s="320">
        <f t="shared" si="37"/>
        <v>1830</v>
      </c>
      <c r="AT12" s="320">
        <f t="shared" si="38"/>
        <v>5490</v>
      </c>
      <c r="AU12" s="320">
        <f t="shared" si="39"/>
        <v>0</v>
      </c>
      <c r="AV12" s="269"/>
      <c r="AW12" s="269"/>
      <c r="AX12" s="313">
        <f t="shared" si="27"/>
        <v>0.8</v>
      </c>
    </row>
    <row r="13" spans="1:52">
      <c r="A13" s="63">
        <f>ELEC!C11</f>
        <v>44236</v>
      </c>
      <c r="B13" s="589">
        <v>233</v>
      </c>
      <c r="C13" s="589">
        <v>239</v>
      </c>
      <c r="D13" s="45">
        <f t="shared" si="28"/>
        <v>4</v>
      </c>
      <c r="E13" s="45">
        <f t="shared" si="8"/>
        <v>33.520000000000003</v>
      </c>
      <c r="F13" s="589">
        <f t="shared" si="29"/>
        <v>1727</v>
      </c>
      <c r="G13" s="52">
        <f t="shared" si="0"/>
        <v>0</v>
      </c>
      <c r="H13" s="589">
        <f t="shared" si="29"/>
        <v>4872</v>
      </c>
      <c r="I13" s="396">
        <f t="shared" si="1"/>
        <v>0</v>
      </c>
      <c r="J13" s="66">
        <f t="shared" si="9"/>
        <v>0</v>
      </c>
      <c r="K13" s="589">
        <v>2227</v>
      </c>
      <c r="L13" s="52">
        <f t="shared" si="10"/>
        <v>2</v>
      </c>
      <c r="M13" s="589">
        <v>163735</v>
      </c>
      <c r="N13" s="396">
        <f t="shared" si="2"/>
        <v>150</v>
      </c>
      <c r="O13" s="64">
        <f t="shared" si="11"/>
        <v>1869</v>
      </c>
      <c r="P13" s="589">
        <v>1976</v>
      </c>
      <c r="Q13" s="589">
        <v>167110</v>
      </c>
      <c r="R13" s="395">
        <f t="shared" si="51"/>
        <v>86</v>
      </c>
      <c r="S13" s="52">
        <f t="shared" si="4"/>
        <v>1</v>
      </c>
      <c r="T13" s="67">
        <f t="shared" si="30"/>
        <v>0</v>
      </c>
      <c r="U13" s="402">
        <f t="shared" si="13"/>
        <v>3</v>
      </c>
      <c r="V13" s="62">
        <f>R13+N13+I13:I13</f>
        <v>236</v>
      </c>
      <c r="W13" s="400">
        <f t="shared" si="15"/>
        <v>78.666666666666671</v>
      </c>
      <c r="X13" s="589">
        <f t="shared" si="16"/>
        <v>2454</v>
      </c>
      <c r="Y13" s="52">
        <f t="shared" si="17"/>
        <v>0</v>
      </c>
      <c r="Z13" s="589">
        <f t="shared" si="16"/>
        <v>138028.1</v>
      </c>
      <c r="AA13" s="284">
        <f t="shared" si="5"/>
        <v>0</v>
      </c>
      <c r="AB13" s="284">
        <f t="shared" si="31"/>
        <v>0</v>
      </c>
      <c r="AC13" s="589">
        <f t="shared" ref="AC13:AE13" si="59">AC12</f>
        <v>1934</v>
      </c>
      <c r="AD13" s="45">
        <f t="shared" si="6"/>
        <v>0</v>
      </c>
      <c r="AE13" s="589">
        <f t="shared" si="59"/>
        <v>365352</v>
      </c>
      <c r="AF13" s="306">
        <f t="shared" si="19"/>
        <v>0</v>
      </c>
      <c r="AG13" s="209">
        <f t="shared" si="33"/>
        <v>0</v>
      </c>
      <c r="AH13" s="62">
        <f t="shared" si="34"/>
        <v>0</v>
      </c>
      <c r="AI13" s="318">
        <f t="shared" si="20"/>
        <v>236</v>
      </c>
      <c r="AJ13" s="318">
        <f>-tanks!AW14</f>
        <v>236</v>
      </c>
      <c r="AK13" s="318">
        <f t="shared" si="21"/>
        <v>0</v>
      </c>
      <c r="AL13" s="318">
        <f t="shared" si="7"/>
        <v>3</v>
      </c>
      <c r="AM13" s="318">
        <f t="shared" si="22"/>
        <v>0</v>
      </c>
      <c r="AN13" s="589">
        <f t="shared" ref="AN13:AP13" si="60">AN12</f>
        <v>67</v>
      </c>
      <c r="AO13" s="320">
        <f t="shared" si="24"/>
        <v>2010.0000000000002</v>
      </c>
      <c r="AP13" s="589">
        <f t="shared" si="60"/>
        <v>55</v>
      </c>
      <c r="AQ13" s="320">
        <f t="shared" si="25"/>
        <v>1650.0000000000002</v>
      </c>
      <c r="AR13" s="589">
        <f t="shared" ref="AR13" si="61">AR12</f>
        <v>61</v>
      </c>
      <c r="AS13" s="320">
        <f t="shared" si="37"/>
        <v>1830</v>
      </c>
      <c r="AT13" s="320">
        <f t="shared" si="38"/>
        <v>5490</v>
      </c>
      <c r="AU13" s="320">
        <f t="shared" si="39"/>
        <v>0</v>
      </c>
      <c r="AV13" s="269"/>
      <c r="AW13" s="269"/>
      <c r="AX13" s="313">
        <f t="shared" si="27"/>
        <v>0.8</v>
      </c>
    </row>
    <row r="14" spans="1:52">
      <c r="A14" s="63">
        <f>ELEC!C12</f>
        <v>44237</v>
      </c>
      <c r="B14" s="589">
        <v>227</v>
      </c>
      <c r="C14" s="589">
        <v>233</v>
      </c>
      <c r="D14" s="45">
        <f t="shared" si="28"/>
        <v>6</v>
      </c>
      <c r="E14" s="45">
        <f t="shared" si="8"/>
        <v>50.28</v>
      </c>
      <c r="F14" s="589">
        <v>1728</v>
      </c>
      <c r="G14" s="52">
        <f t="shared" si="0"/>
        <v>1</v>
      </c>
      <c r="H14" s="589">
        <v>4957</v>
      </c>
      <c r="I14" s="396">
        <f t="shared" si="1"/>
        <v>85</v>
      </c>
      <c r="J14" s="66">
        <f t="shared" si="9"/>
        <v>85</v>
      </c>
      <c r="K14" s="589">
        <f t="shared" si="40"/>
        <v>2227</v>
      </c>
      <c r="L14" s="52">
        <f t="shared" si="10"/>
        <v>0</v>
      </c>
      <c r="M14" s="589">
        <f t="shared" si="40"/>
        <v>163735</v>
      </c>
      <c r="N14" s="396">
        <f t="shared" si="2"/>
        <v>0</v>
      </c>
      <c r="O14" s="64">
        <f t="shared" si="11"/>
        <v>1869</v>
      </c>
      <c r="P14" s="589">
        <v>1978</v>
      </c>
      <c r="Q14" s="589">
        <v>167261</v>
      </c>
      <c r="R14" s="395">
        <f t="shared" si="51"/>
        <v>151</v>
      </c>
      <c r="S14" s="52">
        <f t="shared" si="4"/>
        <v>2</v>
      </c>
      <c r="T14" s="67">
        <f t="shared" si="30"/>
        <v>0</v>
      </c>
      <c r="U14" s="402">
        <f t="shared" si="13"/>
        <v>3</v>
      </c>
      <c r="V14" s="62">
        <f t="shared" si="14"/>
        <v>236</v>
      </c>
      <c r="W14" s="400">
        <f t="shared" si="15"/>
        <v>78.666666666666671</v>
      </c>
      <c r="X14" s="589">
        <f t="shared" si="16"/>
        <v>2454</v>
      </c>
      <c r="Y14" s="52">
        <f t="shared" si="17"/>
        <v>0</v>
      </c>
      <c r="Z14" s="589">
        <f t="shared" si="16"/>
        <v>138028.1</v>
      </c>
      <c r="AA14" s="65">
        <f t="shared" si="5"/>
        <v>0</v>
      </c>
      <c r="AB14" s="284">
        <f t="shared" si="31"/>
        <v>0</v>
      </c>
      <c r="AC14" s="589">
        <f t="shared" ref="AC14:AE14" si="62">AC13</f>
        <v>1934</v>
      </c>
      <c r="AD14" s="45">
        <f t="shared" si="6"/>
        <v>0</v>
      </c>
      <c r="AE14" s="589">
        <f t="shared" si="62"/>
        <v>365352</v>
      </c>
      <c r="AF14" s="306">
        <f>AE14-AE13</f>
        <v>0</v>
      </c>
      <c r="AG14" s="209">
        <f t="shared" si="33"/>
        <v>0</v>
      </c>
      <c r="AH14" s="62">
        <f>AF14+AA14</f>
        <v>0</v>
      </c>
      <c r="AI14" s="318">
        <f>SUM(AH14+V14)</f>
        <v>236</v>
      </c>
      <c r="AJ14" s="318">
        <f>-tanks!AW15</f>
        <v>236</v>
      </c>
      <c r="AK14" s="318">
        <f t="shared" si="21"/>
        <v>0</v>
      </c>
      <c r="AL14" s="318">
        <f t="shared" si="7"/>
        <v>3</v>
      </c>
      <c r="AM14" s="318">
        <f t="shared" si="22"/>
        <v>0</v>
      </c>
      <c r="AN14" s="589">
        <f t="shared" ref="AN14:AP14" si="63">AN13</f>
        <v>67</v>
      </c>
      <c r="AO14" s="320">
        <f t="shared" si="24"/>
        <v>2010.0000000000002</v>
      </c>
      <c r="AP14" s="589">
        <f t="shared" si="63"/>
        <v>55</v>
      </c>
      <c r="AQ14" s="320">
        <f t="shared" si="25"/>
        <v>1650.0000000000002</v>
      </c>
      <c r="AR14" s="589">
        <f t="shared" ref="AR14" si="64">AR13</f>
        <v>61</v>
      </c>
      <c r="AS14" s="320">
        <f t="shared" si="37"/>
        <v>1830</v>
      </c>
      <c r="AT14" s="320">
        <f t="shared" si="38"/>
        <v>5490</v>
      </c>
      <c r="AU14" s="320">
        <f t="shared" si="39"/>
        <v>0</v>
      </c>
      <c r="AV14" s="269"/>
      <c r="AW14" s="269"/>
      <c r="AX14" s="313">
        <f t="shared" si="27"/>
        <v>0.8</v>
      </c>
    </row>
    <row r="15" spans="1:52" ht="15" customHeight="1">
      <c r="A15" s="63">
        <f>ELEC!C13</f>
        <v>44238</v>
      </c>
      <c r="B15" s="589">
        <v>222</v>
      </c>
      <c r="C15" s="589">
        <v>228</v>
      </c>
      <c r="D15" s="45">
        <f t="shared" si="28"/>
        <v>5</v>
      </c>
      <c r="E15" s="45">
        <f t="shared" si="8"/>
        <v>41.900000000000006</v>
      </c>
      <c r="F15" s="589">
        <v>1731</v>
      </c>
      <c r="G15" s="52">
        <f t="shared" si="0"/>
        <v>3</v>
      </c>
      <c r="H15" s="589">
        <v>5125</v>
      </c>
      <c r="I15" s="396">
        <f t="shared" si="1"/>
        <v>168</v>
      </c>
      <c r="J15" s="66">
        <f t="shared" si="9"/>
        <v>56</v>
      </c>
      <c r="K15" s="589">
        <v>2228</v>
      </c>
      <c r="L15" s="52">
        <f t="shared" si="10"/>
        <v>1</v>
      </c>
      <c r="M15" s="589">
        <v>163820</v>
      </c>
      <c r="N15" s="396">
        <f t="shared" si="2"/>
        <v>85</v>
      </c>
      <c r="O15" s="64">
        <f t="shared" si="11"/>
        <v>1869</v>
      </c>
      <c r="P15" s="589">
        <f t="shared" si="11"/>
        <v>1978</v>
      </c>
      <c r="Q15" s="589">
        <f t="shared" ref="Q15" si="65">Q14</f>
        <v>167261</v>
      </c>
      <c r="R15" s="395">
        <f t="shared" si="51"/>
        <v>0</v>
      </c>
      <c r="S15" s="52">
        <f t="shared" si="4"/>
        <v>0</v>
      </c>
      <c r="T15" s="67">
        <f t="shared" si="30"/>
        <v>0</v>
      </c>
      <c r="U15" s="402">
        <f t="shared" si="13"/>
        <v>4</v>
      </c>
      <c r="V15" s="62">
        <f t="shared" si="14"/>
        <v>253</v>
      </c>
      <c r="W15" s="400">
        <f t="shared" si="15"/>
        <v>63.25</v>
      </c>
      <c r="X15" s="589">
        <f t="shared" si="16"/>
        <v>2454</v>
      </c>
      <c r="Y15" s="52">
        <f t="shared" si="17"/>
        <v>0</v>
      </c>
      <c r="Z15" s="589">
        <f t="shared" si="16"/>
        <v>138028.1</v>
      </c>
      <c r="AA15" s="65">
        <f t="shared" si="5"/>
        <v>0</v>
      </c>
      <c r="AB15" s="284">
        <f t="shared" si="31"/>
        <v>0</v>
      </c>
      <c r="AC15" s="589">
        <f t="shared" ref="AC15:AE15" si="66">AC14</f>
        <v>1934</v>
      </c>
      <c r="AD15" s="45">
        <f t="shared" si="6"/>
        <v>0</v>
      </c>
      <c r="AE15" s="589">
        <f t="shared" si="66"/>
        <v>365352</v>
      </c>
      <c r="AF15" s="306">
        <f t="shared" si="19"/>
        <v>0</v>
      </c>
      <c r="AG15" s="209">
        <f t="shared" si="33"/>
        <v>0</v>
      </c>
      <c r="AH15" s="62">
        <f t="shared" si="34"/>
        <v>0</v>
      </c>
      <c r="AI15" s="318">
        <f t="shared" si="20"/>
        <v>253</v>
      </c>
      <c r="AJ15" s="318">
        <f>-tanks!AW16</f>
        <v>253</v>
      </c>
      <c r="AK15" s="318">
        <f t="shared" si="21"/>
        <v>0</v>
      </c>
      <c r="AL15" s="318">
        <f t="shared" si="7"/>
        <v>4</v>
      </c>
      <c r="AM15" s="318">
        <f t="shared" si="22"/>
        <v>0</v>
      </c>
      <c r="AN15" s="589">
        <f t="shared" ref="AN15:AP15" si="67">AN14</f>
        <v>67</v>
      </c>
      <c r="AO15" s="320">
        <f t="shared" si="24"/>
        <v>2010.0000000000002</v>
      </c>
      <c r="AP15" s="589">
        <f t="shared" si="67"/>
        <v>55</v>
      </c>
      <c r="AQ15" s="320">
        <f t="shared" si="25"/>
        <v>1650.0000000000002</v>
      </c>
      <c r="AR15" s="589">
        <f t="shared" ref="AR15" si="68">AR14</f>
        <v>61</v>
      </c>
      <c r="AS15" s="320">
        <f t="shared" si="37"/>
        <v>1830</v>
      </c>
      <c r="AT15" s="320">
        <f t="shared" si="38"/>
        <v>5490</v>
      </c>
      <c r="AU15" s="320">
        <f t="shared" si="39"/>
        <v>0</v>
      </c>
      <c r="AV15" s="269"/>
      <c r="AW15" s="269"/>
      <c r="AX15" s="313">
        <f t="shared" si="27"/>
        <v>0.8</v>
      </c>
    </row>
    <row r="16" spans="1:52">
      <c r="A16" s="63">
        <f>ELEC!C14</f>
        <v>44239</v>
      </c>
      <c r="B16" s="589">
        <v>219</v>
      </c>
      <c r="C16" s="589">
        <v>224</v>
      </c>
      <c r="D16" s="45">
        <f t="shared" si="28"/>
        <v>4</v>
      </c>
      <c r="E16" s="45">
        <f t="shared" si="8"/>
        <v>33.520000000000003</v>
      </c>
      <c r="F16" s="589">
        <v>1731</v>
      </c>
      <c r="G16" s="52">
        <f t="shared" si="0"/>
        <v>0</v>
      </c>
      <c r="H16" s="589">
        <f t="shared" si="29"/>
        <v>5125</v>
      </c>
      <c r="I16" s="396">
        <f t="shared" si="1"/>
        <v>0</v>
      </c>
      <c r="J16" s="66">
        <f t="shared" si="9"/>
        <v>0</v>
      </c>
      <c r="K16" s="589">
        <v>2230</v>
      </c>
      <c r="L16" s="52">
        <f t="shared" si="10"/>
        <v>2</v>
      </c>
      <c r="M16" s="589">
        <v>163965</v>
      </c>
      <c r="N16" s="396">
        <f t="shared" si="2"/>
        <v>145</v>
      </c>
      <c r="O16" s="64">
        <f t="shared" si="11"/>
        <v>1869</v>
      </c>
      <c r="P16" s="589">
        <v>1979</v>
      </c>
      <c r="Q16" s="589">
        <v>167350</v>
      </c>
      <c r="R16" s="395">
        <f t="shared" si="51"/>
        <v>89</v>
      </c>
      <c r="S16" s="52">
        <f t="shared" si="4"/>
        <v>1</v>
      </c>
      <c r="T16" s="67">
        <f t="shared" si="30"/>
        <v>0</v>
      </c>
      <c r="U16" s="402">
        <f t="shared" si="13"/>
        <v>3</v>
      </c>
      <c r="V16" s="62">
        <f t="shared" si="14"/>
        <v>234</v>
      </c>
      <c r="W16" s="400">
        <f t="shared" si="15"/>
        <v>78</v>
      </c>
      <c r="X16" s="589">
        <f t="shared" si="16"/>
        <v>2454</v>
      </c>
      <c r="Y16" s="52">
        <f t="shared" si="17"/>
        <v>0</v>
      </c>
      <c r="Z16" s="589">
        <f t="shared" si="16"/>
        <v>138028.1</v>
      </c>
      <c r="AA16" s="65">
        <f t="shared" si="5"/>
        <v>0</v>
      </c>
      <c r="AB16" s="284">
        <f t="shared" si="31"/>
        <v>0</v>
      </c>
      <c r="AC16" s="589">
        <f t="shared" ref="AC16:AE16" si="69">AC15</f>
        <v>1934</v>
      </c>
      <c r="AD16" s="45">
        <f t="shared" si="6"/>
        <v>0</v>
      </c>
      <c r="AE16" s="589">
        <f t="shared" si="69"/>
        <v>365352</v>
      </c>
      <c r="AF16" s="306">
        <f t="shared" si="19"/>
        <v>0</v>
      </c>
      <c r="AG16" s="209">
        <f t="shared" si="33"/>
        <v>0</v>
      </c>
      <c r="AH16" s="62">
        <f t="shared" si="34"/>
        <v>0</v>
      </c>
      <c r="AI16" s="318">
        <f t="shared" si="20"/>
        <v>234</v>
      </c>
      <c r="AJ16" s="318">
        <f>-tanks!AW17</f>
        <v>234</v>
      </c>
      <c r="AK16" s="318">
        <f t="shared" si="21"/>
        <v>0</v>
      </c>
      <c r="AL16" s="318">
        <f t="shared" si="7"/>
        <v>3</v>
      </c>
      <c r="AM16" s="318">
        <f t="shared" si="22"/>
        <v>0</v>
      </c>
      <c r="AN16" s="589">
        <f t="shared" ref="AN16:AP16" si="70">AN15</f>
        <v>67</v>
      </c>
      <c r="AO16" s="320">
        <f t="shared" si="24"/>
        <v>2010.0000000000002</v>
      </c>
      <c r="AP16" s="589">
        <f t="shared" si="70"/>
        <v>55</v>
      </c>
      <c r="AQ16" s="320">
        <f t="shared" si="25"/>
        <v>1650.0000000000002</v>
      </c>
      <c r="AR16" s="589">
        <f t="shared" ref="AR16" si="71">AR15</f>
        <v>61</v>
      </c>
      <c r="AS16" s="320">
        <f t="shared" si="37"/>
        <v>1830</v>
      </c>
      <c r="AT16" s="320">
        <f t="shared" si="38"/>
        <v>5490</v>
      </c>
      <c r="AU16" s="320">
        <f t="shared" si="39"/>
        <v>0</v>
      </c>
      <c r="AV16" s="269"/>
      <c r="AW16" s="269"/>
      <c r="AX16" s="313">
        <f t="shared" si="27"/>
        <v>0.8</v>
      </c>
    </row>
    <row r="17" spans="1:50">
      <c r="A17" s="63">
        <f>ELEC!C15</f>
        <v>44240</v>
      </c>
      <c r="B17" s="589">
        <f t="shared" ref="B17:C32" si="72">B16</f>
        <v>219</v>
      </c>
      <c r="C17" s="589">
        <f t="shared" si="72"/>
        <v>224</v>
      </c>
      <c r="D17" s="45">
        <f t="shared" si="28"/>
        <v>0</v>
      </c>
      <c r="E17" s="45">
        <f t="shared" si="8"/>
        <v>0</v>
      </c>
      <c r="F17" s="589">
        <f t="shared" si="29"/>
        <v>1731</v>
      </c>
      <c r="G17" s="52">
        <f t="shared" si="0"/>
        <v>0</v>
      </c>
      <c r="H17" s="589">
        <f t="shared" si="29"/>
        <v>5125</v>
      </c>
      <c r="I17" s="396">
        <f t="shared" si="1"/>
        <v>0</v>
      </c>
      <c r="J17" s="66">
        <f t="shared" si="9"/>
        <v>0</v>
      </c>
      <c r="K17" s="589">
        <f t="shared" si="40"/>
        <v>2230</v>
      </c>
      <c r="L17" s="52">
        <f t="shared" si="10"/>
        <v>0</v>
      </c>
      <c r="M17" s="589">
        <f t="shared" si="40"/>
        <v>163965</v>
      </c>
      <c r="N17" s="396">
        <f t="shared" si="2"/>
        <v>0</v>
      </c>
      <c r="O17" s="64">
        <f t="shared" si="11"/>
        <v>1869</v>
      </c>
      <c r="P17" s="589">
        <f t="shared" si="11"/>
        <v>1979</v>
      </c>
      <c r="Q17" s="589">
        <f t="shared" ref="Q17" si="73">Q16</f>
        <v>167350</v>
      </c>
      <c r="R17" s="395">
        <f t="shared" si="51"/>
        <v>0</v>
      </c>
      <c r="S17" s="52">
        <f t="shared" si="4"/>
        <v>0</v>
      </c>
      <c r="T17" s="67">
        <f t="shared" si="30"/>
        <v>0</v>
      </c>
      <c r="U17" s="402">
        <f t="shared" si="13"/>
        <v>0</v>
      </c>
      <c r="V17" s="62">
        <f t="shared" si="14"/>
        <v>0</v>
      </c>
      <c r="W17" s="400"/>
      <c r="X17" s="589">
        <f t="shared" si="16"/>
        <v>2454</v>
      </c>
      <c r="Y17" s="52">
        <f t="shared" si="17"/>
        <v>0</v>
      </c>
      <c r="Z17" s="589">
        <f t="shared" si="16"/>
        <v>138028.1</v>
      </c>
      <c r="AA17" s="65">
        <f t="shared" si="5"/>
        <v>0</v>
      </c>
      <c r="AB17" s="284">
        <f t="shared" si="31"/>
        <v>0</v>
      </c>
      <c r="AC17" s="589">
        <f t="shared" ref="AC17:AE17" si="74">AC16</f>
        <v>1934</v>
      </c>
      <c r="AD17" s="45">
        <f t="shared" si="6"/>
        <v>0</v>
      </c>
      <c r="AE17" s="589">
        <f t="shared" si="74"/>
        <v>365352</v>
      </c>
      <c r="AF17" s="306">
        <f t="shared" si="19"/>
        <v>0</v>
      </c>
      <c r="AG17" s="209">
        <f t="shared" si="33"/>
        <v>0</v>
      </c>
      <c r="AH17" s="62">
        <f t="shared" si="34"/>
        <v>0</v>
      </c>
      <c r="AI17" s="318">
        <f t="shared" si="20"/>
        <v>0</v>
      </c>
      <c r="AJ17" s="318">
        <f>-tanks!AW18</f>
        <v>0</v>
      </c>
      <c r="AK17" s="318">
        <f t="shared" si="21"/>
        <v>0</v>
      </c>
      <c r="AL17" s="318">
        <f t="shared" si="7"/>
        <v>0</v>
      </c>
      <c r="AM17" s="318">
        <f t="shared" si="22"/>
        <v>0</v>
      </c>
      <c r="AN17" s="589">
        <f t="shared" ref="AN17:AP17" si="75">AN16</f>
        <v>67</v>
      </c>
      <c r="AO17" s="320">
        <f t="shared" si="24"/>
        <v>2010.0000000000002</v>
      </c>
      <c r="AP17" s="589">
        <f t="shared" si="75"/>
        <v>55</v>
      </c>
      <c r="AQ17" s="320">
        <f t="shared" si="25"/>
        <v>1650.0000000000002</v>
      </c>
      <c r="AR17" s="589">
        <f t="shared" ref="AR17" si="76">AR16</f>
        <v>61</v>
      </c>
      <c r="AS17" s="320">
        <f t="shared" si="37"/>
        <v>1830</v>
      </c>
      <c r="AT17" s="320">
        <f t="shared" si="38"/>
        <v>5490</v>
      </c>
      <c r="AU17" s="320">
        <f t="shared" si="39"/>
        <v>0</v>
      </c>
      <c r="AV17" s="269"/>
      <c r="AW17" s="269"/>
      <c r="AX17" s="313">
        <f t="shared" si="27"/>
        <v>0.8</v>
      </c>
    </row>
    <row r="18" spans="1:50">
      <c r="A18" s="63">
        <f>ELEC!C16</f>
        <v>44241</v>
      </c>
      <c r="B18" s="589">
        <f t="shared" si="72"/>
        <v>219</v>
      </c>
      <c r="C18" s="589">
        <f t="shared" si="72"/>
        <v>224</v>
      </c>
      <c r="D18" s="45">
        <f t="shared" si="28"/>
        <v>0</v>
      </c>
      <c r="E18" s="45">
        <f t="shared" si="8"/>
        <v>0</v>
      </c>
      <c r="F18" s="589">
        <f t="shared" si="29"/>
        <v>1731</v>
      </c>
      <c r="G18" s="52">
        <f t="shared" si="0"/>
        <v>0</v>
      </c>
      <c r="H18" s="589">
        <f t="shared" si="29"/>
        <v>5125</v>
      </c>
      <c r="I18" s="396">
        <f t="shared" si="1"/>
        <v>0</v>
      </c>
      <c r="J18" s="66">
        <f t="shared" si="9"/>
        <v>0</v>
      </c>
      <c r="K18" s="589">
        <f t="shared" si="40"/>
        <v>2230</v>
      </c>
      <c r="L18" s="52">
        <f t="shared" si="10"/>
        <v>0</v>
      </c>
      <c r="M18" s="589">
        <f t="shared" si="40"/>
        <v>163965</v>
      </c>
      <c r="N18" s="396">
        <f t="shared" si="2"/>
        <v>0</v>
      </c>
      <c r="O18" s="64">
        <v>1869</v>
      </c>
      <c r="P18" s="589">
        <f t="shared" si="11"/>
        <v>1979</v>
      </c>
      <c r="Q18" s="589">
        <f t="shared" ref="Q18" si="77">Q17</f>
        <v>167350</v>
      </c>
      <c r="R18" s="395">
        <f t="shared" si="51"/>
        <v>0</v>
      </c>
      <c r="S18" s="52">
        <f t="shared" si="4"/>
        <v>0</v>
      </c>
      <c r="T18" s="67">
        <f t="shared" si="30"/>
        <v>0</v>
      </c>
      <c r="U18" s="402">
        <f t="shared" si="13"/>
        <v>0</v>
      </c>
      <c r="V18" s="62">
        <f t="shared" si="14"/>
        <v>0</v>
      </c>
      <c r="W18" s="400"/>
      <c r="X18" s="589">
        <f t="shared" si="16"/>
        <v>2454</v>
      </c>
      <c r="Y18" s="52">
        <f t="shared" si="17"/>
        <v>0</v>
      </c>
      <c r="Z18" s="589">
        <f t="shared" si="16"/>
        <v>138028.1</v>
      </c>
      <c r="AA18" s="65">
        <f t="shared" si="5"/>
        <v>0</v>
      </c>
      <c r="AB18" s="284">
        <f t="shared" ref="AB18:AB23" si="78">SUM(Y18*$AB$2)</f>
        <v>0</v>
      </c>
      <c r="AC18" s="589">
        <f t="shared" ref="AC18:AE18" si="79">AC17</f>
        <v>1934</v>
      </c>
      <c r="AD18" s="45">
        <f t="shared" si="6"/>
        <v>0</v>
      </c>
      <c r="AE18" s="589">
        <f t="shared" si="79"/>
        <v>365352</v>
      </c>
      <c r="AF18" s="306">
        <f t="shared" si="19"/>
        <v>0</v>
      </c>
      <c r="AG18" s="209">
        <f t="shared" si="33"/>
        <v>0</v>
      </c>
      <c r="AH18" s="62">
        <f t="shared" si="34"/>
        <v>0</v>
      </c>
      <c r="AI18" s="318">
        <f t="shared" si="20"/>
        <v>0</v>
      </c>
      <c r="AJ18" s="318">
        <f>-tanks!AW19</f>
        <v>0</v>
      </c>
      <c r="AK18" s="318">
        <f t="shared" si="21"/>
        <v>0</v>
      </c>
      <c r="AL18" s="318">
        <f t="shared" si="7"/>
        <v>0</v>
      </c>
      <c r="AM18" s="318">
        <f t="shared" si="22"/>
        <v>0</v>
      </c>
      <c r="AN18" s="589">
        <f t="shared" ref="AN18:AP18" si="80">AN17</f>
        <v>67</v>
      </c>
      <c r="AO18" s="320">
        <f t="shared" si="24"/>
        <v>2010.0000000000002</v>
      </c>
      <c r="AP18" s="589">
        <f t="shared" si="80"/>
        <v>55</v>
      </c>
      <c r="AQ18" s="320">
        <f t="shared" si="25"/>
        <v>1650.0000000000002</v>
      </c>
      <c r="AR18" s="589">
        <f t="shared" ref="AR18" si="81">AR17</f>
        <v>61</v>
      </c>
      <c r="AS18" s="320">
        <f t="shared" si="37"/>
        <v>1830</v>
      </c>
      <c r="AT18" s="320">
        <f t="shared" si="38"/>
        <v>5490</v>
      </c>
      <c r="AU18" s="320">
        <f t="shared" si="39"/>
        <v>0</v>
      </c>
      <c r="AV18" s="269"/>
      <c r="AW18" s="269"/>
      <c r="AX18" s="313">
        <f t="shared" si="27"/>
        <v>0.8</v>
      </c>
    </row>
    <row r="19" spans="1:50">
      <c r="A19" s="63">
        <f>ELEC!C17</f>
        <v>44242</v>
      </c>
      <c r="B19" s="589">
        <f t="shared" si="72"/>
        <v>219</v>
      </c>
      <c r="C19" s="589">
        <f t="shared" si="72"/>
        <v>224</v>
      </c>
      <c r="D19" s="45">
        <f t="shared" si="28"/>
        <v>0</v>
      </c>
      <c r="E19" s="45">
        <f t="shared" si="8"/>
        <v>0</v>
      </c>
      <c r="F19" s="589">
        <f t="shared" si="29"/>
        <v>1731</v>
      </c>
      <c r="G19" s="52">
        <f t="shared" si="0"/>
        <v>0</v>
      </c>
      <c r="H19" s="589">
        <f t="shared" si="29"/>
        <v>5125</v>
      </c>
      <c r="I19" s="396">
        <f t="shared" si="1"/>
        <v>0</v>
      </c>
      <c r="J19" s="66">
        <f t="shared" si="9"/>
        <v>0</v>
      </c>
      <c r="K19" s="589">
        <f t="shared" si="40"/>
        <v>2230</v>
      </c>
      <c r="L19" s="52">
        <f t="shared" si="10"/>
        <v>0</v>
      </c>
      <c r="M19" s="589">
        <f t="shared" si="40"/>
        <v>163965</v>
      </c>
      <c r="N19" s="396">
        <f t="shared" si="2"/>
        <v>0</v>
      </c>
      <c r="O19" s="64">
        <f t="shared" si="11"/>
        <v>1869</v>
      </c>
      <c r="P19" s="589">
        <f t="shared" si="11"/>
        <v>1979</v>
      </c>
      <c r="Q19" s="589">
        <f t="shared" ref="Q19" si="82">Q18</f>
        <v>167350</v>
      </c>
      <c r="R19" s="395">
        <f t="shared" si="51"/>
        <v>0</v>
      </c>
      <c r="S19" s="52">
        <f t="shared" si="4"/>
        <v>0</v>
      </c>
      <c r="T19" s="67">
        <f t="shared" si="30"/>
        <v>0</v>
      </c>
      <c r="U19" s="402">
        <f t="shared" si="13"/>
        <v>0</v>
      </c>
      <c r="V19" s="62">
        <f t="shared" si="14"/>
        <v>0</v>
      </c>
      <c r="W19" s="400"/>
      <c r="X19" s="589">
        <f t="shared" si="16"/>
        <v>2454</v>
      </c>
      <c r="Y19" s="52">
        <f t="shared" si="17"/>
        <v>0</v>
      </c>
      <c r="Z19" s="589">
        <f t="shared" si="16"/>
        <v>138028.1</v>
      </c>
      <c r="AA19" s="65">
        <f t="shared" si="5"/>
        <v>0</v>
      </c>
      <c r="AB19" s="284">
        <f t="shared" si="78"/>
        <v>0</v>
      </c>
      <c r="AC19" s="589">
        <f t="shared" ref="AC19:AE19" si="83">AC18</f>
        <v>1934</v>
      </c>
      <c r="AD19" s="45">
        <f t="shared" si="6"/>
        <v>0</v>
      </c>
      <c r="AE19" s="589">
        <f t="shared" si="83"/>
        <v>365352</v>
      </c>
      <c r="AF19" s="306">
        <f t="shared" si="19"/>
        <v>0</v>
      </c>
      <c r="AG19" s="209">
        <f t="shared" si="33"/>
        <v>0</v>
      </c>
      <c r="AH19" s="62">
        <f t="shared" si="34"/>
        <v>0</v>
      </c>
      <c r="AI19" s="318">
        <f t="shared" si="20"/>
        <v>0</v>
      </c>
      <c r="AJ19" s="318">
        <f>-tanks!AW20</f>
        <v>0</v>
      </c>
      <c r="AK19" s="318">
        <f t="shared" si="21"/>
        <v>0</v>
      </c>
      <c r="AL19" s="318">
        <f t="shared" si="7"/>
        <v>0</v>
      </c>
      <c r="AM19" s="318">
        <f t="shared" si="22"/>
        <v>0</v>
      </c>
      <c r="AN19" s="589">
        <f t="shared" ref="AN19:AP19" si="84">AN18</f>
        <v>67</v>
      </c>
      <c r="AO19" s="320">
        <f t="shared" si="24"/>
        <v>2010.0000000000002</v>
      </c>
      <c r="AP19" s="589">
        <f t="shared" si="84"/>
        <v>55</v>
      </c>
      <c r="AQ19" s="320">
        <f t="shared" si="25"/>
        <v>1650.0000000000002</v>
      </c>
      <c r="AR19" s="589">
        <f t="shared" ref="AR19" si="85">AR18</f>
        <v>61</v>
      </c>
      <c r="AS19" s="320">
        <f t="shared" si="37"/>
        <v>1830</v>
      </c>
      <c r="AT19" s="320">
        <f t="shared" si="38"/>
        <v>5490</v>
      </c>
      <c r="AU19" s="320">
        <f t="shared" si="39"/>
        <v>0</v>
      </c>
      <c r="AV19" s="269"/>
      <c r="AW19" s="269"/>
      <c r="AX19" s="313">
        <f t="shared" si="27"/>
        <v>0.8</v>
      </c>
    </row>
    <row r="20" spans="1:50">
      <c r="A20" s="63">
        <f>ELEC!C18</f>
        <v>44243</v>
      </c>
      <c r="B20" s="589">
        <f t="shared" si="72"/>
        <v>219</v>
      </c>
      <c r="C20" s="589">
        <f t="shared" si="72"/>
        <v>224</v>
      </c>
      <c r="D20" s="45">
        <f>C19-C20</f>
        <v>0</v>
      </c>
      <c r="E20" s="45">
        <f t="shared" si="8"/>
        <v>0</v>
      </c>
      <c r="F20" s="589">
        <f t="shared" si="29"/>
        <v>1731</v>
      </c>
      <c r="G20" s="52">
        <f t="shared" si="0"/>
        <v>0</v>
      </c>
      <c r="H20" s="589">
        <f t="shared" si="29"/>
        <v>5125</v>
      </c>
      <c r="I20" s="396">
        <f t="shared" si="1"/>
        <v>0</v>
      </c>
      <c r="J20" s="66">
        <f t="shared" si="9"/>
        <v>0</v>
      </c>
      <c r="K20" s="589">
        <f t="shared" si="40"/>
        <v>2230</v>
      </c>
      <c r="L20" s="52">
        <f t="shared" si="10"/>
        <v>0</v>
      </c>
      <c r="M20" s="589">
        <f t="shared" si="40"/>
        <v>163965</v>
      </c>
      <c r="N20" s="396">
        <f t="shared" si="2"/>
        <v>0</v>
      </c>
      <c r="O20" s="64">
        <f t="shared" si="11"/>
        <v>1869</v>
      </c>
      <c r="P20" s="589">
        <f t="shared" si="11"/>
        <v>1979</v>
      </c>
      <c r="Q20" s="589">
        <f t="shared" ref="Q20" si="86">Q19</f>
        <v>167350</v>
      </c>
      <c r="R20" s="395">
        <f t="shared" si="51"/>
        <v>0</v>
      </c>
      <c r="S20" s="52">
        <f t="shared" si="4"/>
        <v>0</v>
      </c>
      <c r="T20" s="67">
        <f t="shared" si="30"/>
        <v>0</v>
      </c>
      <c r="U20" s="402">
        <f t="shared" si="13"/>
        <v>0</v>
      </c>
      <c r="V20" s="62">
        <f t="shared" si="14"/>
        <v>0</v>
      </c>
      <c r="W20" s="400"/>
      <c r="X20" s="589">
        <f t="shared" si="16"/>
        <v>2454</v>
      </c>
      <c r="Y20" s="52">
        <f t="shared" si="17"/>
        <v>0</v>
      </c>
      <c r="Z20" s="589">
        <f t="shared" si="16"/>
        <v>138028.1</v>
      </c>
      <c r="AA20" s="65">
        <f t="shared" si="5"/>
        <v>0</v>
      </c>
      <c r="AB20" s="284">
        <f t="shared" si="78"/>
        <v>0</v>
      </c>
      <c r="AC20" s="589">
        <f t="shared" ref="AC20:AE20" si="87">AC19</f>
        <v>1934</v>
      </c>
      <c r="AD20" s="45">
        <f t="shared" si="6"/>
        <v>0</v>
      </c>
      <c r="AE20" s="589">
        <f t="shared" si="87"/>
        <v>365352</v>
      </c>
      <c r="AF20" s="306">
        <f t="shared" si="19"/>
        <v>0</v>
      </c>
      <c r="AG20" s="209">
        <f t="shared" si="33"/>
        <v>0</v>
      </c>
      <c r="AH20" s="62">
        <f t="shared" si="34"/>
        <v>0</v>
      </c>
      <c r="AI20" s="318">
        <f t="shared" si="20"/>
        <v>0</v>
      </c>
      <c r="AJ20" s="318">
        <f>-tanks!AW21</f>
        <v>0</v>
      </c>
      <c r="AK20" s="318">
        <f t="shared" si="21"/>
        <v>0</v>
      </c>
      <c r="AL20" s="318">
        <f t="shared" si="7"/>
        <v>0</v>
      </c>
      <c r="AM20" s="318">
        <f t="shared" si="22"/>
        <v>0</v>
      </c>
      <c r="AN20" s="589">
        <f t="shared" ref="AN20:AP20" si="88">AN19</f>
        <v>67</v>
      </c>
      <c r="AO20" s="320">
        <f t="shared" si="24"/>
        <v>2010.0000000000002</v>
      </c>
      <c r="AP20" s="589">
        <f t="shared" si="88"/>
        <v>55</v>
      </c>
      <c r="AQ20" s="320">
        <f t="shared" si="25"/>
        <v>1650.0000000000002</v>
      </c>
      <c r="AR20" s="589">
        <f t="shared" ref="AR20" si="89">AR19</f>
        <v>61</v>
      </c>
      <c r="AS20" s="320">
        <f t="shared" si="37"/>
        <v>1830</v>
      </c>
      <c r="AT20" s="320">
        <f t="shared" si="38"/>
        <v>5490</v>
      </c>
      <c r="AU20" s="320">
        <f t="shared" si="39"/>
        <v>0</v>
      </c>
      <c r="AV20" s="269"/>
      <c r="AW20" s="269"/>
      <c r="AX20" s="313">
        <f t="shared" si="27"/>
        <v>0.8</v>
      </c>
    </row>
    <row r="21" spans="1:50">
      <c r="A21" s="63">
        <f>ELEC!C19</f>
        <v>44244</v>
      </c>
      <c r="B21" s="589">
        <f t="shared" si="72"/>
        <v>219</v>
      </c>
      <c r="C21" s="589">
        <f t="shared" si="72"/>
        <v>224</v>
      </c>
      <c r="D21" s="45">
        <f t="shared" ref="D21:D31" si="90">C20-C21</f>
        <v>0</v>
      </c>
      <c r="E21" s="45">
        <f t="shared" si="8"/>
        <v>0</v>
      </c>
      <c r="F21" s="589">
        <f t="shared" si="29"/>
        <v>1731</v>
      </c>
      <c r="G21" s="52">
        <f t="shared" si="0"/>
        <v>0</v>
      </c>
      <c r="H21" s="589">
        <f t="shared" si="29"/>
        <v>5125</v>
      </c>
      <c r="I21" s="396">
        <f t="shared" si="1"/>
        <v>0</v>
      </c>
      <c r="J21" s="66">
        <f t="shared" si="9"/>
        <v>0</v>
      </c>
      <c r="K21" s="589">
        <f t="shared" si="40"/>
        <v>2230</v>
      </c>
      <c r="L21" s="52">
        <f t="shared" si="10"/>
        <v>0</v>
      </c>
      <c r="M21" s="589">
        <f t="shared" si="40"/>
        <v>163965</v>
      </c>
      <c r="N21" s="396">
        <f t="shared" si="2"/>
        <v>0</v>
      </c>
      <c r="O21" s="64">
        <f t="shared" si="11"/>
        <v>1869</v>
      </c>
      <c r="P21" s="589">
        <f t="shared" si="11"/>
        <v>1979</v>
      </c>
      <c r="Q21" s="589">
        <f t="shared" ref="Q21" si="91">Q20</f>
        <v>167350</v>
      </c>
      <c r="R21" s="395">
        <f t="shared" si="51"/>
        <v>0</v>
      </c>
      <c r="S21" s="52">
        <f t="shared" si="4"/>
        <v>0</v>
      </c>
      <c r="T21" s="67">
        <f t="shared" si="30"/>
        <v>0</v>
      </c>
      <c r="U21" s="402">
        <f t="shared" si="13"/>
        <v>0</v>
      </c>
      <c r="V21" s="62">
        <f t="shared" si="14"/>
        <v>0</v>
      </c>
      <c r="W21" s="400"/>
      <c r="X21" s="589">
        <f t="shared" si="16"/>
        <v>2454</v>
      </c>
      <c r="Y21" s="52">
        <f t="shared" si="17"/>
        <v>0</v>
      </c>
      <c r="Z21" s="589">
        <f t="shared" si="16"/>
        <v>138028.1</v>
      </c>
      <c r="AA21" s="65">
        <f t="shared" si="5"/>
        <v>0</v>
      </c>
      <c r="AB21" s="284">
        <f t="shared" si="78"/>
        <v>0</v>
      </c>
      <c r="AC21" s="589">
        <f t="shared" ref="AC21:AE21" si="92">AC20</f>
        <v>1934</v>
      </c>
      <c r="AD21" s="45">
        <f t="shared" si="6"/>
        <v>0</v>
      </c>
      <c r="AE21" s="589">
        <f t="shared" si="92"/>
        <v>365352</v>
      </c>
      <c r="AF21" s="306">
        <f t="shared" si="19"/>
        <v>0</v>
      </c>
      <c r="AG21" s="209">
        <f t="shared" si="33"/>
        <v>0</v>
      </c>
      <c r="AH21" s="62">
        <f t="shared" si="34"/>
        <v>0</v>
      </c>
      <c r="AI21" s="318">
        <f t="shared" si="20"/>
        <v>0</v>
      </c>
      <c r="AJ21" s="318">
        <f>-tanks!AW22</f>
        <v>0</v>
      </c>
      <c r="AK21" s="318">
        <f t="shared" si="21"/>
        <v>0</v>
      </c>
      <c r="AL21" s="318">
        <f t="shared" si="7"/>
        <v>0</v>
      </c>
      <c r="AM21" s="318">
        <f t="shared" si="22"/>
        <v>0</v>
      </c>
      <c r="AN21" s="589">
        <f t="shared" ref="AN21:AP21" si="93">AN20</f>
        <v>67</v>
      </c>
      <c r="AO21" s="320">
        <f t="shared" si="24"/>
        <v>2010.0000000000002</v>
      </c>
      <c r="AP21" s="589">
        <f t="shared" si="93"/>
        <v>55</v>
      </c>
      <c r="AQ21" s="320">
        <f t="shared" si="25"/>
        <v>1650.0000000000002</v>
      </c>
      <c r="AR21" s="589">
        <f t="shared" ref="AR21" si="94">AR20</f>
        <v>61</v>
      </c>
      <c r="AS21" s="320">
        <f t="shared" si="37"/>
        <v>1830</v>
      </c>
      <c r="AT21" s="320">
        <f t="shared" si="38"/>
        <v>5490</v>
      </c>
      <c r="AU21" s="320">
        <f t="shared" si="39"/>
        <v>0</v>
      </c>
      <c r="AV21" s="269"/>
      <c r="AW21" s="269"/>
      <c r="AX21" s="313">
        <f t="shared" si="27"/>
        <v>0.8</v>
      </c>
    </row>
    <row r="22" spans="1:50" ht="16.5" customHeight="1">
      <c r="A22" s="63">
        <f>ELEC!C20</f>
        <v>44245</v>
      </c>
      <c r="B22" s="589">
        <f t="shared" si="72"/>
        <v>219</v>
      </c>
      <c r="C22" s="589">
        <f t="shared" si="72"/>
        <v>224</v>
      </c>
      <c r="D22" s="45">
        <f t="shared" si="90"/>
        <v>0</v>
      </c>
      <c r="E22" s="45">
        <f t="shared" si="8"/>
        <v>0</v>
      </c>
      <c r="F22" s="589">
        <f t="shared" si="29"/>
        <v>1731</v>
      </c>
      <c r="G22" s="52">
        <f t="shared" si="0"/>
        <v>0</v>
      </c>
      <c r="H22" s="589">
        <f t="shared" si="29"/>
        <v>5125</v>
      </c>
      <c r="I22" s="396">
        <f t="shared" si="1"/>
        <v>0</v>
      </c>
      <c r="J22" s="66">
        <f t="shared" si="9"/>
        <v>0</v>
      </c>
      <c r="K22" s="589">
        <f t="shared" si="40"/>
        <v>2230</v>
      </c>
      <c r="L22" s="52">
        <f t="shared" si="10"/>
        <v>0</v>
      </c>
      <c r="M22" s="589">
        <f t="shared" si="40"/>
        <v>163965</v>
      </c>
      <c r="N22" s="396">
        <f t="shared" si="2"/>
        <v>0</v>
      </c>
      <c r="O22" s="64">
        <f t="shared" si="11"/>
        <v>1869</v>
      </c>
      <c r="P22" s="589">
        <f t="shared" si="11"/>
        <v>1979</v>
      </c>
      <c r="Q22" s="589">
        <f t="shared" ref="Q22" si="95">Q21</f>
        <v>167350</v>
      </c>
      <c r="R22" s="395">
        <f t="shared" si="51"/>
        <v>0</v>
      </c>
      <c r="S22" s="52">
        <f t="shared" si="4"/>
        <v>0</v>
      </c>
      <c r="T22" s="67">
        <f t="shared" si="30"/>
        <v>0</v>
      </c>
      <c r="U22" s="402">
        <f t="shared" si="13"/>
        <v>0</v>
      </c>
      <c r="V22" s="62">
        <f t="shared" si="14"/>
        <v>0</v>
      </c>
      <c r="W22" s="400"/>
      <c r="X22" s="589">
        <f t="shared" si="16"/>
        <v>2454</v>
      </c>
      <c r="Y22" s="52">
        <f t="shared" si="17"/>
        <v>0</v>
      </c>
      <c r="Z22" s="589">
        <f t="shared" si="16"/>
        <v>138028.1</v>
      </c>
      <c r="AA22" s="65">
        <f t="shared" si="5"/>
        <v>0</v>
      </c>
      <c r="AB22" s="284">
        <f t="shared" si="78"/>
        <v>0</v>
      </c>
      <c r="AC22" s="589">
        <f t="shared" ref="AC22:AE22" si="96">AC21</f>
        <v>1934</v>
      </c>
      <c r="AD22" s="45">
        <f t="shared" si="6"/>
        <v>0</v>
      </c>
      <c r="AE22" s="589">
        <f t="shared" si="96"/>
        <v>365352</v>
      </c>
      <c r="AF22" s="306">
        <f t="shared" si="19"/>
        <v>0</v>
      </c>
      <c r="AG22" s="209">
        <f t="shared" si="33"/>
        <v>0</v>
      </c>
      <c r="AH22" s="62">
        <f t="shared" si="34"/>
        <v>0</v>
      </c>
      <c r="AI22" s="318">
        <f t="shared" si="20"/>
        <v>0</v>
      </c>
      <c r="AJ22" s="318">
        <f>-tanks!AW23</f>
        <v>0</v>
      </c>
      <c r="AK22" s="318">
        <f t="shared" si="21"/>
        <v>0</v>
      </c>
      <c r="AL22" s="318">
        <f t="shared" si="7"/>
        <v>0</v>
      </c>
      <c r="AM22" s="318">
        <f t="shared" si="22"/>
        <v>0</v>
      </c>
      <c r="AN22" s="589">
        <f t="shared" ref="AN22:AP22" si="97">AN21</f>
        <v>67</v>
      </c>
      <c r="AO22" s="320">
        <f t="shared" si="24"/>
        <v>2010.0000000000002</v>
      </c>
      <c r="AP22" s="589">
        <f t="shared" si="97"/>
        <v>55</v>
      </c>
      <c r="AQ22" s="320">
        <f t="shared" si="25"/>
        <v>1650.0000000000002</v>
      </c>
      <c r="AR22" s="589">
        <f t="shared" ref="AR22" si="98">AR21</f>
        <v>61</v>
      </c>
      <c r="AS22" s="320">
        <f t="shared" si="37"/>
        <v>1830</v>
      </c>
      <c r="AT22" s="320">
        <f t="shared" si="38"/>
        <v>5490</v>
      </c>
      <c r="AU22" s="320">
        <f t="shared" si="39"/>
        <v>0</v>
      </c>
      <c r="AV22" s="269"/>
      <c r="AW22" s="269"/>
      <c r="AX22" s="313">
        <f t="shared" si="27"/>
        <v>0.8</v>
      </c>
    </row>
    <row r="23" spans="1:50">
      <c r="A23" s="63">
        <f>[3]ELEC!C21</f>
        <v>44215</v>
      </c>
      <c r="B23" s="589">
        <f t="shared" si="72"/>
        <v>219</v>
      </c>
      <c r="C23" s="589">
        <f t="shared" si="72"/>
        <v>224</v>
      </c>
      <c r="D23" s="45">
        <f t="shared" si="90"/>
        <v>0</v>
      </c>
      <c r="E23" s="45">
        <f t="shared" si="8"/>
        <v>0</v>
      </c>
      <c r="F23" s="589">
        <f t="shared" si="29"/>
        <v>1731</v>
      </c>
      <c r="G23" s="52">
        <f t="shared" si="0"/>
        <v>0</v>
      </c>
      <c r="H23" s="589">
        <f t="shared" si="29"/>
        <v>5125</v>
      </c>
      <c r="I23" s="396">
        <f t="shared" si="1"/>
        <v>0</v>
      </c>
      <c r="J23" s="66">
        <f t="shared" si="9"/>
        <v>0</v>
      </c>
      <c r="K23" s="589">
        <f t="shared" si="40"/>
        <v>2230</v>
      </c>
      <c r="L23" s="52">
        <f t="shared" si="10"/>
        <v>0</v>
      </c>
      <c r="M23" s="589">
        <f t="shared" si="40"/>
        <v>163965</v>
      </c>
      <c r="N23" s="396">
        <f t="shared" si="2"/>
        <v>0</v>
      </c>
      <c r="O23" s="64">
        <f t="shared" si="11"/>
        <v>1869</v>
      </c>
      <c r="P23" s="589">
        <f t="shared" si="11"/>
        <v>1979</v>
      </c>
      <c r="Q23" s="589">
        <f t="shared" ref="Q23" si="99">Q22</f>
        <v>167350</v>
      </c>
      <c r="R23" s="395">
        <f t="shared" si="51"/>
        <v>0</v>
      </c>
      <c r="S23" s="52">
        <f t="shared" si="4"/>
        <v>0</v>
      </c>
      <c r="T23" s="67">
        <f t="shared" si="30"/>
        <v>0</v>
      </c>
      <c r="U23" s="402">
        <f t="shared" si="13"/>
        <v>0</v>
      </c>
      <c r="V23" s="62">
        <f t="shared" si="14"/>
        <v>0</v>
      </c>
      <c r="W23" s="400"/>
      <c r="X23" s="589">
        <f t="shared" si="16"/>
        <v>2454</v>
      </c>
      <c r="Y23" s="52">
        <f t="shared" si="17"/>
        <v>0</v>
      </c>
      <c r="Z23" s="589">
        <f t="shared" si="16"/>
        <v>138028.1</v>
      </c>
      <c r="AA23" s="65">
        <f t="shared" si="5"/>
        <v>0</v>
      </c>
      <c r="AB23" s="284">
        <f t="shared" si="78"/>
        <v>0</v>
      </c>
      <c r="AC23" s="589">
        <f t="shared" ref="AC23:AE23" si="100">AC22</f>
        <v>1934</v>
      </c>
      <c r="AD23" s="45">
        <f t="shared" si="6"/>
        <v>0</v>
      </c>
      <c r="AE23" s="589">
        <f t="shared" si="100"/>
        <v>365352</v>
      </c>
      <c r="AF23" s="306">
        <f t="shared" si="19"/>
        <v>0</v>
      </c>
      <c r="AG23" s="209">
        <f t="shared" si="33"/>
        <v>0</v>
      </c>
      <c r="AH23" s="62">
        <f t="shared" si="34"/>
        <v>0</v>
      </c>
      <c r="AI23" s="318">
        <f t="shared" si="20"/>
        <v>0</v>
      </c>
      <c r="AJ23" s="318">
        <f>-[3]tanks!AW24</f>
        <v>231</v>
      </c>
      <c r="AK23" s="318">
        <f t="shared" si="21"/>
        <v>231</v>
      </c>
      <c r="AL23" s="318">
        <f t="shared" si="7"/>
        <v>0</v>
      </c>
      <c r="AM23" s="318">
        <f t="shared" si="22"/>
        <v>0</v>
      </c>
      <c r="AN23" s="589">
        <f t="shared" ref="AN23:AP23" si="101">AN22</f>
        <v>67</v>
      </c>
      <c r="AO23" s="320">
        <f t="shared" si="24"/>
        <v>2010.0000000000002</v>
      </c>
      <c r="AP23" s="589">
        <f t="shared" si="101"/>
        <v>55</v>
      </c>
      <c r="AQ23" s="320">
        <f t="shared" si="25"/>
        <v>1650.0000000000002</v>
      </c>
      <c r="AR23" s="589">
        <f t="shared" ref="AR23" si="102">AR22</f>
        <v>61</v>
      </c>
      <c r="AS23" s="320">
        <f t="shared" si="37"/>
        <v>1830</v>
      </c>
      <c r="AT23" s="320">
        <f t="shared" si="38"/>
        <v>5490</v>
      </c>
      <c r="AU23" s="320">
        <f t="shared" si="39"/>
        <v>0</v>
      </c>
      <c r="AV23" s="269"/>
      <c r="AW23" s="269"/>
      <c r="AX23" s="313">
        <f t="shared" si="27"/>
        <v>0.8</v>
      </c>
    </row>
    <row r="24" spans="1:50">
      <c r="A24" s="63">
        <f>ELEC!C22</f>
        <v>44247</v>
      </c>
      <c r="B24" s="589">
        <f t="shared" si="72"/>
        <v>219</v>
      </c>
      <c r="C24" s="589">
        <f t="shared" si="72"/>
        <v>224</v>
      </c>
      <c r="D24" s="45">
        <f t="shared" si="90"/>
        <v>0</v>
      </c>
      <c r="E24" s="45">
        <f t="shared" si="8"/>
        <v>0</v>
      </c>
      <c r="F24" s="589">
        <f t="shared" si="29"/>
        <v>1731</v>
      </c>
      <c r="G24" s="52">
        <f t="shared" si="0"/>
        <v>0</v>
      </c>
      <c r="H24" s="589">
        <f t="shared" si="29"/>
        <v>5125</v>
      </c>
      <c r="I24" s="396">
        <f t="shared" si="1"/>
        <v>0</v>
      </c>
      <c r="J24" s="66">
        <f t="shared" si="9"/>
        <v>0</v>
      </c>
      <c r="K24" s="589">
        <f t="shared" si="40"/>
        <v>2230</v>
      </c>
      <c r="L24" s="52">
        <f t="shared" si="10"/>
        <v>0</v>
      </c>
      <c r="M24" s="589">
        <f t="shared" si="40"/>
        <v>163965</v>
      </c>
      <c r="N24" s="396">
        <f t="shared" si="2"/>
        <v>0</v>
      </c>
      <c r="O24" s="64">
        <f t="shared" si="11"/>
        <v>1869</v>
      </c>
      <c r="P24" s="589">
        <f t="shared" si="11"/>
        <v>1979</v>
      </c>
      <c r="Q24" s="589">
        <f t="shared" ref="Q24" si="103">Q23</f>
        <v>167350</v>
      </c>
      <c r="R24" s="395">
        <f t="shared" si="51"/>
        <v>0</v>
      </c>
      <c r="S24" s="52">
        <f t="shared" si="4"/>
        <v>0</v>
      </c>
      <c r="T24" s="67">
        <f t="shared" si="30"/>
        <v>0</v>
      </c>
      <c r="U24" s="402">
        <f t="shared" si="13"/>
        <v>0</v>
      </c>
      <c r="V24" s="62">
        <f t="shared" si="14"/>
        <v>0</v>
      </c>
      <c r="W24" s="400"/>
      <c r="X24" s="589">
        <f t="shared" si="16"/>
        <v>2454</v>
      </c>
      <c r="Y24" s="52">
        <f t="shared" si="17"/>
        <v>0</v>
      </c>
      <c r="Z24" s="589">
        <f t="shared" si="16"/>
        <v>138028.1</v>
      </c>
      <c r="AA24" s="65">
        <f t="shared" si="5"/>
        <v>0</v>
      </c>
      <c r="AB24" s="284">
        <f t="shared" ref="AB24:AB32" si="104">SUM(Y24*$AB$2)</f>
        <v>0</v>
      </c>
      <c r="AC24" s="589">
        <f t="shared" ref="AC24:AE24" si="105">AC23</f>
        <v>1934</v>
      </c>
      <c r="AD24" s="45">
        <f t="shared" si="6"/>
        <v>0</v>
      </c>
      <c r="AE24" s="589">
        <f t="shared" si="105"/>
        <v>365352</v>
      </c>
      <c r="AF24" s="306">
        <f t="shared" si="19"/>
        <v>0</v>
      </c>
      <c r="AG24" s="209">
        <f t="shared" si="33"/>
        <v>0</v>
      </c>
      <c r="AH24" s="62">
        <f t="shared" si="34"/>
        <v>0</v>
      </c>
      <c r="AI24" s="318">
        <f t="shared" si="20"/>
        <v>0</v>
      </c>
      <c r="AJ24" s="318">
        <f>-tanks!AW25</f>
        <v>0</v>
      </c>
      <c r="AK24" s="318">
        <f t="shared" si="21"/>
        <v>0</v>
      </c>
      <c r="AL24" s="318">
        <f t="shared" si="7"/>
        <v>0</v>
      </c>
      <c r="AM24" s="318">
        <f t="shared" si="22"/>
        <v>0</v>
      </c>
      <c r="AN24" s="589">
        <f t="shared" ref="AN24:AP24" si="106">AN23</f>
        <v>67</v>
      </c>
      <c r="AO24" s="320">
        <f t="shared" si="24"/>
        <v>2010.0000000000002</v>
      </c>
      <c r="AP24" s="589">
        <f t="shared" si="106"/>
        <v>55</v>
      </c>
      <c r="AQ24" s="320">
        <f t="shared" si="25"/>
        <v>1650.0000000000002</v>
      </c>
      <c r="AR24" s="589">
        <f t="shared" ref="AR24" si="107">AR23</f>
        <v>61</v>
      </c>
      <c r="AS24" s="320">
        <f t="shared" si="37"/>
        <v>1830</v>
      </c>
      <c r="AT24" s="320">
        <f t="shared" ref="AT24:AT32" si="108">SUM(AO24+AQ24+AS24)</f>
        <v>5490</v>
      </c>
      <c r="AU24" s="320">
        <f t="shared" si="39"/>
        <v>0</v>
      </c>
      <c r="AV24" s="269"/>
      <c r="AW24" s="269"/>
      <c r="AX24" s="313">
        <f t="shared" si="27"/>
        <v>0.8</v>
      </c>
    </row>
    <row r="25" spans="1:50" ht="13.5" customHeight="1">
      <c r="A25" s="63">
        <f>ELEC!C23</f>
        <v>44248</v>
      </c>
      <c r="B25" s="589">
        <f t="shared" si="72"/>
        <v>219</v>
      </c>
      <c r="C25" s="589">
        <f t="shared" si="72"/>
        <v>224</v>
      </c>
      <c r="D25" s="45">
        <f t="shared" si="90"/>
        <v>0</v>
      </c>
      <c r="E25" s="45">
        <f t="shared" si="8"/>
        <v>0</v>
      </c>
      <c r="F25" s="589">
        <f t="shared" si="29"/>
        <v>1731</v>
      </c>
      <c r="G25" s="52">
        <f t="shared" si="0"/>
        <v>0</v>
      </c>
      <c r="H25" s="589">
        <f t="shared" si="29"/>
        <v>5125</v>
      </c>
      <c r="I25" s="396">
        <f t="shared" si="1"/>
        <v>0</v>
      </c>
      <c r="J25" s="66">
        <f t="shared" si="9"/>
        <v>0</v>
      </c>
      <c r="K25" s="589">
        <f t="shared" si="40"/>
        <v>2230</v>
      </c>
      <c r="L25" s="52">
        <f t="shared" si="10"/>
        <v>0</v>
      </c>
      <c r="M25" s="589">
        <f t="shared" si="40"/>
        <v>163965</v>
      </c>
      <c r="N25" s="396">
        <f t="shared" si="2"/>
        <v>0</v>
      </c>
      <c r="O25" s="64">
        <f t="shared" si="11"/>
        <v>1869</v>
      </c>
      <c r="P25" s="589">
        <f t="shared" si="11"/>
        <v>1979</v>
      </c>
      <c r="Q25" s="589">
        <f t="shared" ref="Q25" si="109">Q24</f>
        <v>167350</v>
      </c>
      <c r="R25" s="395">
        <f t="shared" si="51"/>
        <v>0</v>
      </c>
      <c r="S25" s="52">
        <f t="shared" si="4"/>
        <v>0</v>
      </c>
      <c r="T25" s="67">
        <f t="shared" si="30"/>
        <v>0</v>
      </c>
      <c r="U25" s="402">
        <f t="shared" si="13"/>
        <v>0</v>
      </c>
      <c r="V25" s="62">
        <f t="shared" si="14"/>
        <v>0</v>
      </c>
      <c r="W25" s="400"/>
      <c r="X25" s="589">
        <f t="shared" si="16"/>
        <v>2454</v>
      </c>
      <c r="Y25" s="52">
        <f t="shared" si="17"/>
        <v>0</v>
      </c>
      <c r="Z25" s="589">
        <f t="shared" si="16"/>
        <v>138028.1</v>
      </c>
      <c r="AA25" s="65">
        <f t="shared" si="5"/>
        <v>0</v>
      </c>
      <c r="AB25" s="284">
        <f t="shared" si="104"/>
        <v>0</v>
      </c>
      <c r="AC25" s="589">
        <f t="shared" ref="AC25:AE25" si="110">AC24</f>
        <v>1934</v>
      </c>
      <c r="AD25" s="45">
        <f t="shared" si="6"/>
        <v>0</v>
      </c>
      <c r="AE25" s="589">
        <f t="shared" si="110"/>
        <v>365352</v>
      </c>
      <c r="AF25" s="306">
        <f t="shared" si="19"/>
        <v>0</v>
      </c>
      <c r="AG25" s="209">
        <f t="shared" si="33"/>
        <v>0</v>
      </c>
      <c r="AH25" s="62">
        <f t="shared" si="34"/>
        <v>0</v>
      </c>
      <c r="AI25" s="318">
        <f t="shared" si="20"/>
        <v>0</v>
      </c>
      <c r="AJ25" s="318">
        <f>-tanks!AW26</f>
        <v>0</v>
      </c>
      <c r="AK25" s="318">
        <f t="shared" si="21"/>
        <v>0</v>
      </c>
      <c r="AL25" s="318">
        <f t="shared" si="7"/>
        <v>0</v>
      </c>
      <c r="AM25" s="318">
        <f t="shared" si="22"/>
        <v>0</v>
      </c>
      <c r="AN25" s="589">
        <f t="shared" ref="AN25:AP25" si="111">AN24</f>
        <v>67</v>
      </c>
      <c r="AO25" s="320">
        <f t="shared" si="24"/>
        <v>2010.0000000000002</v>
      </c>
      <c r="AP25" s="589">
        <f t="shared" si="111"/>
        <v>55</v>
      </c>
      <c r="AQ25" s="320">
        <f t="shared" ref="AQ25:AQ32" si="112">(AP25/100)*3000</f>
        <v>1650.0000000000002</v>
      </c>
      <c r="AR25" s="589">
        <f t="shared" ref="AR25" si="113">AR24</f>
        <v>61</v>
      </c>
      <c r="AS25" s="320">
        <f t="shared" si="37"/>
        <v>1830</v>
      </c>
      <c r="AT25" s="320">
        <f t="shared" si="108"/>
        <v>5490</v>
      </c>
      <c r="AU25" s="320">
        <f t="shared" si="39"/>
        <v>0</v>
      </c>
      <c r="AV25" s="269"/>
      <c r="AW25" s="269"/>
      <c r="AX25" s="313">
        <f t="shared" si="27"/>
        <v>0.8</v>
      </c>
    </row>
    <row r="26" spans="1:50" ht="14.25" customHeight="1">
      <c r="A26" s="63">
        <f>ELEC!C24</f>
        <v>44249</v>
      </c>
      <c r="B26" s="589">
        <f t="shared" si="72"/>
        <v>219</v>
      </c>
      <c r="C26" s="589">
        <f t="shared" si="72"/>
        <v>224</v>
      </c>
      <c r="D26" s="45">
        <f t="shared" si="90"/>
        <v>0</v>
      </c>
      <c r="E26" s="45">
        <f t="shared" si="8"/>
        <v>0</v>
      </c>
      <c r="F26" s="589">
        <f t="shared" si="29"/>
        <v>1731</v>
      </c>
      <c r="G26" s="52">
        <f t="shared" si="0"/>
        <v>0</v>
      </c>
      <c r="H26" s="589">
        <f t="shared" si="29"/>
        <v>5125</v>
      </c>
      <c r="I26" s="396">
        <f t="shared" si="1"/>
        <v>0</v>
      </c>
      <c r="J26" s="66">
        <f t="shared" si="9"/>
        <v>0</v>
      </c>
      <c r="K26" s="589">
        <f t="shared" si="40"/>
        <v>2230</v>
      </c>
      <c r="L26" s="52">
        <f t="shared" si="10"/>
        <v>0</v>
      </c>
      <c r="M26" s="589">
        <f t="shared" si="40"/>
        <v>163965</v>
      </c>
      <c r="N26" s="396">
        <f t="shared" si="2"/>
        <v>0</v>
      </c>
      <c r="O26" s="64">
        <f t="shared" si="11"/>
        <v>1869</v>
      </c>
      <c r="P26" s="589">
        <f t="shared" si="11"/>
        <v>1979</v>
      </c>
      <c r="Q26" s="589">
        <f t="shared" ref="Q26" si="114">Q25</f>
        <v>167350</v>
      </c>
      <c r="R26" s="395">
        <f t="shared" si="51"/>
        <v>0</v>
      </c>
      <c r="S26" s="52">
        <f t="shared" si="4"/>
        <v>0</v>
      </c>
      <c r="T26" s="67">
        <f t="shared" si="30"/>
        <v>0</v>
      </c>
      <c r="U26" s="402">
        <f t="shared" si="13"/>
        <v>0</v>
      </c>
      <c r="V26" s="62">
        <f t="shared" si="14"/>
        <v>0</v>
      </c>
      <c r="W26" s="400"/>
      <c r="X26" s="589">
        <f t="shared" si="16"/>
        <v>2454</v>
      </c>
      <c r="Y26" s="52">
        <f t="shared" si="17"/>
        <v>0</v>
      </c>
      <c r="Z26" s="589">
        <f t="shared" si="16"/>
        <v>138028.1</v>
      </c>
      <c r="AA26" s="65">
        <f t="shared" si="5"/>
        <v>0</v>
      </c>
      <c r="AB26" s="284">
        <f t="shared" si="104"/>
        <v>0</v>
      </c>
      <c r="AC26" s="589">
        <f t="shared" ref="AC26:AE26" si="115">AC25</f>
        <v>1934</v>
      </c>
      <c r="AD26" s="45">
        <f t="shared" si="6"/>
        <v>0</v>
      </c>
      <c r="AE26" s="589">
        <f t="shared" si="115"/>
        <v>365352</v>
      </c>
      <c r="AF26" s="306">
        <f t="shared" si="19"/>
        <v>0</v>
      </c>
      <c r="AG26" s="209">
        <f t="shared" si="33"/>
        <v>0</v>
      </c>
      <c r="AH26" s="62">
        <f t="shared" si="34"/>
        <v>0</v>
      </c>
      <c r="AI26" s="318">
        <f t="shared" si="20"/>
        <v>0</v>
      </c>
      <c r="AJ26" s="318">
        <f>-tanks!AW27</f>
        <v>0</v>
      </c>
      <c r="AK26" s="318">
        <f t="shared" si="21"/>
        <v>0</v>
      </c>
      <c r="AL26" s="318">
        <f t="shared" si="7"/>
        <v>0</v>
      </c>
      <c r="AM26" s="318">
        <f t="shared" si="22"/>
        <v>0</v>
      </c>
      <c r="AN26" s="589">
        <f t="shared" ref="AN26:AP26" si="116">AN25</f>
        <v>67</v>
      </c>
      <c r="AO26" s="320">
        <f t="shared" si="24"/>
        <v>2010.0000000000002</v>
      </c>
      <c r="AP26" s="589">
        <f t="shared" si="116"/>
        <v>55</v>
      </c>
      <c r="AQ26" s="320">
        <f t="shared" si="112"/>
        <v>1650.0000000000002</v>
      </c>
      <c r="AR26" s="589">
        <f t="shared" ref="AR26" si="117">AR25</f>
        <v>61</v>
      </c>
      <c r="AS26" s="320">
        <f t="shared" si="37"/>
        <v>1830</v>
      </c>
      <c r="AT26" s="320">
        <f t="shared" si="108"/>
        <v>5490</v>
      </c>
      <c r="AU26" s="320">
        <f t="shared" si="39"/>
        <v>0</v>
      </c>
      <c r="AV26" s="269"/>
      <c r="AW26" s="269"/>
      <c r="AX26" s="313">
        <f t="shared" si="27"/>
        <v>0.8</v>
      </c>
    </row>
    <row r="27" spans="1:50">
      <c r="A27" s="63">
        <f>ELEC!C25</f>
        <v>44250</v>
      </c>
      <c r="B27" s="589">
        <f t="shared" si="72"/>
        <v>219</v>
      </c>
      <c r="C27" s="589">
        <f t="shared" si="72"/>
        <v>224</v>
      </c>
      <c r="D27" s="45">
        <f t="shared" si="90"/>
        <v>0</v>
      </c>
      <c r="E27" s="45">
        <f t="shared" si="8"/>
        <v>0</v>
      </c>
      <c r="F27" s="589">
        <f t="shared" si="29"/>
        <v>1731</v>
      </c>
      <c r="G27" s="52">
        <f t="shared" si="0"/>
        <v>0</v>
      </c>
      <c r="H27" s="589">
        <f t="shared" si="29"/>
        <v>5125</v>
      </c>
      <c r="I27" s="396">
        <f t="shared" si="1"/>
        <v>0</v>
      </c>
      <c r="J27" s="66">
        <f t="shared" si="9"/>
        <v>0</v>
      </c>
      <c r="K27" s="589">
        <f t="shared" si="40"/>
        <v>2230</v>
      </c>
      <c r="L27" s="52">
        <f t="shared" si="10"/>
        <v>0</v>
      </c>
      <c r="M27" s="589">
        <f t="shared" si="40"/>
        <v>163965</v>
      </c>
      <c r="N27" s="396">
        <f t="shared" si="2"/>
        <v>0</v>
      </c>
      <c r="O27" s="64">
        <f t="shared" si="11"/>
        <v>1869</v>
      </c>
      <c r="P27" s="589">
        <f t="shared" si="11"/>
        <v>1979</v>
      </c>
      <c r="Q27" s="589">
        <f t="shared" ref="Q27" si="118">Q26</f>
        <v>167350</v>
      </c>
      <c r="R27" s="395">
        <f t="shared" si="51"/>
        <v>0</v>
      </c>
      <c r="S27" s="52">
        <f t="shared" si="4"/>
        <v>0</v>
      </c>
      <c r="T27" s="67">
        <f t="shared" si="30"/>
        <v>0</v>
      </c>
      <c r="U27" s="402">
        <f t="shared" si="13"/>
        <v>0</v>
      </c>
      <c r="V27" s="62">
        <f t="shared" si="14"/>
        <v>0</v>
      </c>
      <c r="W27" s="400"/>
      <c r="X27" s="589">
        <f t="shared" si="16"/>
        <v>2454</v>
      </c>
      <c r="Y27" s="52">
        <f t="shared" si="17"/>
        <v>0</v>
      </c>
      <c r="Z27" s="589">
        <f t="shared" si="16"/>
        <v>138028.1</v>
      </c>
      <c r="AA27" s="65">
        <f t="shared" si="5"/>
        <v>0</v>
      </c>
      <c r="AB27" s="284">
        <f t="shared" si="104"/>
        <v>0</v>
      </c>
      <c r="AC27" s="589">
        <f t="shared" ref="AC27:AE27" si="119">AC26</f>
        <v>1934</v>
      </c>
      <c r="AD27" s="45">
        <f t="shared" si="6"/>
        <v>0</v>
      </c>
      <c r="AE27" s="589">
        <f t="shared" si="119"/>
        <v>365352</v>
      </c>
      <c r="AF27" s="306">
        <f t="shared" si="19"/>
        <v>0</v>
      </c>
      <c r="AG27" s="209">
        <f t="shared" si="33"/>
        <v>0</v>
      </c>
      <c r="AH27" s="62">
        <f t="shared" si="34"/>
        <v>0</v>
      </c>
      <c r="AI27" s="318">
        <f t="shared" si="20"/>
        <v>0</v>
      </c>
      <c r="AJ27" s="318">
        <f>-tanks!AW28</f>
        <v>0</v>
      </c>
      <c r="AK27" s="318">
        <f t="shared" si="21"/>
        <v>0</v>
      </c>
      <c r="AL27" s="318">
        <f t="shared" si="7"/>
        <v>0</v>
      </c>
      <c r="AM27" s="318">
        <f t="shared" si="22"/>
        <v>0</v>
      </c>
      <c r="AN27" s="589">
        <f t="shared" ref="AN27:AP27" si="120">AN26</f>
        <v>67</v>
      </c>
      <c r="AO27" s="320">
        <f>(AN27/100)*3000</f>
        <v>2010.0000000000002</v>
      </c>
      <c r="AP27" s="589">
        <f t="shared" si="120"/>
        <v>55</v>
      </c>
      <c r="AQ27" s="320">
        <f t="shared" si="112"/>
        <v>1650.0000000000002</v>
      </c>
      <c r="AR27" s="589">
        <f t="shared" ref="AR27" si="121">AR26</f>
        <v>61</v>
      </c>
      <c r="AS27" s="320">
        <f t="shared" si="37"/>
        <v>1830</v>
      </c>
      <c r="AT27" s="320">
        <f t="shared" si="108"/>
        <v>5490</v>
      </c>
      <c r="AU27" s="320">
        <f t="shared" si="39"/>
        <v>0</v>
      </c>
      <c r="AV27" s="269"/>
      <c r="AW27" s="502"/>
      <c r="AX27" s="313">
        <f t="shared" si="27"/>
        <v>0.8</v>
      </c>
    </row>
    <row r="28" spans="1:50">
      <c r="A28" s="63">
        <f>ELEC!C26</f>
        <v>44251</v>
      </c>
      <c r="B28" s="589">
        <f t="shared" si="72"/>
        <v>219</v>
      </c>
      <c r="C28" s="589">
        <f t="shared" si="72"/>
        <v>224</v>
      </c>
      <c r="D28" s="45">
        <f t="shared" si="90"/>
        <v>0</v>
      </c>
      <c r="E28" s="45">
        <f t="shared" si="8"/>
        <v>0</v>
      </c>
      <c r="F28" s="589">
        <f t="shared" si="29"/>
        <v>1731</v>
      </c>
      <c r="G28" s="52">
        <f t="shared" si="0"/>
        <v>0</v>
      </c>
      <c r="H28" s="589">
        <f t="shared" si="29"/>
        <v>5125</v>
      </c>
      <c r="I28" s="396">
        <f t="shared" si="1"/>
        <v>0</v>
      </c>
      <c r="J28" s="66">
        <f t="shared" si="9"/>
        <v>0</v>
      </c>
      <c r="K28" s="589">
        <f t="shared" si="40"/>
        <v>2230</v>
      </c>
      <c r="L28" s="52">
        <f t="shared" si="10"/>
        <v>0</v>
      </c>
      <c r="M28" s="589">
        <f t="shared" si="40"/>
        <v>163965</v>
      </c>
      <c r="N28" s="396">
        <f t="shared" si="2"/>
        <v>0</v>
      </c>
      <c r="O28" s="64">
        <f t="shared" si="11"/>
        <v>1869</v>
      </c>
      <c r="P28" s="589">
        <f t="shared" si="11"/>
        <v>1979</v>
      </c>
      <c r="Q28" s="589">
        <f t="shared" ref="Q28" si="122">Q27</f>
        <v>167350</v>
      </c>
      <c r="R28" s="395">
        <f t="shared" si="51"/>
        <v>0</v>
      </c>
      <c r="S28" s="52">
        <f t="shared" si="4"/>
        <v>0</v>
      </c>
      <c r="T28" s="67">
        <f t="shared" si="30"/>
        <v>0</v>
      </c>
      <c r="U28" s="402">
        <f t="shared" si="13"/>
        <v>0</v>
      </c>
      <c r="V28" s="62">
        <f t="shared" si="14"/>
        <v>0</v>
      </c>
      <c r="W28" s="400"/>
      <c r="X28" s="589">
        <f t="shared" si="16"/>
        <v>2454</v>
      </c>
      <c r="Y28" s="52">
        <f t="shared" si="17"/>
        <v>0</v>
      </c>
      <c r="Z28" s="589">
        <f t="shared" si="16"/>
        <v>138028.1</v>
      </c>
      <c r="AA28" s="65">
        <f t="shared" si="5"/>
        <v>0</v>
      </c>
      <c r="AB28" s="284">
        <f t="shared" si="104"/>
        <v>0</v>
      </c>
      <c r="AC28" s="589">
        <f t="shared" ref="AC28:AE28" si="123">AC27</f>
        <v>1934</v>
      </c>
      <c r="AD28" s="45">
        <f t="shared" si="6"/>
        <v>0</v>
      </c>
      <c r="AE28" s="589">
        <f t="shared" si="123"/>
        <v>365352</v>
      </c>
      <c r="AF28" s="306">
        <f t="shared" si="19"/>
        <v>0</v>
      </c>
      <c r="AG28" s="209">
        <f t="shared" si="33"/>
        <v>0</v>
      </c>
      <c r="AH28" s="62">
        <f t="shared" si="34"/>
        <v>0</v>
      </c>
      <c r="AI28" s="318">
        <f t="shared" si="20"/>
        <v>0</v>
      </c>
      <c r="AJ28" s="318">
        <f>-tanks!AW29</f>
        <v>0</v>
      </c>
      <c r="AK28" s="318">
        <f t="shared" si="21"/>
        <v>0</v>
      </c>
      <c r="AL28" s="318">
        <f t="shared" si="7"/>
        <v>0</v>
      </c>
      <c r="AM28" s="318">
        <f t="shared" si="22"/>
        <v>0</v>
      </c>
      <c r="AN28" s="589">
        <f t="shared" ref="AN28:AP28" si="124">AN27</f>
        <v>67</v>
      </c>
      <c r="AO28" s="320">
        <f t="shared" ref="AO28:AO32" si="125">(AN28/100)*3000</f>
        <v>2010.0000000000002</v>
      </c>
      <c r="AP28" s="589">
        <f t="shared" si="124"/>
        <v>55</v>
      </c>
      <c r="AQ28" s="320">
        <f t="shared" si="112"/>
        <v>1650.0000000000002</v>
      </c>
      <c r="AR28" s="589">
        <f t="shared" ref="AR28" si="126">AR27</f>
        <v>61</v>
      </c>
      <c r="AS28" s="320">
        <f t="shared" si="37"/>
        <v>1830</v>
      </c>
      <c r="AT28" s="320">
        <f t="shared" si="108"/>
        <v>5490</v>
      </c>
      <c r="AU28" s="320">
        <f t="shared" si="39"/>
        <v>0</v>
      </c>
      <c r="AV28" s="269"/>
      <c r="AW28" s="269"/>
      <c r="AX28" s="313">
        <f t="shared" si="27"/>
        <v>0.8</v>
      </c>
    </row>
    <row r="29" spans="1:50">
      <c r="A29" s="63">
        <f>ELEC!C27</f>
        <v>44252</v>
      </c>
      <c r="B29" s="589">
        <f t="shared" si="72"/>
        <v>219</v>
      </c>
      <c r="C29" s="589">
        <f t="shared" si="72"/>
        <v>224</v>
      </c>
      <c r="D29" s="45">
        <f t="shared" si="90"/>
        <v>0</v>
      </c>
      <c r="E29" s="45">
        <f t="shared" si="8"/>
        <v>0</v>
      </c>
      <c r="F29" s="589">
        <f t="shared" si="29"/>
        <v>1731</v>
      </c>
      <c r="G29" s="52">
        <f t="shared" si="0"/>
        <v>0</v>
      </c>
      <c r="H29" s="589">
        <f t="shared" si="29"/>
        <v>5125</v>
      </c>
      <c r="I29" s="396">
        <f t="shared" si="1"/>
        <v>0</v>
      </c>
      <c r="J29" s="66">
        <f t="shared" si="9"/>
        <v>0</v>
      </c>
      <c r="K29" s="589">
        <f t="shared" si="40"/>
        <v>2230</v>
      </c>
      <c r="L29" s="52">
        <f t="shared" si="10"/>
        <v>0</v>
      </c>
      <c r="M29" s="589">
        <f t="shared" si="40"/>
        <v>163965</v>
      </c>
      <c r="N29" s="396">
        <f t="shared" si="2"/>
        <v>0</v>
      </c>
      <c r="O29" s="64">
        <f t="shared" si="11"/>
        <v>1869</v>
      </c>
      <c r="P29" s="589">
        <f t="shared" si="11"/>
        <v>1979</v>
      </c>
      <c r="Q29" s="589">
        <f t="shared" ref="Q29" si="127">Q28</f>
        <v>167350</v>
      </c>
      <c r="R29" s="395">
        <f t="shared" si="51"/>
        <v>0</v>
      </c>
      <c r="S29" s="52">
        <f t="shared" si="4"/>
        <v>0</v>
      </c>
      <c r="T29" s="67">
        <f t="shared" si="30"/>
        <v>0</v>
      </c>
      <c r="U29" s="402">
        <f t="shared" si="13"/>
        <v>0</v>
      </c>
      <c r="V29" s="62">
        <f t="shared" si="14"/>
        <v>0</v>
      </c>
      <c r="W29" s="400"/>
      <c r="X29" s="589">
        <f t="shared" si="16"/>
        <v>2454</v>
      </c>
      <c r="Y29" s="52">
        <f t="shared" si="17"/>
        <v>0</v>
      </c>
      <c r="Z29" s="589">
        <f t="shared" si="16"/>
        <v>138028.1</v>
      </c>
      <c r="AA29" s="65">
        <f t="shared" si="5"/>
        <v>0</v>
      </c>
      <c r="AB29" s="284">
        <f t="shared" si="104"/>
        <v>0</v>
      </c>
      <c r="AC29" s="589">
        <f t="shared" ref="AC29:AE29" si="128">AC28</f>
        <v>1934</v>
      </c>
      <c r="AD29" s="45">
        <f t="shared" si="6"/>
        <v>0</v>
      </c>
      <c r="AE29" s="589">
        <f t="shared" si="128"/>
        <v>365352</v>
      </c>
      <c r="AF29" s="306">
        <f t="shared" si="19"/>
        <v>0</v>
      </c>
      <c r="AG29" s="209">
        <f t="shared" si="33"/>
        <v>0</v>
      </c>
      <c r="AH29" s="62">
        <f t="shared" si="34"/>
        <v>0</v>
      </c>
      <c r="AI29" s="318">
        <f t="shared" si="20"/>
        <v>0</v>
      </c>
      <c r="AJ29" s="318">
        <f>-tanks!AW30</f>
        <v>0</v>
      </c>
      <c r="AK29" s="318">
        <f t="shared" si="21"/>
        <v>0</v>
      </c>
      <c r="AL29" s="318">
        <f t="shared" si="7"/>
        <v>0</v>
      </c>
      <c r="AM29" s="318">
        <f t="shared" si="22"/>
        <v>0</v>
      </c>
      <c r="AN29" s="589">
        <f t="shared" ref="AN29:AP29" si="129">AN28</f>
        <v>67</v>
      </c>
      <c r="AO29" s="320">
        <f t="shared" si="125"/>
        <v>2010.0000000000002</v>
      </c>
      <c r="AP29" s="589">
        <f t="shared" si="129"/>
        <v>55</v>
      </c>
      <c r="AQ29" s="320">
        <f t="shared" si="112"/>
        <v>1650.0000000000002</v>
      </c>
      <c r="AR29" s="589">
        <f t="shared" ref="AR29" si="130">AR28</f>
        <v>61</v>
      </c>
      <c r="AS29" s="320">
        <f t="shared" si="37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7"/>
        <v>0.8</v>
      </c>
    </row>
    <row r="30" spans="1:50">
      <c r="A30" s="63">
        <f>ELEC!C28</f>
        <v>44253</v>
      </c>
      <c r="B30" s="589">
        <f t="shared" si="72"/>
        <v>219</v>
      </c>
      <c r="C30" s="589">
        <f t="shared" si="72"/>
        <v>224</v>
      </c>
      <c r="D30" s="45">
        <f t="shared" si="90"/>
        <v>0</v>
      </c>
      <c r="E30" s="45">
        <f t="shared" si="8"/>
        <v>0</v>
      </c>
      <c r="F30" s="589">
        <f t="shared" si="29"/>
        <v>1731</v>
      </c>
      <c r="G30" s="52">
        <f t="shared" si="0"/>
        <v>0</v>
      </c>
      <c r="H30" s="589">
        <f t="shared" si="29"/>
        <v>5125</v>
      </c>
      <c r="I30" s="396">
        <f t="shared" si="1"/>
        <v>0</v>
      </c>
      <c r="J30" s="66">
        <f t="shared" si="9"/>
        <v>0</v>
      </c>
      <c r="K30" s="589">
        <f t="shared" si="40"/>
        <v>2230</v>
      </c>
      <c r="L30" s="52">
        <f t="shared" si="10"/>
        <v>0</v>
      </c>
      <c r="M30" s="589">
        <f t="shared" si="40"/>
        <v>163965</v>
      </c>
      <c r="N30" s="396">
        <f t="shared" si="2"/>
        <v>0</v>
      </c>
      <c r="O30" s="64">
        <f t="shared" si="11"/>
        <v>1869</v>
      </c>
      <c r="P30" s="589">
        <f t="shared" si="11"/>
        <v>1979</v>
      </c>
      <c r="Q30" s="589">
        <f t="shared" ref="Q30" si="131">Q29</f>
        <v>167350</v>
      </c>
      <c r="R30" s="395">
        <f t="shared" si="51"/>
        <v>0</v>
      </c>
      <c r="S30" s="52">
        <f t="shared" si="4"/>
        <v>0</v>
      </c>
      <c r="T30" s="67">
        <f t="shared" si="30"/>
        <v>0</v>
      </c>
      <c r="U30" s="402">
        <f t="shared" si="13"/>
        <v>0</v>
      </c>
      <c r="V30" s="62">
        <f t="shared" si="14"/>
        <v>0</v>
      </c>
      <c r="W30" s="400"/>
      <c r="X30" s="589">
        <f t="shared" si="16"/>
        <v>2454</v>
      </c>
      <c r="Y30" s="52">
        <f t="shared" si="17"/>
        <v>0</v>
      </c>
      <c r="Z30" s="589">
        <f t="shared" si="16"/>
        <v>138028.1</v>
      </c>
      <c r="AA30" s="65">
        <f t="shared" si="5"/>
        <v>0</v>
      </c>
      <c r="AB30" s="284">
        <f t="shared" si="104"/>
        <v>0</v>
      </c>
      <c r="AC30" s="589">
        <f t="shared" ref="AC30:AE30" si="132">AC29</f>
        <v>1934</v>
      </c>
      <c r="AD30" s="45">
        <f t="shared" si="6"/>
        <v>0</v>
      </c>
      <c r="AE30" s="589">
        <f t="shared" si="132"/>
        <v>365352</v>
      </c>
      <c r="AF30" s="306">
        <f t="shared" si="19"/>
        <v>0</v>
      </c>
      <c r="AG30" s="209">
        <f t="shared" si="33"/>
        <v>0</v>
      </c>
      <c r="AH30" s="62">
        <f t="shared" si="34"/>
        <v>0</v>
      </c>
      <c r="AI30" s="318">
        <f t="shared" si="20"/>
        <v>0</v>
      </c>
      <c r="AJ30" s="318">
        <f>-tanks!AW31</f>
        <v>0</v>
      </c>
      <c r="AK30" s="318">
        <f t="shared" si="21"/>
        <v>0</v>
      </c>
      <c r="AL30" s="318">
        <f t="shared" si="7"/>
        <v>0</v>
      </c>
      <c r="AM30" s="318">
        <f t="shared" si="22"/>
        <v>0</v>
      </c>
      <c r="AN30" s="589">
        <f t="shared" ref="AN30:AP30" si="133">AN29</f>
        <v>67</v>
      </c>
      <c r="AO30" s="320">
        <f t="shared" si="125"/>
        <v>2010.0000000000002</v>
      </c>
      <c r="AP30" s="589">
        <f t="shared" si="133"/>
        <v>55</v>
      </c>
      <c r="AQ30" s="320">
        <f t="shared" si="112"/>
        <v>1650.0000000000002</v>
      </c>
      <c r="AR30" s="589">
        <f t="shared" ref="AR30" si="134">AR29</f>
        <v>61</v>
      </c>
      <c r="AS30" s="320">
        <f t="shared" si="37"/>
        <v>1830</v>
      </c>
      <c r="AT30" s="320">
        <f t="shared" si="108"/>
        <v>5490</v>
      </c>
      <c r="AU30" s="320">
        <f t="shared" si="39"/>
        <v>0</v>
      </c>
      <c r="AV30" s="269"/>
      <c r="AW30" s="269"/>
      <c r="AX30" s="313">
        <f t="shared" si="27"/>
        <v>0.8</v>
      </c>
    </row>
    <row r="31" spans="1:50">
      <c r="A31" s="63">
        <f>ELEC!C29</f>
        <v>44254</v>
      </c>
      <c r="B31" s="589">
        <f t="shared" si="72"/>
        <v>219</v>
      </c>
      <c r="C31" s="589">
        <f t="shared" si="72"/>
        <v>224</v>
      </c>
      <c r="D31" s="45">
        <f t="shared" si="90"/>
        <v>0</v>
      </c>
      <c r="E31" s="45">
        <f t="shared" si="8"/>
        <v>0</v>
      </c>
      <c r="F31" s="589">
        <f t="shared" si="29"/>
        <v>1731</v>
      </c>
      <c r="G31" s="52">
        <f t="shared" si="0"/>
        <v>0</v>
      </c>
      <c r="H31" s="589">
        <f t="shared" si="29"/>
        <v>5125</v>
      </c>
      <c r="I31" s="396">
        <f t="shared" si="1"/>
        <v>0</v>
      </c>
      <c r="J31" s="66">
        <f t="shared" si="9"/>
        <v>0</v>
      </c>
      <c r="K31" s="589">
        <f t="shared" si="40"/>
        <v>2230</v>
      </c>
      <c r="L31" s="52">
        <f t="shared" si="10"/>
        <v>0</v>
      </c>
      <c r="M31" s="589">
        <f t="shared" si="40"/>
        <v>163965</v>
      </c>
      <c r="N31" s="396">
        <f t="shared" si="2"/>
        <v>0</v>
      </c>
      <c r="O31" s="64">
        <f t="shared" si="11"/>
        <v>1869</v>
      </c>
      <c r="P31" s="589">
        <f t="shared" si="11"/>
        <v>1979</v>
      </c>
      <c r="Q31" s="589">
        <f t="shared" ref="Q31" si="135">Q30</f>
        <v>167350</v>
      </c>
      <c r="R31" s="395">
        <f t="shared" si="51"/>
        <v>0</v>
      </c>
      <c r="S31" s="52">
        <f t="shared" si="4"/>
        <v>0</v>
      </c>
      <c r="T31" s="67">
        <f t="shared" si="30"/>
        <v>0</v>
      </c>
      <c r="U31" s="402">
        <f t="shared" si="13"/>
        <v>0</v>
      </c>
      <c r="V31" s="62">
        <f t="shared" si="14"/>
        <v>0</v>
      </c>
      <c r="W31" s="400"/>
      <c r="X31" s="589">
        <f t="shared" si="16"/>
        <v>2454</v>
      </c>
      <c r="Y31" s="52">
        <f t="shared" si="17"/>
        <v>0</v>
      </c>
      <c r="Z31" s="589">
        <f t="shared" si="16"/>
        <v>138028.1</v>
      </c>
      <c r="AA31" s="65">
        <f t="shared" si="5"/>
        <v>0</v>
      </c>
      <c r="AB31" s="284">
        <f t="shared" si="104"/>
        <v>0</v>
      </c>
      <c r="AC31" s="589">
        <f t="shared" ref="AC31:AE31" si="136">AC30</f>
        <v>1934</v>
      </c>
      <c r="AD31" s="269">
        <f t="shared" si="6"/>
        <v>0</v>
      </c>
      <c r="AE31" s="589">
        <f t="shared" si="136"/>
        <v>365352</v>
      </c>
      <c r="AF31" s="306">
        <f t="shared" si="19"/>
        <v>0</v>
      </c>
      <c r="AG31" s="209">
        <f t="shared" si="33"/>
        <v>0</v>
      </c>
      <c r="AH31" s="62">
        <f t="shared" si="34"/>
        <v>0</v>
      </c>
      <c r="AI31" s="318">
        <f t="shared" si="20"/>
        <v>0</v>
      </c>
      <c r="AJ31" s="318">
        <f>-tanks!AW32</f>
        <v>0</v>
      </c>
      <c r="AK31" s="318">
        <f t="shared" si="21"/>
        <v>0</v>
      </c>
      <c r="AL31" s="318">
        <f t="shared" si="7"/>
        <v>0</v>
      </c>
      <c r="AM31" s="318">
        <f t="shared" si="22"/>
        <v>0</v>
      </c>
      <c r="AN31" s="589">
        <f t="shared" ref="AN31:AP31" si="137">AN30</f>
        <v>67</v>
      </c>
      <c r="AO31" s="320">
        <f t="shared" si="125"/>
        <v>2010.0000000000002</v>
      </c>
      <c r="AP31" s="589">
        <f t="shared" si="137"/>
        <v>55</v>
      </c>
      <c r="AQ31" s="320">
        <f t="shared" si="112"/>
        <v>1650.0000000000002</v>
      </c>
      <c r="AR31" s="589">
        <f t="shared" ref="AR31" si="138">AR30</f>
        <v>61</v>
      </c>
      <c r="AS31" s="320">
        <f t="shared" si="37"/>
        <v>1830</v>
      </c>
      <c r="AT31" s="320">
        <f t="shared" si="108"/>
        <v>5490</v>
      </c>
      <c r="AU31" s="320">
        <f t="shared" si="39"/>
        <v>0</v>
      </c>
      <c r="AV31" s="269"/>
      <c r="AW31" s="269"/>
      <c r="AX31" s="313">
        <f t="shared" si="27"/>
        <v>0.8</v>
      </c>
    </row>
    <row r="32" spans="1:50">
      <c r="A32" s="63">
        <f>ELEC!C30</f>
        <v>44255</v>
      </c>
      <c r="B32" s="589">
        <f t="shared" si="72"/>
        <v>219</v>
      </c>
      <c r="C32" s="589">
        <f t="shared" si="72"/>
        <v>224</v>
      </c>
      <c r="D32" s="45">
        <f t="shared" si="28"/>
        <v>0</v>
      </c>
      <c r="E32" s="45">
        <f t="shared" ref="E32" si="139">D32*8.38</f>
        <v>0</v>
      </c>
      <c r="F32" s="589">
        <f t="shared" si="29"/>
        <v>1731</v>
      </c>
      <c r="G32" s="52">
        <f t="shared" si="0"/>
        <v>0</v>
      </c>
      <c r="H32" s="589">
        <f t="shared" si="29"/>
        <v>5125</v>
      </c>
      <c r="I32" s="396">
        <f t="shared" si="1"/>
        <v>0</v>
      </c>
      <c r="J32" s="66">
        <f t="shared" si="9"/>
        <v>0</v>
      </c>
      <c r="K32" s="589">
        <f t="shared" si="40"/>
        <v>2230</v>
      </c>
      <c r="L32" s="52">
        <f t="shared" si="10"/>
        <v>0</v>
      </c>
      <c r="M32" s="589">
        <f t="shared" si="40"/>
        <v>163965</v>
      </c>
      <c r="N32" s="396">
        <f t="shared" si="2"/>
        <v>0</v>
      </c>
      <c r="O32" s="64">
        <f t="shared" si="11"/>
        <v>1869</v>
      </c>
      <c r="P32" s="589">
        <f t="shared" si="11"/>
        <v>1979</v>
      </c>
      <c r="Q32" s="589">
        <f t="shared" ref="Q32" si="140">Q31</f>
        <v>167350</v>
      </c>
      <c r="R32" s="395">
        <f t="shared" si="51"/>
        <v>0</v>
      </c>
      <c r="S32" s="52">
        <f t="shared" si="4"/>
        <v>0</v>
      </c>
      <c r="T32" s="67">
        <f t="shared" si="30"/>
        <v>0</v>
      </c>
      <c r="U32" s="402">
        <f t="shared" si="13"/>
        <v>0</v>
      </c>
      <c r="V32" s="62">
        <f t="shared" si="14"/>
        <v>0</v>
      </c>
      <c r="W32" s="400"/>
      <c r="X32" s="589">
        <f t="shared" si="16"/>
        <v>2454</v>
      </c>
      <c r="Y32" s="52">
        <f t="shared" si="17"/>
        <v>0</v>
      </c>
      <c r="Z32" s="589">
        <f t="shared" si="16"/>
        <v>138028.1</v>
      </c>
      <c r="AA32" s="65">
        <f t="shared" si="5"/>
        <v>0</v>
      </c>
      <c r="AB32" s="284">
        <f t="shared" si="104"/>
        <v>0</v>
      </c>
      <c r="AC32" s="589">
        <f t="shared" ref="AC32:AE32" si="141">AC31</f>
        <v>1934</v>
      </c>
      <c r="AD32" s="269">
        <f t="shared" si="6"/>
        <v>0</v>
      </c>
      <c r="AE32" s="589">
        <f t="shared" si="141"/>
        <v>365352</v>
      </c>
      <c r="AF32" s="306">
        <f t="shared" si="19"/>
        <v>0</v>
      </c>
      <c r="AG32" s="209">
        <f t="shared" si="33"/>
        <v>0</v>
      </c>
      <c r="AH32" s="62">
        <f t="shared" si="34"/>
        <v>0</v>
      </c>
      <c r="AI32" s="318">
        <f t="shared" si="20"/>
        <v>0</v>
      </c>
      <c r="AJ32" s="318">
        <f>-tanks!AW33</f>
        <v>0</v>
      </c>
      <c r="AK32" s="318">
        <f t="shared" si="21"/>
        <v>0</v>
      </c>
      <c r="AL32" s="318">
        <f t="shared" si="7"/>
        <v>0</v>
      </c>
      <c r="AM32" s="318">
        <f t="shared" si="22"/>
        <v>0</v>
      </c>
      <c r="AN32" s="589">
        <f t="shared" ref="AN32:AP32" si="142">AN31</f>
        <v>67</v>
      </c>
      <c r="AO32" s="320">
        <f t="shared" si="125"/>
        <v>2010.0000000000002</v>
      </c>
      <c r="AP32" s="589">
        <f t="shared" si="142"/>
        <v>55</v>
      </c>
      <c r="AQ32" s="320">
        <f t="shared" si="112"/>
        <v>1650.0000000000002</v>
      </c>
      <c r="AR32" s="589">
        <f t="shared" ref="AR32" si="143">AR31</f>
        <v>61</v>
      </c>
      <c r="AS32" s="320">
        <f t="shared" si="37"/>
        <v>1830</v>
      </c>
      <c r="AT32" s="320">
        <f t="shared" si="108"/>
        <v>5490</v>
      </c>
      <c r="AU32" s="320">
        <f t="shared" si="39"/>
        <v>0</v>
      </c>
      <c r="AV32" s="269"/>
      <c r="AW32" s="269"/>
      <c r="AX32" s="313">
        <f t="shared" si="27"/>
        <v>0.8</v>
      </c>
    </row>
    <row r="33" spans="10:49">
      <c r="J33" s="283">
        <f>SUM(J5:J32)/(COUNT(J5:J32)-COUNTIF(J5:J32,0))</f>
        <v>64.625</v>
      </c>
      <c r="V33" s="62">
        <f>SUM(V5:V32)</f>
        <v>3346</v>
      </c>
      <c r="AE33" s="71" t="s">
        <v>383</v>
      </c>
      <c r="AG33" s="344"/>
      <c r="AH33" s="62">
        <f>SUM(AH5:AH32)</f>
        <v>232</v>
      </c>
      <c r="AL33" s="62">
        <f>SUM(AL5:AL32)</f>
        <v>45</v>
      </c>
      <c r="AM33" s="62">
        <f>SUM(AM5:AM32)</f>
        <v>2</v>
      </c>
      <c r="AP33" s="313"/>
      <c r="AQ33" s="313"/>
      <c r="AR33" s="313" t="s">
        <v>224</v>
      </c>
      <c r="AS33" s="313">
        <f>COUNT(AW5:AW32)</f>
        <v>0</v>
      </c>
      <c r="AT33" s="313"/>
      <c r="AU33" s="313">
        <f>SUM(AU5:AU32)</f>
        <v>0</v>
      </c>
      <c r="AV33" s="71">
        <f>SUM(AV5:AV32)</f>
        <v>0</v>
      </c>
      <c r="AW33" s="313" t="e">
        <f>SUM(AW5:AW32)/AS33</f>
        <v>#DIV/0!</v>
      </c>
    </row>
    <row r="34" spans="10:49">
      <c r="AH34" s="62">
        <f>AF34+AA34</f>
        <v>0</v>
      </c>
      <c r="AI34" s="321">
        <f>SUM(AI5:AI32)</f>
        <v>3578</v>
      </c>
      <c r="AP34" s="313"/>
      <c r="AQ34" s="313"/>
      <c r="AR34" s="313"/>
      <c r="AS34" s="313"/>
      <c r="AT34" s="313"/>
      <c r="AU34" s="313"/>
      <c r="AV34" s="313"/>
      <c r="AW34" s="313"/>
    </row>
    <row r="35" spans="10:49">
      <c r="AH35" s="62">
        <f>AF35+AA35</f>
        <v>0</v>
      </c>
      <c r="AP35" s="313"/>
      <c r="AQ35" s="313"/>
      <c r="AR35" s="313"/>
      <c r="AS35" s="313"/>
      <c r="AT35" s="313"/>
      <c r="AU35" s="313">
        <f>AU33*0.51</f>
        <v>0</v>
      </c>
      <c r="AV35" s="313">
        <f>AV33/0.51</f>
        <v>0</v>
      </c>
      <c r="AW35" s="313" t="e">
        <f>SUM(AW5:AW32)/AS33</f>
        <v>#DIV/0!</v>
      </c>
    </row>
    <row r="36" spans="10:49">
      <c r="AP36" s="313"/>
      <c r="AQ36" s="313"/>
      <c r="AR36" s="313"/>
      <c r="AS36" s="313"/>
      <c r="AT36" s="313"/>
      <c r="AU36" s="313"/>
      <c r="AV36" s="313">
        <f>AV33*0.51</f>
        <v>0</v>
      </c>
      <c r="AW36" s="313"/>
    </row>
    <row r="37" spans="10:49">
      <c r="AP37" s="313"/>
      <c r="AQ37" s="313"/>
      <c r="AR37" s="313"/>
      <c r="AS37" s="313"/>
      <c r="AT37" s="313"/>
      <c r="AU37" s="313"/>
      <c r="AV37" s="313"/>
      <c r="AW37" s="313"/>
    </row>
    <row r="38" spans="10:49">
      <c r="P38" s="69"/>
      <c r="Q38" s="69"/>
      <c r="R38" s="69"/>
      <c r="AP38" s="313"/>
      <c r="AQ38" s="313"/>
      <c r="AR38" s="313"/>
      <c r="AS38" s="313"/>
      <c r="AT38" s="313"/>
      <c r="AU38" s="313"/>
      <c r="AV38" s="313"/>
      <c r="AW38" s="313"/>
    </row>
    <row r="40" spans="10:49">
      <c r="AG40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2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2"/>
  <sheetViews>
    <sheetView topLeftCell="AC1" zoomScaleNormal="100" workbookViewId="0">
      <pane ySplit="3" topLeftCell="A21" activePane="bottomLeft" state="frozen"/>
      <selection pane="bottomLeft" activeCell="AT7" sqref="AT7:AT22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32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32" customWidth="1"/>
    <col min="11" max="11" width="13.54296875" style="1" customWidth="1"/>
    <col min="12" max="12" width="13.26953125" style="1" customWidth="1"/>
    <col min="13" max="13" width="10.7265625" style="492" customWidth="1"/>
    <col min="14" max="14" width="10.7265625" style="494" customWidth="1"/>
    <col min="15" max="15" width="11.1796875" style="492" customWidth="1"/>
    <col min="16" max="16" width="11.1796875" style="494" customWidth="1"/>
    <col min="17" max="17" width="17.26953125" style="492" customWidth="1"/>
    <col min="18" max="18" width="10.81640625" style="492" customWidth="1"/>
    <col min="19" max="19" width="10.7265625" style="492" customWidth="1"/>
    <col min="20" max="20" width="13.26953125" style="406" customWidth="1"/>
    <col min="21" max="21" width="8.7265625" style="409" customWidth="1"/>
    <col min="22" max="22" width="13.26953125" style="322" customWidth="1"/>
    <col min="23" max="23" width="9.7265625" style="322" bestFit="1" customWidth="1"/>
    <col min="24" max="27" width="9.7265625" style="322" customWidth="1"/>
    <col min="28" max="28" width="14.453125" style="322" customWidth="1"/>
    <col min="29" max="32" width="9.7265625" style="322" customWidth="1"/>
    <col min="33" max="33" width="11.26953125" style="322" customWidth="1"/>
    <col min="34" max="36" width="9.7265625" style="322" customWidth="1"/>
    <col min="37" max="37" width="7.453125" style="322" customWidth="1"/>
    <col min="38" max="39" width="8.7265625" style="322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59" customFormat="1" ht="15" thickBot="1">
      <c r="B1" s="360"/>
      <c r="C1" s="360"/>
      <c r="D1" s="416">
        <f>SUM(G21:G33)</f>
        <v>7999862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18" t="s">
        <v>126</v>
      </c>
      <c r="AO3" s="619"/>
      <c r="AP3" s="62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44227</v>
      </c>
      <c r="B5" s="410">
        <f>[2]WATER!B36</f>
        <v>109443</v>
      </c>
      <c r="C5" s="410">
        <f>[2]WATER!C36</f>
        <v>0</v>
      </c>
      <c r="D5" s="410">
        <f>[2]WATER!D36</f>
        <v>0</v>
      </c>
      <c r="E5" s="410">
        <f>[2]WATER!E36</f>
        <v>241.93548387096774</v>
      </c>
      <c r="F5" s="410">
        <f>[2]WATER!F36</f>
        <v>0</v>
      </c>
      <c r="G5" s="410">
        <f>[2]WATER!G36</f>
        <v>615374</v>
      </c>
      <c r="H5" s="410">
        <f>[2]WATER!H36</f>
        <v>0</v>
      </c>
      <c r="I5" s="410">
        <f>[2]WATER!I36</f>
        <v>0</v>
      </c>
      <c r="J5" s="410">
        <f>[2]WATER!J36</f>
        <v>0</v>
      </c>
      <c r="K5" s="410">
        <f>[2]WATER!K36</f>
        <v>6716</v>
      </c>
      <c r="L5" s="410">
        <f>[2]WATER!L36</f>
        <v>0</v>
      </c>
      <c r="M5" s="410">
        <f>[2]WATER!M36</f>
        <v>457.44</v>
      </c>
      <c r="N5" s="410">
        <f>[2]WATER!N36</f>
        <v>0</v>
      </c>
      <c r="O5" s="410">
        <f>[2]WATER!O36</f>
        <v>529.52</v>
      </c>
      <c r="P5" s="410">
        <f>[2]WATER!P36</f>
        <v>0</v>
      </c>
      <c r="Q5" s="410">
        <f>[2]WATER!Q36</f>
        <v>0</v>
      </c>
      <c r="R5" s="410">
        <f>[2]WATER!R36</f>
        <v>0</v>
      </c>
      <c r="S5" s="410">
        <f>[2]WATER!S36</f>
        <v>0</v>
      </c>
      <c r="T5" s="410">
        <f>[2]WATER!T36</f>
        <v>5164</v>
      </c>
      <c r="U5" s="410">
        <f>[2]WATER!U36</f>
        <v>0</v>
      </c>
      <c r="V5" s="410">
        <f>[2]WATER!V36</f>
        <v>460</v>
      </c>
      <c r="W5" s="410">
        <f>[2]WATER!W36</f>
        <v>0</v>
      </c>
      <c r="X5" s="410">
        <f>[2]WATER!X36</f>
        <v>150077</v>
      </c>
      <c r="Y5" s="410">
        <f>[2]WATER!Y36</f>
        <v>0</v>
      </c>
      <c r="Z5" s="410">
        <f>[2]WATER!Z36</f>
        <v>98262</v>
      </c>
      <c r="AA5" s="410">
        <f>[2]WATER!AA36</f>
        <v>1</v>
      </c>
      <c r="AB5" s="410">
        <f>[2]WATER!AB36</f>
        <v>256</v>
      </c>
      <c r="AC5" s="410">
        <f>[2]WATER!AC36</f>
        <v>731</v>
      </c>
      <c r="AD5" s="410">
        <f>[2]WATER!AD36</f>
        <v>0</v>
      </c>
      <c r="AE5" s="410">
        <f>[2]WATER!AE36</f>
        <v>227.8</v>
      </c>
      <c r="AF5" s="410">
        <f>[2]WATER!AF36</f>
        <v>0</v>
      </c>
      <c r="AG5" s="410">
        <f>[2]WATER!AG36</f>
        <v>2181.5700000000002</v>
      </c>
      <c r="AH5" s="410">
        <f>[2]WATER!AH36</f>
        <v>0</v>
      </c>
      <c r="AI5" s="410">
        <f>[2]WATER!AI36</f>
        <v>0</v>
      </c>
      <c r="AJ5" s="410">
        <f>[2]WATER!AJ36</f>
        <v>1</v>
      </c>
      <c r="AK5" s="410">
        <f>[2]WATER!AK36</f>
        <v>0</v>
      </c>
      <c r="AL5" s="410">
        <f>[2]WATER!AL36</f>
        <v>1</v>
      </c>
      <c r="AM5" s="410">
        <f>[2]WATER!AM36</f>
        <v>0</v>
      </c>
      <c r="AN5" s="410">
        <f>[2]WATER!AN36</f>
        <v>0</v>
      </c>
      <c r="AO5" s="410">
        <f>[2]WATER!AO36</f>
        <v>0</v>
      </c>
      <c r="AP5" s="410">
        <f>[2]WATER!AP36</f>
        <v>0</v>
      </c>
      <c r="AQ5" s="410">
        <f>[2]WATER!AQ36</f>
        <v>0</v>
      </c>
      <c r="AR5" s="410">
        <f>[2]WATER!AR36</f>
        <v>44227</v>
      </c>
      <c r="AS5" s="410">
        <f>[2]WATER!AS36</f>
        <v>0.9</v>
      </c>
      <c r="AT5" s="410">
        <f>[2]WATER!AT36</f>
        <v>182</v>
      </c>
      <c r="AU5" s="410">
        <f>[2]WATER!AU36</f>
        <v>1.1000000000000001</v>
      </c>
      <c r="AV5" s="410">
        <f>[2]WATER!AV36</f>
        <v>150</v>
      </c>
      <c r="AW5" s="410">
        <f>[2]WATER!AW36</f>
        <v>2.9</v>
      </c>
      <c r="AX5" s="410">
        <f>[2]WATER!AX36</f>
        <v>166</v>
      </c>
      <c r="AY5" s="410">
        <f>[2]WATER!AY36</f>
        <v>163.80000000000001</v>
      </c>
      <c r="AZ5" s="410">
        <f>[2]WATER!AZ36</f>
        <v>165</v>
      </c>
      <c r="BA5" s="410">
        <f>[2]WATER!BA36</f>
        <v>481.4</v>
      </c>
      <c r="BB5" s="410">
        <f>[2]WATER!BB36</f>
        <v>0</v>
      </c>
      <c r="BC5" s="410">
        <f>[2]WATER!BC36</f>
        <v>-2.2000000000000171</v>
      </c>
      <c r="BD5" s="410">
        <f>[2]WATER!BD36</f>
        <v>-2.9000000000000341</v>
      </c>
      <c r="BE5" s="410">
        <f>[2]WATER!BE36</f>
        <v>-5.1000000000000512</v>
      </c>
      <c r="BF5" s="410">
        <f>[2]WATER!BF36</f>
        <v>5.1000000000000512</v>
      </c>
      <c r="BG5" s="410">
        <f>[2]WATER!BG36</f>
        <v>-5.1000000000000512</v>
      </c>
    </row>
    <row r="6" spans="1:65" ht="15" thickBot="1">
      <c r="A6" s="6">
        <f>ELEC!C3</f>
        <v>44228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log'!$A$34))</f>
        <v>267.85714285714283</v>
      </c>
      <c r="F6" s="418"/>
      <c r="G6" s="5">
        <v>615374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6716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v>5165</v>
      </c>
      <c r="U6" s="5">
        <f t="shared" ref="U6:U33" si="4">SUM(T6-T5)</f>
        <v>1</v>
      </c>
      <c r="V6" s="5">
        <v>460</v>
      </c>
      <c r="W6" s="324">
        <f>+V6-V5</f>
        <v>0</v>
      </c>
      <c r="X6" s="5">
        <v>150077</v>
      </c>
      <c r="Y6" s="324">
        <f>SUM(X6-X5)</f>
        <v>0</v>
      </c>
      <c r="Z6" s="5">
        <f>Z5</f>
        <v>98262</v>
      </c>
      <c r="AA6" s="83">
        <f>Z6-Z5</f>
        <v>0</v>
      </c>
      <c r="AB6" s="5">
        <f>AB5</f>
        <v>256</v>
      </c>
      <c r="AC6" s="5">
        <f>AC5</f>
        <v>731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18.5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44228</v>
      </c>
      <c r="AS6" s="424">
        <f t="shared" ref="AS6:AT21" si="6">AS5</f>
        <v>0.9</v>
      </c>
      <c r="AT6" s="201">
        <v>150</v>
      </c>
      <c r="AU6" s="425">
        <f>AU5</f>
        <v>1.1000000000000001</v>
      </c>
      <c r="AV6" s="201">
        <v>148</v>
      </c>
      <c r="AW6" s="5">
        <v>2.9</v>
      </c>
      <c r="AX6" s="201">
        <v>165</v>
      </c>
      <c r="AY6" s="426">
        <f t="shared" ref="AY6:AY33" si="7">AS6*AT6</f>
        <v>135</v>
      </c>
      <c r="AZ6" s="426">
        <f>AU6*AV6</f>
        <v>162.80000000000001</v>
      </c>
      <c r="BA6" s="426">
        <f>AW6*AX6</f>
        <v>478.5</v>
      </c>
      <c r="BB6" s="21">
        <f>AY6-AY5</f>
        <v>-28.800000000000011</v>
      </c>
      <c r="BC6" s="21">
        <f>AZ6-AZ5</f>
        <v>-2.1999999999999886</v>
      </c>
      <c r="BD6" s="21">
        <f>BA6-BA5</f>
        <v>-2.8999999999999773</v>
      </c>
      <c r="BE6" s="24">
        <f>SUM(BB6:BD6)</f>
        <v>-33.899999999999977</v>
      </c>
      <c r="BF6" s="96">
        <f t="shared" ref="BF6:BF33" si="8">SUM(I6-BE6)</f>
        <v>33.899999999999977</v>
      </c>
      <c r="BG6" s="82">
        <f t="shared" ref="BG6:BG33" si="9">SUM(I6-BF6)</f>
        <v>-33.899999999999977</v>
      </c>
      <c r="BI6" s="17"/>
      <c r="BJ6" s="17"/>
      <c r="BK6" s="17"/>
      <c r="BL6" s="17"/>
      <c r="BM6" s="17"/>
    </row>
    <row r="7" spans="1:65" ht="15" thickBot="1">
      <c r="A7" s="6">
        <f>ELEC!C4</f>
        <v>44229</v>
      </c>
      <c r="B7" s="5">
        <f t="shared" ref="B7:B33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log'!$A$34))</f>
        <v>267.85714285714283</v>
      </c>
      <c r="F7" s="418"/>
      <c r="G7" s="5">
        <f t="shared" ref="G7:G33" si="13">G6</f>
        <v>615374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6716</v>
      </c>
      <c r="L7" s="83">
        <f>K7-K6</f>
        <v>0</v>
      </c>
      <c r="M7" s="410">
        <f t="shared" ref="M7:M33" si="15">M6</f>
        <v>457.44</v>
      </c>
      <c r="N7" s="514">
        <f t="shared" si="2"/>
        <v>0</v>
      </c>
      <c r="O7" s="410">
        <f t="shared" ref="O7:O33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AG33" si="17">T6</f>
        <v>5165</v>
      </c>
      <c r="U7" s="5">
        <f t="shared" si="4"/>
        <v>0</v>
      </c>
      <c r="V7" s="5">
        <f t="shared" si="17"/>
        <v>460</v>
      </c>
      <c r="W7" s="324">
        <f t="shared" ref="W7:W33" si="18">+V7-V6</f>
        <v>0</v>
      </c>
      <c r="X7" s="5">
        <f t="shared" si="17"/>
        <v>150077</v>
      </c>
      <c r="Y7" s="324">
        <f>SUM(X7-X6)</f>
        <v>0</v>
      </c>
      <c r="Z7" s="5">
        <f t="shared" si="17"/>
        <v>98262</v>
      </c>
      <c r="AA7" s="83">
        <f t="shared" ref="AA7:AA33" si="19">Z7-Z6</f>
        <v>0</v>
      </c>
      <c r="AB7" s="5">
        <f t="shared" si="17"/>
        <v>256</v>
      </c>
      <c r="AC7" s="5">
        <f t="shared" si="17"/>
        <v>731</v>
      </c>
      <c r="AD7" s="83">
        <f>AC7-AC6</f>
        <v>0</v>
      </c>
      <c r="AE7" s="5">
        <f t="shared" si="17"/>
        <v>227.8</v>
      </c>
      <c r="AF7" s="83">
        <f t="shared" ref="AF7:AF32" si="20">AE7-AE6</f>
        <v>0</v>
      </c>
      <c r="AG7" s="5">
        <f t="shared" si="17"/>
        <v>2181.5700000000002</v>
      </c>
      <c r="AH7" s="83">
        <f t="shared" ref="AH7:AH33" si="21">AG7-AG6</f>
        <v>0</v>
      </c>
      <c r="AI7" s="83">
        <f t="shared" ref="AI7:AI33" si="22">AF7+AH7</f>
        <v>0</v>
      </c>
      <c r="AJ7" s="326">
        <f t="shared" ref="AJ7:AJ33" si="23">+Z7-Z6</f>
        <v>0</v>
      </c>
      <c r="AK7" s="327">
        <f>SUM(Y7-L7)</f>
        <v>0</v>
      </c>
      <c r="AL7" s="327">
        <f t="shared" ref="AL7:AL33" si="24">SUM(AJ7-W7)</f>
        <v>0</v>
      </c>
      <c r="AM7" s="327">
        <f>'General information '!D7</f>
        <v>20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25">A7</f>
        <v>44229</v>
      </c>
      <c r="AS7" s="424">
        <f t="shared" si="6"/>
        <v>0.9</v>
      </c>
      <c r="AT7" s="201">
        <v>150</v>
      </c>
      <c r="AU7" s="425">
        <f>AU6</f>
        <v>1.1000000000000001</v>
      </c>
      <c r="AV7" s="201">
        <v>143</v>
      </c>
      <c r="AW7" s="5">
        <v>2.9</v>
      </c>
      <c r="AX7" s="201">
        <v>163</v>
      </c>
      <c r="AY7" s="426">
        <f t="shared" si="7"/>
        <v>135</v>
      </c>
      <c r="AZ7" s="426">
        <f t="shared" ref="AZ7:AZ33" si="26">AU7*AV7</f>
        <v>157.30000000000001</v>
      </c>
      <c r="BA7" s="426">
        <f t="shared" ref="BA7:BA33" si="27">AW7*AX7</f>
        <v>472.7</v>
      </c>
      <c r="BB7" s="21">
        <f t="shared" ref="BB7:BD33" si="28">AY7-AY6</f>
        <v>0</v>
      </c>
      <c r="BC7" s="21">
        <f t="shared" ref="BC7:BD21" si="29">AZ7-AZ6</f>
        <v>-5.5</v>
      </c>
      <c r="BD7" s="21">
        <f t="shared" si="29"/>
        <v>-5.8000000000000114</v>
      </c>
      <c r="BE7" s="24">
        <f t="shared" ref="BE7:BE33" si="30">SUM(BB7:BD7)</f>
        <v>-11.300000000000011</v>
      </c>
      <c r="BF7" s="96">
        <f t="shared" si="8"/>
        <v>11.300000000000011</v>
      </c>
      <c r="BG7" s="82">
        <f t="shared" si="9"/>
        <v>-11.300000000000011</v>
      </c>
      <c r="BI7" s="86"/>
      <c r="BJ7" s="17"/>
      <c r="BK7" s="17"/>
      <c r="BL7" s="17"/>
      <c r="BM7" s="17"/>
    </row>
    <row r="8" spans="1:65" ht="15" thickBot="1">
      <c r="A8" s="6">
        <f>ELEC!C5</f>
        <v>44230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log'!$A$34))</f>
        <v>267.85714285714283</v>
      </c>
      <c r="F8" s="418"/>
      <c r="G8" s="5">
        <f t="shared" si="13"/>
        <v>615374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6716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5165</v>
      </c>
      <c r="U8" s="5">
        <f t="shared" si="4"/>
        <v>0</v>
      </c>
      <c r="V8" s="5">
        <v>461</v>
      </c>
      <c r="W8" s="324">
        <f t="shared" si="18"/>
        <v>1</v>
      </c>
      <c r="X8" s="5">
        <f t="shared" si="17"/>
        <v>150077</v>
      </c>
      <c r="Y8" s="324">
        <f>SUM(X8-X7)</f>
        <v>0</v>
      </c>
      <c r="Z8" s="5">
        <f t="shared" si="17"/>
        <v>98262</v>
      </c>
      <c r="AA8" s="83">
        <f t="shared" si="19"/>
        <v>0</v>
      </c>
      <c r="AB8" s="5">
        <f t="shared" si="17"/>
        <v>256</v>
      </c>
      <c r="AC8" s="5">
        <f t="shared" si="17"/>
        <v>731</v>
      </c>
      <c r="AD8" s="83">
        <f t="shared" ref="AD8:AD33" si="31">AC8-AC7</f>
        <v>0</v>
      </c>
      <c r="AE8" s="5">
        <f t="shared" si="17"/>
        <v>227.8</v>
      </c>
      <c r="AF8" s="83">
        <f t="shared" si="20"/>
        <v>0</v>
      </c>
      <c r="AG8" s="5">
        <f t="shared" si="17"/>
        <v>2181.5700000000002</v>
      </c>
      <c r="AH8" s="83">
        <f t="shared" si="21"/>
        <v>0</v>
      </c>
      <c r="AI8" s="83">
        <f t="shared" si="22"/>
        <v>0</v>
      </c>
      <c r="AJ8" s="326">
        <f t="shared" si="23"/>
        <v>0</v>
      </c>
      <c r="AK8" s="327">
        <f t="shared" ref="AK8:AK33" si="32">SUM(Y8-L8)</f>
        <v>0</v>
      </c>
      <c r="AL8" s="327">
        <f t="shared" si="24"/>
        <v>-1</v>
      </c>
      <c r="AM8" s="327">
        <f>'General information '!D8</f>
        <v>17.5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25"/>
        <v>44230</v>
      </c>
      <c r="AS8" s="424">
        <f t="shared" si="6"/>
        <v>0.9</v>
      </c>
      <c r="AT8" s="201">
        <v>146</v>
      </c>
      <c r="AU8" s="425">
        <v>1.1000000000000001</v>
      </c>
      <c r="AV8" s="201">
        <v>140</v>
      </c>
      <c r="AW8" s="5">
        <v>2.9</v>
      </c>
      <c r="AX8" s="201">
        <v>162</v>
      </c>
      <c r="AY8" s="426">
        <f t="shared" si="7"/>
        <v>131.4</v>
      </c>
      <c r="AZ8" s="426">
        <f t="shared" si="26"/>
        <v>154</v>
      </c>
      <c r="BA8" s="426">
        <f t="shared" si="27"/>
        <v>469.8</v>
      </c>
      <c r="BB8" s="21">
        <f t="shared" si="28"/>
        <v>-3.5999999999999943</v>
      </c>
      <c r="BC8" s="21">
        <f t="shared" si="29"/>
        <v>-3.3000000000000114</v>
      </c>
      <c r="BD8" s="21">
        <f t="shared" si="29"/>
        <v>-2.8999999999999773</v>
      </c>
      <c r="BE8" s="24">
        <f t="shared" si="30"/>
        <v>-9.7999999999999829</v>
      </c>
      <c r="BF8" s="96">
        <f t="shared" si="8"/>
        <v>9.7999999999999829</v>
      </c>
      <c r="BG8" s="82">
        <f t="shared" si="9"/>
        <v>-9.7999999999999829</v>
      </c>
      <c r="BI8" s="86"/>
      <c r="BJ8" s="17"/>
      <c r="BK8" s="17"/>
    </row>
    <row r="9" spans="1:65" ht="15" thickBot="1">
      <c r="A9" s="6">
        <f>ELEC!C6</f>
        <v>44231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log'!$A$34))</f>
        <v>267.85714285714283</v>
      </c>
      <c r="F9" s="418"/>
      <c r="G9" s="5">
        <f t="shared" si="13"/>
        <v>615374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6716</v>
      </c>
      <c r="L9" s="83">
        <f t="shared" ref="L9:L33" si="33">K9-K8</f>
        <v>0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5165</v>
      </c>
      <c r="U9" s="5">
        <f t="shared" si="4"/>
        <v>0</v>
      </c>
      <c r="V9" s="5">
        <f t="shared" si="17"/>
        <v>461</v>
      </c>
      <c r="W9" s="324">
        <f t="shared" si="18"/>
        <v>0</v>
      </c>
      <c r="X9" s="5">
        <f t="shared" si="17"/>
        <v>150077</v>
      </c>
      <c r="Y9" s="324">
        <f t="shared" ref="Y9:Y33" si="34">SUM(X9-X8)</f>
        <v>0</v>
      </c>
      <c r="Z9" s="5">
        <f t="shared" si="17"/>
        <v>98262</v>
      </c>
      <c r="AA9" s="83">
        <f t="shared" si="19"/>
        <v>0</v>
      </c>
      <c r="AB9" s="5">
        <f t="shared" si="17"/>
        <v>256</v>
      </c>
      <c r="AC9" s="5">
        <f t="shared" si="17"/>
        <v>731</v>
      </c>
      <c r="AD9" s="83">
        <f t="shared" si="31"/>
        <v>0</v>
      </c>
      <c r="AE9" s="5">
        <f t="shared" si="17"/>
        <v>227.8</v>
      </c>
      <c r="AF9" s="83">
        <f t="shared" si="20"/>
        <v>0</v>
      </c>
      <c r="AG9" s="5">
        <f t="shared" si="17"/>
        <v>2181.5700000000002</v>
      </c>
      <c r="AH9" s="83">
        <f t="shared" si="21"/>
        <v>0</v>
      </c>
      <c r="AI9" s="83">
        <f t="shared" si="22"/>
        <v>0</v>
      </c>
      <c r="AJ9" s="326">
        <f t="shared" si="23"/>
        <v>0</v>
      </c>
      <c r="AK9" s="327">
        <f t="shared" si="32"/>
        <v>0</v>
      </c>
      <c r="AL9" s="327">
        <f t="shared" si="24"/>
        <v>0</v>
      </c>
      <c r="AM9" s="327">
        <f>'General information '!D9</f>
        <v>17.5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25"/>
        <v>44231</v>
      </c>
      <c r="AS9" s="424">
        <f t="shared" si="6"/>
        <v>0.9</v>
      </c>
      <c r="AT9" s="201">
        <f t="shared" si="6"/>
        <v>146</v>
      </c>
      <c r="AU9" s="425">
        <f t="shared" ref="AU9:AV33" si="35">AU8</f>
        <v>1.1000000000000001</v>
      </c>
      <c r="AV9" s="201">
        <v>136</v>
      </c>
      <c r="AW9" s="5">
        <v>2.9</v>
      </c>
      <c r="AX9" s="201">
        <v>157</v>
      </c>
      <c r="AY9" s="426">
        <f t="shared" si="7"/>
        <v>131.4</v>
      </c>
      <c r="AZ9" s="426">
        <f t="shared" si="26"/>
        <v>149.60000000000002</v>
      </c>
      <c r="BA9" s="426">
        <f t="shared" si="27"/>
        <v>455.3</v>
      </c>
      <c r="BB9" s="21">
        <f t="shared" si="28"/>
        <v>0</v>
      </c>
      <c r="BC9" s="21">
        <f t="shared" si="29"/>
        <v>-4.3999999999999773</v>
      </c>
      <c r="BD9" s="21">
        <f t="shared" si="29"/>
        <v>-14.5</v>
      </c>
      <c r="BE9" s="24">
        <f t="shared" si="30"/>
        <v>-18.899999999999977</v>
      </c>
      <c r="BF9" s="345">
        <f t="shared" si="8"/>
        <v>18.899999999999977</v>
      </c>
      <c r="BG9" s="82">
        <f t="shared" si="9"/>
        <v>-18.899999999999977</v>
      </c>
    </row>
    <row r="10" spans="1:65" ht="15" thickBot="1">
      <c r="A10" s="6">
        <f>ELEC!C7</f>
        <v>44232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log'!$A$34))</f>
        <v>267.85714285714283</v>
      </c>
      <c r="F10" s="418"/>
      <c r="G10" s="5">
        <f t="shared" si="13"/>
        <v>615374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6715</v>
      </c>
      <c r="L10" s="83">
        <f>K10-K9</f>
        <v>-1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5165</v>
      </c>
      <c r="U10" s="5">
        <f t="shared" si="4"/>
        <v>0</v>
      </c>
      <c r="V10" s="5">
        <f t="shared" si="17"/>
        <v>461</v>
      </c>
      <c r="W10" s="324">
        <f t="shared" si="18"/>
        <v>0</v>
      </c>
      <c r="X10" s="5">
        <f t="shared" si="17"/>
        <v>150077</v>
      </c>
      <c r="Y10" s="324">
        <f t="shared" si="34"/>
        <v>0</v>
      </c>
      <c r="Z10" s="5">
        <f t="shared" si="17"/>
        <v>98262</v>
      </c>
      <c r="AA10" s="83">
        <f t="shared" si="19"/>
        <v>0</v>
      </c>
      <c r="AB10" s="5">
        <f t="shared" si="17"/>
        <v>256</v>
      </c>
      <c r="AC10" s="5">
        <f t="shared" si="17"/>
        <v>731</v>
      </c>
      <c r="AD10" s="83">
        <f t="shared" si="31"/>
        <v>0</v>
      </c>
      <c r="AE10" s="5">
        <f t="shared" si="17"/>
        <v>227.8</v>
      </c>
      <c r="AF10" s="83">
        <f t="shared" si="20"/>
        <v>0</v>
      </c>
      <c r="AG10" s="5">
        <f t="shared" si="17"/>
        <v>2181.5700000000002</v>
      </c>
      <c r="AH10" s="83">
        <f t="shared" si="21"/>
        <v>0</v>
      </c>
      <c r="AI10" s="83">
        <f t="shared" si="22"/>
        <v>0</v>
      </c>
      <c r="AJ10" s="326">
        <f t="shared" si="23"/>
        <v>0</v>
      </c>
      <c r="AK10" s="327">
        <f t="shared" si="32"/>
        <v>1</v>
      </c>
      <c r="AL10" s="327">
        <f t="shared" si="24"/>
        <v>0</v>
      </c>
      <c r="AM10" s="327">
        <f>'General information '!D10</f>
        <v>17.5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25"/>
        <v>44232</v>
      </c>
      <c r="AS10" s="424">
        <f t="shared" si="6"/>
        <v>0.9</v>
      </c>
      <c r="AT10" s="201">
        <v>146</v>
      </c>
      <c r="AU10" s="425">
        <f t="shared" si="35"/>
        <v>1.1000000000000001</v>
      </c>
      <c r="AV10" s="201">
        <v>133</v>
      </c>
      <c r="AW10" s="5">
        <v>2.9</v>
      </c>
      <c r="AX10" s="201">
        <v>151</v>
      </c>
      <c r="AY10" s="426">
        <f t="shared" si="7"/>
        <v>131.4</v>
      </c>
      <c r="AZ10" s="426">
        <f t="shared" si="26"/>
        <v>146.30000000000001</v>
      </c>
      <c r="BA10" s="426">
        <f t="shared" si="27"/>
        <v>437.9</v>
      </c>
      <c r="BB10" s="21">
        <f t="shared" si="28"/>
        <v>0</v>
      </c>
      <c r="BC10" s="21">
        <f t="shared" si="29"/>
        <v>-3.3000000000000114</v>
      </c>
      <c r="BD10" s="21">
        <f t="shared" si="29"/>
        <v>-17.400000000000034</v>
      </c>
      <c r="BE10" s="24">
        <f t="shared" si="30"/>
        <v>-20.700000000000045</v>
      </c>
      <c r="BF10" s="96">
        <f t="shared" si="8"/>
        <v>20.700000000000045</v>
      </c>
      <c r="BG10" s="82">
        <f t="shared" si="9"/>
        <v>-20.700000000000045</v>
      </c>
    </row>
    <row r="11" spans="1:65" ht="15" thickBot="1">
      <c r="A11" s="6">
        <f>ELEC!C8</f>
        <v>44233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log'!$A$34))</f>
        <v>267.85714285714283</v>
      </c>
      <c r="F11" s="418"/>
      <c r="G11" s="5">
        <f t="shared" si="13"/>
        <v>615374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6715.5</v>
      </c>
      <c r="L11" s="83">
        <f t="shared" si="33"/>
        <v>0.5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5165</v>
      </c>
      <c r="U11" s="5">
        <f t="shared" si="4"/>
        <v>0</v>
      </c>
      <c r="V11" s="5">
        <f t="shared" si="17"/>
        <v>461</v>
      </c>
      <c r="W11" s="324">
        <f t="shared" si="18"/>
        <v>0</v>
      </c>
      <c r="X11" s="5">
        <f t="shared" si="17"/>
        <v>150077</v>
      </c>
      <c r="Y11" s="324">
        <f t="shared" si="34"/>
        <v>0</v>
      </c>
      <c r="Z11" s="5">
        <f t="shared" si="17"/>
        <v>98262</v>
      </c>
      <c r="AA11" s="83">
        <f t="shared" si="19"/>
        <v>0</v>
      </c>
      <c r="AB11" s="5">
        <f t="shared" si="17"/>
        <v>256</v>
      </c>
      <c r="AC11" s="5">
        <f t="shared" si="17"/>
        <v>731</v>
      </c>
      <c r="AD11" s="83">
        <f t="shared" si="31"/>
        <v>0</v>
      </c>
      <c r="AE11" s="5">
        <f t="shared" si="17"/>
        <v>227.8</v>
      </c>
      <c r="AF11" s="83">
        <f t="shared" si="20"/>
        <v>0</v>
      </c>
      <c r="AG11" s="5">
        <f t="shared" si="17"/>
        <v>2181.5700000000002</v>
      </c>
      <c r="AH11" s="83">
        <f t="shared" si="21"/>
        <v>0</v>
      </c>
      <c r="AI11" s="83">
        <f t="shared" si="22"/>
        <v>0</v>
      </c>
      <c r="AJ11" s="326">
        <f t="shared" si="23"/>
        <v>0</v>
      </c>
      <c r="AK11" s="327">
        <f t="shared" si="32"/>
        <v>-0.5</v>
      </c>
      <c r="AL11" s="327">
        <f t="shared" si="24"/>
        <v>0</v>
      </c>
      <c r="AM11" s="327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25"/>
        <v>44233</v>
      </c>
      <c r="AS11" s="424">
        <f t="shared" si="6"/>
        <v>0.9</v>
      </c>
      <c r="AT11" s="201">
        <f t="shared" si="6"/>
        <v>146</v>
      </c>
      <c r="AU11" s="425">
        <f t="shared" si="35"/>
        <v>1.1000000000000001</v>
      </c>
      <c r="AV11" s="201">
        <v>130</v>
      </c>
      <c r="AW11" s="5">
        <v>2.9</v>
      </c>
      <c r="AX11" s="201">
        <v>147</v>
      </c>
      <c r="AY11" s="426">
        <f t="shared" si="7"/>
        <v>131.4</v>
      </c>
      <c r="AZ11" s="426">
        <f t="shared" si="26"/>
        <v>143</v>
      </c>
      <c r="BA11" s="426">
        <f t="shared" si="27"/>
        <v>426.3</v>
      </c>
      <c r="BB11" s="21">
        <f t="shared" si="28"/>
        <v>0</v>
      </c>
      <c r="BC11" s="21">
        <f t="shared" si="29"/>
        <v>-3.3000000000000114</v>
      </c>
      <c r="BD11" s="21">
        <f t="shared" si="29"/>
        <v>-11.599999999999966</v>
      </c>
      <c r="BE11" s="24">
        <f t="shared" si="30"/>
        <v>-14.899999999999977</v>
      </c>
      <c r="BF11" s="96">
        <f t="shared" si="8"/>
        <v>14.899999999999977</v>
      </c>
      <c r="BG11" s="82">
        <f t="shared" si="9"/>
        <v>-14.899999999999977</v>
      </c>
    </row>
    <row r="12" spans="1:65" ht="15" thickBot="1">
      <c r="A12" s="6">
        <f>ELEC!C9</f>
        <v>44234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log'!$A$34))</f>
        <v>267.85714285714283</v>
      </c>
      <c r="F12" s="418"/>
      <c r="G12" s="5">
        <f t="shared" si="13"/>
        <v>615374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6716</v>
      </c>
      <c r="L12" s="83">
        <f t="shared" si="33"/>
        <v>0.5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5165</v>
      </c>
      <c r="U12" s="5">
        <f t="shared" si="4"/>
        <v>0</v>
      </c>
      <c r="V12" s="5">
        <f t="shared" si="17"/>
        <v>461</v>
      </c>
      <c r="W12" s="324">
        <f t="shared" si="18"/>
        <v>0</v>
      </c>
      <c r="X12" s="5">
        <f t="shared" si="17"/>
        <v>150077</v>
      </c>
      <c r="Y12" s="324">
        <f t="shared" si="34"/>
        <v>0</v>
      </c>
      <c r="Z12" s="5">
        <f t="shared" si="17"/>
        <v>98262</v>
      </c>
      <c r="AA12" s="83">
        <f t="shared" si="19"/>
        <v>0</v>
      </c>
      <c r="AB12" s="5">
        <f t="shared" si="17"/>
        <v>256</v>
      </c>
      <c r="AC12" s="5">
        <f t="shared" si="17"/>
        <v>731</v>
      </c>
      <c r="AD12" s="83">
        <f t="shared" si="31"/>
        <v>0</v>
      </c>
      <c r="AE12" s="5">
        <f t="shared" si="17"/>
        <v>227.8</v>
      </c>
      <c r="AF12" s="83">
        <f t="shared" si="20"/>
        <v>0</v>
      </c>
      <c r="AG12" s="5">
        <f t="shared" si="17"/>
        <v>2181.5700000000002</v>
      </c>
      <c r="AH12" s="83">
        <f t="shared" si="21"/>
        <v>0</v>
      </c>
      <c r="AI12" s="83">
        <f t="shared" si="22"/>
        <v>0</v>
      </c>
      <c r="AJ12" s="326">
        <f t="shared" si="23"/>
        <v>0</v>
      </c>
      <c r="AK12" s="327">
        <f t="shared" si="32"/>
        <v>-0.5</v>
      </c>
      <c r="AL12" s="327">
        <f t="shared" si="24"/>
        <v>0</v>
      </c>
      <c r="AM12" s="327">
        <f>'General information '!D12</f>
        <v>19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25"/>
        <v>44234</v>
      </c>
      <c r="AS12" s="424">
        <f t="shared" si="6"/>
        <v>0.9</v>
      </c>
      <c r="AT12" s="201">
        <v>146</v>
      </c>
      <c r="AU12" s="425">
        <f t="shared" si="35"/>
        <v>1.1000000000000001</v>
      </c>
      <c r="AV12" s="201">
        <v>128</v>
      </c>
      <c r="AW12" s="5">
        <v>2.9</v>
      </c>
      <c r="AX12" s="201">
        <v>143</v>
      </c>
      <c r="AY12" s="426">
        <f t="shared" si="7"/>
        <v>131.4</v>
      </c>
      <c r="AZ12" s="426">
        <f t="shared" si="26"/>
        <v>140.80000000000001</v>
      </c>
      <c r="BA12" s="426">
        <f t="shared" si="27"/>
        <v>414.7</v>
      </c>
      <c r="BB12" s="21">
        <f t="shared" si="28"/>
        <v>0</v>
      </c>
      <c r="BC12" s="21">
        <f t="shared" si="29"/>
        <v>-2.1999999999999886</v>
      </c>
      <c r="BD12" s="21">
        <f t="shared" si="29"/>
        <v>-11.600000000000023</v>
      </c>
      <c r="BE12" s="24">
        <f t="shared" si="30"/>
        <v>-13.800000000000011</v>
      </c>
      <c r="BF12" s="96">
        <f t="shared" si="8"/>
        <v>13.800000000000011</v>
      </c>
      <c r="BG12" s="82">
        <f t="shared" si="9"/>
        <v>-13.800000000000011</v>
      </c>
    </row>
    <row r="13" spans="1:65" ht="15" thickBot="1">
      <c r="A13" s="6">
        <f>ELEC!C10</f>
        <v>44235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log'!$A$34))</f>
        <v>267.85714285714283</v>
      </c>
      <c r="F13" s="418"/>
      <c r="G13" s="5">
        <f t="shared" si="13"/>
        <v>615374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6717</v>
      </c>
      <c r="L13" s="83">
        <f t="shared" si="33"/>
        <v>1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5165</v>
      </c>
      <c r="U13" s="5">
        <f t="shared" si="4"/>
        <v>0</v>
      </c>
      <c r="V13" s="5">
        <f t="shared" si="17"/>
        <v>461</v>
      </c>
      <c r="W13" s="324">
        <f t="shared" si="18"/>
        <v>0</v>
      </c>
      <c r="X13" s="5">
        <f t="shared" si="17"/>
        <v>150077</v>
      </c>
      <c r="Y13" s="324">
        <f t="shared" si="34"/>
        <v>0</v>
      </c>
      <c r="Z13" s="5">
        <f t="shared" si="17"/>
        <v>98262</v>
      </c>
      <c r="AA13" s="83">
        <f t="shared" si="19"/>
        <v>0</v>
      </c>
      <c r="AB13" s="5">
        <f t="shared" si="17"/>
        <v>256</v>
      </c>
      <c r="AC13" s="5">
        <f t="shared" si="17"/>
        <v>731</v>
      </c>
      <c r="AD13" s="83">
        <f t="shared" si="31"/>
        <v>0</v>
      </c>
      <c r="AE13" s="5">
        <f t="shared" si="17"/>
        <v>227.8</v>
      </c>
      <c r="AF13" s="83">
        <f t="shared" si="20"/>
        <v>0</v>
      </c>
      <c r="AG13" s="5">
        <f t="shared" si="17"/>
        <v>2181.5700000000002</v>
      </c>
      <c r="AH13" s="83">
        <f t="shared" si="21"/>
        <v>0</v>
      </c>
      <c r="AI13" s="83">
        <f t="shared" si="22"/>
        <v>0</v>
      </c>
      <c r="AJ13" s="326">
        <f t="shared" si="23"/>
        <v>0</v>
      </c>
      <c r="AK13" s="327">
        <f t="shared" si="32"/>
        <v>-1</v>
      </c>
      <c r="AL13" s="327">
        <f t="shared" si="24"/>
        <v>0</v>
      </c>
      <c r="AM13" s="327">
        <f>'General information '!D13</f>
        <v>21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25"/>
        <v>44235</v>
      </c>
      <c r="AS13" s="424">
        <f t="shared" si="6"/>
        <v>0.9</v>
      </c>
      <c r="AT13" s="201">
        <f t="shared" si="6"/>
        <v>146</v>
      </c>
      <c r="AU13" s="425">
        <f t="shared" si="35"/>
        <v>1.1000000000000001</v>
      </c>
      <c r="AV13" s="201">
        <v>126</v>
      </c>
      <c r="AW13" s="5">
        <v>2.9</v>
      </c>
      <c r="AX13" s="201">
        <v>140</v>
      </c>
      <c r="AY13" s="426">
        <f t="shared" si="7"/>
        <v>131.4</v>
      </c>
      <c r="AZ13" s="426">
        <f t="shared" si="26"/>
        <v>138.60000000000002</v>
      </c>
      <c r="BA13" s="426">
        <f t="shared" si="27"/>
        <v>406</v>
      </c>
      <c r="BB13" s="21">
        <f t="shared" si="28"/>
        <v>0</v>
      </c>
      <c r="BC13" s="21">
        <f t="shared" si="29"/>
        <v>-2.1999999999999886</v>
      </c>
      <c r="BD13" s="21">
        <f t="shared" si="29"/>
        <v>-8.6999999999999886</v>
      </c>
      <c r="BE13" s="24">
        <f t="shared" si="30"/>
        <v>-10.899999999999977</v>
      </c>
      <c r="BF13" s="96">
        <f t="shared" si="8"/>
        <v>10.899999999999977</v>
      </c>
      <c r="BG13" s="82">
        <f t="shared" si="9"/>
        <v>-10.899999999999977</v>
      </c>
    </row>
    <row r="14" spans="1:65" ht="15" thickBot="1">
      <c r="A14" s="6">
        <f>ELEC!C11</f>
        <v>44236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log'!$A$34))</f>
        <v>267.85714285714283</v>
      </c>
      <c r="F14" s="418"/>
      <c r="G14" s="5">
        <f t="shared" si="13"/>
        <v>615374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6718</v>
      </c>
      <c r="L14" s="83">
        <f t="shared" si="33"/>
        <v>1</v>
      </c>
      <c r="M14" s="410">
        <f t="shared" si="15"/>
        <v>457.44</v>
      </c>
      <c r="N14" s="514">
        <f t="shared" ref="N14:N33" si="36">SUM(M14-M13)</f>
        <v>0</v>
      </c>
      <c r="O14" s="410">
        <f t="shared" si="16"/>
        <v>529.52</v>
      </c>
      <c r="P14" s="514">
        <f t="shared" ref="P14:P33" si="37">SUM(O14-O13)</f>
        <v>0</v>
      </c>
      <c r="Q14" s="514">
        <f t="shared" ref="Q14:Q33" si="38">SUM(P14+N14)</f>
        <v>0</v>
      </c>
      <c r="R14" s="514"/>
      <c r="S14" s="514"/>
      <c r="T14" s="5">
        <f t="shared" si="17"/>
        <v>5165</v>
      </c>
      <c r="U14" s="5">
        <f t="shared" si="4"/>
        <v>0</v>
      </c>
      <c r="V14" s="5">
        <f t="shared" si="17"/>
        <v>461</v>
      </c>
      <c r="W14" s="324">
        <f t="shared" si="18"/>
        <v>0</v>
      </c>
      <c r="X14" s="5">
        <f t="shared" si="17"/>
        <v>150077</v>
      </c>
      <c r="Y14" s="324">
        <f t="shared" si="34"/>
        <v>0</v>
      </c>
      <c r="Z14" s="5">
        <f t="shared" si="17"/>
        <v>98262</v>
      </c>
      <c r="AA14" s="83">
        <f t="shared" si="19"/>
        <v>0</v>
      </c>
      <c r="AB14" s="5">
        <f t="shared" si="17"/>
        <v>256</v>
      </c>
      <c r="AC14" s="5">
        <f t="shared" si="17"/>
        <v>731</v>
      </c>
      <c r="AD14" s="83">
        <f t="shared" si="31"/>
        <v>0</v>
      </c>
      <c r="AE14" s="5">
        <f t="shared" si="17"/>
        <v>227.8</v>
      </c>
      <c r="AF14" s="83">
        <f t="shared" si="20"/>
        <v>0</v>
      </c>
      <c r="AG14" s="5">
        <f t="shared" si="17"/>
        <v>2181.5700000000002</v>
      </c>
      <c r="AH14" s="83">
        <f t="shared" si="21"/>
        <v>0</v>
      </c>
      <c r="AI14" s="83">
        <f t="shared" si="22"/>
        <v>0</v>
      </c>
      <c r="AJ14" s="326">
        <f t="shared" si="23"/>
        <v>0</v>
      </c>
      <c r="AK14" s="327">
        <f t="shared" si="32"/>
        <v>-1</v>
      </c>
      <c r="AL14" s="327">
        <f t="shared" si="24"/>
        <v>0</v>
      </c>
      <c r="AM14" s="327">
        <f>'General information '!D14</f>
        <v>19.5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25"/>
        <v>44236</v>
      </c>
      <c r="AS14" s="424">
        <f t="shared" si="6"/>
        <v>0.9</v>
      </c>
      <c r="AT14" s="201">
        <f t="shared" si="6"/>
        <v>146</v>
      </c>
      <c r="AU14" s="425">
        <f t="shared" si="35"/>
        <v>1.1000000000000001</v>
      </c>
      <c r="AV14" s="201">
        <v>122</v>
      </c>
      <c r="AW14" s="5">
        <v>2.9</v>
      </c>
      <c r="AX14" s="201">
        <v>137</v>
      </c>
      <c r="AY14" s="426">
        <f t="shared" si="7"/>
        <v>131.4</v>
      </c>
      <c r="AZ14" s="426">
        <f t="shared" si="26"/>
        <v>134.20000000000002</v>
      </c>
      <c r="BA14" s="426">
        <f t="shared" si="27"/>
        <v>397.3</v>
      </c>
      <c r="BB14" s="21">
        <f t="shared" si="28"/>
        <v>0</v>
      </c>
      <c r="BC14" s="21">
        <f t="shared" si="29"/>
        <v>-4.4000000000000057</v>
      </c>
      <c r="BD14" s="21">
        <f t="shared" si="29"/>
        <v>-8.6999999999999886</v>
      </c>
      <c r="BE14" s="24">
        <f t="shared" si="30"/>
        <v>-13.099999999999994</v>
      </c>
      <c r="BF14" s="96">
        <f t="shared" si="8"/>
        <v>13.099999999999994</v>
      </c>
      <c r="BG14" s="82">
        <f t="shared" si="9"/>
        <v>-13.099999999999994</v>
      </c>
    </row>
    <row r="15" spans="1:65" ht="16.5" customHeight="1" thickBot="1">
      <c r="A15" s="6">
        <f>ELEC!C12</f>
        <v>44237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log'!$A$34))</f>
        <v>267.85714285714283</v>
      </c>
      <c r="F15" s="418"/>
      <c r="G15" s="5">
        <f t="shared" si="13"/>
        <v>615374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6718</v>
      </c>
      <c r="L15" s="83">
        <f t="shared" si="33"/>
        <v>0</v>
      </c>
      <c r="M15" s="410">
        <f t="shared" si="15"/>
        <v>457.44</v>
      </c>
      <c r="N15" s="514">
        <f t="shared" si="36"/>
        <v>0</v>
      </c>
      <c r="O15" s="410">
        <f t="shared" si="16"/>
        <v>529.52</v>
      </c>
      <c r="P15" s="514">
        <f t="shared" si="37"/>
        <v>0</v>
      </c>
      <c r="Q15" s="514">
        <f t="shared" si="38"/>
        <v>0</v>
      </c>
      <c r="R15" s="514"/>
      <c r="S15" s="514"/>
      <c r="T15" s="5">
        <f t="shared" si="17"/>
        <v>5165</v>
      </c>
      <c r="U15" s="5">
        <f t="shared" si="4"/>
        <v>0</v>
      </c>
      <c r="V15" s="5">
        <f t="shared" si="17"/>
        <v>461</v>
      </c>
      <c r="W15" s="324">
        <f t="shared" si="18"/>
        <v>0</v>
      </c>
      <c r="X15" s="5">
        <f t="shared" si="17"/>
        <v>150077</v>
      </c>
      <c r="Y15" s="324">
        <f t="shared" si="34"/>
        <v>0</v>
      </c>
      <c r="Z15" s="5">
        <f t="shared" si="17"/>
        <v>98262</v>
      </c>
      <c r="AA15" s="83">
        <f t="shared" si="19"/>
        <v>0</v>
      </c>
      <c r="AB15" s="5">
        <f t="shared" si="17"/>
        <v>256</v>
      </c>
      <c r="AC15" s="5">
        <f t="shared" si="17"/>
        <v>731</v>
      </c>
      <c r="AD15" s="83">
        <f t="shared" si="31"/>
        <v>0</v>
      </c>
      <c r="AE15" s="5">
        <f t="shared" si="17"/>
        <v>227.8</v>
      </c>
      <c r="AF15" s="83">
        <f t="shared" si="20"/>
        <v>0</v>
      </c>
      <c r="AG15" s="5">
        <f t="shared" si="17"/>
        <v>2181.5700000000002</v>
      </c>
      <c r="AH15" s="83">
        <f t="shared" si="21"/>
        <v>0</v>
      </c>
      <c r="AI15" s="83">
        <f t="shared" si="22"/>
        <v>0</v>
      </c>
      <c r="AJ15" s="326">
        <f t="shared" si="23"/>
        <v>0</v>
      </c>
      <c r="AK15" s="327">
        <f t="shared" si="32"/>
        <v>0</v>
      </c>
      <c r="AL15" s="327">
        <f t="shared" si="24"/>
        <v>0</v>
      </c>
      <c r="AM15" s="327">
        <f>'General information '!D15</f>
        <v>16.5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25"/>
        <v>44237</v>
      </c>
      <c r="AS15" s="424">
        <f t="shared" si="6"/>
        <v>0.9</v>
      </c>
      <c r="AT15" s="201">
        <f t="shared" si="6"/>
        <v>146</v>
      </c>
      <c r="AU15" s="425">
        <f t="shared" si="35"/>
        <v>1.1000000000000001</v>
      </c>
      <c r="AV15" s="201">
        <v>119</v>
      </c>
      <c r="AW15" s="5">
        <v>2.9</v>
      </c>
      <c r="AX15" s="201">
        <v>135</v>
      </c>
      <c r="AY15" s="426">
        <f t="shared" si="7"/>
        <v>131.4</v>
      </c>
      <c r="AZ15" s="426">
        <f t="shared" si="26"/>
        <v>130.9</v>
      </c>
      <c r="BA15" s="426">
        <f t="shared" si="27"/>
        <v>391.5</v>
      </c>
      <c r="BB15" s="21">
        <f t="shared" si="28"/>
        <v>0</v>
      </c>
      <c r="BC15" s="21">
        <f t="shared" si="29"/>
        <v>-3.3000000000000114</v>
      </c>
      <c r="BD15" s="21">
        <f t="shared" si="29"/>
        <v>-5.8000000000000114</v>
      </c>
      <c r="BE15" s="24">
        <f t="shared" si="30"/>
        <v>-9.1000000000000227</v>
      </c>
      <c r="BF15" s="96">
        <f t="shared" si="8"/>
        <v>9.1000000000000227</v>
      </c>
      <c r="BG15" s="82">
        <f t="shared" si="9"/>
        <v>-9.1000000000000227</v>
      </c>
    </row>
    <row r="16" spans="1:65" ht="15" thickBot="1">
      <c r="A16" s="6">
        <f>ELEC!C13</f>
        <v>44238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log'!$A$34))</f>
        <v>267.85714285714283</v>
      </c>
      <c r="F16" s="418"/>
      <c r="G16" s="5">
        <f t="shared" si="13"/>
        <v>615374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6718</v>
      </c>
      <c r="L16" s="274">
        <f t="shared" si="33"/>
        <v>0</v>
      </c>
      <c r="M16" s="410">
        <f t="shared" si="15"/>
        <v>457.44</v>
      </c>
      <c r="N16" s="514">
        <f t="shared" si="36"/>
        <v>0</v>
      </c>
      <c r="O16" s="410">
        <f t="shared" si="16"/>
        <v>529.52</v>
      </c>
      <c r="P16" s="514">
        <f t="shared" si="37"/>
        <v>0</v>
      </c>
      <c r="Q16" s="514">
        <f t="shared" si="38"/>
        <v>0</v>
      </c>
      <c r="R16" s="516"/>
      <c r="S16" s="516"/>
      <c r="T16" s="5">
        <f t="shared" si="17"/>
        <v>5165</v>
      </c>
      <c r="U16" s="5">
        <f t="shared" si="4"/>
        <v>0</v>
      </c>
      <c r="V16" s="5">
        <f t="shared" si="17"/>
        <v>461</v>
      </c>
      <c r="W16" s="324">
        <f t="shared" si="18"/>
        <v>0</v>
      </c>
      <c r="X16" s="5">
        <f t="shared" si="17"/>
        <v>150077</v>
      </c>
      <c r="Y16" s="324">
        <f t="shared" si="34"/>
        <v>0</v>
      </c>
      <c r="Z16" s="5">
        <f t="shared" si="17"/>
        <v>98262</v>
      </c>
      <c r="AA16" s="83">
        <f t="shared" si="19"/>
        <v>0</v>
      </c>
      <c r="AB16" s="5">
        <f t="shared" si="17"/>
        <v>256</v>
      </c>
      <c r="AC16" s="5">
        <f t="shared" si="17"/>
        <v>731</v>
      </c>
      <c r="AD16" s="83">
        <f t="shared" si="31"/>
        <v>0</v>
      </c>
      <c r="AE16" s="5">
        <f t="shared" si="17"/>
        <v>227.8</v>
      </c>
      <c r="AF16" s="83">
        <f t="shared" si="20"/>
        <v>0</v>
      </c>
      <c r="AG16" s="5">
        <f t="shared" si="17"/>
        <v>2181.5700000000002</v>
      </c>
      <c r="AH16" s="83">
        <f t="shared" si="21"/>
        <v>0</v>
      </c>
      <c r="AI16" s="83">
        <f t="shared" si="22"/>
        <v>0</v>
      </c>
      <c r="AJ16" s="326">
        <f t="shared" si="23"/>
        <v>0</v>
      </c>
      <c r="AK16" s="327">
        <f t="shared" si="32"/>
        <v>0</v>
      </c>
      <c r="AL16" s="327">
        <f t="shared" si="24"/>
        <v>0</v>
      </c>
      <c r="AM16" s="327">
        <f>'General information '!D16</f>
        <v>15.5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25"/>
        <v>44238</v>
      </c>
      <c r="AS16" s="424">
        <f t="shared" si="6"/>
        <v>0.9</v>
      </c>
      <c r="AT16" s="201">
        <f t="shared" si="6"/>
        <v>146</v>
      </c>
      <c r="AU16" s="425">
        <f t="shared" si="35"/>
        <v>1.1000000000000001</v>
      </c>
      <c r="AV16" s="201">
        <v>114</v>
      </c>
      <c r="AW16" s="5">
        <v>2.9</v>
      </c>
      <c r="AX16" s="201">
        <v>133</v>
      </c>
      <c r="AY16" s="426">
        <f t="shared" si="7"/>
        <v>131.4</v>
      </c>
      <c r="AZ16" s="426">
        <f t="shared" si="26"/>
        <v>125.4</v>
      </c>
      <c r="BA16" s="426">
        <f t="shared" si="27"/>
        <v>385.7</v>
      </c>
      <c r="BB16" s="21">
        <f t="shared" si="28"/>
        <v>0</v>
      </c>
      <c r="BC16" s="21">
        <f t="shared" si="29"/>
        <v>-5.5</v>
      </c>
      <c r="BD16" s="21">
        <f t="shared" si="29"/>
        <v>-5.8000000000000114</v>
      </c>
      <c r="BE16" s="24">
        <f t="shared" si="30"/>
        <v>-11.300000000000011</v>
      </c>
      <c r="BF16" s="96">
        <f t="shared" si="8"/>
        <v>11.300000000000011</v>
      </c>
      <c r="BG16" s="82">
        <f t="shared" si="9"/>
        <v>-11.300000000000011</v>
      </c>
    </row>
    <row r="17" spans="1:61" ht="15" thickBot="1">
      <c r="A17" s="6">
        <f>ELEC!C14</f>
        <v>44239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log'!$A$34))</f>
        <v>267.85714285714283</v>
      </c>
      <c r="F17" s="418"/>
      <c r="G17" s="5">
        <f t="shared" si="13"/>
        <v>615374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6718</v>
      </c>
      <c r="L17" s="83">
        <f t="shared" si="33"/>
        <v>0</v>
      </c>
      <c r="M17" s="410">
        <f t="shared" si="15"/>
        <v>457.44</v>
      </c>
      <c r="N17" s="514">
        <f t="shared" si="36"/>
        <v>0</v>
      </c>
      <c r="O17" s="410">
        <f t="shared" si="16"/>
        <v>529.52</v>
      </c>
      <c r="P17" s="514">
        <f t="shared" si="37"/>
        <v>0</v>
      </c>
      <c r="Q17" s="514">
        <f t="shared" si="38"/>
        <v>0</v>
      </c>
      <c r="R17" s="514"/>
      <c r="S17" s="514"/>
      <c r="T17" s="5">
        <f t="shared" si="17"/>
        <v>5165</v>
      </c>
      <c r="U17" s="5">
        <f t="shared" si="4"/>
        <v>0</v>
      </c>
      <c r="V17" s="5">
        <f t="shared" si="17"/>
        <v>461</v>
      </c>
      <c r="W17" s="324">
        <f t="shared" si="18"/>
        <v>0</v>
      </c>
      <c r="X17" s="5">
        <f t="shared" si="17"/>
        <v>150077</v>
      </c>
      <c r="Y17" s="324">
        <f t="shared" si="34"/>
        <v>0</v>
      </c>
      <c r="Z17" s="5">
        <f t="shared" si="17"/>
        <v>98262</v>
      </c>
      <c r="AA17" s="83">
        <f t="shared" si="19"/>
        <v>0</v>
      </c>
      <c r="AB17" s="5">
        <f t="shared" si="17"/>
        <v>256</v>
      </c>
      <c r="AC17" s="5">
        <f t="shared" si="17"/>
        <v>731</v>
      </c>
      <c r="AD17" s="83">
        <f t="shared" si="31"/>
        <v>0</v>
      </c>
      <c r="AE17" s="5">
        <f t="shared" si="17"/>
        <v>227.8</v>
      </c>
      <c r="AF17" s="83">
        <f t="shared" si="20"/>
        <v>0</v>
      </c>
      <c r="AG17" s="5">
        <f t="shared" si="17"/>
        <v>2181.5700000000002</v>
      </c>
      <c r="AH17" s="83">
        <f t="shared" si="21"/>
        <v>0</v>
      </c>
      <c r="AI17" s="83">
        <f t="shared" si="22"/>
        <v>0</v>
      </c>
      <c r="AJ17" s="326">
        <f t="shared" si="23"/>
        <v>0</v>
      </c>
      <c r="AK17" s="327">
        <f>SUM(Y17-L17)</f>
        <v>0</v>
      </c>
      <c r="AL17" s="327">
        <f t="shared" si="24"/>
        <v>0</v>
      </c>
      <c r="AM17" s="327">
        <f>'General information '!D17</f>
        <v>15.5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25"/>
        <v>44239</v>
      </c>
      <c r="AS17" s="424">
        <f t="shared" si="6"/>
        <v>0.9</v>
      </c>
      <c r="AT17" s="201">
        <f t="shared" si="6"/>
        <v>146</v>
      </c>
      <c r="AU17" s="425">
        <f t="shared" si="35"/>
        <v>1.1000000000000001</v>
      </c>
      <c r="AV17" s="201">
        <v>110</v>
      </c>
      <c r="AW17" s="5">
        <v>2.9</v>
      </c>
      <c r="AX17" s="201">
        <v>130</v>
      </c>
      <c r="AY17" s="426">
        <f t="shared" si="7"/>
        <v>131.4</v>
      </c>
      <c r="AZ17" s="426">
        <f t="shared" si="26"/>
        <v>121.00000000000001</v>
      </c>
      <c r="BA17" s="426">
        <f t="shared" si="27"/>
        <v>377</v>
      </c>
      <c r="BB17" s="21">
        <f t="shared" si="28"/>
        <v>0</v>
      </c>
      <c r="BC17" s="21">
        <f t="shared" si="29"/>
        <v>-4.3999999999999915</v>
      </c>
      <c r="BD17" s="21">
        <f t="shared" si="29"/>
        <v>-8.6999999999999886</v>
      </c>
      <c r="BE17" s="24">
        <f t="shared" si="30"/>
        <v>-13.09999999999998</v>
      </c>
      <c r="BF17" s="96">
        <f t="shared" si="8"/>
        <v>13.09999999999998</v>
      </c>
      <c r="BG17" s="82">
        <f t="shared" si="9"/>
        <v>-13.09999999999998</v>
      </c>
    </row>
    <row r="18" spans="1:61" ht="15" thickBot="1">
      <c r="A18" s="6">
        <f>ELEC!C15</f>
        <v>44240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log'!$A$34))</f>
        <v>267.85714285714283</v>
      </c>
      <c r="F18" s="418"/>
      <c r="G18" s="5">
        <f t="shared" si="13"/>
        <v>615374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6718</v>
      </c>
      <c r="L18" s="83">
        <f t="shared" si="33"/>
        <v>0</v>
      </c>
      <c r="M18" s="410">
        <f t="shared" si="15"/>
        <v>457.44</v>
      </c>
      <c r="N18" s="514">
        <f t="shared" si="36"/>
        <v>0</v>
      </c>
      <c r="O18" s="410">
        <f t="shared" si="16"/>
        <v>529.52</v>
      </c>
      <c r="P18" s="514">
        <f t="shared" si="37"/>
        <v>0</v>
      </c>
      <c r="Q18" s="514">
        <f t="shared" si="38"/>
        <v>0</v>
      </c>
      <c r="R18" s="514"/>
      <c r="S18" s="514"/>
      <c r="T18" s="5">
        <f t="shared" si="17"/>
        <v>5165</v>
      </c>
      <c r="U18" s="5">
        <f t="shared" si="4"/>
        <v>0</v>
      </c>
      <c r="V18" s="5">
        <f t="shared" si="17"/>
        <v>461</v>
      </c>
      <c r="W18" s="324">
        <f t="shared" si="18"/>
        <v>0</v>
      </c>
      <c r="X18" s="5">
        <f t="shared" si="17"/>
        <v>150077</v>
      </c>
      <c r="Y18" s="324">
        <f t="shared" si="34"/>
        <v>0</v>
      </c>
      <c r="Z18" s="5">
        <f t="shared" si="17"/>
        <v>98262</v>
      </c>
      <c r="AA18" s="83">
        <f t="shared" si="19"/>
        <v>0</v>
      </c>
      <c r="AB18" s="5">
        <f t="shared" si="17"/>
        <v>256</v>
      </c>
      <c r="AC18" s="5">
        <f t="shared" si="17"/>
        <v>731</v>
      </c>
      <c r="AD18" s="83">
        <f t="shared" si="31"/>
        <v>0</v>
      </c>
      <c r="AE18" s="5">
        <f t="shared" si="17"/>
        <v>227.8</v>
      </c>
      <c r="AF18" s="83">
        <f t="shared" si="20"/>
        <v>0</v>
      </c>
      <c r="AG18" s="5">
        <f t="shared" si="17"/>
        <v>2181.5700000000002</v>
      </c>
      <c r="AH18" s="83">
        <f t="shared" si="21"/>
        <v>0</v>
      </c>
      <c r="AI18" s="83">
        <f t="shared" si="22"/>
        <v>0</v>
      </c>
      <c r="AJ18" s="326">
        <f t="shared" si="23"/>
        <v>0</v>
      </c>
      <c r="AK18" s="327">
        <f>SUM(Y18-L18)</f>
        <v>0</v>
      </c>
      <c r="AL18" s="327">
        <f t="shared" si="24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25"/>
        <v>44240</v>
      </c>
      <c r="AS18" s="424">
        <f t="shared" si="6"/>
        <v>0.9</v>
      </c>
      <c r="AT18" s="201">
        <f t="shared" si="6"/>
        <v>146</v>
      </c>
      <c r="AU18" s="425">
        <f t="shared" si="35"/>
        <v>1.1000000000000001</v>
      </c>
      <c r="AV18" s="201">
        <f t="shared" si="35"/>
        <v>110</v>
      </c>
      <c r="AW18" s="5">
        <v>2.9</v>
      </c>
      <c r="AX18" s="201">
        <f t="shared" ref="AX18" si="39">AX17</f>
        <v>130</v>
      </c>
      <c r="AY18" s="426">
        <f t="shared" si="7"/>
        <v>131.4</v>
      </c>
      <c r="AZ18" s="426">
        <f t="shared" si="26"/>
        <v>121.00000000000001</v>
      </c>
      <c r="BA18" s="426">
        <f t="shared" si="27"/>
        <v>377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" thickBot="1">
      <c r="A19" s="6">
        <f>ELEC!C16</f>
        <v>44241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log'!$A$34))</f>
        <v>267.85714285714283</v>
      </c>
      <c r="F19" s="418"/>
      <c r="G19" s="5">
        <f t="shared" si="13"/>
        <v>615374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6718</v>
      </c>
      <c r="L19" s="83">
        <f t="shared" si="33"/>
        <v>0</v>
      </c>
      <c r="M19" s="410">
        <f t="shared" si="15"/>
        <v>457.44</v>
      </c>
      <c r="N19" s="514">
        <f t="shared" si="36"/>
        <v>0</v>
      </c>
      <c r="O19" s="410">
        <f t="shared" si="16"/>
        <v>529.52</v>
      </c>
      <c r="P19" s="514">
        <f t="shared" si="37"/>
        <v>0</v>
      </c>
      <c r="Q19" s="514">
        <f t="shared" si="38"/>
        <v>0</v>
      </c>
      <c r="R19" s="514"/>
      <c r="S19" s="514"/>
      <c r="T19" s="5">
        <f t="shared" si="17"/>
        <v>5165</v>
      </c>
      <c r="U19" s="5">
        <f t="shared" si="4"/>
        <v>0</v>
      </c>
      <c r="V19" s="5">
        <f t="shared" si="17"/>
        <v>461</v>
      </c>
      <c r="W19" s="324">
        <f t="shared" si="18"/>
        <v>0</v>
      </c>
      <c r="X19" s="5">
        <f t="shared" si="17"/>
        <v>150077</v>
      </c>
      <c r="Y19" s="324">
        <f t="shared" si="34"/>
        <v>0</v>
      </c>
      <c r="Z19" s="5">
        <f t="shared" si="17"/>
        <v>98262</v>
      </c>
      <c r="AA19" s="83">
        <f t="shared" si="19"/>
        <v>0</v>
      </c>
      <c r="AB19" s="5">
        <f t="shared" si="17"/>
        <v>256</v>
      </c>
      <c r="AC19" s="5">
        <f t="shared" si="17"/>
        <v>731</v>
      </c>
      <c r="AD19" s="83">
        <f t="shared" si="31"/>
        <v>0</v>
      </c>
      <c r="AE19" s="5">
        <f t="shared" si="17"/>
        <v>227.8</v>
      </c>
      <c r="AF19" s="83">
        <f t="shared" si="20"/>
        <v>0</v>
      </c>
      <c r="AG19" s="5">
        <f t="shared" si="17"/>
        <v>2181.5700000000002</v>
      </c>
      <c r="AH19" s="83">
        <f t="shared" si="21"/>
        <v>0</v>
      </c>
      <c r="AI19" s="83">
        <f t="shared" si="22"/>
        <v>0</v>
      </c>
      <c r="AJ19" s="326">
        <f t="shared" si="23"/>
        <v>0</v>
      </c>
      <c r="AK19" s="327">
        <f t="shared" si="32"/>
        <v>0</v>
      </c>
      <c r="AL19" s="327">
        <f t="shared" si="24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25"/>
        <v>44241</v>
      </c>
      <c r="AS19" s="424">
        <f t="shared" si="6"/>
        <v>0.9</v>
      </c>
      <c r="AT19" s="201">
        <f t="shared" si="6"/>
        <v>146</v>
      </c>
      <c r="AU19" s="425">
        <f t="shared" si="35"/>
        <v>1.1000000000000001</v>
      </c>
      <c r="AV19" s="201">
        <f t="shared" si="35"/>
        <v>110</v>
      </c>
      <c r="AW19" s="5">
        <v>2.9</v>
      </c>
      <c r="AX19" s="201">
        <f t="shared" ref="AX19" si="40">AX18</f>
        <v>130</v>
      </c>
      <c r="AY19" s="426">
        <f t="shared" ref="AY19:AY21" si="41">AS19*AT19</f>
        <v>131.4</v>
      </c>
      <c r="AZ19" s="426">
        <f t="shared" ref="AZ19:AZ21" si="42">AU19*AV19</f>
        <v>121.00000000000001</v>
      </c>
      <c r="BA19" s="426">
        <f t="shared" ref="BA19:BA21" si="43">AW19*AX19</f>
        <v>377</v>
      </c>
      <c r="BB19" s="21">
        <f t="shared" ref="BB19:BB20" si="44">AY19-AY18</f>
        <v>0</v>
      </c>
      <c r="BC19" s="21">
        <f t="shared" ref="BC19:BC20" si="45">AZ19-AZ18</f>
        <v>0</v>
      </c>
      <c r="BD19" s="21">
        <f t="shared" ref="BD19:BD20" si="46">BA19-BA18</f>
        <v>0</v>
      </c>
      <c r="BE19" s="24">
        <f t="shared" ref="BE19:BE20" si="47">SUM(BB19:BD19)</f>
        <v>0</v>
      </c>
      <c r="BF19" s="96">
        <f t="shared" si="8"/>
        <v>0</v>
      </c>
      <c r="BG19" s="82">
        <f t="shared" si="9"/>
        <v>0</v>
      </c>
    </row>
    <row r="20" spans="1:61" ht="15" thickBot="1">
      <c r="A20" s="6">
        <f>ELEC!C17</f>
        <v>44242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log'!$A$34))</f>
        <v>267.85714285714283</v>
      </c>
      <c r="F20" s="418"/>
      <c r="G20" s="5">
        <f t="shared" si="13"/>
        <v>615374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6718</v>
      </c>
      <c r="L20" s="83">
        <f t="shared" si="33"/>
        <v>0</v>
      </c>
      <c r="M20" s="410">
        <f t="shared" si="15"/>
        <v>457.44</v>
      </c>
      <c r="N20" s="514">
        <f t="shared" si="36"/>
        <v>0</v>
      </c>
      <c r="O20" s="410">
        <f t="shared" si="16"/>
        <v>529.52</v>
      </c>
      <c r="P20" s="514">
        <f t="shared" si="37"/>
        <v>0</v>
      </c>
      <c r="Q20" s="514">
        <f t="shared" si="38"/>
        <v>0</v>
      </c>
      <c r="R20" s="514"/>
      <c r="S20" s="514"/>
      <c r="T20" s="5">
        <f t="shared" si="17"/>
        <v>5165</v>
      </c>
      <c r="U20" s="5">
        <f t="shared" si="4"/>
        <v>0</v>
      </c>
      <c r="V20" s="5">
        <f t="shared" si="17"/>
        <v>461</v>
      </c>
      <c r="W20" s="324">
        <f t="shared" si="18"/>
        <v>0</v>
      </c>
      <c r="X20" s="5">
        <f t="shared" si="17"/>
        <v>150077</v>
      </c>
      <c r="Y20" s="324">
        <f t="shared" si="34"/>
        <v>0</v>
      </c>
      <c r="Z20" s="5">
        <f t="shared" si="17"/>
        <v>98262</v>
      </c>
      <c r="AA20" s="83">
        <f t="shared" si="19"/>
        <v>0</v>
      </c>
      <c r="AB20" s="5">
        <f t="shared" si="17"/>
        <v>256</v>
      </c>
      <c r="AC20" s="5">
        <f t="shared" si="17"/>
        <v>731</v>
      </c>
      <c r="AD20" s="83">
        <f t="shared" si="31"/>
        <v>0</v>
      </c>
      <c r="AE20" s="5">
        <f t="shared" si="17"/>
        <v>227.8</v>
      </c>
      <c r="AF20" s="83">
        <f t="shared" si="20"/>
        <v>0</v>
      </c>
      <c r="AG20" s="5">
        <f t="shared" si="17"/>
        <v>2181.5700000000002</v>
      </c>
      <c r="AH20" s="83">
        <f t="shared" si="21"/>
        <v>0</v>
      </c>
      <c r="AI20" s="83">
        <f t="shared" si="22"/>
        <v>0</v>
      </c>
      <c r="AJ20" s="326">
        <f t="shared" si="23"/>
        <v>0</v>
      </c>
      <c r="AK20" s="327">
        <f t="shared" si="32"/>
        <v>0</v>
      </c>
      <c r="AL20" s="327">
        <f t="shared" si="24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25"/>
        <v>44242</v>
      </c>
      <c r="AS20" s="424">
        <f t="shared" si="6"/>
        <v>0.9</v>
      </c>
      <c r="AT20" s="201">
        <f t="shared" si="6"/>
        <v>146</v>
      </c>
      <c r="AU20" s="425">
        <f t="shared" si="35"/>
        <v>1.1000000000000001</v>
      </c>
      <c r="AV20" s="201">
        <f t="shared" si="35"/>
        <v>110</v>
      </c>
      <c r="AW20" s="5">
        <v>2.9</v>
      </c>
      <c r="AX20" s="201">
        <f t="shared" ref="AX20" si="48">AX19</f>
        <v>130</v>
      </c>
      <c r="AY20" s="426">
        <f t="shared" si="41"/>
        <v>131.4</v>
      </c>
      <c r="AZ20" s="426">
        <f t="shared" si="42"/>
        <v>121.00000000000001</v>
      </c>
      <c r="BA20" s="426">
        <f t="shared" si="43"/>
        <v>377</v>
      </c>
      <c r="BB20" s="21">
        <f t="shared" si="44"/>
        <v>0</v>
      </c>
      <c r="BC20" s="21">
        <f t="shared" si="45"/>
        <v>0</v>
      </c>
      <c r="BD20" s="21">
        <f t="shared" si="46"/>
        <v>0</v>
      </c>
      <c r="BE20" s="24">
        <f t="shared" si="47"/>
        <v>0</v>
      </c>
      <c r="BF20" s="96">
        <f t="shared" si="8"/>
        <v>0</v>
      </c>
      <c r="BG20" s="82">
        <f t="shared" si="9"/>
        <v>0</v>
      </c>
    </row>
    <row r="21" spans="1:61" ht="15" thickBot="1">
      <c r="A21" s="6">
        <f>ELEC!C18</f>
        <v>44243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log'!$A$34))</f>
        <v>267.85714285714283</v>
      </c>
      <c r="F21" s="327"/>
      <c r="G21" s="5">
        <f t="shared" si="13"/>
        <v>615374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6718</v>
      </c>
      <c r="L21" s="83">
        <f t="shared" si="33"/>
        <v>0</v>
      </c>
      <c r="M21" s="410">
        <f t="shared" si="15"/>
        <v>457.44</v>
      </c>
      <c r="N21" s="514">
        <f t="shared" si="36"/>
        <v>0</v>
      </c>
      <c r="O21" s="410">
        <f t="shared" si="16"/>
        <v>529.52</v>
      </c>
      <c r="P21" s="514">
        <f t="shared" si="37"/>
        <v>0</v>
      </c>
      <c r="Q21" s="514">
        <f t="shared" si="38"/>
        <v>0</v>
      </c>
      <c r="R21" s="514"/>
      <c r="S21" s="514"/>
      <c r="T21" s="5">
        <f t="shared" si="17"/>
        <v>5165</v>
      </c>
      <c r="U21" s="5">
        <f t="shared" si="4"/>
        <v>0</v>
      </c>
      <c r="V21" s="5">
        <f t="shared" si="17"/>
        <v>461</v>
      </c>
      <c r="W21" s="324">
        <f t="shared" si="18"/>
        <v>0</v>
      </c>
      <c r="X21" s="5">
        <f t="shared" si="17"/>
        <v>150077</v>
      </c>
      <c r="Y21" s="324">
        <f>SUM(X21-X20)</f>
        <v>0</v>
      </c>
      <c r="Z21" s="5">
        <f t="shared" si="17"/>
        <v>98262</v>
      </c>
      <c r="AA21" s="83">
        <f t="shared" si="19"/>
        <v>0</v>
      </c>
      <c r="AB21" s="5">
        <f t="shared" si="17"/>
        <v>256</v>
      </c>
      <c r="AC21" s="5">
        <f t="shared" si="17"/>
        <v>731</v>
      </c>
      <c r="AD21" s="83">
        <f t="shared" si="31"/>
        <v>0</v>
      </c>
      <c r="AE21" s="5">
        <f t="shared" si="17"/>
        <v>227.8</v>
      </c>
      <c r="AF21" s="83">
        <f t="shared" si="20"/>
        <v>0</v>
      </c>
      <c r="AG21" s="5">
        <f t="shared" si="17"/>
        <v>2181.5700000000002</v>
      </c>
      <c r="AH21" s="83">
        <f t="shared" si="21"/>
        <v>0</v>
      </c>
      <c r="AI21" s="83">
        <f t="shared" si="22"/>
        <v>0</v>
      </c>
      <c r="AJ21" s="326">
        <f t="shared" si="23"/>
        <v>0</v>
      </c>
      <c r="AK21" s="327">
        <f>SUM(Y21-L21)</f>
        <v>0</v>
      </c>
      <c r="AL21" s="327">
        <f t="shared" si="24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25"/>
        <v>44243</v>
      </c>
      <c r="AS21" s="424">
        <f t="shared" si="6"/>
        <v>0.9</v>
      </c>
      <c r="AT21" s="201">
        <f t="shared" si="6"/>
        <v>146</v>
      </c>
      <c r="AU21" s="425">
        <f t="shared" si="35"/>
        <v>1.1000000000000001</v>
      </c>
      <c r="AV21" s="201">
        <f t="shared" si="35"/>
        <v>110</v>
      </c>
      <c r="AW21" s="5">
        <v>2.9</v>
      </c>
      <c r="AX21" s="201">
        <f t="shared" ref="AX21" si="49">AX20</f>
        <v>130</v>
      </c>
      <c r="AY21" s="426">
        <f t="shared" si="41"/>
        <v>131.4</v>
      </c>
      <c r="AZ21" s="426">
        <f t="shared" si="42"/>
        <v>121.00000000000001</v>
      </c>
      <c r="BA21" s="426">
        <f t="shared" si="43"/>
        <v>377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" thickBot="1">
      <c r="A22" s="6">
        <f>ELEC!C19</f>
        <v>44244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log'!$A$34))</f>
        <v>267.85714285714283</v>
      </c>
      <c r="F22" s="327"/>
      <c r="G22" s="5">
        <f t="shared" si="13"/>
        <v>615374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6718</v>
      </c>
      <c r="L22" s="83">
        <f t="shared" si="33"/>
        <v>0</v>
      </c>
      <c r="M22" s="410">
        <f t="shared" si="15"/>
        <v>457.44</v>
      </c>
      <c r="N22" s="514">
        <f t="shared" si="36"/>
        <v>0</v>
      </c>
      <c r="O22" s="410">
        <f t="shared" si="16"/>
        <v>529.52</v>
      </c>
      <c r="P22" s="514">
        <f t="shared" si="37"/>
        <v>0</v>
      </c>
      <c r="Q22" s="514">
        <f t="shared" si="38"/>
        <v>0</v>
      </c>
      <c r="R22" s="514"/>
      <c r="S22" s="514"/>
      <c r="T22" s="5">
        <f t="shared" si="17"/>
        <v>5165</v>
      </c>
      <c r="U22" s="5">
        <f t="shared" si="4"/>
        <v>0</v>
      </c>
      <c r="V22" s="5">
        <f t="shared" si="17"/>
        <v>461</v>
      </c>
      <c r="W22" s="324">
        <f t="shared" si="18"/>
        <v>0</v>
      </c>
      <c r="X22" s="5">
        <f t="shared" si="17"/>
        <v>150077</v>
      </c>
      <c r="Y22" s="324">
        <f t="shared" si="34"/>
        <v>0</v>
      </c>
      <c r="Z22" s="5">
        <f t="shared" si="17"/>
        <v>98262</v>
      </c>
      <c r="AA22" s="83">
        <f t="shared" si="19"/>
        <v>0</v>
      </c>
      <c r="AB22" s="5">
        <f t="shared" si="17"/>
        <v>256</v>
      </c>
      <c r="AC22" s="5">
        <f t="shared" si="17"/>
        <v>731</v>
      </c>
      <c r="AD22" s="83">
        <f t="shared" si="31"/>
        <v>0</v>
      </c>
      <c r="AE22" s="5">
        <f t="shared" si="17"/>
        <v>227.8</v>
      </c>
      <c r="AF22" s="83">
        <f t="shared" si="20"/>
        <v>0</v>
      </c>
      <c r="AG22" s="5">
        <f t="shared" si="17"/>
        <v>2181.5700000000002</v>
      </c>
      <c r="AH22" s="83">
        <f t="shared" si="21"/>
        <v>0</v>
      </c>
      <c r="AI22" s="83">
        <f t="shared" si="22"/>
        <v>0</v>
      </c>
      <c r="AJ22" s="326">
        <f t="shared" si="23"/>
        <v>0</v>
      </c>
      <c r="AK22" s="327">
        <f t="shared" si="32"/>
        <v>0</v>
      </c>
      <c r="AL22" s="327">
        <f t="shared" si="24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25"/>
        <v>44244</v>
      </c>
      <c r="AS22" s="424">
        <f t="shared" ref="AS22:AT33" si="50">AS21</f>
        <v>0.9</v>
      </c>
      <c r="AT22" s="201">
        <f t="shared" si="50"/>
        <v>146</v>
      </c>
      <c r="AU22" s="425">
        <f t="shared" si="35"/>
        <v>1.1000000000000001</v>
      </c>
      <c r="AV22" s="201">
        <f t="shared" si="35"/>
        <v>110</v>
      </c>
      <c r="AW22" s="5">
        <v>2.9</v>
      </c>
      <c r="AX22" s="201">
        <f t="shared" ref="AX22" si="51">AX21</f>
        <v>130</v>
      </c>
      <c r="AY22" s="426">
        <f t="shared" si="7"/>
        <v>131.4</v>
      </c>
      <c r="AZ22" s="426">
        <f t="shared" si="26"/>
        <v>121.00000000000001</v>
      </c>
      <c r="BA22" s="426">
        <f t="shared" si="27"/>
        <v>377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" thickBot="1">
      <c r="A23" s="6">
        <f>ELEC!C20</f>
        <v>44245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log'!$A$34))</f>
        <v>267.85714285714283</v>
      </c>
      <c r="F23" s="327"/>
      <c r="G23" s="5">
        <f t="shared" si="13"/>
        <v>615374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6718</v>
      </c>
      <c r="L23" s="274">
        <f t="shared" si="33"/>
        <v>0</v>
      </c>
      <c r="M23" s="410">
        <f t="shared" si="15"/>
        <v>457.44</v>
      </c>
      <c r="N23" s="514">
        <f t="shared" si="36"/>
        <v>0</v>
      </c>
      <c r="O23" s="410">
        <f t="shared" si="16"/>
        <v>529.52</v>
      </c>
      <c r="P23" s="514">
        <f t="shared" si="37"/>
        <v>0</v>
      </c>
      <c r="Q23" s="514">
        <f t="shared" si="38"/>
        <v>0</v>
      </c>
      <c r="R23" s="516"/>
      <c r="S23" s="516"/>
      <c r="T23" s="5">
        <f t="shared" si="17"/>
        <v>5165</v>
      </c>
      <c r="U23" s="5">
        <f t="shared" si="4"/>
        <v>0</v>
      </c>
      <c r="V23" s="5">
        <f t="shared" si="17"/>
        <v>461</v>
      </c>
      <c r="W23" s="324">
        <f t="shared" si="18"/>
        <v>0</v>
      </c>
      <c r="X23" s="5">
        <f t="shared" si="17"/>
        <v>150077</v>
      </c>
      <c r="Y23" s="324">
        <f t="shared" si="34"/>
        <v>0</v>
      </c>
      <c r="Z23" s="5">
        <f t="shared" si="17"/>
        <v>98262</v>
      </c>
      <c r="AA23" s="83">
        <f t="shared" si="19"/>
        <v>0</v>
      </c>
      <c r="AB23" s="5">
        <f t="shared" si="17"/>
        <v>256</v>
      </c>
      <c r="AC23" s="5">
        <f t="shared" si="17"/>
        <v>731</v>
      </c>
      <c r="AD23" s="83">
        <f t="shared" si="31"/>
        <v>0</v>
      </c>
      <c r="AE23" s="5">
        <f t="shared" si="17"/>
        <v>227.8</v>
      </c>
      <c r="AF23" s="83">
        <f t="shared" si="20"/>
        <v>0</v>
      </c>
      <c r="AG23" s="5">
        <f t="shared" si="17"/>
        <v>2181.5700000000002</v>
      </c>
      <c r="AH23" s="83">
        <f t="shared" si="21"/>
        <v>0</v>
      </c>
      <c r="AI23" s="83">
        <f t="shared" si="22"/>
        <v>0</v>
      </c>
      <c r="AJ23" s="326">
        <f t="shared" si="23"/>
        <v>0</v>
      </c>
      <c r="AK23" s="327">
        <f t="shared" si="32"/>
        <v>0</v>
      </c>
      <c r="AL23" s="327">
        <f t="shared" si="24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25"/>
        <v>44245</v>
      </c>
      <c r="AS23" s="424">
        <f t="shared" si="50"/>
        <v>0.9</v>
      </c>
      <c r="AT23" s="201">
        <f t="shared" si="50"/>
        <v>146</v>
      </c>
      <c r="AU23" s="425">
        <f t="shared" si="35"/>
        <v>1.1000000000000001</v>
      </c>
      <c r="AV23" s="201">
        <f t="shared" si="35"/>
        <v>110</v>
      </c>
      <c r="AW23" s="5">
        <v>2.9</v>
      </c>
      <c r="AX23" s="201">
        <f t="shared" ref="AX23" si="52">AX22</f>
        <v>130</v>
      </c>
      <c r="AY23" s="426">
        <f t="shared" si="7"/>
        <v>131.4</v>
      </c>
      <c r="AZ23" s="426">
        <f t="shared" si="26"/>
        <v>121.00000000000001</v>
      </c>
      <c r="BA23" s="426">
        <f t="shared" si="27"/>
        <v>377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" thickBot="1">
      <c r="A24" s="6">
        <f>ELEC!C21</f>
        <v>44246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615374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33"/>
        <v>-5</v>
      </c>
      <c r="M24" s="410">
        <f t="shared" si="15"/>
        <v>457.44</v>
      </c>
      <c r="N24" s="514">
        <f t="shared" si="36"/>
        <v>0</v>
      </c>
      <c r="O24" s="410">
        <f t="shared" si="16"/>
        <v>529.52</v>
      </c>
      <c r="P24" s="514">
        <f t="shared" si="37"/>
        <v>0</v>
      </c>
      <c r="Q24" s="514">
        <f t="shared" si="38"/>
        <v>0</v>
      </c>
      <c r="R24" s="516"/>
      <c r="S24" s="516"/>
      <c r="T24" s="5">
        <f t="shared" si="17"/>
        <v>5165</v>
      </c>
      <c r="U24" s="5">
        <f t="shared" si="4"/>
        <v>0</v>
      </c>
      <c r="V24" s="5">
        <f t="shared" si="17"/>
        <v>461</v>
      </c>
      <c r="W24" s="324">
        <f t="shared" si="18"/>
        <v>0</v>
      </c>
      <c r="X24" s="5">
        <f t="shared" si="17"/>
        <v>150077</v>
      </c>
      <c r="Y24" s="324">
        <f t="shared" si="34"/>
        <v>0</v>
      </c>
      <c r="Z24" s="5">
        <f t="shared" si="17"/>
        <v>98262</v>
      </c>
      <c r="AA24" s="83">
        <f t="shared" si="19"/>
        <v>0</v>
      </c>
      <c r="AB24" s="5">
        <f t="shared" si="17"/>
        <v>256</v>
      </c>
      <c r="AC24" s="5">
        <f t="shared" si="17"/>
        <v>731</v>
      </c>
      <c r="AD24" s="83">
        <f t="shared" si="31"/>
        <v>0</v>
      </c>
      <c r="AE24" s="5">
        <f t="shared" si="17"/>
        <v>227.8</v>
      </c>
      <c r="AF24" s="83">
        <f t="shared" si="20"/>
        <v>0</v>
      </c>
      <c r="AG24" s="5">
        <f t="shared" si="17"/>
        <v>2181.5700000000002</v>
      </c>
      <c r="AH24" s="83">
        <f t="shared" si="21"/>
        <v>0</v>
      </c>
      <c r="AI24" s="83">
        <f t="shared" si="22"/>
        <v>0</v>
      </c>
      <c r="AJ24" s="326">
        <f t="shared" si="23"/>
        <v>0</v>
      </c>
      <c r="AK24" s="327">
        <f t="shared" si="32"/>
        <v>5</v>
      </c>
      <c r="AL24" s="327">
        <f t="shared" si="24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25"/>
        <v>44246</v>
      </c>
      <c r="AS24" s="424">
        <f t="shared" si="50"/>
        <v>0.9</v>
      </c>
      <c r="AT24" s="201">
        <f t="shared" si="50"/>
        <v>146</v>
      </c>
      <c r="AU24" s="425">
        <f t="shared" si="35"/>
        <v>1.1000000000000001</v>
      </c>
      <c r="AV24" s="201">
        <f t="shared" si="35"/>
        <v>110</v>
      </c>
      <c r="AW24" s="5">
        <v>2.9</v>
      </c>
      <c r="AX24" s="201">
        <f t="shared" ref="AX24" si="53">AX23</f>
        <v>130</v>
      </c>
      <c r="AY24" s="426">
        <f t="shared" si="7"/>
        <v>131.4</v>
      </c>
      <c r="AZ24" s="426">
        <f t="shared" si="26"/>
        <v>121.00000000000001</v>
      </c>
      <c r="BA24" s="426">
        <f t="shared" si="27"/>
        <v>377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" thickBot="1">
      <c r="A25" s="6">
        <f>ELEC!C22</f>
        <v>44247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log'!$A$34))</f>
        <v>267.85714285714283</v>
      </c>
      <c r="F25" s="327"/>
      <c r="G25" s="5">
        <f t="shared" si="13"/>
        <v>615374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6718</v>
      </c>
      <c r="L25" s="274">
        <f t="shared" si="33"/>
        <v>5</v>
      </c>
      <c r="M25" s="410">
        <f t="shared" si="15"/>
        <v>457.44</v>
      </c>
      <c r="N25" s="514">
        <f t="shared" si="36"/>
        <v>0</v>
      </c>
      <c r="O25" s="410">
        <f t="shared" si="16"/>
        <v>529.52</v>
      </c>
      <c r="P25" s="514">
        <f t="shared" si="37"/>
        <v>0</v>
      </c>
      <c r="Q25" s="514">
        <f t="shared" si="38"/>
        <v>0</v>
      </c>
      <c r="R25" s="516"/>
      <c r="S25" s="516"/>
      <c r="T25" s="5">
        <f t="shared" si="17"/>
        <v>5165</v>
      </c>
      <c r="U25" s="5">
        <f t="shared" si="4"/>
        <v>0</v>
      </c>
      <c r="V25" s="5">
        <f t="shared" si="17"/>
        <v>461</v>
      </c>
      <c r="W25" s="324">
        <f t="shared" si="18"/>
        <v>0</v>
      </c>
      <c r="X25" s="5">
        <f t="shared" si="17"/>
        <v>150077</v>
      </c>
      <c r="Y25" s="324">
        <f t="shared" si="34"/>
        <v>0</v>
      </c>
      <c r="Z25" s="5">
        <f t="shared" si="17"/>
        <v>98262</v>
      </c>
      <c r="AA25" s="83">
        <f t="shared" si="19"/>
        <v>0</v>
      </c>
      <c r="AB25" s="5">
        <f t="shared" si="17"/>
        <v>256</v>
      </c>
      <c r="AC25" s="5">
        <f t="shared" si="17"/>
        <v>731</v>
      </c>
      <c r="AD25" s="83">
        <f t="shared" si="31"/>
        <v>0</v>
      </c>
      <c r="AE25" s="5">
        <f t="shared" si="17"/>
        <v>227.8</v>
      </c>
      <c r="AF25" s="83">
        <f t="shared" si="20"/>
        <v>0</v>
      </c>
      <c r="AG25" s="5">
        <f t="shared" si="17"/>
        <v>2181.5700000000002</v>
      </c>
      <c r="AH25" s="83">
        <f t="shared" si="21"/>
        <v>0</v>
      </c>
      <c r="AI25" s="83">
        <f t="shared" si="22"/>
        <v>0</v>
      </c>
      <c r="AJ25" s="326">
        <f t="shared" si="23"/>
        <v>0</v>
      </c>
      <c r="AK25" s="327">
        <f t="shared" si="32"/>
        <v>-5</v>
      </c>
      <c r="AL25" s="327">
        <f t="shared" si="24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25"/>
        <v>44247</v>
      </c>
      <c r="AS25" s="424">
        <f t="shared" si="50"/>
        <v>0.9</v>
      </c>
      <c r="AT25" s="201">
        <f t="shared" si="50"/>
        <v>146</v>
      </c>
      <c r="AU25" s="425">
        <f t="shared" si="35"/>
        <v>1.1000000000000001</v>
      </c>
      <c r="AV25" s="201">
        <f t="shared" si="35"/>
        <v>110</v>
      </c>
      <c r="AW25" s="5">
        <v>2.9</v>
      </c>
      <c r="AX25" s="201">
        <f t="shared" ref="AX25" si="54">AX24</f>
        <v>130</v>
      </c>
      <c r="AY25" s="426">
        <f t="shared" si="7"/>
        <v>131.4</v>
      </c>
      <c r="AZ25" s="426">
        <f t="shared" si="26"/>
        <v>121.00000000000001</v>
      </c>
      <c r="BA25" s="426">
        <f t="shared" si="27"/>
        <v>377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" thickBot="1">
      <c r="A26" s="6">
        <f>ELEC!C23</f>
        <v>44248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log'!$A$34))</f>
        <v>267.85714285714283</v>
      </c>
      <c r="F26" s="327"/>
      <c r="G26" s="5">
        <f t="shared" si="13"/>
        <v>615374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6718</v>
      </c>
      <c r="L26" s="274">
        <f t="shared" si="33"/>
        <v>0</v>
      </c>
      <c r="M26" s="410">
        <f t="shared" si="15"/>
        <v>457.44</v>
      </c>
      <c r="N26" s="514">
        <f t="shared" si="36"/>
        <v>0</v>
      </c>
      <c r="O26" s="410">
        <f t="shared" si="16"/>
        <v>529.52</v>
      </c>
      <c r="P26" s="514">
        <f t="shared" si="37"/>
        <v>0</v>
      </c>
      <c r="Q26" s="514">
        <f t="shared" si="38"/>
        <v>0</v>
      </c>
      <c r="R26" s="516"/>
      <c r="S26" s="516"/>
      <c r="T26" s="5">
        <f t="shared" si="17"/>
        <v>5165</v>
      </c>
      <c r="U26" s="5">
        <f t="shared" si="4"/>
        <v>0</v>
      </c>
      <c r="V26" s="5">
        <f t="shared" si="17"/>
        <v>461</v>
      </c>
      <c r="W26" s="324">
        <f t="shared" si="18"/>
        <v>0</v>
      </c>
      <c r="X26" s="5">
        <f t="shared" si="17"/>
        <v>150077</v>
      </c>
      <c r="Y26" s="324">
        <f t="shared" si="34"/>
        <v>0</v>
      </c>
      <c r="Z26" s="5">
        <f t="shared" si="17"/>
        <v>98262</v>
      </c>
      <c r="AA26" s="83">
        <f t="shared" si="19"/>
        <v>0</v>
      </c>
      <c r="AB26" s="5">
        <f t="shared" si="17"/>
        <v>256</v>
      </c>
      <c r="AC26" s="5">
        <f t="shared" si="17"/>
        <v>731</v>
      </c>
      <c r="AD26" s="83">
        <f t="shared" si="31"/>
        <v>0</v>
      </c>
      <c r="AE26" s="5">
        <f t="shared" si="17"/>
        <v>227.8</v>
      </c>
      <c r="AF26" s="83">
        <f t="shared" si="20"/>
        <v>0</v>
      </c>
      <c r="AG26" s="5">
        <f t="shared" si="17"/>
        <v>2181.5700000000002</v>
      </c>
      <c r="AH26" s="83">
        <f t="shared" si="21"/>
        <v>0</v>
      </c>
      <c r="AI26" s="83">
        <f t="shared" si="22"/>
        <v>0</v>
      </c>
      <c r="AJ26" s="326">
        <f t="shared" si="23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25"/>
        <v>44248</v>
      </c>
      <c r="AS26" s="424">
        <f t="shared" si="50"/>
        <v>0.9</v>
      </c>
      <c r="AT26" s="201">
        <f t="shared" si="50"/>
        <v>146</v>
      </c>
      <c r="AU26" s="425">
        <f t="shared" si="35"/>
        <v>1.1000000000000001</v>
      </c>
      <c r="AV26" s="201">
        <f t="shared" si="35"/>
        <v>110</v>
      </c>
      <c r="AW26" s="5">
        <v>2.9</v>
      </c>
      <c r="AX26" s="201">
        <f t="shared" ref="AX26" si="55">AX25</f>
        <v>130</v>
      </c>
      <c r="AY26" s="426">
        <f t="shared" si="7"/>
        <v>131.4</v>
      </c>
      <c r="AZ26" s="426">
        <f t="shared" si="26"/>
        <v>121.00000000000001</v>
      </c>
      <c r="BA26" s="426">
        <f t="shared" si="27"/>
        <v>377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96">
        <f t="shared" si="8"/>
        <v>0</v>
      </c>
      <c r="BG26" s="82">
        <f t="shared" si="9"/>
        <v>0</v>
      </c>
    </row>
    <row r="27" spans="1:61" ht="15" thickBot="1">
      <c r="A27" s="6">
        <f>ELEC!C24</f>
        <v>44249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log'!$A$34))</f>
        <v>267.85714285714283</v>
      </c>
      <c r="F27" s="327"/>
      <c r="G27" s="5">
        <f t="shared" si="13"/>
        <v>615374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6718</v>
      </c>
      <c r="L27" s="274">
        <f t="shared" si="33"/>
        <v>0</v>
      </c>
      <c r="M27" s="410">
        <f t="shared" si="15"/>
        <v>457.44</v>
      </c>
      <c r="N27" s="514">
        <f t="shared" si="36"/>
        <v>0</v>
      </c>
      <c r="O27" s="410">
        <f t="shared" si="16"/>
        <v>529.52</v>
      </c>
      <c r="P27" s="514">
        <f t="shared" si="37"/>
        <v>0</v>
      </c>
      <c r="Q27" s="514">
        <f t="shared" si="38"/>
        <v>0</v>
      </c>
      <c r="R27" s="516"/>
      <c r="S27" s="516"/>
      <c r="T27" s="5">
        <f t="shared" si="17"/>
        <v>5165</v>
      </c>
      <c r="U27" s="5">
        <f t="shared" si="4"/>
        <v>0</v>
      </c>
      <c r="V27" s="5">
        <f t="shared" si="17"/>
        <v>461</v>
      </c>
      <c r="W27" s="324">
        <f t="shared" si="18"/>
        <v>0</v>
      </c>
      <c r="X27" s="5">
        <f t="shared" si="17"/>
        <v>150077</v>
      </c>
      <c r="Y27" s="324">
        <f>SUM(X27-X26)</f>
        <v>0</v>
      </c>
      <c r="Z27" s="5">
        <f t="shared" si="17"/>
        <v>98262</v>
      </c>
      <c r="AA27" s="83">
        <f t="shared" si="19"/>
        <v>0</v>
      </c>
      <c r="AB27" s="5">
        <f t="shared" si="17"/>
        <v>256</v>
      </c>
      <c r="AC27" s="5">
        <f t="shared" si="17"/>
        <v>731</v>
      </c>
      <c r="AD27" s="83">
        <f t="shared" si="31"/>
        <v>0</v>
      </c>
      <c r="AE27" s="5">
        <f t="shared" si="17"/>
        <v>227.8</v>
      </c>
      <c r="AF27" s="83">
        <f t="shared" si="20"/>
        <v>0</v>
      </c>
      <c r="AG27" s="5">
        <f t="shared" si="17"/>
        <v>2181.5700000000002</v>
      </c>
      <c r="AH27" s="83">
        <f t="shared" si="21"/>
        <v>0</v>
      </c>
      <c r="AI27" s="83">
        <f t="shared" si="22"/>
        <v>0</v>
      </c>
      <c r="AJ27" s="326">
        <f t="shared" si="23"/>
        <v>0</v>
      </c>
      <c r="AK27" s="327">
        <f t="shared" si="32"/>
        <v>0</v>
      </c>
      <c r="AL27" s="327">
        <f t="shared" si="24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25"/>
        <v>44249</v>
      </c>
      <c r="AS27" s="424">
        <f t="shared" si="50"/>
        <v>0.9</v>
      </c>
      <c r="AT27" s="201">
        <f t="shared" si="50"/>
        <v>146</v>
      </c>
      <c r="AU27" s="425">
        <f t="shared" si="35"/>
        <v>1.1000000000000001</v>
      </c>
      <c r="AV27" s="201">
        <f t="shared" si="35"/>
        <v>110</v>
      </c>
      <c r="AW27" s="5">
        <v>2.9</v>
      </c>
      <c r="AX27" s="201">
        <f t="shared" ref="AX27" si="56">AX26</f>
        <v>130</v>
      </c>
      <c r="AY27" s="426">
        <f t="shared" si="7"/>
        <v>131.4</v>
      </c>
      <c r="AZ27" s="426">
        <f t="shared" si="26"/>
        <v>121.00000000000001</v>
      </c>
      <c r="BA27" s="426">
        <f t="shared" si="27"/>
        <v>377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" thickBot="1">
      <c r="A28" s="6">
        <f>ELEC!C25</f>
        <v>44250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log'!$A$34))</f>
        <v>267.85714285714283</v>
      </c>
      <c r="F28" s="327"/>
      <c r="G28" s="5">
        <f t="shared" si="13"/>
        <v>615374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6718</v>
      </c>
      <c r="L28" s="274">
        <f t="shared" si="33"/>
        <v>0</v>
      </c>
      <c r="M28" s="410">
        <f t="shared" si="15"/>
        <v>457.44</v>
      </c>
      <c r="N28" s="514">
        <f t="shared" si="36"/>
        <v>0</v>
      </c>
      <c r="O28" s="410">
        <f t="shared" si="16"/>
        <v>529.52</v>
      </c>
      <c r="P28" s="514">
        <f t="shared" si="37"/>
        <v>0</v>
      </c>
      <c r="Q28" s="514">
        <f t="shared" si="38"/>
        <v>0</v>
      </c>
      <c r="R28" s="516"/>
      <c r="S28" s="516"/>
      <c r="T28" s="5">
        <f t="shared" si="17"/>
        <v>5165</v>
      </c>
      <c r="U28" s="5">
        <f t="shared" si="4"/>
        <v>0</v>
      </c>
      <c r="V28" s="5">
        <f t="shared" si="17"/>
        <v>461</v>
      </c>
      <c r="W28" s="324">
        <f t="shared" si="18"/>
        <v>0</v>
      </c>
      <c r="X28" s="5">
        <f t="shared" si="17"/>
        <v>150077</v>
      </c>
      <c r="Y28" s="324">
        <f t="shared" si="34"/>
        <v>0</v>
      </c>
      <c r="Z28" s="5">
        <f t="shared" si="17"/>
        <v>98262</v>
      </c>
      <c r="AA28" s="83">
        <f t="shared" si="19"/>
        <v>0</v>
      </c>
      <c r="AB28" s="5">
        <f t="shared" si="17"/>
        <v>256</v>
      </c>
      <c r="AC28" s="5">
        <f t="shared" si="17"/>
        <v>731</v>
      </c>
      <c r="AD28" s="83">
        <f t="shared" si="31"/>
        <v>0</v>
      </c>
      <c r="AE28" s="5">
        <f t="shared" si="17"/>
        <v>227.8</v>
      </c>
      <c r="AF28" s="83">
        <f t="shared" si="20"/>
        <v>0</v>
      </c>
      <c r="AG28" s="5">
        <f t="shared" si="17"/>
        <v>2181.5700000000002</v>
      </c>
      <c r="AH28" s="83">
        <f t="shared" si="21"/>
        <v>0</v>
      </c>
      <c r="AI28" s="83">
        <f t="shared" si="22"/>
        <v>0</v>
      </c>
      <c r="AJ28" s="326">
        <f t="shared" si="23"/>
        <v>0</v>
      </c>
      <c r="AK28" s="327">
        <f t="shared" si="32"/>
        <v>0</v>
      </c>
      <c r="AL28" s="327">
        <f t="shared" si="24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25"/>
        <v>44250</v>
      </c>
      <c r="AS28" s="424">
        <f t="shared" si="50"/>
        <v>0.9</v>
      </c>
      <c r="AT28" s="201">
        <f t="shared" si="50"/>
        <v>146</v>
      </c>
      <c r="AU28" s="425">
        <f t="shared" si="35"/>
        <v>1.1000000000000001</v>
      </c>
      <c r="AV28" s="201">
        <f t="shared" si="35"/>
        <v>110</v>
      </c>
      <c r="AW28" s="5">
        <v>2.9</v>
      </c>
      <c r="AX28" s="201">
        <f t="shared" ref="AX28" si="57">AX27</f>
        <v>130</v>
      </c>
      <c r="AY28" s="426">
        <f t="shared" si="7"/>
        <v>131.4</v>
      </c>
      <c r="AZ28" s="426">
        <f t="shared" si="26"/>
        <v>121.00000000000001</v>
      </c>
      <c r="BA28" s="426">
        <f t="shared" si="27"/>
        <v>377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" thickBot="1">
      <c r="A29" s="6">
        <f>ELEC!C26</f>
        <v>44251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log'!$A$34))</f>
        <v>267.85714285714283</v>
      </c>
      <c r="F29" s="327"/>
      <c r="G29" s="5">
        <f t="shared" si="13"/>
        <v>615374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6718</v>
      </c>
      <c r="L29" s="274">
        <f t="shared" si="33"/>
        <v>0</v>
      </c>
      <c r="M29" s="410">
        <f t="shared" si="15"/>
        <v>457.44</v>
      </c>
      <c r="N29" s="514">
        <f t="shared" si="36"/>
        <v>0</v>
      </c>
      <c r="O29" s="410">
        <f t="shared" si="16"/>
        <v>529.52</v>
      </c>
      <c r="P29" s="514">
        <f t="shared" si="37"/>
        <v>0</v>
      </c>
      <c r="Q29" s="514">
        <f t="shared" si="38"/>
        <v>0</v>
      </c>
      <c r="R29" s="516"/>
      <c r="S29" s="516"/>
      <c r="T29" s="5">
        <f t="shared" si="17"/>
        <v>5165</v>
      </c>
      <c r="U29" s="5">
        <f t="shared" si="4"/>
        <v>0</v>
      </c>
      <c r="V29" s="5">
        <f t="shared" si="17"/>
        <v>461</v>
      </c>
      <c r="W29" s="324">
        <f t="shared" si="18"/>
        <v>0</v>
      </c>
      <c r="X29" s="5">
        <f t="shared" si="17"/>
        <v>150077</v>
      </c>
      <c r="Y29" s="324">
        <f t="shared" si="34"/>
        <v>0</v>
      </c>
      <c r="Z29" s="5">
        <f t="shared" si="17"/>
        <v>98262</v>
      </c>
      <c r="AA29" s="83">
        <f t="shared" si="19"/>
        <v>0</v>
      </c>
      <c r="AB29" s="5">
        <f t="shared" si="17"/>
        <v>256</v>
      </c>
      <c r="AC29" s="5">
        <f t="shared" si="17"/>
        <v>731</v>
      </c>
      <c r="AD29" s="83">
        <f t="shared" si="31"/>
        <v>0</v>
      </c>
      <c r="AE29" s="5">
        <f t="shared" si="17"/>
        <v>227.8</v>
      </c>
      <c r="AF29" s="83">
        <f t="shared" si="20"/>
        <v>0</v>
      </c>
      <c r="AG29" s="5">
        <f t="shared" si="17"/>
        <v>2181.5700000000002</v>
      </c>
      <c r="AH29" s="83">
        <f t="shared" si="21"/>
        <v>0</v>
      </c>
      <c r="AI29" s="83">
        <f t="shared" si="22"/>
        <v>0</v>
      </c>
      <c r="AJ29" s="326">
        <f t="shared" si="23"/>
        <v>0</v>
      </c>
      <c r="AK29" s="327">
        <f t="shared" si="32"/>
        <v>0</v>
      </c>
      <c r="AL29" s="327">
        <f t="shared" si="24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25"/>
        <v>44251</v>
      </c>
      <c r="AS29" s="424">
        <f t="shared" si="50"/>
        <v>0.9</v>
      </c>
      <c r="AT29" s="201">
        <f t="shared" si="50"/>
        <v>146</v>
      </c>
      <c r="AU29" s="425">
        <f t="shared" si="35"/>
        <v>1.1000000000000001</v>
      </c>
      <c r="AV29" s="201">
        <f t="shared" si="35"/>
        <v>110</v>
      </c>
      <c r="AW29" s="5">
        <v>2.9</v>
      </c>
      <c r="AX29" s="201">
        <f t="shared" ref="AX29" si="58">AX28</f>
        <v>130</v>
      </c>
      <c r="AY29" s="426">
        <f t="shared" si="7"/>
        <v>131.4</v>
      </c>
      <c r="AZ29" s="426">
        <f t="shared" si="26"/>
        <v>121.00000000000001</v>
      </c>
      <c r="BA29" s="426">
        <f t="shared" si="27"/>
        <v>377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" thickBot="1">
      <c r="A30" s="6">
        <f>ELEC!C27</f>
        <v>44252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log'!$A$34))</f>
        <v>267.85714285714283</v>
      </c>
      <c r="F30" s="327"/>
      <c r="G30" s="5">
        <f t="shared" si="13"/>
        <v>615374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6718</v>
      </c>
      <c r="L30" s="274">
        <f t="shared" si="33"/>
        <v>0</v>
      </c>
      <c r="M30" s="410">
        <f t="shared" si="15"/>
        <v>457.44</v>
      </c>
      <c r="N30" s="514">
        <f t="shared" si="36"/>
        <v>0</v>
      </c>
      <c r="O30" s="410">
        <f t="shared" si="16"/>
        <v>529.52</v>
      </c>
      <c r="P30" s="514">
        <f t="shared" si="37"/>
        <v>0</v>
      </c>
      <c r="Q30" s="514">
        <f t="shared" si="38"/>
        <v>0</v>
      </c>
      <c r="R30" s="516"/>
      <c r="S30" s="516"/>
      <c r="T30" s="5">
        <f t="shared" si="17"/>
        <v>5165</v>
      </c>
      <c r="U30" s="5">
        <f t="shared" si="4"/>
        <v>0</v>
      </c>
      <c r="V30" s="5">
        <f t="shared" si="17"/>
        <v>461</v>
      </c>
      <c r="W30" s="324">
        <f t="shared" si="18"/>
        <v>0</v>
      </c>
      <c r="X30" s="5">
        <f t="shared" si="17"/>
        <v>150077</v>
      </c>
      <c r="Y30" s="324">
        <f t="shared" si="34"/>
        <v>0</v>
      </c>
      <c r="Z30" s="5">
        <f t="shared" si="17"/>
        <v>98262</v>
      </c>
      <c r="AA30" s="83">
        <f t="shared" si="19"/>
        <v>0</v>
      </c>
      <c r="AB30" s="5">
        <f t="shared" si="17"/>
        <v>256</v>
      </c>
      <c r="AC30" s="5">
        <f t="shared" si="17"/>
        <v>731</v>
      </c>
      <c r="AD30" s="83">
        <f t="shared" si="31"/>
        <v>0</v>
      </c>
      <c r="AE30" s="5">
        <f t="shared" si="17"/>
        <v>227.8</v>
      </c>
      <c r="AF30" s="83">
        <f t="shared" si="20"/>
        <v>0</v>
      </c>
      <c r="AG30" s="5">
        <f t="shared" si="17"/>
        <v>2181.5700000000002</v>
      </c>
      <c r="AH30" s="83">
        <f t="shared" si="21"/>
        <v>0</v>
      </c>
      <c r="AI30" s="83">
        <f t="shared" si="22"/>
        <v>0</v>
      </c>
      <c r="AJ30" s="326">
        <f t="shared" si="23"/>
        <v>0</v>
      </c>
      <c r="AK30" s="327">
        <f t="shared" si="32"/>
        <v>0</v>
      </c>
      <c r="AL30" s="327">
        <f t="shared" si="24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25"/>
        <v>44252</v>
      </c>
      <c r="AS30" s="424">
        <f t="shared" si="50"/>
        <v>0.9</v>
      </c>
      <c r="AT30" s="201">
        <f t="shared" si="50"/>
        <v>146</v>
      </c>
      <c r="AU30" s="425">
        <f t="shared" si="35"/>
        <v>1.1000000000000001</v>
      </c>
      <c r="AV30" s="201">
        <f t="shared" si="35"/>
        <v>110</v>
      </c>
      <c r="AW30" s="5">
        <v>2.9</v>
      </c>
      <c r="AX30" s="201">
        <f t="shared" ref="AX30" si="59">AX29</f>
        <v>130</v>
      </c>
      <c r="AY30" s="426">
        <f t="shared" si="7"/>
        <v>131.4</v>
      </c>
      <c r="AZ30" s="426">
        <f t="shared" si="26"/>
        <v>121.00000000000001</v>
      </c>
      <c r="BA30" s="426">
        <f t="shared" si="27"/>
        <v>377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" thickBot="1">
      <c r="A31" s="6">
        <f>ELEC!C28</f>
        <v>44253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log'!$A$34))</f>
        <v>267.85714285714283</v>
      </c>
      <c r="F31" s="327"/>
      <c r="G31" s="5">
        <f t="shared" si="13"/>
        <v>615374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6718</v>
      </c>
      <c r="L31" s="274">
        <f t="shared" si="33"/>
        <v>0</v>
      </c>
      <c r="M31" s="410">
        <f t="shared" si="15"/>
        <v>457.44</v>
      </c>
      <c r="N31" s="514">
        <f t="shared" si="36"/>
        <v>0</v>
      </c>
      <c r="O31" s="410">
        <f t="shared" si="16"/>
        <v>529.52</v>
      </c>
      <c r="P31" s="514">
        <f t="shared" si="37"/>
        <v>0</v>
      </c>
      <c r="Q31" s="514">
        <f t="shared" si="38"/>
        <v>0</v>
      </c>
      <c r="R31" s="516"/>
      <c r="S31" s="516"/>
      <c r="T31" s="5">
        <f t="shared" si="17"/>
        <v>5165</v>
      </c>
      <c r="U31" s="5">
        <f t="shared" si="4"/>
        <v>0</v>
      </c>
      <c r="V31" s="5">
        <f t="shared" si="17"/>
        <v>461</v>
      </c>
      <c r="W31" s="324">
        <f t="shared" si="18"/>
        <v>0</v>
      </c>
      <c r="X31" s="5">
        <f t="shared" si="17"/>
        <v>150077</v>
      </c>
      <c r="Y31" s="324">
        <f t="shared" si="34"/>
        <v>0</v>
      </c>
      <c r="Z31" s="5">
        <f t="shared" si="17"/>
        <v>98262</v>
      </c>
      <c r="AA31" s="83">
        <f t="shared" si="19"/>
        <v>0</v>
      </c>
      <c r="AB31" s="5">
        <f t="shared" si="17"/>
        <v>256</v>
      </c>
      <c r="AC31" s="5">
        <f t="shared" si="17"/>
        <v>731</v>
      </c>
      <c r="AD31" s="83">
        <f t="shared" si="31"/>
        <v>0</v>
      </c>
      <c r="AE31" s="5">
        <f t="shared" si="17"/>
        <v>227.8</v>
      </c>
      <c r="AF31" s="83">
        <f t="shared" si="20"/>
        <v>0</v>
      </c>
      <c r="AG31" s="5">
        <f t="shared" si="17"/>
        <v>2181.5700000000002</v>
      </c>
      <c r="AH31" s="83">
        <f>AG31-AG30</f>
        <v>0</v>
      </c>
      <c r="AI31" s="83">
        <f>AF31+AH31</f>
        <v>0</v>
      </c>
      <c r="AJ31" s="326">
        <f t="shared" si="23"/>
        <v>0</v>
      </c>
      <c r="AK31" s="327">
        <f t="shared" si="32"/>
        <v>0</v>
      </c>
      <c r="AL31" s="327">
        <f t="shared" si="24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25"/>
        <v>44253</v>
      </c>
      <c r="AS31" s="424">
        <f t="shared" si="50"/>
        <v>0.9</v>
      </c>
      <c r="AT31" s="201">
        <f t="shared" si="50"/>
        <v>146</v>
      </c>
      <c r="AU31" s="425">
        <f t="shared" si="35"/>
        <v>1.1000000000000001</v>
      </c>
      <c r="AV31" s="201">
        <f t="shared" si="35"/>
        <v>110</v>
      </c>
      <c r="AW31" s="5">
        <v>2.9</v>
      </c>
      <c r="AX31" s="201">
        <f t="shared" ref="AX31" si="60">AX30</f>
        <v>130</v>
      </c>
      <c r="AY31" s="426">
        <f t="shared" si="7"/>
        <v>131.4</v>
      </c>
      <c r="AZ31" s="426">
        <f t="shared" si="26"/>
        <v>121.00000000000001</v>
      </c>
      <c r="BA31" s="426">
        <f t="shared" si="27"/>
        <v>377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" thickBot="1">
      <c r="A32" s="6">
        <f>ELEC!C29</f>
        <v>44254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log'!$A$34))</f>
        <v>267.85714285714283</v>
      </c>
      <c r="F32" s="327"/>
      <c r="G32" s="5">
        <f t="shared" si="13"/>
        <v>615374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6718</v>
      </c>
      <c r="L32" s="274">
        <f t="shared" si="33"/>
        <v>0</v>
      </c>
      <c r="M32" s="410">
        <f t="shared" si="15"/>
        <v>457.44</v>
      </c>
      <c r="N32" s="514">
        <f t="shared" si="36"/>
        <v>0</v>
      </c>
      <c r="O32" s="410">
        <f t="shared" si="16"/>
        <v>529.52</v>
      </c>
      <c r="P32" s="514">
        <f t="shared" si="37"/>
        <v>0</v>
      </c>
      <c r="Q32" s="514">
        <f t="shared" si="38"/>
        <v>0</v>
      </c>
      <c r="R32" s="516"/>
      <c r="S32" s="516"/>
      <c r="T32" s="5">
        <f t="shared" si="17"/>
        <v>5165</v>
      </c>
      <c r="U32" s="5">
        <f t="shared" si="4"/>
        <v>0</v>
      </c>
      <c r="V32" s="5">
        <f t="shared" si="17"/>
        <v>461</v>
      </c>
      <c r="W32" s="324">
        <f t="shared" si="18"/>
        <v>0</v>
      </c>
      <c r="X32" s="5">
        <f t="shared" si="17"/>
        <v>150077</v>
      </c>
      <c r="Y32" s="324">
        <f t="shared" si="34"/>
        <v>0</v>
      </c>
      <c r="Z32" s="5">
        <f t="shared" si="17"/>
        <v>98262</v>
      </c>
      <c r="AA32" s="83">
        <f t="shared" si="19"/>
        <v>0</v>
      </c>
      <c r="AB32" s="5">
        <f t="shared" si="17"/>
        <v>256</v>
      </c>
      <c r="AC32" s="5">
        <f t="shared" si="17"/>
        <v>731</v>
      </c>
      <c r="AD32" s="83">
        <f t="shared" si="31"/>
        <v>0</v>
      </c>
      <c r="AE32" s="5">
        <f t="shared" si="17"/>
        <v>227.8</v>
      </c>
      <c r="AF32" s="83">
        <f t="shared" si="20"/>
        <v>0</v>
      </c>
      <c r="AG32" s="5">
        <f t="shared" si="17"/>
        <v>2181.5700000000002</v>
      </c>
      <c r="AH32" s="83">
        <f t="shared" si="21"/>
        <v>0</v>
      </c>
      <c r="AI32" s="83">
        <f t="shared" si="22"/>
        <v>0</v>
      </c>
      <c r="AJ32" s="326">
        <f t="shared" si="23"/>
        <v>0</v>
      </c>
      <c r="AK32" s="327">
        <f t="shared" si="32"/>
        <v>0</v>
      </c>
      <c r="AL32" s="327">
        <f t="shared" si="24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25"/>
        <v>44254</v>
      </c>
      <c r="AS32" s="424">
        <f t="shared" si="50"/>
        <v>0.9</v>
      </c>
      <c r="AT32" s="201">
        <f t="shared" si="50"/>
        <v>146</v>
      </c>
      <c r="AU32" s="425">
        <f t="shared" si="35"/>
        <v>1.1000000000000001</v>
      </c>
      <c r="AV32" s="201">
        <f t="shared" si="35"/>
        <v>110</v>
      </c>
      <c r="AW32" s="5">
        <v>2.9</v>
      </c>
      <c r="AX32" s="201">
        <f t="shared" ref="AX32" si="61">AX31</f>
        <v>130</v>
      </c>
      <c r="AY32" s="426">
        <f t="shared" si="7"/>
        <v>131.4</v>
      </c>
      <c r="AZ32" s="426">
        <f t="shared" si="26"/>
        <v>121.00000000000001</v>
      </c>
      <c r="BA32" s="426">
        <f t="shared" si="27"/>
        <v>377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" thickBot="1">
      <c r="A33" s="6">
        <f>ELEC!C30</f>
        <v>44255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log'!$A$34))</f>
        <v>267.85714285714283</v>
      </c>
      <c r="F33" s="327"/>
      <c r="G33" s="5">
        <f t="shared" si="13"/>
        <v>615374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6718</v>
      </c>
      <c r="L33" s="274">
        <f t="shared" si="33"/>
        <v>0</v>
      </c>
      <c r="M33" s="410">
        <f t="shared" si="15"/>
        <v>457.44</v>
      </c>
      <c r="N33" s="514">
        <f t="shared" si="36"/>
        <v>0</v>
      </c>
      <c r="O33" s="410">
        <f t="shared" si="16"/>
        <v>529.52</v>
      </c>
      <c r="P33" s="514">
        <f t="shared" si="37"/>
        <v>0</v>
      </c>
      <c r="Q33" s="514">
        <f t="shared" si="38"/>
        <v>0</v>
      </c>
      <c r="R33" s="516"/>
      <c r="S33" s="516"/>
      <c r="T33" s="5">
        <f t="shared" si="17"/>
        <v>5165</v>
      </c>
      <c r="U33" s="5">
        <f t="shared" si="4"/>
        <v>0</v>
      </c>
      <c r="V33" s="5">
        <f t="shared" si="17"/>
        <v>461</v>
      </c>
      <c r="W33" s="324">
        <f t="shared" si="18"/>
        <v>0</v>
      </c>
      <c r="X33" s="5">
        <f t="shared" si="17"/>
        <v>150077</v>
      </c>
      <c r="Y33" s="324">
        <f t="shared" si="34"/>
        <v>0</v>
      </c>
      <c r="Z33" s="5">
        <f t="shared" si="17"/>
        <v>98262</v>
      </c>
      <c r="AA33" s="83">
        <f t="shared" si="19"/>
        <v>0</v>
      </c>
      <c r="AB33" s="5">
        <f t="shared" si="17"/>
        <v>256</v>
      </c>
      <c r="AC33" s="5">
        <f t="shared" si="17"/>
        <v>731</v>
      </c>
      <c r="AD33" s="83">
        <f t="shared" si="31"/>
        <v>0</v>
      </c>
      <c r="AE33" s="5">
        <f t="shared" si="17"/>
        <v>227.8</v>
      </c>
      <c r="AF33" s="83">
        <f>AE33-AE32</f>
        <v>0</v>
      </c>
      <c r="AG33" s="5">
        <f t="shared" si="17"/>
        <v>2181.5700000000002</v>
      </c>
      <c r="AH33" s="83">
        <f t="shared" si="21"/>
        <v>0</v>
      </c>
      <c r="AI33" s="83">
        <f t="shared" si="22"/>
        <v>0</v>
      </c>
      <c r="AJ33" s="326">
        <f t="shared" si="23"/>
        <v>0</v>
      </c>
      <c r="AK33" s="327">
        <f t="shared" si="32"/>
        <v>0</v>
      </c>
      <c r="AL33" s="327">
        <f t="shared" si="24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25"/>
        <v>44255</v>
      </c>
      <c r="AS33" s="424">
        <f t="shared" si="50"/>
        <v>0.9</v>
      </c>
      <c r="AT33" s="201">
        <f t="shared" si="50"/>
        <v>146</v>
      </c>
      <c r="AU33" s="425">
        <f t="shared" si="35"/>
        <v>1.1000000000000001</v>
      </c>
      <c r="AV33" s="201">
        <f t="shared" si="35"/>
        <v>110</v>
      </c>
      <c r="AW33" s="5">
        <v>2.9</v>
      </c>
      <c r="AX33" s="201">
        <f t="shared" ref="AX33" si="62">AX32</f>
        <v>130</v>
      </c>
      <c r="AY33" s="426">
        <f t="shared" si="7"/>
        <v>131.4</v>
      </c>
      <c r="AZ33" s="426">
        <f t="shared" si="26"/>
        <v>121.00000000000001</v>
      </c>
      <c r="BA33" s="426">
        <f t="shared" si="27"/>
        <v>377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>
      <c r="C34" s="412">
        <f>SUM(C6:C33)</f>
        <v>0</v>
      </c>
      <c r="D34" s="322">
        <f>SUM(D6:D33)</f>
        <v>0</v>
      </c>
      <c r="F34" s="414">
        <f>SUM(F6:F33)</f>
        <v>0</v>
      </c>
      <c r="H34" s="412">
        <f>SUM(H6:H33)</f>
        <v>0</v>
      </c>
      <c r="I34" s="412">
        <f>SUM(I6:I33)</f>
        <v>0</v>
      </c>
      <c r="L34" s="268">
        <f>SUM(L7:L33)</f>
        <v>2</v>
      </c>
      <c r="Q34" s="495">
        <f>SUM(Q5:Q33)</f>
        <v>0</v>
      </c>
      <c r="U34" s="409">
        <f>SUM(U6:U33)</f>
        <v>1</v>
      </c>
      <c r="X34" s="323"/>
      <c r="Y34" s="322" t="e">
        <f>SUM(#REF!,Y33,Y31,Y29,Y27,Y25,Y23,Y21,Y19,Y17,Y15,Y13,Y11,Y9,Y7,#REF!)</f>
        <v>#REF!</v>
      </c>
      <c r="AJ34" s="322">
        <f>SUM(AJ6:AJ33)</f>
        <v>0</v>
      </c>
      <c r="AK34" s="327" t="e">
        <f>SUM(Y34-L34)</f>
        <v>#REF!</v>
      </c>
      <c r="AL34" s="322">
        <f>SUM(AL6:AL33)</f>
        <v>-1</v>
      </c>
      <c r="AP34" s="17"/>
      <c r="AQ34" s="17"/>
      <c r="AR34" s="17"/>
      <c r="AS34" s="226"/>
      <c r="AT34" s="5"/>
      <c r="AU34" s="226"/>
      <c r="AV34" s="17"/>
      <c r="AW34" s="227"/>
      <c r="AX34" s="227"/>
      <c r="AY34" s="227"/>
      <c r="AZ34" s="17"/>
      <c r="BA34" s="17"/>
      <c r="BB34" s="17"/>
      <c r="BC34" s="17"/>
      <c r="BD34" s="17"/>
    </row>
    <row r="35" spans="1:59">
      <c r="C35" s="1">
        <f>+C34*1.66</f>
        <v>0</v>
      </c>
      <c r="E35" s="332">
        <f>SUM(E6:E33)</f>
        <v>7474.0783410138265</v>
      </c>
      <c r="F35" s="417">
        <f>SUM(F6:F33)</f>
        <v>0</v>
      </c>
      <c r="H35" s="157">
        <v>7500</v>
      </c>
      <c r="I35" s="413" t="e">
        <f>SUM('General information '!G34/WATER!I34)</f>
        <v>#DIV/0!</v>
      </c>
      <c r="L35" s="157"/>
      <c r="O35" s="492">
        <f>SUM(Q34+I34)</f>
        <v>0</v>
      </c>
      <c r="Z35" s="322" t="e">
        <f>SUM(Y34:AJ34)</f>
        <v>#REF!</v>
      </c>
      <c r="AK35" s="327">
        <f>SUM(Y35-L35)</f>
        <v>0</v>
      </c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</row>
    <row r="36" spans="1:59">
      <c r="B36" s="265">
        <f>9*27</f>
        <v>243</v>
      </c>
      <c r="D36" s="414">
        <f>SUM(D6:D33)</f>
        <v>0</v>
      </c>
      <c r="F36" s="415">
        <f>SUM(F6:F33)</f>
        <v>0</v>
      </c>
      <c r="G36" s="1">
        <f>SUM(I34)</f>
        <v>0</v>
      </c>
      <c r="H36" s="1">
        <f>SUM(H35+C35)</f>
        <v>7500</v>
      </c>
      <c r="K36" s="1" t="e">
        <f>SUM(H36/G36)</f>
        <v>#DIV/0!</v>
      </c>
      <c r="AJ36" s="322">
        <f>SUM(C35-AK35)</f>
        <v>0</v>
      </c>
      <c r="AM36" s="346" t="e">
        <f>SUM(AJ36/AO35)</f>
        <v>#DIV/0!</v>
      </c>
    </row>
    <row r="38" spans="1:59">
      <c r="AP38" s="17"/>
      <c r="AQ38" s="17"/>
      <c r="AR38" s="17"/>
      <c r="AS38" s="17"/>
      <c r="AT38" s="17"/>
      <c r="AU38" s="17"/>
    </row>
    <row r="39" spans="1:59">
      <c r="AP39" s="17"/>
      <c r="AQ39" s="17"/>
      <c r="AR39" s="17"/>
      <c r="AS39" s="17"/>
      <c r="AT39" s="17"/>
      <c r="AU39" s="17"/>
    </row>
    <row r="40" spans="1:59" ht="15.5">
      <c r="AP40" s="17"/>
      <c r="AQ40" s="17"/>
      <c r="AR40" s="18"/>
      <c r="AS40" s="18"/>
      <c r="AT40" s="17"/>
      <c r="AU40" s="17"/>
    </row>
    <row r="41" spans="1:59">
      <c r="AP41" s="17"/>
      <c r="AQ41" s="17"/>
      <c r="AR41" s="19"/>
      <c r="AS41" s="19"/>
      <c r="AT41" s="17"/>
      <c r="AU41" s="17"/>
    </row>
    <row r="42" spans="1:59">
      <c r="AP42" s="17"/>
      <c r="AQ42" s="17"/>
      <c r="AR42" s="19"/>
      <c r="AS42" s="19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7"/>
      <c r="AS72" s="17"/>
      <c r="AT72" s="17"/>
      <c r="AU72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8"/>
  <sheetViews>
    <sheetView zoomScaleNormal="100" workbookViewId="0">
      <pane ySplit="4" topLeftCell="A5" activePane="bottomLeft" state="frozen"/>
      <selection pane="bottomLeft" activeCell="G17" sqref="G17"/>
    </sheetView>
  </sheetViews>
  <sheetFormatPr defaultRowHeight="14.5"/>
  <cols>
    <col min="1" max="1" width="11.81640625" style="484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5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" thickTop="1">
      <c r="A5" s="483">
        <f>ELEC!C2</f>
        <v>44227</v>
      </c>
      <c r="B5" s="356">
        <v>19</v>
      </c>
      <c r="C5" s="356">
        <v>14</v>
      </c>
      <c r="D5" s="356">
        <f>'[1]General information '!D36</f>
        <v>18</v>
      </c>
      <c r="E5" s="356">
        <f>'[1]General information '!E36</f>
        <v>0.55000000000000004</v>
      </c>
      <c r="F5" s="568">
        <f>'[1]General information '!F36</f>
        <v>0</v>
      </c>
      <c r="G5" s="356">
        <f>'[1]General information '!G36</f>
        <v>0</v>
      </c>
      <c r="H5" s="356">
        <f>'[1]General information '!H36</f>
        <v>0</v>
      </c>
      <c r="I5" s="356">
        <f>'[1]General information '!I36</f>
        <v>0</v>
      </c>
      <c r="J5" s="356">
        <f>'[1]General information '!J36</f>
        <v>0</v>
      </c>
      <c r="K5" s="356">
        <f>'[1]General information '!K36</f>
        <v>0</v>
      </c>
      <c r="L5" s="356">
        <f>'[1]General information '!L36</f>
        <v>0</v>
      </c>
      <c r="M5" s="356">
        <f>'[1]General information '!M36</f>
        <v>0</v>
      </c>
      <c r="N5" s="356">
        <f>'[1]General information '!N36</f>
        <v>0</v>
      </c>
      <c r="O5" s="356">
        <f>'[1]General information '!O36</f>
        <v>0</v>
      </c>
    </row>
    <row r="6" spans="1:15">
      <c r="A6" s="483">
        <f>ELEC!C3</f>
        <v>44228</v>
      </c>
      <c r="B6" s="37">
        <v>21</v>
      </c>
      <c r="C6" s="37">
        <v>16</v>
      </c>
      <c r="D6" s="26">
        <f t="shared" ref="D6:D12" si="0">(C6+B6)/2</f>
        <v>18.5</v>
      </c>
      <c r="E6" s="340">
        <v>0.65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44229</v>
      </c>
      <c r="B7" s="37">
        <v>23</v>
      </c>
      <c r="C7" s="37">
        <v>17</v>
      </c>
      <c r="D7" s="26">
        <f t="shared" si="0"/>
        <v>20</v>
      </c>
      <c r="E7" s="340">
        <v>0.56000000000000005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44230</v>
      </c>
      <c r="B8" s="37">
        <v>20</v>
      </c>
      <c r="C8" s="37">
        <v>15</v>
      </c>
      <c r="D8" s="26">
        <f t="shared" si="0"/>
        <v>17.5</v>
      </c>
      <c r="E8" s="340">
        <v>0.69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44231</v>
      </c>
      <c r="B9" s="37">
        <v>20</v>
      </c>
      <c r="C9" s="37">
        <v>15</v>
      </c>
      <c r="D9" s="26">
        <f>(C9+B9)/2</f>
        <v>17.5</v>
      </c>
      <c r="E9" s="394">
        <v>0.73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44232</v>
      </c>
      <c r="B10" s="37">
        <v>20</v>
      </c>
      <c r="C10" s="37">
        <v>15</v>
      </c>
      <c r="D10" s="26">
        <f t="shared" si="0"/>
        <v>17.5</v>
      </c>
      <c r="E10" s="354">
        <v>0.6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44233</v>
      </c>
      <c r="B11" s="37">
        <v>19</v>
      </c>
      <c r="C11" s="37">
        <v>15</v>
      </c>
      <c r="D11" s="26">
        <f t="shared" si="0"/>
        <v>17</v>
      </c>
      <c r="E11" s="394">
        <v>0.7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44234</v>
      </c>
      <c r="B12" s="37">
        <v>21</v>
      </c>
      <c r="C12" s="37">
        <v>17</v>
      </c>
      <c r="D12" s="26">
        <f t="shared" si="0"/>
        <v>19</v>
      </c>
      <c r="E12" s="394">
        <v>0.63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44235</v>
      </c>
      <c r="B13" s="37">
        <v>23</v>
      </c>
      <c r="C13" s="37">
        <v>19</v>
      </c>
      <c r="D13" s="26">
        <f>(C13+B13)/2</f>
        <v>21</v>
      </c>
      <c r="E13" s="354">
        <v>0.55000000000000004</v>
      </c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44236</v>
      </c>
      <c r="B14" s="37">
        <v>21</v>
      </c>
      <c r="C14" s="37">
        <v>18</v>
      </c>
      <c r="D14" s="26">
        <f t="shared" ref="D14:D33" si="3">(C14+B14)/2</f>
        <v>19.5</v>
      </c>
      <c r="E14" s="340">
        <v>0.63</v>
      </c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44237</v>
      </c>
      <c r="B15" s="37">
        <v>19</v>
      </c>
      <c r="C15" s="37">
        <v>14</v>
      </c>
      <c r="D15" s="26">
        <f t="shared" si="3"/>
        <v>16.5</v>
      </c>
      <c r="E15" s="340">
        <v>0.61</v>
      </c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44238</v>
      </c>
      <c r="B16" s="37">
        <v>18</v>
      </c>
      <c r="C16" s="37">
        <v>13</v>
      </c>
      <c r="D16" s="26">
        <f t="shared" si="3"/>
        <v>15.5</v>
      </c>
      <c r="E16" s="340">
        <v>0.72</v>
      </c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44239</v>
      </c>
      <c r="B17" s="37">
        <v>18</v>
      </c>
      <c r="C17" s="37">
        <v>13</v>
      </c>
      <c r="D17" s="26">
        <f t="shared" si="3"/>
        <v>15.5</v>
      </c>
      <c r="E17" s="340">
        <v>0.51</v>
      </c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44240</v>
      </c>
      <c r="B18" s="37"/>
      <c r="C18" s="37"/>
      <c r="D18" s="26">
        <f t="shared" si="3"/>
        <v>0</v>
      </c>
      <c r="E18" s="427"/>
      <c r="F18" s="340"/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44241</v>
      </c>
      <c r="B19" s="37"/>
      <c r="C19" s="37"/>
      <c r="D19" s="26">
        <f t="shared" si="3"/>
        <v>0</v>
      </c>
      <c r="E19" s="340"/>
      <c r="F19" s="340"/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44242</v>
      </c>
      <c r="B20" s="37"/>
      <c r="C20" s="37"/>
      <c r="D20" s="26">
        <f t="shared" si="3"/>
        <v>0</v>
      </c>
      <c r="E20" s="340"/>
      <c r="F20" s="340"/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44243</v>
      </c>
      <c r="B21" s="37"/>
      <c r="C21" s="37"/>
      <c r="D21" s="26">
        <f>(C21+B21)/2</f>
        <v>0</v>
      </c>
      <c r="E21" s="340"/>
      <c r="F21" s="394"/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44244</v>
      </c>
      <c r="B22" s="37"/>
      <c r="C22" s="37"/>
      <c r="D22" s="26">
        <f t="shared" si="3"/>
        <v>0</v>
      </c>
      <c r="E22" s="340"/>
      <c r="F22" s="394"/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44245</v>
      </c>
      <c r="B23" s="37"/>
      <c r="C23" s="37"/>
      <c r="D23" s="26">
        <f>(C23+B23)/2</f>
        <v>0</v>
      </c>
      <c r="E23" s="340"/>
      <c r="F23" s="394"/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44246</v>
      </c>
      <c r="B24" s="37"/>
      <c r="C24" s="37"/>
      <c r="D24" s="26">
        <f t="shared" ref="D24" si="5">(C24+B24)/2</f>
        <v>0</v>
      </c>
      <c r="E24" s="394"/>
      <c r="F24" s="340"/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44247</v>
      </c>
      <c r="B25" s="37"/>
      <c r="C25" s="37"/>
      <c r="D25" s="26">
        <f t="shared" si="3"/>
        <v>0</v>
      </c>
      <c r="E25" s="340"/>
      <c r="F25" s="340"/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44248</v>
      </c>
      <c r="B26" s="37"/>
      <c r="C26" s="37"/>
      <c r="D26" s="26">
        <f>(C26+B26)/2</f>
        <v>0</v>
      </c>
      <c r="E26" s="340"/>
      <c r="F26" s="340"/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44249</v>
      </c>
      <c r="B27" s="37"/>
      <c r="C27" s="37"/>
      <c r="D27" s="26">
        <f t="shared" si="3"/>
        <v>0</v>
      </c>
      <c r="E27" s="340"/>
      <c r="F27" s="340"/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44250</v>
      </c>
      <c r="B28" s="37"/>
      <c r="C28" s="37"/>
      <c r="D28" s="26">
        <f t="shared" si="3"/>
        <v>0</v>
      </c>
      <c r="E28" s="394"/>
      <c r="F28" s="340"/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44251</v>
      </c>
      <c r="B29" s="37"/>
      <c r="C29" s="37"/>
      <c r="D29" s="26">
        <f t="shared" si="3"/>
        <v>0</v>
      </c>
      <c r="E29" s="340"/>
      <c r="F29" s="340"/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44252</v>
      </c>
      <c r="B30" s="37"/>
      <c r="C30" s="37"/>
      <c r="D30" s="26">
        <f t="shared" si="3"/>
        <v>0</v>
      </c>
      <c r="E30" s="340"/>
      <c r="F30" s="394"/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44253</v>
      </c>
      <c r="B31" s="37"/>
      <c r="C31" s="37"/>
      <c r="D31" s="3">
        <f t="shared" si="3"/>
        <v>0</v>
      </c>
      <c r="E31" s="341"/>
      <c r="F31" s="280"/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44254</v>
      </c>
      <c r="B32" s="37"/>
      <c r="C32" s="37"/>
      <c r="D32" s="279">
        <f>(C32+B32)/2</f>
        <v>0</v>
      </c>
      <c r="E32" s="341"/>
      <c r="F32" s="342"/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44255</v>
      </c>
      <c r="B33" s="37"/>
      <c r="C33" s="37"/>
      <c r="D33" s="26">
        <f t="shared" si="3"/>
        <v>0</v>
      </c>
      <c r="E33" s="340"/>
      <c r="F33" s="342"/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D34" s="261"/>
      <c r="F34" s="530">
        <f>AVERAGE(F6:F33)</f>
        <v>0</v>
      </c>
      <c r="G34" s="203">
        <f>SUM(G6:G33)</f>
        <v>0</v>
      </c>
    </row>
    <row r="35" spans="1:15">
      <c r="D35" s="261">
        <f>SUM(D6:D33)/'EDl log'!A32</f>
        <v>17.916666666666668</v>
      </c>
      <c r="F35" s="211"/>
    </row>
    <row r="38" spans="1:15">
      <c r="I38" s="411" t="s">
        <v>315</v>
      </c>
    </row>
  </sheetData>
  <mergeCells count="1">
    <mergeCell ref="A1:O2"/>
  </mergeCells>
  <hyperlinks>
    <hyperlink ref="I38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39"/>
  <sheetViews>
    <sheetView topLeftCell="A7" zoomScale="90" zoomScaleNormal="90" workbookViewId="0">
      <pane xSplit="1" topLeftCell="AE1" activePane="topRight" state="frozen"/>
      <selection pane="topRight" activeCell="AU18" sqref="AU18"/>
    </sheetView>
  </sheetViews>
  <sheetFormatPr defaultRowHeight="14.5"/>
  <cols>
    <col min="1" max="1" width="30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34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7.1796875" bestFit="1" customWidth="1"/>
    <col min="36" max="36" width="7" bestFit="1" customWidth="1"/>
    <col min="37" max="37" width="7.1796875" bestFit="1" customWidth="1"/>
    <col min="38" max="38" width="7" bestFit="1" customWidth="1"/>
    <col min="39" max="39" width="8.81640625" customWidth="1"/>
    <col min="40" max="40" width="4.7265625" style="501" bestFit="1" customWidth="1"/>
    <col min="41" max="41" width="8.269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5" customWidth="1"/>
    <col min="47" max="47" width="9" bestFit="1" customWidth="1"/>
    <col min="48" max="48" width="9.26953125" style="302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44227</v>
      </c>
      <c r="B5" s="532">
        <f>[2]tanks!B36</f>
        <v>236</v>
      </c>
      <c r="C5" s="532">
        <f>[2]tanks!C36</f>
        <v>5077.8064516129034</v>
      </c>
      <c r="D5" s="532">
        <f>[2]tanks!D36</f>
        <v>236</v>
      </c>
      <c r="E5" s="532">
        <f>[2]tanks!E36</f>
        <v>5077.8064516129034</v>
      </c>
      <c r="F5" s="532">
        <f>[2]tanks!F36</f>
        <v>236</v>
      </c>
      <c r="G5" s="532">
        <f>[2]tanks!G36</f>
        <v>5077.8064516129034</v>
      </c>
      <c r="H5" s="532">
        <f>[2]tanks!H36</f>
        <v>236</v>
      </c>
      <c r="I5" s="532">
        <f>[2]tanks!I36</f>
        <v>5077.8064516129034</v>
      </c>
      <c r="J5" s="532">
        <f>[2]tanks!J36</f>
        <v>236</v>
      </c>
      <c r="K5" s="532">
        <f>[2]tanks!K36</f>
        <v>5077.8064516129034</v>
      </c>
      <c r="L5" s="532">
        <f>[2]tanks!L36</f>
        <v>236</v>
      </c>
      <c r="M5" s="532">
        <f>[2]tanks!M36</f>
        <v>5077.8064516129034</v>
      </c>
      <c r="N5" s="532">
        <f>[2]tanks!N36</f>
        <v>236</v>
      </c>
      <c r="O5" s="532">
        <f>[2]tanks!O36</f>
        <v>5077.8064516129034</v>
      </c>
      <c r="P5" s="532">
        <f>[2]tanks!P36</f>
        <v>236</v>
      </c>
      <c r="Q5" s="532">
        <f>[2]tanks!Q36</f>
        <v>5077.8064516129034</v>
      </c>
      <c r="R5" s="532">
        <f>[2]tanks!R36</f>
        <v>236</v>
      </c>
      <c r="S5" s="532">
        <f>[2]tanks!S36</f>
        <v>5077.8064516129034</v>
      </c>
      <c r="T5" s="532">
        <f>[2]tanks!T36</f>
        <v>236</v>
      </c>
      <c r="U5" s="532">
        <f>[2]tanks!U36</f>
        <v>5077.8064516129034</v>
      </c>
      <c r="V5" s="532">
        <f>[2]tanks!V36</f>
        <v>236</v>
      </c>
      <c r="W5" s="532">
        <f>[2]tanks!W36</f>
        <v>5077.8064516129034</v>
      </c>
      <c r="X5" s="505">
        <f>[2]tanks!X36</f>
        <v>0.761290322580645</v>
      </c>
      <c r="Y5" s="532">
        <f>[2]tanks!Y36</f>
        <v>55855.870967741925</v>
      </c>
      <c r="Z5" s="532">
        <f>[2]tanks!Z36</f>
        <v>242</v>
      </c>
      <c r="AA5" s="532">
        <f>[2]tanks!AA36</f>
        <v>2420</v>
      </c>
      <c r="AB5" s="532">
        <f>[2]tanks!AB36</f>
        <v>242</v>
      </c>
      <c r="AC5" s="532">
        <f>[2]tanks!AC36</f>
        <v>2420</v>
      </c>
      <c r="AD5" s="532">
        <f>[2]tanks!AD36</f>
        <v>242</v>
      </c>
      <c r="AE5" s="532">
        <f>[2]tanks!AE36</f>
        <v>2420</v>
      </c>
      <c r="AF5" s="532">
        <f>[2]tanks!AF36</f>
        <v>242</v>
      </c>
      <c r="AG5" s="532">
        <f>[2]tanks!AG36</f>
        <v>2420</v>
      </c>
      <c r="AH5" s="532">
        <f>[2]tanks!AH36</f>
        <v>242</v>
      </c>
      <c r="AI5" s="532">
        <f>[2]tanks!AI36</f>
        <v>2420</v>
      </c>
      <c r="AJ5" s="532">
        <f>[2]tanks!AJ36</f>
        <v>242</v>
      </c>
      <c r="AK5" s="532">
        <f>[2]tanks!AK36</f>
        <v>2420</v>
      </c>
      <c r="AL5" s="532">
        <f>[2]tanks!AL36</f>
        <v>242</v>
      </c>
      <c r="AM5" s="532">
        <f>[2]tanks!AM36</f>
        <v>2420</v>
      </c>
      <c r="AN5" s="532">
        <f>[2]tanks!AN36</f>
        <v>0.86428571428571432</v>
      </c>
      <c r="AO5" s="532">
        <f>[2]tanks!AO36</f>
        <v>16940</v>
      </c>
      <c r="AP5" s="532">
        <f>[1]tanks!AP36</f>
        <v>0</v>
      </c>
      <c r="AQ5" s="532">
        <f>[2]tanks!AQ36</f>
        <v>0.78300388262602905</v>
      </c>
      <c r="AR5" s="532">
        <f>[2]tanks!AR36</f>
        <v>72795.870967741925</v>
      </c>
      <c r="AS5" s="532">
        <f>[2]tanks!AS36</f>
        <v>-920.03225806451519</v>
      </c>
      <c r="AT5" s="532">
        <f>[2]tanks!AT36</f>
        <v>0</v>
      </c>
      <c r="AU5" s="532">
        <f>[2]tanks!AU36</f>
        <v>0</v>
      </c>
      <c r="AV5" s="532">
        <f>[2]tanks!AV36</f>
        <v>0.67</v>
      </c>
      <c r="AW5" s="532">
        <f>[2]tanks!AW36</f>
        <v>-267</v>
      </c>
      <c r="AX5" s="532">
        <f>[2]tanks!AX36</f>
        <v>-653.03225806451519</v>
      </c>
      <c r="AY5" s="532">
        <f>[2]tanks!AY36</f>
        <v>-920.03225806451519</v>
      </c>
      <c r="AZ5" s="532">
        <f>[2]tanks!AZ36</f>
        <v>0</v>
      </c>
      <c r="BA5" s="532">
        <f>[2]tanks!BA36</f>
        <v>18.5</v>
      </c>
      <c r="BB5" s="505">
        <f>[2]tanks!BB36</f>
        <v>0.56000000000000005</v>
      </c>
      <c r="BC5" s="532">
        <f>[1]tanks!BC36</f>
        <v>0</v>
      </c>
      <c r="BD5" s="532">
        <f>[1]tanks!BD36</f>
        <v>19222</v>
      </c>
      <c r="BE5" s="532" t="e">
        <f>[1]tanks!BE36</f>
        <v>#REF!</v>
      </c>
      <c r="BF5" s="532">
        <f>[1]tanks!BF36</f>
        <v>0</v>
      </c>
      <c r="BG5" s="532" t="e">
        <f>[1]tanks!BG36</f>
        <v>#REF!</v>
      </c>
      <c r="BH5" s="532">
        <f>[4]tanks!BH36</f>
        <v>0</v>
      </c>
      <c r="BI5" s="203"/>
    </row>
    <row r="6" spans="1:61">
      <c r="A6" s="444">
        <f>ELEC!C3</f>
        <v>44228</v>
      </c>
      <c r="B6">
        <f>'B5'!B5</f>
        <v>232</v>
      </c>
      <c r="C6" s="203">
        <f>B6*$B$4</f>
        <v>4991.7419354838712</v>
      </c>
      <c r="D6">
        <f>SUM(B6)</f>
        <v>232</v>
      </c>
      <c r="E6" s="203">
        <f>D6*$B$4</f>
        <v>4991.7419354838712</v>
      </c>
      <c r="F6">
        <f>SUM(D6)</f>
        <v>232</v>
      </c>
      <c r="G6" s="203">
        <f t="shared" ref="G6:G33" si="1">F6*$B$4</f>
        <v>4991.7419354838712</v>
      </c>
      <c r="H6" s="203">
        <f>SUM(F6)</f>
        <v>232</v>
      </c>
      <c r="I6" s="203">
        <f t="shared" ref="I6:I33" si="2">H6*$B$4</f>
        <v>4991.7419354838712</v>
      </c>
      <c r="J6" s="203">
        <f>SUM(H6)</f>
        <v>232</v>
      </c>
      <c r="K6" s="203">
        <f t="shared" ref="K6:K33" si="3">J6*$B$4</f>
        <v>4991.7419354838712</v>
      </c>
      <c r="L6" s="203">
        <f>SUM(J6)</f>
        <v>232</v>
      </c>
      <c r="M6" s="203">
        <f t="shared" ref="M6:M33" si="4">L6*$B$4</f>
        <v>4991.7419354838712</v>
      </c>
      <c r="N6" s="203">
        <f>SUM(L6)</f>
        <v>232</v>
      </c>
      <c r="O6" s="203">
        <f t="shared" ref="O6:O33" si="5">N6*$B$4</f>
        <v>4991.7419354838712</v>
      </c>
      <c r="P6" s="203">
        <f>SUM(N6)</f>
        <v>232</v>
      </c>
      <c r="Q6" s="203">
        <f t="shared" ref="Q6:Q33" si="6">P6*$B$4</f>
        <v>4991.7419354838712</v>
      </c>
      <c r="R6" s="203">
        <f>SUM(P6)</f>
        <v>232</v>
      </c>
      <c r="S6" s="203">
        <f t="shared" ref="S6:S33" si="7">R6*$B$4</f>
        <v>4991.7419354838712</v>
      </c>
      <c r="T6" s="203">
        <f>SUM(R6)</f>
        <v>232</v>
      </c>
      <c r="U6" s="203">
        <f t="shared" ref="U6:U33" si="8">T6*$B$4</f>
        <v>4991.7419354838712</v>
      </c>
      <c r="V6" s="203">
        <f>SUM(T6)</f>
        <v>232</v>
      </c>
      <c r="W6" s="203">
        <f t="shared" ref="W6:W33" si="9">V6*$B$4</f>
        <v>4991.7419354838712</v>
      </c>
      <c r="X6" s="35">
        <f t="shared" ref="X6:X29" si="10">SUM(Y6/73370)</f>
        <v>0.74838709677419357</v>
      </c>
      <c r="Y6" s="36">
        <f>SUM(C6+E6+G6+I6+K6+M6+O6+Q6+S6+U6+W6)</f>
        <v>54909.161290322583</v>
      </c>
      <c r="Z6" s="203">
        <f>'B5'!C5</f>
        <v>238</v>
      </c>
      <c r="AA6" s="203">
        <f>SUM(Z6*$Z$4)</f>
        <v>2380</v>
      </c>
      <c r="AB6" s="203">
        <f>SUM(Z6)</f>
        <v>238</v>
      </c>
      <c r="AC6" s="203">
        <f>SUM(AB6*$Z$4)</f>
        <v>2380</v>
      </c>
      <c r="AD6" s="203">
        <f>SUM(AB6)</f>
        <v>238</v>
      </c>
      <c r="AE6" s="203">
        <f t="shared" ref="AE6:AE33" si="11">SUM(AD6*$Z$4)</f>
        <v>2380</v>
      </c>
      <c r="AF6" s="203">
        <f>SUM(AD6)</f>
        <v>238</v>
      </c>
      <c r="AG6" s="203">
        <f t="shared" ref="AG6:AG33" si="12">SUM(AF6*$Z$4)</f>
        <v>2380</v>
      </c>
      <c r="AH6" s="203">
        <f>SUM(AF6)</f>
        <v>238</v>
      </c>
      <c r="AI6" s="203">
        <f t="shared" ref="AI6:AI33" si="13">SUM(AH6*$Z$4)</f>
        <v>2380</v>
      </c>
      <c r="AJ6" s="203">
        <f>SUM(AH6)</f>
        <v>238</v>
      </c>
      <c r="AK6" s="203">
        <f t="shared" ref="AK6:AK33" si="14">SUM(AJ6*$Z$4)</f>
        <v>2380</v>
      </c>
      <c r="AL6" s="203">
        <f>SUM(AJ6)</f>
        <v>238</v>
      </c>
      <c r="AM6" s="203">
        <f t="shared" ref="AM6:AM33" si="15">SUM(AL6*$Z$4)</f>
        <v>2380</v>
      </c>
      <c r="AN6" s="35">
        <f t="shared" ref="AN6:AN29" si="16">SUM(AO6/19600)</f>
        <v>0.85</v>
      </c>
      <c r="AO6" s="36">
        <f t="shared" ref="AO6:AO29" si="17">SUM(AA6+AC6+AE6+AG6+AI6+AK6+AM6)</f>
        <v>16660</v>
      </c>
      <c r="AQ6" s="223">
        <f>SUM(AR6/92970)</f>
        <v>0.76980919963776029</v>
      </c>
      <c r="AR6" s="38">
        <f>SUM(AO6+Y6)</f>
        <v>71569.161290322576</v>
      </c>
      <c r="AS6" s="197">
        <f>SUM(AR6-AR5-AT6)</f>
        <v>-1226.8096774193486</v>
      </c>
      <c r="AT6" s="355">
        <v>0.1</v>
      </c>
      <c r="AU6" s="436">
        <v>0.1</v>
      </c>
      <c r="AV6" s="518">
        <f>IF(AT6&gt;0,AU6,AV5)</f>
        <v>0.1</v>
      </c>
      <c r="AW6" s="290">
        <f>-SUM('B5'!AI5)</f>
        <v>-467.60000000000582</v>
      </c>
      <c r="AX6" s="290">
        <f>-SUM(AW6-AS6)</f>
        <v>-759.20967741934282</v>
      </c>
      <c r="AY6" s="37">
        <f>SUM(AX6+AW6)</f>
        <v>-1226.8096774193486</v>
      </c>
      <c r="AZ6" s="100">
        <f>ELEC!A3</f>
        <v>0</v>
      </c>
      <c r="BA6" s="118">
        <f>'General information '!D6</f>
        <v>18.5</v>
      </c>
      <c r="BB6" s="280">
        <f>SUM('General information '!E6)</f>
        <v>0.65</v>
      </c>
      <c r="BC6" s="3">
        <f>IF(AR3&gt;=AR6,0,1)</f>
        <v>0</v>
      </c>
      <c r="BD6" s="102">
        <v>19222</v>
      </c>
      <c r="BE6" s="14">
        <f>(305/1185)*ELEC!Q4</f>
        <v>580.40084388118237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44229</v>
      </c>
      <c r="B7">
        <f>'B5'!B6</f>
        <v>229</v>
      </c>
      <c r="C7" s="203">
        <f t="shared" ref="C7:E33" si="18">B7*$B$4</f>
        <v>4927.1935483870966</v>
      </c>
      <c r="D7">
        <f t="shared" ref="D7:D29" si="19">SUM(B7)</f>
        <v>229</v>
      </c>
      <c r="E7" s="203">
        <f t="shared" si="18"/>
        <v>4927.1935483870966</v>
      </c>
      <c r="F7">
        <f t="shared" ref="F7:F29" si="20">SUM(D7)</f>
        <v>229</v>
      </c>
      <c r="G7" s="203">
        <f t="shared" si="1"/>
        <v>4927.1935483870966</v>
      </c>
      <c r="H7" s="203">
        <f t="shared" ref="H7:H29" si="21">SUM(F7)</f>
        <v>229</v>
      </c>
      <c r="I7" s="203">
        <f t="shared" si="2"/>
        <v>4927.1935483870966</v>
      </c>
      <c r="J7" s="203">
        <f t="shared" ref="J7:J29" si="22">SUM(H7)</f>
        <v>229</v>
      </c>
      <c r="K7" s="203">
        <f t="shared" si="3"/>
        <v>4927.1935483870966</v>
      </c>
      <c r="L7" s="203">
        <f t="shared" ref="L7:L29" si="23">SUM(J7)</f>
        <v>229</v>
      </c>
      <c r="M7" s="203">
        <f t="shared" si="4"/>
        <v>4927.1935483870966</v>
      </c>
      <c r="N7" s="203">
        <f t="shared" ref="N7:N29" si="24">SUM(L7)</f>
        <v>229</v>
      </c>
      <c r="O7" s="203">
        <f t="shared" si="5"/>
        <v>4927.1935483870966</v>
      </c>
      <c r="P7" s="203">
        <f t="shared" ref="P7:P29" si="25">SUM(N7)</f>
        <v>229</v>
      </c>
      <c r="Q7" s="203">
        <f t="shared" si="6"/>
        <v>4927.1935483870966</v>
      </c>
      <c r="R7" s="203">
        <f t="shared" ref="R7:R29" si="26">SUM(P7)</f>
        <v>229</v>
      </c>
      <c r="S7" s="203">
        <f t="shared" si="7"/>
        <v>4927.1935483870966</v>
      </c>
      <c r="T7" s="203">
        <f t="shared" ref="T7:T29" si="27">SUM(R7)</f>
        <v>229</v>
      </c>
      <c r="U7" s="203">
        <f t="shared" si="8"/>
        <v>4927.1935483870966</v>
      </c>
      <c r="V7" s="203">
        <f t="shared" ref="V7:V29" si="28">SUM(T7)</f>
        <v>229</v>
      </c>
      <c r="W7" s="203">
        <f t="shared" si="9"/>
        <v>4927.1935483870966</v>
      </c>
      <c r="X7" s="35">
        <f t="shared" si="10"/>
        <v>0.738709677419355</v>
      </c>
      <c r="Y7" s="36">
        <f t="shared" ref="Y7:Y29" si="29">SUM(C7+E7+G7+I7+K7+M7+O7+Q7+S7+U7+W7)</f>
        <v>54199.129032258075</v>
      </c>
      <c r="Z7" s="203">
        <f>'B5'!C6</f>
        <v>235</v>
      </c>
      <c r="AA7" s="203">
        <f t="shared" ref="AA7:AC33" si="30">SUM(Z7*$Z$4)</f>
        <v>2350</v>
      </c>
      <c r="AB7" s="203">
        <f t="shared" ref="AB7:AB29" si="31">SUM(Z7)</f>
        <v>235</v>
      </c>
      <c r="AC7" s="203">
        <f t="shared" si="30"/>
        <v>2350</v>
      </c>
      <c r="AD7" s="203">
        <f t="shared" ref="AD7:AD29" si="32">SUM(AB7)</f>
        <v>235</v>
      </c>
      <c r="AE7" s="203">
        <f t="shared" si="11"/>
        <v>2350</v>
      </c>
      <c r="AF7" s="203">
        <f t="shared" ref="AF7:AF29" si="33">SUM(AD7)</f>
        <v>235</v>
      </c>
      <c r="AG7" s="203">
        <f t="shared" si="12"/>
        <v>2350</v>
      </c>
      <c r="AH7" s="203">
        <f t="shared" ref="AH7:AH29" si="34">SUM(AF7)</f>
        <v>235</v>
      </c>
      <c r="AI7" s="203">
        <f t="shared" si="13"/>
        <v>2350</v>
      </c>
      <c r="AJ7" s="203">
        <f t="shared" ref="AJ7:AJ29" si="35">SUM(AH7)</f>
        <v>235</v>
      </c>
      <c r="AK7" s="203">
        <f t="shared" si="14"/>
        <v>2350</v>
      </c>
      <c r="AL7" s="203">
        <f t="shared" ref="AL7:AL29" si="36">SUM(AJ7)</f>
        <v>235</v>
      </c>
      <c r="AM7" s="203">
        <f t="shared" si="15"/>
        <v>2350</v>
      </c>
      <c r="AN7" s="35">
        <f t="shared" si="16"/>
        <v>0.8392857142857143</v>
      </c>
      <c r="AO7" s="36">
        <f t="shared" si="17"/>
        <v>16450</v>
      </c>
      <c r="AQ7" s="223">
        <f t="shared" ref="AQ7:AQ33" si="37">SUM(AR7/92970)</f>
        <v>0.75991318739655889</v>
      </c>
      <c r="AR7" s="38">
        <f>SUM(AO7+Y7)</f>
        <v>70649.129032258075</v>
      </c>
      <c r="AS7" s="197">
        <f t="shared" ref="AS7:AS33" si="38">SUM(AR7-AR6-AT7)</f>
        <v>-920.03225806450064</v>
      </c>
      <c r="AT7" s="271"/>
      <c r="AU7" s="491"/>
      <c r="AV7" s="518">
        <f>IF(AT7&gt;0,AU7,AV6)</f>
        <v>0.1</v>
      </c>
      <c r="AW7" s="290">
        <f>-SUM('B5'!AI6)</f>
        <v>-234</v>
      </c>
      <c r="AX7" s="290">
        <f t="shared" ref="AX7:AX33" si="39">-SUM(AW7-AS7)</f>
        <v>-686.03225806450064</v>
      </c>
      <c r="AY7" s="37">
        <f t="shared" ref="AY7:AY33" si="40">SUM(AX7+AW7)</f>
        <v>-920.03225806450064</v>
      </c>
      <c r="AZ7" s="100">
        <f>ELEC!A4</f>
        <v>0</v>
      </c>
      <c r="BA7" s="118">
        <f>'General information '!D7</f>
        <v>20</v>
      </c>
      <c r="BB7" s="394">
        <f>SUM('General information '!E7)</f>
        <v>0.56000000000000005</v>
      </c>
      <c r="BC7" s="3">
        <v>0</v>
      </c>
      <c r="BD7" s="102">
        <v>19222</v>
      </c>
      <c r="BE7" s="14">
        <f>(305/1185)*ELEC!Q5</f>
        <v>751.81856540138324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44230</v>
      </c>
      <c r="B8">
        <f>'B5'!B7</f>
        <v>225</v>
      </c>
      <c r="C8" s="203">
        <f t="shared" si="18"/>
        <v>4841.1290322580644</v>
      </c>
      <c r="D8">
        <f t="shared" si="19"/>
        <v>225</v>
      </c>
      <c r="E8" s="203">
        <f t="shared" si="18"/>
        <v>4841.1290322580644</v>
      </c>
      <c r="F8">
        <f t="shared" si="20"/>
        <v>225</v>
      </c>
      <c r="G8" s="203">
        <f t="shared" si="1"/>
        <v>4841.1290322580644</v>
      </c>
      <c r="H8" s="203">
        <f t="shared" si="21"/>
        <v>225</v>
      </c>
      <c r="I8" s="203">
        <f t="shared" si="2"/>
        <v>4841.1290322580644</v>
      </c>
      <c r="J8" s="203">
        <f t="shared" si="22"/>
        <v>225</v>
      </c>
      <c r="K8" s="203">
        <f t="shared" si="3"/>
        <v>4841.1290322580644</v>
      </c>
      <c r="L8" s="203">
        <f t="shared" si="23"/>
        <v>225</v>
      </c>
      <c r="M8" s="203">
        <f t="shared" si="4"/>
        <v>4841.1290322580644</v>
      </c>
      <c r="N8" s="203">
        <f t="shared" si="24"/>
        <v>225</v>
      </c>
      <c r="O8" s="203">
        <f t="shared" si="5"/>
        <v>4841.1290322580644</v>
      </c>
      <c r="P8" s="203">
        <f t="shared" si="25"/>
        <v>225</v>
      </c>
      <c r="Q8" s="203">
        <f t="shared" si="6"/>
        <v>4841.1290322580644</v>
      </c>
      <c r="R8" s="203">
        <f t="shared" si="26"/>
        <v>225</v>
      </c>
      <c r="S8" s="203">
        <f t="shared" si="7"/>
        <v>4841.1290322580644</v>
      </c>
      <c r="T8" s="203">
        <f t="shared" si="27"/>
        <v>225</v>
      </c>
      <c r="U8" s="203">
        <f t="shared" si="8"/>
        <v>4841.1290322580644</v>
      </c>
      <c r="V8" s="203">
        <f t="shared" si="28"/>
        <v>225</v>
      </c>
      <c r="W8" s="203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3">
        <f>'B5'!C7</f>
        <v>231</v>
      </c>
      <c r="AA8" s="203">
        <f t="shared" si="30"/>
        <v>2310</v>
      </c>
      <c r="AB8" s="203">
        <f t="shared" si="31"/>
        <v>231</v>
      </c>
      <c r="AC8" s="203">
        <f t="shared" si="30"/>
        <v>2310</v>
      </c>
      <c r="AD8" s="203">
        <f t="shared" si="32"/>
        <v>231</v>
      </c>
      <c r="AE8" s="203">
        <f t="shared" si="11"/>
        <v>2310</v>
      </c>
      <c r="AF8" s="203">
        <f t="shared" si="33"/>
        <v>231</v>
      </c>
      <c r="AG8" s="203">
        <f t="shared" si="12"/>
        <v>2310</v>
      </c>
      <c r="AH8" s="203">
        <f t="shared" si="34"/>
        <v>231</v>
      </c>
      <c r="AI8" s="203">
        <f t="shared" si="13"/>
        <v>2310</v>
      </c>
      <c r="AJ8" s="203">
        <f t="shared" si="35"/>
        <v>231</v>
      </c>
      <c r="AK8" s="203">
        <f t="shared" si="14"/>
        <v>2310</v>
      </c>
      <c r="AL8" s="203">
        <f t="shared" si="36"/>
        <v>231</v>
      </c>
      <c r="AM8" s="203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3">
        <f t="shared" si="37"/>
        <v>0.7467185044082898</v>
      </c>
      <c r="AR8" s="38">
        <f t="shared" ref="AR8:AR33" si="41">SUM(AO8+Y8)</f>
        <v>69422.419354838697</v>
      </c>
      <c r="AS8" s="197">
        <f t="shared" si="38"/>
        <v>-1226.7096774193778</v>
      </c>
      <c r="AT8" s="355"/>
      <c r="AU8" s="436"/>
      <c r="AV8" s="518">
        <f t="shared" ref="AV8:AV31" si="42">IF(AT8&gt;0,AU8,AV7)</f>
        <v>0.1</v>
      </c>
      <c r="AW8" s="290">
        <f>-SUM('B5'!AI7)</f>
        <v>-289</v>
      </c>
      <c r="AX8" s="290">
        <f t="shared" si="39"/>
        <v>-937.70967741937784</v>
      </c>
      <c r="AY8" s="37">
        <f t="shared" si="40"/>
        <v>-1226.7096774193778</v>
      </c>
      <c r="AZ8" s="100">
        <f>ELEC!A5</f>
        <v>0</v>
      </c>
      <c r="BA8" s="118">
        <f>'General information '!D8</f>
        <v>17.5</v>
      </c>
      <c r="BB8" s="394">
        <f>SUM('General information '!E8)</f>
        <v>0.69</v>
      </c>
      <c r="BC8" s="3">
        <f t="shared" ref="BC8:BC33" si="43">IF(AR7&gt;=AR8,0,1)</f>
        <v>0</v>
      </c>
      <c r="BD8" s="102">
        <v>19222</v>
      </c>
      <c r="BE8" s="14">
        <f>(305/1185)*ELEC!Q6</f>
        <v>675.37552742610796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44231</v>
      </c>
      <c r="B9">
        <f>'B5'!B8</f>
        <v>221</v>
      </c>
      <c r="C9" s="203">
        <f t="shared" si="18"/>
        <v>4755.0645161290322</v>
      </c>
      <c r="D9">
        <f t="shared" si="19"/>
        <v>221</v>
      </c>
      <c r="E9" s="203">
        <f t="shared" si="18"/>
        <v>4755.0645161290322</v>
      </c>
      <c r="F9">
        <f t="shared" si="20"/>
        <v>221</v>
      </c>
      <c r="G9" s="203">
        <f t="shared" si="1"/>
        <v>4755.0645161290322</v>
      </c>
      <c r="H9" s="203">
        <f t="shared" si="21"/>
        <v>221</v>
      </c>
      <c r="I9" s="203">
        <f t="shared" si="2"/>
        <v>4755.0645161290322</v>
      </c>
      <c r="J9" s="203">
        <f t="shared" si="22"/>
        <v>221</v>
      </c>
      <c r="K9" s="203">
        <f t="shared" si="3"/>
        <v>4755.0645161290322</v>
      </c>
      <c r="L9" s="203">
        <f t="shared" si="23"/>
        <v>221</v>
      </c>
      <c r="M9" s="203">
        <f t="shared" si="4"/>
        <v>4755.0645161290322</v>
      </c>
      <c r="N9" s="203">
        <f t="shared" si="24"/>
        <v>221</v>
      </c>
      <c r="O9" s="203">
        <f t="shared" si="5"/>
        <v>4755.0645161290322</v>
      </c>
      <c r="P9" s="203">
        <f t="shared" si="25"/>
        <v>221</v>
      </c>
      <c r="Q9" s="203">
        <f t="shared" si="6"/>
        <v>4755.0645161290322</v>
      </c>
      <c r="R9" s="203">
        <f t="shared" si="26"/>
        <v>221</v>
      </c>
      <c r="S9" s="203">
        <f t="shared" si="7"/>
        <v>4755.0645161290322</v>
      </c>
      <c r="T9" s="203">
        <f t="shared" si="27"/>
        <v>221</v>
      </c>
      <c r="U9" s="203">
        <f t="shared" si="8"/>
        <v>4755.0645161290322</v>
      </c>
      <c r="V9" s="203">
        <f t="shared" si="28"/>
        <v>221</v>
      </c>
      <c r="W9" s="203">
        <f t="shared" si="9"/>
        <v>4755.0645161290322</v>
      </c>
      <c r="X9" s="35">
        <f t="shared" si="10"/>
        <v>0.71290322580645138</v>
      </c>
      <c r="Y9" s="36">
        <f t="shared" si="29"/>
        <v>52305.709677419341</v>
      </c>
      <c r="Z9" s="203">
        <f>'B5'!C8</f>
        <v>227</v>
      </c>
      <c r="AA9" s="203">
        <f t="shared" si="30"/>
        <v>2270</v>
      </c>
      <c r="AB9" s="203">
        <f t="shared" si="31"/>
        <v>227</v>
      </c>
      <c r="AC9" s="203">
        <f t="shared" si="30"/>
        <v>2270</v>
      </c>
      <c r="AD9" s="203">
        <f t="shared" si="32"/>
        <v>227</v>
      </c>
      <c r="AE9" s="203">
        <f t="shared" si="11"/>
        <v>2270</v>
      </c>
      <c r="AF9" s="203">
        <f t="shared" si="33"/>
        <v>227</v>
      </c>
      <c r="AG9" s="203">
        <f t="shared" si="12"/>
        <v>2270</v>
      </c>
      <c r="AH9" s="203">
        <f t="shared" si="34"/>
        <v>227</v>
      </c>
      <c r="AI9" s="203">
        <f t="shared" si="13"/>
        <v>2270</v>
      </c>
      <c r="AJ9" s="203">
        <f t="shared" si="35"/>
        <v>227</v>
      </c>
      <c r="AK9" s="203">
        <f t="shared" si="14"/>
        <v>2270</v>
      </c>
      <c r="AL9" s="203">
        <f t="shared" si="36"/>
        <v>227</v>
      </c>
      <c r="AM9" s="203">
        <f t="shared" si="15"/>
        <v>2270</v>
      </c>
      <c r="AN9" s="35">
        <f t="shared" si="16"/>
        <v>0.81071428571428572</v>
      </c>
      <c r="AO9" s="36">
        <f>SUM(AA9+AC9+AE9+AG9+AI9+AK9+AM9)</f>
        <v>15890</v>
      </c>
      <c r="AQ9" s="223">
        <f t="shared" si="37"/>
        <v>0.73352382142002082</v>
      </c>
      <c r="AR9" s="38">
        <f t="shared" si="41"/>
        <v>68195.709677419334</v>
      </c>
      <c r="AS9" s="197">
        <f t="shared" si="38"/>
        <v>-1226.7096774193633</v>
      </c>
      <c r="AT9" s="355"/>
      <c r="AU9" s="436"/>
      <c r="AV9" s="518">
        <f t="shared" si="42"/>
        <v>0.1</v>
      </c>
      <c r="AW9" s="290">
        <f>-SUM('B5'!AI8)</f>
        <v>-314</v>
      </c>
      <c r="AX9" s="290">
        <f>-SUM(AW9-AS9)</f>
        <v>-912.70967741936329</v>
      </c>
      <c r="AY9" s="37">
        <f t="shared" si="40"/>
        <v>-1226.7096774193633</v>
      </c>
      <c r="AZ9" s="100">
        <f>ELEC!A6</f>
        <v>0</v>
      </c>
      <c r="BA9" s="118">
        <f>'General information '!D9</f>
        <v>17.5</v>
      </c>
      <c r="BB9" s="394">
        <f>SUM('General information '!E9)</f>
        <v>0.73</v>
      </c>
      <c r="BC9" s="3">
        <f t="shared" si="43"/>
        <v>0</v>
      </c>
      <c r="BD9" s="102">
        <v>19222</v>
      </c>
      <c r="BE9" s="14">
        <f>(305/1185)*ELEC!Q7</f>
        <v>505.75949367092358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44232</v>
      </c>
      <c r="B10">
        <f>'B5'!B9</f>
        <v>247</v>
      </c>
      <c r="C10" s="203">
        <f t="shared" si="18"/>
        <v>5314.4838709677415</v>
      </c>
      <c r="D10">
        <f t="shared" si="19"/>
        <v>247</v>
      </c>
      <c r="E10" s="203">
        <f t="shared" si="18"/>
        <v>5314.4838709677415</v>
      </c>
      <c r="F10">
        <f t="shared" si="20"/>
        <v>247</v>
      </c>
      <c r="G10" s="203">
        <f t="shared" si="1"/>
        <v>5314.4838709677415</v>
      </c>
      <c r="H10" s="203">
        <f t="shared" si="21"/>
        <v>247</v>
      </c>
      <c r="I10" s="203">
        <f t="shared" si="2"/>
        <v>5314.4838709677415</v>
      </c>
      <c r="J10" s="203">
        <f t="shared" si="22"/>
        <v>247</v>
      </c>
      <c r="K10" s="203">
        <f t="shared" si="3"/>
        <v>5314.4838709677415</v>
      </c>
      <c r="L10" s="203">
        <f t="shared" si="23"/>
        <v>247</v>
      </c>
      <c r="M10" s="203">
        <f t="shared" si="4"/>
        <v>5314.4838709677415</v>
      </c>
      <c r="N10" s="203">
        <f t="shared" si="24"/>
        <v>247</v>
      </c>
      <c r="O10" s="203">
        <f t="shared" si="5"/>
        <v>5314.4838709677415</v>
      </c>
      <c r="P10" s="203">
        <f t="shared" si="25"/>
        <v>247</v>
      </c>
      <c r="Q10" s="203">
        <f t="shared" si="6"/>
        <v>5314.4838709677415</v>
      </c>
      <c r="R10" s="203">
        <f t="shared" si="26"/>
        <v>247</v>
      </c>
      <c r="S10" s="203">
        <f t="shared" si="7"/>
        <v>5314.4838709677415</v>
      </c>
      <c r="T10" s="203">
        <f t="shared" si="27"/>
        <v>247</v>
      </c>
      <c r="U10" s="203">
        <f t="shared" si="8"/>
        <v>5314.4838709677415</v>
      </c>
      <c r="V10" s="203">
        <f t="shared" si="28"/>
        <v>247</v>
      </c>
      <c r="W10" s="203">
        <f t="shared" si="9"/>
        <v>5314.4838709677415</v>
      </c>
      <c r="X10" s="35">
        <f t="shared" si="10"/>
        <v>0.79677419354838708</v>
      </c>
      <c r="Y10" s="36">
        <f t="shared" si="29"/>
        <v>58459.322580645159</v>
      </c>
      <c r="Z10" s="203">
        <f>'B5'!C9</f>
        <v>252</v>
      </c>
      <c r="AA10" s="203">
        <f t="shared" si="30"/>
        <v>2520</v>
      </c>
      <c r="AB10" s="203">
        <f t="shared" si="31"/>
        <v>252</v>
      </c>
      <c r="AC10" s="203">
        <f t="shared" si="30"/>
        <v>2520</v>
      </c>
      <c r="AD10" s="203">
        <f t="shared" si="32"/>
        <v>252</v>
      </c>
      <c r="AE10" s="203">
        <f t="shared" si="11"/>
        <v>2520</v>
      </c>
      <c r="AF10" s="203">
        <f t="shared" si="33"/>
        <v>252</v>
      </c>
      <c r="AG10" s="203">
        <f t="shared" si="12"/>
        <v>2520</v>
      </c>
      <c r="AH10" s="203">
        <f t="shared" si="34"/>
        <v>252</v>
      </c>
      <c r="AI10" s="203">
        <f t="shared" si="13"/>
        <v>2520</v>
      </c>
      <c r="AJ10" s="203">
        <f t="shared" si="35"/>
        <v>252</v>
      </c>
      <c r="AK10" s="203">
        <f t="shared" si="14"/>
        <v>2520</v>
      </c>
      <c r="AL10" s="203">
        <f t="shared" si="36"/>
        <v>252</v>
      </c>
      <c r="AM10" s="203">
        <f t="shared" si="15"/>
        <v>2520</v>
      </c>
      <c r="AN10" s="35">
        <f t="shared" si="16"/>
        <v>0.9</v>
      </c>
      <c r="AO10" s="36">
        <f t="shared" si="17"/>
        <v>17640</v>
      </c>
      <c r="AQ10" s="223">
        <f t="shared" si="37"/>
        <v>0.81853632979074054</v>
      </c>
      <c r="AR10" s="38">
        <f t="shared" si="41"/>
        <v>76099.322580645152</v>
      </c>
      <c r="AS10" s="197">
        <f t="shared" si="38"/>
        <v>53.612903225817718</v>
      </c>
      <c r="AT10" s="355">
        <v>7850</v>
      </c>
      <c r="AU10" s="436">
        <v>0.67400000000000004</v>
      </c>
      <c r="AV10" s="518">
        <f>IF(AT10&gt;0,AU10,AV9)</f>
        <v>0.67400000000000004</v>
      </c>
      <c r="AW10" s="290">
        <f>-SUM('B5'!AI9)</f>
        <v>-391</v>
      </c>
      <c r="AX10" s="290">
        <f>-SUM(AW10-AS10)</f>
        <v>444.61290322581772</v>
      </c>
      <c r="AY10" s="37">
        <f t="shared" si="40"/>
        <v>53.612903225817718</v>
      </c>
      <c r="AZ10" s="100">
        <f>ELEC!A7</f>
        <v>0</v>
      </c>
      <c r="BA10" s="118">
        <f>'General information '!D10</f>
        <v>17.5</v>
      </c>
      <c r="BB10" s="394">
        <f>SUM('General information '!E10)</f>
        <v>0.6</v>
      </c>
      <c r="BC10" s="3">
        <f t="shared" si="43"/>
        <v>1</v>
      </c>
      <c r="BD10" s="102">
        <v>19222</v>
      </c>
      <c r="BE10" s="14">
        <f>(305/1185)*ELEC!Q8</f>
        <v>436.00843881843809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44233</v>
      </c>
      <c r="B11">
        <f>'B5'!B10</f>
        <v>244</v>
      </c>
      <c r="C11" s="203">
        <f t="shared" si="18"/>
        <v>5249.9354838709678</v>
      </c>
      <c r="D11">
        <f>SUM(B11)</f>
        <v>244</v>
      </c>
      <c r="E11" s="203">
        <f t="shared" si="18"/>
        <v>5249.9354838709678</v>
      </c>
      <c r="F11">
        <f>SUM(D11)</f>
        <v>244</v>
      </c>
      <c r="G11" s="203">
        <f t="shared" si="1"/>
        <v>5249.9354838709678</v>
      </c>
      <c r="H11" s="203">
        <f>SUM(F11)</f>
        <v>244</v>
      </c>
      <c r="I11" s="203">
        <f t="shared" si="2"/>
        <v>5249.9354838709678</v>
      </c>
      <c r="J11" s="203">
        <f>SUM(H11)</f>
        <v>244</v>
      </c>
      <c r="K11" s="203">
        <f t="shared" si="3"/>
        <v>5249.9354838709678</v>
      </c>
      <c r="L11" s="203">
        <f>SUM(J11)</f>
        <v>244</v>
      </c>
      <c r="M11" s="203">
        <f t="shared" si="4"/>
        <v>5249.9354838709678</v>
      </c>
      <c r="N11" s="203">
        <f>SUM(L11)</f>
        <v>244</v>
      </c>
      <c r="O11" s="203">
        <f t="shared" si="5"/>
        <v>5249.9354838709678</v>
      </c>
      <c r="P11" s="203">
        <f>SUM(N11)</f>
        <v>244</v>
      </c>
      <c r="Q11" s="203">
        <f t="shared" si="6"/>
        <v>5249.9354838709678</v>
      </c>
      <c r="R11" s="203">
        <f>SUM(P11)</f>
        <v>244</v>
      </c>
      <c r="S11" s="203">
        <f t="shared" si="7"/>
        <v>5249.9354838709678</v>
      </c>
      <c r="T11" s="203">
        <f>SUM(R11)</f>
        <v>244</v>
      </c>
      <c r="U11" s="203">
        <f t="shared" si="8"/>
        <v>5249.9354838709678</v>
      </c>
      <c r="V11" s="203">
        <f>SUM(T11)</f>
        <v>244</v>
      </c>
      <c r="W11" s="203">
        <f t="shared" si="9"/>
        <v>5249.9354838709678</v>
      </c>
      <c r="X11" s="35">
        <f>SUM(Y11/73370)</f>
        <v>0.78709677419354862</v>
      </c>
      <c r="Y11" s="36">
        <f>SUM(C11+E11+G11+I11+K11+M11+O11+Q11+S11+U11+W11)</f>
        <v>57749.290322580659</v>
      </c>
      <c r="Z11" s="203">
        <f>'B5'!C10</f>
        <v>250</v>
      </c>
      <c r="AA11" s="203">
        <f t="shared" si="30"/>
        <v>2500</v>
      </c>
      <c r="AB11" s="203">
        <f>SUM(Z11)</f>
        <v>250</v>
      </c>
      <c r="AC11" s="203">
        <f t="shared" si="30"/>
        <v>2500</v>
      </c>
      <c r="AD11" s="203">
        <f>SUM(AB11)</f>
        <v>250</v>
      </c>
      <c r="AE11" s="203">
        <f t="shared" si="11"/>
        <v>2500</v>
      </c>
      <c r="AF11" s="203">
        <f>SUM(AD11)</f>
        <v>250</v>
      </c>
      <c r="AG11" s="203">
        <f t="shared" si="12"/>
        <v>2500</v>
      </c>
      <c r="AH11" s="203">
        <f>SUM(AF11)</f>
        <v>250</v>
      </c>
      <c r="AI11" s="203">
        <f t="shared" si="13"/>
        <v>2500</v>
      </c>
      <c r="AJ11" s="203">
        <f>SUM(AH11)</f>
        <v>250</v>
      </c>
      <c r="AK11" s="203">
        <f t="shared" si="14"/>
        <v>2500</v>
      </c>
      <c r="AL11" s="203">
        <f>SUM(AJ11)</f>
        <v>250</v>
      </c>
      <c r="AM11" s="203">
        <f t="shared" si="15"/>
        <v>2500</v>
      </c>
      <c r="AN11" s="35">
        <f>SUM(AO11/19600)</f>
        <v>0.8928571428571429</v>
      </c>
      <c r="AO11" s="36">
        <f t="shared" si="17"/>
        <v>17500</v>
      </c>
      <c r="AP11" s="566"/>
      <c r="AQ11" s="223">
        <f t="shared" si="37"/>
        <v>0.80939324860256712</v>
      </c>
      <c r="AR11" s="38">
        <f t="shared" si="41"/>
        <v>75249.290322580666</v>
      </c>
      <c r="AS11" s="197">
        <f>SUM(AR11-AR10-AT11)</f>
        <v>-850.03225806448609</v>
      </c>
      <c r="AT11" s="355"/>
      <c r="AU11" s="436"/>
      <c r="AV11" s="518">
        <f>IF(AT11&gt;0,AU11,AV10)</f>
        <v>0.67400000000000004</v>
      </c>
      <c r="AW11" s="290">
        <f>-SUM('B5'!AI10)</f>
        <v>-311</v>
      </c>
      <c r="AX11" s="290">
        <f>-SUM(AW11-AS11)</f>
        <v>-539.03225806448609</v>
      </c>
      <c r="AY11" s="37">
        <f t="shared" si="40"/>
        <v>-850.03225806448609</v>
      </c>
      <c r="AZ11" s="100">
        <f>ELEC!A8</f>
        <v>0</v>
      </c>
      <c r="BA11" s="118">
        <f>'General information '!D11</f>
        <v>17</v>
      </c>
      <c r="BB11" s="394">
        <f>SUM('General information '!E11)</f>
        <v>0.7</v>
      </c>
      <c r="BC11" s="3">
        <f t="shared" si="43"/>
        <v>0</v>
      </c>
      <c r="BD11" s="102">
        <v>19222</v>
      </c>
      <c r="BE11" s="14">
        <f>(305/1185)*ELEC!Q9</f>
        <v>526.09282700465394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44234</v>
      </c>
      <c r="B12">
        <f>'B5'!B11</f>
        <v>240</v>
      </c>
      <c r="C12" s="203">
        <f t="shared" si="18"/>
        <v>5163.8709677419356</v>
      </c>
      <c r="D12">
        <f t="shared" si="19"/>
        <v>240</v>
      </c>
      <c r="E12" s="203">
        <f t="shared" si="18"/>
        <v>5163.8709677419356</v>
      </c>
      <c r="F12">
        <f t="shared" si="20"/>
        <v>240</v>
      </c>
      <c r="G12" s="203">
        <f t="shared" si="1"/>
        <v>5163.8709677419356</v>
      </c>
      <c r="H12" s="203">
        <f t="shared" si="21"/>
        <v>240</v>
      </c>
      <c r="I12" s="203">
        <f t="shared" si="2"/>
        <v>5163.8709677419356</v>
      </c>
      <c r="J12" s="203">
        <f t="shared" si="22"/>
        <v>240</v>
      </c>
      <c r="K12" s="203">
        <f t="shared" si="3"/>
        <v>5163.8709677419356</v>
      </c>
      <c r="L12" s="203">
        <f t="shared" si="23"/>
        <v>240</v>
      </c>
      <c r="M12" s="203">
        <f t="shared" si="4"/>
        <v>5163.8709677419356</v>
      </c>
      <c r="N12" s="203">
        <f t="shared" si="24"/>
        <v>240</v>
      </c>
      <c r="O12" s="203">
        <f t="shared" si="5"/>
        <v>5163.8709677419356</v>
      </c>
      <c r="P12" s="203">
        <f t="shared" si="25"/>
        <v>240</v>
      </c>
      <c r="Q12" s="203">
        <f t="shared" si="6"/>
        <v>5163.8709677419356</v>
      </c>
      <c r="R12" s="203">
        <f t="shared" si="26"/>
        <v>240</v>
      </c>
      <c r="S12" s="203">
        <f t="shared" si="7"/>
        <v>5163.8709677419356</v>
      </c>
      <c r="T12" s="203">
        <f t="shared" si="27"/>
        <v>240</v>
      </c>
      <c r="U12" s="203">
        <f t="shared" si="8"/>
        <v>5163.8709677419356</v>
      </c>
      <c r="V12" s="203">
        <f t="shared" si="28"/>
        <v>240</v>
      </c>
      <c r="W12" s="203">
        <f t="shared" si="9"/>
        <v>5163.8709677419356</v>
      </c>
      <c r="X12" s="35">
        <f t="shared" si="10"/>
        <v>0.77419354838709697</v>
      </c>
      <c r="Y12" s="36">
        <f t="shared" si="29"/>
        <v>56802.580645161303</v>
      </c>
      <c r="Z12" s="203">
        <f>'B5'!C11</f>
        <v>246</v>
      </c>
      <c r="AA12" s="203">
        <f t="shared" si="30"/>
        <v>2460</v>
      </c>
      <c r="AB12" s="203">
        <f t="shared" si="31"/>
        <v>246</v>
      </c>
      <c r="AC12" s="203">
        <f t="shared" si="30"/>
        <v>2460</v>
      </c>
      <c r="AD12" s="203">
        <f t="shared" si="32"/>
        <v>246</v>
      </c>
      <c r="AE12" s="203">
        <f t="shared" si="11"/>
        <v>2460</v>
      </c>
      <c r="AF12" s="203">
        <f t="shared" si="33"/>
        <v>246</v>
      </c>
      <c r="AG12" s="203">
        <f t="shared" si="12"/>
        <v>2460</v>
      </c>
      <c r="AH12" s="203">
        <f t="shared" si="34"/>
        <v>246</v>
      </c>
      <c r="AI12" s="203">
        <f t="shared" si="13"/>
        <v>2460</v>
      </c>
      <c r="AJ12" s="203">
        <f t="shared" si="35"/>
        <v>246</v>
      </c>
      <c r="AK12" s="203">
        <f t="shared" si="14"/>
        <v>2460</v>
      </c>
      <c r="AL12" s="203">
        <f t="shared" si="36"/>
        <v>246</v>
      </c>
      <c r="AM12" s="203">
        <f t="shared" si="15"/>
        <v>2460</v>
      </c>
      <c r="AN12" s="35">
        <f t="shared" si="16"/>
        <v>0.87857142857142856</v>
      </c>
      <c r="AO12" s="36">
        <f t="shared" si="17"/>
        <v>17220</v>
      </c>
      <c r="AP12" s="566"/>
      <c r="AQ12" s="223">
        <f t="shared" si="37"/>
        <v>0.79619856561429814</v>
      </c>
      <c r="AR12" s="38">
        <f t="shared" si="41"/>
        <v>74022.580645161303</v>
      </c>
      <c r="AS12" s="197">
        <f>SUM(AR12-AR11-AT12)</f>
        <v>-1226.7096774193633</v>
      </c>
      <c r="AT12" s="271"/>
      <c r="AU12" s="478"/>
      <c r="AV12" s="518">
        <f t="shared" si="42"/>
        <v>0.67400000000000004</v>
      </c>
      <c r="AW12" s="290">
        <f>-SUM('B5'!AI11)</f>
        <v>-279</v>
      </c>
      <c r="AX12" s="290">
        <f t="shared" si="39"/>
        <v>-947.70967741936329</v>
      </c>
      <c r="AY12" s="37">
        <f t="shared" si="40"/>
        <v>-1226.7096774193633</v>
      </c>
      <c r="AZ12" s="100">
        <f>ELEC!A9</f>
        <v>0</v>
      </c>
      <c r="BA12" s="118">
        <f>'General information '!D12</f>
        <v>19</v>
      </c>
      <c r="BB12" s="394">
        <f>SUM('General information '!E12)</f>
        <v>0.63</v>
      </c>
      <c r="BC12" s="3">
        <f t="shared" si="43"/>
        <v>0</v>
      </c>
      <c r="BD12" s="102">
        <v>19222</v>
      </c>
      <c r="BE12" s="14">
        <f>(305/1185)*ELEC!Q10</f>
        <v>526.3502109700147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44235</v>
      </c>
      <c r="B13">
        <f>'B5'!B12</f>
        <v>237</v>
      </c>
      <c r="C13" s="203">
        <f t="shared" si="18"/>
        <v>5099.322580645161</v>
      </c>
      <c r="D13">
        <f t="shared" si="19"/>
        <v>237</v>
      </c>
      <c r="E13" s="203">
        <f t="shared" si="18"/>
        <v>5099.322580645161</v>
      </c>
      <c r="F13">
        <f t="shared" si="20"/>
        <v>237</v>
      </c>
      <c r="G13" s="203">
        <f t="shared" si="1"/>
        <v>5099.322580645161</v>
      </c>
      <c r="H13" s="203">
        <f t="shared" si="21"/>
        <v>237</v>
      </c>
      <c r="I13" s="203">
        <f t="shared" si="2"/>
        <v>5099.322580645161</v>
      </c>
      <c r="J13" s="203">
        <f t="shared" si="22"/>
        <v>237</v>
      </c>
      <c r="K13" s="203">
        <f t="shared" si="3"/>
        <v>5099.322580645161</v>
      </c>
      <c r="L13" s="203">
        <f t="shared" si="23"/>
        <v>237</v>
      </c>
      <c r="M13" s="203">
        <f t="shared" si="4"/>
        <v>5099.322580645161</v>
      </c>
      <c r="N13" s="203">
        <f t="shared" si="24"/>
        <v>237</v>
      </c>
      <c r="O13" s="203">
        <f t="shared" si="5"/>
        <v>5099.322580645161</v>
      </c>
      <c r="P13" s="203">
        <f t="shared" si="25"/>
        <v>237</v>
      </c>
      <c r="Q13" s="203">
        <f t="shared" si="6"/>
        <v>5099.322580645161</v>
      </c>
      <c r="R13" s="203">
        <f t="shared" si="26"/>
        <v>237</v>
      </c>
      <c r="S13" s="203">
        <f t="shared" si="7"/>
        <v>5099.322580645161</v>
      </c>
      <c r="T13" s="203">
        <f t="shared" si="27"/>
        <v>237</v>
      </c>
      <c r="U13" s="203">
        <f t="shared" si="8"/>
        <v>5099.322580645161</v>
      </c>
      <c r="V13" s="203">
        <f t="shared" si="28"/>
        <v>237</v>
      </c>
      <c r="W13" s="203">
        <f t="shared" si="9"/>
        <v>5099.322580645161</v>
      </c>
      <c r="X13" s="35">
        <f t="shared" si="10"/>
        <v>0.76451612903225785</v>
      </c>
      <c r="Y13" s="36">
        <f t="shared" si="29"/>
        <v>56092.548387096758</v>
      </c>
      <c r="Z13" s="203">
        <f>'B5'!C12</f>
        <v>243</v>
      </c>
      <c r="AA13" s="203">
        <f t="shared" si="30"/>
        <v>2430</v>
      </c>
      <c r="AB13" s="203">
        <f t="shared" si="31"/>
        <v>243</v>
      </c>
      <c r="AC13" s="203">
        <f t="shared" si="30"/>
        <v>2430</v>
      </c>
      <c r="AD13" s="203">
        <f t="shared" si="32"/>
        <v>243</v>
      </c>
      <c r="AE13" s="203">
        <f t="shared" si="11"/>
        <v>2430</v>
      </c>
      <c r="AF13" s="203">
        <f t="shared" si="33"/>
        <v>243</v>
      </c>
      <c r="AG13" s="203">
        <f t="shared" si="12"/>
        <v>2430</v>
      </c>
      <c r="AH13" s="203">
        <f t="shared" si="34"/>
        <v>243</v>
      </c>
      <c r="AI13" s="203">
        <f t="shared" si="13"/>
        <v>2430</v>
      </c>
      <c r="AJ13" s="203">
        <f t="shared" si="35"/>
        <v>243</v>
      </c>
      <c r="AK13" s="203">
        <f t="shared" si="14"/>
        <v>2430</v>
      </c>
      <c r="AL13" s="203">
        <f t="shared" si="36"/>
        <v>243</v>
      </c>
      <c r="AM13" s="203">
        <f t="shared" si="15"/>
        <v>2430</v>
      </c>
      <c r="AN13" s="35">
        <f t="shared" si="16"/>
        <v>0.86785714285714288</v>
      </c>
      <c r="AO13" s="36">
        <f t="shared" si="17"/>
        <v>17010</v>
      </c>
      <c r="AP13" s="566"/>
      <c r="AQ13" s="223">
        <f t="shared" si="37"/>
        <v>0.78630255337309629</v>
      </c>
      <c r="AR13" s="38">
        <f t="shared" si="41"/>
        <v>73102.548387096758</v>
      </c>
      <c r="AS13" s="197">
        <f t="shared" si="38"/>
        <v>-920.03225806454429</v>
      </c>
      <c r="AT13" s="271"/>
      <c r="AU13" s="436"/>
      <c r="AV13" s="518">
        <f t="shared" si="42"/>
        <v>0.67400000000000004</v>
      </c>
      <c r="AW13" s="290">
        <f>-SUM('B5'!AI12)</f>
        <v>-333.39999999999418</v>
      </c>
      <c r="AX13" s="290">
        <f t="shared" si="39"/>
        <v>-586.63225806455011</v>
      </c>
      <c r="AY13" s="37">
        <f t="shared" si="40"/>
        <v>-920.03225806454429</v>
      </c>
      <c r="AZ13" s="100">
        <f>ELEC!A10</f>
        <v>0</v>
      </c>
      <c r="BA13" s="118">
        <f>'General information '!D13</f>
        <v>21</v>
      </c>
      <c r="BB13" s="394">
        <f>SUM('General information '!E13)</f>
        <v>0.55000000000000004</v>
      </c>
      <c r="BC13" s="3">
        <f t="shared" si="43"/>
        <v>0</v>
      </c>
      <c r="BD13" s="102">
        <v>19222</v>
      </c>
      <c r="BE13" s="14">
        <f>(305/1185)*ELEC!Q11</f>
        <v>884.37130801726721</v>
      </c>
      <c r="BF13" s="14"/>
      <c r="BG13" s="14" t="e">
        <f>#REF!-BE13</f>
        <v>#REF!</v>
      </c>
      <c r="BH13" s="11"/>
    </row>
    <row r="14" spans="1:61">
      <c r="A14" s="444">
        <f>ELEC!C11</f>
        <v>44236</v>
      </c>
      <c r="B14">
        <f>'B5'!B13</f>
        <v>233</v>
      </c>
      <c r="C14" s="203">
        <f t="shared" si="18"/>
        <v>5013.2580645161288</v>
      </c>
      <c r="D14">
        <f t="shared" si="19"/>
        <v>233</v>
      </c>
      <c r="E14" s="203">
        <f t="shared" si="18"/>
        <v>5013.2580645161288</v>
      </c>
      <c r="F14">
        <f t="shared" si="20"/>
        <v>233</v>
      </c>
      <c r="G14" s="203">
        <f t="shared" si="1"/>
        <v>5013.2580645161288</v>
      </c>
      <c r="H14" s="203">
        <f t="shared" si="21"/>
        <v>233</v>
      </c>
      <c r="I14" s="203">
        <f t="shared" si="2"/>
        <v>5013.2580645161288</v>
      </c>
      <c r="J14" s="203">
        <f t="shared" si="22"/>
        <v>233</v>
      </c>
      <c r="K14" s="203">
        <f t="shared" si="3"/>
        <v>5013.2580645161288</v>
      </c>
      <c r="L14" s="203">
        <f t="shared" si="23"/>
        <v>233</v>
      </c>
      <c r="M14" s="203">
        <f t="shared" si="4"/>
        <v>5013.2580645161288</v>
      </c>
      <c r="N14" s="203">
        <f t="shared" si="24"/>
        <v>233</v>
      </c>
      <c r="O14" s="203">
        <f t="shared" si="5"/>
        <v>5013.2580645161288</v>
      </c>
      <c r="P14" s="203">
        <f t="shared" si="25"/>
        <v>233</v>
      </c>
      <c r="Q14" s="203">
        <f t="shared" si="6"/>
        <v>5013.2580645161288</v>
      </c>
      <c r="R14" s="203">
        <f t="shared" si="26"/>
        <v>233</v>
      </c>
      <c r="S14" s="203">
        <f t="shared" si="7"/>
        <v>5013.2580645161288</v>
      </c>
      <c r="T14" s="203">
        <f t="shared" si="27"/>
        <v>233</v>
      </c>
      <c r="U14" s="203">
        <f t="shared" si="8"/>
        <v>5013.2580645161288</v>
      </c>
      <c r="V14" s="203">
        <f t="shared" si="28"/>
        <v>233</v>
      </c>
      <c r="W14" s="203">
        <f t="shared" si="9"/>
        <v>5013.2580645161288</v>
      </c>
      <c r="X14" s="35">
        <f t="shared" si="10"/>
        <v>0.75161290322580643</v>
      </c>
      <c r="Y14" s="36">
        <f t="shared" si="29"/>
        <v>55145.838709677417</v>
      </c>
      <c r="Z14" s="203">
        <f>'B5'!C13</f>
        <v>239</v>
      </c>
      <c r="AA14" s="203">
        <f t="shared" si="30"/>
        <v>2390</v>
      </c>
      <c r="AB14" s="203">
        <f t="shared" si="31"/>
        <v>239</v>
      </c>
      <c r="AC14" s="203">
        <f t="shared" si="30"/>
        <v>2390</v>
      </c>
      <c r="AD14" s="203">
        <f t="shared" si="32"/>
        <v>239</v>
      </c>
      <c r="AE14" s="203">
        <f t="shared" si="11"/>
        <v>2390</v>
      </c>
      <c r="AF14" s="203">
        <f t="shared" si="33"/>
        <v>239</v>
      </c>
      <c r="AG14" s="203">
        <f t="shared" si="12"/>
        <v>2390</v>
      </c>
      <c r="AH14" s="203">
        <f t="shared" si="34"/>
        <v>239</v>
      </c>
      <c r="AI14" s="203">
        <f t="shared" si="13"/>
        <v>2390</v>
      </c>
      <c r="AJ14" s="203">
        <f t="shared" si="35"/>
        <v>239</v>
      </c>
      <c r="AK14" s="203">
        <f t="shared" si="14"/>
        <v>2390</v>
      </c>
      <c r="AL14" s="203">
        <f t="shared" si="36"/>
        <v>239</v>
      </c>
      <c r="AM14" s="203">
        <f t="shared" si="15"/>
        <v>2390</v>
      </c>
      <c r="AN14" s="35">
        <f t="shared" si="16"/>
        <v>0.85357142857142854</v>
      </c>
      <c r="AO14" s="36">
        <f t="shared" si="17"/>
        <v>16730</v>
      </c>
      <c r="AQ14" s="223">
        <f t="shared" si="37"/>
        <v>0.77310787038482764</v>
      </c>
      <c r="AR14" s="38">
        <f t="shared" si="41"/>
        <v>71875.838709677424</v>
      </c>
      <c r="AS14" s="197">
        <f>SUM(AR14-AR13-AT14)</f>
        <v>-1226.7096774193342</v>
      </c>
      <c r="AT14" s="271"/>
      <c r="AU14" s="478"/>
      <c r="AV14" s="518">
        <f t="shared" si="42"/>
        <v>0.67400000000000004</v>
      </c>
      <c r="AW14" s="290">
        <f>-SUM('B5'!AI13)</f>
        <v>-236</v>
      </c>
      <c r="AX14" s="290">
        <f t="shared" si="39"/>
        <v>-990.70967741933418</v>
      </c>
      <c r="AY14" s="37">
        <f t="shared" si="40"/>
        <v>-1226.7096774193342</v>
      </c>
      <c r="AZ14" s="100">
        <f>ELEC!A11</f>
        <v>0</v>
      </c>
      <c r="BA14" s="118">
        <f>'General information '!D14</f>
        <v>19.5</v>
      </c>
      <c r="BB14" s="394">
        <f>SUM('General information '!E14)</f>
        <v>0.63</v>
      </c>
      <c r="BC14" s="3">
        <f t="shared" si="43"/>
        <v>0</v>
      </c>
      <c r="BD14" s="102">
        <v>19222</v>
      </c>
      <c r="BE14" s="14">
        <f>(305/1185)*ELEC!Q12</f>
        <v>1143.2995780588396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44237</v>
      </c>
      <c r="B15">
        <f>'B5'!B14</f>
        <v>227</v>
      </c>
      <c r="C15" s="203">
        <f t="shared" si="18"/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17"/>
        <v>16310</v>
      </c>
      <c r="AQ15" s="223">
        <f t="shared" si="37"/>
        <v>0.7533158459024244</v>
      </c>
      <c r="AR15" s="38">
        <f t="shared" si="41"/>
        <v>70035.774193548394</v>
      </c>
      <c r="AS15" s="197">
        <f>SUM(AR15-AR14-AT15)</f>
        <v>-1840.0645161290304</v>
      </c>
      <c r="AT15" s="271"/>
      <c r="AU15" s="436"/>
      <c r="AV15" s="518">
        <f>IF(AT15&gt;0,AU15,AV14)</f>
        <v>0.67400000000000004</v>
      </c>
      <c r="AW15" s="290">
        <f>-SUM('B5'!AI14)</f>
        <v>-236</v>
      </c>
      <c r="AX15" s="290">
        <f>-SUM(AW15-AS15)</f>
        <v>-1604.0645161290304</v>
      </c>
      <c r="AY15" s="37">
        <f t="shared" si="40"/>
        <v>-1840.0645161290304</v>
      </c>
      <c r="AZ15" s="100">
        <f>ELEC!A12</f>
        <v>0</v>
      </c>
      <c r="BA15" s="118">
        <f>'General information '!D15</f>
        <v>16.5</v>
      </c>
      <c r="BB15" s="394">
        <f>SUM('General information '!E15)</f>
        <v>0.61</v>
      </c>
      <c r="BC15" s="3">
        <f t="shared" si="43"/>
        <v>0</v>
      </c>
      <c r="BD15" s="102">
        <v>19222</v>
      </c>
      <c r="BE15" s="14">
        <f>(305/1185)*ELEC!Q13</f>
        <v>1029.2784810126059</v>
      </c>
      <c r="BF15" s="14"/>
      <c r="BG15" s="14" t="e">
        <f>#REF!-BE15</f>
        <v>#REF!</v>
      </c>
      <c r="BH15" s="11"/>
    </row>
    <row r="16" spans="1:61">
      <c r="A16" s="444">
        <f>ELEC!C13</f>
        <v>44238</v>
      </c>
      <c r="B16">
        <f>'B5'!B15</f>
        <v>222</v>
      </c>
      <c r="C16" s="203">
        <f t="shared" si="18"/>
        <v>4776.5806451612898</v>
      </c>
      <c r="D16">
        <f t="shared" si="19"/>
        <v>222</v>
      </c>
      <c r="E16" s="203">
        <f t="shared" si="18"/>
        <v>4776.5806451612898</v>
      </c>
      <c r="F16">
        <f t="shared" si="20"/>
        <v>222</v>
      </c>
      <c r="G16" s="203">
        <f t="shared" si="1"/>
        <v>4776.5806451612898</v>
      </c>
      <c r="H16" s="203">
        <f t="shared" si="21"/>
        <v>222</v>
      </c>
      <c r="I16" s="203">
        <f t="shared" si="2"/>
        <v>4776.5806451612898</v>
      </c>
      <c r="J16" s="203">
        <f t="shared" si="22"/>
        <v>222</v>
      </c>
      <c r="K16" s="203">
        <f t="shared" si="3"/>
        <v>4776.5806451612898</v>
      </c>
      <c r="L16" s="203">
        <f t="shared" si="23"/>
        <v>222</v>
      </c>
      <c r="M16" s="203">
        <f t="shared" si="4"/>
        <v>4776.5806451612898</v>
      </c>
      <c r="N16" s="203">
        <f t="shared" si="24"/>
        <v>222</v>
      </c>
      <c r="O16" s="203">
        <f t="shared" si="5"/>
        <v>4776.5806451612898</v>
      </c>
      <c r="P16" s="203">
        <f t="shared" si="25"/>
        <v>222</v>
      </c>
      <c r="Q16" s="203">
        <f t="shared" si="6"/>
        <v>4776.5806451612898</v>
      </c>
      <c r="R16" s="203">
        <f t="shared" si="26"/>
        <v>222</v>
      </c>
      <c r="S16" s="203">
        <f t="shared" si="7"/>
        <v>4776.5806451612898</v>
      </c>
      <c r="T16" s="203">
        <f t="shared" si="27"/>
        <v>222</v>
      </c>
      <c r="U16" s="203">
        <f t="shared" si="8"/>
        <v>4776.5806451612898</v>
      </c>
      <c r="V16" s="203">
        <f t="shared" si="28"/>
        <v>222</v>
      </c>
      <c r="W16" s="203">
        <f t="shared" si="9"/>
        <v>4776.5806451612898</v>
      </c>
      <c r="X16" s="35">
        <f t="shared" si="10"/>
        <v>0.71612903225806424</v>
      </c>
      <c r="Y16" s="36">
        <f t="shared" si="29"/>
        <v>52542.387096774175</v>
      </c>
      <c r="Z16" s="203">
        <f>'B5'!C15</f>
        <v>228</v>
      </c>
      <c r="AA16" s="203">
        <f t="shared" si="30"/>
        <v>2280</v>
      </c>
      <c r="AB16" s="203">
        <f t="shared" si="31"/>
        <v>228</v>
      </c>
      <c r="AC16" s="203">
        <f t="shared" si="30"/>
        <v>2280</v>
      </c>
      <c r="AD16" s="203">
        <f t="shared" si="32"/>
        <v>228</v>
      </c>
      <c r="AE16" s="203">
        <f t="shared" si="11"/>
        <v>2280</v>
      </c>
      <c r="AF16" s="203">
        <f t="shared" si="33"/>
        <v>228</v>
      </c>
      <c r="AG16" s="203">
        <f t="shared" si="12"/>
        <v>2280</v>
      </c>
      <c r="AH16" s="203">
        <f t="shared" si="34"/>
        <v>228</v>
      </c>
      <c r="AI16" s="203">
        <f t="shared" si="13"/>
        <v>2280</v>
      </c>
      <c r="AJ16" s="203">
        <f t="shared" si="35"/>
        <v>228</v>
      </c>
      <c r="AK16" s="203">
        <f t="shared" si="14"/>
        <v>2280</v>
      </c>
      <c r="AL16" s="203">
        <f t="shared" si="36"/>
        <v>228</v>
      </c>
      <c r="AM16" s="203">
        <f t="shared" si="15"/>
        <v>2280</v>
      </c>
      <c r="AN16" s="35">
        <f t="shared" si="16"/>
        <v>0.81428571428571428</v>
      </c>
      <c r="AO16" s="36">
        <f t="shared" si="17"/>
        <v>15960</v>
      </c>
      <c r="AQ16" s="223">
        <f t="shared" si="37"/>
        <v>0.73682249216708817</v>
      </c>
      <c r="AR16" s="38">
        <f t="shared" si="41"/>
        <v>68502.387096774182</v>
      </c>
      <c r="AS16" s="197">
        <f>SUM(AR16-AR15-AT16)</f>
        <v>-1533.3870967742114</v>
      </c>
      <c r="AT16" s="355"/>
      <c r="AU16" s="436"/>
      <c r="AV16" s="518">
        <f>IF(AT16&gt;0,AU16,AV15)</f>
        <v>0.67400000000000004</v>
      </c>
      <c r="AW16" s="290">
        <f>-SUM('B5'!AI15)</f>
        <v>-253</v>
      </c>
      <c r="AX16" s="290">
        <f>-SUM(AW16-AS16)</f>
        <v>-1280.3870967742114</v>
      </c>
      <c r="AY16" s="37">
        <f t="shared" si="40"/>
        <v>-1533.3870967742114</v>
      </c>
      <c r="AZ16" s="100">
        <f>ELEC!A13</f>
        <v>0</v>
      </c>
      <c r="BA16" s="118">
        <f>'General information '!D16</f>
        <v>15.5</v>
      </c>
      <c r="BB16" s="394">
        <f>SUM('General information '!E16)</f>
        <v>0.72</v>
      </c>
      <c r="BC16" s="3">
        <f t="shared" si="43"/>
        <v>0</v>
      </c>
      <c r="BD16" s="102">
        <v>19222</v>
      </c>
      <c r="BE16" s="14">
        <f>(305/1185)*ELEC!Q14</f>
        <v>676.40506329129664</v>
      </c>
      <c r="BF16" s="14"/>
      <c r="BG16" s="14" t="e">
        <f>#REF!-BE16</f>
        <v>#REF!</v>
      </c>
      <c r="BH16" s="11"/>
    </row>
    <row r="17" spans="1:61">
      <c r="A17" s="444">
        <f>ELEC!C14</f>
        <v>44239</v>
      </c>
      <c r="B17">
        <f>'B5'!B16</f>
        <v>219</v>
      </c>
      <c r="C17" s="203">
        <f t="shared" si="18"/>
        <v>4712.0322580645161</v>
      </c>
      <c r="D17">
        <f t="shared" si="19"/>
        <v>219</v>
      </c>
      <c r="E17" s="203">
        <f t="shared" si="18"/>
        <v>4712.0322580645161</v>
      </c>
      <c r="F17">
        <f t="shared" si="20"/>
        <v>219</v>
      </c>
      <c r="G17" s="203">
        <f t="shared" si="1"/>
        <v>4712.0322580645161</v>
      </c>
      <c r="H17" s="203">
        <f t="shared" si="21"/>
        <v>219</v>
      </c>
      <c r="I17" s="203">
        <f t="shared" si="2"/>
        <v>4712.0322580645161</v>
      </c>
      <c r="J17" s="203">
        <f t="shared" si="22"/>
        <v>219</v>
      </c>
      <c r="K17" s="203">
        <f t="shared" si="3"/>
        <v>4712.0322580645161</v>
      </c>
      <c r="L17" s="203">
        <f t="shared" si="23"/>
        <v>219</v>
      </c>
      <c r="M17" s="203">
        <f t="shared" si="4"/>
        <v>4712.0322580645161</v>
      </c>
      <c r="N17" s="203">
        <f t="shared" si="24"/>
        <v>219</v>
      </c>
      <c r="O17" s="203">
        <f t="shared" si="5"/>
        <v>4712.0322580645161</v>
      </c>
      <c r="P17" s="203">
        <f t="shared" si="25"/>
        <v>219</v>
      </c>
      <c r="Q17" s="203">
        <f t="shared" si="6"/>
        <v>4712.0322580645161</v>
      </c>
      <c r="R17" s="203">
        <f t="shared" si="26"/>
        <v>219</v>
      </c>
      <c r="S17" s="203">
        <f t="shared" si="7"/>
        <v>4712.0322580645161</v>
      </c>
      <c r="T17" s="203">
        <f t="shared" si="27"/>
        <v>219</v>
      </c>
      <c r="U17" s="203">
        <f t="shared" si="8"/>
        <v>4712.0322580645161</v>
      </c>
      <c r="V17" s="203">
        <f t="shared" si="28"/>
        <v>219</v>
      </c>
      <c r="W17" s="203">
        <f t="shared" si="9"/>
        <v>4712.0322580645161</v>
      </c>
      <c r="X17" s="35">
        <f t="shared" si="10"/>
        <v>0.70645161290322578</v>
      </c>
      <c r="Y17" s="36">
        <f t="shared" si="29"/>
        <v>51832.354838709674</v>
      </c>
      <c r="Z17" s="203">
        <f>'B5'!C16</f>
        <v>224</v>
      </c>
      <c r="AA17" s="203">
        <f t="shared" si="30"/>
        <v>2240</v>
      </c>
      <c r="AB17" s="203">
        <f t="shared" si="31"/>
        <v>224</v>
      </c>
      <c r="AC17" s="203">
        <f t="shared" si="30"/>
        <v>2240</v>
      </c>
      <c r="AD17" s="203">
        <f t="shared" si="32"/>
        <v>224</v>
      </c>
      <c r="AE17" s="203">
        <f t="shared" si="11"/>
        <v>2240</v>
      </c>
      <c r="AF17" s="203">
        <f t="shared" si="33"/>
        <v>224</v>
      </c>
      <c r="AG17" s="203">
        <f t="shared" si="12"/>
        <v>2240</v>
      </c>
      <c r="AH17" s="203">
        <f t="shared" si="34"/>
        <v>224</v>
      </c>
      <c r="AI17" s="203">
        <f t="shared" si="13"/>
        <v>2240</v>
      </c>
      <c r="AJ17" s="203">
        <f t="shared" si="35"/>
        <v>224</v>
      </c>
      <c r="AK17" s="203">
        <f t="shared" si="14"/>
        <v>2240</v>
      </c>
      <c r="AL17" s="203">
        <f t="shared" si="36"/>
        <v>224</v>
      </c>
      <c r="AM17" s="203">
        <f t="shared" si="15"/>
        <v>2240</v>
      </c>
      <c r="AN17" s="35">
        <f t="shared" si="16"/>
        <v>0.8</v>
      </c>
      <c r="AO17" s="36">
        <f>SUM(AA17+AC17+AE17+AG17+AI17+AK17+AM17)</f>
        <v>15680</v>
      </c>
      <c r="AQ17" s="223">
        <f t="shared" si="37"/>
        <v>0.72617354887285868</v>
      </c>
      <c r="AR17" s="38">
        <f t="shared" si="41"/>
        <v>67512.354838709667</v>
      </c>
      <c r="AS17" s="197">
        <f t="shared" si="38"/>
        <v>-990.03225806451519</v>
      </c>
      <c r="AT17" s="355"/>
      <c r="AU17" s="478"/>
      <c r="AV17" s="518">
        <f t="shared" si="42"/>
        <v>0.67400000000000004</v>
      </c>
      <c r="AW17" s="290">
        <f>-SUM('B5'!AI16)</f>
        <v>-234</v>
      </c>
      <c r="AX17" s="290">
        <f t="shared" si="39"/>
        <v>-756.03225806451519</v>
      </c>
      <c r="AY17" s="37">
        <f t="shared" si="40"/>
        <v>-990.03225806451519</v>
      </c>
      <c r="AZ17" s="100">
        <f>ELEC!A14</f>
        <v>0</v>
      </c>
      <c r="BA17" s="118">
        <f>'General information '!D17</f>
        <v>15.5</v>
      </c>
      <c r="BB17" s="394">
        <f>SUM('General information '!E17)</f>
        <v>0.51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44240</v>
      </c>
      <c r="B18">
        <f>'B5'!B17</f>
        <v>219</v>
      </c>
      <c r="C18" s="203">
        <f t="shared" si="18"/>
        <v>4712.0322580645161</v>
      </c>
      <c r="D18">
        <f t="shared" si="19"/>
        <v>219</v>
      </c>
      <c r="E18" s="203">
        <f t="shared" si="18"/>
        <v>4712.0322580645161</v>
      </c>
      <c r="F18">
        <f t="shared" si="20"/>
        <v>219</v>
      </c>
      <c r="G18" s="203">
        <f t="shared" si="1"/>
        <v>4712.0322580645161</v>
      </c>
      <c r="H18" s="203">
        <f t="shared" si="21"/>
        <v>219</v>
      </c>
      <c r="I18" s="203">
        <f t="shared" si="2"/>
        <v>4712.0322580645161</v>
      </c>
      <c r="J18" s="203">
        <f t="shared" si="22"/>
        <v>219</v>
      </c>
      <c r="K18" s="203">
        <f t="shared" si="3"/>
        <v>4712.0322580645161</v>
      </c>
      <c r="L18" s="203">
        <f t="shared" si="23"/>
        <v>219</v>
      </c>
      <c r="M18" s="203">
        <f t="shared" si="4"/>
        <v>4712.0322580645161</v>
      </c>
      <c r="N18" s="203">
        <f t="shared" si="24"/>
        <v>219</v>
      </c>
      <c r="O18" s="203">
        <f t="shared" si="5"/>
        <v>4712.0322580645161</v>
      </c>
      <c r="P18" s="203">
        <f t="shared" si="25"/>
        <v>219</v>
      </c>
      <c r="Q18" s="203">
        <f t="shared" si="6"/>
        <v>4712.0322580645161</v>
      </c>
      <c r="R18" s="203">
        <f t="shared" si="26"/>
        <v>219</v>
      </c>
      <c r="S18" s="203">
        <f t="shared" si="7"/>
        <v>4712.0322580645161</v>
      </c>
      <c r="T18" s="203">
        <f t="shared" si="27"/>
        <v>219</v>
      </c>
      <c r="U18" s="203">
        <f t="shared" si="8"/>
        <v>4712.0322580645161</v>
      </c>
      <c r="V18" s="203">
        <f t="shared" si="28"/>
        <v>219</v>
      </c>
      <c r="W18" s="203">
        <f t="shared" si="9"/>
        <v>4712.0322580645161</v>
      </c>
      <c r="X18" s="35">
        <f t="shared" si="10"/>
        <v>0.70645161290322578</v>
      </c>
      <c r="Y18" s="36">
        <f t="shared" si="29"/>
        <v>51832.354838709674</v>
      </c>
      <c r="Z18" s="203">
        <f>'B5'!C17</f>
        <v>224</v>
      </c>
      <c r="AA18" s="203">
        <f t="shared" si="30"/>
        <v>2240</v>
      </c>
      <c r="AB18" s="203">
        <f t="shared" si="31"/>
        <v>224</v>
      </c>
      <c r="AC18" s="203">
        <f t="shared" si="30"/>
        <v>2240</v>
      </c>
      <c r="AD18" s="203">
        <f t="shared" si="32"/>
        <v>224</v>
      </c>
      <c r="AE18" s="203">
        <f t="shared" si="11"/>
        <v>2240</v>
      </c>
      <c r="AF18" s="203">
        <f t="shared" si="33"/>
        <v>224</v>
      </c>
      <c r="AG18" s="203">
        <f t="shared" si="12"/>
        <v>2240</v>
      </c>
      <c r="AH18" s="203">
        <f t="shared" si="34"/>
        <v>224</v>
      </c>
      <c r="AI18" s="203">
        <f t="shared" si="13"/>
        <v>2240</v>
      </c>
      <c r="AJ18" s="203">
        <f t="shared" si="35"/>
        <v>224</v>
      </c>
      <c r="AK18" s="203">
        <f t="shared" si="14"/>
        <v>2240</v>
      </c>
      <c r="AL18" s="203">
        <f t="shared" si="36"/>
        <v>224</v>
      </c>
      <c r="AM18" s="203">
        <f t="shared" si="15"/>
        <v>2240</v>
      </c>
      <c r="AN18" s="35">
        <f t="shared" si="16"/>
        <v>0.8</v>
      </c>
      <c r="AO18" s="36">
        <f t="shared" si="17"/>
        <v>15680</v>
      </c>
      <c r="AQ18" s="223">
        <f t="shared" si="37"/>
        <v>0.72617354887285868</v>
      </c>
      <c r="AR18" s="38">
        <f t="shared" si="41"/>
        <v>67512.354838709667</v>
      </c>
      <c r="AS18" s="197">
        <f t="shared" si="38"/>
        <v>0</v>
      </c>
      <c r="AT18" s="271"/>
      <c r="AU18" s="436"/>
      <c r="AV18" s="518">
        <f>IF(AT18&gt;0,AU18,AV17)</f>
        <v>0.67400000000000004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44241</v>
      </c>
      <c r="B19">
        <f>'B5'!B18</f>
        <v>219</v>
      </c>
      <c r="C19" s="203">
        <f t="shared" si="18"/>
        <v>4712.0322580645161</v>
      </c>
      <c r="D19">
        <f t="shared" si="19"/>
        <v>219</v>
      </c>
      <c r="E19" s="203">
        <f t="shared" si="18"/>
        <v>4712.0322580645161</v>
      </c>
      <c r="F19">
        <f t="shared" si="20"/>
        <v>219</v>
      </c>
      <c r="G19" s="203">
        <f t="shared" si="1"/>
        <v>4712.0322580645161</v>
      </c>
      <c r="H19" s="203">
        <f t="shared" si="21"/>
        <v>219</v>
      </c>
      <c r="I19" s="203">
        <f t="shared" si="2"/>
        <v>4712.0322580645161</v>
      </c>
      <c r="J19" s="203">
        <f t="shared" si="22"/>
        <v>219</v>
      </c>
      <c r="K19" s="203">
        <f t="shared" si="3"/>
        <v>4712.0322580645161</v>
      </c>
      <c r="L19" s="203">
        <f t="shared" si="23"/>
        <v>219</v>
      </c>
      <c r="M19" s="203">
        <f t="shared" si="4"/>
        <v>4712.0322580645161</v>
      </c>
      <c r="N19" s="203">
        <f t="shared" si="24"/>
        <v>219</v>
      </c>
      <c r="O19" s="203">
        <f t="shared" si="5"/>
        <v>4712.0322580645161</v>
      </c>
      <c r="P19" s="203">
        <f t="shared" si="25"/>
        <v>219</v>
      </c>
      <c r="Q19" s="203">
        <f t="shared" si="6"/>
        <v>4712.0322580645161</v>
      </c>
      <c r="R19" s="203">
        <f t="shared" si="26"/>
        <v>219</v>
      </c>
      <c r="S19" s="203">
        <f t="shared" si="7"/>
        <v>4712.0322580645161</v>
      </c>
      <c r="T19" s="203">
        <f t="shared" si="27"/>
        <v>219</v>
      </c>
      <c r="U19" s="203">
        <f t="shared" si="8"/>
        <v>4712.0322580645161</v>
      </c>
      <c r="V19" s="203">
        <f t="shared" si="28"/>
        <v>219</v>
      </c>
      <c r="W19" s="203">
        <f t="shared" si="9"/>
        <v>4712.0322580645161</v>
      </c>
      <c r="X19" s="35">
        <f t="shared" si="10"/>
        <v>0.70645161290322578</v>
      </c>
      <c r="Y19" s="36">
        <f t="shared" si="29"/>
        <v>51832.354838709674</v>
      </c>
      <c r="Z19" s="203">
        <f>'B5'!C18</f>
        <v>224</v>
      </c>
      <c r="AA19" s="203">
        <f t="shared" si="30"/>
        <v>2240</v>
      </c>
      <c r="AB19" s="203">
        <f t="shared" si="31"/>
        <v>224</v>
      </c>
      <c r="AC19" s="203">
        <f t="shared" si="30"/>
        <v>2240</v>
      </c>
      <c r="AD19" s="203">
        <f t="shared" si="32"/>
        <v>224</v>
      </c>
      <c r="AE19" s="203">
        <f t="shared" si="11"/>
        <v>2240</v>
      </c>
      <c r="AF19" s="203">
        <f t="shared" si="33"/>
        <v>224</v>
      </c>
      <c r="AG19" s="203">
        <f t="shared" si="12"/>
        <v>2240</v>
      </c>
      <c r="AH19" s="203">
        <f t="shared" si="34"/>
        <v>224</v>
      </c>
      <c r="AI19" s="203">
        <f t="shared" si="13"/>
        <v>2240</v>
      </c>
      <c r="AJ19" s="203">
        <f t="shared" si="35"/>
        <v>224</v>
      </c>
      <c r="AK19" s="203">
        <f t="shared" si="14"/>
        <v>2240</v>
      </c>
      <c r="AL19" s="203">
        <f t="shared" si="36"/>
        <v>224</v>
      </c>
      <c r="AM19" s="203">
        <f t="shared" si="15"/>
        <v>2240</v>
      </c>
      <c r="AN19" s="35">
        <f t="shared" si="16"/>
        <v>0.8</v>
      </c>
      <c r="AO19" s="36">
        <f t="shared" si="17"/>
        <v>15680</v>
      </c>
      <c r="AQ19" s="223">
        <f t="shared" si="37"/>
        <v>0.72617354887285868</v>
      </c>
      <c r="AR19" s="38">
        <f t="shared" si="41"/>
        <v>67512.354838709667</v>
      </c>
      <c r="AS19" s="197">
        <f t="shared" si="38"/>
        <v>0</v>
      </c>
      <c r="AT19" s="271"/>
      <c r="AU19" s="436"/>
      <c r="AV19" s="518">
        <f t="shared" si="42"/>
        <v>0.67400000000000004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44242</v>
      </c>
      <c r="B20">
        <f>'B5'!B19</f>
        <v>219</v>
      </c>
      <c r="C20" s="203">
        <f t="shared" si="18"/>
        <v>4712.0322580645161</v>
      </c>
      <c r="D20">
        <f t="shared" si="19"/>
        <v>219</v>
      </c>
      <c r="E20" s="203">
        <f t="shared" si="18"/>
        <v>4712.0322580645161</v>
      </c>
      <c r="F20">
        <f t="shared" si="20"/>
        <v>219</v>
      </c>
      <c r="G20" s="203">
        <f t="shared" si="1"/>
        <v>4712.0322580645161</v>
      </c>
      <c r="H20" s="203">
        <f t="shared" si="21"/>
        <v>219</v>
      </c>
      <c r="I20" s="203">
        <f t="shared" si="2"/>
        <v>4712.0322580645161</v>
      </c>
      <c r="J20" s="203">
        <f t="shared" si="22"/>
        <v>219</v>
      </c>
      <c r="K20" s="203">
        <f t="shared" si="3"/>
        <v>4712.0322580645161</v>
      </c>
      <c r="L20" s="203">
        <f t="shared" si="23"/>
        <v>219</v>
      </c>
      <c r="M20" s="203">
        <f t="shared" si="4"/>
        <v>4712.0322580645161</v>
      </c>
      <c r="N20" s="203">
        <f t="shared" si="24"/>
        <v>219</v>
      </c>
      <c r="O20" s="203">
        <f t="shared" si="5"/>
        <v>4712.0322580645161</v>
      </c>
      <c r="P20" s="203">
        <f t="shared" si="25"/>
        <v>219</v>
      </c>
      <c r="Q20" s="203">
        <f t="shared" si="6"/>
        <v>4712.0322580645161</v>
      </c>
      <c r="R20" s="203">
        <f t="shared" si="26"/>
        <v>219</v>
      </c>
      <c r="S20" s="203">
        <f t="shared" si="7"/>
        <v>4712.0322580645161</v>
      </c>
      <c r="T20" s="203">
        <f t="shared" si="27"/>
        <v>219</v>
      </c>
      <c r="U20" s="203">
        <f t="shared" si="8"/>
        <v>4712.0322580645161</v>
      </c>
      <c r="V20" s="203">
        <f t="shared" si="28"/>
        <v>219</v>
      </c>
      <c r="W20" s="203">
        <f t="shared" si="9"/>
        <v>4712.0322580645161</v>
      </c>
      <c r="X20" s="35">
        <f t="shared" si="10"/>
        <v>0.70645161290322578</v>
      </c>
      <c r="Y20" s="36">
        <f t="shared" si="29"/>
        <v>51832.354838709674</v>
      </c>
      <c r="Z20" s="203">
        <f>'B5'!C19</f>
        <v>224</v>
      </c>
      <c r="AA20" s="203">
        <f t="shared" si="30"/>
        <v>2240</v>
      </c>
      <c r="AB20" s="203">
        <f t="shared" si="31"/>
        <v>224</v>
      </c>
      <c r="AC20" s="203">
        <f t="shared" si="30"/>
        <v>2240</v>
      </c>
      <c r="AD20" s="203">
        <f t="shared" si="32"/>
        <v>224</v>
      </c>
      <c r="AE20" s="203">
        <f t="shared" si="11"/>
        <v>2240</v>
      </c>
      <c r="AF20" s="203">
        <f t="shared" si="33"/>
        <v>224</v>
      </c>
      <c r="AG20" s="203">
        <f t="shared" si="12"/>
        <v>2240</v>
      </c>
      <c r="AH20" s="203">
        <f t="shared" si="34"/>
        <v>224</v>
      </c>
      <c r="AI20" s="203">
        <f t="shared" si="13"/>
        <v>2240</v>
      </c>
      <c r="AJ20" s="203">
        <f t="shared" si="35"/>
        <v>224</v>
      </c>
      <c r="AK20" s="203">
        <f t="shared" si="14"/>
        <v>2240</v>
      </c>
      <c r="AL20" s="203">
        <f t="shared" si="36"/>
        <v>224</v>
      </c>
      <c r="AM20" s="203">
        <f t="shared" si="15"/>
        <v>2240</v>
      </c>
      <c r="AN20" s="35">
        <f t="shared" si="16"/>
        <v>0.8</v>
      </c>
      <c r="AO20" s="36">
        <f t="shared" si="17"/>
        <v>15680</v>
      </c>
      <c r="AQ20" s="223">
        <f t="shared" si="37"/>
        <v>0.72617354887285868</v>
      </c>
      <c r="AR20" s="38">
        <f t="shared" si="41"/>
        <v>67512.354838709667</v>
      </c>
      <c r="AS20" s="197">
        <f t="shared" si="38"/>
        <v>0</v>
      </c>
      <c r="AT20" s="271"/>
      <c r="AU20" s="436"/>
      <c r="AV20" s="518">
        <f t="shared" si="42"/>
        <v>0.67400000000000004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44243</v>
      </c>
      <c r="B21">
        <f>'B5'!B20</f>
        <v>219</v>
      </c>
      <c r="C21" s="203">
        <f t="shared" si="18"/>
        <v>4712.0322580645161</v>
      </c>
      <c r="D21">
        <f t="shared" si="19"/>
        <v>219</v>
      </c>
      <c r="E21" s="203">
        <f t="shared" si="18"/>
        <v>4712.0322580645161</v>
      </c>
      <c r="F21">
        <f t="shared" si="20"/>
        <v>219</v>
      </c>
      <c r="G21" s="203">
        <f t="shared" si="1"/>
        <v>4712.0322580645161</v>
      </c>
      <c r="H21" s="203">
        <f t="shared" si="21"/>
        <v>219</v>
      </c>
      <c r="I21" s="203">
        <f t="shared" si="2"/>
        <v>4712.0322580645161</v>
      </c>
      <c r="J21" s="203">
        <f t="shared" si="22"/>
        <v>219</v>
      </c>
      <c r="K21" s="203">
        <f t="shared" si="3"/>
        <v>4712.0322580645161</v>
      </c>
      <c r="L21" s="203">
        <f t="shared" si="23"/>
        <v>219</v>
      </c>
      <c r="M21" s="203">
        <f t="shared" si="4"/>
        <v>4712.0322580645161</v>
      </c>
      <c r="N21" s="203">
        <f t="shared" si="24"/>
        <v>219</v>
      </c>
      <c r="O21" s="203">
        <f t="shared" si="5"/>
        <v>4712.0322580645161</v>
      </c>
      <c r="P21" s="203">
        <f t="shared" si="25"/>
        <v>219</v>
      </c>
      <c r="Q21" s="203">
        <f t="shared" si="6"/>
        <v>4712.0322580645161</v>
      </c>
      <c r="R21" s="203">
        <f t="shared" si="26"/>
        <v>219</v>
      </c>
      <c r="S21" s="203">
        <f t="shared" si="7"/>
        <v>4712.0322580645161</v>
      </c>
      <c r="T21" s="203">
        <f t="shared" si="27"/>
        <v>219</v>
      </c>
      <c r="U21" s="203">
        <f t="shared" si="8"/>
        <v>4712.0322580645161</v>
      </c>
      <c r="V21" s="203">
        <f t="shared" si="28"/>
        <v>219</v>
      </c>
      <c r="W21" s="203">
        <f t="shared" si="9"/>
        <v>4712.0322580645161</v>
      </c>
      <c r="X21" s="35">
        <f t="shared" si="10"/>
        <v>0.70645161290322578</v>
      </c>
      <c r="Y21" s="36">
        <f t="shared" si="29"/>
        <v>51832.354838709674</v>
      </c>
      <c r="Z21" s="203">
        <f>'B5'!C20</f>
        <v>224</v>
      </c>
      <c r="AA21" s="203">
        <f t="shared" si="30"/>
        <v>2240</v>
      </c>
      <c r="AB21" s="203">
        <f t="shared" si="31"/>
        <v>224</v>
      </c>
      <c r="AC21" s="203">
        <f t="shared" si="30"/>
        <v>2240</v>
      </c>
      <c r="AD21" s="203">
        <f t="shared" si="32"/>
        <v>224</v>
      </c>
      <c r="AE21" s="203">
        <f t="shared" si="11"/>
        <v>2240</v>
      </c>
      <c r="AF21" s="203">
        <f t="shared" si="33"/>
        <v>224</v>
      </c>
      <c r="AG21" s="203">
        <f t="shared" si="12"/>
        <v>2240</v>
      </c>
      <c r="AH21" s="203">
        <f t="shared" si="34"/>
        <v>224</v>
      </c>
      <c r="AI21" s="203">
        <f t="shared" si="13"/>
        <v>2240</v>
      </c>
      <c r="AJ21" s="203">
        <f t="shared" si="35"/>
        <v>224</v>
      </c>
      <c r="AK21" s="203">
        <f t="shared" si="14"/>
        <v>2240</v>
      </c>
      <c r="AL21" s="203">
        <f t="shared" si="36"/>
        <v>224</v>
      </c>
      <c r="AM21" s="203">
        <f t="shared" si="15"/>
        <v>2240</v>
      </c>
      <c r="AN21" s="35">
        <f t="shared" si="16"/>
        <v>0.8</v>
      </c>
      <c r="AO21" s="36">
        <f t="shared" si="17"/>
        <v>15680</v>
      </c>
      <c r="AQ21" s="223">
        <f t="shared" si="37"/>
        <v>0.72617354887285868</v>
      </c>
      <c r="AR21" s="38">
        <f t="shared" si="41"/>
        <v>67512.354838709667</v>
      </c>
      <c r="AS21" s="197">
        <f t="shared" si="38"/>
        <v>0</v>
      </c>
      <c r="AT21" s="271"/>
      <c r="AU21" s="436"/>
      <c r="AV21" s="518">
        <f t="shared" si="42"/>
        <v>0.67400000000000004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44244</v>
      </c>
      <c r="B22">
        <f>'B5'!B21</f>
        <v>219</v>
      </c>
      <c r="C22" s="203">
        <f t="shared" si="18"/>
        <v>4712.0322580645161</v>
      </c>
      <c r="D22">
        <f t="shared" si="19"/>
        <v>219</v>
      </c>
      <c r="E22" s="203">
        <f t="shared" si="18"/>
        <v>4712.0322580645161</v>
      </c>
      <c r="F22">
        <f t="shared" si="20"/>
        <v>219</v>
      </c>
      <c r="G22" s="203">
        <f t="shared" si="1"/>
        <v>4712.0322580645161</v>
      </c>
      <c r="H22" s="203">
        <f t="shared" si="21"/>
        <v>219</v>
      </c>
      <c r="I22" s="203">
        <f t="shared" si="2"/>
        <v>4712.0322580645161</v>
      </c>
      <c r="J22" s="203">
        <f t="shared" si="22"/>
        <v>219</v>
      </c>
      <c r="K22" s="203">
        <f t="shared" si="3"/>
        <v>4712.0322580645161</v>
      </c>
      <c r="L22" s="203">
        <f t="shared" si="23"/>
        <v>219</v>
      </c>
      <c r="M22" s="203">
        <f t="shared" si="4"/>
        <v>4712.0322580645161</v>
      </c>
      <c r="N22" s="203">
        <f t="shared" si="24"/>
        <v>219</v>
      </c>
      <c r="O22" s="203">
        <f t="shared" si="5"/>
        <v>4712.0322580645161</v>
      </c>
      <c r="P22" s="203">
        <f t="shared" si="25"/>
        <v>219</v>
      </c>
      <c r="Q22" s="203">
        <f t="shared" si="6"/>
        <v>4712.0322580645161</v>
      </c>
      <c r="R22" s="203">
        <f t="shared" si="26"/>
        <v>219</v>
      </c>
      <c r="S22" s="203">
        <f t="shared" si="7"/>
        <v>4712.0322580645161</v>
      </c>
      <c r="T22" s="203">
        <f t="shared" si="27"/>
        <v>219</v>
      </c>
      <c r="U22" s="203">
        <f t="shared" si="8"/>
        <v>4712.0322580645161</v>
      </c>
      <c r="V22" s="203">
        <f t="shared" si="28"/>
        <v>219</v>
      </c>
      <c r="W22" s="203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3">
        <f>'B5'!C21</f>
        <v>224</v>
      </c>
      <c r="AA22" s="203">
        <f t="shared" si="30"/>
        <v>2240</v>
      </c>
      <c r="AB22" s="203">
        <f t="shared" si="31"/>
        <v>224</v>
      </c>
      <c r="AC22" s="203">
        <f t="shared" si="30"/>
        <v>2240</v>
      </c>
      <c r="AD22" s="203">
        <f t="shared" si="32"/>
        <v>224</v>
      </c>
      <c r="AE22" s="203">
        <f t="shared" si="11"/>
        <v>2240</v>
      </c>
      <c r="AF22" s="203">
        <f t="shared" si="33"/>
        <v>224</v>
      </c>
      <c r="AG22" s="203">
        <f t="shared" si="12"/>
        <v>2240</v>
      </c>
      <c r="AH22" s="203">
        <f t="shared" si="34"/>
        <v>224</v>
      </c>
      <c r="AI22" s="203">
        <f t="shared" si="13"/>
        <v>2240</v>
      </c>
      <c r="AJ22" s="203">
        <f t="shared" si="35"/>
        <v>224</v>
      </c>
      <c r="AK22" s="203">
        <f t="shared" si="14"/>
        <v>2240</v>
      </c>
      <c r="AL22" s="203">
        <f t="shared" si="36"/>
        <v>224</v>
      </c>
      <c r="AM22" s="203">
        <f t="shared" si="15"/>
        <v>2240</v>
      </c>
      <c r="AN22" s="35">
        <f t="shared" si="16"/>
        <v>0.8</v>
      </c>
      <c r="AO22" s="36">
        <f t="shared" si="17"/>
        <v>15680</v>
      </c>
      <c r="AQ22" s="223">
        <f t="shared" si="37"/>
        <v>0.72617354887285868</v>
      </c>
      <c r="AR22" s="38">
        <f t="shared" si="41"/>
        <v>67512.354838709667</v>
      </c>
      <c r="AS22" s="197">
        <f t="shared" si="38"/>
        <v>0</v>
      </c>
      <c r="AT22" s="271"/>
      <c r="AU22" s="436"/>
      <c r="AV22" s="518">
        <f t="shared" si="42"/>
        <v>0.67400000000000004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44245</v>
      </c>
      <c r="B23">
        <f>'B5'!B22</f>
        <v>219</v>
      </c>
      <c r="C23" s="203">
        <f t="shared" si="18"/>
        <v>4712.0322580645161</v>
      </c>
      <c r="D23">
        <f t="shared" si="19"/>
        <v>219</v>
      </c>
      <c r="E23" s="203">
        <f t="shared" si="18"/>
        <v>4712.0322580645161</v>
      </c>
      <c r="F23">
        <f t="shared" si="20"/>
        <v>219</v>
      </c>
      <c r="G23" s="203">
        <f t="shared" si="1"/>
        <v>4712.0322580645161</v>
      </c>
      <c r="H23" s="203">
        <f t="shared" si="21"/>
        <v>219</v>
      </c>
      <c r="I23" s="203">
        <f t="shared" si="2"/>
        <v>4712.0322580645161</v>
      </c>
      <c r="J23" s="203">
        <f t="shared" si="22"/>
        <v>219</v>
      </c>
      <c r="K23" s="203">
        <f t="shared" si="3"/>
        <v>4712.0322580645161</v>
      </c>
      <c r="L23" s="203">
        <f t="shared" si="23"/>
        <v>219</v>
      </c>
      <c r="M23" s="203">
        <f t="shared" si="4"/>
        <v>4712.0322580645161</v>
      </c>
      <c r="N23" s="203">
        <f t="shared" si="24"/>
        <v>219</v>
      </c>
      <c r="O23" s="203">
        <f t="shared" si="5"/>
        <v>4712.0322580645161</v>
      </c>
      <c r="P23" s="203">
        <f t="shared" si="25"/>
        <v>219</v>
      </c>
      <c r="Q23" s="203">
        <f t="shared" si="6"/>
        <v>4712.0322580645161</v>
      </c>
      <c r="R23" s="203">
        <f t="shared" si="26"/>
        <v>219</v>
      </c>
      <c r="S23" s="203">
        <f t="shared" si="7"/>
        <v>4712.0322580645161</v>
      </c>
      <c r="T23" s="203">
        <f t="shared" si="27"/>
        <v>219</v>
      </c>
      <c r="U23" s="203">
        <f t="shared" si="8"/>
        <v>4712.0322580645161</v>
      </c>
      <c r="V23" s="203">
        <f t="shared" si="28"/>
        <v>219</v>
      </c>
      <c r="W23" s="203">
        <f t="shared" si="9"/>
        <v>4712.0322580645161</v>
      </c>
      <c r="X23" s="35">
        <f t="shared" si="10"/>
        <v>0.70645161290322578</v>
      </c>
      <c r="Y23" s="36">
        <f t="shared" si="29"/>
        <v>51832.354838709674</v>
      </c>
      <c r="Z23" s="203">
        <f>'B5'!C22</f>
        <v>224</v>
      </c>
      <c r="AA23" s="203">
        <f t="shared" si="30"/>
        <v>2240</v>
      </c>
      <c r="AB23" s="203">
        <f t="shared" si="31"/>
        <v>224</v>
      </c>
      <c r="AC23" s="203">
        <f t="shared" si="30"/>
        <v>2240</v>
      </c>
      <c r="AD23" s="203">
        <f t="shared" si="32"/>
        <v>224</v>
      </c>
      <c r="AE23" s="203">
        <f t="shared" si="11"/>
        <v>2240</v>
      </c>
      <c r="AF23" s="203">
        <f t="shared" si="33"/>
        <v>224</v>
      </c>
      <c r="AG23" s="203">
        <f t="shared" si="12"/>
        <v>2240</v>
      </c>
      <c r="AH23" s="203">
        <f t="shared" si="34"/>
        <v>224</v>
      </c>
      <c r="AI23" s="203">
        <f t="shared" si="13"/>
        <v>2240</v>
      </c>
      <c r="AJ23" s="203">
        <f t="shared" si="35"/>
        <v>224</v>
      </c>
      <c r="AK23" s="203">
        <f t="shared" si="14"/>
        <v>2240</v>
      </c>
      <c r="AL23" s="203">
        <f t="shared" si="36"/>
        <v>224</v>
      </c>
      <c r="AM23" s="203">
        <f t="shared" si="15"/>
        <v>2240</v>
      </c>
      <c r="AN23" s="35">
        <f t="shared" si="16"/>
        <v>0.8</v>
      </c>
      <c r="AO23" s="36">
        <f t="shared" si="17"/>
        <v>15680</v>
      </c>
      <c r="AQ23" s="223">
        <f t="shared" si="37"/>
        <v>0.72617354887285868</v>
      </c>
      <c r="AR23" s="38">
        <f t="shared" si="41"/>
        <v>67512.354838709667</v>
      </c>
      <c r="AS23" s="197">
        <f t="shared" si="38"/>
        <v>0</v>
      </c>
      <c r="AT23" s="271"/>
      <c r="AU23" s="436"/>
      <c r="AV23" s="518">
        <f t="shared" si="42"/>
        <v>0.67400000000000004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44246</v>
      </c>
      <c r="B24">
        <f>'B5'!B23</f>
        <v>219</v>
      </c>
      <c r="C24" s="203">
        <f t="shared" si="18"/>
        <v>4712.0322580645161</v>
      </c>
      <c r="D24">
        <f t="shared" si="19"/>
        <v>219</v>
      </c>
      <c r="E24" s="203">
        <f t="shared" si="18"/>
        <v>4712.0322580645161</v>
      </c>
      <c r="F24">
        <f t="shared" si="20"/>
        <v>219</v>
      </c>
      <c r="G24" s="203">
        <f t="shared" si="1"/>
        <v>4712.0322580645161</v>
      </c>
      <c r="H24" s="203">
        <f t="shared" si="21"/>
        <v>219</v>
      </c>
      <c r="I24" s="203">
        <f t="shared" si="2"/>
        <v>4712.0322580645161</v>
      </c>
      <c r="J24" s="203">
        <f t="shared" si="22"/>
        <v>219</v>
      </c>
      <c r="K24" s="203">
        <f t="shared" si="3"/>
        <v>4712.0322580645161</v>
      </c>
      <c r="L24" s="203">
        <f t="shared" si="23"/>
        <v>219</v>
      </c>
      <c r="M24" s="203">
        <f t="shared" si="4"/>
        <v>4712.0322580645161</v>
      </c>
      <c r="N24" s="203">
        <f t="shared" si="24"/>
        <v>219</v>
      </c>
      <c r="O24" s="203">
        <f t="shared" si="5"/>
        <v>4712.0322580645161</v>
      </c>
      <c r="P24" s="203">
        <f t="shared" si="25"/>
        <v>219</v>
      </c>
      <c r="Q24" s="203">
        <f t="shared" si="6"/>
        <v>4712.0322580645161</v>
      </c>
      <c r="R24" s="203">
        <f t="shared" si="26"/>
        <v>219</v>
      </c>
      <c r="S24" s="203">
        <f t="shared" si="7"/>
        <v>4712.0322580645161</v>
      </c>
      <c r="T24" s="203">
        <f t="shared" si="27"/>
        <v>219</v>
      </c>
      <c r="U24" s="203">
        <f t="shared" si="8"/>
        <v>4712.0322580645161</v>
      </c>
      <c r="V24" s="203">
        <f t="shared" si="28"/>
        <v>219</v>
      </c>
      <c r="W24" s="203">
        <f t="shared" si="9"/>
        <v>4712.0322580645161</v>
      </c>
      <c r="X24" s="35">
        <f t="shared" si="10"/>
        <v>0.70645161290322578</v>
      </c>
      <c r="Y24" s="36">
        <f t="shared" si="29"/>
        <v>51832.354838709674</v>
      </c>
      <c r="Z24" s="203">
        <f>'B5'!C23</f>
        <v>224</v>
      </c>
      <c r="AA24" s="203">
        <f t="shared" si="30"/>
        <v>2240</v>
      </c>
      <c r="AB24" s="203">
        <f t="shared" si="31"/>
        <v>224</v>
      </c>
      <c r="AC24" s="203">
        <f t="shared" si="30"/>
        <v>2240</v>
      </c>
      <c r="AD24" s="203">
        <f t="shared" si="32"/>
        <v>224</v>
      </c>
      <c r="AE24" s="203">
        <f t="shared" si="11"/>
        <v>2240</v>
      </c>
      <c r="AF24" s="203">
        <f t="shared" si="33"/>
        <v>224</v>
      </c>
      <c r="AG24" s="203">
        <f t="shared" si="12"/>
        <v>2240</v>
      </c>
      <c r="AH24" s="203">
        <f t="shared" si="34"/>
        <v>224</v>
      </c>
      <c r="AI24" s="203">
        <f t="shared" si="13"/>
        <v>2240</v>
      </c>
      <c r="AJ24" s="203">
        <f t="shared" si="35"/>
        <v>224</v>
      </c>
      <c r="AK24" s="203">
        <f t="shared" si="14"/>
        <v>2240</v>
      </c>
      <c r="AL24" s="203">
        <f t="shared" si="36"/>
        <v>224</v>
      </c>
      <c r="AM24" s="203">
        <f t="shared" si="15"/>
        <v>2240</v>
      </c>
      <c r="AN24" s="35">
        <f t="shared" si="16"/>
        <v>0.8</v>
      </c>
      <c r="AO24" s="36">
        <f t="shared" si="17"/>
        <v>15680</v>
      </c>
      <c r="AQ24" s="223">
        <f t="shared" si="37"/>
        <v>0.72617354887285868</v>
      </c>
      <c r="AR24" s="38">
        <f t="shared" si="41"/>
        <v>67512.354838709667</v>
      </c>
      <c r="AS24" s="197">
        <f t="shared" si="38"/>
        <v>0</v>
      </c>
      <c r="AT24" s="271"/>
      <c r="AU24" s="436"/>
      <c r="AV24" s="518">
        <f t="shared" si="42"/>
        <v>0.67400000000000004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44247</v>
      </c>
      <c r="B25">
        <f>'B5'!B24</f>
        <v>219</v>
      </c>
      <c r="C25" s="203">
        <f t="shared" si="18"/>
        <v>4712.0322580645161</v>
      </c>
      <c r="D25">
        <f t="shared" si="19"/>
        <v>219</v>
      </c>
      <c r="E25" s="203">
        <f t="shared" si="18"/>
        <v>4712.0322580645161</v>
      </c>
      <c r="F25">
        <f t="shared" si="20"/>
        <v>219</v>
      </c>
      <c r="G25" s="203">
        <f t="shared" si="1"/>
        <v>4712.0322580645161</v>
      </c>
      <c r="H25" s="203">
        <f t="shared" si="21"/>
        <v>219</v>
      </c>
      <c r="I25" s="203">
        <f t="shared" si="2"/>
        <v>4712.0322580645161</v>
      </c>
      <c r="J25" s="203">
        <f t="shared" si="22"/>
        <v>219</v>
      </c>
      <c r="K25" s="203">
        <f t="shared" si="3"/>
        <v>4712.0322580645161</v>
      </c>
      <c r="L25" s="203">
        <f t="shared" si="23"/>
        <v>219</v>
      </c>
      <c r="M25" s="203">
        <f t="shared" si="4"/>
        <v>4712.0322580645161</v>
      </c>
      <c r="N25" s="203">
        <f t="shared" si="24"/>
        <v>219</v>
      </c>
      <c r="O25" s="203">
        <f t="shared" si="5"/>
        <v>4712.0322580645161</v>
      </c>
      <c r="P25" s="203">
        <f t="shared" si="25"/>
        <v>219</v>
      </c>
      <c r="Q25" s="203">
        <f t="shared" si="6"/>
        <v>4712.0322580645161</v>
      </c>
      <c r="R25" s="203">
        <f t="shared" si="26"/>
        <v>219</v>
      </c>
      <c r="S25" s="203">
        <f t="shared" si="7"/>
        <v>4712.0322580645161</v>
      </c>
      <c r="T25" s="203">
        <f t="shared" si="27"/>
        <v>219</v>
      </c>
      <c r="U25" s="203">
        <f t="shared" si="8"/>
        <v>4712.0322580645161</v>
      </c>
      <c r="V25" s="203">
        <f t="shared" si="28"/>
        <v>219</v>
      </c>
      <c r="W25" s="203">
        <f t="shared" si="9"/>
        <v>4712.0322580645161</v>
      </c>
      <c r="X25" s="35">
        <f t="shared" si="10"/>
        <v>0.70645161290322578</v>
      </c>
      <c r="Y25" s="36">
        <f t="shared" si="29"/>
        <v>51832.354838709674</v>
      </c>
      <c r="Z25" s="203">
        <f>'B5'!C24</f>
        <v>224</v>
      </c>
      <c r="AA25" s="203">
        <f t="shared" si="30"/>
        <v>2240</v>
      </c>
      <c r="AB25" s="203">
        <f t="shared" si="31"/>
        <v>224</v>
      </c>
      <c r="AC25" s="203">
        <f t="shared" si="30"/>
        <v>2240</v>
      </c>
      <c r="AD25" s="203">
        <f t="shared" si="32"/>
        <v>224</v>
      </c>
      <c r="AE25" s="203">
        <f t="shared" si="11"/>
        <v>2240</v>
      </c>
      <c r="AF25" s="203">
        <f t="shared" si="33"/>
        <v>224</v>
      </c>
      <c r="AG25" s="203">
        <f t="shared" si="12"/>
        <v>2240</v>
      </c>
      <c r="AH25" s="203">
        <f t="shared" si="34"/>
        <v>224</v>
      </c>
      <c r="AI25" s="203">
        <f t="shared" si="13"/>
        <v>2240</v>
      </c>
      <c r="AJ25" s="203">
        <f t="shared" si="35"/>
        <v>224</v>
      </c>
      <c r="AK25" s="203">
        <f t="shared" si="14"/>
        <v>2240</v>
      </c>
      <c r="AL25" s="203">
        <f t="shared" si="36"/>
        <v>224</v>
      </c>
      <c r="AM25" s="203">
        <f t="shared" si="15"/>
        <v>2240</v>
      </c>
      <c r="AN25" s="35">
        <f t="shared" si="16"/>
        <v>0.8</v>
      </c>
      <c r="AO25" s="36">
        <f t="shared" si="17"/>
        <v>15680</v>
      </c>
      <c r="AQ25" s="223">
        <f t="shared" si="37"/>
        <v>0.72617354887285868</v>
      </c>
      <c r="AR25" s="38">
        <f t="shared" si="41"/>
        <v>67512.354838709667</v>
      </c>
      <c r="AS25" s="197">
        <f t="shared" si="38"/>
        <v>0</v>
      </c>
      <c r="AT25" s="271"/>
      <c r="AU25" s="436"/>
      <c r="AV25" s="518">
        <f t="shared" si="42"/>
        <v>0.67400000000000004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44248</v>
      </c>
      <c r="B26">
        <f>'B5'!B25</f>
        <v>219</v>
      </c>
      <c r="C26" s="203">
        <f t="shared" si="18"/>
        <v>4712.0322580645161</v>
      </c>
      <c r="D26">
        <f t="shared" si="19"/>
        <v>219</v>
      </c>
      <c r="E26" s="203">
        <f t="shared" si="18"/>
        <v>4712.0322580645161</v>
      </c>
      <c r="F26">
        <f t="shared" si="20"/>
        <v>219</v>
      </c>
      <c r="G26" s="203">
        <f t="shared" si="1"/>
        <v>4712.0322580645161</v>
      </c>
      <c r="H26" s="203">
        <f t="shared" si="21"/>
        <v>219</v>
      </c>
      <c r="I26" s="203">
        <f t="shared" si="2"/>
        <v>4712.0322580645161</v>
      </c>
      <c r="J26" s="203">
        <f t="shared" si="22"/>
        <v>219</v>
      </c>
      <c r="K26" s="203">
        <f t="shared" si="3"/>
        <v>4712.0322580645161</v>
      </c>
      <c r="L26" s="203">
        <f t="shared" si="23"/>
        <v>219</v>
      </c>
      <c r="M26" s="203">
        <f t="shared" si="4"/>
        <v>4712.0322580645161</v>
      </c>
      <c r="N26" s="203">
        <f t="shared" si="24"/>
        <v>219</v>
      </c>
      <c r="O26" s="203">
        <f t="shared" si="5"/>
        <v>4712.0322580645161</v>
      </c>
      <c r="P26" s="203">
        <f t="shared" si="25"/>
        <v>219</v>
      </c>
      <c r="Q26" s="203">
        <f t="shared" si="6"/>
        <v>4712.0322580645161</v>
      </c>
      <c r="R26" s="203">
        <f t="shared" si="26"/>
        <v>219</v>
      </c>
      <c r="S26" s="203">
        <f t="shared" si="7"/>
        <v>4712.0322580645161</v>
      </c>
      <c r="T26" s="203">
        <f t="shared" si="27"/>
        <v>219</v>
      </c>
      <c r="U26" s="203">
        <f t="shared" si="8"/>
        <v>4712.0322580645161</v>
      </c>
      <c r="V26" s="203">
        <f t="shared" si="28"/>
        <v>219</v>
      </c>
      <c r="W26" s="203">
        <f t="shared" si="9"/>
        <v>4712.0322580645161</v>
      </c>
      <c r="X26" s="35">
        <f t="shared" si="10"/>
        <v>0.70645161290322578</v>
      </c>
      <c r="Y26" s="36">
        <f t="shared" si="29"/>
        <v>51832.354838709674</v>
      </c>
      <c r="Z26" s="203">
        <f>'B5'!C25</f>
        <v>224</v>
      </c>
      <c r="AA26" s="203">
        <f t="shared" si="30"/>
        <v>2240</v>
      </c>
      <c r="AB26" s="203">
        <f t="shared" si="31"/>
        <v>224</v>
      </c>
      <c r="AC26" s="203">
        <f t="shared" si="30"/>
        <v>2240</v>
      </c>
      <c r="AD26" s="203">
        <f t="shared" si="32"/>
        <v>224</v>
      </c>
      <c r="AE26" s="203">
        <f t="shared" si="11"/>
        <v>2240</v>
      </c>
      <c r="AF26" s="203">
        <f t="shared" si="33"/>
        <v>224</v>
      </c>
      <c r="AG26" s="203">
        <f t="shared" si="12"/>
        <v>2240</v>
      </c>
      <c r="AH26" s="203">
        <f t="shared" si="34"/>
        <v>224</v>
      </c>
      <c r="AI26" s="203">
        <f t="shared" si="13"/>
        <v>2240</v>
      </c>
      <c r="AJ26" s="203">
        <f t="shared" si="35"/>
        <v>224</v>
      </c>
      <c r="AK26" s="203">
        <f t="shared" si="14"/>
        <v>2240</v>
      </c>
      <c r="AL26" s="203">
        <f t="shared" si="36"/>
        <v>224</v>
      </c>
      <c r="AM26" s="203">
        <f t="shared" si="15"/>
        <v>2240</v>
      </c>
      <c r="AN26" s="35">
        <f t="shared" si="16"/>
        <v>0.8</v>
      </c>
      <c r="AO26" s="36">
        <f t="shared" si="17"/>
        <v>15680</v>
      </c>
      <c r="AQ26" s="223">
        <f t="shared" si="37"/>
        <v>0.72617354887285868</v>
      </c>
      <c r="AR26" s="38">
        <f t="shared" si="41"/>
        <v>67512.354838709667</v>
      </c>
      <c r="AS26" s="197">
        <f t="shared" si="38"/>
        <v>0</v>
      </c>
      <c r="AT26" s="271"/>
      <c r="AU26" s="491"/>
      <c r="AV26" s="518">
        <f t="shared" si="42"/>
        <v>0.67400000000000004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44249</v>
      </c>
      <c r="B27">
        <f>'B5'!B26</f>
        <v>219</v>
      </c>
      <c r="C27" s="203">
        <f t="shared" si="18"/>
        <v>4712.0322580645161</v>
      </c>
      <c r="D27">
        <f t="shared" si="19"/>
        <v>219</v>
      </c>
      <c r="E27" s="203">
        <f t="shared" si="18"/>
        <v>4712.0322580645161</v>
      </c>
      <c r="F27">
        <f t="shared" si="20"/>
        <v>219</v>
      </c>
      <c r="G27" s="203">
        <f t="shared" si="1"/>
        <v>4712.0322580645161</v>
      </c>
      <c r="H27" s="203">
        <f t="shared" si="21"/>
        <v>219</v>
      </c>
      <c r="I27" s="203">
        <f t="shared" si="2"/>
        <v>4712.0322580645161</v>
      </c>
      <c r="J27" s="203">
        <f t="shared" si="22"/>
        <v>219</v>
      </c>
      <c r="K27" s="203">
        <f t="shared" si="3"/>
        <v>4712.0322580645161</v>
      </c>
      <c r="L27" s="203">
        <f t="shared" si="23"/>
        <v>219</v>
      </c>
      <c r="M27" s="203">
        <f t="shared" si="4"/>
        <v>4712.0322580645161</v>
      </c>
      <c r="N27" s="203">
        <f t="shared" si="24"/>
        <v>219</v>
      </c>
      <c r="O27" s="203">
        <f t="shared" si="5"/>
        <v>4712.0322580645161</v>
      </c>
      <c r="P27" s="203">
        <f t="shared" si="25"/>
        <v>219</v>
      </c>
      <c r="Q27" s="203">
        <f t="shared" si="6"/>
        <v>4712.0322580645161</v>
      </c>
      <c r="R27" s="203">
        <f t="shared" si="26"/>
        <v>219</v>
      </c>
      <c r="S27" s="203">
        <f t="shared" si="7"/>
        <v>4712.0322580645161</v>
      </c>
      <c r="T27" s="203">
        <f t="shared" si="27"/>
        <v>219</v>
      </c>
      <c r="U27" s="203">
        <f t="shared" si="8"/>
        <v>4712.0322580645161</v>
      </c>
      <c r="V27" s="203">
        <f t="shared" si="28"/>
        <v>219</v>
      </c>
      <c r="W27" s="203">
        <f t="shared" si="9"/>
        <v>4712.0322580645161</v>
      </c>
      <c r="X27" s="35">
        <f t="shared" si="10"/>
        <v>0.70645161290322578</v>
      </c>
      <c r="Y27" s="36">
        <f t="shared" si="29"/>
        <v>51832.354838709674</v>
      </c>
      <c r="Z27" s="203">
        <f>'B5'!C26</f>
        <v>224</v>
      </c>
      <c r="AA27" s="203">
        <f t="shared" si="30"/>
        <v>2240</v>
      </c>
      <c r="AB27" s="203">
        <f t="shared" si="31"/>
        <v>224</v>
      </c>
      <c r="AC27" s="203">
        <f t="shared" si="30"/>
        <v>2240</v>
      </c>
      <c r="AD27" s="203">
        <f t="shared" si="32"/>
        <v>224</v>
      </c>
      <c r="AE27" s="203">
        <f t="shared" si="11"/>
        <v>2240</v>
      </c>
      <c r="AF27" s="203">
        <f t="shared" si="33"/>
        <v>224</v>
      </c>
      <c r="AG27" s="203">
        <f t="shared" si="12"/>
        <v>2240</v>
      </c>
      <c r="AH27" s="203">
        <f t="shared" si="34"/>
        <v>224</v>
      </c>
      <c r="AI27" s="203">
        <f t="shared" si="13"/>
        <v>2240</v>
      </c>
      <c r="AJ27" s="203">
        <f t="shared" si="35"/>
        <v>224</v>
      </c>
      <c r="AK27" s="203">
        <f t="shared" si="14"/>
        <v>2240</v>
      </c>
      <c r="AL27" s="203">
        <f t="shared" si="36"/>
        <v>224</v>
      </c>
      <c r="AM27" s="203">
        <f t="shared" si="15"/>
        <v>2240</v>
      </c>
      <c r="AN27" s="35">
        <f t="shared" si="16"/>
        <v>0.8</v>
      </c>
      <c r="AO27" s="36">
        <f t="shared" si="17"/>
        <v>15680</v>
      </c>
      <c r="AQ27" s="223">
        <f t="shared" si="37"/>
        <v>0.72617354887285868</v>
      </c>
      <c r="AR27" s="38">
        <f t="shared" si="41"/>
        <v>67512.354838709667</v>
      </c>
      <c r="AS27" s="197">
        <f t="shared" si="38"/>
        <v>0</v>
      </c>
      <c r="AT27" s="271"/>
      <c r="AU27" s="436"/>
      <c r="AV27" s="518">
        <f t="shared" si="42"/>
        <v>0.67400000000000004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44250</v>
      </c>
      <c r="B28">
        <f>'B5'!B27</f>
        <v>219</v>
      </c>
      <c r="C28" s="203">
        <f t="shared" si="18"/>
        <v>4712.0322580645161</v>
      </c>
      <c r="D28">
        <f t="shared" si="19"/>
        <v>219</v>
      </c>
      <c r="E28" s="203">
        <f t="shared" si="18"/>
        <v>4712.0322580645161</v>
      </c>
      <c r="F28">
        <f t="shared" si="20"/>
        <v>219</v>
      </c>
      <c r="G28" s="203">
        <f t="shared" si="1"/>
        <v>4712.0322580645161</v>
      </c>
      <c r="H28" s="203">
        <f t="shared" si="21"/>
        <v>219</v>
      </c>
      <c r="I28" s="203">
        <f t="shared" si="2"/>
        <v>4712.0322580645161</v>
      </c>
      <c r="J28" s="203">
        <f t="shared" si="22"/>
        <v>219</v>
      </c>
      <c r="K28" s="203">
        <f t="shared" si="3"/>
        <v>4712.0322580645161</v>
      </c>
      <c r="L28" s="203">
        <f t="shared" si="23"/>
        <v>219</v>
      </c>
      <c r="M28" s="203">
        <f t="shared" si="4"/>
        <v>4712.0322580645161</v>
      </c>
      <c r="N28" s="203">
        <f t="shared" si="24"/>
        <v>219</v>
      </c>
      <c r="O28" s="203">
        <f t="shared" si="5"/>
        <v>4712.0322580645161</v>
      </c>
      <c r="P28" s="203">
        <f t="shared" si="25"/>
        <v>219</v>
      </c>
      <c r="Q28" s="203">
        <f t="shared" si="6"/>
        <v>4712.0322580645161</v>
      </c>
      <c r="R28" s="203">
        <f t="shared" si="26"/>
        <v>219</v>
      </c>
      <c r="S28" s="203">
        <f t="shared" si="7"/>
        <v>4712.0322580645161</v>
      </c>
      <c r="T28" s="203">
        <f t="shared" si="27"/>
        <v>219</v>
      </c>
      <c r="U28" s="203">
        <f t="shared" si="8"/>
        <v>4712.0322580645161</v>
      </c>
      <c r="V28" s="203">
        <f t="shared" si="28"/>
        <v>219</v>
      </c>
      <c r="W28" s="203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3">
        <f>'B5'!C27</f>
        <v>224</v>
      </c>
      <c r="AA28" s="203">
        <f t="shared" si="30"/>
        <v>2240</v>
      </c>
      <c r="AB28" s="203">
        <f t="shared" si="31"/>
        <v>224</v>
      </c>
      <c r="AC28" s="203">
        <f t="shared" si="30"/>
        <v>2240</v>
      </c>
      <c r="AD28" s="203">
        <f t="shared" si="32"/>
        <v>224</v>
      </c>
      <c r="AE28" s="203">
        <f t="shared" si="11"/>
        <v>2240</v>
      </c>
      <c r="AF28" s="203">
        <f t="shared" si="33"/>
        <v>224</v>
      </c>
      <c r="AG28" s="203">
        <f t="shared" si="12"/>
        <v>2240</v>
      </c>
      <c r="AH28" s="203">
        <f t="shared" si="34"/>
        <v>224</v>
      </c>
      <c r="AI28" s="203">
        <f t="shared" si="13"/>
        <v>2240</v>
      </c>
      <c r="AJ28" s="203">
        <f t="shared" si="35"/>
        <v>224</v>
      </c>
      <c r="AK28" s="203">
        <f t="shared" si="14"/>
        <v>2240</v>
      </c>
      <c r="AL28" s="203">
        <f t="shared" si="36"/>
        <v>224</v>
      </c>
      <c r="AM28" s="203">
        <f t="shared" si="15"/>
        <v>2240</v>
      </c>
      <c r="AN28" s="35">
        <f t="shared" si="16"/>
        <v>0.8</v>
      </c>
      <c r="AO28" s="36">
        <f t="shared" si="17"/>
        <v>15680</v>
      </c>
      <c r="AQ28" s="223">
        <f t="shared" si="37"/>
        <v>0.72617354887285868</v>
      </c>
      <c r="AR28" s="38">
        <f t="shared" si="41"/>
        <v>67512.354838709667</v>
      </c>
      <c r="AS28" s="197">
        <f t="shared" si="38"/>
        <v>0</v>
      </c>
      <c r="AT28" s="355"/>
      <c r="AU28" s="436"/>
      <c r="AV28" s="518">
        <f t="shared" si="42"/>
        <v>0.67400000000000004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44251</v>
      </c>
      <c r="B29">
        <f>'B5'!B28</f>
        <v>219</v>
      </c>
      <c r="C29" s="203">
        <f t="shared" si="18"/>
        <v>4712.0322580645161</v>
      </c>
      <c r="D29">
        <f t="shared" si="19"/>
        <v>219</v>
      </c>
      <c r="E29" s="203">
        <f t="shared" si="18"/>
        <v>4712.0322580645161</v>
      </c>
      <c r="F29">
        <f t="shared" si="20"/>
        <v>219</v>
      </c>
      <c r="G29" s="203">
        <f t="shared" si="1"/>
        <v>4712.0322580645161</v>
      </c>
      <c r="H29" s="203">
        <f t="shared" si="21"/>
        <v>219</v>
      </c>
      <c r="I29" s="203">
        <f t="shared" si="2"/>
        <v>4712.0322580645161</v>
      </c>
      <c r="J29" s="203">
        <f t="shared" si="22"/>
        <v>219</v>
      </c>
      <c r="K29" s="203">
        <f t="shared" si="3"/>
        <v>4712.0322580645161</v>
      </c>
      <c r="L29" s="203">
        <f t="shared" si="23"/>
        <v>219</v>
      </c>
      <c r="M29" s="203">
        <f t="shared" si="4"/>
        <v>4712.0322580645161</v>
      </c>
      <c r="N29" s="203">
        <f t="shared" si="24"/>
        <v>219</v>
      </c>
      <c r="O29" s="203">
        <f t="shared" si="5"/>
        <v>4712.0322580645161</v>
      </c>
      <c r="P29" s="203">
        <f t="shared" si="25"/>
        <v>219</v>
      </c>
      <c r="Q29" s="203">
        <f t="shared" si="6"/>
        <v>4712.0322580645161</v>
      </c>
      <c r="R29" s="203">
        <f t="shared" si="26"/>
        <v>219</v>
      </c>
      <c r="S29" s="203">
        <f t="shared" si="7"/>
        <v>4712.0322580645161</v>
      </c>
      <c r="T29" s="203">
        <f t="shared" si="27"/>
        <v>219</v>
      </c>
      <c r="U29" s="203">
        <f t="shared" si="8"/>
        <v>4712.0322580645161</v>
      </c>
      <c r="V29" s="203">
        <f t="shared" si="28"/>
        <v>219</v>
      </c>
      <c r="W29" s="203">
        <f t="shared" si="9"/>
        <v>4712.0322580645161</v>
      </c>
      <c r="X29" s="35">
        <f t="shared" si="10"/>
        <v>0.70645161290322578</v>
      </c>
      <c r="Y29" s="36">
        <f t="shared" si="29"/>
        <v>51832.354838709674</v>
      </c>
      <c r="Z29" s="203">
        <f>'B5'!C28</f>
        <v>224</v>
      </c>
      <c r="AA29" s="203">
        <f t="shared" si="30"/>
        <v>2240</v>
      </c>
      <c r="AB29" s="203">
        <f t="shared" si="31"/>
        <v>224</v>
      </c>
      <c r="AC29" s="203">
        <f t="shared" si="30"/>
        <v>2240</v>
      </c>
      <c r="AD29" s="203">
        <f t="shared" si="32"/>
        <v>224</v>
      </c>
      <c r="AE29" s="203">
        <f t="shared" si="11"/>
        <v>2240</v>
      </c>
      <c r="AF29" s="203">
        <f t="shared" si="33"/>
        <v>224</v>
      </c>
      <c r="AG29" s="203">
        <f t="shared" si="12"/>
        <v>2240</v>
      </c>
      <c r="AH29" s="203">
        <f t="shared" si="34"/>
        <v>224</v>
      </c>
      <c r="AI29" s="203">
        <f t="shared" si="13"/>
        <v>2240</v>
      </c>
      <c r="AJ29" s="203">
        <f t="shared" si="35"/>
        <v>224</v>
      </c>
      <c r="AK29" s="203">
        <f t="shared" si="14"/>
        <v>2240</v>
      </c>
      <c r="AL29" s="203">
        <f t="shared" si="36"/>
        <v>224</v>
      </c>
      <c r="AM29" s="203">
        <f t="shared" si="15"/>
        <v>2240</v>
      </c>
      <c r="AN29" s="35">
        <f t="shared" si="16"/>
        <v>0.8</v>
      </c>
      <c r="AO29" s="36">
        <f t="shared" si="17"/>
        <v>15680</v>
      </c>
      <c r="AQ29" s="223">
        <f t="shared" si="37"/>
        <v>0.72617354887285868</v>
      </c>
      <c r="AR29" s="38">
        <f t="shared" si="41"/>
        <v>67512.354838709667</v>
      </c>
      <c r="AS29" s="197">
        <f t="shared" si="38"/>
        <v>0</v>
      </c>
      <c r="AT29" s="355"/>
      <c r="AU29" s="436"/>
      <c r="AV29" s="518">
        <f t="shared" si="42"/>
        <v>0.67400000000000004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44252</v>
      </c>
      <c r="B30">
        <f>'B5'!B29</f>
        <v>219</v>
      </c>
      <c r="C30" s="203">
        <f t="shared" si="18"/>
        <v>4712.0322580645161</v>
      </c>
      <c r="D30">
        <f t="shared" ref="D30:D33" si="44">SUM(B30)</f>
        <v>219</v>
      </c>
      <c r="E30" s="203">
        <f t="shared" si="18"/>
        <v>4712.0322580645161</v>
      </c>
      <c r="F30">
        <f t="shared" ref="F30:F33" si="45">SUM(D30)</f>
        <v>219</v>
      </c>
      <c r="G30" s="203">
        <f t="shared" si="1"/>
        <v>4712.0322580645161</v>
      </c>
      <c r="H30" s="203">
        <f t="shared" ref="H30:H33" si="46">SUM(F30)</f>
        <v>219</v>
      </c>
      <c r="I30" s="203">
        <f t="shared" si="2"/>
        <v>4712.0322580645161</v>
      </c>
      <c r="J30" s="203">
        <f t="shared" ref="J30:J33" si="47">SUM(H30)</f>
        <v>219</v>
      </c>
      <c r="K30" s="203">
        <f t="shared" si="3"/>
        <v>4712.0322580645161</v>
      </c>
      <c r="L30" s="203">
        <f t="shared" ref="L30:L33" si="48">SUM(J30)</f>
        <v>219</v>
      </c>
      <c r="M30" s="203">
        <f t="shared" si="4"/>
        <v>4712.0322580645161</v>
      </c>
      <c r="N30" s="203">
        <f t="shared" ref="N30:N33" si="49">SUM(L30)</f>
        <v>219</v>
      </c>
      <c r="O30" s="203">
        <f t="shared" si="5"/>
        <v>4712.0322580645161</v>
      </c>
      <c r="P30" s="203">
        <f t="shared" ref="P30:P33" si="50">SUM(N30)</f>
        <v>219</v>
      </c>
      <c r="Q30" s="203">
        <f t="shared" si="6"/>
        <v>4712.0322580645161</v>
      </c>
      <c r="R30" s="203">
        <f t="shared" ref="R30:R33" si="51">SUM(P30)</f>
        <v>219</v>
      </c>
      <c r="S30" s="203">
        <f t="shared" si="7"/>
        <v>4712.0322580645161</v>
      </c>
      <c r="T30" s="203">
        <f t="shared" ref="T30:T33" si="52">SUM(R30)</f>
        <v>219</v>
      </c>
      <c r="U30" s="203">
        <f t="shared" si="8"/>
        <v>4712.0322580645161</v>
      </c>
      <c r="V30" s="203">
        <f t="shared" ref="V30:V33" si="53">SUM(T30)</f>
        <v>219</v>
      </c>
      <c r="W30" s="203">
        <f t="shared" si="9"/>
        <v>4712.0322580645161</v>
      </c>
      <c r="X30" s="35">
        <f t="shared" ref="X30:X33" si="54">SUM(Y30/73370)</f>
        <v>0.70645161290322578</v>
      </c>
      <c r="Y30" s="36">
        <f t="shared" ref="Y30:Y33" si="55">SUM(C30+E30+G30+I30+K30+M30+O30+Q30+S30+U30+W30)</f>
        <v>51832.354838709674</v>
      </c>
      <c r="Z30" s="203">
        <f>'B5'!C29</f>
        <v>224</v>
      </c>
      <c r="AA30" s="203">
        <f t="shared" si="30"/>
        <v>2240</v>
      </c>
      <c r="AB30" s="203">
        <f t="shared" ref="AB30:AB33" si="56">SUM(Z30)</f>
        <v>224</v>
      </c>
      <c r="AC30" s="203">
        <f t="shared" si="30"/>
        <v>2240</v>
      </c>
      <c r="AD30" s="203">
        <f t="shared" ref="AD30:AD33" si="57">SUM(AB30)</f>
        <v>224</v>
      </c>
      <c r="AE30" s="203">
        <f t="shared" si="11"/>
        <v>2240</v>
      </c>
      <c r="AF30" s="203">
        <f t="shared" ref="AF30:AF33" si="58">SUM(AD30)</f>
        <v>224</v>
      </c>
      <c r="AG30" s="203">
        <f t="shared" si="12"/>
        <v>2240</v>
      </c>
      <c r="AH30" s="203">
        <f t="shared" ref="AH30:AH33" si="59">SUM(AF30)</f>
        <v>224</v>
      </c>
      <c r="AI30" s="203">
        <f t="shared" si="13"/>
        <v>2240</v>
      </c>
      <c r="AJ30" s="203">
        <f t="shared" ref="AJ30:AJ33" si="60">SUM(AH30)</f>
        <v>224</v>
      </c>
      <c r="AK30" s="203">
        <f t="shared" si="14"/>
        <v>2240</v>
      </c>
      <c r="AL30" s="203">
        <f t="shared" ref="AL30:AL33" si="61">SUM(AJ30)</f>
        <v>224</v>
      </c>
      <c r="AM30" s="203">
        <f t="shared" si="15"/>
        <v>2240</v>
      </c>
      <c r="AN30" s="35">
        <f t="shared" ref="AN30:AN33" si="62">SUM(AO30/19600)</f>
        <v>0.8</v>
      </c>
      <c r="AO30" s="36">
        <f t="shared" ref="AO30:AO33" si="63">SUM(AA30+AC30+AE30+AG30+AI30+AK30+AM30)</f>
        <v>15680</v>
      </c>
      <c r="AQ30" s="223">
        <f t="shared" si="37"/>
        <v>0.72617354887285868</v>
      </c>
      <c r="AR30" s="38">
        <f t="shared" si="41"/>
        <v>67512.354838709667</v>
      </c>
      <c r="AS30" s="197">
        <f t="shared" si="38"/>
        <v>0</v>
      </c>
      <c r="AT30" s="355"/>
      <c r="AU30" s="436"/>
      <c r="AV30" s="518">
        <f t="shared" si="42"/>
        <v>0.67400000000000004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44253</v>
      </c>
      <c r="B31">
        <f>'B5'!B30</f>
        <v>219</v>
      </c>
      <c r="C31" s="203">
        <f t="shared" si="18"/>
        <v>4712.0322580645161</v>
      </c>
      <c r="D31">
        <f t="shared" si="44"/>
        <v>219</v>
      </c>
      <c r="E31" s="203">
        <f t="shared" si="18"/>
        <v>4712.0322580645161</v>
      </c>
      <c r="F31">
        <f t="shared" si="45"/>
        <v>219</v>
      </c>
      <c r="G31" s="203">
        <f t="shared" si="1"/>
        <v>4712.0322580645161</v>
      </c>
      <c r="H31" s="203">
        <f t="shared" si="46"/>
        <v>219</v>
      </c>
      <c r="I31" s="203">
        <f t="shared" si="2"/>
        <v>4712.0322580645161</v>
      </c>
      <c r="J31" s="203">
        <f t="shared" si="47"/>
        <v>219</v>
      </c>
      <c r="K31" s="203">
        <f t="shared" si="3"/>
        <v>4712.0322580645161</v>
      </c>
      <c r="L31" s="203">
        <f t="shared" si="48"/>
        <v>219</v>
      </c>
      <c r="M31" s="203">
        <f t="shared" si="4"/>
        <v>4712.0322580645161</v>
      </c>
      <c r="N31" s="203">
        <f t="shared" si="49"/>
        <v>219</v>
      </c>
      <c r="O31" s="203">
        <f t="shared" si="5"/>
        <v>4712.0322580645161</v>
      </c>
      <c r="P31" s="203">
        <f t="shared" si="50"/>
        <v>219</v>
      </c>
      <c r="Q31" s="203">
        <f t="shared" si="6"/>
        <v>4712.0322580645161</v>
      </c>
      <c r="R31" s="203">
        <f t="shared" si="51"/>
        <v>219</v>
      </c>
      <c r="S31" s="203">
        <f t="shared" si="7"/>
        <v>4712.0322580645161</v>
      </c>
      <c r="T31" s="203">
        <f t="shared" si="52"/>
        <v>219</v>
      </c>
      <c r="U31" s="203">
        <f t="shared" si="8"/>
        <v>4712.0322580645161</v>
      </c>
      <c r="V31" s="203">
        <f t="shared" si="53"/>
        <v>219</v>
      </c>
      <c r="W31" s="203">
        <f t="shared" si="9"/>
        <v>4712.0322580645161</v>
      </c>
      <c r="X31" s="35">
        <f t="shared" si="54"/>
        <v>0.70645161290322578</v>
      </c>
      <c r="Y31" s="36">
        <f t="shared" si="55"/>
        <v>51832.354838709674</v>
      </c>
      <c r="Z31" s="203">
        <f>'B5'!C30</f>
        <v>224</v>
      </c>
      <c r="AA31" s="203">
        <f t="shared" si="30"/>
        <v>2240</v>
      </c>
      <c r="AB31" s="203">
        <f t="shared" si="56"/>
        <v>224</v>
      </c>
      <c r="AC31" s="203">
        <f t="shared" si="30"/>
        <v>2240</v>
      </c>
      <c r="AD31" s="203">
        <f t="shared" si="57"/>
        <v>224</v>
      </c>
      <c r="AE31" s="203">
        <f t="shared" si="11"/>
        <v>2240</v>
      </c>
      <c r="AF31" s="203">
        <f t="shared" si="58"/>
        <v>224</v>
      </c>
      <c r="AG31" s="203">
        <f t="shared" si="12"/>
        <v>2240</v>
      </c>
      <c r="AH31" s="203">
        <f t="shared" si="59"/>
        <v>224</v>
      </c>
      <c r="AI31" s="203">
        <f t="shared" si="13"/>
        <v>2240</v>
      </c>
      <c r="AJ31" s="203">
        <f t="shared" si="60"/>
        <v>224</v>
      </c>
      <c r="AK31" s="203">
        <f t="shared" si="14"/>
        <v>2240</v>
      </c>
      <c r="AL31" s="203">
        <f t="shared" si="61"/>
        <v>224</v>
      </c>
      <c r="AM31" s="203">
        <f t="shared" si="15"/>
        <v>2240</v>
      </c>
      <c r="AN31" s="35">
        <f t="shared" si="62"/>
        <v>0.8</v>
      </c>
      <c r="AO31" s="36">
        <f t="shared" si="63"/>
        <v>15680</v>
      </c>
      <c r="AQ31" s="223">
        <f t="shared" si="37"/>
        <v>0.72617354887285868</v>
      </c>
      <c r="AR31" s="38">
        <f t="shared" si="41"/>
        <v>67512.354838709667</v>
      </c>
      <c r="AS31" s="197">
        <f>SUM(AR31-AR30-AT31)</f>
        <v>0</v>
      </c>
      <c r="AT31" s="355"/>
      <c r="AU31" s="436"/>
      <c r="AV31" s="518">
        <f t="shared" si="42"/>
        <v>0.67400000000000004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44254</v>
      </c>
      <c r="B32">
        <f>'B5'!B31</f>
        <v>219</v>
      </c>
      <c r="C32" s="203">
        <f t="shared" si="18"/>
        <v>4712.0322580645161</v>
      </c>
      <c r="D32">
        <f t="shared" si="44"/>
        <v>219</v>
      </c>
      <c r="E32" s="203">
        <f t="shared" si="18"/>
        <v>4712.0322580645161</v>
      </c>
      <c r="F32">
        <f t="shared" si="45"/>
        <v>219</v>
      </c>
      <c r="G32" s="203">
        <f t="shared" si="1"/>
        <v>4712.0322580645161</v>
      </c>
      <c r="H32" s="203">
        <f t="shared" si="46"/>
        <v>219</v>
      </c>
      <c r="I32" s="203">
        <f t="shared" si="2"/>
        <v>4712.0322580645161</v>
      </c>
      <c r="J32" s="203">
        <f t="shared" si="47"/>
        <v>219</v>
      </c>
      <c r="K32" s="203">
        <f t="shared" si="3"/>
        <v>4712.0322580645161</v>
      </c>
      <c r="L32" s="203">
        <f t="shared" si="48"/>
        <v>219</v>
      </c>
      <c r="M32" s="203">
        <f t="shared" si="4"/>
        <v>4712.0322580645161</v>
      </c>
      <c r="N32" s="203">
        <f t="shared" si="49"/>
        <v>219</v>
      </c>
      <c r="O32" s="203">
        <f t="shared" si="5"/>
        <v>4712.0322580645161</v>
      </c>
      <c r="P32" s="203">
        <f t="shared" si="50"/>
        <v>219</v>
      </c>
      <c r="Q32" s="203">
        <f t="shared" si="6"/>
        <v>4712.0322580645161</v>
      </c>
      <c r="R32" s="203">
        <f t="shared" si="51"/>
        <v>219</v>
      </c>
      <c r="S32" s="203">
        <f t="shared" si="7"/>
        <v>4712.0322580645161</v>
      </c>
      <c r="T32" s="203">
        <f t="shared" si="52"/>
        <v>219</v>
      </c>
      <c r="U32" s="203">
        <f t="shared" si="8"/>
        <v>4712.0322580645161</v>
      </c>
      <c r="V32" s="203">
        <f t="shared" si="53"/>
        <v>219</v>
      </c>
      <c r="W32" s="203">
        <f t="shared" si="9"/>
        <v>4712.0322580645161</v>
      </c>
      <c r="X32" s="35">
        <f t="shared" si="54"/>
        <v>0.70645161290322578</v>
      </c>
      <c r="Y32" s="36">
        <f t="shared" si="55"/>
        <v>51832.354838709674</v>
      </c>
      <c r="Z32" s="203">
        <f>'B5'!C31</f>
        <v>224</v>
      </c>
      <c r="AA32" s="203">
        <f t="shared" si="30"/>
        <v>2240</v>
      </c>
      <c r="AB32" s="203">
        <f t="shared" si="56"/>
        <v>224</v>
      </c>
      <c r="AC32" s="203">
        <f t="shared" si="30"/>
        <v>2240</v>
      </c>
      <c r="AD32" s="203">
        <f t="shared" si="57"/>
        <v>224</v>
      </c>
      <c r="AE32" s="203">
        <f t="shared" si="11"/>
        <v>2240</v>
      </c>
      <c r="AF32" s="203">
        <f t="shared" si="58"/>
        <v>224</v>
      </c>
      <c r="AG32" s="203">
        <f t="shared" si="12"/>
        <v>2240</v>
      </c>
      <c r="AH32" s="203">
        <f t="shared" si="59"/>
        <v>224</v>
      </c>
      <c r="AI32" s="203">
        <f t="shared" si="13"/>
        <v>2240</v>
      </c>
      <c r="AJ32" s="203">
        <f t="shared" si="60"/>
        <v>224</v>
      </c>
      <c r="AK32" s="203">
        <f t="shared" si="14"/>
        <v>2240</v>
      </c>
      <c r="AL32" s="203">
        <f t="shared" si="61"/>
        <v>224</v>
      </c>
      <c r="AM32" s="203">
        <f t="shared" si="15"/>
        <v>2240</v>
      </c>
      <c r="AN32" s="35">
        <f t="shared" si="62"/>
        <v>0.8</v>
      </c>
      <c r="AO32" s="36">
        <f t="shared" si="63"/>
        <v>15680</v>
      </c>
      <c r="AQ32" s="223">
        <f t="shared" si="37"/>
        <v>0.72617354887285868</v>
      </c>
      <c r="AR32" s="38">
        <f t="shared" si="41"/>
        <v>67512.354838709667</v>
      </c>
      <c r="AS32" s="197">
        <f t="shared" si="38"/>
        <v>0</v>
      </c>
      <c r="AT32" s="355"/>
      <c r="AU32" s="436"/>
      <c r="AV32" s="518">
        <f>IF(AT32&gt;0,AU32,AV31)</f>
        <v>0.67400000000000004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44255</v>
      </c>
      <c r="B33">
        <f>'B5'!B32</f>
        <v>219</v>
      </c>
      <c r="C33" s="203">
        <f t="shared" si="18"/>
        <v>4712.0322580645161</v>
      </c>
      <c r="D33">
        <f t="shared" si="44"/>
        <v>219</v>
      </c>
      <c r="E33" s="203">
        <f t="shared" si="18"/>
        <v>4712.0322580645161</v>
      </c>
      <c r="F33">
        <f t="shared" si="45"/>
        <v>219</v>
      </c>
      <c r="G33" s="203">
        <f t="shared" si="1"/>
        <v>4712.0322580645161</v>
      </c>
      <c r="H33" s="203">
        <f t="shared" si="46"/>
        <v>219</v>
      </c>
      <c r="I33" s="203">
        <f t="shared" si="2"/>
        <v>4712.0322580645161</v>
      </c>
      <c r="J33" s="203">
        <f t="shared" si="47"/>
        <v>219</v>
      </c>
      <c r="K33" s="203">
        <f t="shared" si="3"/>
        <v>4712.0322580645161</v>
      </c>
      <c r="L33" s="203">
        <f t="shared" si="48"/>
        <v>219</v>
      </c>
      <c r="M33" s="203">
        <f t="shared" si="4"/>
        <v>4712.0322580645161</v>
      </c>
      <c r="N33" s="203">
        <f t="shared" si="49"/>
        <v>219</v>
      </c>
      <c r="O33" s="203">
        <f t="shared" si="5"/>
        <v>4712.0322580645161</v>
      </c>
      <c r="P33" s="203">
        <f t="shared" si="50"/>
        <v>219</v>
      </c>
      <c r="Q33" s="203">
        <f t="shared" si="6"/>
        <v>4712.0322580645161</v>
      </c>
      <c r="R33" s="203">
        <f t="shared" si="51"/>
        <v>219</v>
      </c>
      <c r="S33" s="203">
        <f t="shared" si="7"/>
        <v>4712.0322580645161</v>
      </c>
      <c r="T33" s="203">
        <f t="shared" si="52"/>
        <v>219</v>
      </c>
      <c r="U33" s="203">
        <f t="shared" si="8"/>
        <v>4712.0322580645161</v>
      </c>
      <c r="V33" s="203">
        <f t="shared" si="53"/>
        <v>219</v>
      </c>
      <c r="W33" s="203">
        <f t="shared" si="9"/>
        <v>4712.0322580645161</v>
      </c>
      <c r="X33" s="35">
        <f t="shared" si="54"/>
        <v>0.70645161290322578</v>
      </c>
      <c r="Y33" s="36">
        <f t="shared" si="55"/>
        <v>51832.354838709674</v>
      </c>
      <c r="Z33" s="203">
        <f>'B5'!C32</f>
        <v>224</v>
      </c>
      <c r="AA33" s="203">
        <f t="shared" si="30"/>
        <v>2240</v>
      </c>
      <c r="AB33" s="203">
        <f t="shared" si="56"/>
        <v>224</v>
      </c>
      <c r="AC33" s="203">
        <f t="shared" si="30"/>
        <v>2240</v>
      </c>
      <c r="AD33" s="203">
        <f t="shared" si="57"/>
        <v>224</v>
      </c>
      <c r="AE33" s="203">
        <f t="shared" si="11"/>
        <v>2240</v>
      </c>
      <c r="AF33" s="203">
        <f t="shared" si="58"/>
        <v>224</v>
      </c>
      <c r="AG33" s="203">
        <f t="shared" si="12"/>
        <v>2240</v>
      </c>
      <c r="AH33" s="203">
        <f t="shared" si="59"/>
        <v>224</v>
      </c>
      <c r="AI33" s="203">
        <f t="shared" si="13"/>
        <v>2240</v>
      </c>
      <c r="AJ33" s="203">
        <f t="shared" si="60"/>
        <v>224</v>
      </c>
      <c r="AK33" s="203">
        <f t="shared" si="14"/>
        <v>2240</v>
      </c>
      <c r="AL33" s="203">
        <f t="shared" si="61"/>
        <v>224</v>
      </c>
      <c r="AM33" s="203">
        <f t="shared" si="15"/>
        <v>2240</v>
      </c>
      <c r="AN33" s="35">
        <f t="shared" si="62"/>
        <v>0.8</v>
      </c>
      <c r="AO33" s="36">
        <f t="shared" si="63"/>
        <v>15680</v>
      </c>
      <c r="AQ33" s="223">
        <f t="shared" si="37"/>
        <v>0.72617354887285868</v>
      </c>
      <c r="AR33" s="38">
        <f t="shared" si="41"/>
        <v>67512.354838709667</v>
      </c>
      <c r="AS33" s="197">
        <f t="shared" si="38"/>
        <v>0</v>
      </c>
      <c r="AT33" s="355"/>
      <c r="AU33" s="436"/>
      <c r="AV33" s="518">
        <f>IF(AT33&gt;0,AU33,AV32)</f>
        <v>0.67400000000000004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Q34" s="20"/>
      <c r="AR34" s="479" t="s">
        <v>225</v>
      </c>
      <c r="AS34" s="485">
        <f>COUNT(AT6:AT33)</f>
        <v>2</v>
      </c>
      <c r="AT34" s="203">
        <f>SUM(AT6:AT33)</f>
        <v>7850.1</v>
      </c>
      <c r="AU34">
        <f>SUM(AU6:AU33)/AS34</f>
        <v>0.38700000000000001</v>
      </c>
      <c r="AX34" s="203">
        <f>SUM(AX6:AX33)</f>
        <v>-9555.616129032258</v>
      </c>
      <c r="AY34" s="203">
        <f>SUM(AY6:AY33)</f>
        <v>-13133.616129032258</v>
      </c>
    </row>
    <row r="35" spans="1:60">
      <c r="AS35" s="206"/>
      <c r="AT35">
        <f>+AT34*AU34</f>
        <v>3037.9887000000003</v>
      </c>
    </row>
    <row r="37" spans="1:60">
      <c r="AS37" s="165">
        <f>SUM(AS6:AS33)/'EDl log'!A32</f>
        <v>-1094.4680107526881</v>
      </c>
      <c r="AT37" s="203"/>
    </row>
    <row r="39" spans="1:60">
      <c r="AR39" s="203"/>
    </row>
  </sheetData>
  <mergeCells count="3">
    <mergeCell ref="AT3:AU3"/>
    <mergeCell ref="AS3:AS4"/>
    <mergeCell ref="AR3:AR4"/>
  </mergeCells>
  <conditionalFormatting sqref="AW6:AX33">
    <cfRule type="cellIs" dxfId="6" priority="5" stopIfTrue="1" operator="greaterThan">
      <formula>0</formula>
    </cfRule>
  </conditionalFormatting>
  <conditionalFormatting sqref="AT6:AU33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397</v>
      </c>
      <c r="C2" s="3">
        <f>ELEC!N3</f>
        <v>6404.3999999999069</v>
      </c>
      <c r="D2" s="3">
        <f>C2-E2</f>
        <v>4436.3999999991502</v>
      </c>
      <c r="E2" s="3">
        <f>ELEC!Q3</f>
        <v>1968.0000000007567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-39.000000000000028</v>
      </c>
      <c r="J2" s="9">
        <f>'B5'!A4</f>
        <v>44227</v>
      </c>
    </row>
    <row r="3" spans="1:10">
      <c r="A3" s="3">
        <f>ELEC!T4+ELEC!X2+ELEC!AB4</f>
        <v>4</v>
      </c>
      <c r="B3" s="3">
        <f>ELEC!AF4</f>
        <v>514</v>
      </c>
      <c r="C3" s="3">
        <f>ELEC!N4</f>
        <v>6622</v>
      </c>
      <c r="D3" s="3">
        <f t="shared" ref="D3:D30" si="0">C3-E3</f>
        <v>4367.0000000026193</v>
      </c>
      <c r="E3" s="3">
        <f>ELEC!Q4</f>
        <v>2254.9999999973807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-16.399999999999977</v>
      </c>
      <c r="J3" s="9">
        <f>'B5'!A5</f>
        <v>44228</v>
      </c>
    </row>
    <row r="4" spans="1:10">
      <c r="A4" s="3">
        <f>ELEC!T5+ELEC!X5+ELEC!AB5</f>
        <v>3</v>
      </c>
      <c r="B4" s="3">
        <f>ELEC!AF5</f>
        <v>688</v>
      </c>
      <c r="C4" s="3">
        <f>ELEC!N5</f>
        <v>6753</v>
      </c>
      <c r="D4" s="3">
        <f t="shared" si="0"/>
        <v>3831.9999999979045</v>
      </c>
      <c r="E4" s="3">
        <f>ELEC!Q5</f>
        <v>2921.0000000020955</v>
      </c>
      <c r="F4" s="3">
        <f>GEN!Z4</f>
        <v>4</v>
      </c>
      <c r="G4" s="3">
        <f>WATER!C7+WATER!H7</f>
        <v>0</v>
      </c>
      <c r="H4" s="3">
        <f>WATER!L7</f>
        <v>0</v>
      </c>
      <c r="I4" s="15">
        <f>WATER!BC7+WATER!BD7+WATER!BE8-Sheet1!G4</f>
        <v>-21.099999999999994</v>
      </c>
      <c r="J4" s="9">
        <f>'B5'!A6</f>
        <v>44229</v>
      </c>
    </row>
    <row r="5" spans="1:10">
      <c r="A5" s="3">
        <f>ELEC!T6+ELEC!X6+ELEC!AB6</f>
        <v>4</v>
      </c>
      <c r="B5" s="3">
        <f>ELEC!AF6</f>
        <v>548</v>
      </c>
      <c r="C5" s="3">
        <f>ELEC!N6</f>
        <v>6587</v>
      </c>
      <c r="D5" s="3">
        <f t="shared" si="0"/>
        <v>3963.0000000002037</v>
      </c>
      <c r="E5" s="3">
        <f>ELEC!Q6</f>
        <v>2623.9999999997963</v>
      </c>
      <c r="F5" s="3">
        <f>GEN!Z5</f>
        <v>4</v>
      </c>
      <c r="G5" s="3">
        <f>WATER!C8+WATER!H8</f>
        <v>0</v>
      </c>
      <c r="H5" s="3">
        <f>WATER!L8</f>
        <v>0</v>
      </c>
      <c r="I5" s="15">
        <f>WATER!BC8+WATER!BD8+WATER!BE9-Sheet1!G5</f>
        <v>-25.099999999999966</v>
      </c>
      <c r="J5" s="9">
        <f>'B5'!A7</f>
        <v>44230</v>
      </c>
    </row>
    <row r="6" spans="1:10">
      <c r="A6" s="3">
        <f>ELEC!T7+ELEC!X7+ELEC!AB7</f>
        <v>3</v>
      </c>
      <c r="B6" s="3">
        <f>ELEC!AF7</f>
        <v>440</v>
      </c>
      <c r="C6" s="3">
        <f>ELEC!N7</f>
        <v>5932</v>
      </c>
      <c r="D6" s="3">
        <f t="shared" si="0"/>
        <v>5932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0</v>
      </c>
      <c r="I6" s="15">
        <f>WATER!BC9+WATER!BD9+WATER!BE10-Sheet1!G6</f>
        <v>-39.600000000000023</v>
      </c>
      <c r="J6" s="9">
        <f>'B5'!A8</f>
        <v>44231</v>
      </c>
    </row>
    <row r="7" spans="1:10">
      <c r="A7" s="3">
        <f>ELEC!T8+ELEC!X8+ELEC!AB8</f>
        <v>2</v>
      </c>
      <c r="B7" s="3">
        <f>ELEC!AF8</f>
        <v>374</v>
      </c>
      <c r="C7" s="3">
        <f>ELEC!N8</f>
        <v>5977</v>
      </c>
      <c r="D7" s="3">
        <f t="shared" si="0"/>
        <v>4283.0000000004948</v>
      </c>
      <c r="E7" s="3">
        <f>ELEC!Q8</f>
        <v>1693.9999999995052</v>
      </c>
      <c r="F7" s="3">
        <f>GEN!Z7</f>
        <v>3</v>
      </c>
      <c r="G7" s="3">
        <f>WATER!C10+WATER!H10</f>
        <v>0</v>
      </c>
      <c r="H7" s="3">
        <f>WATER!L10</f>
        <v>-1</v>
      </c>
      <c r="I7" s="15">
        <f>WATER!BC10+WATER!BD10+WATER!BE11-Sheet1!G7</f>
        <v>-35.600000000000023</v>
      </c>
      <c r="J7" s="9">
        <f>'B5'!A9</f>
        <v>44232</v>
      </c>
    </row>
    <row r="8" spans="1:10">
      <c r="A8" s="3">
        <f>ELEC!T9+ELEC!X9+ELEC!AB9</f>
        <v>2</v>
      </c>
      <c r="B8" s="3">
        <f>ELEC!AF9</f>
        <v>481</v>
      </c>
      <c r="C8" s="3">
        <f>ELEC!N9</f>
        <v>6551.2000000001863</v>
      </c>
      <c r="D8" s="3">
        <f t="shared" si="0"/>
        <v>4507.1999999984982</v>
      </c>
      <c r="E8" s="3">
        <f>ELEC!Q9</f>
        <v>2044.000000001688</v>
      </c>
      <c r="F8" s="3">
        <f>GEN!Z8</f>
        <v>3</v>
      </c>
      <c r="G8" s="3">
        <f>WATER!C11+WATER!H11</f>
        <v>0</v>
      </c>
      <c r="H8" s="3">
        <f>WATER!L11</f>
        <v>0.5</v>
      </c>
      <c r="I8" s="15">
        <f>WATER!BC11+WATER!BD11+WATER!BE12-Sheet1!G8</f>
        <v>-28.699999999999989</v>
      </c>
      <c r="J8" s="9">
        <f>'B5'!A10</f>
        <v>44233</v>
      </c>
    </row>
    <row r="9" spans="1:10">
      <c r="A9" s="3">
        <f>ELEC!T10+ELEC!X10+ELEC!AB10</f>
        <v>3</v>
      </c>
      <c r="B9" s="3">
        <f>ELEC!AF10</f>
        <v>518</v>
      </c>
      <c r="C9" s="3">
        <f>ELEC!N10</f>
        <v>6289.7999999998137</v>
      </c>
      <c r="D9" s="3">
        <f t="shared" si="0"/>
        <v>4244.80000000156</v>
      </c>
      <c r="E9" s="3">
        <f>ELEC!Q10</f>
        <v>2044.9999999982538</v>
      </c>
      <c r="F9" s="3">
        <f>GEN!Z9</f>
        <v>3</v>
      </c>
      <c r="G9" s="3">
        <f>WATER!C12+WATER!H12</f>
        <v>0</v>
      </c>
      <c r="H9" s="3">
        <f>WATER!L12</f>
        <v>0.5</v>
      </c>
      <c r="I9" s="15">
        <f>WATER!BC12+WATER!BD12+WATER!BE13-Sheet1!G9</f>
        <v>-24.699999999999989</v>
      </c>
      <c r="J9" s="9">
        <f>'B5'!A11</f>
        <v>44234</v>
      </c>
    </row>
    <row r="10" spans="1:10">
      <c r="A10" s="3">
        <f>ELEC!T11+ELEC!X11+ELEC!AB11</f>
        <v>4</v>
      </c>
      <c r="B10" s="3">
        <f>ELEC!AF11</f>
        <v>876</v>
      </c>
      <c r="C10" s="3">
        <f>ELEC!N11</f>
        <v>7008</v>
      </c>
      <c r="D10" s="3">
        <f t="shared" si="0"/>
        <v>3571.9999999984866</v>
      </c>
      <c r="E10" s="3">
        <f>ELEC!Q11</f>
        <v>3436.0000000015134</v>
      </c>
      <c r="F10" s="3">
        <f>GEN!Z10</f>
        <v>3</v>
      </c>
      <c r="G10" s="3">
        <f>WATER!C13+WATER!H13</f>
        <v>0</v>
      </c>
      <c r="H10" s="3">
        <f>WATER!L13</f>
        <v>1</v>
      </c>
      <c r="I10" s="15">
        <f>WATER!BC13+WATER!BD13+WATER!BE14-Sheet1!G10</f>
        <v>-23.999999999999972</v>
      </c>
      <c r="J10" s="9">
        <f>'B5'!A12</f>
        <v>44235</v>
      </c>
    </row>
    <row r="11" spans="1:10">
      <c r="A11" s="3">
        <f>ELEC!T12+ELEC!X12+ELEC!AB12</f>
        <v>6</v>
      </c>
      <c r="B11" s="3">
        <f>ELEC!AF12</f>
        <v>946</v>
      </c>
      <c r="C11" s="3">
        <f>ELEC!N12</f>
        <v>7276</v>
      </c>
      <c r="D11" s="3">
        <f t="shared" si="0"/>
        <v>2834.0000000009022</v>
      </c>
      <c r="E11" s="3">
        <f>ELEC!Q12</f>
        <v>4441.9999999990978</v>
      </c>
      <c r="F11" s="3">
        <f>GEN!Z11</f>
        <v>5</v>
      </c>
      <c r="G11" s="3">
        <f>WATER!C14+WATER!H14</f>
        <v>0</v>
      </c>
      <c r="H11" s="3">
        <f>WATER!L14</f>
        <v>1</v>
      </c>
      <c r="I11" s="15">
        <f>WATER!BC14+WATER!BD14+WATER!BE15-Sheet1!G11</f>
        <v>-22.200000000000017</v>
      </c>
      <c r="J11" s="9">
        <f>'B5'!A13</f>
        <v>44236</v>
      </c>
    </row>
    <row r="12" spans="1:10">
      <c r="A12" s="3">
        <f>ELEC!T13+ELEC!X13+ELEC!AB13</f>
        <v>5</v>
      </c>
      <c r="B12" s="3">
        <f>ELEC!AF13</f>
        <v>815</v>
      </c>
      <c r="C12" s="3">
        <f>ELEC!N13</f>
        <v>7236</v>
      </c>
      <c r="D12" s="3">
        <f t="shared" si="0"/>
        <v>3237.0000000002037</v>
      </c>
      <c r="E12" s="3">
        <f>ELEC!Q13</f>
        <v>3998.9999999997963</v>
      </c>
      <c r="F12" s="3">
        <f>GEN!Z12</f>
        <v>7</v>
      </c>
      <c r="G12" s="3">
        <f>WATER!C15+WATER!H15</f>
        <v>0</v>
      </c>
      <c r="H12" s="3">
        <f>WATER!L15</f>
        <v>0</v>
      </c>
      <c r="I12" s="15">
        <f>WATER!BC15+WATER!BD15+WATER!BE16-Sheet1!G12</f>
        <v>-20.400000000000034</v>
      </c>
      <c r="J12" s="9">
        <f>'B5'!A14</f>
        <v>44237</v>
      </c>
    </row>
    <row r="13" spans="1:10">
      <c r="A13" s="3">
        <f>ELEC!T14+ELEC!X14+ELEC!AB14</f>
        <v>4</v>
      </c>
      <c r="B13" s="3">
        <f>ELEC!AF14</f>
        <v>555</v>
      </c>
      <c r="C13" s="3">
        <f>ELEC!N14</f>
        <v>5643</v>
      </c>
      <c r="D13" s="3">
        <f t="shared" si="0"/>
        <v>3014.9999999993888</v>
      </c>
      <c r="E13" s="3">
        <f>ELEC!Q14</f>
        <v>2628.0000000006112</v>
      </c>
      <c r="F13" s="3">
        <f>GEN!Z13</f>
        <v>6</v>
      </c>
      <c r="G13" s="3">
        <f>WATER!C16+WATER!H16</f>
        <v>0</v>
      </c>
      <c r="H13" s="3">
        <f>WATER!L16</f>
        <v>0</v>
      </c>
      <c r="I13" s="15">
        <f>WATER!BC16+WATER!BD16+WATER!BE17-Sheet1!G13</f>
        <v>-24.399999999999991</v>
      </c>
      <c r="J13" s="9">
        <f>'B5'!A15</f>
        <v>44238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-13.09999999999998</v>
      </c>
      <c r="J14" s="9">
        <f>'B5'!A16</f>
        <v>44239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44240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44241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44242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44243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44244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44245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-5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5</v>
      </c>
      <c r="I22" s="15">
        <f>WATER!BC25+WATER!BD25+WATER!BE26-Sheet1!G22</f>
        <v>0</v>
      </c>
      <c r="J22" s="9">
        <f>'B5'!A24</f>
        <v>44247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44248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44249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44250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44251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44252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44253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44254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44255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WATER!#REF!+WATER!#REF!+WATER!BE34-Sheet1!G32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4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40"/>
      <c r="B1" s="638" t="s">
        <v>119</v>
      </c>
      <c r="C1" s="638" t="s">
        <v>118</v>
      </c>
      <c r="D1" s="642" t="s">
        <v>113</v>
      </c>
      <c r="E1" s="642" t="s">
        <v>114</v>
      </c>
      <c r="F1" s="643" t="s">
        <v>120</v>
      </c>
      <c r="G1" s="644" t="s">
        <v>75</v>
      </c>
      <c r="H1" s="635" t="s">
        <v>115</v>
      </c>
      <c r="I1" s="636" t="s">
        <v>116</v>
      </c>
      <c r="J1" s="635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41"/>
      <c r="B2" s="639"/>
      <c r="C2" s="639"/>
      <c r="D2" s="642"/>
      <c r="E2" s="642"/>
      <c r="F2" s="643"/>
      <c r="G2" s="644"/>
      <c r="H2" s="635"/>
      <c r="I2" s="637"/>
      <c r="J2" s="635"/>
      <c r="K2" s="634"/>
      <c r="L2" s="634"/>
      <c r="M2" s="634"/>
      <c r="N2" s="6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44228</v>
      </c>
      <c r="B5" s="76">
        <f>'B5'!V5</f>
        <v>348</v>
      </c>
      <c r="C5" s="76">
        <f>'B5'!AH5</f>
        <v>119.60000000000582</v>
      </c>
      <c r="D5" s="76">
        <f>GEN!AI3</f>
        <v>506.53164556981505</v>
      </c>
      <c r="E5" s="242">
        <f t="shared" ref="E5:E33" si="0">B5+C5+D5</f>
        <v>974.13164556982088</v>
      </c>
      <c r="F5" s="75">
        <f>WATER!L5</f>
        <v>0</v>
      </c>
      <c r="G5" s="78">
        <f>WATER!BG5</f>
        <v>-5.1000000000000512</v>
      </c>
      <c r="H5" s="79">
        <f>ELEC!AF3</f>
        <v>397</v>
      </c>
      <c r="I5" s="79">
        <f>ELEC!Q3</f>
        <v>1968.0000000007567</v>
      </c>
      <c r="J5" s="79">
        <f>ELEC!R3</f>
        <v>4436.3999999991502</v>
      </c>
      <c r="K5" s="80"/>
      <c r="L5" s="3"/>
      <c r="M5" s="3"/>
      <c r="N5" s="3"/>
    </row>
    <row r="6" spans="1:14">
      <c r="A6" s="63">
        <f>'B5'!A6</f>
        <v>44229</v>
      </c>
      <c r="B6" s="76">
        <f>'B5'!V6</f>
        <v>234</v>
      </c>
      <c r="C6" s="76">
        <f>'B5'!AH6</f>
        <v>0</v>
      </c>
      <c r="D6" s="76">
        <f>GEN!AI4</f>
        <v>580.40084388118237</v>
      </c>
      <c r="E6" s="242">
        <f t="shared" si="0"/>
        <v>814.40084388118237</v>
      </c>
      <c r="F6" s="75">
        <f>WATER!L6</f>
        <v>0</v>
      </c>
      <c r="G6" s="78">
        <f>WATER!BG6</f>
        <v>-33.899999999999977</v>
      </c>
      <c r="H6" s="79">
        <f>ELEC!AF4</f>
        <v>514</v>
      </c>
      <c r="I6" s="79">
        <f>ELEC!Q4</f>
        <v>2254.9999999973807</v>
      </c>
      <c r="J6" s="79">
        <f>ELEC!R4</f>
        <v>4367.0000000026193</v>
      </c>
      <c r="K6" s="3"/>
      <c r="L6" s="3"/>
      <c r="M6" s="3"/>
      <c r="N6" s="3"/>
    </row>
    <row r="7" spans="1:14">
      <c r="A7" s="63">
        <f>'B5'!A7</f>
        <v>44230</v>
      </c>
      <c r="B7" s="76">
        <f>'B5'!V7</f>
        <v>254</v>
      </c>
      <c r="C7" s="76">
        <f>'B5'!AH7</f>
        <v>35</v>
      </c>
      <c r="D7" s="76">
        <f>GEN!AI5</f>
        <v>751.81856540138324</v>
      </c>
      <c r="E7" s="242">
        <f t="shared" si="0"/>
        <v>1040.8185654013832</v>
      </c>
      <c r="F7" s="75">
        <f>WATER!L7</f>
        <v>0</v>
      </c>
      <c r="G7" s="78">
        <f>WATER!BG7</f>
        <v>-11.300000000000011</v>
      </c>
      <c r="H7" s="79">
        <f>ELEC!AF5</f>
        <v>688</v>
      </c>
      <c r="I7" s="79">
        <f>ELEC!Q5</f>
        <v>2921.0000000020955</v>
      </c>
      <c r="J7" s="79">
        <f>ELEC!R5</f>
        <v>3831.9999999979045</v>
      </c>
      <c r="K7" s="3"/>
      <c r="L7" s="3"/>
      <c r="M7" s="3"/>
      <c r="N7" s="3"/>
    </row>
    <row r="8" spans="1:14">
      <c r="A8" s="63">
        <f>'B5'!A8</f>
        <v>44231</v>
      </c>
      <c r="B8" s="76">
        <f>'B5'!V8</f>
        <v>314</v>
      </c>
      <c r="C8" s="76">
        <f>'B5'!AH8</f>
        <v>0</v>
      </c>
      <c r="D8" s="76">
        <f>GEN!AI6</f>
        <v>675.37552742610796</v>
      </c>
      <c r="E8" s="242">
        <f t="shared" si="0"/>
        <v>989.37552742610796</v>
      </c>
      <c r="F8" s="75">
        <f>WATER!L8</f>
        <v>0</v>
      </c>
      <c r="G8" s="78">
        <f>WATER!BG8</f>
        <v>-9.7999999999999829</v>
      </c>
      <c r="H8" s="79">
        <f>ELEC!AF6</f>
        <v>548</v>
      </c>
      <c r="I8" s="79">
        <f>ELEC!Q6</f>
        <v>2623.9999999997963</v>
      </c>
      <c r="J8" s="79">
        <f>ELEC!R6</f>
        <v>3963.0000000002037</v>
      </c>
      <c r="K8" s="3"/>
      <c r="L8" s="3"/>
      <c r="M8" s="3"/>
      <c r="N8" s="3"/>
    </row>
    <row r="9" spans="1:14">
      <c r="A9" s="63">
        <f>'B5'!A9</f>
        <v>44232</v>
      </c>
      <c r="B9" s="76">
        <f>'B5'!V9</f>
        <v>391</v>
      </c>
      <c r="C9" s="76">
        <f>'B5'!AH9</f>
        <v>0</v>
      </c>
      <c r="D9" s="76">
        <f>GEN!AI7</f>
        <v>505.75949367092358</v>
      </c>
      <c r="E9" s="242">
        <f t="shared" si="0"/>
        <v>896.75949367092358</v>
      </c>
      <c r="F9" s="75">
        <f>WATER!L9</f>
        <v>0</v>
      </c>
      <c r="G9" s="78">
        <f>WATER!BG9</f>
        <v>-18.899999999999977</v>
      </c>
      <c r="H9" s="79">
        <f>ELEC!AF7</f>
        <v>440</v>
      </c>
      <c r="I9" s="79">
        <f>ELEC!Q7</f>
        <v>1965.0000000001455</v>
      </c>
      <c r="J9" s="79">
        <f>ELEC!R7</f>
        <v>3966.9999999998545</v>
      </c>
      <c r="K9" s="3"/>
      <c r="L9" s="3"/>
      <c r="M9" s="3"/>
      <c r="N9" s="3"/>
    </row>
    <row r="10" spans="1:14">
      <c r="A10" s="63">
        <f>'B5'!A10</f>
        <v>44233</v>
      </c>
      <c r="B10" s="76">
        <f>'B5'!V10</f>
        <v>311</v>
      </c>
      <c r="C10" s="76">
        <f>'B5'!AH10</f>
        <v>0</v>
      </c>
      <c r="D10" s="76">
        <f>GEN!AI8</f>
        <v>436.00843881843809</v>
      </c>
      <c r="E10" s="242">
        <f t="shared" si="0"/>
        <v>747.00843881843809</v>
      </c>
      <c r="F10" s="75">
        <f>WATER!L10</f>
        <v>-1</v>
      </c>
      <c r="G10" s="78">
        <f>WATER!BG10</f>
        <v>-20.700000000000045</v>
      </c>
      <c r="H10" s="79">
        <f>ELEC!AF8</f>
        <v>374</v>
      </c>
      <c r="I10" s="79">
        <f>ELEC!Q8</f>
        <v>1693.9999999995052</v>
      </c>
      <c r="J10" s="79">
        <f>ELEC!R8</f>
        <v>4283.0000000004948</v>
      </c>
      <c r="K10" s="3"/>
      <c r="L10" s="3"/>
      <c r="M10" s="3"/>
      <c r="N10" s="3"/>
    </row>
    <row r="11" spans="1:14">
      <c r="A11" s="63">
        <f>'B5'!A11</f>
        <v>44234</v>
      </c>
      <c r="B11" s="76">
        <f>'B5'!V11</f>
        <v>279</v>
      </c>
      <c r="C11" s="76">
        <f>'B5'!AH11</f>
        <v>0</v>
      </c>
      <c r="D11" s="76">
        <f>GEN!AI9</f>
        <v>526.09282700465394</v>
      </c>
      <c r="E11" s="242">
        <f t="shared" si="0"/>
        <v>805.09282700465394</v>
      </c>
      <c r="F11" s="75">
        <f>WATER!L11</f>
        <v>0.5</v>
      </c>
      <c r="G11" s="78">
        <f>WATER!BG11</f>
        <v>-14.899999999999977</v>
      </c>
      <c r="H11" s="79">
        <f>ELEC!AF9</f>
        <v>481</v>
      </c>
      <c r="I11" s="79">
        <f>ELEC!Q9</f>
        <v>2044.000000001688</v>
      </c>
      <c r="J11" s="79">
        <f>ELEC!R9</f>
        <v>4507.1999999984982</v>
      </c>
      <c r="K11" s="3"/>
      <c r="L11" s="3"/>
      <c r="M11" s="3"/>
      <c r="N11" s="3"/>
    </row>
    <row r="12" spans="1:14">
      <c r="A12" s="63">
        <f>'B5'!A12</f>
        <v>44235</v>
      </c>
      <c r="B12" s="76">
        <f>'B5'!V12</f>
        <v>256</v>
      </c>
      <c r="C12" s="76">
        <f>'B5'!AH12</f>
        <v>77.399999999994179</v>
      </c>
      <c r="D12" s="76">
        <f>GEN!AI10</f>
        <v>526.3502109700147</v>
      </c>
      <c r="E12" s="242">
        <f t="shared" si="0"/>
        <v>859.75021097000888</v>
      </c>
      <c r="F12" s="75">
        <f>WATER!L12</f>
        <v>0.5</v>
      </c>
      <c r="G12" s="78">
        <f>WATER!BG12</f>
        <v>-13.800000000000011</v>
      </c>
      <c r="H12" s="79">
        <f>ELEC!AF10</f>
        <v>518</v>
      </c>
      <c r="I12" s="79">
        <f>ELEC!Q10</f>
        <v>2044.9999999982538</v>
      </c>
      <c r="J12" s="79">
        <f>ELEC!R10</f>
        <v>4244.80000000156</v>
      </c>
      <c r="K12" s="3"/>
      <c r="L12" s="3"/>
      <c r="M12" s="3"/>
      <c r="N12" s="3"/>
    </row>
    <row r="13" spans="1:14">
      <c r="A13" s="63">
        <f>'B5'!A13</f>
        <v>44236</v>
      </c>
      <c r="B13" s="76">
        <f>'B5'!V13</f>
        <v>236</v>
      </c>
      <c r="C13" s="76">
        <f>'B5'!AH13</f>
        <v>0</v>
      </c>
      <c r="D13" s="76">
        <f>GEN!AI11</f>
        <v>884.37130801726721</v>
      </c>
      <c r="E13" s="242">
        <f t="shared" si="0"/>
        <v>1120.3713080172672</v>
      </c>
      <c r="F13" s="75">
        <f>WATER!L13</f>
        <v>1</v>
      </c>
      <c r="G13" s="78">
        <f>WATER!BG13</f>
        <v>-10.899999999999977</v>
      </c>
      <c r="H13" s="79">
        <f>ELEC!AF11</f>
        <v>876</v>
      </c>
      <c r="I13" s="79">
        <f>ELEC!Q11</f>
        <v>3436.0000000015134</v>
      </c>
      <c r="J13" s="79">
        <f>ELEC!R11</f>
        <v>3571.9999999984866</v>
      </c>
      <c r="K13" s="3"/>
      <c r="L13" s="3"/>
      <c r="M13" s="3"/>
      <c r="N13" s="3"/>
    </row>
    <row r="14" spans="1:14">
      <c r="A14" s="63">
        <f>'B5'!A14</f>
        <v>44237</v>
      </c>
      <c r="B14" s="76">
        <f>'B5'!V14</f>
        <v>236</v>
      </c>
      <c r="C14" s="76">
        <f>'B5'!AH14</f>
        <v>0</v>
      </c>
      <c r="D14" s="76">
        <f>GEN!AI12</f>
        <v>1143.2995780588396</v>
      </c>
      <c r="E14" s="242">
        <f t="shared" si="0"/>
        <v>1379.2995780588396</v>
      </c>
      <c r="F14" s="75">
        <f>WATER!L14</f>
        <v>1</v>
      </c>
      <c r="G14" s="78">
        <f>WATER!BG14</f>
        <v>-13.099999999999994</v>
      </c>
      <c r="H14" s="79">
        <f>ELEC!AF12</f>
        <v>946</v>
      </c>
      <c r="I14" s="79">
        <f>ELEC!Q12</f>
        <v>4441.9999999990978</v>
      </c>
      <c r="J14" s="79">
        <f>ELEC!R12</f>
        <v>2834.0000000009022</v>
      </c>
      <c r="K14" s="3"/>
      <c r="L14" s="3"/>
      <c r="M14" s="3"/>
      <c r="N14" s="3"/>
    </row>
    <row r="15" spans="1:14">
      <c r="A15" s="63">
        <f>'B5'!A15</f>
        <v>44238</v>
      </c>
      <c r="B15" s="76">
        <f>'B5'!V15</f>
        <v>253</v>
      </c>
      <c r="C15" s="76">
        <f>'B5'!AH15</f>
        <v>0</v>
      </c>
      <c r="D15" s="76">
        <f>GEN!AI13</f>
        <v>1029.2784810126059</v>
      </c>
      <c r="E15" s="242">
        <f t="shared" si="0"/>
        <v>1282.2784810126059</v>
      </c>
      <c r="F15" s="75">
        <f>WATER!L15</f>
        <v>0</v>
      </c>
      <c r="G15" s="78">
        <f>WATER!BG15</f>
        <v>-9.1000000000000227</v>
      </c>
      <c r="H15" s="79">
        <f>ELEC!AF13</f>
        <v>815</v>
      </c>
      <c r="I15" s="79">
        <f>ELEC!Q13</f>
        <v>3998.9999999997963</v>
      </c>
      <c r="J15" s="79">
        <f>ELEC!R13</f>
        <v>3237.0000000002037</v>
      </c>
      <c r="K15" s="3"/>
      <c r="L15" s="3"/>
      <c r="M15" s="3"/>
      <c r="N15" s="3"/>
    </row>
    <row r="16" spans="1:14">
      <c r="A16" s="63">
        <f>'B5'!A16</f>
        <v>44239</v>
      </c>
      <c r="B16" s="76">
        <f>'B5'!V16</f>
        <v>234</v>
      </c>
      <c r="C16" s="76">
        <f>'B5'!AH16</f>
        <v>0</v>
      </c>
      <c r="D16" s="76">
        <f>GEN!AI14</f>
        <v>676.40506329129664</v>
      </c>
      <c r="E16" s="242">
        <f t="shared" si="0"/>
        <v>910.40506329129664</v>
      </c>
      <c r="F16" s="75">
        <f>WATER!L16</f>
        <v>0</v>
      </c>
      <c r="G16" s="78">
        <f>WATER!BG16</f>
        <v>-11.300000000000011</v>
      </c>
      <c r="H16" s="79">
        <f>ELEC!AF14</f>
        <v>555</v>
      </c>
      <c r="I16" s="79">
        <f>ELEC!Q14</f>
        <v>2628.0000000006112</v>
      </c>
      <c r="J16" s="79">
        <f>ELEC!R14</f>
        <v>3014.9999999993888</v>
      </c>
      <c r="K16" s="3"/>
      <c r="L16" s="3"/>
      <c r="M16" s="3"/>
      <c r="N16" s="3"/>
    </row>
    <row r="17" spans="1:14">
      <c r="A17" s="63">
        <f>'B5'!A17</f>
        <v>44240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-13.09999999999998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44241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44242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44243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44244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44245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44247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-5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44248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5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44249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44250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44251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44252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44253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44254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44255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29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1</v>
      </c>
      <c r="G6">
        <f t="shared" si="1"/>
        <v>107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5</v>
      </c>
      <c r="E11">
        <f t="shared" si="0"/>
        <v>450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1</v>
      </c>
      <c r="G13">
        <f t="shared" si="1"/>
        <v>107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2"/>
  <sheetViews>
    <sheetView topLeftCell="N1" zoomScale="112" zoomScaleNormal="112" workbookViewId="0">
      <pane ySplit="1" topLeftCell="A5" activePane="bottomLeft" state="frozen"/>
      <selection pane="bottomLeft" activeCell="S14" sqref="S14"/>
    </sheetView>
  </sheetViews>
  <sheetFormatPr defaultRowHeight="14.5"/>
  <cols>
    <col min="1" max="1" width="7.1796875" bestFit="1" customWidth="1"/>
    <col min="2" max="2" width="10.54296875" bestFit="1" customWidth="1"/>
    <col min="3" max="3" width="7.7265625" bestFit="1" customWidth="1"/>
    <col min="4" max="4" width="10.54296875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8.7265625" bestFit="1" customWidth="1"/>
    <col min="20" max="20" width="9" bestFit="1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12.26953125" bestFit="1" customWidth="1"/>
    <col min="31" max="34" width="9.7265625" customWidth="1"/>
  </cols>
  <sheetData>
    <row r="1" spans="1:37" s="20" customFormat="1" ht="4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" thickBot="1">
      <c r="A2" s="4">
        <f>ELEC!C2</f>
        <v>44227</v>
      </c>
      <c r="B2" s="270">
        <f>[2]GEN!B33</f>
        <v>9538</v>
      </c>
      <c r="C2" s="270">
        <f>[2]GEN!C33</f>
        <v>3</v>
      </c>
      <c r="D2" s="270">
        <f>[2]GEN!D33</f>
        <v>311030.8</v>
      </c>
      <c r="E2" s="270">
        <f>[2]GEN!E33</f>
        <v>521.79999999998836</v>
      </c>
      <c r="F2" s="270">
        <f>[2]GEN!F33</f>
        <v>173.93333333332944</v>
      </c>
      <c r="G2" s="270">
        <f>[2]GEN!G33</f>
        <v>0</v>
      </c>
      <c r="H2" s="270">
        <v>9729</v>
      </c>
      <c r="I2" s="270" t="str">
        <f>[2]GEN!I33</f>
        <v>ok</v>
      </c>
      <c r="J2" s="270">
        <f>[2]GEN!J33</f>
        <v>10698</v>
      </c>
      <c r="K2" s="270">
        <f>[2]GEN!K33</f>
        <v>0</v>
      </c>
      <c r="L2" s="270">
        <f>[2]GEN!L33</f>
        <v>357691</v>
      </c>
      <c r="M2" s="270">
        <f>[2]GEN!M33</f>
        <v>0</v>
      </c>
      <c r="N2" s="270">
        <f>[2]GEN!N33</f>
        <v>0</v>
      </c>
      <c r="O2" s="270">
        <f>[2]GEN!O33</f>
        <v>0</v>
      </c>
      <c r="P2" s="270">
        <f>[2]GEN!P33</f>
        <v>10873</v>
      </c>
      <c r="Q2" s="270" t="str">
        <f>[2]GEN!Q33</f>
        <v>ok</v>
      </c>
      <c r="R2" s="270">
        <f>[2]GEN!R33</f>
        <v>11798</v>
      </c>
      <c r="S2" s="270">
        <f>[2]GEN!S33</f>
        <v>0</v>
      </c>
      <c r="T2" s="270">
        <f>[2]GEN!T33</f>
        <v>379229</v>
      </c>
      <c r="U2" s="270">
        <f>[2]GEN!U33</f>
        <v>0</v>
      </c>
      <c r="V2" s="270">
        <f>[2]GEN!V33</f>
        <v>0</v>
      </c>
      <c r="W2" s="270">
        <f>[2]GEN!W33</f>
        <v>0</v>
      </c>
      <c r="X2" s="270">
        <v>11898</v>
      </c>
      <c r="Y2" s="270" t="str">
        <f>[2]GEN!Y33</f>
        <v>ok</v>
      </c>
      <c r="Z2" s="270">
        <f>[2]GEN!Z33</f>
        <v>3</v>
      </c>
      <c r="AA2" s="270">
        <f>[2]GEN!AA33</f>
        <v>521.79999999998836</v>
      </c>
      <c r="AB2" s="270">
        <f>[2]GEN!AB33</f>
        <v>173.93333333332944</v>
      </c>
      <c r="AC2" s="270">
        <f>[2]GEN!AC33</f>
        <v>173.93333333332944</v>
      </c>
      <c r="AD2" s="270">
        <f>[2]GEN!AD33</f>
        <v>2007.0000000014261</v>
      </c>
      <c r="AE2" s="270">
        <f>[2]GEN!AE33</f>
        <v>669.00000000047532</v>
      </c>
      <c r="AF2" s="270">
        <f>[2]GEN!AF33</f>
        <v>0.41812500000029706</v>
      </c>
      <c r="AG2" s="270">
        <f>[2]GEN!AG33</f>
        <v>133.80000000009505</v>
      </c>
      <c r="AH2" s="270">
        <f>[2]GEN!AH33</f>
        <v>40.13333333323439</v>
      </c>
      <c r="AI2" s="270">
        <f>[2]GEN!AI33</f>
        <v>516.56962025353164</v>
      </c>
      <c r="AJ2" s="270">
        <f>[2]GEN!AJ33</f>
        <v>0.25738396624472576</v>
      </c>
      <c r="AK2" s="270">
        <f>[2]GEN!AK33</f>
        <v>172.18987341784387</v>
      </c>
    </row>
    <row r="3" spans="1:37" ht="15" thickBot="1">
      <c r="A3" s="4">
        <f>ELEC!C3</f>
        <v>44228</v>
      </c>
      <c r="B3" s="541">
        <v>9541</v>
      </c>
      <c r="C3" s="287">
        <f>B3-B2</f>
        <v>3</v>
      </c>
      <c r="D3" s="542">
        <v>311569</v>
      </c>
      <c r="E3" s="287">
        <f>SUM(D3-D2)</f>
        <v>538.20000000001164</v>
      </c>
      <c r="F3" s="287">
        <f t="shared" ref="F3:F30" si="0">IF(C3&gt;0,E3/C3,0)</f>
        <v>179.40000000000387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2">
        <f>J2</f>
        <v>10698</v>
      </c>
      <c r="K3" s="287">
        <f t="shared" ref="K3:K30" si="2">J3-J2</f>
        <v>0</v>
      </c>
      <c r="L3" s="542">
        <f>L2</f>
        <v>357691</v>
      </c>
      <c r="M3" s="287">
        <f t="shared" ref="M3:M30" si="3"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4">IF(J3-P3&lt;=0,"ok","oil change")</f>
        <v>ok</v>
      </c>
      <c r="R3" s="542">
        <f>R2</f>
        <v>11798</v>
      </c>
      <c r="S3" s="287">
        <f t="shared" ref="S3:S30" si="5">R3-R2</f>
        <v>0</v>
      </c>
      <c r="T3" s="542">
        <f>T2</f>
        <v>379229</v>
      </c>
      <c r="U3" s="287">
        <f t="shared" ref="U3:U9" si="6">SUM(T3-T2)</f>
        <v>0</v>
      </c>
      <c r="V3" s="287">
        <f>IF(S3&gt;0,U3/S3,0)</f>
        <v>0</v>
      </c>
      <c r="W3" s="270">
        <f>[5]GEN!W32</f>
        <v>0</v>
      </c>
      <c r="X3" s="288">
        <f>X2</f>
        <v>11898</v>
      </c>
      <c r="Y3" s="287" t="str">
        <f t="shared" ref="Y3:Y9" si="7">IF(R3-X3&lt;=0,"ok","oil change")</f>
        <v>ok</v>
      </c>
      <c r="Z3" s="287">
        <f t="shared" ref="Z3:Z30" si="8">C3+K3+S3</f>
        <v>3</v>
      </c>
      <c r="AA3" s="287">
        <f>U3+M3+E3</f>
        <v>538.20000000001164</v>
      </c>
      <c r="AB3" s="287">
        <f>V3+N3+F3</f>
        <v>179.40000000000387</v>
      </c>
      <c r="AC3" s="287">
        <f>IF(Z3&gt;0,AA3/Z3,0)</f>
        <v>179.40000000000387</v>
      </c>
      <c r="AD3" s="73">
        <f>ELEC!Q3</f>
        <v>1968.0000000007567</v>
      </c>
      <c r="AE3" s="73">
        <f>SUM(AD3/Z3)</f>
        <v>656.00000000025227</v>
      </c>
      <c r="AF3" s="403">
        <f>SUM(AE3/1600)</f>
        <v>0.41000000000015768</v>
      </c>
      <c r="AG3" s="404">
        <f>SUM(360*AF3)</f>
        <v>147.60000000005675</v>
      </c>
      <c r="AH3" s="404">
        <f>SUM(AC3-AG3)</f>
        <v>31.799999999947119</v>
      </c>
      <c r="AI3" s="73">
        <f>AD3*AJ3</f>
        <v>506.53164556981505</v>
      </c>
      <c r="AJ3" s="289">
        <f t="shared" ref="AJ3:AJ30" si="9">305/1185</f>
        <v>0.25738396624472576</v>
      </c>
      <c r="AK3" s="289">
        <f t="shared" ref="AK3:AK8" si="10">AI3/Z3</f>
        <v>168.84388185660501</v>
      </c>
    </row>
    <row r="4" spans="1:37" ht="15" thickBot="1">
      <c r="A4" s="4">
        <f>ELEC!C4</f>
        <v>44229</v>
      </c>
      <c r="B4" s="541">
        <v>9545</v>
      </c>
      <c r="C4" s="287">
        <f t="shared" ref="C4:C30" si="11">B4-B3</f>
        <v>4</v>
      </c>
      <c r="D4" s="542">
        <v>312307</v>
      </c>
      <c r="E4" s="287">
        <f t="shared" ref="E4:E30" si="12">SUM(D4-D3)</f>
        <v>738</v>
      </c>
      <c r="F4" s="287">
        <f t="shared" si="0"/>
        <v>184.5</v>
      </c>
      <c r="G4" s="196"/>
      <c r="H4" s="270">
        <f t="shared" ref="H4:H30" si="13">H3</f>
        <v>9729</v>
      </c>
      <c r="I4" s="287" t="str">
        <f t="shared" si="1"/>
        <v>ok</v>
      </c>
      <c r="J4" s="542">
        <f t="shared" ref="J4:L30" si="14">J3</f>
        <v>10698</v>
      </c>
      <c r="K4" s="287">
        <f t="shared" si="2"/>
        <v>0</v>
      </c>
      <c r="L4" s="542">
        <f t="shared" si="14"/>
        <v>357691</v>
      </c>
      <c r="M4" s="287">
        <f t="shared" si="3"/>
        <v>0</v>
      </c>
      <c r="N4" s="287">
        <f t="shared" ref="N4:N30" si="15">IF(K4&gt;0,M4/K4,0)</f>
        <v>0</v>
      </c>
      <c r="O4" s="196"/>
      <c r="P4" s="288">
        <f t="shared" ref="P4:P30" si="16">P3</f>
        <v>10873</v>
      </c>
      <c r="Q4" s="287" t="str">
        <f t="shared" si="4"/>
        <v>ok</v>
      </c>
      <c r="R4" s="542">
        <f t="shared" ref="R4:R30" si="17">R3</f>
        <v>11798</v>
      </c>
      <c r="S4" s="287">
        <f t="shared" si="5"/>
        <v>0</v>
      </c>
      <c r="T4" s="542">
        <f t="shared" ref="T4:T30" si="18">T3</f>
        <v>379229</v>
      </c>
      <c r="U4" s="287">
        <f t="shared" si="6"/>
        <v>0</v>
      </c>
      <c r="V4" s="287">
        <f t="shared" ref="V4:V30" si="19">IF(S4&gt;0,U4/S4,0)</f>
        <v>0</v>
      </c>
      <c r="W4" s="196"/>
      <c r="X4" s="288">
        <f t="shared" ref="X4:X30" si="20">X3</f>
        <v>11898</v>
      </c>
      <c r="Y4" s="287" t="str">
        <f t="shared" si="7"/>
        <v>ok</v>
      </c>
      <c r="Z4" s="287">
        <f t="shared" si="8"/>
        <v>4</v>
      </c>
      <c r="AA4" s="287">
        <f t="shared" ref="AA4:AA30" si="21">U4+M4+E4</f>
        <v>738</v>
      </c>
      <c r="AB4" s="287">
        <f t="shared" ref="AB4:AB30" si="22">V4+N4+F4</f>
        <v>184.5</v>
      </c>
      <c r="AC4" s="287">
        <f t="shared" ref="AC4:AC30" si="23">IF(Z4&gt;0,AA4/Z4,0)</f>
        <v>184.5</v>
      </c>
      <c r="AD4" s="73">
        <f>ELEC!Q4</f>
        <v>2254.9999999973807</v>
      </c>
      <c r="AE4" s="73">
        <f>SUM(AD4/Z4)</f>
        <v>563.74999999934516</v>
      </c>
      <c r="AF4" s="403">
        <f>SUM(AE4/1600)</f>
        <v>0.35234374999959073</v>
      </c>
      <c r="AG4" s="404">
        <f>SUM(360*AF4)</f>
        <v>126.84374999985266</v>
      </c>
      <c r="AH4" s="404">
        <f t="shared" ref="AH4:AH30" si="24">SUM(AC4-AG4)</f>
        <v>57.656250000147338</v>
      </c>
      <c r="AI4" s="73">
        <f>AD4*AJ4</f>
        <v>580.40084388118237</v>
      </c>
      <c r="AJ4" s="289">
        <f t="shared" si="9"/>
        <v>0.25738396624472576</v>
      </c>
      <c r="AK4" s="289">
        <f t="shared" si="10"/>
        <v>145.10021097029559</v>
      </c>
    </row>
    <row r="5" spans="1:37" ht="15" thickBot="1">
      <c r="A5" s="4">
        <f>ELEC!C5</f>
        <v>44230</v>
      </c>
      <c r="B5" s="541">
        <v>9549</v>
      </c>
      <c r="C5" s="287">
        <f t="shared" si="11"/>
        <v>4</v>
      </c>
      <c r="D5" s="542">
        <v>312999</v>
      </c>
      <c r="E5" s="287">
        <f t="shared" si="12"/>
        <v>692</v>
      </c>
      <c r="F5" s="287">
        <f t="shared" si="0"/>
        <v>173</v>
      </c>
      <c r="G5" s="285"/>
      <c r="H5" s="270">
        <f t="shared" si="13"/>
        <v>9729</v>
      </c>
      <c r="I5" s="287" t="str">
        <f t="shared" si="1"/>
        <v>ok</v>
      </c>
      <c r="J5" s="542">
        <f t="shared" si="14"/>
        <v>10698</v>
      </c>
      <c r="K5" s="287">
        <f t="shared" si="2"/>
        <v>0</v>
      </c>
      <c r="L5" s="542">
        <f t="shared" si="14"/>
        <v>357691</v>
      </c>
      <c r="M5" s="287">
        <f t="shared" si="3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4"/>
        <v>ok</v>
      </c>
      <c r="R5" s="542">
        <f t="shared" si="17"/>
        <v>11798</v>
      </c>
      <c r="S5" s="287">
        <f t="shared" si="5"/>
        <v>0</v>
      </c>
      <c r="T5" s="542">
        <f t="shared" si="18"/>
        <v>379229</v>
      </c>
      <c r="U5" s="287">
        <f t="shared" si="6"/>
        <v>0</v>
      </c>
      <c r="V5" s="287">
        <f>IF(S5&gt;0,U5/S5,0)</f>
        <v>0</v>
      </c>
      <c r="W5" s="196"/>
      <c r="X5" s="288">
        <f t="shared" si="20"/>
        <v>11898</v>
      </c>
      <c r="Y5" s="287" t="str">
        <f t="shared" si="7"/>
        <v>ok</v>
      </c>
      <c r="Z5" s="287">
        <f t="shared" si="8"/>
        <v>4</v>
      </c>
      <c r="AA5" s="287">
        <f t="shared" si="21"/>
        <v>692</v>
      </c>
      <c r="AB5" s="287">
        <f t="shared" si="22"/>
        <v>173</v>
      </c>
      <c r="AC5" s="287">
        <f t="shared" si="23"/>
        <v>173</v>
      </c>
      <c r="AD5" s="73">
        <f>ELEC!Q5</f>
        <v>2921.0000000020955</v>
      </c>
      <c r="AE5" s="73">
        <f t="shared" ref="AE5:AE30" si="25">SUM(AD5/Z5)</f>
        <v>730.25000000052387</v>
      </c>
      <c r="AF5" s="403">
        <f t="shared" ref="AF5:AF30" si="26">SUM(AE5/1600)</f>
        <v>0.45640625000032742</v>
      </c>
      <c r="AG5" s="404">
        <f t="shared" ref="AG5:AG30" si="27">SUM(320*AF5)</f>
        <v>146.05000000010477</v>
      </c>
      <c r="AH5" s="404">
        <f t="shared" si="24"/>
        <v>26.949999999895226</v>
      </c>
      <c r="AI5" s="73">
        <f t="shared" ref="AI5:AI30" si="28">AD5*AJ5</f>
        <v>751.81856540138324</v>
      </c>
      <c r="AJ5" s="289">
        <f t="shared" si="9"/>
        <v>0.25738396624472576</v>
      </c>
      <c r="AK5" s="289">
        <f t="shared" si="10"/>
        <v>187.95464135034581</v>
      </c>
    </row>
    <row r="6" spans="1:37" ht="15" thickBot="1">
      <c r="A6" s="4">
        <f>ELEC!C6</f>
        <v>44231</v>
      </c>
      <c r="B6" s="541">
        <v>9553</v>
      </c>
      <c r="C6" s="287">
        <f t="shared" si="11"/>
        <v>4</v>
      </c>
      <c r="D6" s="542">
        <v>313688</v>
      </c>
      <c r="E6" s="287">
        <f t="shared" si="12"/>
        <v>689</v>
      </c>
      <c r="F6" s="287">
        <f t="shared" si="0"/>
        <v>172.25</v>
      </c>
      <c r="G6" s="196"/>
      <c r="H6" s="270">
        <f t="shared" si="13"/>
        <v>9729</v>
      </c>
      <c r="I6" s="287" t="str">
        <f t="shared" si="1"/>
        <v>ok</v>
      </c>
      <c r="J6" s="542">
        <f t="shared" si="14"/>
        <v>10698</v>
      </c>
      <c r="K6" s="287">
        <f t="shared" si="2"/>
        <v>0</v>
      </c>
      <c r="L6" s="542">
        <f t="shared" si="14"/>
        <v>357691</v>
      </c>
      <c r="M6" s="287">
        <f t="shared" si="3"/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4"/>
        <v>ok</v>
      </c>
      <c r="R6" s="542">
        <f t="shared" si="17"/>
        <v>11798</v>
      </c>
      <c r="S6" s="287">
        <f t="shared" si="5"/>
        <v>0</v>
      </c>
      <c r="T6" s="542">
        <f t="shared" si="18"/>
        <v>379229</v>
      </c>
      <c r="U6" s="287">
        <f t="shared" si="6"/>
        <v>0</v>
      </c>
      <c r="V6" s="287">
        <f t="shared" si="19"/>
        <v>0</v>
      </c>
      <c r="W6" s="307"/>
      <c r="X6" s="288">
        <f t="shared" si="20"/>
        <v>11898</v>
      </c>
      <c r="Y6" s="287" t="str">
        <f t="shared" si="7"/>
        <v>ok</v>
      </c>
      <c r="Z6" s="287">
        <f t="shared" si="8"/>
        <v>4</v>
      </c>
      <c r="AA6" s="287">
        <f t="shared" si="21"/>
        <v>689</v>
      </c>
      <c r="AB6" s="287">
        <f t="shared" si="22"/>
        <v>172.25</v>
      </c>
      <c r="AC6" s="287">
        <f t="shared" si="23"/>
        <v>172.25</v>
      </c>
      <c r="AD6" s="73">
        <f>ELEC!Q6</f>
        <v>2623.9999999997963</v>
      </c>
      <c r="AE6" s="73">
        <f>SUM(AD6/Z6)</f>
        <v>655.99999999994907</v>
      </c>
      <c r="AF6" s="403">
        <f t="shared" si="26"/>
        <v>0.40999999999996817</v>
      </c>
      <c r="AG6" s="404">
        <f>SUM(320*AF6)</f>
        <v>131.19999999998981</v>
      </c>
      <c r="AH6" s="404">
        <f t="shared" si="24"/>
        <v>41.050000000010186</v>
      </c>
      <c r="AI6" s="73">
        <f t="shared" si="28"/>
        <v>675.37552742610796</v>
      </c>
      <c r="AJ6" s="289">
        <f t="shared" si="9"/>
        <v>0.25738396624472576</v>
      </c>
      <c r="AK6" s="289">
        <f t="shared" si="10"/>
        <v>168.84388185652699</v>
      </c>
    </row>
    <row r="7" spans="1:37" ht="15" thickBot="1">
      <c r="A7" s="4">
        <f>ELEC!C7</f>
        <v>44232</v>
      </c>
      <c r="B7" s="541">
        <v>9556</v>
      </c>
      <c r="C7" s="287">
        <f t="shared" si="11"/>
        <v>3</v>
      </c>
      <c r="D7" s="542">
        <v>314232</v>
      </c>
      <c r="E7" s="287">
        <f t="shared" si="12"/>
        <v>544</v>
      </c>
      <c r="F7" s="287">
        <f t="shared" si="0"/>
        <v>181.33333333333334</v>
      </c>
      <c r="G7" s="196"/>
      <c r="H7" s="270">
        <f t="shared" si="13"/>
        <v>9729</v>
      </c>
      <c r="I7" s="287" t="str">
        <f t="shared" si="1"/>
        <v>ok</v>
      </c>
      <c r="J7" s="542">
        <f t="shared" si="14"/>
        <v>10698</v>
      </c>
      <c r="K7" s="287">
        <f t="shared" si="2"/>
        <v>0</v>
      </c>
      <c r="L7" s="542">
        <f t="shared" si="14"/>
        <v>357691</v>
      </c>
      <c r="M7" s="287">
        <f t="shared" si="3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4"/>
        <v>ok</v>
      </c>
      <c r="R7" s="542">
        <v>11798</v>
      </c>
      <c r="S7" s="287">
        <f t="shared" si="5"/>
        <v>0</v>
      </c>
      <c r="T7" s="542">
        <f t="shared" si="18"/>
        <v>379229</v>
      </c>
      <c r="U7" s="287">
        <f t="shared" si="6"/>
        <v>0</v>
      </c>
      <c r="V7" s="287">
        <f t="shared" si="19"/>
        <v>0</v>
      </c>
      <c r="W7" s="196"/>
      <c r="X7" s="288">
        <f t="shared" si="20"/>
        <v>11898</v>
      </c>
      <c r="Y7" s="287" t="str">
        <f t="shared" si="7"/>
        <v>ok</v>
      </c>
      <c r="Z7" s="287">
        <f t="shared" si="8"/>
        <v>3</v>
      </c>
      <c r="AA7" s="287">
        <f>U7+M7+E7</f>
        <v>544</v>
      </c>
      <c r="AB7" s="287">
        <f t="shared" si="22"/>
        <v>181.33333333333334</v>
      </c>
      <c r="AC7" s="287">
        <f t="shared" si="23"/>
        <v>181.33333333333334</v>
      </c>
      <c r="AD7" s="73">
        <f>ELEC!Q7</f>
        <v>1965.0000000001455</v>
      </c>
      <c r="AE7" s="73">
        <f t="shared" si="25"/>
        <v>655.00000000004854</v>
      </c>
      <c r="AF7" s="403">
        <f t="shared" si="26"/>
        <v>0.40937500000003035</v>
      </c>
      <c r="AG7" s="504" t="s">
        <v>403</v>
      </c>
      <c r="AH7" s="404" t="e">
        <f t="shared" si="24"/>
        <v>#VALUE!</v>
      </c>
      <c r="AI7" s="73">
        <f t="shared" si="28"/>
        <v>505.75949367092358</v>
      </c>
      <c r="AJ7" s="289">
        <f t="shared" si="9"/>
        <v>0.25738396624472576</v>
      </c>
      <c r="AK7" s="289">
        <f t="shared" si="10"/>
        <v>168.58649789030787</v>
      </c>
    </row>
    <row r="8" spans="1:37" ht="15" thickBot="1">
      <c r="A8" s="4">
        <f>ELEC!C8</f>
        <v>44233</v>
      </c>
      <c r="B8" s="541">
        <v>9559</v>
      </c>
      <c r="C8" s="287">
        <f t="shared" si="11"/>
        <v>3</v>
      </c>
      <c r="D8" s="542">
        <v>314706</v>
      </c>
      <c r="E8" s="287">
        <f t="shared" si="12"/>
        <v>474</v>
      </c>
      <c r="F8" s="287">
        <f t="shared" si="0"/>
        <v>158</v>
      </c>
      <c r="G8" s="196"/>
      <c r="H8" s="270">
        <f t="shared" si="13"/>
        <v>9729</v>
      </c>
      <c r="I8" s="287" t="str">
        <f t="shared" si="1"/>
        <v>ok</v>
      </c>
      <c r="J8" s="542">
        <f t="shared" si="14"/>
        <v>10698</v>
      </c>
      <c r="K8" s="287">
        <f t="shared" si="2"/>
        <v>0</v>
      </c>
      <c r="L8" s="542">
        <f t="shared" si="14"/>
        <v>357691</v>
      </c>
      <c r="M8" s="287">
        <f t="shared" si="3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4"/>
        <v>ok</v>
      </c>
      <c r="R8" s="542">
        <f t="shared" si="17"/>
        <v>11798</v>
      </c>
      <c r="S8" s="287">
        <f t="shared" si="5"/>
        <v>0</v>
      </c>
      <c r="T8" s="542">
        <f t="shared" si="18"/>
        <v>379229</v>
      </c>
      <c r="U8" s="287">
        <f t="shared" si="6"/>
        <v>0</v>
      </c>
      <c r="V8" s="287">
        <f t="shared" si="19"/>
        <v>0</v>
      </c>
      <c r="W8" s="196"/>
      <c r="X8" s="288">
        <f t="shared" si="20"/>
        <v>11898</v>
      </c>
      <c r="Y8" s="287" t="str">
        <f t="shared" si="7"/>
        <v>ok</v>
      </c>
      <c r="Z8" s="287">
        <f t="shared" si="8"/>
        <v>3</v>
      </c>
      <c r="AA8" s="287">
        <f t="shared" si="21"/>
        <v>474</v>
      </c>
      <c r="AB8" s="287">
        <f t="shared" si="22"/>
        <v>158</v>
      </c>
      <c r="AC8" s="287">
        <f t="shared" si="23"/>
        <v>158</v>
      </c>
      <c r="AD8" s="73">
        <f>ELEC!Q8</f>
        <v>1693.9999999995052</v>
      </c>
      <c r="AE8" s="73">
        <f t="shared" si="25"/>
        <v>564.66666666650178</v>
      </c>
      <c r="AF8" s="403">
        <f t="shared" si="26"/>
        <v>0.35291666666656363</v>
      </c>
      <c r="AG8" s="404">
        <f t="shared" si="27"/>
        <v>112.93333333330037</v>
      </c>
      <c r="AH8" s="404">
        <f t="shared" si="24"/>
        <v>45.066666666699632</v>
      </c>
      <c r="AI8" s="73">
        <f t="shared" si="28"/>
        <v>436.00843881843809</v>
      </c>
      <c r="AJ8" s="289">
        <f t="shared" si="9"/>
        <v>0.25738396624472576</v>
      </c>
      <c r="AK8" s="289">
        <f t="shared" si="10"/>
        <v>145.3361462728127</v>
      </c>
    </row>
    <row r="9" spans="1:37" ht="15" thickBot="1">
      <c r="A9" s="4">
        <f>ELEC!C9</f>
        <v>44234</v>
      </c>
      <c r="B9" s="541">
        <v>9562</v>
      </c>
      <c r="C9" s="287">
        <f t="shared" si="11"/>
        <v>3</v>
      </c>
      <c r="D9" s="542">
        <v>315186</v>
      </c>
      <c r="E9" s="287">
        <f t="shared" si="12"/>
        <v>480</v>
      </c>
      <c r="F9" s="287">
        <f t="shared" si="0"/>
        <v>160</v>
      </c>
      <c r="G9" s="196"/>
      <c r="H9" s="270">
        <v>9729</v>
      </c>
      <c r="I9" s="287" t="str">
        <f t="shared" si="1"/>
        <v>ok</v>
      </c>
      <c r="J9" s="542">
        <f t="shared" si="14"/>
        <v>10698</v>
      </c>
      <c r="K9" s="287">
        <f t="shared" si="2"/>
        <v>0</v>
      </c>
      <c r="L9" s="542">
        <f t="shared" si="14"/>
        <v>357691</v>
      </c>
      <c r="M9" s="287">
        <f t="shared" si="3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4"/>
        <v>ok</v>
      </c>
      <c r="R9" s="542">
        <f t="shared" si="17"/>
        <v>11798</v>
      </c>
      <c r="S9" s="287">
        <f t="shared" si="5"/>
        <v>0</v>
      </c>
      <c r="T9" s="542">
        <f t="shared" si="18"/>
        <v>379229</v>
      </c>
      <c r="U9" s="287">
        <f t="shared" si="6"/>
        <v>0</v>
      </c>
      <c r="V9" s="287">
        <f t="shared" si="19"/>
        <v>0</v>
      </c>
      <c r="W9" s="196"/>
      <c r="X9" s="288">
        <f t="shared" si="20"/>
        <v>11898</v>
      </c>
      <c r="Y9" s="287" t="str">
        <f t="shared" si="7"/>
        <v>ok</v>
      </c>
      <c r="Z9" s="287">
        <f t="shared" si="8"/>
        <v>3</v>
      </c>
      <c r="AA9" s="287">
        <f t="shared" si="21"/>
        <v>480</v>
      </c>
      <c r="AB9" s="287">
        <f t="shared" si="22"/>
        <v>160</v>
      </c>
      <c r="AC9" s="287">
        <f t="shared" si="23"/>
        <v>160</v>
      </c>
      <c r="AD9" s="73">
        <f>ELEC!Q9</f>
        <v>2044.000000001688</v>
      </c>
      <c r="AE9" s="73">
        <f t="shared" si="25"/>
        <v>681.33333333389601</v>
      </c>
      <c r="AF9" s="403">
        <f t="shared" si="26"/>
        <v>0.425833333333685</v>
      </c>
      <c r="AG9" s="404">
        <f t="shared" si="27"/>
        <v>136.2666666667792</v>
      </c>
      <c r="AH9" s="404">
        <f t="shared" si="24"/>
        <v>23.733333333220799</v>
      </c>
      <c r="AI9" s="73">
        <f t="shared" si="28"/>
        <v>526.09282700465394</v>
      </c>
      <c r="AJ9" s="289">
        <v>0.25738396624472576</v>
      </c>
      <c r="AK9" s="289">
        <f t="shared" ref="AK9:AK16" si="29">IF(Z9&gt;0,AI9/Z9,0)</f>
        <v>175.36427566821797</v>
      </c>
    </row>
    <row r="10" spans="1:37" ht="15" thickBot="1">
      <c r="A10" s="4">
        <f>ELEC!C10</f>
        <v>44235</v>
      </c>
      <c r="B10" s="541">
        <v>9565</v>
      </c>
      <c r="C10" s="287">
        <f t="shared" si="11"/>
        <v>3</v>
      </c>
      <c r="D10" s="542">
        <v>315670</v>
      </c>
      <c r="E10" s="287">
        <f t="shared" si="12"/>
        <v>484</v>
      </c>
      <c r="F10" s="287">
        <f t="shared" si="0"/>
        <v>161.33333333333334</v>
      </c>
      <c r="G10" s="196"/>
      <c r="H10" s="270">
        <f t="shared" si="13"/>
        <v>9729</v>
      </c>
      <c r="I10" s="287" t="str">
        <f t="shared" si="1"/>
        <v>ok</v>
      </c>
      <c r="J10" s="542">
        <f t="shared" si="14"/>
        <v>10698</v>
      </c>
      <c r="K10" s="287">
        <f t="shared" si="2"/>
        <v>0</v>
      </c>
      <c r="L10" s="542">
        <f t="shared" si="14"/>
        <v>357691</v>
      </c>
      <c r="M10" s="287">
        <f t="shared" si="3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4"/>
        <v>ok</v>
      </c>
      <c r="R10" s="542">
        <f t="shared" si="17"/>
        <v>11798</v>
      </c>
      <c r="S10" s="287">
        <f t="shared" si="5"/>
        <v>0</v>
      </c>
      <c r="T10" s="542">
        <f t="shared" si="18"/>
        <v>379229</v>
      </c>
      <c r="U10" s="287">
        <f t="shared" ref="U10:U20" si="30">SUM(T10-T9)</f>
        <v>0</v>
      </c>
      <c r="V10" s="287">
        <f t="shared" ref="V10:V20" si="31">IF(S10&gt;0,U10/S10,0)</f>
        <v>0</v>
      </c>
      <c r="W10" s="338"/>
      <c r="X10" s="288">
        <f t="shared" si="20"/>
        <v>11898</v>
      </c>
      <c r="Y10" s="287" t="str">
        <f t="shared" ref="Y10:Y20" si="32">IF(R10-X10&lt;=0,"ok","oil change")</f>
        <v>ok</v>
      </c>
      <c r="Z10" s="287">
        <f t="shared" si="8"/>
        <v>3</v>
      </c>
      <c r="AA10" s="287">
        <f t="shared" si="21"/>
        <v>484</v>
      </c>
      <c r="AB10" s="287">
        <f t="shared" si="22"/>
        <v>161.33333333333334</v>
      </c>
      <c r="AC10" s="287">
        <f t="shared" si="23"/>
        <v>161.33333333333334</v>
      </c>
      <c r="AD10" s="73">
        <f>ELEC!Q10</f>
        <v>2044.9999999982538</v>
      </c>
      <c r="AE10" s="73">
        <f t="shared" si="25"/>
        <v>681.66666666608455</v>
      </c>
      <c r="AF10" s="403">
        <f t="shared" si="26"/>
        <v>0.42604166666630283</v>
      </c>
      <c r="AG10" s="404">
        <f t="shared" si="27"/>
        <v>136.3333333332169</v>
      </c>
      <c r="AH10" s="404">
        <f t="shared" si="24"/>
        <v>25.000000000116444</v>
      </c>
      <c r="AI10" s="73">
        <f t="shared" si="28"/>
        <v>526.3502109700147</v>
      </c>
      <c r="AJ10" s="289">
        <f t="shared" si="9"/>
        <v>0.25738396624472576</v>
      </c>
      <c r="AK10" s="289">
        <f t="shared" si="29"/>
        <v>175.45007032333822</v>
      </c>
    </row>
    <row r="11" spans="1:37" ht="15" thickBot="1">
      <c r="A11" s="4">
        <f>ELEC!C11</f>
        <v>44236</v>
      </c>
      <c r="B11" s="541">
        <v>9570</v>
      </c>
      <c r="C11" s="287">
        <f t="shared" si="11"/>
        <v>5</v>
      </c>
      <c r="D11" s="542">
        <v>316363</v>
      </c>
      <c r="E11" s="287">
        <f t="shared" si="12"/>
        <v>693</v>
      </c>
      <c r="F11" s="287">
        <f t="shared" si="0"/>
        <v>138.6</v>
      </c>
      <c r="G11" s="196"/>
      <c r="H11" s="270">
        <f t="shared" si="13"/>
        <v>9729</v>
      </c>
      <c r="I11" s="287" t="str">
        <f t="shared" si="1"/>
        <v>ok</v>
      </c>
      <c r="J11" s="542">
        <f t="shared" si="14"/>
        <v>10698</v>
      </c>
      <c r="K11" s="287">
        <f t="shared" si="2"/>
        <v>0</v>
      </c>
      <c r="L11" s="542">
        <f t="shared" si="14"/>
        <v>357691</v>
      </c>
      <c r="M11" s="287">
        <f t="shared" si="3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4"/>
        <v>ok</v>
      </c>
      <c r="R11" s="542">
        <f t="shared" si="17"/>
        <v>11798</v>
      </c>
      <c r="S11" s="287">
        <f t="shared" si="5"/>
        <v>0</v>
      </c>
      <c r="T11" s="542">
        <f t="shared" si="18"/>
        <v>379229</v>
      </c>
      <c r="U11" s="287">
        <f t="shared" si="30"/>
        <v>0</v>
      </c>
      <c r="V11" s="287">
        <f t="shared" si="31"/>
        <v>0</v>
      </c>
      <c r="W11" s="338"/>
      <c r="X11" s="288">
        <f t="shared" si="20"/>
        <v>11898</v>
      </c>
      <c r="Y11" s="287" t="str">
        <f t="shared" si="32"/>
        <v>ok</v>
      </c>
      <c r="Z11" s="287">
        <f t="shared" si="8"/>
        <v>5</v>
      </c>
      <c r="AA11" s="287">
        <f t="shared" si="21"/>
        <v>693</v>
      </c>
      <c r="AB11" s="287">
        <f t="shared" si="22"/>
        <v>138.6</v>
      </c>
      <c r="AC11" s="287">
        <f t="shared" si="23"/>
        <v>138.6</v>
      </c>
      <c r="AD11" s="73">
        <f>ELEC!Q11</f>
        <v>3436.0000000015134</v>
      </c>
      <c r="AE11" s="73">
        <f t="shared" si="25"/>
        <v>687.20000000030268</v>
      </c>
      <c r="AF11" s="403">
        <f t="shared" si="26"/>
        <v>0.42950000000018917</v>
      </c>
      <c r="AG11" s="404">
        <f t="shared" si="27"/>
        <v>137.44000000006054</v>
      </c>
      <c r="AH11" s="404">
        <f t="shared" si="24"/>
        <v>1.1599999999394583</v>
      </c>
      <c r="AI11" s="73">
        <f t="shared" si="28"/>
        <v>884.37130801726721</v>
      </c>
      <c r="AJ11" s="289">
        <f t="shared" si="9"/>
        <v>0.25738396624472576</v>
      </c>
      <c r="AK11" s="289">
        <f t="shared" si="29"/>
        <v>176.87426160345345</v>
      </c>
    </row>
    <row r="12" spans="1:37" ht="15" thickBot="1">
      <c r="A12" s="4">
        <f>ELEC!C12</f>
        <v>44237</v>
      </c>
      <c r="B12" s="541">
        <v>9577</v>
      </c>
      <c r="C12" s="287">
        <f t="shared" si="11"/>
        <v>7</v>
      </c>
      <c r="D12" s="542">
        <v>317389</v>
      </c>
      <c r="E12" s="287">
        <f t="shared" si="12"/>
        <v>1026</v>
      </c>
      <c r="F12" s="287">
        <f t="shared" si="0"/>
        <v>146.57142857142858</v>
      </c>
      <c r="G12" s="196"/>
      <c r="H12" s="270">
        <f t="shared" si="13"/>
        <v>9729</v>
      </c>
      <c r="I12" s="287" t="str">
        <f t="shared" si="1"/>
        <v>ok</v>
      </c>
      <c r="J12" s="542">
        <f t="shared" si="14"/>
        <v>10698</v>
      </c>
      <c r="K12" s="287">
        <f t="shared" si="2"/>
        <v>0</v>
      </c>
      <c r="L12" s="542">
        <f t="shared" si="14"/>
        <v>357691</v>
      </c>
      <c r="M12" s="287">
        <f t="shared" si="3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4"/>
        <v>ok</v>
      </c>
      <c r="R12" s="542">
        <f t="shared" si="17"/>
        <v>11798</v>
      </c>
      <c r="S12" s="287">
        <f t="shared" si="5"/>
        <v>0</v>
      </c>
      <c r="T12" s="542">
        <f t="shared" si="18"/>
        <v>379229</v>
      </c>
      <c r="U12" s="287">
        <f t="shared" si="30"/>
        <v>0</v>
      </c>
      <c r="V12" s="287">
        <f t="shared" si="31"/>
        <v>0</v>
      </c>
      <c r="W12" s="338"/>
      <c r="X12" s="288">
        <f t="shared" si="20"/>
        <v>11898</v>
      </c>
      <c r="Y12" s="287" t="str">
        <f t="shared" si="32"/>
        <v>ok</v>
      </c>
      <c r="Z12" s="287">
        <f t="shared" si="8"/>
        <v>7</v>
      </c>
      <c r="AA12" s="287">
        <f t="shared" si="21"/>
        <v>1026</v>
      </c>
      <c r="AB12" s="287">
        <f t="shared" si="22"/>
        <v>146.57142857142858</v>
      </c>
      <c r="AC12" s="287">
        <f t="shared" si="23"/>
        <v>146.57142857142858</v>
      </c>
      <c r="AD12" s="73">
        <f>ELEC!Q12</f>
        <v>4441.9999999990978</v>
      </c>
      <c r="AE12" s="73">
        <f t="shared" si="25"/>
        <v>634.57142857129963</v>
      </c>
      <c r="AF12" s="403">
        <f t="shared" si="26"/>
        <v>0.39660714285706228</v>
      </c>
      <c r="AG12" s="404">
        <f t="shared" si="27"/>
        <v>126.91428571425993</v>
      </c>
      <c r="AH12" s="404">
        <f t="shared" si="24"/>
        <v>19.657142857168651</v>
      </c>
      <c r="AI12" s="73">
        <f t="shared" si="28"/>
        <v>1143.2995780588396</v>
      </c>
      <c r="AJ12" s="289">
        <f t="shared" si="9"/>
        <v>0.25738396624472576</v>
      </c>
      <c r="AK12" s="289">
        <f t="shared" si="29"/>
        <v>163.3285111512628</v>
      </c>
    </row>
    <row r="13" spans="1:37" ht="15" thickBot="1">
      <c r="A13" s="4">
        <f>ELEC!C13</f>
        <v>44238</v>
      </c>
      <c r="B13" s="541">
        <v>9580</v>
      </c>
      <c r="C13" s="287">
        <f t="shared" si="11"/>
        <v>3</v>
      </c>
      <c r="D13" s="542">
        <v>317818</v>
      </c>
      <c r="E13" s="287">
        <f t="shared" si="12"/>
        <v>429</v>
      </c>
      <c r="F13" s="287">
        <f t="shared" si="0"/>
        <v>143</v>
      </c>
      <c r="G13" s="196"/>
      <c r="H13" s="270">
        <f t="shared" si="13"/>
        <v>9729</v>
      </c>
      <c r="I13" s="287" t="str">
        <f t="shared" si="1"/>
        <v>ok</v>
      </c>
      <c r="J13" s="542">
        <f t="shared" si="14"/>
        <v>10698</v>
      </c>
      <c r="K13" s="287">
        <f t="shared" si="2"/>
        <v>0</v>
      </c>
      <c r="L13" s="542">
        <f t="shared" si="14"/>
        <v>357691</v>
      </c>
      <c r="M13" s="287">
        <f t="shared" si="3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4"/>
        <v>ok</v>
      </c>
      <c r="R13" s="542">
        <v>11801</v>
      </c>
      <c r="S13" s="287">
        <f t="shared" si="5"/>
        <v>3</v>
      </c>
      <c r="T13" s="542">
        <f>T12+429</f>
        <v>379658</v>
      </c>
      <c r="U13" s="287">
        <f t="shared" si="30"/>
        <v>429</v>
      </c>
      <c r="V13" s="287">
        <f t="shared" si="31"/>
        <v>143</v>
      </c>
      <c r="W13" s="338"/>
      <c r="X13" s="288">
        <f t="shared" si="20"/>
        <v>11898</v>
      </c>
      <c r="Y13" s="287" t="str">
        <f t="shared" si="32"/>
        <v>ok</v>
      </c>
      <c r="Z13" s="287">
        <f t="shared" si="8"/>
        <v>6</v>
      </c>
      <c r="AA13" s="287">
        <f t="shared" si="21"/>
        <v>858</v>
      </c>
      <c r="AB13" s="287">
        <f t="shared" si="22"/>
        <v>286</v>
      </c>
      <c r="AC13" s="287">
        <f t="shared" si="23"/>
        <v>143</v>
      </c>
      <c r="AD13" s="73">
        <f>ELEC!Q13</f>
        <v>3998.9999999997963</v>
      </c>
      <c r="AE13" s="73">
        <f t="shared" si="25"/>
        <v>666.49999999996601</v>
      </c>
      <c r="AF13" s="403">
        <f t="shared" si="26"/>
        <v>0.41656249999997874</v>
      </c>
      <c r="AG13" s="404">
        <f t="shared" si="27"/>
        <v>133.29999999999319</v>
      </c>
      <c r="AH13" s="404">
        <f t="shared" si="24"/>
        <v>9.7000000000068098</v>
      </c>
      <c r="AI13" s="73">
        <f t="shared" si="28"/>
        <v>1029.2784810126059</v>
      </c>
      <c r="AJ13" s="289">
        <f t="shared" si="9"/>
        <v>0.25738396624472576</v>
      </c>
      <c r="AK13" s="289">
        <f t="shared" si="29"/>
        <v>171.54641350210099</v>
      </c>
    </row>
    <row r="14" spans="1:37" ht="15" thickBot="1">
      <c r="A14" s="4">
        <f>ELEC!C14</f>
        <v>44239</v>
      </c>
      <c r="B14" s="541">
        <v>9584</v>
      </c>
      <c r="C14" s="287">
        <f t="shared" si="11"/>
        <v>4</v>
      </c>
      <c r="D14" s="542">
        <v>318396</v>
      </c>
      <c r="E14" s="287">
        <f t="shared" si="12"/>
        <v>578</v>
      </c>
      <c r="F14" s="287">
        <f t="shared" si="0"/>
        <v>144.5</v>
      </c>
      <c r="G14" s="196"/>
      <c r="H14" s="270">
        <f t="shared" si="13"/>
        <v>9729</v>
      </c>
      <c r="I14" s="287" t="str">
        <f t="shared" si="1"/>
        <v>ok</v>
      </c>
      <c r="J14" s="542">
        <f t="shared" si="14"/>
        <v>10698</v>
      </c>
      <c r="K14" s="287">
        <f t="shared" si="2"/>
        <v>0</v>
      </c>
      <c r="L14" s="542">
        <f t="shared" si="14"/>
        <v>357691</v>
      </c>
      <c r="M14" s="287">
        <f t="shared" si="3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4"/>
        <v>ok</v>
      </c>
      <c r="R14" s="542">
        <v>11802</v>
      </c>
      <c r="S14" s="287">
        <f t="shared" si="5"/>
        <v>1</v>
      </c>
      <c r="T14" s="542">
        <f>T13+120</f>
        <v>379778</v>
      </c>
      <c r="U14" s="287">
        <f t="shared" si="30"/>
        <v>120</v>
      </c>
      <c r="V14" s="287">
        <f t="shared" si="31"/>
        <v>120</v>
      </c>
      <c r="W14" s="338"/>
      <c r="X14" s="288">
        <f t="shared" si="20"/>
        <v>11898</v>
      </c>
      <c r="Y14" s="287" t="str">
        <f t="shared" si="32"/>
        <v>ok</v>
      </c>
      <c r="Z14" s="287">
        <f t="shared" si="8"/>
        <v>5</v>
      </c>
      <c r="AA14" s="287">
        <f t="shared" si="21"/>
        <v>698</v>
      </c>
      <c r="AB14" s="287">
        <f t="shared" si="22"/>
        <v>264.5</v>
      </c>
      <c r="AC14" s="287">
        <f t="shared" si="23"/>
        <v>139.6</v>
      </c>
      <c r="AD14" s="73">
        <f>ELEC!Q14</f>
        <v>2628.0000000006112</v>
      </c>
      <c r="AE14" s="73">
        <f t="shared" si="25"/>
        <v>525.60000000012224</v>
      </c>
      <c r="AF14" s="403">
        <f t="shared" si="26"/>
        <v>0.3285000000000764</v>
      </c>
      <c r="AG14" s="404">
        <f t="shared" si="27"/>
        <v>105.12000000002445</v>
      </c>
      <c r="AH14" s="404">
        <f t="shared" si="24"/>
        <v>34.479999999975547</v>
      </c>
      <c r="AI14" s="73">
        <f t="shared" si="28"/>
        <v>676.40506329129664</v>
      </c>
      <c r="AJ14" s="289">
        <f t="shared" si="9"/>
        <v>0.25738396624472576</v>
      </c>
      <c r="AK14" s="289">
        <f t="shared" si="29"/>
        <v>135.28101265825933</v>
      </c>
    </row>
    <row r="15" spans="1:37" ht="15" thickBot="1">
      <c r="A15" s="4">
        <f>ELEC!C15</f>
        <v>44240</v>
      </c>
      <c r="B15" s="541">
        <f t="shared" ref="B15:B30" si="33">B14</f>
        <v>9584</v>
      </c>
      <c r="C15" s="287">
        <f t="shared" si="11"/>
        <v>0</v>
      </c>
      <c r="D15" s="542">
        <f t="shared" ref="D15:D30" si="34">D14</f>
        <v>318396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2">
        <f t="shared" si="14"/>
        <v>10698</v>
      </c>
      <c r="K15" s="287">
        <f t="shared" si="2"/>
        <v>0</v>
      </c>
      <c r="L15" s="542">
        <f t="shared" si="14"/>
        <v>357691</v>
      </c>
      <c r="M15" s="287">
        <f t="shared" si="3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4"/>
        <v>ok</v>
      </c>
      <c r="R15" s="542">
        <f t="shared" si="17"/>
        <v>11802</v>
      </c>
      <c r="S15" s="287">
        <f t="shared" si="5"/>
        <v>0</v>
      </c>
      <c r="T15" s="542">
        <f t="shared" si="18"/>
        <v>379778</v>
      </c>
      <c r="U15" s="287">
        <f t="shared" si="30"/>
        <v>0</v>
      </c>
      <c r="V15" s="287">
        <f t="shared" si="31"/>
        <v>0</v>
      </c>
      <c r="W15" s="338"/>
      <c r="X15" s="288">
        <f t="shared" si="20"/>
        <v>11898</v>
      </c>
      <c r="Y15" s="287" t="str">
        <f t="shared" si="32"/>
        <v>ok</v>
      </c>
      <c r="Z15" s="287">
        <f t="shared" si="8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9"/>
        <v>0.25738396624472576</v>
      </c>
      <c r="AK15" s="289">
        <f t="shared" si="29"/>
        <v>0</v>
      </c>
    </row>
    <row r="16" spans="1:37" ht="15" thickBot="1">
      <c r="A16" s="4">
        <f>ELEC!C16</f>
        <v>44241</v>
      </c>
      <c r="B16" s="541">
        <f t="shared" si="33"/>
        <v>9584</v>
      </c>
      <c r="C16" s="287">
        <f t="shared" si="11"/>
        <v>0</v>
      </c>
      <c r="D16" s="542">
        <f t="shared" si="34"/>
        <v>318396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2">
        <f t="shared" si="14"/>
        <v>10698</v>
      </c>
      <c r="K16" s="287">
        <f t="shared" si="2"/>
        <v>0</v>
      </c>
      <c r="L16" s="542">
        <f t="shared" si="14"/>
        <v>357691</v>
      </c>
      <c r="M16" s="287">
        <f t="shared" si="3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4"/>
        <v>ok</v>
      </c>
      <c r="R16" s="542">
        <f t="shared" si="17"/>
        <v>11802</v>
      </c>
      <c r="S16" s="287">
        <f t="shared" si="5"/>
        <v>0</v>
      </c>
      <c r="T16" s="542">
        <f t="shared" si="18"/>
        <v>379778</v>
      </c>
      <c r="U16" s="287">
        <f t="shared" si="30"/>
        <v>0</v>
      </c>
      <c r="V16" s="287">
        <f t="shared" si="31"/>
        <v>0</v>
      </c>
      <c r="W16" s="338"/>
      <c r="X16" s="288">
        <f t="shared" si="20"/>
        <v>11898</v>
      </c>
      <c r="Y16" s="287" t="str">
        <f t="shared" si="32"/>
        <v>ok</v>
      </c>
      <c r="Z16" s="287">
        <f t="shared" si="8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9"/>
        <v>0.25738396624472576</v>
      </c>
      <c r="AK16" s="289">
        <f t="shared" si="29"/>
        <v>0</v>
      </c>
    </row>
    <row r="17" spans="1:37" ht="15" thickBot="1">
      <c r="A17" s="4">
        <f>ELEC!C17</f>
        <v>44242</v>
      </c>
      <c r="B17" s="541">
        <f t="shared" si="33"/>
        <v>9584</v>
      </c>
      <c r="C17" s="287">
        <f t="shared" si="11"/>
        <v>0</v>
      </c>
      <c r="D17" s="542">
        <f t="shared" si="34"/>
        <v>318396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2">
        <f t="shared" si="14"/>
        <v>10698</v>
      </c>
      <c r="K17" s="287">
        <f t="shared" si="2"/>
        <v>0</v>
      </c>
      <c r="L17" s="542">
        <f t="shared" si="14"/>
        <v>357691</v>
      </c>
      <c r="M17" s="287">
        <f t="shared" si="3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4"/>
        <v>ok</v>
      </c>
      <c r="R17" s="542">
        <f t="shared" si="17"/>
        <v>11802</v>
      </c>
      <c r="S17" s="287">
        <f t="shared" si="5"/>
        <v>0</v>
      </c>
      <c r="T17" s="542">
        <f t="shared" si="18"/>
        <v>379778</v>
      </c>
      <c r="U17" s="287">
        <f t="shared" si="30"/>
        <v>0</v>
      </c>
      <c r="V17" s="287">
        <f t="shared" si="31"/>
        <v>0</v>
      </c>
      <c r="W17" s="338"/>
      <c r="X17" s="288">
        <f t="shared" si="20"/>
        <v>11898</v>
      </c>
      <c r="Y17" s="287" t="str">
        <f t="shared" si="32"/>
        <v>ok</v>
      </c>
      <c r="Z17" s="287">
        <f t="shared" si="8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9"/>
        <v>0.25738396624472576</v>
      </c>
      <c r="AK17" s="289">
        <f t="shared" ref="AK17:AK30" si="35">IF(Z17&gt;0,AI17/Z17,0)</f>
        <v>0</v>
      </c>
    </row>
    <row r="18" spans="1:37" ht="15" thickBot="1">
      <c r="A18" s="4">
        <f>ELEC!C18</f>
        <v>44243</v>
      </c>
      <c r="B18" s="541">
        <f t="shared" si="33"/>
        <v>9584</v>
      </c>
      <c r="C18" s="287">
        <f t="shared" si="11"/>
        <v>0</v>
      </c>
      <c r="D18" s="542">
        <f t="shared" si="34"/>
        <v>318396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2">
        <f t="shared" si="14"/>
        <v>10698</v>
      </c>
      <c r="K18" s="287">
        <f t="shared" si="2"/>
        <v>0</v>
      </c>
      <c r="L18" s="542">
        <f t="shared" si="14"/>
        <v>357691</v>
      </c>
      <c r="M18" s="287">
        <f t="shared" si="3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42">
        <f t="shared" si="17"/>
        <v>11802</v>
      </c>
      <c r="S18" s="287">
        <f t="shared" si="5"/>
        <v>0</v>
      </c>
      <c r="T18" s="542">
        <f t="shared" si="18"/>
        <v>379778</v>
      </c>
      <c r="U18" s="287">
        <f t="shared" si="30"/>
        <v>0</v>
      </c>
      <c r="V18" s="287">
        <f t="shared" si="31"/>
        <v>0</v>
      </c>
      <c r="W18" s="338"/>
      <c r="X18" s="288">
        <f t="shared" si="20"/>
        <v>11898</v>
      </c>
      <c r="Y18" s="287" t="str">
        <f t="shared" si="32"/>
        <v>ok</v>
      </c>
      <c r="Z18" s="287">
        <f t="shared" si="8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9"/>
        <v>0.25738396624472576</v>
      </c>
      <c r="AK18" s="289">
        <f t="shared" si="35"/>
        <v>0</v>
      </c>
    </row>
    <row r="19" spans="1:37" ht="15" thickBot="1">
      <c r="A19" s="4">
        <f>ELEC!C19</f>
        <v>44244</v>
      </c>
      <c r="B19" s="541">
        <f t="shared" si="33"/>
        <v>9584</v>
      </c>
      <c r="C19" s="287">
        <f t="shared" si="11"/>
        <v>0</v>
      </c>
      <c r="D19" s="542">
        <f t="shared" si="34"/>
        <v>318396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2">
        <f t="shared" si="14"/>
        <v>10698</v>
      </c>
      <c r="K19" s="287">
        <f t="shared" si="2"/>
        <v>0</v>
      </c>
      <c r="L19" s="542">
        <f t="shared" si="14"/>
        <v>357691</v>
      </c>
      <c r="M19" s="287">
        <f t="shared" si="3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6">IF(J19-P19&lt;=0,"ok","oil change")</f>
        <v>ok</v>
      </c>
      <c r="R19" s="542">
        <f t="shared" si="17"/>
        <v>11802</v>
      </c>
      <c r="S19" s="287">
        <f t="shared" si="5"/>
        <v>0</v>
      </c>
      <c r="T19" s="542">
        <f t="shared" si="18"/>
        <v>379778</v>
      </c>
      <c r="U19" s="287">
        <f t="shared" si="30"/>
        <v>0</v>
      </c>
      <c r="V19" s="287">
        <f t="shared" si="31"/>
        <v>0</v>
      </c>
      <c r="W19" s="338"/>
      <c r="X19" s="288">
        <f t="shared" si="20"/>
        <v>11898</v>
      </c>
      <c r="Y19" s="287" t="str">
        <f t="shared" si="32"/>
        <v>ok</v>
      </c>
      <c r="Z19" s="287">
        <f t="shared" si="8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9"/>
        <v>0.25738396624472576</v>
      </c>
      <c r="AK19" s="289">
        <f t="shared" si="35"/>
        <v>0</v>
      </c>
    </row>
    <row r="20" spans="1:37" ht="15" thickBot="1">
      <c r="A20" s="4">
        <f>ELEC!C20</f>
        <v>44245</v>
      </c>
      <c r="B20" s="541">
        <f t="shared" si="33"/>
        <v>9584</v>
      </c>
      <c r="C20" s="287">
        <f>B20-B19</f>
        <v>0</v>
      </c>
      <c r="D20" s="542">
        <f t="shared" si="34"/>
        <v>318396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2">
        <f t="shared" si="14"/>
        <v>10698</v>
      </c>
      <c r="K20" s="287">
        <f t="shared" si="2"/>
        <v>0</v>
      </c>
      <c r="L20" s="542">
        <f t="shared" si="14"/>
        <v>357691</v>
      </c>
      <c r="M20" s="287">
        <f t="shared" si="3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6"/>
        <v>ok</v>
      </c>
      <c r="R20" s="542">
        <f t="shared" si="17"/>
        <v>11802</v>
      </c>
      <c r="S20" s="287">
        <f t="shared" si="5"/>
        <v>0</v>
      </c>
      <c r="T20" s="542">
        <f t="shared" si="18"/>
        <v>379778</v>
      </c>
      <c r="U20" s="287">
        <f t="shared" si="30"/>
        <v>0</v>
      </c>
      <c r="V20" s="287">
        <f t="shared" si="31"/>
        <v>0</v>
      </c>
      <c r="W20" s="338"/>
      <c r="X20" s="288">
        <f t="shared" si="20"/>
        <v>11898</v>
      </c>
      <c r="Y20" s="287" t="str">
        <f t="shared" si="32"/>
        <v>ok</v>
      </c>
      <c r="Z20" s="287">
        <f t="shared" si="8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9"/>
        <v>0.25738396624472576</v>
      </c>
      <c r="AK20" s="289">
        <f t="shared" si="35"/>
        <v>0</v>
      </c>
    </row>
    <row r="21" spans="1:37" ht="15" thickBot="1">
      <c r="A21" s="4">
        <f>ELEC!C21</f>
        <v>44246</v>
      </c>
      <c r="B21" s="541">
        <f t="shared" si="33"/>
        <v>9584</v>
      </c>
      <c r="C21" s="287">
        <f t="shared" ref="C21" si="37">B21-B20</f>
        <v>0</v>
      </c>
      <c r="D21" s="542">
        <f t="shared" si="34"/>
        <v>318396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2">
        <f t="shared" si="14"/>
        <v>10698</v>
      </c>
      <c r="K21" s="287">
        <f t="shared" si="2"/>
        <v>0</v>
      </c>
      <c r="L21" s="542">
        <f t="shared" si="14"/>
        <v>357691</v>
      </c>
      <c r="M21" s="287">
        <f t="shared" si="3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6"/>
        <v>ok</v>
      </c>
      <c r="R21" s="542">
        <f t="shared" si="17"/>
        <v>11802</v>
      </c>
      <c r="S21" s="287">
        <f t="shared" si="5"/>
        <v>0</v>
      </c>
      <c r="T21" s="542">
        <f t="shared" si="18"/>
        <v>379778</v>
      </c>
      <c r="U21" s="287">
        <f t="shared" ref="U21:U30" si="38">SUM(T21-T20)</f>
        <v>0</v>
      </c>
      <c r="V21" s="287">
        <f t="shared" si="19"/>
        <v>0</v>
      </c>
      <c r="W21" s="196"/>
      <c r="X21" s="288">
        <f t="shared" si="20"/>
        <v>11898</v>
      </c>
      <c r="Y21" s="287" t="str">
        <f>Y20</f>
        <v>ok</v>
      </c>
      <c r="Z21" s="287">
        <f t="shared" si="8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9"/>
        <v>0.25738396624472576</v>
      </c>
      <c r="AK21" s="289">
        <f t="shared" si="35"/>
        <v>0</v>
      </c>
    </row>
    <row r="22" spans="1:37" ht="15" thickBot="1">
      <c r="A22" s="4">
        <f>ELEC!C22</f>
        <v>44247</v>
      </c>
      <c r="B22" s="541">
        <f t="shared" si="33"/>
        <v>9584</v>
      </c>
      <c r="C22" s="287">
        <f t="shared" si="11"/>
        <v>0</v>
      </c>
      <c r="D22" s="542">
        <f t="shared" si="34"/>
        <v>318396</v>
      </c>
      <c r="E22" s="287">
        <f t="shared" si="12"/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2">
        <f t="shared" si="14"/>
        <v>10698</v>
      </c>
      <c r="K22" s="287">
        <f t="shared" si="2"/>
        <v>0</v>
      </c>
      <c r="L22" s="542">
        <f t="shared" si="14"/>
        <v>357691</v>
      </c>
      <c r="M22" s="287">
        <f t="shared" si="3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6"/>
        <v>ok</v>
      </c>
      <c r="R22" s="542">
        <f t="shared" si="17"/>
        <v>11802</v>
      </c>
      <c r="S22" s="287">
        <f t="shared" si="5"/>
        <v>0</v>
      </c>
      <c r="T22" s="542">
        <f t="shared" si="18"/>
        <v>379778</v>
      </c>
      <c r="U22" s="287">
        <f t="shared" si="38"/>
        <v>0</v>
      </c>
      <c r="V22" s="287">
        <f t="shared" si="19"/>
        <v>0</v>
      </c>
      <c r="W22" s="196"/>
      <c r="X22" s="288">
        <f t="shared" si="20"/>
        <v>11898</v>
      </c>
      <c r="Y22" s="287" t="str">
        <f t="shared" ref="Y22:Y30" si="39">IF(R22-X22&lt;=0,"ok","oil change")</f>
        <v>ok</v>
      </c>
      <c r="Z22" s="287">
        <f t="shared" si="8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9"/>
        <v>0.25738396624472576</v>
      </c>
      <c r="AK22" s="289">
        <f t="shared" si="35"/>
        <v>0</v>
      </c>
    </row>
    <row r="23" spans="1:37" ht="15" thickBot="1">
      <c r="A23" s="4">
        <f>ELEC!C23</f>
        <v>44248</v>
      </c>
      <c r="B23" s="541">
        <f t="shared" si="33"/>
        <v>9584</v>
      </c>
      <c r="C23" s="287">
        <f t="shared" si="11"/>
        <v>0</v>
      </c>
      <c r="D23" s="542">
        <f t="shared" si="34"/>
        <v>318396</v>
      </c>
      <c r="E23" s="287">
        <f t="shared" si="12"/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2">
        <f t="shared" si="14"/>
        <v>10698</v>
      </c>
      <c r="K23" s="287">
        <f t="shared" si="2"/>
        <v>0</v>
      </c>
      <c r="L23" s="542">
        <f t="shared" si="14"/>
        <v>357691</v>
      </c>
      <c r="M23" s="287">
        <f t="shared" si="3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6"/>
        <v>ok</v>
      </c>
      <c r="R23" s="542">
        <f t="shared" si="17"/>
        <v>11802</v>
      </c>
      <c r="S23" s="287">
        <f t="shared" si="5"/>
        <v>0</v>
      </c>
      <c r="T23" s="542">
        <f t="shared" si="18"/>
        <v>379778</v>
      </c>
      <c r="U23" s="287">
        <f t="shared" si="38"/>
        <v>0</v>
      </c>
      <c r="V23" s="287">
        <f t="shared" si="19"/>
        <v>0</v>
      </c>
      <c r="W23" s="196"/>
      <c r="X23" s="288">
        <f t="shared" si="20"/>
        <v>11898</v>
      </c>
      <c r="Y23" s="287" t="str">
        <f t="shared" si="39"/>
        <v>ok</v>
      </c>
      <c r="Z23" s="287">
        <f t="shared" si="8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9"/>
        <v>0.25738396624472576</v>
      </c>
      <c r="AK23" s="289">
        <f t="shared" si="35"/>
        <v>0</v>
      </c>
    </row>
    <row r="24" spans="1:37" ht="15" thickBot="1">
      <c r="A24" s="4">
        <f>ELEC!C24</f>
        <v>44249</v>
      </c>
      <c r="B24" s="541">
        <f t="shared" si="33"/>
        <v>9584</v>
      </c>
      <c r="C24" s="287">
        <f t="shared" si="11"/>
        <v>0</v>
      </c>
      <c r="D24" s="542">
        <f t="shared" si="34"/>
        <v>318396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2">
        <f t="shared" si="14"/>
        <v>10698</v>
      </c>
      <c r="K24" s="287">
        <f t="shared" si="2"/>
        <v>0</v>
      </c>
      <c r="L24" s="542">
        <f t="shared" si="14"/>
        <v>357691</v>
      </c>
      <c r="M24" s="287">
        <f t="shared" si="3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6"/>
        <v>ok</v>
      </c>
      <c r="R24" s="542">
        <f t="shared" si="17"/>
        <v>11802</v>
      </c>
      <c r="S24" s="287">
        <f t="shared" si="5"/>
        <v>0</v>
      </c>
      <c r="T24" s="542">
        <f t="shared" si="18"/>
        <v>379778</v>
      </c>
      <c r="U24" s="287">
        <f t="shared" si="38"/>
        <v>0</v>
      </c>
      <c r="V24" s="287">
        <f t="shared" si="19"/>
        <v>0</v>
      </c>
      <c r="W24" s="196"/>
      <c r="X24" s="288">
        <f t="shared" si="20"/>
        <v>11898</v>
      </c>
      <c r="Y24" s="287" t="str">
        <f t="shared" si="39"/>
        <v>ok</v>
      </c>
      <c r="Z24" s="287">
        <f t="shared" si="8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9"/>
        <v>0.25738396624472576</v>
      </c>
      <c r="AK24" s="289">
        <f t="shared" si="35"/>
        <v>0</v>
      </c>
    </row>
    <row r="25" spans="1:37" ht="15" thickBot="1">
      <c r="A25" s="4">
        <f>ELEC!C25</f>
        <v>44250</v>
      </c>
      <c r="B25" s="541">
        <f t="shared" si="33"/>
        <v>9584</v>
      </c>
      <c r="C25" s="287">
        <f t="shared" si="11"/>
        <v>0</v>
      </c>
      <c r="D25" s="542">
        <f t="shared" si="34"/>
        <v>318396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2">
        <f t="shared" si="14"/>
        <v>10698</v>
      </c>
      <c r="K25" s="287">
        <f t="shared" si="2"/>
        <v>0</v>
      </c>
      <c r="L25" s="542">
        <f t="shared" si="14"/>
        <v>357691</v>
      </c>
      <c r="M25" s="287">
        <f t="shared" si="3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6"/>
        <v>ok</v>
      </c>
      <c r="R25" s="542">
        <f t="shared" si="17"/>
        <v>11802</v>
      </c>
      <c r="S25" s="287">
        <f t="shared" si="5"/>
        <v>0</v>
      </c>
      <c r="T25" s="542">
        <f t="shared" si="18"/>
        <v>379778</v>
      </c>
      <c r="U25" s="287">
        <f t="shared" si="38"/>
        <v>0</v>
      </c>
      <c r="V25" s="287">
        <f t="shared" si="19"/>
        <v>0</v>
      </c>
      <c r="W25" s="196"/>
      <c r="X25" s="288">
        <f t="shared" si="20"/>
        <v>11898</v>
      </c>
      <c r="Y25" s="287" t="str">
        <f t="shared" si="39"/>
        <v>ok</v>
      </c>
      <c r="Z25" s="287">
        <f t="shared" si="8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9"/>
        <v>0.25738396624472576</v>
      </c>
      <c r="AK25" s="289">
        <f t="shared" si="35"/>
        <v>0</v>
      </c>
    </row>
    <row r="26" spans="1:37" ht="15" thickBot="1">
      <c r="A26" s="4">
        <f>ELEC!C26</f>
        <v>44251</v>
      </c>
      <c r="B26" s="541">
        <f t="shared" si="33"/>
        <v>9584</v>
      </c>
      <c r="C26" s="287">
        <f t="shared" si="11"/>
        <v>0</v>
      </c>
      <c r="D26" s="542">
        <f t="shared" si="34"/>
        <v>318396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2">
        <f t="shared" si="14"/>
        <v>10698</v>
      </c>
      <c r="K26" s="287">
        <f t="shared" si="2"/>
        <v>0</v>
      </c>
      <c r="L26" s="542">
        <f t="shared" si="14"/>
        <v>357691</v>
      </c>
      <c r="M26" s="287">
        <f t="shared" si="3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6"/>
        <v>ok</v>
      </c>
      <c r="R26" s="542">
        <f t="shared" si="17"/>
        <v>11802</v>
      </c>
      <c r="S26" s="287">
        <f t="shared" si="5"/>
        <v>0</v>
      </c>
      <c r="T26" s="542">
        <f t="shared" si="18"/>
        <v>379778</v>
      </c>
      <c r="U26" s="287">
        <f t="shared" si="38"/>
        <v>0</v>
      </c>
      <c r="V26" s="287">
        <f t="shared" si="19"/>
        <v>0</v>
      </c>
      <c r="W26" s="196"/>
      <c r="X26" s="288">
        <f t="shared" si="20"/>
        <v>11898</v>
      </c>
      <c r="Y26" s="287" t="str">
        <f t="shared" si="39"/>
        <v>ok</v>
      </c>
      <c r="Z26" s="287">
        <f t="shared" si="8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9"/>
        <v>0.25738396624472576</v>
      </c>
      <c r="AK26" s="289">
        <f t="shared" si="35"/>
        <v>0</v>
      </c>
    </row>
    <row r="27" spans="1:37" ht="15" thickBot="1">
      <c r="A27" s="4">
        <f>ELEC!C27</f>
        <v>44252</v>
      </c>
      <c r="B27" s="541">
        <f t="shared" si="33"/>
        <v>9584</v>
      </c>
      <c r="C27" s="287">
        <f t="shared" si="11"/>
        <v>0</v>
      </c>
      <c r="D27" s="542">
        <f t="shared" si="34"/>
        <v>318396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2">
        <f t="shared" si="14"/>
        <v>10698</v>
      </c>
      <c r="K27" s="287">
        <f t="shared" si="2"/>
        <v>0</v>
      </c>
      <c r="L27" s="542">
        <f t="shared" si="14"/>
        <v>357691</v>
      </c>
      <c r="M27" s="287">
        <f t="shared" si="3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6"/>
        <v>ok</v>
      </c>
      <c r="R27" s="542">
        <f t="shared" si="17"/>
        <v>11802</v>
      </c>
      <c r="S27" s="287">
        <f t="shared" si="5"/>
        <v>0</v>
      </c>
      <c r="T27" s="542">
        <f t="shared" si="18"/>
        <v>379778</v>
      </c>
      <c r="U27" s="287">
        <f t="shared" si="38"/>
        <v>0</v>
      </c>
      <c r="V27" s="287">
        <f t="shared" si="19"/>
        <v>0</v>
      </c>
      <c r="W27" s="196"/>
      <c r="X27" s="288">
        <f t="shared" si="20"/>
        <v>11898</v>
      </c>
      <c r="Y27" s="287" t="str">
        <f t="shared" si="39"/>
        <v>ok</v>
      </c>
      <c r="Z27" s="287">
        <f t="shared" si="8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9"/>
        <v>0.25738396624472576</v>
      </c>
      <c r="AK27" s="289">
        <f t="shared" si="35"/>
        <v>0</v>
      </c>
    </row>
    <row r="28" spans="1:37" ht="15" thickBot="1">
      <c r="A28" s="4">
        <f>ELEC!C28</f>
        <v>44253</v>
      </c>
      <c r="B28" s="541">
        <f t="shared" si="33"/>
        <v>9584</v>
      </c>
      <c r="C28" s="287">
        <f t="shared" si="11"/>
        <v>0</v>
      </c>
      <c r="D28" s="542">
        <f t="shared" si="34"/>
        <v>318396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2">
        <f t="shared" si="14"/>
        <v>10698</v>
      </c>
      <c r="K28" s="287">
        <f t="shared" si="2"/>
        <v>0</v>
      </c>
      <c r="L28" s="542">
        <f t="shared" si="14"/>
        <v>357691</v>
      </c>
      <c r="M28" s="287">
        <f t="shared" si="3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6"/>
        <v>ok</v>
      </c>
      <c r="R28" s="542">
        <f t="shared" si="17"/>
        <v>11802</v>
      </c>
      <c r="S28" s="287">
        <f t="shared" si="5"/>
        <v>0</v>
      </c>
      <c r="T28" s="542">
        <f t="shared" si="18"/>
        <v>379778</v>
      </c>
      <c r="U28" s="287">
        <f t="shared" si="38"/>
        <v>0</v>
      </c>
      <c r="V28" s="287">
        <f t="shared" si="19"/>
        <v>0</v>
      </c>
      <c r="W28" s="196"/>
      <c r="X28" s="288">
        <f t="shared" si="20"/>
        <v>11898</v>
      </c>
      <c r="Y28" s="287" t="str">
        <f t="shared" si="39"/>
        <v>ok</v>
      </c>
      <c r="Z28" s="287">
        <f t="shared" si="8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9"/>
        <v>0.25738396624472576</v>
      </c>
      <c r="AK28" s="289">
        <f t="shared" si="35"/>
        <v>0</v>
      </c>
    </row>
    <row r="29" spans="1:37" ht="15" thickBot="1">
      <c r="A29" s="4">
        <f>ELEC!C29</f>
        <v>44254</v>
      </c>
      <c r="B29" s="541">
        <f t="shared" si="33"/>
        <v>9584</v>
      </c>
      <c r="C29" s="287">
        <f t="shared" si="11"/>
        <v>0</v>
      </c>
      <c r="D29" s="542">
        <f t="shared" si="34"/>
        <v>318396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2">
        <f t="shared" si="14"/>
        <v>10698</v>
      </c>
      <c r="K29" s="287">
        <f t="shared" si="2"/>
        <v>0</v>
      </c>
      <c r="L29" s="542">
        <f t="shared" si="14"/>
        <v>357691</v>
      </c>
      <c r="M29" s="287">
        <f t="shared" si="3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6"/>
        <v>ok</v>
      </c>
      <c r="R29" s="542">
        <f t="shared" si="17"/>
        <v>11802</v>
      </c>
      <c r="S29" s="287">
        <f t="shared" si="5"/>
        <v>0</v>
      </c>
      <c r="T29" s="542">
        <f t="shared" si="18"/>
        <v>379778</v>
      </c>
      <c r="U29" s="287">
        <f t="shared" si="38"/>
        <v>0</v>
      </c>
      <c r="V29" s="287">
        <f t="shared" si="19"/>
        <v>0</v>
      </c>
      <c r="W29" s="196"/>
      <c r="X29" s="288">
        <f t="shared" si="20"/>
        <v>11898</v>
      </c>
      <c r="Y29" s="287" t="str">
        <f t="shared" si="39"/>
        <v>ok</v>
      </c>
      <c r="Z29" s="287">
        <f t="shared" si="8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9"/>
        <v>0.25738396624472576</v>
      </c>
      <c r="AK29" s="289">
        <f t="shared" si="35"/>
        <v>0</v>
      </c>
    </row>
    <row r="30" spans="1:37">
      <c r="A30" s="4">
        <f>ELEC!C30</f>
        <v>44255</v>
      </c>
      <c r="B30" s="541">
        <f t="shared" si="33"/>
        <v>9584</v>
      </c>
      <c r="C30" s="287">
        <f t="shared" si="11"/>
        <v>0</v>
      </c>
      <c r="D30" s="542">
        <f t="shared" si="34"/>
        <v>318396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2">
        <f t="shared" si="14"/>
        <v>10698</v>
      </c>
      <c r="K30" s="287">
        <f t="shared" si="2"/>
        <v>0</v>
      </c>
      <c r="L30" s="542">
        <f t="shared" si="14"/>
        <v>357691</v>
      </c>
      <c r="M30" s="287">
        <f t="shared" si="3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6"/>
        <v>ok</v>
      </c>
      <c r="R30" s="542">
        <f t="shared" si="17"/>
        <v>11802</v>
      </c>
      <c r="S30" s="287">
        <f t="shared" si="5"/>
        <v>0</v>
      </c>
      <c r="T30" s="542">
        <f t="shared" si="18"/>
        <v>379778</v>
      </c>
      <c r="U30" s="287">
        <f t="shared" si="38"/>
        <v>0</v>
      </c>
      <c r="V30" s="287">
        <f t="shared" si="19"/>
        <v>0</v>
      </c>
      <c r="W30" s="285"/>
      <c r="X30" s="288">
        <f t="shared" si="20"/>
        <v>11898</v>
      </c>
      <c r="Y30" s="287" t="str">
        <f t="shared" si="39"/>
        <v>ok</v>
      </c>
      <c r="Z30" s="287">
        <f t="shared" si="8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9"/>
        <v>0.25738396624472576</v>
      </c>
      <c r="AK30" s="289">
        <f t="shared" si="35"/>
        <v>0</v>
      </c>
    </row>
    <row r="31" spans="1:37">
      <c r="H31" s="39"/>
      <c r="I31" s="267"/>
      <c r="M31" s="39"/>
      <c r="N31" s="39"/>
      <c r="O31" s="39"/>
      <c r="P31" s="82">
        <f>+O31/3</f>
        <v>0</v>
      </c>
      <c r="S31" s="39"/>
      <c r="T31" s="39"/>
      <c r="U31" s="40">
        <f>SUM(C32:S32)</f>
        <v>50</v>
      </c>
      <c r="V31" s="40"/>
      <c r="X31">
        <v>341</v>
      </c>
      <c r="Z31" s="421">
        <f>SUM(Z3:Z30)</f>
        <v>50</v>
      </c>
    </row>
    <row r="32" spans="1:37">
      <c r="C32" s="40">
        <f>SUM(C3:C30)</f>
        <v>46</v>
      </c>
      <c r="K32" s="40">
        <f>SUM(K3:K30)</f>
        <v>0</v>
      </c>
      <c r="S32" s="40">
        <f>SUM(S3:S30)</f>
        <v>4</v>
      </c>
      <c r="U32" s="40"/>
      <c r="V32" s="40"/>
      <c r="X32" s="40"/>
    </row>
  </sheetData>
  <conditionalFormatting sqref="K3:K30 S3:S30 Z3:Z30 C3:C30">
    <cfRule type="cellIs" dxfId="3" priority="11" stopIfTrue="1" operator="equal">
      <formula>0</formula>
    </cfRule>
  </conditionalFormatting>
  <conditionalFormatting sqref="AA3:AB30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77"/>
  <sheetViews>
    <sheetView topLeftCell="J1" zoomScale="80" zoomScaleNormal="80" workbookViewId="0">
      <selection activeCell="W15" sqref="W15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5.1796875" style="293" bestFit="1" customWidth="1"/>
    <col min="20" max="20" width="10.26953125" style="337" customWidth="1"/>
    <col min="22" max="22" width="23.26953125" bestFit="1" customWidth="1"/>
    <col min="23" max="23" width="14.81640625" bestFit="1" customWidth="1"/>
    <col min="24" max="24" width="10.7265625" bestFit="1" customWidth="1"/>
    <col min="25" max="25" width="12.5429687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12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" thickBot="1">
      <c r="A3" s="163">
        <f>ELEC!C2</f>
        <v>44227</v>
      </c>
      <c r="B3" s="264">
        <f>'[2]EDl log'!B34</f>
        <v>853626</v>
      </c>
      <c r="C3" s="264">
        <f>'[2]EDl log'!C34</f>
        <v>2345</v>
      </c>
      <c r="D3" s="264">
        <f>'[2]EDl log'!D34</f>
        <v>2346</v>
      </c>
      <c r="E3" s="264">
        <f>'[2]EDl log'!E34</f>
        <v>853627</v>
      </c>
      <c r="F3" s="264">
        <v>128729</v>
      </c>
      <c r="G3" s="264">
        <f>'[2]EDl log'!G34</f>
        <v>446</v>
      </c>
      <c r="H3" s="264">
        <v>426042</v>
      </c>
      <c r="I3" s="264">
        <f>'[2]EDl log'!I34</f>
        <v>935</v>
      </c>
      <c r="J3" s="264">
        <v>298855</v>
      </c>
      <c r="K3" s="264">
        <f>'[2]EDl log'!K34</f>
        <v>965</v>
      </c>
      <c r="L3" s="264">
        <f>'[2]EDl log'!L34</f>
        <v>94.673300165837475</v>
      </c>
      <c r="M3" s="264">
        <f>'[2]EDl log'!M34</f>
        <v>69.466003316749592</v>
      </c>
      <c r="N3" s="264">
        <f>'[2]EDl log'!N34</f>
        <v>51.210613598673298</v>
      </c>
      <c r="O3" s="264">
        <f>'[2]EDl log'!O34</f>
        <v>154.80303857058792</v>
      </c>
      <c r="P3" s="264">
        <f>'[2]EDl log'!P34</f>
        <v>370.15295565184829</v>
      </c>
      <c r="Q3" s="264">
        <f>'[2]EDl log'!Q34</f>
        <v>431.00129032258002</v>
      </c>
      <c r="R3" s="264">
        <f>'[2]EDl log'!R34</f>
        <v>801.15424597442825</v>
      </c>
      <c r="S3" s="264">
        <f>'[2]EDl log'!S34</f>
        <v>6347</v>
      </c>
      <c r="T3" s="264">
        <f>'[2]EDl log'!T34</f>
        <v>0.12622565715683445</v>
      </c>
      <c r="Z3" t="s">
        <v>214</v>
      </c>
      <c r="AA3">
        <v>0.1</v>
      </c>
    </row>
    <row r="4" spans="1:32" ht="15" thickBot="1">
      <c r="A4" s="163">
        <f>ELEC!C3</f>
        <v>44228</v>
      </c>
      <c r="B4" s="540">
        <v>856126</v>
      </c>
      <c r="C4" s="264">
        <f t="shared" ref="C4:C31" si="0">SUM(B4-B3)</f>
        <v>2500</v>
      </c>
      <c r="D4" s="308">
        <f>SUM(G4+I4+K4)</f>
        <v>2499</v>
      </c>
      <c r="E4" s="308">
        <f>B3+D4</f>
        <v>856125</v>
      </c>
      <c r="F4" s="540">
        <v>129225</v>
      </c>
      <c r="G4" s="160">
        <f t="shared" ref="G4:G31" si="1">F4-F3</f>
        <v>496</v>
      </c>
      <c r="H4" s="540">
        <v>427118</v>
      </c>
      <c r="I4" s="161">
        <f t="shared" ref="I4:I31" si="2">H4-H3</f>
        <v>1076</v>
      </c>
      <c r="J4" s="540">
        <v>299782</v>
      </c>
      <c r="K4" s="162">
        <f t="shared" ref="K4:K31" si="3">J4-J3</f>
        <v>927</v>
      </c>
      <c r="L4" s="296">
        <f t="shared" ref="L4:L13" si="4">SUM(G4*$Y$28)/1507.5</f>
        <v>105.28689883913765</v>
      </c>
      <c r="M4" s="296">
        <f t="shared" ref="M4:M13" si="5">SUM(I4*$Y$27)/1507.5</f>
        <v>79.941625207296852</v>
      </c>
      <c r="N4" s="296">
        <f t="shared" ref="N4:N13" si="6">SUM(K4*$Y$26)/1507.5</f>
        <v>49.194029850746269</v>
      </c>
      <c r="O4" s="296">
        <f t="shared" ref="O4:O31" si="7">($AC$31/$A$34)/1507.5</f>
        <v>73.452462178901413</v>
      </c>
      <c r="P4" s="297">
        <f>SUM(L4:O4)</f>
        <v>307.87501607608215</v>
      </c>
      <c r="Q4" s="297">
        <f>SUM(-tanks!AX6*tanks!$AU$34)</f>
        <v>293.81414516128569</v>
      </c>
      <c r="R4" s="297">
        <f>SUM(P4:Q4)</f>
        <v>601.6891612373679</v>
      </c>
      <c r="S4" s="299">
        <f>SUM(ELEC!N3)</f>
        <v>6404.3999999999069</v>
      </c>
      <c r="T4" s="336">
        <f>IF(S4&gt;0,R4/S4,0)</f>
        <v>9.3949341271216139E-2</v>
      </c>
      <c r="U4" s="250"/>
      <c r="V4" s="251" t="str">
        <f>'[6]EDl log'!V21</f>
        <v xml:space="preserve">EDL </v>
      </c>
      <c r="W4" s="167">
        <v>44197</v>
      </c>
      <c r="X4" s="169"/>
      <c r="Y4" s="169"/>
      <c r="Z4" s="169" t="s">
        <v>202</v>
      </c>
      <c r="AA4" s="169"/>
      <c r="AB4" s="656"/>
      <c r="AC4" s="657"/>
    </row>
    <row r="5" spans="1:32" ht="15" thickBot="1">
      <c r="A5" s="163">
        <f>ELEC!C4</f>
        <v>44229</v>
      </c>
      <c r="B5" s="540">
        <v>858354</v>
      </c>
      <c r="C5" s="264">
        <f t="shared" si="0"/>
        <v>2228</v>
      </c>
      <c r="D5" s="308">
        <f t="shared" ref="D5:D31" si="8">SUM(G5+I5+K5)</f>
        <v>2229</v>
      </c>
      <c r="E5" s="308">
        <f>B4+D5</f>
        <v>858355</v>
      </c>
      <c r="F5" s="540">
        <v>129716</v>
      </c>
      <c r="G5" s="160">
        <f t="shared" si="1"/>
        <v>491</v>
      </c>
      <c r="H5" s="540">
        <v>428204</v>
      </c>
      <c r="I5" s="161">
        <f t="shared" si="2"/>
        <v>1086</v>
      </c>
      <c r="J5" s="540">
        <v>300434</v>
      </c>
      <c r="K5" s="162">
        <f t="shared" si="3"/>
        <v>652</v>
      </c>
      <c r="L5" s="296">
        <f t="shared" si="4"/>
        <v>104.22553897180762</v>
      </c>
      <c r="M5" s="296">
        <f t="shared" si="5"/>
        <v>80.684577114427867</v>
      </c>
      <c r="N5" s="296">
        <f t="shared" si="6"/>
        <v>34.600331674958539</v>
      </c>
      <c r="O5" s="296">
        <f t="shared" si="7"/>
        <v>73.452462178901413</v>
      </c>
      <c r="P5" s="297">
        <f t="shared" ref="P5:P31" si="9">SUM(L5:O5)</f>
        <v>292.96290994009541</v>
      </c>
      <c r="Q5" s="297">
        <f>SUM(-tanks!AX7*tanks!$AU$34)</f>
        <v>265.49448387096174</v>
      </c>
      <c r="R5" s="297">
        <f t="shared" ref="R5:R31" si="10">SUM(P5:Q5)</f>
        <v>558.45739381105716</v>
      </c>
      <c r="S5" s="299">
        <f>SUM(ELEC!N4)</f>
        <v>6622</v>
      </c>
      <c r="T5" s="336">
        <f>IF(S5&gt;0,R5/S5,0)</f>
        <v>8.4333644489739831E-2</v>
      </c>
      <c r="U5" s="250"/>
      <c r="V5" s="650"/>
      <c r="W5" s="651"/>
      <c r="X5" s="651"/>
      <c r="Y5" s="652"/>
      <c r="Z5" s="26" t="s">
        <v>203</v>
      </c>
      <c r="AA5" s="264">
        <f>'[7]EDl log'!AA22</f>
        <v>5000</v>
      </c>
      <c r="AB5" s="658"/>
      <c r="AC5" s="659"/>
    </row>
    <row r="6" spans="1:32" ht="15" thickBot="1">
      <c r="A6" s="163">
        <f>ELEC!C5</f>
        <v>44230</v>
      </c>
      <c r="B6" s="540">
        <v>860441</v>
      </c>
      <c r="C6" s="264">
        <f t="shared" si="0"/>
        <v>2087</v>
      </c>
      <c r="D6" s="308">
        <f t="shared" si="8"/>
        <v>2086</v>
      </c>
      <c r="E6" s="308">
        <f t="shared" ref="E6:E31" si="11">B5+D6</f>
        <v>860440</v>
      </c>
      <c r="F6" s="540">
        <v>129935</v>
      </c>
      <c r="G6" s="160">
        <f t="shared" si="1"/>
        <v>219</v>
      </c>
      <c r="H6" s="540">
        <v>429188</v>
      </c>
      <c r="I6" s="161">
        <f t="shared" si="2"/>
        <v>984</v>
      </c>
      <c r="J6" s="540">
        <v>301317</v>
      </c>
      <c r="K6" s="162">
        <f t="shared" si="3"/>
        <v>883</v>
      </c>
      <c r="L6" s="296">
        <f t="shared" si="4"/>
        <v>46.487562189054728</v>
      </c>
      <c r="M6" s="296">
        <f t="shared" si="5"/>
        <v>73.106467661691539</v>
      </c>
      <c r="N6" s="296">
        <f t="shared" si="6"/>
        <v>46.859038142620236</v>
      </c>
      <c r="O6" s="296">
        <f t="shared" si="7"/>
        <v>73.452462178901413</v>
      </c>
      <c r="P6" s="297">
        <f t="shared" si="9"/>
        <v>239.90553017226793</v>
      </c>
      <c r="Q6" s="297">
        <f>SUM(-tanks!AX8*tanks!$AU$34)</f>
        <v>362.89364516129922</v>
      </c>
      <c r="R6" s="297">
        <f t="shared" si="10"/>
        <v>602.79917533356718</v>
      </c>
      <c r="S6" s="299">
        <f>SUM(ELEC!N5)</f>
        <v>6753</v>
      </c>
      <c r="T6" s="336">
        <f t="shared" ref="T6:T31" si="12">IF(S6&gt;0,R6/S6,0)</f>
        <v>8.9263908682595469E-2</v>
      </c>
      <c r="V6" s="653"/>
      <c r="W6" s="654"/>
      <c r="X6" s="654"/>
      <c r="Y6" s="655"/>
      <c r="Z6" s="3"/>
      <c r="AA6" s="3"/>
      <c r="AB6" s="658"/>
      <c r="AC6" s="659"/>
    </row>
    <row r="7" spans="1:32" ht="15" customHeight="1" thickBot="1">
      <c r="A7" s="163">
        <f>ELEC!C6</f>
        <v>44231</v>
      </c>
      <c r="B7" s="540">
        <v>862596</v>
      </c>
      <c r="C7" s="264">
        <f t="shared" si="0"/>
        <v>2155</v>
      </c>
      <c r="D7" s="308">
        <f t="shared" si="8"/>
        <v>2155</v>
      </c>
      <c r="E7" s="308">
        <f t="shared" si="11"/>
        <v>862596</v>
      </c>
      <c r="F7" s="540">
        <v>130413</v>
      </c>
      <c r="G7" s="160">
        <f t="shared" si="1"/>
        <v>478</v>
      </c>
      <c r="H7" s="540">
        <v>430047</v>
      </c>
      <c r="I7" s="161">
        <f t="shared" si="2"/>
        <v>859</v>
      </c>
      <c r="J7" s="540">
        <v>302135</v>
      </c>
      <c r="K7" s="162">
        <f t="shared" si="3"/>
        <v>818</v>
      </c>
      <c r="L7" s="296">
        <f t="shared" si="4"/>
        <v>101.46600331674959</v>
      </c>
      <c r="M7" s="296">
        <f t="shared" si="5"/>
        <v>63.819568822553897</v>
      </c>
      <c r="N7" s="296">
        <f t="shared" si="6"/>
        <v>43.40961857379768</v>
      </c>
      <c r="O7" s="296">
        <f t="shared" si="7"/>
        <v>73.452462178901413</v>
      </c>
      <c r="P7" s="297">
        <f t="shared" si="9"/>
        <v>282.14765289200261</v>
      </c>
      <c r="Q7" s="297">
        <f>SUM(-tanks!AX9*tanks!$AU$34)</f>
        <v>353.21864516129358</v>
      </c>
      <c r="R7" s="297">
        <f t="shared" si="10"/>
        <v>635.36629805329619</v>
      </c>
      <c r="S7" s="299">
        <f>SUM(ELEC!N6)</f>
        <v>6587</v>
      </c>
      <c r="T7" s="336">
        <f t="shared" si="12"/>
        <v>9.6457613185561897E-2</v>
      </c>
      <c r="V7" s="646" t="s">
        <v>204</v>
      </c>
      <c r="W7" s="647"/>
      <c r="X7" s="648" t="s">
        <v>205</v>
      </c>
      <c r="Y7" s="649"/>
      <c r="Z7" s="647"/>
      <c r="AA7" s="26"/>
      <c r="AB7" s="660"/>
      <c r="AC7" s="661"/>
    </row>
    <row r="8" spans="1:32" ht="15.75" customHeight="1" thickBot="1">
      <c r="A8" s="163">
        <f>ELEC!C7</f>
        <v>44232</v>
      </c>
      <c r="B8" s="540">
        <v>864742</v>
      </c>
      <c r="C8" s="264">
        <f t="shared" si="0"/>
        <v>2146</v>
      </c>
      <c r="D8" s="308">
        <f t="shared" si="8"/>
        <v>2147</v>
      </c>
      <c r="E8" s="308">
        <f t="shared" si="11"/>
        <v>864743</v>
      </c>
      <c r="F8" s="540">
        <v>130838</v>
      </c>
      <c r="G8" s="160">
        <f t="shared" si="1"/>
        <v>425</v>
      </c>
      <c r="H8" s="540">
        <v>430939</v>
      </c>
      <c r="I8" s="161">
        <f t="shared" si="2"/>
        <v>892</v>
      </c>
      <c r="J8" s="540">
        <v>302965</v>
      </c>
      <c r="K8" s="162">
        <f>J8-J7</f>
        <v>830</v>
      </c>
      <c r="L8" s="296">
        <f t="shared" si="4"/>
        <v>90.215588723051411</v>
      </c>
      <c r="M8" s="296">
        <f t="shared" si="5"/>
        <v>66.271310116086241</v>
      </c>
      <c r="N8" s="296">
        <f t="shared" si="6"/>
        <v>44.046434494195687</v>
      </c>
      <c r="O8" s="296">
        <f t="shared" si="7"/>
        <v>73.452462178901413</v>
      </c>
      <c r="P8" s="297">
        <f t="shared" si="9"/>
        <v>273.98579551223474</v>
      </c>
      <c r="Q8" s="297">
        <f>SUM(-tanks!AX10*tanks!$AU$34)</f>
        <v>-172.06519354839145</v>
      </c>
      <c r="R8" s="297">
        <f t="shared" si="10"/>
        <v>101.9206019638433</v>
      </c>
      <c r="S8" s="299">
        <f>SUM(ELEC!N7)</f>
        <v>5932</v>
      </c>
      <c r="T8" s="336">
        <f>IF(S8&gt;0,R8/S8,0)</f>
        <v>1.7181490553581136E-2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" thickBot="1">
      <c r="A9" s="163">
        <f>ELEC!C8</f>
        <v>44233</v>
      </c>
      <c r="B9" s="540">
        <v>867071</v>
      </c>
      <c r="C9" s="264">
        <f t="shared" si="0"/>
        <v>2329</v>
      </c>
      <c r="D9" s="308">
        <f t="shared" si="8"/>
        <v>2329</v>
      </c>
      <c r="E9" s="308">
        <f t="shared" si="11"/>
        <v>867071</v>
      </c>
      <c r="F9" s="540">
        <v>131316</v>
      </c>
      <c r="G9" s="160">
        <f t="shared" si="1"/>
        <v>478</v>
      </c>
      <c r="H9" s="540">
        <v>431779</v>
      </c>
      <c r="I9" s="161">
        <f t="shared" si="2"/>
        <v>840</v>
      </c>
      <c r="J9" s="540">
        <v>303976</v>
      </c>
      <c r="K9" s="162">
        <f>J9-J8</f>
        <v>1011</v>
      </c>
      <c r="L9" s="296">
        <f t="shared" si="4"/>
        <v>101.46600331674959</v>
      </c>
      <c r="M9" s="296">
        <f t="shared" si="5"/>
        <v>62.407960199004975</v>
      </c>
      <c r="N9" s="296">
        <f t="shared" si="6"/>
        <v>53.651741293532339</v>
      </c>
      <c r="O9" s="296">
        <f t="shared" si="7"/>
        <v>73.452462178901413</v>
      </c>
      <c r="P9" s="297">
        <f t="shared" si="9"/>
        <v>290.97816698818826</v>
      </c>
      <c r="Q9" s="297">
        <f>SUM(-tanks!AX11*tanks!$AU$34)</f>
        <v>208.60548387095614</v>
      </c>
      <c r="R9" s="297">
        <f>SUM(P9:Q9)</f>
        <v>499.58365085914443</v>
      </c>
      <c r="S9" s="299">
        <f>SUM(ELEC!N8)</f>
        <v>5977</v>
      </c>
      <c r="T9" s="336">
        <f t="shared" si="12"/>
        <v>8.3584348479027001E-2</v>
      </c>
      <c r="V9" s="572">
        <f>'[2]EDl log'!V26</f>
        <v>271580</v>
      </c>
      <c r="W9" s="572">
        <f>'[2]EDl log'!W26</f>
        <v>297890</v>
      </c>
      <c r="X9" s="572" t="str">
        <f>'[2]EDl log'!X26</f>
        <v>Night</v>
      </c>
      <c r="Y9" s="572">
        <f>'[2]EDl log'!Y26</f>
        <v>80</v>
      </c>
      <c r="Z9" s="572">
        <f>'[2]EDl log'!Z26</f>
        <v>1</v>
      </c>
      <c r="AA9" s="601">
        <f>'[2]EDl log'!AA26</f>
        <v>26310</v>
      </c>
      <c r="AB9" s="601">
        <f>'[2]EDl log'!AB26</f>
        <v>2104800</v>
      </c>
      <c r="AC9" s="601">
        <f>'[2]EDl log'!AC26</f>
        <v>1033333</v>
      </c>
      <c r="AD9" s="602">
        <f>'[2]EDl log'!AD26</f>
        <v>0.37186935920577618</v>
      </c>
    </row>
    <row r="10" spans="1:32" ht="15" thickBot="1">
      <c r="A10" s="163">
        <f>ELEC!C9</f>
        <v>44234</v>
      </c>
      <c r="B10" s="540">
        <v>869480</v>
      </c>
      <c r="C10" s="264">
        <f t="shared" si="0"/>
        <v>2409</v>
      </c>
      <c r="D10" s="308">
        <f t="shared" si="8"/>
        <v>2408</v>
      </c>
      <c r="E10" s="308">
        <f t="shared" si="11"/>
        <v>869479</v>
      </c>
      <c r="F10" s="540">
        <v>131674</v>
      </c>
      <c r="G10" s="160">
        <f t="shared" si="1"/>
        <v>358</v>
      </c>
      <c r="H10" s="540">
        <v>432965</v>
      </c>
      <c r="I10" s="161">
        <f t="shared" si="2"/>
        <v>1186</v>
      </c>
      <c r="J10" s="540">
        <v>304840</v>
      </c>
      <c r="K10" s="162">
        <f t="shared" si="3"/>
        <v>864</v>
      </c>
      <c r="L10" s="296">
        <f t="shared" si="4"/>
        <v>75.993366500829183</v>
      </c>
      <c r="M10" s="296">
        <f t="shared" si="5"/>
        <v>88.114096185737978</v>
      </c>
      <c r="N10" s="296">
        <f t="shared" si="6"/>
        <v>45.850746268656714</v>
      </c>
      <c r="O10" s="296">
        <f t="shared" si="7"/>
        <v>73.452462178901413</v>
      </c>
      <c r="P10" s="297">
        <f t="shared" si="9"/>
        <v>283.41067113412527</v>
      </c>
      <c r="Q10" s="297">
        <f>SUM(-tanks!AX12*tanks!$AU$34)</f>
        <v>366.7636451612936</v>
      </c>
      <c r="R10" s="297">
        <f t="shared" si="10"/>
        <v>650.17431629541886</v>
      </c>
      <c r="S10" s="299">
        <f>SUM(ELEC!N9)</f>
        <v>6551.2000000001863</v>
      </c>
      <c r="T10" s="336">
        <f t="shared" si="12"/>
        <v>9.9245072092960129E-2</v>
      </c>
      <c r="V10" s="572">
        <f>'[2]EDl log'!V27</f>
        <v>393641</v>
      </c>
      <c r="W10" s="572">
        <f>'[2]EDl log'!W27</f>
        <v>425107</v>
      </c>
      <c r="X10" s="572" t="str">
        <f>'[2]EDl log'!X27</f>
        <v>day</v>
      </c>
      <c r="Y10" s="572">
        <f>'[2]EDl log'!Y27</f>
        <v>112</v>
      </c>
      <c r="Z10" s="572">
        <f>'[2]EDl log'!Z27</f>
        <v>1</v>
      </c>
      <c r="AA10" s="601">
        <f>'[2]EDl log'!AA27</f>
        <v>31466</v>
      </c>
      <c r="AB10" s="601">
        <f>'[2]EDl log'!AB27</f>
        <v>3524192</v>
      </c>
      <c r="AC10" s="601">
        <f>'[2]EDl log'!AC27</f>
        <v>6200000</v>
      </c>
      <c r="AD10" s="602">
        <f>'[2]EDl log'!AD27</f>
        <v>0.4429010604693141</v>
      </c>
    </row>
    <row r="11" spans="1:32" ht="15" thickBot="1">
      <c r="A11" s="163">
        <f>ELEC!C10</f>
        <v>44235</v>
      </c>
      <c r="B11" s="540">
        <v>871763</v>
      </c>
      <c r="C11" s="264">
        <f t="shared" si="0"/>
        <v>2283</v>
      </c>
      <c r="D11" s="308">
        <f>SUM(G11+I11+K11)</f>
        <v>2293</v>
      </c>
      <c r="E11" s="308">
        <f t="shared" si="11"/>
        <v>871773</v>
      </c>
      <c r="F11" s="540">
        <v>132118</v>
      </c>
      <c r="G11" s="160">
        <f t="shared" si="1"/>
        <v>444</v>
      </c>
      <c r="H11" s="540">
        <v>433933</v>
      </c>
      <c r="I11" s="161">
        <f t="shared" si="2"/>
        <v>968</v>
      </c>
      <c r="J11" s="540">
        <v>305721</v>
      </c>
      <c r="K11" s="162">
        <f t="shared" si="3"/>
        <v>881</v>
      </c>
      <c r="L11" s="296">
        <f t="shared" si="4"/>
        <v>94.24875621890547</v>
      </c>
      <c r="M11" s="296">
        <f t="shared" si="5"/>
        <v>71.917744610281929</v>
      </c>
      <c r="N11" s="296">
        <f t="shared" si="6"/>
        <v>46.752902155887227</v>
      </c>
      <c r="O11" s="296">
        <f t="shared" si="7"/>
        <v>73.452462178901413</v>
      </c>
      <c r="P11" s="297">
        <f t="shared" si="9"/>
        <v>286.37186516397605</v>
      </c>
      <c r="Q11" s="297">
        <f>SUM(-tanks!AX13*tanks!$AU$34)</f>
        <v>227.02668387098089</v>
      </c>
      <c r="R11" s="297">
        <f t="shared" si="10"/>
        <v>513.39854903495689</v>
      </c>
      <c r="S11" s="299">
        <f>SUM(ELEC!N10)</f>
        <v>6289.7999999998137</v>
      </c>
      <c r="T11" s="336">
        <f t="shared" si="12"/>
        <v>8.1623986300831841E-2</v>
      </c>
      <c r="V11" s="572">
        <f>'[2]EDl log'!V28</f>
        <v>115015</v>
      </c>
      <c r="W11" s="572">
        <f>'[2]EDl log'!W28</f>
        <v>128283</v>
      </c>
      <c r="X11" s="572" t="str">
        <f>'[2]EDl log'!X28</f>
        <v>Peak</v>
      </c>
      <c r="Y11" s="572">
        <f>'[2]EDl log'!Y28</f>
        <v>320</v>
      </c>
      <c r="Z11" s="572">
        <f>'[2]EDl log'!Z28</f>
        <v>1</v>
      </c>
      <c r="AA11" s="601">
        <f>'[2]EDl log'!AA28</f>
        <v>13268</v>
      </c>
      <c r="AB11" s="601">
        <f>'[2]EDl log'!AB28</f>
        <v>4245760</v>
      </c>
      <c r="AC11" s="601">
        <f>'[2]EDl log'!AC28</f>
        <v>1000</v>
      </c>
      <c r="AD11" s="602">
        <f>'[2]EDl log'!AD28</f>
        <v>0.18524368231046931</v>
      </c>
      <c r="AE11" s="40">
        <f>SUM(AB11*5%)</f>
        <v>212288</v>
      </c>
      <c r="AF11" s="82">
        <f>SUM(AE11/7)*31</f>
        <v>940132.57142857136</v>
      </c>
    </row>
    <row r="12" spans="1:32" ht="15" thickBot="1">
      <c r="A12" s="163">
        <f>ELEC!C11</f>
        <v>44236</v>
      </c>
      <c r="B12" s="540">
        <v>873722</v>
      </c>
      <c r="C12" s="264">
        <f t="shared" si="0"/>
        <v>1959</v>
      </c>
      <c r="D12" s="308">
        <f t="shared" si="8"/>
        <v>1950</v>
      </c>
      <c r="E12" s="308">
        <f t="shared" si="11"/>
        <v>873713</v>
      </c>
      <c r="F12" s="540">
        <v>132337</v>
      </c>
      <c r="G12" s="160">
        <f t="shared" si="1"/>
        <v>219</v>
      </c>
      <c r="H12" s="540">
        <v>434813</v>
      </c>
      <c r="I12" s="161">
        <f t="shared" si="2"/>
        <v>880</v>
      </c>
      <c r="J12" s="540">
        <v>306572</v>
      </c>
      <c r="K12" s="162">
        <f t="shared" si="3"/>
        <v>851</v>
      </c>
      <c r="L12" s="296">
        <f t="shared" si="4"/>
        <v>46.487562189054728</v>
      </c>
      <c r="M12" s="296">
        <f t="shared" si="5"/>
        <v>65.379767827529022</v>
      </c>
      <c r="N12" s="296">
        <f t="shared" si="6"/>
        <v>45.160862354892203</v>
      </c>
      <c r="O12" s="296">
        <f t="shared" si="7"/>
        <v>73.452462178901413</v>
      </c>
      <c r="P12" s="297">
        <f t="shared" si="9"/>
        <v>230.48065455037735</v>
      </c>
      <c r="Q12" s="297">
        <f>SUM(-tanks!AX14*tanks!$AU$34)</f>
        <v>383.40464516128236</v>
      </c>
      <c r="R12" s="297">
        <f t="shared" si="10"/>
        <v>613.88529971165974</v>
      </c>
      <c r="S12" s="299">
        <f>SUM(ELEC!N11)</f>
        <v>7008</v>
      </c>
      <c r="T12" s="336">
        <f t="shared" si="12"/>
        <v>8.7597788200864696E-2</v>
      </c>
      <c r="V12" s="572"/>
      <c r="W12" s="264"/>
      <c r="X12" s="3"/>
      <c r="Y12" s="264"/>
      <c r="Z12" s="569">
        <f>'[9]EDl log'!Z29</f>
        <v>0</v>
      </c>
      <c r="AA12" s="601">
        <f>'[2]EDl log'!AA29</f>
        <v>71044</v>
      </c>
      <c r="AB12" s="569">
        <f>'[1]EDl log'!AB29</f>
        <v>0</v>
      </c>
      <c r="AC12" s="569">
        <f>'[1]EDl log'!AC29</f>
        <v>0</v>
      </c>
      <c r="AD12" s="569">
        <f>'[1]EDl log'!AD29</f>
        <v>0</v>
      </c>
    </row>
    <row r="13" spans="1:32" ht="15" thickBot="1">
      <c r="A13" s="163">
        <f>ELEC!C12</f>
        <v>44237</v>
      </c>
      <c r="B13" s="540">
        <v>875296</v>
      </c>
      <c r="C13" s="264">
        <f t="shared" si="0"/>
        <v>1574</v>
      </c>
      <c r="D13" s="308">
        <f t="shared" si="8"/>
        <v>1573</v>
      </c>
      <c r="E13" s="308">
        <f t="shared" si="11"/>
        <v>875295</v>
      </c>
      <c r="F13" s="540">
        <v>132662</v>
      </c>
      <c r="G13" s="160">
        <f t="shared" si="1"/>
        <v>325</v>
      </c>
      <c r="H13" s="540">
        <v>435479</v>
      </c>
      <c r="I13" s="161">
        <f t="shared" si="2"/>
        <v>666</v>
      </c>
      <c r="J13" s="540">
        <v>307154</v>
      </c>
      <c r="K13" s="162">
        <f t="shared" si="3"/>
        <v>582</v>
      </c>
      <c r="L13" s="296">
        <f t="shared" si="4"/>
        <v>68.988391376451077</v>
      </c>
      <c r="M13" s="296">
        <f t="shared" si="5"/>
        <v>49.480597014925372</v>
      </c>
      <c r="N13" s="296">
        <f t="shared" si="6"/>
        <v>30.885572139303484</v>
      </c>
      <c r="O13" s="296">
        <f t="shared" si="7"/>
        <v>73.452462178901413</v>
      </c>
      <c r="P13" s="297">
        <f t="shared" si="9"/>
        <v>222.80702270958136</v>
      </c>
      <c r="Q13" s="297">
        <f>SUM(-tanks!AX15*tanks!$AU$34)</f>
        <v>620.77296774193474</v>
      </c>
      <c r="R13" s="297">
        <f t="shared" si="10"/>
        <v>843.5799904515161</v>
      </c>
      <c r="S13" s="299">
        <f>SUM(ELEC!N12)</f>
        <v>7276</v>
      </c>
      <c r="T13" s="336">
        <f>IF(S13&gt;0,R13/S13,0)</f>
        <v>0.1159400756530396</v>
      </c>
      <c r="V13" s="572" t="str">
        <f>'[7]EDl log'!V30</f>
        <v>Occ %</v>
      </c>
      <c r="W13" s="602">
        <f>'[2]EDl log'!W30</f>
        <v>0</v>
      </c>
      <c r="X13" s="506"/>
      <c r="Y13" s="264" t="str">
        <f>'[4]EDl log'!Y30</f>
        <v>Per G</v>
      </c>
      <c r="Z13" s="3"/>
      <c r="AA13" s="3"/>
      <c r="AB13" s="601">
        <f>'[2]EDl log'!AB30</f>
        <v>9874752</v>
      </c>
      <c r="AC13" s="601">
        <f>'[2]EDl log'!AC30</f>
        <v>7234333</v>
      </c>
    </row>
    <row r="14" spans="1:32" ht="15" thickBot="1">
      <c r="A14" s="163">
        <f>ELEC!C13</f>
        <v>44238</v>
      </c>
      <c r="B14" s="540">
        <v>877076</v>
      </c>
      <c r="C14" s="264">
        <f t="shared" si="0"/>
        <v>1780</v>
      </c>
      <c r="D14" s="308">
        <f t="shared" si="8"/>
        <v>1780</v>
      </c>
      <c r="E14" s="308">
        <f t="shared" si="11"/>
        <v>877076</v>
      </c>
      <c r="F14" s="540">
        <v>132888</v>
      </c>
      <c r="G14" s="160">
        <f t="shared" si="1"/>
        <v>226</v>
      </c>
      <c r="H14" s="540">
        <v>436178</v>
      </c>
      <c r="I14" s="161">
        <f t="shared" si="2"/>
        <v>699</v>
      </c>
      <c r="J14" s="540">
        <v>308009</v>
      </c>
      <c r="K14" s="162">
        <f t="shared" ref="K14:K17" si="13">J14-J13</f>
        <v>855</v>
      </c>
      <c r="L14" s="296">
        <f t="shared" ref="L14:L17" si="14">SUM(G14*$Y$28)/1507.5</f>
        <v>47.973466003316751</v>
      </c>
      <c r="M14" s="296">
        <f t="shared" ref="M14:M17" si="15">SUM(I14*$Y$27)/1507.5</f>
        <v>51.932338308457709</v>
      </c>
      <c r="N14" s="296">
        <f t="shared" ref="N14:N17" si="16">SUM(K14*$Y$26)/1507.5</f>
        <v>45.373134328358212</v>
      </c>
      <c r="O14" s="296">
        <f t="shared" si="7"/>
        <v>73.452462178901413</v>
      </c>
      <c r="P14" s="297">
        <f t="shared" ref="P14:P17" si="17">SUM(L14:O14)</f>
        <v>218.73140081903409</v>
      </c>
      <c r="Q14" s="297">
        <f>SUM(-tanks!AX16*tanks!$AU$34)</f>
        <v>495.5098064516198</v>
      </c>
      <c r="R14" s="297">
        <f t="shared" ref="R14:R17" si="18">SUM(P14:Q14)</f>
        <v>714.24120727065383</v>
      </c>
      <c r="S14" s="299">
        <f>SUM(ELEC!N13)</f>
        <v>7236</v>
      </c>
      <c r="T14" s="336">
        <f t="shared" ref="T14:T17" si="19">IF(S14&gt;0,R14/S14,0)</f>
        <v>9.8706634503959903E-2</v>
      </c>
      <c r="V14" s="572" t="str">
        <f>'[7]EDl log'!V31</f>
        <v>Gen RH</v>
      </c>
      <c r="W14" s="572">
        <f>'[2]EDl log'!W31</f>
        <v>112</v>
      </c>
      <c r="X14" s="570">
        <f>'[1]EDl log'!X31</f>
        <v>3.7419354838709675</v>
      </c>
      <c r="Y14" s="570">
        <f>'[1]EDl log'!Y31</f>
        <v>1.8709677419354838</v>
      </c>
      <c r="Z14" s="264"/>
      <c r="AA14" s="3"/>
      <c r="AB14" s="601">
        <f>'[2]EDl log'!AB31</f>
        <v>17109085</v>
      </c>
      <c r="AC14" s="601">
        <f>'[2]EDl log'!AC31</f>
        <v>7234333</v>
      </c>
    </row>
    <row r="15" spans="1:32" ht="15" thickBot="1">
      <c r="A15" s="163">
        <f>ELEC!C14</f>
        <v>44239</v>
      </c>
      <c r="B15" s="540">
        <v>878743</v>
      </c>
      <c r="C15" s="264">
        <f t="shared" si="0"/>
        <v>1667</v>
      </c>
      <c r="D15" s="308">
        <f t="shared" si="8"/>
        <v>1666</v>
      </c>
      <c r="E15" s="308">
        <f t="shared" si="11"/>
        <v>878742</v>
      </c>
      <c r="F15" s="540">
        <v>133233</v>
      </c>
      <c r="G15" s="160">
        <f t="shared" si="1"/>
        <v>345</v>
      </c>
      <c r="H15" s="540">
        <v>436879</v>
      </c>
      <c r="I15" s="161">
        <f t="shared" si="2"/>
        <v>701</v>
      </c>
      <c r="J15" s="540">
        <v>308629</v>
      </c>
      <c r="K15" s="162">
        <f t="shared" si="13"/>
        <v>620</v>
      </c>
      <c r="L15" s="296">
        <f t="shared" si="14"/>
        <v>73.233830845771138</v>
      </c>
      <c r="M15" s="296">
        <f t="shared" si="15"/>
        <v>52.080928689883912</v>
      </c>
      <c r="N15" s="296">
        <f t="shared" si="16"/>
        <v>32.902155887230514</v>
      </c>
      <c r="O15" s="296">
        <f t="shared" si="7"/>
        <v>73.452462178901413</v>
      </c>
      <c r="P15" s="297">
        <f t="shared" si="17"/>
        <v>231.66937760178698</v>
      </c>
      <c r="Q15" s="297">
        <f>SUM(-tanks!AX17*tanks!$AU$34)</f>
        <v>292.5844838709674</v>
      </c>
      <c r="R15" s="297">
        <f t="shared" si="18"/>
        <v>524.25386147275435</v>
      </c>
      <c r="S15" s="299">
        <f>SUM(ELEC!N14)</f>
        <v>5643</v>
      </c>
      <c r="T15" s="336">
        <f t="shared" si="19"/>
        <v>9.2903395618067403E-2</v>
      </c>
      <c r="V15" s="572" t="str">
        <f>'[7]EDl log'!V32</f>
        <v>H Deg</v>
      </c>
      <c r="W15" s="601">
        <f>'[2]EDl log'!W32</f>
        <v>0</v>
      </c>
      <c r="X15" s="545" t="e">
        <f>'[10]EDl log'!X15</f>
        <v>#REF!</v>
      </c>
      <c r="Y15" s="264"/>
      <c r="Z15" s="264"/>
      <c r="AA15" s="3"/>
      <c r="AB15" s="569">
        <f>'[1]EDl log'!AB32</f>
        <v>0</v>
      </c>
      <c r="AC15" s="569">
        <f>'[1]EDl log'!AC32</f>
        <v>0</v>
      </c>
    </row>
    <row r="16" spans="1:32" ht="15" thickBot="1">
      <c r="A16" s="163">
        <f>ELEC!C15</f>
        <v>44240</v>
      </c>
      <c r="B16" s="540">
        <f t="shared" ref="B16:B31" si="20">B15</f>
        <v>878743</v>
      </c>
      <c r="C16" s="264">
        <f t="shared" si="0"/>
        <v>0</v>
      </c>
      <c r="D16" s="308">
        <f t="shared" si="8"/>
        <v>0</v>
      </c>
      <c r="E16" s="308">
        <f t="shared" si="11"/>
        <v>878743</v>
      </c>
      <c r="F16" s="540">
        <f t="shared" ref="F16:J31" si="21">F15</f>
        <v>133233</v>
      </c>
      <c r="G16" s="160">
        <f t="shared" si="1"/>
        <v>0</v>
      </c>
      <c r="H16" s="540">
        <f t="shared" si="21"/>
        <v>436879</v>
      </c>
      <c r="I16" s="161">
        <f t="shared" si="2"/>
        <v>0</v>
      </c>
      <c r="J16" s="540">
        <f t="shared" si="21"/>
        <v>308629</v>
      </c>
      <c r="K16" s="162">
        <f t="shared" si="13"/>
        <v>0</v>
      </c>
      <c r="L16" s="296">
        <f t="shared" si="14"/>
        <v>0</v>
      </c>
      <c r="M16" s="296">
        <f t="shared" si="15"/>
        <v>0</v>
      </c>
      <c r="N16" s="296">
        <f t="shared" si="16"/>
        <v>0</v>
      </c>
      <c r="O16" s="296">
        <f t="shared" si="7"/>
        <v>73.452462178901413</v>
      </c>
      <c r="P16" s="297">
        <f t="shared" si="17"/>
        <v>73.452462178901413</v>
      </c>
      <c r="Q16" s="297">
        <f>SUM(-tanks!AX18*tanks!$AU$34)</f>
        <v>0</v>
      </c>
      <c r="R16" s="297">
        <f t="shared" si="18"/>
        <v>73.452462178901413</v>
      </c>
      <c r="S16" s="299">
        <f>SUM(ELEC!N15)</f>
        <v>0</v>
      </c>
      <c r="T16" s="336">
        <f t="shared" si="19"/>
        <v>0</v>
      </c>
      <c r="V16" s="572" t="str">
        <f>'[7]EDl log'!V33</f>
        <v>C Deg</v>
      </c>
      <c r="W16" s="601">
        <f>'[2]EDl log'!W33</f>
        <v>0</v>
      </c>
      <c r="X16" s="545">
        <f>'[10]EDl log'!X16</f>
        <v>0</v>
      </c>
      <c r="Y16" s="545" t="e">
        <f>'[7]EDl log'!Y33</f>
        <v>#REF!</v>
      </c>
      <c r="Z16" s="3"/>
      <c r="AA16" s="3"/>
      <c r="AB16" s="569">
        <f>'[1]EDl log'!AB33</f>
        <v>0</v>
      </c>
      <c r="AC16" s="569">
        <f>'[1]EDl log'!AC33</f>
        <v>0</v>
      </c>
    </row>
    <row r="17" spans="1:32" ht="15" thickBot="1">
      <c r="A17" s="163">
        <f>ELEC!C16</f>
        <v>44241</v>
      </c>
      <c r="B17" s="540">
        <f t="shared" si="20"/>
        <v>878743</v>
      </c>
      <c r="C17" s="264">
        <f t="shared" si="0"/>
        <v>0</v>
      </c>
      <c r="D17" s="308">
        <f t="shared" si="8"/>
        <v>0</v>
      </c>
      <c r="E17" s="308">
        <f t="shared" si="11"/>
        <v>878743</v>
      </c>
      <c r="F17" s="540">
        <f t="shared" si="21"/>
        <v>133233</v>
      </c>
      <c r="G17" s="160">
        <f t="shared" si="1"/>
        <v>0</v>
      </c>
      <c r="H17" s="540">
        <f t="shared" si="21"/>
        <v>436879</v>
      </c>
      <c r="I17" s="161">
        <f t="shared" si="2"/>
        <v>0</v>
      </c>
      <c r="J17" s="540">
        <f t="shared" si="21"/>
        <v>308629</v>
      </c>
      <c r="K17" s="162">
        <f t="shared" si="13"/>
        <v>0</v>
      </c>
      <c r="L17" s="296">
        <f t="shared" si="14"/>
        <v>0</v>
      </c>
      <c r="M17" s="296">
        <f t="shared" si="15"/>
        <v>0</v>
      </c>
      <c r="N17" s="296">
        <f t="shared" si="16"/>
        <v>0</v>
      </c>
      <c r="O17" s="296">
        <f t="shared" si="7"/>
        <v>73.452462178901413</v>
      </c>
      <c r="P17" s="297">
        <f t="shared" si="17"/>
        <v>73.452462178901413</v>
      </c>
      <c r="Q17" s="297">
        <f>SUM(-tanks!AX19*tanks!$AU$34)</f>
        <v>0</v>
      </c>
      <c r="R17" s="297">
        <f t="shared" si="18"/>
        <v>73.452462178901413</v>
      </c>
      <c r="S17" s="299">
        <f>SUM(ELEC!N16)</f>
        <v>0</v>
      </c>
      <c r="T17" s="336">
        <f t="shared" si="19"/>
        <v>0</v>
      </c>
      <c r="V17" s="253"/>
      <c r="W17" s="506"/>
      <c r="X17" s="17"/>
      <c r="Y17" s="430"/>
      <c r="Z17" s="506" t="s">
        <v>416</v>
      </c>
      <c r="AA17" s="603">
        <f>'[2]EDl log'!AA34</f>
        <v>0.11</v>
      </c>
      <c r="AB17" s="601">
        <f>'[2]EDl log'!AB34</f>
        <v>1881999.35</v>
      </c>
      <c r="AC17" s="569">
        <f>'[1]EDl log'!AC34</f>
        <v>0</v>
      </c>
    </row>
    <row r="18" spans="1:32" ht="15" thickBot="1">
      <c r="A18" s="163">
        <f>ELEC!C17</f>
        <v>44242</v>
      </c>
      <c r="B18" s="540">
        <f t="shared" si="20"/>
        <v>878743</v>
      </c>
      <c r="C18" s="264">
        <f t="shared" si="0"/>
        <v>0</v>
      </c>
      <c r="D18" s="308">
        <f t="shared" si="8"/>
        <v>0</v>
      </c>
      <c r="E18" s="308">
        <f t="shared" si="11"/>
        <v>878743</v>
      </c>
      <c r="F18" s="540">
        <f t="shared" si="21"/>
        <v>133233</v>
      </c>
      <c r="G18" s="160">
        <f t="shared" si="1"/>
        <v>0</v>
      </c>
      <c r="H18" s="540">
        <f t="shared" si="21"/>
        <v>436879</v>
      </c>
      <c r="I18" s="161">
        <f t="shared" si="2"/>
        <v>0</v>
      </c>
      <c r="J18" s="540">
        <f t="shared" si="21"/>
        <v>308629</v>
      </c>
      <c r="K18" s="162">
        <f t="shared" si="3"/>
        <v>0</v>
      </c>
      <c r="L18" s="296">
        <f t="shared" ref="L18:L31" si="22">SUM(G18*$Y$28)/1507.5</f>
        <v>0</v>
      </c>
      <c r="M18" s="296">
        <f t="shared" ref="M18:M31" si="23">SUM(I18*$Y$27)/1507.5</f>
        <v>0</v>
      </c>
      <c r="N18" s="296">
        <f t="shared" ref="N18:N31" si="24">SUM(K18*$Y$26)/1507.5</f>
        <v>0</v>
      </c>
      <c r="O18" s="296">
        <f t="shared" si="7"/>
        <v>73.452462178901413</v>
      </c>
      <c r="P18" s="297">
        <f t="shared" si="9"/>
        <v>73.452462178901413</v>
      </c>
      <c r="Q18" s="297">
        <f>SUM(-tanks!AX20*tanks!$AU$34)</f>
        <v>0</v>
      </c>
      <c r="R18" s="297">
        <f t="shared" si="10"/>
        <v>73.452462178901413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603"/>
      <c r="AB18" s="601">
        <f>'[2]EDl log'!AB35</f>
        <v>18991084.350000001</v>
      </c>
      <c r="AC18" s="569">
        <f>'[1]EDl log'!AC35</f>
        <v>0</v>
      </c>
    </row>
    <row r="19" spans="1:32" ht="15" thickBot="1">
      <c r="A19" s="163">
        <f>ELEC!C18</f>
        <v>44243</v>
      </c>
      <c r="B19" s="540">
        <f t="shared" si="20"/>
        <v>878743</v>
      </c>
      <c r="C19" s="264">
        <f t="shared" si="0"/>
        <v>0</v>
      </c>
      <c r="D19" s="308">
        <f t="shared" si="8"/>
        <v>0</v>
      </c>
      <c r="E19" s="308">
        <f t="shared" si="11"/>
        <v>878743</v>
      </c>
      <c r="F19" s="540">
        <f t="shared" si="21"/>
        <v>133233</v>
      </c>
      <c r="G19" s="160">
        <f t="shared" si="1"/>
        <v>0</v>
      </c>
      <c r="H19" s="540">
        <f t="shared" si="21"/>
        <v>436879</v>
      </c>
      <c r="I19" s="161">
        <f t="shared" si="2"/>
        <v>0</v>
      </c>
      <c r="J19" s="540">
        <f t="shared" si="21"/>
        <v>308629</v>
      </c>
      <c r="K19" s="162">
        <f t="shared" si="3"/>
        <v>0</v>
      </c>
      <c r="L19" s="296">
        <f t="shared" si="22"/>
        <v>0</v>
      </c>
      <c r="M19" s="296">
        <f t="shared" si="23"/>
        <v>0</v>
      </c>
      <c r="N19" s="296">
        <f t="shared" si="24"/>
        <v>0</v>
      </c>
      <c r="O19" s="296">
        <f t="shared" si="7"/>
        <v>73.452462178901413</v>
      </c>
      <c r="P19" s="297">
        <f t="shared" si="9"/>
        <v>73.452462178901413</v>
      </c>
      <c r="Q19" s="297">
        <f>SUM(-tanks!AX21*tanks!$AU$34)</f>
        <v>0</v>
      </c>
      <c r="R19" s="297">
        <f t="shared" si="10"/>
        <v>73.452462178901413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3"/>
      <c r="Z19" s="573"/>
      <c r="AA19" s="603"/>
      <c r="AB19" s="601">
        <f>'[2]EDl log'!AB36</f>
        <v>11349.310116086235</v>
      </c>
      <c r="AC19" s="569">
        <f>'[1]EDl log'!AC36</f>
        <v>0</v>
      </c>
    </row>
    <row r="20" spans="1:32" ht="15" thickBot="1">
      <c r="A20" s="163">
        <f>ELEC!C19</f>
        <v>44244</v>
      </c>
      <c r="B20" s="540">
        <f t="shared" si="20"/>
        <v>878743</v>
      </c>
      <c r="C20" s="264">
        <f t="shared" si="0"/>
        <v>0</v>
      </c>
      <c r="D20" s="308">
        <f t="shared" si="8"/>
        <v>0</v>
      </c>
      <c r="E20" s="308">
        <f t="shared" si="11"/>
        <v>878743</v>
      </c>
      <c r="F20" s="540">
        <f t="shared" si="21"/>
        <v>133233</v>
      </c>
      <c r="G20" s="160">
        <f t="shared" si="1"/>
        <v>0</v>
      </c>
      <c r="H20" s="540">
        <f t="shared" si="21"/>
        <v>436879</v>
      </c>
      <c r="I20" s="161">
        <f t="shared" si="2"/>
        <v>0</v>
      </c>
      <c r="J20" s="540">
        <f t="shared" si="21"/>
        <v>308629</v>
      </c>
      <c r="K20" s="162">
        <f t="shared" si="3"/>
        <v>0</v>
      </c>
      <c r="L20" s="296">
        <f t="shared" si="22"/>
        <v>0</v>
      </c>
      <c r="M20" s="296">
        <f t="shared" si="23"/>
        <v>0</v>
      </c>
      <c r="N20" s="296">
        <f t="shared" si="24"/>
        <v>0</v>
      </c>
      <c r="O20" s="296">
        <f t="shared" si="7"/>
        <v>73.452462178901413</v>
      </c>
      <c r="P20" s="297">
        <f t="shared" si="9"/>
        <v>73.452462178901413</v>
      </c>
      <c r="Q20" s="297">
        <f>SUM(-tanks!AX22*tanks!$AU$34)</f>
        <v>0</v>
      </c>
      <c r="R20" s="297">
        <f t="shared" si="10"/>
        <v>73.452462178901413</v>
      </c>
      <c r="S20" s="299">
        <f>SUM(ELEC!N19)</f>
        <v>0</v>
      </c>
      <c r="T20" s="336">
        <f t="shared" si="12"/>
        <v>0</v>
      </c>
      <c r="V20" t="s">
        <v>412</v>
      </c>
      <c r="AB20" s="571"/>
    </row>
    <row r="21" spans="1:32" ht="15" thickBot="1">
      <c r="A21" s="163">
        <f>ELEC!C20</f>
        <v>44245</v>
      </c>
      <c r="B21" s="540">
        <f t="shared" si="20"/>
        <v>878743</v>
      </c>
      <c r="C21" s="264">
        <f t="shared" si="0"/>
        <v>0</v>
      </c>
      <c r="D21" s="308">
        <f t="shared" si="8"/>
        <v>0</v>
      </c>
      <c r="E21" s="308">
        <f t="shared" si="11"/>
        <v>878743</v>
      </c>
      <c r="F21" s="540">
        <f t="shared" si="21"/>
        <v>133233</v>
      </c>
      <c r="G21" s="160">
        <f t="shared" si="1"/>
        <v>0</v>
      </c>
      <c r="H21" s="540">
        <f t="shared" si="21"/>
        <v>436879</v>
      </c>
      <c r="I21" s="161">
        <f t="shared" si="2"/>
        <v>0</v>
      </c>
      <c r="J21" s="540">
        <f t="shared" si="21"/>
        <v>308629</v>
      </c>
      <c r="K21" s="162">
        <f t="shared" si="3"/>
        <v>0</v>
      </c>
      <c r="L21" s="296">
        <f t="shared" si="22"/>
        <v>0</v>
      </c>
      <c r="M21" s="296">
        <f t="shared" si="23"/>
        <v>0</v>
      </c>
      <c r="N21" s="296">
        <f t="shared" si="24"/>
        <v>0</v>
      </c>
      <c r="O21" s="296">
        <f t="shared" si="7"/>
        <v>73.452462178901413</v>
      </c>
      <c r="P21" s="297">
        <f t="shared" si="9"/>
        <v>73.452462178901413</v>
      </c>
      <c r="Q21" s="297">
        <f>SUM(-tanks!AX23*tanks!$AU$34)</f>
        <v>0</v>
      </c>
      <c r="R21" s="297">
        <f t="shared" si="10"/>
        <v>73.452462178901413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44228</v>
      </c>
      <c r="X21" s="168"/>
      <c r="Y21" s="168"/>
      <c r="Z21" s="169" t="s">
        <v>202</v>
      </c>
      <c r="AA21" s="168"/>
      <c r="AB21" s="656"/>
      <c r="AC21" s="657"/>
    </row>
    <row r="22" spans="1:32" ht="15" thickBot="1">
      <c r="A22" s="163">
        <f>ELEC!C21</f>
        <v>44246</v>
      </c>
      <c r="B22" s="540">
        <f t="shared" si="20"/>
        <v>878743</v>
      </c>
      <c r="C22" s="264">
        <f t="shared" si="0"/>
        <v>0</v>
      </c>
      <c r="D22" s="308">
        <f t="shared" si="8"/>
        <v>0</v>
      </c>
      <c r="E22" s="308">
        <f t="shared" si="11"/>
        <v>878743</v>
      </c>
      <c r="F22" s="540">
        <f t="shared" si="21"/>
        <v>133233</v>
      </c>
      <c r="G22" s="160">
        <f t="shared" si="1"/>
        <v>0</v>
      </c>
      <c r="H22" s="540">
        <f t="shared" si="21"/>
        <v>436879</v>
      </c>
      <c r="I22" s="161">
        <f t="shared" si="2"/>
        <v>0</v>
      </c>
      <c r="J22" s="540">
        <f t="shared" si="21"/>
        <v>308629</v>
      </c>
      <c r="K22" s="162">
        <f t="shared" si="3"/>
        <v>0</v>
      </c>
      <c r="L22" s="296">
        <f t="shared" si="22"/>
        <v>0</v>
      </c>
      <c r="M22" s="296">
        <f t="shared" si="23"/>
        <v>0</v>
      </c>
      <c r="N22" s="296">
        <f t="shared" si="24"/>
        <v>0</v>
      </c>
      <c r="O22" s="296">
        <f t="shared" si="7"/>
        <v>73.452462178901413</v>
      </c>
      <c r="P22" s="297">
        <f t="shared" si="9"/>
        <v>73.452462178901413</v>
      </c>
      <c r="Q22" s="297">
        <f>SUM(-tanks!AX24*tanks!$AU$34)</f>
        <v>0</v>
      </c>
      <c r="R22" s="297">
        <f t="shared" si="10"/>
        <v>73.452462178901413</v>
      </c>
      <c r="S22" s="299">
        <f>SUM(ELEC!N21)</f>
        <v>0</v>
      </c>
      <c r="T22" s="336">
        <f t="shared" si="12"/>
        <v>0</v>
      </c>
      <c r="V22" s="662"/>
      <c r="W22" s="663"/>
      <c r="X22" s="663"/>
      <c r="Y22" s="664"/>
      <c r="Z22" s="26" t="s">
        <v>203</v>
      </c>
      <c r="AA22" s="26">
        <v>5000</v>
      </c>
      <c r="AB22" s="658"/>
      <c r="AC22" s="659"/>
    </row>
    <row r="23" spans="1:32" ht="15" thickBot="1">
      <c r="A23" s="163">
        <f>ELEC!C22</f>
        <v>44247</v>
      </c>
      <c r="B23" s="540">
        <f t="shared" si="20"/>
        <v>878743</v>
      </c>
      <c r="C23" s="264">
        <f t="shared" si="0"/>
        <v>0</v>
      </c>
      <c r="D23" s="308">
        <f t="shared" si="8"/>
        <v>0</v>
      </c>
      <c r="E23" s="308">
        <f t="shared" si="11"/>
        <v>878743</v>
      </c>
      <c r="F23" s="540">
        <f t="shared" si="21"/>
        <v>133233</v>
      </c>
      <c r="G23" s="160">
        <f t="shared" si="1"/>
        <v>0</v>
      </c>
      <c r="H23" s="540">
        <f t="shared" si="21"/>
        <v>436879</v>
      </c>
      <c r="I23" s="161">
        <f t="shared" si="2"/>
        <v>0</v>
      </c>
      <c r="J23" s="540">
        <f t="shared" si="21"/>
        <v>308629</v>
      </c>
      <c r="K23" s="162">
        <f t="shared" si="3"/>
        <v>0</v>
      </c>
      <c r="L23" s="296">
        <f t="shared" si="22"/>
        <v>0</v>
      </c>
      <c r="M23" s="296">
        <f t="shared" si="23"/>
        <v>0</v>
      </c>
      <c r="N23" s="296">
        <f t="shared" si="24"/>
        <v>0</v>
      </c>
      <c r="O23" s="296">
        <f t="shared" si="7"/>
        <v>73.452462178901413</v>
      </c>
      <c r="P23" s="297">
        <f t="shared" si="9"/>
        <v>73.452462178901413</v>
      </c>
      <c r="Q23" s="297">
        <f>SUM(-tanks!AX25*tanks!$AU$34)</f>
        <v>0</v>
      </c>
      <c r="R23" s="297">
        <f t="shared" si="10"/>
        <v>73.452462178901413</v>
      </c>
      <c r="S23" s="299">
        <f>SUM(ELEC!N22)</f>
        <v>0</v>
      </c>
      <c r="T23" s="336">
        <f t="shared" si="12"/>
        <v>0</v>
      </c>
      <c r="V23" s="665"/>
      <c r="W23" s="666"/>
      <c r="X23" s="666"/>
      <c r="Y23" s="667"/>
      <c r="Z23" s="668"/>
      <c r="AA23" s="669"/>
      <c r="AB23" s="658"/>
      <c r="AC23" s="659"/>
    </row>
    <row r="24" spans="1:32" ht="15" customHeight="1" thickBot="1">
      <c r="A24" s="163">
        <f>ELEC!C23</f>
        <v>44248</v>
      </c>
      <c r="B24" s="540">
        <f t="shared" si="20"/>
        <v>878743</v>
      </c>
      <c r="C24" s="264">
        <f t="shared" si="0"/>
        <v>0</v>
      </c>
      <c r="D24" s="308">
        <f t="shared" si="8"/>
        <v>0</v>
      </c>
      <c r="E24" s="308">
        <f t="shared" si="11"/>
        <v>878743</v>
      </c>
      <c r="F24" s="540">
        <f t="shared" si="21"/>
        <v>133233</v>
      </c>
      <c r="G24" s="160">
        <f t="shared" si="1"/>
        <v>0</v>
      </c>
      <c r="H24" s="540">
        <f t="shared" si="21"/>
        <v>436879</v>
      </c>
      <c r="I24" s="161">
        <f t="shared" si="2"/>
        <v>0</v>
      </c>
      <c r="J24" s="540">
        <f t="shared" si="21"/>
        <v>308629</v>
      </c>
      <c r="K24" s="162">
        <f t="shared" si="3"/>
        <v>0</v>
      </c>
      <c r="L24" s="296">
        <f t="shared" si="22"/>
        <v>0</v>
      </c>
      <c r="M24" s="296">
        <f t="shared" si="23"/>
        <v>0</v>
      </c>
      <c r="N24" s="296">
        <f t="shared" si="24"/>
        <v>0</v>
      </c>
      <c r="O24" s="296">
        <f t="shared" si="7"/>
        <v>73.452462178901413</v>
      </c>
      <c r="P24" s="297">
        <f t="shared" si="9"/>
        <v>73.452462178901413</v>
      </c>
      <c r="Q24" s="297">
        <f>SUM(-tanks!AX26*tanks!$AU$34)</f>
        <v>0</v>
      </c>
      <c r="R24" s="297">
        <f t="shared" si="10"/>
        <v>73.452462178901413</v>
      </c>
      <c r="S24" s="299">
        <f>SUM(ELEC!N23)</f>
        <v>0</v>
      </c>
      <c r="T24" s="336">
        <f t="shared" si="12"/>
        <v>0</v>
      </c>
      <c r="V24" s="670" t="s">
        <v>204</v>
      </c>
      <c r="W24" s="671"/>
      <c r="X24" s="672" t="s">
        <v>205</v>
      </c>
      <c r="Y24" s="673"/>
      <c r="Z24" s="674"/>
      <c r="AA24" s="170"/>
      <c r="AB24" s="660"/>
      <c r="AC24" s="661"/>
    </row>
    <row r="25" spans="1:32" ht="17.25" customHeight="1" thickBot="1">
      <c r="A25" s="163">
        <f>ELEC!C24</f>
        <v>44249</v>
      </c>
      <c r="B25" s="540">
        <f t="shared" si="20"/>
        <v>878743</v>
      </c>
      <c r="C25" s="264">
        <f t="shared" si="0"/>
        <v>0</v>
      </c>
      <c r="D25" s="308">
        <f t="shared" si="8"/>
        <v>0</v>
      </c>
      <c r="E25" s="308">
        <f t="shared" si="11"/>
        <v>878743</v>
      </c>
      <c r="F25" s="540">
        <f t="shared" si="21"/>
        <v>133233</v>
      </c>
      <c r="G25" s="160">
        <f t="shared" si="1"/>
        <v>0</v>
      </c>
      <c r="H25" s="540">
        <f t="shared" si="21"/>
        <v>436879</v>
      </c>
      <c r="I25" s="161">
        <f t="shared" si="2"/>
        <v>0</v>
      </c>
      <c r="J25" s="540">
        <f t="shared" si="21"/>
        <v>308629</v>
      </c>
      <c r="K25" s="162">
        <f t="shared" si="3"/>
        <v>0</v>
      </c>
      <c r="L25" s="296">
        <f t="shared" si="22"/>
        <v>0</v>
      </c>
      <c r="M25" s="296">
        <f t="shared" si="23"/>
        <v>0</v>
      </c>
      <c r="N25" s="296">
        <f t="shared" si="24"/>
        <v>0</v>
      </c>
      <c r="O25" s="296">
        <f t="shared" si="7"/>
        <v>73.452462178901413</v>
      </c>
      <c r="P25" s="297">
        <f t="shared" si="9"/>
        <v>73.452462178901413</v>
      </c>
      <c r="Q25" s="297">
        <f>SUM(-tanks!AX27*tanks!$AU$34)</f>
        <v>0</v>
      </c>
      <c r="R25" s="297">
        <f t="shared" si="10"/>
        <v>73.452462178901413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" thickBot="1">
      <c r="A26" s="163">
        <f>ELEC!C25</f>
        <v>44250</v>
      </c>
      <c r="B26" s="540">
        <f t="shared" si="20"/>
        <v>878743</v>
      </c>
      <c r="C26" s="264">
        <f t="shared" si="0"/>
        <v>0</v>
      </c>
      <c r="D26" s="308">
        <f t="shared" si="8"/>
        <v>0</v>
      </c>
      <c r="E26" s="308">
        <f t="shared" si="11"/>
        <v>878743</v>
      </c>
      <c r="F26" s="540">
        <f t="shared" si="21"/>
        <v>133233</v>
      </c>
      <c r="G26" s="160">
        <f t="shared" si="1"/>
        <v>0</v>
      </c>
      <c r="H26" s="540">
        <f t="shared" si="21"/>
        <v>436879</v>
      </c>
      <c r="I26" s="161">
        <f t="shared" si="2"/>
        <v>0</v>
      </c>
      <c r="J26" s="540">
        <f t="shared" si="21"/>
        <v>308629</v>
      </c>
      <c r="K26" s="162">
        <f t="shared" si="3"/>
        <v>0</v>
      </c>
      <c r="L26" s="296">
        <f t="shared" si="22"/>
        <v>0</v>
      </c>
      <c r="M26" s="296">
        <f t="shared" si="23"/>
        <v>0</v>
      </c>
      <c r="N26" s="296">
        <f t="shared" si="24"/>
        <v>0</v>
      </c>
      <c r="O26" s="296">
        <f t="shared" si="7"/>
        <v>73.452462178901413</v>
      </c>
      <c r="P26" s="297">
        <f t="shared" si="9"/>
        <v>73.452462178901413</v>
      </c>
      <c r="Q26" s="297">
        <f>SUM(-tanks!AX28*tanks!$AU$34)</f>
        <v>0</v>
      </c>
      <c r="R26" s="297">
        <f t="shared" si="10"/>
        <v>73.452462178901413</v>
      </c>
      <c r="S26" s="299">
        <f>SUM(ELEC!N25)</f>
        <v>0</v>
      </c>
      <c r="T26" s="336">
        <f t="shared" si="12"/>
        <v>0</v>
      </c>
      <c r="V26" s="254">
        <f>W9</f>
        <v>297890</v>
      </c>
      <c r="W26" s="170">
        <f>J31</f>
        <v>308629</v>
      </c>
      <c r="X26" s="172" t="s">
        <v>199</v>
      </c>
      <c r="Y26" s="172">
        <v>80</v>
      </c>
      <c r="Z26" s="172">
        <v>1</v>
      </c>
      <c r="AA26" s="338">
        <f>(W26-V26)*Z26</f>
        <v>10739</v>
      </c>
      <c r="AB26" s="338">
        <f>AA26*Y26</f>
        <v>859120</v>
      </c>
      <c r="AC26" s="249">
        <f>AC9</f>
        <v>1033333</v>
      </c>
      <c r="AD26" s="212">
        <f>SUM(K33)</f>
        <v>0.38913883027431617</v>
      </c>
    </row>
    <row r="27" spans="1:32" ht="15" thickBot="1">
      <c r="A27" s="163">
        <f>ELEC!C26</f>
        <v>44251</v>
      </c>
      <c r="B27" s="540">
        <f t="shared" si="20"/>
        <v>878743</v>
      </c>
      <c r="C27" s="264">
        <f t="shared" si="0"/>
        <v>0</v>
      </c>
      <c r="D27" s="308">
        <f t="shared" si="8"/>
        <v>0</v>
      </c>
      <c r="E27" s="308">
        <f t="shared" si="11"/>
        <v>878743</v>
      </c>
      <c r="F27" s="540">
        <f t="shared" si="21"/>
        <v>133233</v>
      </c>
      <c r="G27" s="160">
        <f t="shared" si="1"/>
        <v>0</v>
      </c>
      <c r="H27" s="540">
        <f t="shared" si="21"/>
        <v>436879</v>
      </c>
      <c r="I27" s="161">
        <f t="shared" si="2"/>
        <v>0</v>
      </c>
      <c r="J27" s="540">
        <f t="shared" si="21"/>
        <v>308629</v>
      </c>
      <c r="K27" s="162">
        <f t="shared" si="3"/>
        <v>0</v>
      </c>
      <c r="L27" s="296">
        <f t="shared" si="22"/>
        <v>0</v>
      </c>
      <c r="M27" s="296">
        <f t="shared" si="23"/>
        <v>0</v>
      </c>
      <c r="N27" s="296">
        <f t="shared" si="24"/>
        <v>0</v>
      </c>
      <c r="O27" s="296">
        <f t="shared" si="7"/>
        <v>73.452462178901413</v>
      </c>
      <c r="P27" s="297">
        <f t="shared" si="9"/>
        <v>73.452462178901413</v>
      </c>
      <c r="Q27" s="297">
        <f>SUM(-tanks!AX29*tanks!$AU$34)</f>
        <v>0</v>
      </c>
      <c r="R27" s="297">
        <f t="shared" si="10"/>
        <v>73.452462178901413</v>
      </c>
      <c r="S27" s="299">
        <f>SUM(ELEC!N26)</f>
        <v>0</v>
      </c>
      <c r="T27" s="336">
        <f t="shared" si="12"/>
        <v>0</v>
      </c>
      <c r="V27" s="254">
        <f t="shared" ref="V27:V28" si="25">W10</f>
        <v>425107</v>
      </c>
      <c r="W27" s="170">
        <f>H31</f>
        <v>436879</v>
      </c>
      <c r="X27" s="172" t="s">
        <v>213</v>
      </c>
      <c r="Y27" s="172">
        <v>112</v>
      </c>
      <c r="Z27" s="172">
        <v>1</v>
      </c>
      <c r="AA27" s="338">
        <f>(W27-V27)*Z27</f>
        <v>11772</v>
      </c>
      <c r="AB27" s="338">
        <f>SUM(AA27*Y27)</f>
        <v>1318464</v>
      </c>
      <c r="AC27" s="249">
        <f>AC10</f>
        <v>6200000</v>
      </c>
      <c r="AD27" s="212">
        <f>SUM(I33)</f>
        <v>0.43146076362622926</v>
      </c>
    </row>
    <row r="28" spans="1:32" ht="15" thickBot="1">
      <c r="A28" s="163">
        <f>ELEC!C27</f>
        <v>44252</v>
      </c>
      <c r="B28" s="540">
        <f t="shared" si="20"/>
        <v>878743</v>
      </c>
      <c r="C28" s="264">
        <f t="shared" si="0"/>
        <v>0</v>
      </c>
      <c r="D28" s="308">
        <f t="shared" si="8"/>
        <v>0</v>
      </c>
      <c r="E28" s="308">
        <f t="shared" si="11"/>
        <v>878743</v>
      </c>
      <c r="F28" s="540">
        <f t="shared" si="21"/>
        <v>133233</v>
      </c>
      <c r="G28" s="160">
        <f t="shared" si="1"/>
        <v>0</v>
      </c>
      <c r="H28" s="540">
        <f t="shared" si="21"/>
        <v>436879</v>
      </c>
      <c r="I28" s="161">
        <f t="shared" si="2"/>
        <v>0</v>
      </c>
      <c r="J28" s="540">
        <f t="shared" si="21"/>
        <v>308629</v>
      </c>
      <c r="K28" s="162">
        <f t="shared" si="3"/>
        <v>0</v>
      </c>
      <c r="L28" s="296">
        <f t="shared" si="22"/>
        <v>0</v>
      </c>
      <c r="M28" s="296">
        <f t="shared" si="23"/>
        <v>0</v>
      </c>
      <c r="N28" s="296">
        <f t="shared" si="24"/>
        <v>0</v>
      </c>
      <c r="O28" s="296">
        <f t="shared" si="7"/>
        <v>73.452462178901413</v>
      </c>
      <c r="P28" s="297">
        <f t="shared" si="9"/>
        <v>73.452462178901413</v>
      </c>
      <c r="Q28" s="297">
        <f>SUM(-tanks!AX30*tanks!$AU$34)</f>
        <v>0</v>
      </c>
      <c r="R28" s="297">
        <f t="shared" si="10"/>
        <v>73.452462178901413</v>
      </c>
      <c r="S28" s="299">
        <f>SUM(ELEC!N27)</f>
        <v>0</v>
      </c>
      <c r="T28" s="336">
        <f t="shared" si="12"/>
        <v>0</v>
      </c>
      <c r="V28" s="254">
        <f t="shared" si="25"/>
        <v>128283</v>
      </c>
      <c r="W28" s="170">
        <f>F31</f>
        <v>133233</v>
      </c>
      <c r="X28" s="172" t="s">
        <v>197</v>
      </c>
      <c r="Y28" s="172">
        <v>320</v>
      </c>
      <c r="Z28" s="172">
        <v>1</v>
      </c>
      <c r="AA28" s="338">
        <f>(W28-V28)*Z28</f>
        <v>4950</v>
      </c>
      <c r="AB28" s="338">
        <f>SUM(AA28*Y28)</f>
        <v>1584000</v>
      </c>
      <c r="AC28" s="249">
        <f>AC11</f>
        <v>1000</v>
      </c>
      <c r="AD28" s="212">
        <f>SUM(G33)</f>
        <v>0.1793207787554246</v>
      </c>
      <c r="AE28" s="40">
        <f>SUM(AB28*5%)</f>
        <v>79200</v>
      </c>
      <c r="AF28" s="82">
        <f>SUM(AE28/7)*31</f>
        <v>350742.8571428571</v>
      </c>
    </row>
    <row r="29" spans="1:32" ht="15" thickBot="1">
      <c r="A29" s="163">
        <f>ELEC!C28</f>
        <v>44253</v>
      </c>
      <c r="B29" s="540">
        <f t="shared" si="20"/>
        <v>878743</v>
      </c>
      <c r="C29" s="264">
        <f t="shared" si="0"/>
        <v>0</v>
      </c>
      <c r="D29" s="308">
        <f t="shared" si="8"/>
        <v>0</v>
      </c>
      <c r="E29" s="308">
        <f t="shared" si="11"/>
        <v>878743</v>
      </c>
      <c r="F29" s="540">
        <f t="shared" si="21"/>
        <v>133233</v>
      </c>
      <c r="G29" s="160">
        <f t="shared" si="1"/>
        <v>0</v>
      </c>
      <c r="H29" s="540">
        <f t="shared" si="21"/>
        <v>436879</v>
      </c>
      <c r="I29" s="161">
        <f t="shared" si="2"/>
        <v>0</v>
      </c>
      <c r="J29" s="540">
        <f t="shared" si="21"/>
        <v>308629</v>
      </c>
      <c r="K29" s="162">
        <f t="shared" si="3"/>
        <v>0</v>
      </c>
      <c r="L29" s="296">
        <f t="shared" si="22"/>
        <v>0</v>
      </c>
      <c r="M29" s="296">
        <f t="shared" si="23"/>
        <v>0</v>
      </c>
      <c r="N29" s="296">
        <f t="shared" si="24"/>
        <v>0</v>
      </c>
      <c r="O29" s="296">
        <f t="shared" si="7"/>
        <v>73.452462178901413</v>
      </c>
      <c r="P29" s="297">
        <f t="shared" si="9"/>
        <v>73.452462178901413</v>
      </c>
      <c r="Q29" s="297">
        <f>SUM(-tanks!AX31*tanks!$AU$34)</f>
        <v>0</v>
      </c>
      <c r="R29" s="297">
        <f t="shared" si="10"/>
        <v>73.452462178901413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27461</v>
      </c>
      <c r="AB29" s="338"/>
      <c r="AC29" s="249"/>
    </row>
    <row r="30" spans="1:32" ht="14.25" customHeight="1" thickBot="1">
      <c r="A30" s="163">
        <f>ELEC!C29</f>
        <v>44254</v>
      </c>
      <c r="B30" s="540">
        <f t="shared" si="20"/>
        <v>878743</v>
      </c>
      <c r="C30" s="264">
        <f t="shared" si="0"/>
        <v>0</v>
      </c>
      <c r="D30" s="308">
        <f t="shared" si="8"/>
        <v>0</v>
      </c>
      <c r="E30" s="308">
        <f t="shared" si="11"/>
        <v>878743</v>
      </c>
      <c r="F30" s="540">
        <f t="shared" si="21"/>
        <v>133233</v>
      </c>
      <c r="G30" s="160">
        <f t="shared" si="1"/>
        <v>0</v>
      </c>
      <c r="H30" s="540">
        <f t="shared" si="21"/>
        <v>436879</v>
      </c>
      <c r="I30" s="161">
        <f t="shared" si="2"/>
        <v>0</v>
      </c>
      <c r="J30" s="540">
        <f t="shared" si="21"/>
        <v>308629</v>
      </c>
      <c r="K30" s="162">
        <f t="shared" si="3"/>
        <v>0</v>
      </c>
      <c r="L30" s="296">
        <f t="shared" si="22"/>
        <v>0</v>
      </c>
      <c r="M30" s="296">
        <f t="shared" si="23"/>
        <v>0</v>
      </c>
      <c r="N30" s="296">
        <f t="shared" si="24"/>
        <v>0</v>
      </c>
      <c r="O30" s="296">
        <f t="shared" si="7"/>
        <v>73.452462178901413</v>
      </c>
      <c r="P30" s="297">
        <f t="shared" si="9"/>
        <v>73.452462178901413</v>
      </c>
      <c r="Q30" s="297">
        <f>SUM(-tanks!AX32*tanks!$AU$34)</f>
        <v>0</v>
      </c>
      <c r="R30" s="297">
        <f t="shared" si="10"/>
        <v>73.452462178901413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'!F34</f>
        <v>0</v>
      </c>
      <c r="X30" s="217"/>
      <c r="Y30" s="218" t="s">
        <v>330</v>
      </c>
      <c r="Z30" s="3"/>
      <c r="AA30" s="338"/>
      <c r="AB30" s="338">
        <f>SUM(AB26:AB29)</f>
        <v>3761584</v>
      </c>
      <c r="AC30" s="249">
        <f>SUM(AC26:AC29)/A34*A32</f>
        <v>3100428.4285714286</v>
      </c>
    </row>
    <row r="31" spans="1:32">
      <c r="A31" s="163">
        <f>ELEC!C30</f>
        <v>44255</v>
      </c>
      <c r="B31" s="540">
        <f t="shared" si="20"/>
        <v>878743</v>
      </c>
      <c r="C31" s="264">
        <f t="shared" si="0"/>
        <v>0</v>
      </c>
      <c r="D31" s="308">
        <f t="shared" si="8"/>
        <v>0</v>
      </c>
      <c r="E31" s="308">
        <f t="shared" si="11"/>
        <v>878743</v>
      </c>
      <c r="F31" s="540">
        <f t="shared" si="21"/>
        <v>133233</v>
      </c>
      <c r="G31" s="160">
        <f t="shared" si="1"/>
        <v>0</v>
      </c>
      <c r="H31" s="540">
        <f t="shared" si="21"/>
        <v>436879</v>
      </c>
      <c r="I31" s="161">
        <f t="shared" si="2"/>
        <v>0</v>
      </c>
      <c r="J31" s="540">
        <f t="shared" si="21"/>
        <v>308629</v>
      </c>
      <c r="K31" s="162">
        <f t="shared" si="3"/>
        <v>0</v>
      </c>
      <c r="L31" s="296">
        <f t="shared" si="22"/>
        <v>0</v>
      </c>
      <c r="M31" s="296">
        <f t="shared" si="23"/>
        <v>0</v>
      </c>
      <c r="N31" s="296">
        <f t="shared" si="24"/>
        <v>0</v>
      </c>
      <c r="O31" s="296">
        <f t="shared" si="7"/>
        <v>73.452462178901413</v>
      </c>
      <c r="P31" s="297">
        <f t="shared" si="9"/>
        <v>73.452462178901413</v>
      </c>
      <c r="Q31" s="297">
        <f>SUM(-tanks!AX33*tanks!$AU$34)</f>
        <v>0</v>
      </c>
      <c r="R31" s="297">
        <f t="shared" si="10"/>
        <v>73.452462178901413</v>
      </c>
      <c r="S31" s="299">
        <f>SUM(ELEC!N30)</f>
        <v>0</v>
      </c>
      <c r="T31" s="336">
        <f t="shared" si="12"/>
        <v>0</v>
      </c>
      <c r="V31" s="216" t="s">
        <v>317</v>
      </c>
      <c r="W31" s="217">
        <f>SUM(GEN!U31)</f>
        <v>50</v>
      </c>
      <c r="X31" s="222">
        <f>SUM(W31/A32)</f>
        <v>4.166666666666667</v>
      </c>
      <c r="Y31" s="260">
        <f>SUM(X31/2)</f>
        <v>2.0833333333333335</v>
      </c>
      <c r="Z31" s="3"/>
      <c r="AA31" s="3"/>
      <c r="AB31" s="543">
        <f>SUM(AB30+AC31)</f>
        <v>6862012.4285714291</v>
      </c>
      <c r="AC31" s="249">
        <f>SUM(AC30)</f>
        <v>3100428.4285714286</v>
      </c>
    </row>
    <row r="32" spans="1:32" ht="15" thickBot="1">
      <c r="A32" s="539">
        <f>A34-COUNTIF(C4:C31,0)</f>
        <v>12</v>
      </c>
      <c r="C32" s="173">
        <f>SUM(C4:C31)/A32</f>
        <v>2093.0833333333335</v>
      </c>
      <c r="D32" s="173"/>
      <c r="E32" s="173"/>
      <c r="G32" s="173">
        <f>SUM(G4:G31)/A32</f>
        <v>375.33333333333331</v>
      </c>
      <c r="I32" s="173">
        <f>SUM(I4:I31)/A32</f>
        <v>903.08333333333337</v>
      </c>
      <c r="K32" s="173">
        <f>SUM(K4:K31)/A32</f>
        <v>814.5</v>
      </c>
      <c r="L32" s="173">
        <f>SUM(L31*1507.5)</f>
        <v>0</v>
      </c>
      <c r="M32" s="173">
        <f>SUM(M31*1507.5)</f>
        <v>0</v>
      </c>
      <c r="N32" s="173">
        <f>SUM(N31*1507.5)</f>
        <v>0</v>
      </c>
      <c r="O32" s="173">
        <f>SUM(O31*1507.5)</f>
        <v>110729.58673469388</v>
      </c>
      <c r="P32" s="173"/>
      <c r="Q32" s="173"/>
      <c r="R32" s="173"/>
      <c r="S32" s="300"/>
      <c r="V32" s="228"/>
      <c r="W32" s="229"/>
      <c r="X32" s="229"/>
      <c r="Y32" s="229"/>
      <c r="Z32" s="3"/>
      <c r="AA32" s="45"/>
      <c r="AB32" s="291"/>
      <c r="AC32" s="577"/>
    </row>
    <row r="33" spans="1:32" ht="15" thickBot="1">
      <c r="A33" s="210"/>
      <c r="C33" s="212">
        <f>SUM(G33:K33)</f>
        <v>0.99992037265597</v>
      </c>
      <c r="G33" s="225">
        <f>IF(C32&gt;0,G32/C32,0)</f>
        <v>0.1793207787554246</v>
      </c>
      <c r="H33" s="212"/>
      <c r="I33" s="225">
        <f>SUM(I32/C32)</f>
        <v>0.43146076362622926</v>
      </c>
      <c r="J33" s="212"/>
      <c r="K33" s="225">
        <f>SUM(K32/C32)</f>
        <v>0.38913883027431617</v>
      </c>
      <c r="L33" s="225"/>
      <c r="M33" s="225"/>
      <c r="N33" s="225"/>
      <c r="O33" s="225"/>
      <c r="P33" s="225"/>
      <c r="Q33" s="225"/>
      <c r="R33" s="225"/>
      <c r="S33" s="301"/>
      <c r="V33" s="228"/>
      <c r="W33" s="229"/>
      <c r="X33" s="229"/>
      <c r="Y33" s="229"/>
      <c r="Z33" s="229"/>
      <c r="AA33" s="229" t="s">
        <v>215</v>
      </c>
      <c r="AB33" s="578">
        <f>SUM(AB31/1507.5)</f>
        <v>4551.9153755034358</v>
      </c>
      <c r="AC33" s="579"/>
    </row>
    <row r="34" spans="1:32" ht="15" thickBot="1">
      <c r="A34">
        <v>28</v>
      </c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V34" s="275"/>
      <c r="W34" s="219"/>
      <c r="X34" s="219"/>
      <c r="Y34" s="220"/>
      <c r="Z34" s="574"/>
      <c r="AA34" s="574"/>
      <c r="AB34" s="575"/>
      <c r="AC34" s="576"/>
    </row>
    <row r="35" spans="1:32">
      <c r="V35" s="217"/>
      <c r="W35" s="82">
        <f>AC30/1507.5</f>
        <v>2056.6689410092395</v>
      </c>
      <c r="Z35" s="40"/>
      <c r="AA35" s="292" t="s">
        <v>215</v>
      </c>
      <c r="AB35" s="293">
        <f>SUM(AB33)</f>
        <v>4551.9153755034358</v>
      </c>
    </row>
    <row r="36" spans="1:32">
      <c r="V36" s="217"/>
      <c r="W36" s="82">
        <f>(AB30+AB51)/1507.5</f>
        <v>2495.2464344941959</v>
      </c>
      <c r="X36" s="544"/>
      <c r="Z36" s="294">
        <f>SUM(AB35)</f>
        <v>4551.9153755034358</v>
      </c>
      <c r="AA36" s="293"/>
      <c r="AB36" s="293"/>
    </row>
    <row r="37" spans="1:32">
      <c r="V37" s="17"/>
      <c r="W37" s="82">
        <f>SUM(W35:W36)</f>
        <v>4551.9153755034349</v>
      </c>
      <c r="X37" s="544"/>
      <c r="Y37" s="82"/>
      <c r="Z37" s="294">
        <f>SUM(-tanks!AX34)*tanks!AU34</f>
        <v>3698.0234419354838</v>
      </c>
      <c r="AA37" s="101">
        <f>SUM(AB31/A32)</f>
        <v>571834.36904761905</v>
      </c>
      <c r="AB37" s="348">
        <f>SUM(AA37*A34)</f>
        <v>16011362.333333334</v>
      </c>
    </row>
    <row r="38" spans="1:32" ht="18.5">
      <c r="W38" s="82">
        <f>(AB30+AB51)/1507.5</f>
        <v>2495.2464344941959</v>
      </c>
      <c r="Z38" s="276">
        <f>SUM(Z36:Z37)</f>
        <v>8249.9388174389205</v>
      </c>
      <c r="AA38" s="293">
        <f>SUM(AA37/1507.5)</f>
        <v>379.32628129195291</v>
      </c>
      <c r="AB38" s="347">
        <f>SUM(AB37/1507.5)</f>
        <v>10621.135876174683</v>
      </c>
    </row>
    <row r="39" spans="1:32">
      <c r="D39" s="519"/>
      <c r="E39" s="519"/>
      <c r="F39" s="519"/>
      <c r="W39" s="82">
        <f>SUM(W37:W38)</f>
        <v>7047.1618099976313</v>
      </c>
      <c r="Z39" s="295" t="e">
        <f>SUM(ELEC!#REF!)</f>
        <v>#REF!</v>
      </c>
    </row>
    <row r="40" spans="1:32">
      <c r="Z40" s="293" t="e">
        <f>Z38/Z39</f>
        <v>#REF!</v>
      </c>
    </row>
    <row r="41" spans="1:32"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spans="1:32">
      <c r="V42" s="546"/>
      <c r="W42" s="547"/>
      <c r="X42" s="17"/>
      <c r="Y42" s="17"/>
      <c r="Z42" s="548"/>
      <c r="AA42" s="17"/>
      <c r="AB42" s="675"/>
      <c r="AC42" s="675"/>
      <c r="AD42" s="17"/>
      <c r="AE42" s="17"/>
      <c r="AF42" s="17"/>
    </row>
    <row r="43" spans="1:32">
      <c r="V43" s="675"/>
      <c r="W43" s="675"/>
      <c r="X43" s="675"/>
      <c r="Y43" s="675"/>
      <c r="Z43" s="548"/>
      <c r="AA43" s="548"/>
      <c r="AB43" s="675"/>
      <c r="AC43" s="675"/>
      <c r="AD43" s="17"/>
      <c r="AE43" s="17"/>
      <c r="AF43" s="17"/>
    </row>
    <row r="44" spans="1:32">
      <c r="V44" s="675"/>
      <c r="W44" s="675"/>
      <c r="X44" s="675"/>
      <c r="Y44" s="675"/>
      <c r="Z44" s="675"/>
      <c r="AA44" s="675"/>
      <c r="AB44" s="675"/>
      <c r="AC44" s="675"/>
      <c r="AD44" s="17"/>
      <c r="AE44" s="17"/>
      <c r="AF44" s="17"/>
    </row>
    <row r="45" spans="1:32">
      <c r="V45" s="676"/>
      <c r="W45" s="676"/>
      <c r="X45" s="677"/>
      <c r="Y45" s="677"/>
      <c r="Z45" s="677"/>
      <c r="AA45" s="549"/>
      <c r="AB45" s="675"/>
      <c r="AC45" s="675"/>
      <c r="AD45" s="17"/>
      <c r="AE45" s="17"/>
      <c r="AF45" s="17"/>
    </row>
    <row r="46" spans="1:32">
      <c r="V46" s="546"/>
      <c r="W46" s="546"/>
      <c r="X46" s="546"/>
      <c r="Y46" s="546"/>
      <c r="Z46" s="546"/>
      <c r="AA46" s="546"/>
      <c r="AB46" s="546"/>
      <c r="AC46" s="550"/>
      <c r="AD46" s="17"/>
      <c r="AE46" s="17"/>
      <c r="AF46" s="17"/>
    </row>
    <row r="47" spans="1:32">
      <c r="V47" s="549"/>
      <c r="W47" s="549"/>
      <c r="X47" s="551"/>
      <c r="Y47" s="551"/>
      <c r="Z47" s="551"/>
      <c r="AA47" s="73"/>
      <c r="AB47" s="73"/>
      <c r="AC47" s="73"/>
      <c r="AD47" s="552"/>
      <c r="AE47" s="17"/>
      <c r="AF47" s="17"/>
    </row>
    <row r="48" spans="1:32">
      <c r="V48" s="549"/>
      <c r="W48" s="549"/>
      <c r="X48" s="551"/>
      <c r="Y48" s="551"/>
      <c r="Z48" s="551"/>
      <c r="AA48" s="73"/>
      <c r="AB48" s="73"/>
      <c r="AC48" s="73"/>
      <c r="AD48" s="552"/>
      <c r="AE48" s="17"/>
      <c r="AF48" s="17"/>
    </row>
    <row r="49" spans="22:32">
      <c r="V49" s="549"/>
      <c r="W49" s="549"/>
      <c r="X49" s="551"/>
      <c r="Y49" s="551"/>
      <c r="Z49" s="551"/>
      <c r="AA49" s="73"/>
      <c r="AB49" s="73"/>
      <c r="AC49" s="73"/>
      <c r="AD49" s="552"/>
      <c r="AE49" s="553"/>
      <c r="AF49" s="554"/>
    </row>
    <row r="50" spans="22:32">
      <c r="V50" s="217"/>
      <c r="W50" s="217"/>
      <c r="X50" s="217"/>
      <c r="Y50" s="217"/>
      <c r="Z50" s="17"/>
      <c r="AA50" s="73"/>
      <c r="AB50" s="73"/>
      <c r="AC50" s="73"/>
      <c r="AD50" s="17"/>
      <c r="AE50" s="17"/>
      <c r="AF50" s="17"/>
    </row>
    <row r="51" spans="22:32">
      <c r="V51" s="217"/>
      <c r="W51" s="555"/>
      <c r="X51" s="217"/>
      <c r="Y51" s="217"/>
      <c r="Z51" s="17"/>
      <c r="AA51" s="73"/>
      <c r="AB51" s="267"/>
      <c r="AC51" s="73"/>
      <c r="AD51" s="17"/>
      <c r="AE51" s="17"/>
      <c r="AF51" s="17"/>
    </row>
    <row r="52" spans="22:32">
      <c r="V52" s="217"/>
      <c r="W52" s="217"/>
      <c r="X52" s="222"/>
      <c r="Y52" s="556"/>
      <c r="Z52" s="17"/>
      <c r="AA52" s="17"/>
      <c r="AB52" s="73"/>
      <c r="AC52" s="73"/>
      <c r="AD52" s="17"/>
      <c r="AE52" s="17"/>
      <c r="AF52" s="17"/>
    </row>
    <row r="53" spans="22:32">
      <c r="V53" s="217"/>
      <c r="W53" s="217"/>
      <c r="X53" s="217"/>
      <c r="Y53" s="217"/>
      <c r="Z53" s="17"/>
      <c r="AA53" s="17"/>
      <c r="AB53" s="17"/>
      <c r="AC53" s="17"/>
      <c r="AD53" s="17"/>
      <c r="AE53" s="17"/>
      <c r="AF53" s="17"/>
    </row>
    <row r="54" spans="22:32">
      <c r="V54" s="217"/>
      <c r="W54" s="217"/>
      <c r="X54" s="217"/>
      <c r="Y54" s="217"/>
      <c r="Z54" s="17"/>
      <c r="AA54" s="17"/>
      <c r="AB54" s="17"/>
      <c r="AC54" s="17"/>
      <c r="AD54" s="17"/>
      <c r="AE54" s="17"/>
      <c r="AF54" s="17"/>
    </row>
    <row r="55" spans="22:32">
      <c r="V55" s="217"/>
      <c r="W55" s="217"/>
      <c r="X55" s="217"/>
      <c r="Y55" s="217"/>
      <c r="Z55" s="17"/>
      <c r="AA55" s="17"/>
      <c r="AB55" s="17"/>
      <c r="AC55" s="17"/>
      <c r="AD55" s="17"/>
      <c r="AE55" s="17"/>
      <c r="AF55" s="17"/>
    </row>
    <row r="56" spans="22:32">
      <c r="V56" s="17"/>
      <c r="W56" s="17"/>
      <c r="X56" s="17"/>
      <c r="Y56" s="17"/>
      <c r="Z56" s="17"/>
      <c r="AA56" s="557"/>
      <c r="AB56" s="558"/>
      <c r="AC56" s="559"/>
      <c r="AD56" s="17"/>
      <c r="AE56" s="17"/>
      <c r="AF56" s="17"/>
    </row>
    <row r="57" spans="22:32">
      <c r="V57" s="17"/>
      <c r="W57" s="17"/>
      <c r="X57" s="17"/>
      <c r="Y57" s="17"/>
      <c r="Z57" s="17"/>
      <c r="AA57" s="560"/>
      <c r="AB57" s="558"/>
      <c r="AC57" s="559"/>
      <c r="AD57" s="17"/>
      <c r="AE57" s="17"/>
      <c r="AF57" s="17"/>
    </row>
    <row r="58" spans="22:32">
      <c r="V58" s="17"/>
      <c r="W58" s="17"/>
      <c r="X58" s="17"/>
      <c r="Y58" s="17"/>
      <c r="Z58" s="17"/>
      <c r="AA58" s="17"/>
      <c r="AB58" s="558"/>
      <c r="AC58" s="559"/>
      <c r="AD58" s="17"/>
      <c r="AE58" s="17"/>
      <c r="AF58" s="17"/>
    </row>
    <row r="59" spans="22:32">
      <c r="V59" s="217"/>
      <c r="W59" s="217"/>
      <c r="X59" s="217"/>
      <c r="Y59" s="217"/>
      <c r="Z59" s="17"/>
      <c r="AA59" s="17"/>
      <c r="AB59" s="561"/>
      <c r="AC59" s="17"/>
      <c r="AD59" s="17"/>
      <c r="AE59" s="17"/>
      <c r="AF59" s="17"/>
    </row>
    <row r="60" spans="22:32">
      <c r="V60" s="217"/>
      <c r="W60" s="554"/>
      <c r="X60" s="17"/>
      <c r="Y60" s="17"/>
      <c r="Z60" s="553"/>
      <c r="AA60" s="562"/>
      <c r="AB60" s="551"/>
      <c r="AC60" s="17"/>
      <c r="AD60" s="17"/>
      <c r="AE60" s="17"/>
      <c r="AF60" s="17"/>
    </row>
    <row r="61" spans="22:32">
      <c r="V61" s="217"/>
      <c r="W61" s="554"/>
      <c r="X61" s="17"/>
      <c r="Y61" s="17"/>
      <c r="Z61" s="422"/>
      <c r="AA61" s="551"/>
      <c r="AB61" s="551"/>
      <c r="AC61" s="17"/>
      <c r="AD61" s="17"/>
      <c r="AE61" s="17"/>
      <c r="AF61" s="17"/>
    </row>
    <row r="62" spans="22:32">
      <c r="V62" s="17"/>
      <c r="W62" s="554"/>
      <c r="X62" s="17"/>
      <c r="Y62" s="554"/>
      <c r="Z62" s="422"/>
      <c r="AA62" s="551"/>
      <c r="AB62" s="563"/>
      <c r="AC62" s="17"/>
      <c r="AD62" s="17"/>
      <c r="AE62" s="17"/>
      <c r="AF62" s="17"/>
    </row>
    <row r="63" spans="22:32" ht="18.5">
      <c r="V63" s="17"/>
      <c r="W63" s="554"/>
      <c r="X63" s="17"/>
      <c r="Y63" s="17"/>
      <c r="Z63" s="564"/>
      <c r="AA63" s="551"/>
      <c r="AB63" s="565"/>
      <c r="AC63" s="17"/>
      <c r="AD63" s="17"/>
      <c r="AE63" s="17"/>
      <c r="AF63" s="17"/>
    </row>
    <row r="64" spans="22:32">
      <c r="V64" s="17"/>
      <c r="W64" s="554"/>
      <c r="X64" s="17"/>
      <c r="Y64" s="17"/>
      <c r="Z64" s="73"/>
      <c r="AA64" s="17"/>
      <c r="AB64" s="17"/>
      <c r="AC64" s="17"/>
      <c r="AD64" s="17"/>
      <c r="AE64" s="17"/>
      <c r="AF64" s="17"/>
    </row>
    <row r="65" spans="22:32">
      <c r="V65" s="17"/>
      <c r="W65" s="17"/>
      <c r="X65" s="17"/>
      <c r="Y65" s="17"/>
      <c r="Z65" s="551"/>
      <c r="AA65" s="17"/>
      <c r="AB65" s="17"/>
      <c r="AC65" s="17"/>
      <c r="AD65" s="17"/>
      <c r="AE65" s="17"/>
      <c r="AF65" s="17"/>
    </row>
    <row r="66" spans="22:32"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spans="22:32"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</sheetData>
  <mergeCells count="14">
    <mergeCell ref="AB42:AC45"/>
    <mergeCell ref="V43:Y44"/>
    <mergeCell ref="Z44:AA44"/>
    <mergeCell ref="V45:W45"/>
    <mergeCell ref="X45:Z45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>
      <pane ySplit="1" topLeftCell="A23" activePane="bottomLeft" state="frozen"/>
      <selection pane="bottomLeft" activeCell="G17" sqref="G17"/>
    </sheetView>
  </sheetViews>
  <sheetFormatPr defaultRowHeight="14.5"/>
  <cols>
    <col min="1" max="1" width="12.1796875" bestFit="1" customWidth="1"/>
    <col min="2" max="2" width="6.7265625" customWidth="1"/>
    <col min="3" max="7" width="6.7265625" bestFit="1" customWidth="1"/>
    <col min="8" max="8" width="11.54296875" style="74" customWidth="1"/>
    <col min="9" max="9" width="12.7265625" bestFit="1" customWidth="1"/>
    <col min="10" max="10" width="25.453125" style="490" customWidth="1"/>
    <col min="12" max="12" width="26.453125" bestFit="1" customWidth="1"/>
    <col min="14" max="14" width="14.26953125" customWidth="1"/>
  </cols>
  <sheetData>
    <row r="1" spans="1:18" ht="39.75" customHeight="1" thickBot="1">
      <c r="A1" s="678" t="s">
        <v>51</v>
      </c>
      <c r="B1" s="690" t="s">
        <v>318</v>
      </c>
      <c r="C1" s="691"/>
      <c r="D1" s="693"/>
      <c r="E1" s="690" t="s">
        <v>319</v>
      </c>
      <c r="F1" s="691"/>
      <c r="G1" s="692"/>
      <c r="H1" s="687" t="s">
        <v>324</v>
      </c>
      <c r="I1" s="684" t="s">
        <v>325</v>
      </c>
      <c r="J1" s="681" t="s">
        <v>43</v>
      </c>
    </row>
    <row r="2" spans="1:18" ht="37.5" thickBot="1">
      <c r="A2" s="67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88"/>
      <c r="I2" s="685"/>
      <c r="J2" s="682"/>
    </row>
    <row r="3" spans="1:18" ht="24" customHeight="1" thickBot="1">
      <c r="A3" s="68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89"/>
      <c r="I3" s="686"/>
      <c r="J3" s="683"/>
    </row>
    <row r="4" spans="1:18" ht="19" thickBot="1">
      <c r="A4" s="243"/>
      <c r="B4" s="508"/>
      <c r="C4" s="508"/>
      <c r="D4" s="508"/>
      <c r="E4" s="508"/>
      <c r="F4" s="508"/>
      <c r="G4" s="508"/>
      <c r="H4" s="588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44227</v>
      </c>
      <c r="B5" s="45">
        <f>'[2]Swimming Pool quality check '!B36</f>
        <v>1.2</v>
      </c>
      <c r="C5" s="45">
        <f>'[2]Swimming Pool quality check '!C36</f>
        <v>7.8</v>
      </c>
      <c r="D5" s="45">
        <f>'[2]Swimming Pool quality check '!D36</f>
        <v>0</v>
      </c>
      <c r="E5" s="45">
        <f>'[2]Swimming Pool quality check '!E36</f>
        <v>1.3</v>
      </c>
      <c r="F5" s="45">
        <f>'[2]Swimming Pool quality check '!F36</f>
        <v>8</v>
      </c>
      <c r="G5" s="45">
        <f>'[2]Swimming Pool quality check '!G36</f>
        <v>0</v>
      </c>
      <c r="H5" s="45">
        <f>'[2]Swimming Pool quality check '!H36</f>
        <v>6716</v>
      </c>
      <c r="I5" s="45">
        <f>'[2]Swimming Pool quality check '!I36</f>
        <v>0</v>
      </c>
      <c r="J5" s="517">
        <f>'[11]Swimming Pool quality check '!J36</f>
        <v>0.33333333333333398</v>
      </c>
      <c r="K5" s="407">
        <v>0</v>
      </c>
      <c r="L5" s="534">
        <f>A5</f>
        <v>44227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44228</v>
      </c>
      <c r="B6" s="595">
        <v>1.1000000000000001</v>
      </c>
      <c r="C6" s="596">
        <v>7.8</v>
      </c>
      <c r="D6" s="596"/>
      <c r="E6" s="596">
        <v>1</v>
      </c>
      <c r="F6" s="596">
        <v>8</v>
      </c>
      <c r="G6" s="596"/>
      <c r="H6" s="597">
        <f>H5</f>
        <v>6716</v>
      </c>
      <c r="I6" s="509">
        <f>H6-H5</f>
        <v>0</v>
      </c>
      <c r="J6" s="487">
        <v>0.29166666666666669</v>
      </c>
      <c r="L6" s="99">
        <f t="shared" ref="L6:L33" si="0">A6</f>
        <v>44228</v>
      </c>
      <c r="M6" s="3">
        <v>6543</v>
      </c>
      <c r="N6" s="509">
        <v>487</v>
      </c>
      <c r="O6" s="509">
        <f t="shared" ref="O6:O33" si="1">M6+N6</f>
        <v>7030</v>
      </c>
    </row>
    <row r="7" spans="1:18" ht="15" thickBot="1">
      <c r="A7" s="240">
        <f>ELEC!C4</f>
        <v>44229</v>
      </c>
      <c r="B7" s="598">
        <v>1.3</v>
      </c>
      <c r="C7" s="597">
        <v>7.8</v>
      </c>
      <c r="D7" s="597"/>
      <c r="E7" s="597">
        <v>1.2</v>
      </c>
      <c r="F7" s="597">
        <v>8</v>
      </c>
      <c r="G7" s="597"/>
      <c r="H7" s="597">
        <f t="shared" ref="H7:H33" si="2">H6</f>
        <v>6716</v>
      </c>
      <c r="I7" s="509">
        <f>H7-H6</f>
        <v>0</v>
      </c>
      <c r="J7" s="488">
        <v>0.29166666666666669</v>
      </c>
      <c r="L7" s="99">
        <f t="shared" si="0"/>
        <v>44229</v>
      </c>
      <c r="M7" s="3">
        <v>6550</v>
      </c>
      <c r="N7" s="509">
        <v>487</v>
      </c>
      <c r="O7" s="509">
        <f t="shared" si="1"/>
        <v>7037</v>
      </c>
    </row>
    <row r="8" spans="1:18" ht="15" thickBot="1">
      <c r="A8" s="240">
        <f>ELEC!C5</f>
        <v>44230</v>
      </c>
      <c r="B8" s="598">
        <v>1.4</v>
      </c>
      <c r="C8" s="597">
        <v>7.8</v>
      </c>
      <c r="D8" s="597"/>
      <c r="E8" s="597">
        <v>1.3</v>
      </c>
      <c r="F8" s="597">
        <v>8</v>
      </c>
      <c r="G8" s="597"/>
      <c r="H8" s="597">
        <f t="shared" si="2"/>
        <v>6716</v>
      </c>
      <c r="I8" s="509">
        <f t="shared" ref="I8:I33" si="3">H8-H7</f>
        <v>0</v>
      </c>
      <c r="J8" s="488">
        <v>0.29166666666666669</v>
      </c>
      <c r="L8" s="99">
        <f t="shared" si="0"/>
        <v>44230</v>
      </c>
      <c r="M8" s="3">
        <v>6555</v>
      </c>
      <c r="N8" s="509">
        <v>487</v>
      </c>
      <c r="O8" s="509">
        <f t="shared" si="1"/>
        <v>7042</v>
      </c>
    </row>
    <row r="9" spans="1:18" ht="15" thickBot="1">
      <c r="A9" s="240">
        <f>ELEC!C6</f>
        <v>44231</v>
      </c>
      <c r="B9" s="599">
        <v>1.4</v>
      </c>
      <c r="C9" s="597">
        <v>7.8</v>
      </c>
      <c r="D9" s="45"/>
      <c r="E9" s="45">
        <v>1.2</v>
      </c>
      <c r="F9" s="45">
        <v>8</v>
      </c>
      <c r="G9" s="45"/>
      <c r="H9" s="597">
        <f t="shared" si="2"/>
        <v>6716</v>
      </c>
      <c r="I9" s="509">
        <f t="shared" si="3"/>
        <v>0</v>
      </c>
      <c r="J9" s="488">
        <v>0.25</v>
      </c>
      <c r="L9" s="99">
        <f t="shared" si="0"/>
        <v>44231</v>
      </c>
      <c r="M9" s="3">
        <f t="shared" ref="M9:M33" si="4">M8</f>
        <v>6555</v>
      </c>
      <c r="N9" s="509">
        <v>487</v>
      </c>
      <c r="O9" s="509">
        <f t="shared" si="1"/>
        <v>7042</v>
      </c>
    </row>
    <row r="10" spans="1:18" ht="15" thickBot="1">
      <c r="A10" s="240">
        <f>ELEC!C7</f>
        <v>44232</v>
      </c>
      <c r="B10" s="587">
        <v>1.1000000000000001</v>
      </c>
      <c r="C10" s="586">
        <v>7.8</v>
      </c>
      <c r="D10" s="586"/>
      <c r="E10" s="586">
        <v>1</v>
      </c>
      <c r="F10" s="586">
        <v>8</v>
      </c>
      <c r="G10" s="586"/>
      <c r="H10" s="597">
        <v>6715</v>
      </c>
      <c r="I10" s="509">
        <f t="shared" si="3"/>
        <v>-1</v>
      </c>
      <c r="J10" s="488">
        <v>0.29166666666666669</v>
      </c>
      <c r="L10" s="99">
        <f t="shared" si="0"/>
        <v>44232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" thickBot="1">
      <c r="A11" s="240">
        <f>ELEC!C8</f>
        <v>44233</v>
      </c>
      <c r="B11" s="537">
        <v>1.5</v>
      </c>
      <c r="C11" s="537">
        <v>7.8</v>
      </c>
      <c r="D11" s="537"/>
      <c r="E11" s="537">
        <v>1.2</v>
      </c>
      <c r="F11" s="537">
        <v>8</v>
      </c>
      <c r="G11" s="537"/>
      <c r="H11" s="597">
        <v>6715.5</v>
      </c>
      <c r="I11" s="509">
        <f t="shared" si="3"/>
        <v>0.5</v>
      </c>
      <c r="J11" s="488">
        <v>0.29166666666666669</v>
      </c>
      <c r="L11" s="99">
        <f t="shared" si="0"/>
        <v>44233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" thickBot="1">
      <c r="A12" s="240">
        <f>ELEC!C9</f>
        <v>44234</v>
      </c>
      <c r="B12" s="537">
        <v>1.4</v>
      </c>
      <c r="C12" s="537">
        <v>7.8</v>
      </c>
      <c r="D12" s="537"/>
      <c r="E12" s="537">
        <v>1</v>
      </c>
      <c r="F12" s="537">
        <v>8</v>
      </c>
      <c r="G12" s="537"/>
      <c r="H12" s="597">
        <v>6716</v>
      </c>
      <c r="I12" s="509">
        <f t="shared" si="3"/>
        <v>0.5</v>
      </c>
      <c r="J12" s="488">
        <v>0.29166666666666669</v>
      </c>
      <c r="L12" s="99">
        <f t="shared" si="0"/>
        <v>44234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" thickBot="1">
      <c r="A13" s="240">
        <f>ELEC!C10</f>
        <v>44235</v>
      </c>
      <c r="B13" s="537">
        <v>1.3</v>
      </c>
      <c r="C13" s="537">
        <v>7.8</v>
      </c>
      <c r="D13" s="537"/>
      <c r="E13" s="537" t="s">
        <v>417</v>
      </c>
      <c r="F13" s="537"/>
      <c r="G13" s="537"/>
      <c r="H13" s="597">
        <v>6717</v>
      </c>
      <c r="I13" s="509">
        <f t="shared" si="3"/>
        <v>1</v>
      </c>
      <c r="J13" s="488">
        <v>0.29166666666666669</v>
      </c>
      <c r="L13" s="99">
        <f t="shared" si="0"/>
        <v>44235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" thickBot="1">
      <c r="A14" s="240">
        <f>ELEC!C11</f>
        <v>44236</v>
      </c>
      <c r="B14" s="537">
        <v>1.3</v>
      </c>
      <c r="C14" s="590">
        <v>7.8</v>
      </c>
      <c r="D14" s="170"/>
      <c r="E14" s="170">
        <v>1.2</v>
      </c>
      <c r="F14" s="170">
        <v>7.4</v>
      </c>
      <c r="G14" s="170"/>
      <c r="H14" s="597">
        <v>6718</v>
      </c>
      <c r="I14" s="509">
        <f t="shared" si="3"/>
        <v>1</v>
      </c>
      <c r="J14" s="488">
        <v>0.29166666666666669</v>
      </c>
      <c r="L14" s="99">
        <f t="shared" si="0"/>
        <v>44236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" thickBot="1">
      <c r="A15" s="240">
        <f>ELEC!C12</f>
        <v>44237</v>
      </c>
      <c r="B15" s="537">
        <v>1.2</v>
      </c>
      <c r="C15" s="591">
        <v>7.8</v>
      </c>
      <c r="D15" s="591"/>
      <c r="E15" s="591">
        <v>1.4</v>
      </c>
      <c r="F15" s="591">
        <v>7.8</v>
      </c>
      <c r="G15" s="591"/>
      <c r="H15" s="597">
        <f t="shared" si="2"/>
        <v>6718</v>
      </c>
      <c r="I15" s="509">
        <f t="shared" si="3"/>
        <v>0</v>
      </c>
      <c r="J15" s="488">
        <v>0.29166666666666669</v>
      </c>
      <c r="L15" s="99">
        <f t="shared" si="0"/>
        <v>44237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" thickBot="1">
      <c r="A16" s="240">
        <f>ELEC!C13</f>
        <v>44238</v>
      </c>
      <c r="B16" s="537">
        <v>2.2000000000000002</v>
      </c>
      <c r="C16" s="591">
        <v>7.8</v>
      </c>
      <c r="D16" s="591"/>
      <c r="E16" s="591">
        <v>1.5</v>
      </c>
      <c r="F16" s="591">
        <v>7.8</v>
      </c>
      <c r="G16" s="591"/>
      <c r="H16" s="597">
        <f t="shared" si="2"/>
        <v>6718</v>
      </c>
      <c r="I16" s="509">
        <f t="shared" si="3"/>
        <v>0</v>
      </c>
      <c r="J16" s="488">
        <v>0.29166666666666669</v>
      </c>
      <c r="L16" s="99">
        <f t="shared" si="0"/>
        <v>44238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" thickBot="1">
      <c r="A17" s="240">
        <f>ELEC!C14</f>
        <v>44239</v>
      </c>
      <c r="B17" s="537">
        <v>2.5</v>
      </c>
      <c r="C17" s="537">
        <v>7.8</v>
      </c>
      <c r="D17" s="537"/>
      <c r="E17" s="537">
        <v>2</v>
      </c>
      <c r="F17" s="537">
        <v>7.4</v>
      </c>
      <c r="G17" s="537"/>
      <c r="H17" s="597">
        <f t="shared" si="2"/>
        <v>6718</v>
      </c>
      <c r="I17" s="509">
        <f t="shared" si="3"/>
        <v>0</v>
      </c>
      <c r="J17" s="488">
        <v>0.29166666666666669</v>
      </c>
      <c r="L17" s="99">
        <f t="shared" si="0"/>
        <v>44239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" thickBot="1">
      <c r="A18" s="240">
        <f>ELEC!C15</f>
        <v>44240</v>
      </c>
      <c r="B18" s="537"/>
      <c r="C18" s="592"/>
      <c r="D18" s="170"/>
      <c r="E18" s="170"/>
      <c r="F18" s="170"/>
      <c r="G18" s="537"/>
      <c r="H18" s="597">
        <f t="shared" si="2"/>
        <v>6718</v>
      </c>
      <c r="I18" s="509">
        <f t="shared" si="3"/>
        <v>0</v>
      </c>
      <c r="J18" s="488">
        <v>0.29166666666666669</v>
      </c>
      <c r="L18" s="99">
        <f t="shared" si="0"/>
        <v>44240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" thickBot="1">
      <c r="A19" s="240">
        <f>ELEC!C16</f>
        <v>44241</v>
      </c>
      <c r="B19" s="537"/>
      <c r="C19" s="593"/>
      <c r="D19" s="170"/>
      <c r="E19" s="170"/>
      <c r="F19" s="170"/>
      <c r="G19" s="537"/>
      <c r="H19" s="597">
        <f t="shared" si="2"/>
        <v>6718</v>
      </c>
      <c r="I19" s="509">
        <f t="shared" si="3"/>
        <v>0</v>
      </c>
      <c r="J19" s="488">
        <v>0.29166666666666669</v>
      </c>
      <c r="L19" s="99">
        <f t="shared" si="0"/>
        <v>44241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" thickBot="1">
      <c r="A20" s="240">
        <f>ELEC!C17</f>
        <v>44242</v>
      </c>
      <c r="B20" s="537"/>
      <c r="C20" s="537"/>
      <c r="D20" s="537"/>
      <c r="E20" s="537"/>
      <c r="F20" s="537"/>
      <c r="G20" s="537"/>
      <c r="H20" s="597">
        <f t="shared" si="2"/>
        <v>6718</v>
      </c>
      <c r="I20" s="509">
        <f t="shared" si="3"/>
        <v>0</v>
      </c>
      <c r="J20" s="488">
        <v>0.29166666666666669</v>
      </c>
      <c r="L20" s="99">
        <f t="shared" si="0"/>
        <v>44242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" thickBot="1">
      <c r="A21" s="240">
        <f>ELEC!C18</f>
        <v>44243</v>
      </c>
      <c r="B21" s="537"/>
      <c r="C21" s="594"/>
      <c r="D21" s="170"/>
      <c r="E21" s="170"/>
      <c r="F21" s="170"/>
      <c r="G21" s="537"/>
      <c r="H21" s="597">
        <f t="shared" si="2"/>
        <v>6718</v>
      </c>
      <c r="I21" s="509">
        <f t="shared" si="3"/>
        <v>0</v>
      </c>
      <c r="J21" s="581" t="s">
        <v>415</v>
      </c>
      <c r="L21" s="99">
        <f t="shared" si="0"/>
        <v>44243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" thickBot="1">
      <c r="A22" s="240">
        <f>ELEC!C19</f>
        <v>44244</v>
      </c>
      <c r="B22" s="537"/>
      <c r="C22" s="537"/>
      <c r="D22" s="537"/>
      <c r="E22" s="537"/>
      <c r="F22" s="537"/>
      <c r="G22" s="537"/>
      <c r="H22" s="597">
        <f t="shared" si="2"/>
        <v>6718</v>
      </c>
      <c r="I22" s="509">
        <f t="shared" si="3"/>
        <v>0</v>
      </c>
      <c r="J22" s="488">
        <v>0.29166666666666669</v>
      </c>
      <c r="L22" s="99">
        <f t="shared" si="0"/>
        <v>44244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" thickBot="1">
      <c r="A23" s="240">
        <f>ELEC!C20</f>
        <v>44245</v>
      </c>
      <c r="B23" s="537"/>
      <c r="C23" s="537"/>
      <c r="D23" s="537"/>
      <c r="E23" s="537"/>
      <c r="F23" s="537"/>
      <c r="G23" s="537"/>
      <c r="H23" s="597">
        <f t="shared" si="2"/>
        <v>6718</v>
      </c>
      <c r="I23" s="509">
        <f t="shared" si="3"/>
        <v>0</v>
      </c>
      <c r="J23" s="488">
        <v>0.29166666666666669</v>
      </c>
      <c r="L23" s="99">
        <f t="shared" si="0"/>
        <v>44245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" thickBot="1">
      <c r="A24" s="240">
        <f>ELEC!C21</f>
        <v>44246</v>
      </c>
      <c r="B24" s="537"/>
      <c r="C24" s="600"/>
      <c r="D24" s="170"/>
      <c r="E24" s="170"/>
      <c r="F24" s="170"/>
      <c r="G24" s="170"/>
      <c r="H24" s="597">
        <f t="shared" si="2"/>
        <v>6718</v>
      </c>
      <c r="I24" s="509">
        <f t="shared" si="3"/>
        <v>0</v>
      </c>
      <c r="J24" s="488">
        <v>0.29166666666666702</v>
      </c>
      <c r="L24" s="99">
        <f t="shared" si="0"/>
        <v>44246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" thickBot="1">
      <c r="A25" s="240">
        <f>ELEC!C22</f>
        <v>44247</v>
      </c>
      <c r="B25" s="583"/>
      <c r="C25" s="582"/>
      <c r="D25" s="170"/>
      <c r="E25" s="170"/>
      <c r="F25" s="170"/>
      <c r="G25" s="170"/>
      <c r="H25" s="597">
        <f t="shared" si="2"/>
        <v>6718</v>
      </c>
      <c r="I25" s="509">
        <f t="shared" si="3"/>
        <v>0</v>
      </c>
      <c r="J25" s="488">
        <v>0.29166666666666702</v>
      </c>
      <c r="L25" s="99">
        <f t="shared" si="0"/>
        <v>44247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" thickBot="1">
      <c r="A26" s="240">
        <f>ELEC!C23</f>
        <v>44248</v>
      </c>
      <c r="B26" s="583"/>
      <c r="C26" s="584"/>
      <c r="D26" s="170"/>
      <c r="E26" s="170"/>
      <c r="F26" s="170"/>
      <c r="G26" s="170"/>
      <c r="H26" s="597">
        <f t="shared" si="2"/>
        <v>6718</v>
      </c>
      <c r="I26" s="509">
        <f t="shared" si="3"/>
        <v>0</v>
      </c>
      <c r="J26" s="488">
        <v>0.29166666666666702</v>
      </c>
      <c r="L26" s="99">
        <f t="shared" si="0"/>
        <v>44248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" thickBot="1">
      <c r="A27" s="240">
        <f>ELEC!C24</f>
        <v>44249</v>
      </c>
      <c r="B27" s="170"/>
      <c r="C27" s="170"/>
      <c r="D27" s="170"/>
      <c r="E27" s="170"/>
      <c r="F27" s="170"/>
      <c r="G27" s="170"/>
      <c r="H27" s="597">
        <f t="shared" si="2"/>
        <v>6718</v>
      </c>
      <c r="I27" s="509">
        <f t="shared" si="3"/>
        <v>0</v>
      </c>
      <c r="J27" s="488">
        <v>0.29166666666666702</v>
      </c>
      <c r="L27" s="99">
        <f t="shared" si="0"/>
        <v>44249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" thickBot="1">
      <c r="A28" s="240">
        <f>ELEC!C25</f>
        <v>44250</v>
      </c>
      <c r="B28" s="254"/>
      <c r="C28" s="585"/>
      <c r="D28" s="170"/>
      <c r="E28" s="170"/>
      <c r="F28" s="170"/>
      <c r="G28" s="170"/>
      <c r="H28" s="597">
        <f t="shared" si="2"/>
        <v>6718</v>
      </c>
      <c r="I28" s="509">
        <f t="shared" si="3"/>
        <v>0</v>
      </c>
      <c r="J28" s="489">
        <v>0.29166666666666702</v>
      </c>
      <c r="L28" s="99">
        <f t="shared" si="0"/>
        <v>44250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" thickBot="1">
      <c r="A29" s="240">
        <f>ELEC!C26</f>
        <v>44251</v>
      </c>
      <c r="B29" s="537"/>
      <c r="C29" s="537"/>
      <c r="D29" s="537"/>
      <c r="E29" s="170"/>
      <c r="F29" s="170"/>
      <c r="G29" s="537"/>
      <c r="H29" s="597">
        <f t="shared" si="2"/>
        <v>6718</v>
      </c>
      <c r="I29" s="509">
        <f t="shared" si="3"/>
        <v>0</v>
      </c>
      <c r="J29" s="488">
        <v>0.29166666666666702</v>
      </c>
      <c r="L29" s="99">
        <f t="shared" si="0"/>
        <v>44251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" thickBot="1">
      <c r="A30" s="240">
        <f>ELEC!C27</f>
        <v>44252</v>
      </c>
      <c r="B30" s="509"/>
      <c r="C30" s="509"/>
      <c r="D30" s="170"/>
      <c r="E30" s="170"/>
      <c r="F30" s="170"/>
      <c r="G30" s="170"/>
      <c r="H30" s="597">
        <f t="shared" si="2"/>
        <v>6718</v>
      </c>
      <c r="I30" s="509">
        <f t="shared" si="3"/>
        <v>0</v>
      </c>
      <c r="J30" s="488">
        <v>0.29166666666666702</v>
      </c>
      <c r="L30" s="99">
        <f t="shared" si="0"/>
        <v>44252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" thickBot="1">
      <c r="A31" s="240">
        <f>ELEC!C28</f>
        <v>44253</v>
      </c>
      <c r="B31" s="254"/>
      <c r="C31" s="538"/>
      <c r="D31" s="170"/>
      <c r="E31" s="170"/>
      <c r="F31" s="170"/>
      <c r="G31" s="170"/>
      <c r="H31" s="597">
        <f t="shared" si="2"/>
        <v>6718</v>
      </c>
      <c r="I31" s="509">
        <f t="shared" si="3"/>
        <v>0</v>
      </c>
      <c r="J31" s="488">
        <v>0.29166666666666702</v>
      </c>
      <c r="L31" s="99">
        <f t="shared" si="0"/>
        <v>44253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" thickBot="1">
      <c r="A32" s="240">
        <f>ELEC!C29</f>
        <v>44254</v>
      </c>
      <c r="B32" s="509"/>
      <c r="C32" s="509"/>
      <c r="D32" s="509"/>
      <c r="E32" s="509"/>
      <c r="F32" s="509"/>
      <c r="G32" s="509"/>
      <c r="H32" s="597">
        <f t="shared" si="2"/>
        <v>6718</v>
      </c>
      <c r="I32" s="509">
        <f t="shared" si="3"/>
        <v>0</v>
      </c>
      <c r="J32" s="488">
        <v>0.29166666666666702</v>
      </c>
      <c r="L32" s="99">
        <f t="shared" si="0"/>
        <v>44254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>
      <c r="A33" s="240">
        <f>ELEC!C30</f>
        <v>44255</v>
      </c>
      <c r="B33" s="509"/>
      <c r="C33" s="509"/>
      <c r="D33" s="509"/>
      <c r="E33" s="509"/>
      <c r="F33" s="509"/>
      <c r="G33" s="509"/>
      <c r="H33" s="597">
        <f t="shared" si="2"/>
        <v>6718</v>
      </c>
      <c r="I33" s="509">
        <f t="shared" si="3"/>
        <v>0</v>
      </c>
      <c r="J33" s="488">
        <v>0.29166666666666702</v>
      </c>
      <c r="L33" s="99">
        <f t="shared" si="0"/>
        <v>44255</v>
      </c>
      <c r="M33" s="3">
        <f t="shared" si="4"/>
        <v>6555</v>
      </c>
      <c r="N33" s="509">
        <v>645</v>
      </c>
      <c r="O33" s="509">
        <f t="shared" si="1"/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P1" zoomScale="80" zoomScaleNormal="80" workbookViewId="0">
      <selection activeCell="I42" sqref="I42"/>
    </sheetView>
  </sheetViews>
  <sheetFormatPr defaultRowHeight="14.5"/>
  <cols>
    <col min="1" max="1" width="9.1796875" style="104" customWidth="1"/>
    <col min="4" max="4" width="9.1796875" style="10" customWidth="1"/>
    <col min="5" max="5" width="9.1796875" style="104" customWidth="1"/>
    <col min="8" max="8" width="9.1796875" style="10" customWidth="1"/>
    <col min="9" max="9" width="9.1796875" style="104" customWidth="1"/>
    <col min="12" max="12" width="9.1796875" style="10" customWidth="1"/>
    <col min="13" max="13" width="9.1796875" style="104" customWidth="1"/>
    <col min="16" max="16" width="9.1796875" style="10" customWidth="1"/>
    <col min="17" max="17" width="9.1796875" style="104" customWidth="1"/>
    <col min="20" max="20" width="9.1796875" style="10" customWidth="1"/>
    <col min="21" max="21" width="9.1796875" style="104" customWidth="1"/>
    <col min="24" max="24" width="9.1796875" style="10" customWidth="1"/>
  </cols>
  <sheetData>
    <row r="1" spans="1:28" ht="19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409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" thickBot="1">
      <c r="A7" s="695" t="s">
        <v>163</v>
      </c>
      <c r="B7" s="696"/>
      <c r="C7" s="697" t="s">
        <v>164</v>
      </c>
      <c r="D7" s="698"/>
      <c r="E7" s="698"/>
      <c r="F7" s="698"/>
      <c r="G7" s="698"/>
      <c r="H7" s="698"/>
      <c r="I7" s="698"/>
      <c r="J7" s="698"/>
      <c r="K7" s="699"/>
    </row>
    <row r="8" spans="1:28" ht="15.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'[2]Degree Days 2020'!B10</f>
        <v>20</v>
      </c>
      <c r="C10" s="272">
        <f>'[2]Degree Days 2020'!C10</f>
        <v>15</v>
      </c>
      <c r="D10" s="272">
        <f>'[2]Degree Days 2020'!D10</f>
        <v>-0.80000000000000071</v>
      </c>
      <c r="E10" s="272">
        <f>'[10]Degree Days 2020'!E10</f>
        <v>1</v>
      </c>
      <c r="F10" s="272">
        <f>'General information '!B6</f>
        <v>21</v>
      </c>
      <c r="G10" s="272">
        <f>'General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/>
      <c r="K10" s="272"/>
      <c r="L10" s="272">
        <f>(J10+K10)/2-18.3</f>
        <v>-18.3</v>
      </c>
      <c r="M10" s="272">
        <f>'[10]Degree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'[2]Degree Days 2020'!B11</f>
        <v>21</v>
      </c>
      <c r="C11" s="272">
        <f>'[2]Degree Days 2020'!C11</f>
        <v>15</v>
      </c>
      <c r="D11" s="272">
        <f>'[2]Degree Days 2020'!D11</f>
        <v>-0.30000000000000071</v>
      </c>
      <c r="E11" s="272">
        <f>'[10]Degree Days 2020'!E11</f>
        <v>2</v>
      </c>
      <c r="F11" s="272">
        <f>'General information '!B7</f>
        <v>23</v>
      </c>
      <c r="G11" s="272">
        <f>'General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/>
      <c r="K11" s="272"/>
      <c r="L11" s="272">
        <f t="shared" ref="L11:L40" si="1">(J11+K11)/2-18.3</f>
        <v>-18.3</v>
      </c>
      <c r="M11" s="272">
        <f>'[10]Degree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'[2]Degree Days 2020'!B12</f>
        <v>21</v>
      </c>
      <c r="C12" s="272">
        <f>'[2]Degree Days 2020'!C12</f>
        <v>16</v>
      </c>
      <c r="D12" s="272">
        <f>'[2]Degree Days 2020'!D12</f>
        <v>0.19999999999999929</v>
      </c>
      <c r="E12" s="272">
        <f>'[10]Degree Days 2020'!E12</f>
        <v>3</v>
      </c>
      <c r="F12" s="272">
        <f>'General information '!B8</f>
        <v>20</v>
      </c>
      <c r="G12" s="272">
        <f>'General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/>
      <c r="K12" s="272"/>
      <c r="L12" s="272">
        <f t="shared" si="1"/>
        <v>-18.3</v>
      </c>
      <c r="M12" s="272">
        <f>'[10]Degree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'[2]Degree Days 2020'!B13</f>
        <v>22</v>
      </c>
      <c r="C13" s="272">
        <f>'[2]Degree Days 2020'!C13</f>
        <v>15</v>
      </c>
      <c r="D13" s="272">
        <f>'[2]Degree Days 2020'!D13</f>
        <v>0.19999999999999929</v>
      </c>
      <c r="E13" s="272">
        <f>'[10]Degree Days 2020'!E13</f>
        <v>4</v>
      </c>
      <c r="F13" s="272">
        <f>'General information '!B9</f>
        <v>20</v>
      </c>
      <c r="G13" s="272">
        <f>'General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/>
      <c r="K13" s="272"/>
      <c r="L13" s="272">
        <f t="shared" si="1"/>
        <v>-18.3</v>
      </c>
      <c r="M13" s="272">
        <f>'[10]Degree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'[2]Degree Days 2020'!B14</f>
        <v>22</v>
      </c>
      <c r="C14" s="272">
        <f>'[2]Degree Days 2020'!C14</f>
        <v>16</v>
      </c>
      <c r="D14" s="272">
        <f>'[2]Degree Days 2020'!D14</f>
        <v>0.69999999999999929</v>
      </c>
      <c r="E14" s="272">
        <f>'[10]Degree Days 2020'!E14</f>
        <v>5</v>
      </c>
      <c r="F14" s="272">
        <f>'General information '!B10</f>
        <v>20</v>
      </c>
      <c r="G14" s="272">
        <f>'General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/>
      <c r="K14" s="272"/>
      <c r="L14" s="272">
        <f t="shared" si="1"/>
        <v>-18.3</v>
      </c>
      <c r="M14" s="272">
        <f>'[10]Degree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'[2]Degree Days 2020'!B15</f>
        <v>22</v>
      </c>
      <c r="C15" s="272">
        <f>'[2]Degree Days 2020'!C15</f>
        <v>15</v>
      </c>
      <c r="D15" s="272">
        <f>'[2]Degree Days 2020'!D15</f>
        <v>0.19999999999999929</v>
      </c>
      <c r="E15" s="272">
        <f>'[10]Degree Days 2020'!E15</f>
        <v>6</v>
      </c>
      <c r="F15" s="272">
        <f>'General information '!B11</f>
        <v>19</v>
      </c>
      <c r="G15" s="272">
        <f>'General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/>
      <c r="K15" s="272"/>
      <c r="L15" s="272">
        <f t="shared" si="1"/>
        <v>-18.3</v>
      </c>
      <c r="M15" s="272">
        <f>'[10]Degree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'[2]Degree Days 2020'!B16</f>
        <v>20</v>
      </c>
      <c r="C16" s="272">
        <f>'[2]Degree Days 2020'!C16</f>
        <v>14</v>
      </c>
      <c r="D16" s="272">
        <f>'[2]Degree Days 2020'!D16</f>
        <v>-1.3000000000000007</v>
      </c>
      <c r="E16" s="272">
        <f>'[10]Degree Days 2020'!E16</f>
        <v>7</v>
      </c>
      <c r="F16" s="272">
        <f>'General information '!B12</f>
        <v>21</v>
      </c>
      <c r="G16" s="272">
        <f>'General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/>
      <c r="K16" s="272"/>
      <c r="L16" s="272">
        <f t="shared" si="1"/>
        <v>-18.3</v>
      </c>
      <c r="M16" s="272">
        <f>'[10]Degree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'[2]Degree Days 2020'!B17</f>
        <v>21</v>
      </c>
      <c r="C17" s="272">
        <f>'[2]Degree Days 2020'!C17</f>
        <v>14</v>
      </c>
      <c r="D17" s="272">
        <f>'[2]Degree Days 2020'!D17</f>
        <v>-0.80000000000000071</v>
      </c>
      <c r="E17" s="272">
        <f>'[10]Degree Days 2020'!E17</f>
        <v>8</v>
      </c>
      <c r="F17" s="272">
        <f>'General information '!B13</f>
        <v>23</v>
      </c>
      <c r="G17" s="272">
        <f>'General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/>
      <c r="K17" s="272"/>
      <c r="L17" s="272">
        <f t="shared" si="1"/>
        <v>-18.3</v>
      </c>
      <c r="M17" s="272">
        <f>'[10]Degree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'[2]Degree Days 2020'!B18</f>
        <v>22</v>
      </c>
      <c r="C18" s="272">
        <f>'[2]Degree Days 2020'!C18</f>
        <v>15</v>
      </c>
      <c r="D18" s="272">
        <f>'[2]Degree Days 2020'!D18</f>
        <v>0.19999999999999929</v>
      </c>
      <c r="E18" s="272">
        <f>'[10]Degree Days 2020'!E18</f>
        <v>9</v>
      </c>
      <c r="F18" s="272">
        <f>'General information '!B14</f>
        <v>21</v>
      </c>
      <c r="G18" s="272">
        <f>'General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/>
      <c r="K18" s="272"/>
      <c r="L18" s="272">
        <f t="shared" si="1"/>
        <v>-18.3</v>
      </c>
      <c r="M18" s="272">
        <f>'[10]Degree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'[2]Degree Days 2020'!B19</f>
        <v>22</v>
      </c>
      <c r="C19" s="272">
        <f>'[2]Degree Days 2020'!C19</f>
        <v>15</v>
      </c>
      <c r="D19" s="272">
        <f>'[2]Degree Days 2020'!D19</f>
        <v>0.19999999999999929</v>
      </c>
      <c r="E19" s="272">
        <f>'[10]Degree Days 2020'!E19</f>
        <v>10</v>
      </c>
      <c r="F19" s="272">
        <f>'General information '!B15</f>
        <v>19</v>
      </c>
      <c r="G19" s="272">
        <f>'General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/>
      <c r="K19" s="272"/>
      <c r="L19" s="272">
        <f t="shared" si="1"/>
        <v>-18.3</v>
      </c>
      <c r="M19" s="272">
        <f>'[10]Degree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'[2]Degree Days 2020'!B20</f>
        <v>22</v>
      </c>
      <c r="C20" s="272">
        <f>'[2]Degree Days 2020'!C20</f>
        <v>16</v>
      </c>
      <c r="D20" s="272">
        <f>'[2]Degree Days 2020'!D20</f>
        <v>0.69999999999999929</v>
      </c>
      <c r="E20" s="272">
        <f>'[10]Degree Days 2020'!E20</f>
        <v>11</v>
      </c>
      <c r="F20" s="272">
        <f>'General information '!B16</f>
        <v>18</v>
      </c>
      <c r="G20" s="272">
        <f>'General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/>
      <c r="K20" s="272"/>
      <c r="L20" s="272">
        <f t="shared" si="1"/>
        <v>-18.3</v>
      </c>
      <c r="M20" s="272">
        <f>'[10]Degree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'[2]Degree Days 2020'!B21</f>
        <v>24</v>
      </c>
      <c r="C21" s="272">
        <f>'[2]Degree Days 2020'!C21</f>
        <v>13</v>
      </c>
      <c r="D21" s="272">
        <f>'[2]Degree Days 2020'!D21</f>
        <v>0.19999999999999929</v>
      </c>
      <c r="E21" s="272">
        <f>'[10]Degree Days 2020'!E21</f>
        <v>12</v>
      </c>
      <c r="F21" s="272">
        <f>'General information '!B17</f>
        <v>18</v>
      </c>
      <c r="G21" s="272">
        <f>'General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/>
      <c r="K21" s="272"/>
      <c r="L21" s="272">
        <f t="shared" si="1"/>
        <v>-18.3</v>
      </c>
      <c r="M21" s="272">
        <f>'[10]Degree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'[2]Degree Days 2020'!B22</f>
        <v>18</v>
      </c>
      <c r="C22" s="272">
        <f>'[2]Degree Days 2020'!C22</f>
        <v>12</v>
      </c>
      <c r="D22" s="272">
        <f>'[2]Degree Days 2020'!D22</f>
        <v>-3.3000000000000007</v>
      </c>
      <c r="E22" s="272">
        <f>'[10]Degree Days 2020'!E22</f>
        <v>13</v>
      </c>
      <c r="F22" s="272">
        <f>'General information '!B18</f>
        <v>0</v>
      </c>
      <c r="G22" s="272">
        <f>'General information '!C18</f>
        <v>0</v>
      </c>
      <c r="H22" s="272">
        <f t="shared" si="0"/>
        <v>-18.3</v>
      </c>
      <c r="I22" s="272">
        <f>'[8]Degree Days 2018'!I22</f>
        <v>13</v>
      </c>
      <c r="J22" s="272"/>
      <c r="K22" s="272"/>
      <c r="L22" s="272">
        <f t="shared" si="1"/>
        <v>-18.3</v>
      </c>
      <c r="M22" s="272">
        <f>'[10]Degree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'[2]Degree Days 2020'!B23</f>
        <v>17</v>
      </c>
      <c r="C23" s="272">
        <f>'[2]Degree Days 2020'!C23</f>
        <v>12</v>
      </c>
      <c r="D23" s="272">
        <f>'[2]Degree Days 2020'!D23</f>
        <v>-3.8000000000000007</v>
      </c>
      <c r="E23" s="272">
        <f>'[10]Degree Days 2020'!E23</f>
        <v>14</v>
      </c>
      <c r="F23" s="272">
        <f>'General information '!B19</f>
        <v>0</v>
      </c>
      <c r="G23" s="272">
        <f>'General information '!C19</f>
        <v>0</v>
      </c>
      <c r="H23" s="272">
        <f t="shared" si="0"/>
        <v>-18.3</v>
      </c>
      <c r="I23" s="272">
        <f>'[8]Degree Days 2018'!I23</f>
        <v>14</v>
      </c>
      <c r="J23" s="272"/>
      <c r="K23" s="272"/>
      <c r="L23" s="272">
        <f t="shared" si="1"/>
        <v>-18.3</v>
      </c>
      <c r="M23" s="272">
        <f>'[10]Degree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'[2]Degree Days 2020'!B24</f>
        <v>19</v>
      </c>
      <c r="C24" s="272">
        <f>'[2]Degree Days 2020'!C24</f>
        <v>13</v>
      </c>
      <c r="D24" s="272">
        <f>'[2]Degree Days 2020'!D24</f>
        <v>-2.3000000000000007</v>
      </c>
      <c r="E24" s="272">
        <f>'[10]Degree Days 2020'!E24</f>
        <v>15</v>
      </c>
      <c r="F24" s="272">
        <f>'General information '!B20</f>
        <v>0</v>
      </c>
      <c r="G24" s="272">
        <f>'General information '!C20</f>
        <v>0</v>
      </c>
      <c r="H24" s="272">
        <f t="shared" si="0"/>
        <v>-18.3</v>
      </c>
      <c r="I24" s="272">
        <f>'[8]Degree Days 2018'!I24</f>
        <v>15</v>
      </c>
      <c r="J24" s="272"/>
      <c r="K24" s="272"/>
      <c r="L24" s="272">
        <f t="shared" si="1"/>
        <v>-18.3</v>
      </c>
      <c r="M24" s="272">
        <f>'[10]Degree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'[2]Degree Days 2020'!B25</f>
        <v>15</v>
      </c>
      <c r="C25" s="272">
        <f>'[2]Degree Days 2020'!C25</f>
        <v>9</v>
      </c>
      <c r="D25" s="272">
        <f>'[2]Degree Days 2020'!D25</f>
        <v>-6.3000000000000007</v>
      </c>
      <c r="E25" s="272">
        <f>'[10]Degree Days 2020'!E25</f>
        <v>16</v>
      </c>
      <c r="F25" s="272">
        <f>'General information '!B21</f>
        <v>0</v>
      </c>
      <c r="G25" s="272">
        <f>'General information '!C21</f>
        <v>0</v>
      </c>
      <c r="H25" s="272">
        <f t="shared" si="0"/>
        <v>-18.3</v>
      </c>
      <c r="I25" s="272">
        <f>'[8]Degree Days 2018'!I25</f>
        <v>16</v>
      </c>
      <c r="J25" s="272"/>
      <c r="K25" s="272"/>
      <c r="L25" s="272">
        <f t="shared" si="1"/>
        <v>-18.3</v>
      </c>
      <c r="M25" s="272">
        <f>'[10]Degree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'[2]Degree Days 2020'!B26</f>
        <v>15</v>
      </c>
      <c r="C26" s="272">
        <f>'[2]Degree Days 2020'!C26</f>
        <v>12</v>
      </c>
      <c r="D26" s="272">
        <f>'[2]Degree Days 2020'!D26</f>
        <v>-4.8000000000000007</v>
      </c>
      <c r="E26" s="272">
        <f>'[10]Degree Days 2020'!E26</f>
        <v>17</v>
      </c>
      <c r="F26" s="272">
        <f>'General information '!B22</f>
        <v>0</v>
      </c>
      <c r="G26" s="272">
        <f>'General information '!C22</f>
        <v>0</v>
      </c>
      <c r="H26" s="272">
        <f t="shared" si="0"/>
        <v>-18.3</v>
      </c>
      <c r="I26" s="272">
        <f>'[8]Degree Days 2018'!I26</f>
        <v>17</v>
      </c>
      <c r="J26" s="272"/>
      <c r="K26" s="272"/>
      <c r="L26" s="272">
        <f t="shared" si="1"/>
        <v>-18.3</v>
      </c>
      <c r="M26" s="272">
        <f>'[10]Degree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'[2]Degree Days 2020'!B27</f>
        <v>14</v>
      </c>
      <c r="C27" s="272">
        <f>'[2]Degree Days 2020'!C27</f>
        <v>8</v>
      </c>
      <c r="D27" s="272">
        <f>'[2]Degree Days 2020'!D27</f>
        <v>-7.3000000000000007</v>
      </c>
      <c r="E27" s="272">
        <f>'[10]Degree Days 2020'!E27</f>
        <v>18</v>
      </c>
      <c r="F27" s="272">
        <f>'General information '!B23</f>
        <v>0</v>
      </c>
      <c r="G27" s="272">
        <f>'General information '!C23</f>
        <v>0</v>
      </c>
      <c r="H27" s="272">
        <f t="shared" si="0"/>
        <v>-18.3</v>
      </c>
      <c r="I27" s="272">
        <f>'[8]Degree Days 2018'!I27</f>
        <v>18</v>
      </c>
      <c r="J27" s="272"/>
      <c r="K27" s="272"/>
      <c r="L27" s="272">
        <f t="shared" si="1"/>
        <v>-18.3</v>
      </c>
      <c r="M27" s="272">
        <f>'[10]Degree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'[2]Degree Days 2020'!B28</f>
        <v>17</v>
      </c>
      <c r="C28" s="272">
        <f>'[2]Degree Days 2020'!C28</f>
        <v>10</v>
      </c>
      <c r="D28" s="272">
        <f>'[2]Degree Days 2020'!D28</f>
        <v>-4.8000000000000007</v>
      </c>
      <c r="E28" s="272">
        <f>'[10]Degree Days 2020'!E28</f>
        <v>19</v>
      </c>
      <c r="F28" s="272">
        <f>'General information '!B24</f>
        <v>0</v>
      </c>
      <c r="G28" s="272">
        <f>'General information '!C24</f>
        <v>0</v>
      </c>
      <c r="H28" s="272">
        <f t="shared" si="0"/>
        <v>-18.3</v>
      </c>
      <c r="I28" s="272">
        <f>'[8]Degree Days 2018'!I28</f>
        <v>19</v>
      </c>
      <c r="J28" s="272"/>
      <c r="K28" s="272"/>
      <c r="L28" s="272">
        <f t="shared" si="1"/>
        <v>-18.3</v>
      </c>
      <c r="M28" s="272">
        <f>'[10]Degree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'[2]Degree Days 2020'!B29</f>
        <v>17</v>
      </c>
      <c r="C29" s="272">
        <f>'[2]Degree Days 2020'!C29</f>
        <v>10</v>
      </c>
      <c r="D29" s="272">
        <f>'[2]Degree Days 2020'!D29</f>
        <v>-4.8000000000000007</v>
      </c>
      <c r="E29" s="272">
        <f>'[10]Degree Days 2020'!E29</f>
        <v>20</v>
      </c>
      <c r="F29" s="272">
        <f>'General information '!B25</f>
        <v>0</v>
      </c>
      <c r="G29" s="272">
        <f>'General information '!C25</f>
        <v>0</v>
      </c>
      <c r="H29" s="272">
        <f t="shared" si="0"/>
        <v>-18.3</v>
      </c>
      <c r="I29" s="272">
        <f>'[8]Degree Days 2018'!I29</f>
        <v>20</v>
      </c>
      <c r="J29" s="272"/>
      <c r="K29" s="272"/>
      <c r="L29" s="272">
        <f t="shared" si="1"/>
        <v>-18.3</v>
      </c>
      <c r="M29" s="272">
        <f>'[10]Degree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'[2]Degree Days 2020'!B30</f>
        <v>16</v>
      </c>
      <c r="C30" s="272">
        <f>'[2]Degree Days 2020'!C30</f>
        <v>9</v>
      </c>
      <c r="D30" s="272">
        <f>'[2]Degree Days 2020'!D30</f>
        <v>-5.8000000000000007</v>
      </c>
      <c r="E30" s="272">
        <f>'[10]Degree Days 2020'!E30</f>
        <v>21</v>
      </c>
      <c r="F30" s="272">
        <f>'General information '!B26</f>
        <v>0</v>
      </c>
      <c r="G30" s="272">
        <f>'General information '!C26</f>
        <v>0</v>
      </c>
      <c r="H30" s="272">
        <f t="shared" si="0"/>
        <v>-18.3</v>
      </c>
      <c r="I30" s="272">
        <f>'[8]Degree Days 2018'!I30</f>
        <v>21</v>
      </c>
      <c r="J30" s="272"/>
      <c r="K30" s="272"/>
      <c r="L30" s="272">
        <f t="shared" si="1"/>
        <v>-18.3</v>
      </c>
      <c r="M30" s="272">
        <f>'[10]Degree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'[2]Degree Days 2020'!B31</f>
        <v>17</v>
      </c>
      <c r="C31" s="272">
        <f>'[2]Degree Days 2020'!C31</f>
        <v>10</v>
      </c>
      <c r="D31" s="272">
        <f>'[2]Degree Days 2020'!D31</f>
        <v>-4.8000000000000007</v>
      </c>
      <c r="E31" s="272">
        <f>'[10]Degree Days 2020'!E31</f>
        <v>22</v>
      </c>
      <c r="F31" s="272">
        <f>'General information '!B27</f>
        <v>0</v>
      </c>
      <c r="G31" s="272">
        <f>'General information '!C27</f>
        <v>0</v>
      </c>
      <c r="H31" s="272">
        <f t="shared" si="0"/>
        <v>-18.3</v>
      </c>
      <c r="I31" s="272">
        <f>'[8]Degree Days 2018'!I31</f>
        <v>22</v>
      </c>
      <c r="J31" s="272"/>
      <c r="K31" s="272"/>
      <c r="L31" s="272">
        <f t="shared" si="1"/>
        <v>-18.3</v>
      </c>
      <c r="M31" s="272">
        <f>'[10]Degree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'[2]Degree Days 2020'!B32</f>
        <v>18</v>
      </c>
      <c r="C32" s="272">
        <f>'[2]Degree Days 2020'!C32</f>
        <v>12</v>
      </c>
      <c r="D32" s="272">
        <f>'[2]Degree Days 2020'!D32</f>
        <v>-3.3000000000000007</v>
      </c>
      <c r="E32" s="272">
        <f>'[10]Degree Days 2020'!E32</f>
        <v>23</v>
      </c>
      <c r="F32" s="272">
        <f>'General information '!B28</f>
        <v>0</v>
      </c>
      <c r="G32" s="272">
        <f>'General information '!C28</f>
        <v>0</v>
      </c>
      <c r="H32" s="272">
        <f t="shared" si="0"/>
        <v>-18.3</v>
      </c>
      <c r="I32" s="272">
        <f>'[8]Degree Days 2018'!I32</f>
        <v>23</v>
      </c>
      <c r="J32" s="272"/>
      <c r="K32" s="272"/>
      <c r="L32" s="272">
        <f t="shared" si="1"/>
        <v>-18.3</v>
      </c>
      <c r="M32" s="272">
        <f>'[10]Degree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'[2]Degree Days 2020'!B33</f>
        <v>17</v>
      </c>
      <c r="C33" s="272">
        <f>'[2]Degree Days 2020'!C33</f>
        <v>11</v>
      </c>
      <c r="D33" s="272">
        <f>'[2]Degree Days 2020'!D33</f>
        <v>-4.3000000000000007</v>
      </c>
      <c r="E33" s="272">
        <f>'[10]Degree Days 2020'!E33</f>
        <v>24</v>
      </c>
      <c r="F33" s="272">
        <f>'General information '!B29</f>
        <v>0</v>
      </c>
      <c r="G33" s="272">
        <f>'General information '!C29</f>
        <v>0</v>
      </c>
      <c r="H33" s="272">
        <f t="shared" si="0"/>
        <v>-18.3</v>
      </c>
      <c r="I33" s="272">
        <f>'[8]Degree Days 2018'!I33</f>
        <v>24</v>
      </c>
      <c r="J33" s="272"/>
      <c r="K33" s="272"/>
      <c r="L33" s="272">
        <f t="shared" si="1"/>
        <v>-18.3</v>
      </c>
      <c r="M33" s="272">
        <f>'[10]Degree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'[2]Degree Days 2020'!B34</f>
        <v>21</v>
      </c>
      <c r="C34" s="272">
        <f>'[2]Degree Days 2020'!C34</f>
        <v>12</v>
      </c>
      <c r="D34" s="272">
        <f>'[2]Degree Days 2020'!D34</f>
        <v>-1.8000000000000007</v>
      </c>
      <c r="E34" s="272">
        <f>'[10]Degree Days 2020'!E34</f>
        <v>25</v>
      </c>
      <c r="F34" s="272">
        <f>'General information '!B30</f>
        <v>0</v>
      </c>
      <c r="G34" s="272">
        <f>'General information '!C30</f>
        <v>0</v>
      </c>
      <c r="H34" s="272">
        <f t="shared" si="0"/>
        <v>-18.3</v>
      </c>
      <c r="I34" s="272">
        <f>'[8]Degree Days 2018'!I34</f>
        <v>25</v>
      </c>
      <c r="J34" s="272"/>
      <c r="K34" s="272"/>
      <c r="L34" s="272">
        <f t="shared" si="1"/>
        <v>-18.3</v>
      </c>
      <c r="M34" s="272">
        <f>'[10]Degree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'[2]Degree Days 2020'!B35</f>
        <v>18</v>
      </c>
      <c r="C35" s="272">
        <f>'[2]Degree Days 2020'!C35</f>
        <v>11</v>
      </c>
      <c r="D35" s="272">
        <f>'[2]Degree Days 2020'!D35</f>
        <v>-3.8000000000000007</v>
      </c>
      <c r="E35" s="272">
        <f>'[10]Degree Days 2020'!E35</f>
        <v>26</v>
      </c>
      <c r="F35" s="272">
        <f>'General information '!B31</f>
        <v>0</v>
      </c>
      <c r="G35" s="272">
        <f>'General information '!C31</f>
        <v>0</v>
      </c>
      <c r="H35" s="272">
        <f t="shared" si="0"/>
        <v>-18.3</v>
      </c>
      <c r="I35" s="272">
        <f>'[8]Degree Days 2018'!I35</f>
        <v>26</v>
      </c>
      <c r="J35" s="272"/>
      <c r="K35" s="272"/>
      <c r="L35" s="272">
        <f t="shared" si="1"/>
        <v>-18.3</v>
      </c>
      <c r="M35" s="272">
        <f>'[10]Degree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'[2]Degree Days 2020'!B36</f>
        <v>14</v>
      </c>
      <c r="C36" s="272">
        <f>'[2]Degree Days 2020'!C36</f>
        <v>10</v>
      </c>
      <c r="D36" s="272">
        <f>'[2]Degree Days 2020'!D36</f>
        <v>-6.3000000000000007</v>
      </c>
      <c r="E36" s="272">
        <f>'[10]Degree Days 2020'!E36</f>
        <v>27</v>
      </c>
      <c r="F36" s="272">
        <f>'General information '!B32</f>
        <v>0</v>
      </c>
      <c r="G36" s="272">
        <f>'General information '!C32</f>
        <v>0</v>
      </c>
      <c r="H36" s="272">
        <f t="shared" si="0"/>
        <v>-18.3</v>
      </c>
      <c r="I36" s="272">
        <f>'[8]Degree Days 2018'!I36</f>
        <v>27</v>
      </c>
      <c r="J36" s="272"/>
      <c r="K36" s="272"/>
      <c r="L36" s="272">
        <f t="shared" si="1"/>
        <v>-18.3</v>
      </c>
      <c r="M36" s="272">
        <f>'[10]Degree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'[2]Degree Days 2020'!B37</f>
        <v>14</v>
      </c>
      <c r="C37" s="272">
        <f>'[2]Degree Days 2020'!C37</f>
        <v>10</v>
      </c>
      <c r="D37" s="272">
        <f>'[2]Degree Days 2020'!D37</f>
        <v>-6.3000000000000007</v>
      </c>
      <c r="E37" s="272">
        <f>'[10]Degree Days 2020'!E37</f>
        <v>28</v>
      </c>
      <c r="F37" s="272">
        <f>'General information '!B33</f>
        <v>0</v>
      </c>
      <c r="G37" s="272">
        <f>'General information '!C33</f>
        <v>0</v>
      </c>
      <c r="H37" s="272">
        <f t="shared" si="0"/>
        <v>-18.3</v>
      </c>
      <c r="I37" s="272">
        <f>'[8]Degree Days 2018'!I37</f>
        <v>28</v>
      </c>
      <c r="J37" s="272"/>
      <c r="K37" s="272"/>
      <c r="L37" s="272">
        <f t="shared" si="1"/>
        <v>-18.3</v>
      </c>
      <c r="M37" s="272">
        <f>'[10]Degree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'[2]Degree Days 2020'!B38</f>
        <v>16</v>
      </c>
      <c r="C38" s="272">
        <f>'[2]Degree Days 2020'!C38</f>
        <v>12</v>
      </c>
      <c r="D38" s="272">
        <f>'[2]Degree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/>
      <c r="K38" s="272"/>
      <c r="L38" s="272">
        <f t="shared" si="1"/>
        <v>-18.3</v>
      </c>
      <c r="M38" s="272">
        <f>'[10]Degree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'[2]Degree Days 2020'!B39</f>
        <v>10</v>
      </c>
      <c r="C39" s="272">
        <f>'[2]Degree Days 2020'!C39</f>
        <v>4</v>
      </c>
      <c r="D39" s="272">
        <f>'[2]Degree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/>
      <c r="K39" s="272"/>
      <c r="L39" s="272">
        <f t="shared" si="1"/>
        <v>-18.3</v>
      </c>
      <c r="M39" s="272">
        <f>'[10]Degree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'[2]Degree Days 2020'!B40</f>
        <v>21</v>
      </c>
      <c r="C40" s="272">
        <f>'[2]Degree Days 2020'!C40</f>
        <v>16</v>
      </c>
      <c r="D40" s="272">
        <f>'[2]Degree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/>
      <c r="K40" s="272"/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19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'[2]Degree Days 2020'!B43</f>
        <v>-92.59999999999998</v>
      </c>
      <c r="C43" s="119">
        <f>'[2]Degree Days 2020'!C43</f>
        <v>2.7999999999999936</v>
      </c>
      <c r="D43" s="130"/>
      <c r="E43" s="129"/>
      <c r="F43" s="119">
        <f>SUMIF(H10:H37,"&lt;0")</f>
        <v>-303.90000000000009</v>
      </c>
      <c r="G43" s="119">
        <f>SUMIF(H10:H37,"&gt;0")</f>
        <v>6.4999999999999964</v>
      </c>
      <c r="H43" s="130"/>
      <c r="I43" s="129"/>
      <c r="J43" s="119">
        <f>SUMIF(L10:L37,"&lt;0")</f>
        <v>-512.4000000000002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1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19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" thickBot="1">
      <c r="D83" s="134"/>
      <c r="L83" s="134"/>
      <c r="P83" s="134"/>
      <c r="T83" s="134"/>
      <c r="X83" s="134"/>
    </row>
    <row r="84" spans="1:24">
      <c r="D84" s="134"/>
      <c r="L84" s="134"/>
      <c r="N84" s="700" t="s">
        <v>174</v>
      </c>
      <c r="O84" s="700" t="s">
        <v>175</v>
      </c>
      <c r="P84" s="134"/>
      <c r="T84" s="134"/>
      <c r="X84" s="134"/>
    </row>
    <row r="85" spans="1:24" ht="20" thickBot="1">
      <c r="D85" s="134"/>
      <c r="I85" s="702" t="s">
        <v>182</v>
      </c>
      <c r="J85" s="703"/>
      <c r="K85" s="703"/>
      <c r="L85" s="703"/>
      <c r="N85" s="701"/>
      <c r="O85" s="701"/>
      <c r="P85" s="134"/>
      <c r="R85" s="17"/>
      <c r="S85" s="17"/>
      <c r="T85" s="140"/>
      <c r="U85" s="141"/>
      <c r="X85" s="134"/>
    </row>
    <row r="86" spans="1:24" ht="18" thickBot="1">
      <c r="D86" s="134"/>
      <c r="I86" s="704" t="s">
        <v>183</v>
      </c>
      <c r="J86" s="704"/>
      <c r="K86" s="704"/>
      <c r="L86" s="704"/>
      <c r="N86" s="142">
        <f>B43+F43+J43+N43+R43+V43+B81+F81+J81+N81+R81+V81</f>
        <v>-5813.300000000002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7.5">
      <c r="D87" s="134"/>
      <c r="L87" s="134"/>
      <c r="P87" s="134"/>
      <c r="R87" s="143"/>
      <c r="S87" s="143"/>
      <c r="T87" s="146"/>
      <c r="U87" s="145"/>
      <c r="X87" s="134"/>
    </row>
    <row r="88" spans="1:24" ht="15.5"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4"/>
      <c r="N88" s="694"/>
      <c r="O88" s="694"/>
      <c r="P88" s="694"/>
      <c r="Q88" s="694"/>
      <c r="R88" s="694"/>
      <c r="S88" s="694"/>
      <c r="T88" s="694"/>
      <c r="U88" s="694"/>
      <c r="V88" s="694"/>
      <c r="W88" s="69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4" workbookViewId="0">
      <pane xSplit="1" topLeftCell="B1" activePane="topRight" state="frozen"/>
      <selection pane="topRight" activeCell="H20" sqref="H20"/>
    </sheetView>
  </sheetViews>
  <sheetFormatPr defaultRowHeight="14.5"/>
  <cols>
    <col min="1" max="1" width="14.81640625" customWidth="1"/>
    <col min="2" max="2" width="12.26953125" bestFit="1" customWidth="1"/>
    <col min="3" max="3" width="9" bestFit="1" customWidth="1"/>
    <col min="4" max="4" width="17.7265625" bestFit="1" customWidth="1"/>
    <col min="5" max="5" width="15" bestFit="1" customWidth="1"/>
    <col min="6" max="6" width="14.7265625" style="174" customWidth="1"/>
    <col min="7" max="7" width="16.7265625" bestFit="1" customWidth="1"/>
    <col min="8" max="8" width="16" customWidth="1"/>
    <col min="9" max="9" width="16" bestFit="1" customWidth="1"/>
    <col min="10" max="10" width="15.26953125" bestFit="1" customWidth="1"/>
    <col min="11" max="11" width="16.1796875" bestFit="1" customWidth="1"/>
    <col min="12" max="12" width="10.54296875" bestFit="1" customWidth="1"/>
    <col min="14" max="14" width="15.26953125" bestFit="1" customWidth="1"/>
    <col min="15" max="15" width="10.5429687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3">
        <v>44197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log'!A32</f>
        <v>12</v>
      </c>
      <c r="G4" s="195">
        <v>28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WATER!C34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80">
        <v>0</v>
      </c>
      <c r="J6" s="276"/>
    </row>
    <row r="7" spans="1:11">
      <c r="A7" s="184" t="s">
        <v>218</v>
      </c>
      <c r="B7" s="350">
        <f>WATER!H34</f>
        <v>0</v>
      </c>
      <c r="C7" s="184">
        <v>8200</v>
      </c>
      <c r="D7" s="187">
        <f>SUM(C7)*D4</f>
        <v>12361500</v>
      </c>
      <c r="E7" s="185">
        <f>SUM(I7/G4)</f>
        <v>292.85714285714283</v>
      </c>
      <c r="F7" s="185">
        <f>SUM(E7*F4)</f>
        <v>3514.2857142857138</v>
      </c>
      <c r="G7" s="510">
        <v>8200</v>
      </c>
      <c r="H7" s="189">
        <f>'[12]Budget 2021'!$C$15</f>
        <v>8200</v>
      </c>
      <c r="I7" s="185">
        <f>H7</f>
        <v>8200</v>
      </c>
      <c r="J7" s="276"/>
    </row>
    <row r="8" spans="1:11">
      <c r="A8" s="190" t="s">
        <v>219</v>
      </c>
      <c r="B8" s="351">
        <f>tanks!AT34</f>
        <v>7850.1</v>
      </c>
      <c r="C8" s="493">
        <f>SUM(tanks!AU34)</f>
        <v>0.38700000000000001</v>
      </c>
      <c r="D8" s="191">
        <f>SUM(B8*C8)*D4</f>
        <v>4579767.9652500004</v>
      </c>
      <c r="E8" s="192">
        <f>SUM(D8/D4/F4)</f>
        <v>253.16572500000004</v>
      </c>
      <c r="F8" s="192">
        <f>SUM(E8*F4)</f>
        <v>3037.9887000000003</v>
      </c>
      <c r="G8" s="510">
        <f>E8*$F$4</f>
        <v>3037.9887000000003</v>
      </c>
      <c r="H8" s="189">
        <f>'[12]Budget 2021'!$C$14</f>
        <v>28095.438387096758</v>
      </c>
      <c r="I8" s="192">
        <f>H8</f>
        <v>28095.438387096758</v>
      </c>
      <c r="J8" s="276"/>
    </row>
    <row r="9" spans="1:11">
      <c r="A9" s="2" t="s">
        <v>414</v>
      </c>
      <c r="B9" s="352">
        <f>'B5'!AV33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log'!AB31)</f>
        <v>6862012.4285714291</v>
      </c>
      <c r="E10" s="182">
        <f>SUM(D10/D4/F4)</f>
        <v>379.32628129195297</v>
      </c>
      <c r="F10" s="182">
        <f>SUM(E10*F4)</f>
        <v>4551.9153755034358</v>
      </c>
      <c r="G10" s="510">
        <f>E10*$G$4</f>
        <v>10621.135876174683</v>
      </c>
      <c r="H10" s="189">
        <f>'[12]Budget 2021'!$C$12</f>
        <v>19000</v>
      </c>
      <c r="I10" s="278">
        <f>H10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925.34914914909587</v>
      </c>
      <c r="F12" s="180">
        <f>SUM(F6:F10)</f>
        <v>11104.18978978915</v>
      </c>
      <c r="G12" s="179">
        <f>SUM(G6:G10)</f>
        <v>21859.124576174683</v>
      </c>
      <c r="H12" s="179">
        <f>SUM(H6:H11)</f>
        <v>55295.438387096758</v>
      </c>
      <c r="I12" s="221">
        <f>SUM(I6:I11)</f>
        <v>55295.438387096758</v>
      </c>
      <c r="J12" s="276"/>
    </row>
    <row r="13" spans="1:11" ht="29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2020'!AB19</f>
        <v>0</v>
      </c>
      <c r="C14" s="433">
        <f>'[13]Utility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-33436.313810922074</v>
      </c>
      <c r="I14" s="423">
        <f>SUM(G12-I12)</f>
        <v>-33436.313810922074</v>
      </c>
    </row>
    <row r="15" spans="1:11">
      <c r="A15" s="449" t="s">
        <v>303</v>
      </c>
      <c r="B15" s="97">
        <f>'Degree Days 2020'!AA19</f>
        <v>0</v>
      </c>
      <c r="C15" s="433">
        <f>'[13]Utility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7">
        <f>'General information '!D35</f>
        <v>17.916666666666668</v>
      </c>
      <c r="C16" s="433">
        <f>'[13]Utility Cost '!B16</f>
        <v>14.293103448275861</v>
      </c>
      <c r="D16" s="432"/>
      <c r="E16" s="433">
        <f t="shared" si="0"/>
        <v>3.6235632183908066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'!F34</f>
        <v>0</v>
      </c>
      <c r="C17" s="523">
        <f>'[13]Utility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GEN!Z31</f>
        <v>50</v>
      </c>
      <c r="C18" s="433">
        <f>'[13]Utility Cost '!B18</f>
        <v>115.42000000000007</v>
      </c>
      <c r="D18" s="430">
        <f>'[12]Other Fuel Calculation 2021'!$C$117</f>
        <v>172.73885330486587</v>
      </c>
      <c r="E18" s="525">
        <f t="shared" si="0"/>
        <v>-65.420000000000073</v>
      </c>
      <c r="F18" s="528">
        <f>B18-D18</f>
        <v>-122.73885330486587</v>
      </c>
    </row>
    <row r="19" spans="1:10">
      <c r="A19" s="522" t="s">
        <v>411</v>
      </c>
      <c r="B19" s="520">
        <f>SUM(B18/$F$4)</f>
        <v>4.166666666666667</v>
      </c>
      <c r="C19" s="433">
        <f>'[13]Utility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amjad.abouhassan</cp:lastModifiedBy>
  <cp:lastPrinted>2020-02-18T09:36:23Z</cp:lastPrinted>
  <dcterms:created xsi:type="dcterms:W3CDTF">2015-01-02T09:20:21Z</dcterms:created>
  <dcterms:modified xsi:type="dcterms:W3CDTF">2021-02-13T07:46:36Z</dcterms:modified>
</cp:coreProperties>
</file>