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Separate Data FSH\FSH\"/>
    </mc:Choice>
  </mc:AlternateContent>
  <xr:revisionPtr revIDLastSave="0" documentId="13_ncr:1_{1117CDD3-F7AD-49F7-AA13-128BC17F1EDF}" xr6:coauthVersionLast="36" xr6:coauthVersionMax="36" xr10:uidLastSave="{00000000-0000-0000-0000-000000000000}"/>
  <bookViews>
    <workbookView xWindow="0" yWindow="0" windowWidth="28440" windowHeight="8370" tabRatio="193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P13" i="2" l="1"/>
  <c r="P12" i="2"/>
  <c r="P11" i="2"/>
  <c r="P10" i="2"/>
  <c r="P9" i="2"/>
  <c r="P8" i="2"/>
  <c r="P7" i="2"/>
  <c r="P6" i="2"/>
  <c r="P5" i="2"/>
  <c r="P4" i="2"/>
  <c r="P3" i="2"/>
  <c r="P2" i="2"/>
  <c r="P15" i="2" s="1"/>
  <c r="K15" i="2"/>
  <c r="K13" i="2"/>
  <c r="K12" i="2"/>
  <c r="K11" i="2"/>
  <c r="K10" i="2"/>
  <c r="K9" i="2"/>
  <c r="K8" i="2"/>
  <c r="K7" i="2"/>
  <c r="K6" i="2"/>
  <c r="K5" i="2"/>
  <c r="K4" i="2"/>
  <c r="K3" i="2"/>
  <c r="K2" i="2"/>
  <c r="F13" i="2"/>
  <c r="F12" i="2"/>
  <c r="F11" i="2"/>
  <c r="F10" i="2"/>
  <c r="F9" i="2"/>
  <c r="F8" i="2"/>
  <c r="F7" i="2"/>
  <c r="F6" i="2"/>
  <c r="F5" i="2"/>
  <c r="F4" i="2"/>
  <c r="F3" i="2"/>
  <c r="F15" i="2" s="1"/>
  <c r="F2" i="2"/>
  <c r="S15" i="2"/>
  <c r="R15" i="2"/>
  <c r="O15" i="2"/>
  <c r="N15" i="2"/>
  <c r="M15" i="2"/>
  <c r="J15" i="2"/>
  <c r="I15" i="2"/>
  <c r="H15" i="2"/>
  <c r="E15" i="2"/>
  <c r="D15" i="2"/>
  <c r="Q13" i="2"/>
  <c r="L13" i="2"/>
  <c r="G13" i="2"/>
  <c r="Q12" i="2"/>
  <c r="L12" i="2"/>
  <c r="G12" i="2"/>
  <c r="Q11" i="2"/>
  <c r="L11" i="2"/>
  <c r="G11" i="2"/>
  <c r="Q10" i="2"/>
  <c r="L10" i="2"/>
  <c r="G10" i="2"/>
  <c r="Q9" i="2"/>
  <c r="L9" i="2"/>
  <c r="G9" i="2"/>
  <c r="Q8" i="2"/>
  <c r="L8" i="2"/>
  <c r="G8" i="2"/>
  <c r="Q7" i="2"/>
  <c r="L7" i="2"/>
  <c r="G7" i="2"/>
  <c r="Q6" i="2"/>
  <c r="L6" i="2"/>
  <c r="G6" i="2"/>
  <c r="Q5" i="2"/>
  <c r="L5" i="2"/>
  <c r="G5" i="2"/>
  <c r="Q4" i="2"/>
  <c r="L4" i="2"/>
  <c r="G4" i="2"/>
  <c r="Q3" i="2"/>
  <c r="L3" i="2"/>
  <c r="G3" i="2"/>
  <c r="Q2" i="2"/>
  <c r="L2" i="2"/>
  <c r="G2" i="2"/>
  <c r="M15" i="1"/>
  <c r="I15" i="1"/>
  <c r="E15" i="1"/>
  <c r="O15" i="1"/>
  <c r="L15" i="1"/>
  <c r="K15" i="1"/>
  <c r="H15" i="1"/>
  <c r="G15" i="1"/>
  <c r="D15" i="1"/>
  <c r="P15" i="1"/>
  <c r="G15" i="2" l="1"/>
  <c r="Q15" i="2"/>
  <c r="L15" i="2"/>
  <c r="N13" i="1"/>
  <c r="N12" i="1"/>
  <c r="N11" i="1"/>
  <c r="N10" i="1"/>
  <c r="N9" i="1"/>
  <c r="N8" i="1"/>
  <c r="N7" i="1"/>
  <c r="N6" i="1"/>
  <c r="N5" i="1"/>
  <c r="N4" i="1"/>
  <c r="N3" i="1"/>
  <c r="N2" i="1"/>
  <c r="J13" i="1"/>
  <c r="J12" i="1"/>
  <c r="J11" i="1"/>
  <c r="J10" i="1"/>
  <c r="J9" i="1"/>
  <c r="J8" i="1"/>
  <c r="J7" i="1"/>
  <c r="J6" i="1"/>
  <c r="J5" i="1"/>
  <c r="J4" i="1"/>
  <c r="J3" i="1"/>
  <c r="J2" i="1"/>
  <c r="F13" i="1"/>
  <c r="F12" i="1"/>
  <c r="F11" i="1"/>
  <c r="F10" i="1"/>
  <c r="F9" i="1"/>
  <c r="F8" i="1"/>
  <c r="F7" i="1"/>
  <c r="F6" i="1"/>
  <c r="F5" i="1"/>
  <c r="F4" i="1"/>
  <c r="F3" i="1"/>
  <c r="F2" i="1"/>
  <c r="N15" i="1" l="1"/>
  <c r="J15" i="1"/>
  <c r="F15" i="1"/>
</calcChain>
</file>

<file path=xl/sharedStrings.xml><?xml version="1.0" encoding="utf-8"?>
<sst xmlns="http://schemas.openxmlformats.org/spreadsheetml/2006/main" count="60" uniqueCount="19">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</sst>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00"/>
    <numFmt numFmtId="166" formatCode="_(* #,##0_);_(* \(#,##0\);_(* &quot;-&quot;??_);_(@_)"/>
    <numFmt numFmtId="167" formatCode="_(* #,##0.0000_);_(* \(#,##0.0000\);_(* &quot;-&quot;??_);_(@_)"/>
    <numFmt numFmtId="168" formatCode="_(&quot;$&quot;* #,##0_);_(&quot;$&quot;* \(#,##0\);_(&quot;$&quot;* &quot;-&quot;??_);_(@_)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Font="1" applyFill="1"/>
    <xf numFmtId="1" fontId="0" fillId="0" borderId="0" xfId="1" applyNumberFormat="1" applyFont="1" applyAlignment="1">
      <alignment horizontal="center"/>
    </xf>
    <xf numFmtId="3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4" fontId="0" fillId="0" borderId="0" xfId="0" applyNumberFormat="1"/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6" fontId="1" fillId="0" borderId="0" xfId="1" applyNumberFormat="1" applyAlignment="1">
      <alignment horizontal="center"/>
    </xf>
    <xf numFmtId="167" fontId="1" fillId="0" borderId="0" xfId="1" applyNumberFormat="1" applyAlignment="1">
      <alignment horizontal="center"/>
    </xf>
    <xf numFmtId="168" fontId="0" fillId="0" borderId="0" xfId="2" applyNumberFormat="1" applyFont="1" applyAlignment="1">
      <alignment horizontal="center"/>
    </xf>
    <xf numFmtId="165" fontId="0" fillId="0" borderId="0" xfId="3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Font="1" applyFill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" fillId="0" borderId="0" xfId="1" applyNumberFormat="1" applyFont="1" applyAlignment="1">
      <alignment vertical="center"/>
    </xf>
    <xf numFmtId="1" fontId="6" fillId="2" borderId="0" xfId="0" applyNumberFormat="1" applyFont="1" applyFill="1" applyAlignment="1">
      <alignment horizontal="right" wrapText="1"/>
    </xf>
    <xf numFmtId="1" fontId="6" fillId="3" borderId="0" xfId="0" applyNumberFormat="1" applyFont="1" applyFill="1" applyAlignment="1">
      <alignment horizontal="right" wrapText="1"/>
    </xf>
    <xf numFmtId="0" fontId="0" fillId="0" borderId="0" xfId="0" applyNumberForma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"/>
  <sheetViews>
    <sheetView tabSelected="1" zoomScale="115" zoomScaleNormal="115" workbookViewId="0">
      <pane xSplit="3" topLeftCell="O1" activePane="topRight" state="frozen"/>
      <selection pane="topRight" activeCell="Q21" sqref="Q21"/>
    </sheetView>
  </sheetViews>
  <sheetFormatPr defaultColWidth="11.5703125" defaultRowHeight="12.75" x14ac:dyDescent="0.2"/>
  <cols>
    <col min="1" max="1" width="12.42578125" bestFit="1" customWidth="1"/>
    <col min="3" max="3" width="13.42578125" customWidth="1"/>
    <col min="4" max="5" width="12.5703125" style="6" customWidth="1"/>
    <col min="6" max="7" width="15" style="6" bestFit="1" customWidth="1"/>
    <col min="8" max="8" width="14" style="6" bestFit="1" customWidth="1"/>
    <col min="9" max="9" width="12.85546875" style="8" customWidth="1"/>
    <col min="10" max="10" width="14" style="6" bestFit="1" customWidth="1"/>
    <col min="11" max="11" width="15" style="6" bestFit="1" customWidth="1"/>
    <col min="12" max="12" width="12.28515625" style="6" bestFit="1" customWidth="1"/>
    <col min="13" max="13" width="11.85546875" style="6" bestFit="1" customWidth="1"/>
    <col min="14" max="14" width="12.28515625" style="6" bestFit="1" customWidth="1"/>
    <col min="15" max="15" width="14" style="6" bestFit="1" customWidth="1"/>
    <col min="16" max="16" width="12.28515625" style="6" bestFit="1" customWidth="1"/>
  </cols>
  <sheetData>
    <row r="1" spans="1:27" s="2" customFormat="1" ht="5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2" t="s">
        <v>5</v>
      </c>
      <c r="G1" s="12" t="s">
        <v>6</v>
      </c>
      <c r="H1" s="4" t="s">
        <v>7</v>
      </c>
      <c r="I1" s="5" t="s">
        <v>8</v>
      </c>
      <c r="J1" s="12" t="s">
        <v>9</v>
      </c>
      <c r="K1" s="12" t="s">
        <v>10</v>
      </c>
      <c r="L1" s="4" t="s">
        <v>11</v>
      </c>
      <c r="M1" s="4" t="s">
        <v>12</v>
      </c>
      <c r="N1" s="12" t="s">
        <v>13</v>
      </c>
      <c r="O1" s="12" t="s">
        <v>14</v>
      </c>
      <c r="P1" s="4" t="s">
        <v>15</v>
      </c>
      <c r="Q1" s="4" t="s">
        <v>16</v>
      </c>
      <c r="R1" s="3" t="s">
        <v>17</v>
      </c>
    </row>
    <row r="2" spans="1:27" x14ac:dyDescent="0.2">
      <c r="A2" t="s">
        <v>18</v>
      </c>
      <c r="B2" s="23">
        <v>1</v>
      </c>
      <c r="C2" s="23">
        <v>2019</v>
      </c>
      <c r="D2" s="24">
        <v>1171990</v>
      </c>
      <c r="E2" s="21">
        <v>1.2108993677420457</v>
      </c>
      <c r="F2" s="25">
        <f>G2/E2</f>
        <v>1212754.7830323381</v>
      </c>
      <c r="G2" s="26">
        <v>1468524</v>
      </c>
      <c r="H2" s="27">
        <v>134547.08624708626</v>
      </c>
      <c r="I2" s="22">
        <v>9.1303940075224297</v>
      </c>
      <c r="J2" s="25">
        <f>K2/I2</f>
        <v>164646.23528420134</v>
      </c>
      <c r="K2" s="28">
        <v>1503285</v>
      </c>
      <c r="L2" s="24">
        <v>22951.61</v>
      </c>
      <c r="M2" s="21">
        <v>8.277648496118573</v>
      </c>
      <c r="N2" s="25">
        <f>O2/M2</f>
        <v>26677.86631717307</v>
      </c>
      <c r="O2" s="28">
        <v>220830</v>
      </c>
      <c r="P2" s="29">
        <v>10317</v>
      </c>
      <c r="Q2" s="31">
        <v>42587</v>
      </c>
      <c r="R2">
        <v>0.13</v>
      </c>
    </row>
    <row r="3" spans="1:27" x14ac:dyDescent="0.2">
      <c r="A3" t="s">
        <v>18</v>
      </c>
      <c r="B3" s="23">
        <v>2</v>
      </c>
      <c r="C3" s="23">
        <v>2019</v>
      </c>
      <c r="D3" s="24">
        <v>1060720</v>
      </c>
      <c r="E3" s="22">
        <v>1.2238404668527039</v>
      </c>
      <c r="F3" s="25">
        <f t="shared" ref="F3:F13" si="0">G3/E3</f>
        <v>1086121.9546190912</v>
      </c>
      <c r="G3" s="26">
        <v>1329240</v>
      </c>
      <c r="H3" s="27">
        <v>106100.90650090651</v>
      </c>
      <c r="I3" s="22">
        <v>8.8942684951700883</v>
      </c>
      <c r="J3" s="25">
        <f t="shared" ref="J3:J13" si="1">K3/I3</f>
        <v>148160.80723396238</v>
      </c>
      <c r="K3" s="28">
        <v>1317782</v>
      </c>
      <c r="L3" s="24">
        <v>18903.419999999998</v>
      </c>
      <c r="M3" s="22">
        <v>8.2674748802068621</v>
      </c>
      <c r="N3" s="25">
        <f t="shared" ref="N3:N13" si="2">O3/M3</f>
        <v>20813.368349260047</v>
      </c>
      <c r="O3" s="28">
        <v>172074</v>
      </c>
      <c r="P3" s="29">
        <v>9156</v>
      </c>
      <c r="Q3" s="31">
        <v>41497</v>
      </c>
      <c r="R3">
        <v>0.13</v>
      </c>
      <c r="S3" s="11"/>
      <c r="T3" s="11"/>
      <c r="U3" s="14"/>
      <c r="V3" s="14"/>
    </row>
    <row r="4" spans="1:27" x14ac:dyDescent="0.2">
      <c r="A4" t="s">
        <v>18</v>
      </c>
      <c r="B4" s="23">
        <v>3</v>
      </c>
      <c r="C4" s="23">
        <v>2019</v>
      </c>
      <c r="D4" s="24">
        <v>1254261</v>
      </c>
      <c r="E4" s="22">
        <v>1.2216865708173976</v>
      </c>
      <c r="F4" s="25">
        <f t="shared" si="0"/>
        <v>1235251.3615585612</v>
      </c>
      <c r="G4" s="26">
        <v>1509090</v>
      </c>
      <c r="H4" s="27">
        <v>122954.57135457135</v>
      </c>
      <c r="I4" s="22">
        <v>9.0389559148235747</v>
      </c>
      <c r="J4" s="25">
        <f t="shared" si="1"/>
        <v>150016.77326207721</v>
      </c>
      <c r="K4" s="28">
        <v>1355995</v>
      </c>
      <c r="L4" s="24">
        <v>21619.77</v>
      </c>
      <c r="M4" s="22">
        <v>8.2960887187976553</v>
      </c>
      <c r="N4" s="25">
        <f t="shared" si="2"/>
        <v>20680.106712367055</v>
      </c>
      <c r="O4" s="28">
        <v>171564</v>
      </c>
      <c r="P4" s="29">
        <v>11008</v>
      </c>
      <c r="Q4" s="31">
        <v>66624</v>
      </c>
      <c r="R4" s="14">
        <v>0.13</v>
      </c>
      <c r="S4" s="14"/>
      <c r="T4" s="14"/>
      <c r="U4" s="14"/>
      <c r="V4" s="14"/>
      <c r="W4" s="14"/>
    </row>
    <row r="5" spans="1:27" x14ac:dyDescent="0.2">
      <c r="A5" t="s">
        <v>18</v>
      </c>
      <c r="B5" s="23">
        <v>4</v>
      </c>
      <c r="C5" s="23">
        <v>2019</v>
      </c>
      <c r="D5" s="24">
        <v>1303667</v>
      </c>
      <c r="E5" s="22">
        <v>1.2333358672114889</v>
      </c>
      <c r="F5" s="25">
        <f t="shared" si="0"/>
        <v>1321226.4747349436</v>
      </c>
      <c r="G5" s="26">
        <v>1629516</v>
      </c>
      <c r="H5" s="27">
        <v>104014.24501424501</v>
      </c>
      <c r="I5" s="22">
        <v>8.7396960856227235</v>
      </c>
      <c r="J5" s="25">
        <f t="shared" si="1"/>
        <v>127540.59055139072</v>
      </c>
      <c r="K5" s="28">
        <v>1114666</v>
      </c>
      <c r="L5" s="24">
        <v>21034.36</v>
      </c>
      <c r="M5" s="22">
        <v>8.2589377570793694</v>
      </c>
      <c r="N5" s="25">
        <f t="shared" si="2"/>
        <v>22378.664839987825</v>
      </c>
      <c r="O5" s="28">
        <v>184824</v>
      </c>
      <c r="P5" s="29">
        <v>9748</v>
      </c>
      <c r="Q5" s="31">
        <v>47092</v>
      </c>
      <c r="R5" s="14">
        <v>0.13</v>
      </c>
      <c r="S5" s="14"/>
      <c r="T5" s="14"/>
      <c r="U5" s="14"/>
      <c r="V5" s="14"/>
      <c r="W5" s="14"/>
      <c r="X5" s="14"/>
    </row>
    <row r="6" spans="1:27" x14ac:dyDescent="0.2">
      <c r="A6" t="s">
        <v>18</v>
      </c>
      <c r="B6" s="23">
        <v>5</v>
      </c>
      <c r="C6" s="23">
        <v>2019</v>
      </c>
      <c r="D6" s="24">
        <v>1422461</v>
      </c>
      <c r="E6" s="22">
        <v>1.2002554305531048</v>
      </c>
      <c r="F6" s="25">
        <f t="shared" si="0"/>
        <v>1464043.3654944852</v>
      </c>
      <c r="G6" s="26">
        <v>1757226</v>
      </c>
      <c r="H6" s="27">
        <v>106579.33177933178</v>
      </c>
      <c r="I6" s="22">
        <v>8.905522526310877</v>
      </c>
      <c r="J6" s="25">
        <f t="shared" si="1"/>
        <v>122609.6499979684</v>
      </c>
      <c r="K6" s="28">
        <v>1091903</v>
      </c>
      <c r="L6" s="24">
        <v>20208.39</v>
      </c>
      <c r="M6" s="22">
        <v>8.2851924373985266</v>
      </c>
      <c r="N6" s="25">
        <f t="shared" si="2"/>
        <v>21225.336807652609</v>
      </c>
      <c r="O6" s="28">
        <v>175856</v>
      </c>
      <c r="P6" s="29">
        <v>9626</v>
      </c>
      <c r="Q6" s="31">
        <v>54973</v>
      </c>
      <c r="R6" s="14">
        <v>0.13</v>
      </c>
      <c r="S6" s="14"/>
      <c r="T6" s="14"/>
      <c r="U6" s="14"/>
      <c r="V6" s="14"/>
      <c r="W6" s="14"/>
      <c r="X6" s="14"/>
      <c r="Y6" s="14"/>
    </row>
    <row r="7" spans="1:27" x14ac:dyDescent="0.2">
      <c r="A7" t="s">
        <v>18</v>
      </c>
      <c r="B7" s="23">
        <v>6</v>
      </c>
      <c r="C7" s="23">
        <v>2019</v>
      </c>
      <c r="D7" s="24">
        <v>1539073</v>
      </c>
      <c r="E7" s="22">
        <v>1.1825772981528491</v>
      </c>
      <c r="F7" s="25">
        <f t="shared" si="0"/>
        <v>1604013.5414089677</v>
      </c>
      <c r="G7" s="26">
        <v>1896870</v>
      </c>
      <c r="H7" s="27">
        <v>97703.004403004408</v>
      </c>
      <c r="I7" s="22">
        <v>8.8064360482812525</v>
      </c>
      <c r="J7" s="25">
        <f t="shared" si="1"/>
        <v>114889.72320391363</v>
      </c>
      <c r="K7" s="28">
        <v>1011769</v>
      </c>
      <c r="L7" s="24">
        <v>19898.59</v>
      </c>
      <c r="M7" s="22">
        <v>8.255626654953943</v>
      </c>
      <c r="N7" s="25">
        <f t="shared" si="2"/>
        <v>20816.5905730337</v>
      </c>
      <c r="O7" s="28">
        <v>171854</v>
      </c>
      <c r="P7" s="29">
        <v>8522</v>
      </c>
      <c r="Q7" s="31">
        <v>49664</v>
      </c>
      <c r="R7" s="14">
        <v>0.13</v>
      </c>
      <c r="S7" s="14"/>
      <c r="T7" s="14"/>
      <c r="U7" s="14"/>
      <c r="V7" s="14"/>
      <c r="W7" s="14"/>
      <c r="X7" s="14"/>
      <c r="Y7" s="14"/>
      <c r="Z7" s="14"/>
      <c r="AA7" s="14"/>
    </row>
    <row r="8" spans="1:27" x14ac:dyDescent="0.2">
      <c r="A8" t="s">
        <v>18</v>
      </c>
      <c r="B8" s="23">
        <v>7</v>
      </c>
      <c r="C8" s="23">
        <v>2019</v>
      </c>
      <c r="D8" s="24">
        <v>1604484</v>
      </c>
      <c r="E8" s="22">
        <v>1.2026298735294336</v>
      </c>
      <c r="F8" s="25">
        <f t="shared" si="0"/>
        <v>1653157.0051268493</v>
      </c>
      <c r="G8" s="26">
        <v>1988136</v>
      </c>
      <c r="H8" s="27">
        <v>93803.470603470603</v>
      </c>
      <c r="I8" s="22">
        <v>8.6917030335318373</v>
      </c>
      <c r="J8" s="25">
        <f t="shared" si="1"/>
        <v>115493.8216512092</v>
      </c>
      <c r="K8" s="28">
        <v>1003838</v>
      </c>
      <c r="L8" s="24">
        <v>19887.349999999999</v>
      </c>
      <c r="M8" s="22">
        <v>8.2453941827342518</v>
      </c>
      <c r="N8" s="25">
        <f t="shared" si="2"/>
        <v>21265.93296984785</v>
      </c>
      <c r="O8" s="28">
        <v>175346</v>
      </c>
      <c r="P8" s="30">
        <v>8185</v>
      </c>
      <c r="Q8" s="31">
        <v>40619</v>
      </c>
      <c r="R8" s="14">
        <v>0.13</v>
      </c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">
      <c r="A9" t="s">
        <v>18</v>
      </c>
      <c r="B9" s="23">
        <v>8</v>
      </c>
      <c r="C9" s="23">
        <v>2019</v>
      </c>
      <c r="D9" s="24">
        <v>1528310</v>
      </c>
      <c r="E9" s="22">
        <v>1.2128999679384418</v>
      </c>
      <c r="F9" s="25">
        <f t="shared" si="0"/>
        <v>1650345.4966713234</v>
      </c>
      <c r="G9" s="26">
        <v>2001704</v>
      </c>
      <c r="H9" s="27">
        <v>96354.156954156962</v>
      </c>
      <c r="I9" s="22">
        <v>8.7553042511841994</v>
      </c>
      <c r="J9" s="25">
        <f t="shared" si="1"/>
        <v>106384.53824994368</v>
      </c>
      <c r="K9" s="28">
        <v>931429</v>
      </c>
      <c r="L9" s="24">
        <v>17350.919999999998</v>
      </c>
      <c r="M9" s="22">
        <v>8.2884014219418933</v>
      </c>
      <c r="N9" s="25">
        <f t="shared" si="2"/>
        <v>22212.968536080483</v>
      </c>
      <c r="O9" s="28">
        <v>184110</v>
      </c>
      <c r="P9" s="29">
        <v>5426</v>
      </c>
      <c r="Q9" s="31">
        <v>41624</v>
      </c>
      <c r="R9" s="14">
        <v>0.13</v>
      </c>
      <c r="S9" s="14"/>
      <c r="T9" s="14"/>
      <c r="U9" s="14"/>
      <c r="V9" s="14"/>
      <c r="W9" s="14"/>
      <c r="X9" s="14"/>
      <c r="Y9" s="14"/>
      <c r="Z9" s="14"/>
      <c r="AA9" s="14"/>
    </row>
    <row r="10" spans="1:27" x14ac:dyDescent="0.2">
      <c r="A10" t="s">
        <v>18</v>
      </c>
      <c r="B10" s="23">
        <v>9</v>
      </c>
      <c r="C10" s="23">
        <v>2019</v>
      </c>
      <c r="D10" s="24">
        <v>1389431</v>
      </c>
      <c r="E10" s="22">
        <v>1.1664311218045373</v>
      </c>
      <c r="F10" s="25">
        <f t="shared" si="0"/>
        <v>1652121.5560664097</v>
      </c>
      <c r="G10" s="26">
        <v>1927086</v>
      </c>
      <c r="H10" s="27">
        <v>90443.615643615645</v>
      </c>
      <c r="I10" s="22">
        <v>8.6016001733663074</v>
      </c>
      <c r="J10" s="25">
        <f t="shared" si="1"/>
        <v>122815.98524784298</v>
      </c>
      <c r="K10" s="28">
        <v>1056414</v>
      </c>
      <c r="L10" s="24">
        <v>18727.78</v>
      </c>
      <c r="M10" s="22">
        <v>8.2515316818117252</v>
      </c>
      <c r="N10" s="25">
        <f t="shared" si="2"/>
        <v>22683.06142634897</v>
      </c>
      <c r="O10" s="28">
        <v>187170</v>
      </c>
      <c r="P10" s="29">
        <v>6931</v>
      </c>
      <c r="Q10" s="31">
        <v>44870</v>
      </c>
      <c r="R10" s="14">
        <v>0.13</v>
      </c>
    </row>
    <row r="11" spans="1:27" x14ac:dyDescent="0.2">
      <c r="A11" t="s">
        <v>18</v>
      </c>
      <c r="B11" s="23">
        <v>10</v>
      </c>
      <c r="C11" s="23">
        <v>2019</v>
      </c>
      <c r="D11" s="24">
        <v>1409613</v>
      </c>
      <c r="E11" s="21">
        <v>1.1733000901665918</v>
      </c>
      <c r="F11" s="25">
        <f t="shared" si="0"/>
        <v>1536998.0920601045</v>
      </c>
      <c r="G11" s="26">
        <v>1803360</v>
      </c>
      <c r="H11" s="27">
        <v>95121.419321419322</v>
      </c>
      <c r="I11" s="22">
        <v>8.675072406264924</v>
      </c>
      <c r="J11" s="25">
        <f t="shared" si="1"/>
        <v>124127.37895102194</v>
      </c>
      <c r="K11" s="28">
        <v>1076814</v>
      </c>
      <c r="L11" s="24">
        <v>18772.66</v>
      </c>
      <c r="M11" s="21">
        <v>8.2782365418646044</v>
      </c>
      <c r="N11" s="25">
        <f t="shared" si="2"/>
        <v>22659.173732398518</v>
      </c>
      <c r="O11" s="28">
        <v>187578</v>
      </c>
      <c r="P11" s="29">
        <v>8524</v>
      </c>
      <c r="Q11" s="31">
        <v>45997</v>
      </c>
      <c r="R11" s="14">
        <v>0.13</v>
      </c>
    </row>
    <row r="12" spans="1:27" x14ac:dyDescent="0.2">
      <c r="A12" t="s">
        <v>18</v>
      </c>
      <c r="B12" s="23">
        <v>11</v>
      </c>
      <c r="C12" s="23">
        <v>2019</v>
      </c>
      <c r="D12" s="24">
        <v>1191467</v>
      </c>
      <c r="E12" s="21">
        <v>1.1620593688285112</v>
      </c>
      <c r="F12" s="25">
        <f t="shared" si="0"/>
        <v>1368766.5558804406</v>
      </c>
      <c r="G12" s="26">
        <v>1590588</v>
      </c>
      <c r="H12" s="27">
        <v>105876.40507640508</v>
      </c>
      <c r="I12" s="22">
        <v>9.0048647695582655</v>
      </c>
      <c r="J12" s="25">
        <f t="shared" si="1"/>
        <v>130614.0658520624</v>
      </c>
      <c r="K12" s="28">
        <v>1176162</v>
      </c>
      <c r="L12" s="24">
        <v>18697.150000000001</v>
      </c>
      <c r="M12" s="21">
        <v>8.3159198059597319</v>
      </c>
      <c r="N12" s="25">
        <f t="shared" si="2"/>
        <v>21280.868999382572</v>
      </c>
      <c r="O12" s="28">
        <v>176970</v>
      </c>
      <c r="P12" s="29">
        <v>7595</v>
      </c>
      <c r="Q12" s="31">
        <v>51034</v>
      </c>
      <c r="R12" s="14">
        <v>0.13</v>
      </c>
    </row>
    <row r="13" spans="1:27" x14ac:dyDescent="0.2">
      <c r="A13" t="s">
        <v>18</v>
      </c>
      <c r="B13" s="23">
        <v>12</v>
      </c>
      <c r="C13" s="23">
        <v>2019</v>
      </c>
      <c r="D13" s="24">
        <v>1195379</v>
      </c>
      <c r="E13" s="22">
        <v>1.1498447354353725</v>
      </c>
      <c r="F13" s="25">
        <f t="shared" si="0"/>
        <v>1449482.6550377128</v>
      </c>
      <c r="G13" s="26">
        <v>1666680</v>
      </c>
      <c r="H13" s="27">
        <v>113268.99766899768</v>
      </c>
      <c r="I13" s="22">
        <v>8.6968264950897662</v>
      </c>
      <c r="J13" s="25">
        <f t="shared" si="1"/>
        <v>150581.1344792711</v>
      </c>
      <c r="K13" s="28">
        <v>1309578</v>
      </c>
      <c r="L13" s="24">
        <v>19960.650000000001</v>
      </c>
      <c r="M13" s="22">
        <v>8.3372785956369153</v>
      </c>
      <c r="N13" s="25">
        <f t="shared" si="2"/>
        <v>21397.629688584435</v>
      </c>
      <c r="O13" s="28">
        <v>178398</v>
      </c>
      <c r="P13" s="29">
        <v>6264</v>
      </c>
      <c r="Q13" s="31">
        <v>42542</v>
      </c>
      <c r="R13" s="14">
        <v>0.13</v>
      </c>
    </row>
    <row r="14" spans="1:27" x14ac:dyDescent="0.2">
      <c r="B14" s="1"/>
      <c r="C14" s="1"/>
      <c r="D14" s="7"/>
      <c r="E14" s="7"/>
      <c r="F14" s="7"/>
      <c r="G14" s="7"/>
      <c r="H14" s="7"/>
      <c r="I14" s="16"/>
      <c r="J14" s="7"/>
      <c r="K14" s="7"/>
      <c r="L14" s="7"/>
      <c r="M14" s="16"/>
      <c r="N14" s="7"/>
    </row>
    <row r="15" spans="1:27" x14ac:dyDescent="0.2">
      <c r="B15" s="1"/>
      <c r="C15" s="1"/>
      <c r="D15" s="18">
        <f t="shared" ref="D15:O15" si="3">SUM(D2:D14)</f>
        <v>16070856</v>
      </c>
      <c r="E15" s="19">
        <f>AVERAGE(E2:E14)</f>
        <v>1.1949800132527066</v>
      </c>
      <c r="F15" s="18">
        <f t="shared" si="3"/>
        <v>17234282.841691226</v>
      </c>
      <c r="G15" s="18">
        <f t="shared" si="3"/>
        <v>20568020</v>
      </c>
      <c r="H15" s="18">
        <f t="shared" si="3"/>
        <v>1266767.2105672106</v>
      </c>
      <c r="I15" s="19">
        <f>AVERAGE(I2:I14)</f>
        <v>8.8283870172271879</v>
      </c>
      <c r="J15" s="18">
        <f t="shared" si="3"/>
        <v>1577880.7039648648</v>
      </c>
      <c r="K15" s="18">
        <f t="shared" si="3"/>
        <v>13949635</v>
      </c>
      <c r="L15" s="18">
        <f t="shared" si="3"/>
        <v>238012.64999999997</v>
      </c>
      <c r="M15" s="19">
        <f>AVERAGE(M2:M14)</f>
        <v>8.2798109312086723</v>
      </c>
      <c r="N15" s="18">
        <f t="shared" si="3"/>
        <v>264091.56895211706</v>
      </c>
      <c r="O15" s="18">
        <f t="shared" si="3"/>
        <v>2186574</v>
      </c>
      <c r="P15" s="18">
        <f>SUM(P2:P14)</f>
        <v>101302</v>
      </c>
    </row>
    <row r="16" spans="1:27" x14ac:dyDescent="0.2">
      <c r="B16" s="1"/>
      <c r="C16" s="1"/>
      <c r="D16" s="7"/>
      <c r="E16" s="7"/>
      <c r="F16" s="7"/>
      <c r="G16" s="7"/>
      <c r="H16" s="7"/>
      <c r="J16" s="7"/>
      <c r="K16" s="7"/>
      <c r="L16" s="7"/>
      <c r="M16" s="7"/>
      <c r="N16" s="7"/>
    </row>
    <row r="17" spans="2:14" x14ac:dyDescent="0.2">
      <c r="B17" s="1"/>
      <c r="C17" s="1"/>
      <c r="D17" s="7"/>
      <c r="E17" s="7"/>
      <c r="F17" s="7"/>
      <c r="G17" s="7"/>
      <c r="H17" s="7"/>
      <c r="J17" s="7"/>
      <c r="K17" s="7"/>
      <c r="L17" s="7"/>
      <c r="M17" s="7"/>
      <c r="N17" s="7"/>
    </row>
    <row r="18" spans="2:14" x14ac:dyDescent="0.2">
      <c r="B18" s="1"/>
      <c r="C18" s="1"/>
      <c r="D18" s="7"/>
      <c r="E18" s="7"/>
      <c r="F18" s="7"/>
      <c r="G18" s="7"/>
      <c r="H18" s="7"/>
      <c r="J18" s="7"/>
      <c r="K18" s="7"/>
      <c r="L18" s="7"/>
      <c r="M18" s="7"/>
      <c r="N18" s="7"/>
    </row>
    <row r="19" spans="2:14" x14ac:dyDescent="0.2">
      <c r="B19" s="1"/>
      <c r="C19" s="1"/>
      <c r="D19" s="7"/>
      <c r="E19" s="7"/>
      <c r="F19" s="7"/>
      <c r="G19" s="7"/>
      <c r="H19" s="7"/>
      <c r="J19" s="7"/>
      <c r="K19" s="7"/>
      <c r="L19" s="7"/>
      <c r="M19" s="7"/>
      <c r="N19" s="7"/>
    </row>
    <row r="20" spans="2:14" x14ac:dyDescent="0.2">
      <c r="B20" s="1"/>
      <c r="C20" s="1"/>
      <c r="D20" s="7"/>
      <c r="E20" s="7"/>
      <c r="F20" s="7"/>
      <c r="G20" s="7"/>
      <c r="H20" s="7"/>
      <c r="J20" s="7"/>
      <c r="K20" s="7"/>
      <c r="L20" s="7"/>
      <c r="M20" s="7"/>
      <c r="N20" s="7"/>
    </row>
    <row r="21" spans="2:14" x14ac:dyDescent="0.2">
      <c r="B21" s="1"/>
      <c r="C21" s="1"/>
      <c r="D21" s="7"/>
      <c r="E21" s="7"/>
      <c r="F21" s="7"/>
      <c r="G21" s="7"/>
      <c r="H21" s="7"/>
      <c r="J21" s="7"/>
      <c r="K21" s="7"/>
      <c r="L21" s="7"/>
      <c r="M21" s="7"/>
      <c r="N21" s="7"/>
    </row>
    <row r="22" spans="2:14" x14ac:dyDescent="0.2">
      <c r="B22" s="1"/>
      <c r="C22" s="1"/>
      <c r="D22" s="7"/>
      <c r="E22" s="7"/>
      <c r="F22" s="7"/>
      <c r="G22" s="7"/>
      <c r="H22" s="7"/>
      <c r="J22" s="7"/>
      <c r="K22" s="7"/>
      <c r="L22" s="7"/>
      <c r="M22" s="7"/>
      <c r="N22" s="7"/>
    </row>
    <row r="23" spans="2:14" x14ac:dyDescent="0.2">
      <c r="B23" s="1"/>
      <c r="C23" s="1"/>
      <c r="D23" s="7"/>
      <c r="E23" s="7"/>
      <c r="F23" s="7"/>
      <c r="G23" s="7"/>
      <c r="H23" s="7"/>
      <c r="J23" s="7"/>
      <c r="K23" s="7"/>
      <c r="L23" s="7"/>
      <c r="M23" s="7"/>
      <c r="N23" s="7"/>
    </row>
    <row r="24" spans="2:14" x14ac:dyDescent="0.2">
      <c r="B24" s="1"/>
      <c r="C24" s="1"/>
      <c r="D24" s="7"/>
      <c r="E24" s="7"/>
      <c r="F24" s="7"/>
      <c r="G24" s="7"/>
      <c r="H24" s="7"/>
      <c r="J24" s="7"/>
      <c r="K24" s="7"/>
      <c r="L24" s="7"/>
      <c r="M24" s="7"/>
      <c r="N24" s="7"/>
    </row>
    <row r="25" spans="2:14" x14ac:dyDescent="0.2">
      <c r="B25" s="1"/>
      <c r="C25" s="1"/>
      <c r="D25" s="7"/>
      <c r="E25" s="7"/>
      <c r="F25" s="7"/>
      <c r="G25" s="7"/>
      <c r="H25" s="7"/>
      <c r="J25" s="7"/>
      <c r="K25" s="7"/>
      <c r="L25" s="7"/>
      <c r="M25" s="7"/>
      <c r="N25" s="7"/>
    </row>
    <row r="26" spans="2:14" x14ac:dyDescent="0.2">
      <c r="B26" s="1"/>
      <c r="C26" s="1"/>
      <c r="D26" s="7"/>
      <c r="E26" s="7"/>
      <c r="F26" s="7"/>
      <c r="G26" s="7"/>
      <c r="H26" s="7"/>
      <c r="J26" s="7"/>
      <c r="K26" s="7"/>
      <c r="L26" s="7"/>
      <c r="M26" s="7"/>
      <c r="N26" s="7"/>
    </row>
    <row r="27" spans="2:14" x14ac:dyDescent="0.2">
      <c r="B27" s="1"/>
      <c r="C27" s="1"/>
      <c r="D27" s="7"/>
      <c r="E27" s="7"/>
      <c r="F27" s="7"/>
      <c r="G27" s="7"/>
      <c r="H27" s="7"/>
      <c r="J27" s="7"/>
      <c r="K27" s="7"/>
      <c r="L27" s="7"/>
      <c r="M27" s="7"/>
      <c r="N27" s="7"/>
    </row>
    <row r="28" spans="2:14" x14ac:dyDescent="0.2">
      <c r="B28" s="1"/>
      <c r="C28" s="1"/>
      <c r="D28" s="7"/>
      <c r="E28" s="7"/>
      <c r="F28" s="7"/>
      <c r="G28" s="7"/>
      <c r="H28" s="7"/>
      <c r="J28" s="7"/>
      <c r="K28" s="7"/>
      <c r="L28" s="7"/>
      <c r="M28" s="7"/>
      <c r="N28" s="7"/>
    </row>
    <row r="29" spans="2:14" x14ac:dyDescent="0.2">
      <c r="B29" s="1"/>
      <c r="C29" s="1"/>
      <c r="D29" s="7"/>
      <c r="E29" s="7"/>
      <c r="F29" s="7"/>
      <c r="G29" s="7"/>
      <c r="H29" s="7"/>
      <c r="J29" s="7"/>
      <c r="K29" s="7"/>
      <c r="L29" s="7"/>
      <c r="M29" s="7"/>
      <c r="N29" s="7"/>
    </row>
    <row r="30" spans="2:14" x14ac:dyDescent="0.2">
      <c r="B30" s="1"/>
      <c r="C30" s="1"/>
      <c r="D30" s="7"/>
      <c r="E30" s="7"/>
      <c r="F30" s="7"/>
      <c r="G30" s="7"/>
      <c r="H30" s="7"/>
      <c r="J30" s="7"/>
      <c r="K30" s="7"/>
      <c r="L30" s="7"/>
      <c r="M30" s="7"/>
      <c r="N30" s="7"/>
    </row>
    <row r="31" spans="2:14" x14ac:dyDescent="0.2">
      <c r="B31" s="1"/>
      <c r="C31" s="1"/>
      <c r="D31" s="7"/>
      <c r="E31" s="7"/>
      <c r="F31" s="7"/>
      <c r="G31" s="7"/>
      <c r="H31" s="7"/>
      <c r="J31" s="7"/>
      <c r="K31" s="7"/>
      <c r="L31" s="7"/>
      <c r="M31" s="7"/>
      <c r="N31" s="7"/>
    </row>
    <row r="32" spans="2:14" x14ac:dyDescent="0.2">
      <c r="B32" s="1"/>
      <c r="C32" s="1"/>
      <c r="D32" s="7"/>
      <c r="E32" s="7"/>
      <c r="F32" s="7"/>
      <c r="G32" s="7"/>
      <c r="H32" s="7"/>
      <c r="J32" s="7"/>
      <c r="K32" s="7"/>
      <c r="L32" s="7"/>
      <c r="M32" s="7"/>
      <c r="N32" s="7"/>
    </row>
    <row r="33" spans="2:14" x14ac:dyDescent="0.2">
      <c r="B33" s="1"/>
      <c r="C33" s="1"/>
      <c r="D33" s="7"/>
      <c r="E33" s="7"/>
      <c r="F33" s="7"/>
      <c r="G33" s="7"/>
      <c r="H33" s="7"/>
      <c r="J33" s="7"/>
      <c r="K33" s="7"/>
      <c r="L33" s="7"/>
      <c r="M33" s="7"/>
      <c r="N33" s="7"/>
    </row>
    <row r="34" spans="2:14" x14ac:dyDescent="0.2">
      <c r="B34" s="1"/>
      <c r="C34" s="1"/>
      <c r="D34" s="7"/>
      <c r="E34" s="7"/>
      <c r="F34" s="7"/>
      <c r="G34" s="7"/>
      <c r="H34" s="7"/>
      <c r="J34" s="7"/>
      <c r="K34" s="7"/>
      <c r="L34" s="7"/>
      <c r="M34" s="7"/>
      <c r="N34" s="7"/>
    </row>
    <row r="35" spans="2:14" x14ac:dyDescent="0.2">
      <c r="B35" s="1"/>
      <c r="C35" s="1"/>
      <c r="D35" s="7"/>
      <c r="E35" s="7"/>
      <c r="F35" s="7"/>
      <c r="G35" s="7"/>
      <c r="H35" s="7"/>
      <c r="J35" s="7"/>
      <c r="K35" s="7"/>
      <c r="L35" s="7"/>
      <c r="M35" s="7"/>
      <c r="N35" s="7"/>
    </row>
    <row r="36" spans="2:14" x14ac:dyDescent="0.2">
      <c r="B36" s="1"/>
      <c r="C36" s="1"/>
      <c r="D36" s="7"/>
      <c r="E36" s="7"/>
      <c r="F36" s="7"/>
      <c r="G36" s="7"/>
      <c r="H36" s="7"/>
      <c r="J36" s="7"/>
      <c r="K36" s="7"/>
      <c r="L36" s="7"/>
      <c r="M36" s="7"/>
      <c r="N36" s="7"/>
    </row>
    <row r="37" spans="2:14" x14ac:dyDescent="0.2">
      <c r="B37" s="1"/>
      <c r="C37" s="1"/>
      <c r="D37" s="7"/>
      <c r="E37" s="7"/>
      <c r="F37" s="7"/>
      <c r="G37" s="7"/>
      <c r="H37" s="7"/>
      <c r="J37" s="7"/>
      <c r="K37" s="7"/>
      <c r="L37" s="7"/>
      <c r="M37" s="7"/>
      <c r="N37" s="7"/>
    </row>
    <row r="38" spans="2:14" x14ac:dyDescent="0.2">
      <c r="B38" s="1"/>
      <c r="C38" s="1"/>
      <c r="D38" s="7"/>
      <c r="E38" s="7"/>
      <c r="F38" s="7"/>
      <c r="G38" s="7"/>
      <c r="H38" s="7"/>
      <c r="J38" s="7"/>
      <c r="K38" s="7"/>
      <c r="L38" s="7"/>
      <c r="M38" s="7"/>
      <c r="N38" s="7"/>
    </row>
    <row r="39" spans="2:14" x14ac:dyDescent="0.2">
      <c r="B39" s="1"/>
      <c r="C39" s="1"/>
      <c r="D39" s="7"/>
      <c r="E39" s="7"/>
      <c r="F39" s="7"/>
      <c r="G39" s="7"/>
      <c r="H39" s="7"/>
      <c r="J39" s="7"/>
      <c r="K39" s="7"/>
      <c r="L39" s="7"/>
      <c r="M39" s="7"/>
      <c r="N39" s="7"/>
    </row>
    <row r="40" spans="2:14" x14ac:dyDescent="0.2">
      <c r="B40" s="1"/>
      <c r="C40" s="1"/>
      <c r="D40" s="7"/>
      <c r="E40" s="7"/>
      <c r="F40" s="7"/>
      <c r="G40" s="7"/>
      <c r="H40" s="7"/>
      <c r="J40" s="7"/>
      <c r="K40" s="7"/>
      <c r="L40" s="7"/>
      <c r="M40" s="7"/>
      <c r="N40" s="7"/>
    </row>
    <row r="41" spans="2:14" x14ac:dyDescent="0.2">
      <c r="B41" s="1"/>
      <c r="C41" s="1"/>
      <c r="D41" s="7"/>
      <c r="E41" s="7"/>
      <c r="F41" s="7"/>
      <c r="G41" s="7"/>
      <c r="H41" s="7"/>
      <c r="J41" s="7"/>
      <c r="K41" s="7"/>
      <c r="L41" s="7"/>
      <c r="M41" s="7"/>
      <c r="N41" s="7"/>
    </row>
    <row r="42" spans="2:14" x14ac:dyDescent="0.2">
      <c r="B42" s="1"/>
      <c r="C42" s="1"/>
      <c r="D42" s="7"/>
      <c r="E42" s="7"/>
      <c r="F42" s="7"/>
      <c r="G42" s="7"/>
      <c r="H42" s="7"/>
      <c r="J42" s="7"/>
      <c r="K42" s="7"/>
      <c r="L42" s="7"/>
      <c r="M42" s="7"/>
      <c r="N42" s="7"/>
    </row>
    <row r="43" spans="2:14" x14ac:dyDescent="0.2">
      <c r="B43" s="1"/>
      <c r="C43" s="1"/>
      <c r="D43" s="7"/>
      <c r="E43" s="7"/>
      <c r="F43" s="7"/>
      <c r="G43" s="7"/>
      <c r="H43" s="7"/>
      <c r="J43" s="7"/>
      <c r="K43" s="7"/>
      <c r="L43" s="7"/>
      <c r="M43" s="7"/>
      <c r="N43" s="7"/>
    </row>
    <row r="44" spans="2:14" x14ac:dyDescent="0.2">
      <c r="B44" s="1"/>
      <c r="C44" s="1"/>
      <c r="D44" s="7"/>
      <c r="E44" s="7"/>
      <c r="F44" s="7"/>
      <c r="G44" s="7"/>
      <c r="H44" s="7"/>
      <c r="J44" s="7"/>
      <c r="K44" s="7"/>
      <c r="L44" s="7"/>
      <c r="M44" s="7"/>
      <c r="N44" s="7"/>
    </row>
    <row r="45" spans="2:14" x14ac:dyDescent="0.2">
      <c r="B45" s="1"/>
      <c r="C45" s="1"/>
      <c r="D45" s="7"/>
      <c r="E45" s="7"/>
      <c r="F45" s="7"/>
      <c r="G45" s="7"/>
      <c r="H45" s="7"/>
      <c r="J45" s="7"/>
      <c r="K45" s="7"/>
      <c r="L45" s="7"/>
      <c r="M45" s="7"/>
      <c r="N45" s="7"/>
    </row>
    <row r="46" spans="2:14" x14ac:dyDescent="0.2">
      <c r="B46" s="1"/>
      <c r="C46" s="1"/>
      <c r="D46" s="7"/>
      <c r="E46" s="7"/>
      <c r="F46" s="7"/>
      <c r="G46" s="7"/>
      <c r="H46" s="7"/>
      <c r="J46" s="7"/>
      <c r="K46" s="7"/>
      <c r="L46" s="7"/>
      <c r="M46" s="7"/>
      <c r="N46" s="7"/>
    </row>
    <row r="47" spans="2:14" x14ac:dyDescent="0.2">
      <c r="B47" s="1"/>
      <c r="C47" s="1"/>
      <c r="D47" s="7"/>
      <c r="E47" s="7"/>
      <c r="F47" s="7"/>
      <c r="G47" s="7"/>
      <c r="H47" s="7"/>
      <c r="J47" s="7"/>
      <c r="K47" s="7"/>
      <c r="L47" s="7"/>
      <c r="M47" s="7"/>
      <c r="N47" s="7"/>
    </row>
    <row r="48" spans="2:14" x14ac:dyDescent="0.2">
      <c r="B48" s="1"/>
      <c r="C48" s="1"/>
      <c r="D48" s="7"/>
      <c r="E48" s="7"/>
      <c r="F48" s="7"/>
      <c r="G48" s="7"/>
      <c r="H48" s="7"/>
      <c r="J48" s="7"/>
      <c r="K48" s="7"/>
      <c r="L48" s="7"/>
      <c r="M48" s="7"/>
      <c r="N48" s="7"/>
    </row>
    <row r="49" spans="2:14" x14ac:dyDescent="0.2">
      <c r="B49" s="1"/>
      <c r="C49" s="1"/>
      <c r="D49" s="7"/>
      <c r="E49" s="7"/>
      <c r="F49" s="7"/>
      <c r="G49" s="7"/>
      <c r="H49" s="7"/>
      <c r="J49" s="7"/>
      <c r="K49" s="7"/>
      <c r="L49" s="7"/>
      <c r="M49" s="7"/>
      <c r="N49" s="7"/>
    </row>
    <row r="50" spans="2:14" x14ac:dyDescent="0.2">
      <c r="B50" s="1"/>
      <c r="C50" s="1"/>
      <c r="D50" s="7"/>
      <c r="E50" s="7"/>
      <c r="F50" s="7"/>
      <c r="G50" s="7"/>
      <c r="H50" s="7"/>
      <c r="J50" s="7"/>
      <c r="K50" s="7"/>
      <c r="L50" s="7"/>
      <c r="M50" s="7"/>
      <c r="N50" s="7"/>
    </row>
    <row r="51" spans="2:14" x14ac:dyDescent="0.2">
      <c r="B51" s="1"/>
      <c r="C51" s="1"/>
      <c r="D51" s="7"/>
      <c r="E51" s="7"/>
      <c r="F51" s="7"/>
      <c r="G51" s="7"/>
      <c r="H51" s="7"/>
      <c r="J51" s="7"/>
      <c r="K51" s="7"/>
      <c r="L51" s="7"/>
      <c r="M51" s="7"/>
      <c r="N51" s="7"/>
    </row>
    <row r="52" spans="2:14" x14ac:dyDescent="0.2">
      <c r="B52" s="1"/>
      <c r="C52" s="1"/>
      <c r="D52" s="7"/>
      <c r="E52" s="7"/>
      <c r="F52" s="7"/>
      <c r="G52" s="7"/>
      <c r="H52" s="7"/>
      <c r="J52" s="7"/>
      <c r="K52" s="7"/>
      <c r="L52" s="7"/>
      <c r="M52" s="7"/>
      <c r="N52" s="7"/>
    </row>
    <row r="53" spans="2:14" x14ac:dyDescent="0.2">
      <c r="B53" s="1"/>
      <c r="C53" s="1"/>
      <c r="D53" s="7"/>
      <c r="E53" s="7"/>
      <c r="F53" s="7"/>
      <c r="G53" s="7"/>
      <c r="H53" s="7"/>
      <c r="J53" s="7"/>
      <c r="K53" s="7"/>
      <c r="L53" s="7"/>
      <c r="M53" s="7"/>
      <c r="N53" s="7"/>
    </row>
    <row r="54" spans="2:14" x14ac:dyDescent="0.2">
      <c r="B54" s="1"/>
      <c r="C54" s="1"/>
      <c r="D54" s="7"/>
      <c r="E54" s="7"/>
      <c r="F54" s="7"/>
      <c r="G54" s="7"/>
      <c r="H54" s="7"/>
      <c r="J54" s="7"/>
      <c r="K54" s="7"/>
      <c r="L54" s="7"/>
      <c r="M54" s="7"/>
      <c r="N54" s="7"/>
    </row>
    <row r="55" spans="2:14" x14ac:dyDescent="0.2">
      <c r="B55" s="1"/>
      <c r="C55" s="1"/>
      <c r="D55" s="7"/>
      <c r="E55" s="7"/>
      <c r="F55" s="7"/>
      <c r="G55" s="7"/>
      <c r="H55" s="7"/>
      <c r="J55" s="7"/>
      <c r="K55" s="7"/>
      <c r="L55" s="7"/>
      <c r="M55" s="7"/>
      <c r="N55" s="7"/>
    </row>
    <row r="56" spans="2:14" x14ac:dyDescent="0.2">
      <c r="B56" s="1"/>
      <c r="C56" s="1"/>
      <c r="D56" s="7"/>
      <c r="E56" s="7"/>
      <c r="F56" s="7"/>
      <c r="G56" s="7"/>
      <c r="H56" s="7"/>
      <c r="J56" s="7"/>
      <c r="K56" s="7"/>
      <c r="L56" s="7"/>
      <c r="M56" s="7"/>
      <c r="N56" s="7"/>
    </row>
    <row r="57" spans="2:14" x14ac:dyDescent="0.2">
      <c r="B57" s="1"/>
      <c r="C57" s="1"/>
      <c r="D57" s="7"/>
      <c r="E57" s="7"/>
      <c r="F57" s="7"/>
      <c r="G57" s="7"/>
      <c r="H57" s="7"/>
      <c r="J57" s="7"/>
      <c r="K57" s="7"/>
      <c r="L57" s="7"/>
      <c r="M57" s="7"/>
      <c r="N57" s="7"/>
    </row>
    <row r="58" spans="2:14" x14ac:dyDescent="0.2">
      <c r="B58" s="1"/>
      <c r="C58" s="1"/>
      <c r="D58" s="7"/>
      <c r="E58" s="7"/>
      <c r="F58" s="7"/>
      <c r="G58" s="7"/>
      <c r="H58" s="7"/>
      <c r="J58" s="7"/>
      <c r="K58" s="7"/>
      <c r="L58" s="7"/>
      <c r="M58" s="7"/>
      <c r="N58" s="7"/>
    </row>
    <row r="59" spans="2:14" x14ac:dyDescent="0.2">
      <c r="B59" s="1"/>
      <c r="C59" s="1"/>
      <c r="D59" s="7"/>
      <c r="E59" s="7"/>
      <c r="F59" s="7"/>
      <c r="G59" s="7"/>
      <c r="H59" s="7"/>
      <c r="J59" s="7"/>
      <c r="K59" s="7"/>
      <c r="L59" s="7"/>
      <c r="M59" s="7"/>
      <c r="N59" s="7"/>
    </row>
    <row r="60" spans="2:14" x14ac:dyDescent="0.2">
      <c r="B60" s="1"/>
      <c r="C60" s="1"/>
      <c r="D60" s="7"/>
      <c r="E60" s="7"/>
      <c r="F60" s="7"/>
      <c r="G60" s="7"/>
      <c r="H60" s="7"/>
      <c r="J60" s="7"/>
      <c r="K60" s="7"/>
      <c r="L60" s="7"/>
      <c r="M60" s="7"/>
      <c r="N60" s="7"/>
    </row>
    <row r="61" spans="2:14" x14ac:dyDescent="0.2">
      <c r="B61" s="1"/>
      <c r="C61" s="1"/>
      <c r="D61" s="7"/>
      <c r="E61" s="7"/>
      <c r="F61" s="7"/>
      <c r="G61" s="7"/>
      <c r="H61" s="7"/>
      <c r="J61" s="7"/>
      <c r="K61" s="7"/>
      <c r="L61" s="7"/>
      <c r="M61" s="7"/>
      <c r="N61" s="7"/>
    </row>
    <row r="62" spans="2:14" x14ac:dyDescent="0.2">
      <c r="B62" s="1"/>
      <c r="C62" s="1"/>
      <c r="D62" s="7"/>
      <c r="E62" s="7"/>
      <c r="F62" s="7"/>
      <c r="G62" s="7"/>
      <c r="H62" s="7"/>
      <c r="J62" s="7"/>
      <c r="K62" s="7"/>
      <c r="L62" s="7"/>
      <c r="M62" s="7"/>
      <c r="N62" s="7"/>
    </row>
    <row r="63" spans="2:14" x14ac:dyDescent="0.2">
      <c r="B63" s="1"/>
      <c r="C63" s="1"/>
      <c r="D63" s="7"/>
      <c r="E63" s="7"/>
      <c r="F63" s="7"/>
      <c r="G63" s="7"/>
      <c r="H63" s="7"/>
      <c r="J63" s="7"/>
      <c r="K63" s="7"/>
      <c r="L63" s="7"/>
      <c r="M63" s="7"/>
      <c r="N63" s="7"/>
    </row>
    <row r="64" spans="2:14" x14ac:dyDescent="0.2">
      <c r="B64" s="1"/>
      <c r="C64" s="1"/>
      <c r="D64" s="7"/>
      <c r="E64" s="7"/>
      <c r="F64" s="7"/>
      <c r="G64" s="7"/>
      <c r="H64" s="7"/>
      <c r="J64" s="7"/>
      <c r="K64" s="7"/>
      <c r="L64" s="7"/>
      <c r="M64" s="7"/>
      <c r="N64" s="7"/>
    </row>
    <row r="65" spans="2:14" x14ac:dyDescent="0.2">
      <c r="B65" s="1"/>
      <c r="C65" s="1"/>
      <c r="D65" s="7"/>
      <c r="E65" s="7"/>
      <c r="F65" s="7"/>
      <c r="G65" s="7"/>
      <c r="H65" s="7"/>
      <c r="J65" s="7"/>
      <c r="K65" s="7"/>
      <c r="L65" s="7"/>
      <c r="M65" s="7"/>
      <c r="N65" s="7"/>
    </row>
    <row r="66" spans="2:14" x14ac:dyDescent="0.2">
      <c r="B66" s="1"/>
      <c r="C66" s="1"/>
      <c r="D66" s="7"/>
      <c r="E66" s="7"/>
      <c r="F66" s="7"/>
      <c r="G66" s="7"/>
      <c r="H66" s="7"/>
      <c r="J66" s="7"/>
      <c r="K66" s="7"/>
      <c r="L66" s="7"/>
      <c r="M66" s="7"/>
      <c r="N66" s="7"/>
    </row>
    <row r="67" spans="2:14" x14ac:dyDescent="0.2">
      <c r="B67" s="1"/>
      <c r="C67" s="1"/>
      <c r="D67" s="7"/>
      <c r="E67" s="7"/>
      <c r="F67" s="7"/>
      <c r="G67" s="7"/>
      <c r="H67" s="7"/>
      <c r="J67" s="7"/>
      <c r="K67" s="7"/>
      <c r="L67" s="7"/>
      <c r="M67" s="7"/>
      <c r="N67" s="7"/>
    </row>
    <row r="68" spans="2:14" x14ac:dyDescent="0.2">
      <c r="B68" s="1"/>
      <c r="C68" s="1"/>
      <c r="D68" s="7"/>
      <c r="E68" s="7"/>
      <c r="F68" s="7"/>
      <c r="G68" s="7"/>
      <c r="H68" s="7"/>
      <c r="J68" s="7"/>
      <c r="K68" s="7"/>
      <c r="L68" s="7"/>
      <c r="M68" s="7"/>
      <c r="N68" s="7"/>
    </row>
    <row r="69" spans="2:14" x14ac:dyDescent="0.2">
      <c r="B69" s="1"/>
      <c r="C69" s="1"/>
      <c r="D69" s="7"/>
      <c r="E69" s="7"/>
      <c r="F69" s="7"/>
      <c r="G69" s="7"/>
      <c r="H69" s="7"/>
      <c r="J69" s="7"/>
      <c r="K69" s="7"/>
      <c r="L69" s="7"/>
      <c r="M69" s="7"/>
      <c r="N69" s="7"/>
    </row>
    <row r="70" spans="2:14" x14ac:dyDescent="0.2">
      <c r="B70" s="1"/>
      <c r="C70" s="1"/>
      <c r="D70" s="7"/>
      <c r="E70" s="7"/>
      <c r="F70" s="7"/>
      <c r="G70" s="7"/>
      <c r="H70" s="7"/>
      <c r="J70" s="7"/>
      <c r="K70" s="7"/>
      <c r="L70" s="7"/>
      <c r="M70" s="7"/>
      <c r="N70" s="7"/>
    </row>
    <row r="71" spans="2:14" x14ac:dyDescent="0.2">
      <c r="B71" s="1"/>
      <c r="C71" s="1"/>
      <c r="D71" s="7"/>
      <c r="E71" s="7"/>
      <c r="F71" s="7"/>
      <c r="G71" s="7"/>
      <c r="H71" s="7"/>
      <c r="J71" s="7"/>
      <c r="K71" s="7"/>
      <c r="L71" s="7"/>
      <c r="M71" s="7"/>
      <c r="N71" s="7"/>
    </row>
    <row r="72" spans="2:14" x14ac:dyDescent="0.2">
      <c r="B72" s="1"/>
      <c r="C72" s="1"/>
      <c r="D72" s="7"/>
      <c r="E72" s="7"/>
      <c r="F72" s="7"/>
      <c r="G72" s="7"/>
      <c r="H72" s="7"/>
      <c r="J72" s="7"/>
      <c r="K72" s="7"/>
      <c r="L72" s="7"/>
      <c r="M72" s="7"/>
      <c r="N72" s="7"/>
    </row>
    <row r="73" spans="2:14" x14ac:dyDescent="0.2">
      <c r="B73" s="1"/>
      <c r="C73" s="1"/>
      <c r="D73" s="7"/>
      <c r="E73" s="7"/>
      <c r="F73" s="7"/>
      <c r="G73" s="7"/>
      <c r="H73" s="7"/>
      <c r="J73" s="7"/>
      <c r="K73" s="7"/>
      <c r="L73" s="7"/>
      <c r="M73" s="7"/>
      <c r="N73" s="7"/>
    </row>
    <row r="74" spans="2:14" x14ac:dyDescent="0.2">
      <c r="B74" s="1"/>
      <c r="C74" s="1"/>
      <c r="D74" s="7"/>
      <c r="E74" s="7"/>
      <c r="F74" s="7"/>
      <c r="G74" s="7"/>
      <c r="H74" s="7"/>
      <c r="J74" s="7"/>
      <c r="K74" s="7"/>
      <c r="L74" s="7"/>
      <c r="M74" s="7"/>
      <c r="N74" s="7"/>
    </row>
    <row r="75" spans="2:14" x14ac:dyDescent="0.2">
      <c r="B75" s="1"/>
      <c r="C75" s="1"/>
      <c r="D75" s="7"/>
      <c r="E75" s="7"/>
      <c r="F75" s="7"/>
      <c r="G75" s="7"/>
      <c r="H75" s="7"/>
      <c r="J75" s="7"/>
      <c r="K75" s="7"/>
      <c r="L75" s="7"/>
      <c r="M75" s="7"/>
      <c r="N75" s="7"/>
    </row>
    <row r="76" spans="2:14" x14ac:dyDescent="0.2">
      <c r="B76" s="1"/>
      <c r="C76" s="1"/>
      <c r="D76" s="7"/>
      <c r="E76" s="7"/>
      <c r="F76" s="7"/>
      <c r="G76" s="7"/>
      <c r="H76" s="7"/>
      <c r="J76" s="7"/>
      <c r="K76" s="7"/>
      <c r="L76" s="7"/>
      <c r="M76" s="7"/>
      <c r="N76" s="7"/>
    </row>
    <row r="77" spans="2:14" x14ac:dyDescent="0.2">
      <c r="B77" s="1"/>
      <c r="C77" s="1"/>
      <c r="D77" s="7"/>
      <c r="E77" s="7"/>
      <c r="F77" s="7"/>
      <c r="G77" s="7"/>
      <c r="H77" s="7"/>
      <c r="J77" s="7"/>
      <c r="K77" s="7"/>
      <c r="L77" s="7"/>
      <c r="M77" s="7"/>
      <c r="N77" s="7"/>
    </row>
    <row r="78" spans="2:14" x14ac:dyDescent="0.2">
      <c r="B78" s="1"/>
      <c r="C78" s="1"/>
      <c r="D78" s="7"/>
      <c r="E78" s="7"/>
      <c r="F78" s="7"/>
      <c r="G78" s="7"/>
      <c r="H78" s="7"/>
      <c r="J78" s="7"/>
      <c r="K78" s="7"/>
      <c r="L78" s="7"/>
      <c r="M78" s="7"/>
      <c r="N78" s="7"/>
    </row>
    <row r="79" spans="2:14" x14ac:dyDescent="0.2">
      <c r="B79" s="1"/>
      <c r="C79" s="1"/>
      <c r="D79" s="7"/>
      <c r="E79" s="7"/>
      <c r="F79" s="7"/>
      <c r="G79" s="7"/>
      <c r="H79" s="7"/>
      <c r="J79" s="7"/>
      <c r="K79" s="7"/>
      <c r="L79" s="7"/>
      <c r="M79" s="7"/>
      <c r="N79" s="7"/>
    </row>
    <row r="80" spans="2:14" x14ac:dyDescent="0.2">
      <c r="B80" s="1"/>
      <c r="C80" s="1"/>
      <c r="D80" s="7"/>
      <c r="E80" s="7"/>
      <c r="F80" s="7"/>
      <c r="G80" s="7"/>
      <c r="H80" s="7"/>
      <c r="J80" s="7"/>
      <c r="K80" s="7"/>
      <c r="L80" s="7"/>
      <c r="M80" s="7"/>
      <c r="N80" s="7"/>
    </row>
    <row r="81" spans="2:14" x14ac:dyDescent="0.2">
      <c r="B81" s="1"/>
      <c r="C81" s="1"/>
      <c r="D81" s="7"/>
      <c r="E81" s="7"/>
      <c r="F81" s="7"/>
      <c r="G81" s="7"/>
      <c r="H81" s="7"/>
      <c r="J81" s="7"/>
      <c r="K81" s="7"/>
      <c r="L81" s="7"/>
      <c r="M81" s="7"/>
      <c r="N81" s="7"/>
    </row>
    <row r="82" spans="2:14" x14ac:dyDescent="0.2">
      <c r="B82" s="1"/>
      <c r="C82" s="1"/>
      <c r="D82" s="7"/>
      <c r="E82" s="7"/>
      <c r="F82" s="7"/>
      <c r="G82" s="7"/>
      <c r="H82" s="7"/>
      <c r="J82" s="7"/>
      <c r="K82" s="7"/>
      <c r="L82" s="7"/>
      <c r="M82" s="7"/>
      <c r="N82" s="7"/>
    </row>
    <row r="83" spans="2:14" x14ac:dyDescent="0.2">
      <c r="B83" s="1"/>
      <c r="C83" s="1"/>
      <c r="D83" s="7"/>
      <c r="E83" s="7"/>
      <c r="F83" s="7"/>
      <c r="G83" s="7"/>
      <c r="H83" s="7"/>
      <c r="J83" s="7"/>
      <c r="K83" s="7"/>
      <c r="L83" s="7"/>
      <c r="M83" s="7"/>
      <c r="N83" s="7"/>
    </row>
    <row r="84" spans="2:14" x14ac:dyDescent="0.2">
      <c r="B84" s="1"/>
      <c r="C84" s="1"/>
      <c r="D84" s="7"/>
      <c r="E84" s="7"/>
      <c r="F84" s="7"/>
      <c r="G84" s="7"/>
      <c r="H84" s="7"/>
      <c r="J84" s="7"/>
      <c r="K84" s="7"/>
      <c r="L84" s="7"/>
      <c r="M84" s="7"/>
      <c r="N84" s="7"/>
    </row>
    <row r="85" spans="2:14" x14ac:dyDescent="0.2">
      <c r="B85" s="1"/>
      <c r="C85" s="1"/>
      <c r="D85" s="7"/>
      <c r="E85" s="7"/>
      <c r="F85" s="7"/>
      <c r="G85" s="7"/>
      <c r="H85" s="7"/>
      <c r="J85" s="7"/>
      <c r="K85" s="7"/>
      <c r="L85" s="7"/>
      <c r="M85" s="7"/>
      <c r="N85" s="7"/>
    </row>
    <row r="86" spans="2:14" x14ac:dyDescent="0.2">
      <c r="B86" s="1"/>
      <c r="C86" s="1"/>
      <c r="D86" s="7"/>
      <c r="E86" s="7"/>
      <c r="F86" s="7"/>
      <c r="G86" s="7"/>
      <c r="H86" s="7"/>
      <c r="J86" s="7"/>
      <c r="K86" s="7"/>
      <c r="L86" s="7"/>
      <c r="M86" s="7"/>
      <c r="N86" s="7"/>
    </row>
    <row r="87" spans="2:14" x14ac:dyDescent="0.2">
      <c r="B87" s="1"/>
      <c r="C87" s="1"/>
      <c r="D87" s="7"/>
      <c r="E87" s="7"/>
      <c r="F87" s="7"/>
      <c r="G87" s="7"/>
      <c r="H87" s="7"/>
      <c r="J87" s="7"/>
      <c r="K87" s="7"/>
      <c r="L87" s="7"/>
      <c r="M87" s="7"/>
      <c r="N87" s="7"/>
    </row>
    <row r="88" spans="2:14" x14ac:dyDescent="0.2">
      <c r="B88" s="1"/>
      <c r="C88" s="1"/>
      <c r="D88" s="7"/>
      <c r="E88" s="7"/>
      <c r="F88" s="7"/>
      <c r="G88" s="7"/>
      <c r="H88" s="7"/>
      <c r="J88" s="7"/>
      <c r="K88" s="7"/>
      <c r="L88" s="7"/>
      <c r="M88" s="7"/>
      <c r="N88" s="7"/>
    </row>
    <row r="89" spans="2:14" x14ac:dyDescent="0.2">
      <c r="B89" s="1"/>
      <c r="C89" s="1"/>
      <c r="D89" s="7"/>
      <c r="E89" s="7"/>
      <c r="F89" s="7"/>
      <c r="G89" s="7"/>
      <c r="H89" s="7"/>
      <c r="J89" s="7"/>
      <c r="K89" s="7"/>
      <c r="L89" s="7"/>
      <c r="M89" s="7"/>
      <c r="N89" s="7"/>
    </row>
    <row r="90" spans="2:14" x14ac:dyDescent="0.2">
      <c r="B90" s="1"/>
      <c r="C90" s="1"/>
      <c r="D90" s="7"/>
      <c r="E90" s="7"/>
      <c r="F90" s="7"/>
      <c r="G90" s="7"/>
      <c r="H90" s="7"/>
      <c r="J90" s="7"/>
      <c r="K90" s="7"/>
      <c r="L90" s="7"/>
      <c r="M90" s="7"/>
      <c r="N90" s="7"/>
    </row>
    <row r="91" spans="2:14" x14ac:dyDescent="0.2">
      <c r="B91" s="1"/>
      <c r="C91" s="1"/>
      <c r="D91" s="7"/>
      <c r="E91" s="7"/>
      <c r="F91" s="7"/>
      <c r="G91" s="7"/>
      <c r="H91" s="7"/>
      <c r="J91" s="7"/>
      <c r="K91" s="7"/>
      <c r="L91" s="7"/>
      <c r="M91" s="7"/>
      <c r="N91" s="7"/>
    </row>
    <row r="92" spans="2:14" x14ac:dyDescent="0.2">
      <c r="B92" s="1"/>
      <c r="C92" s="1"/>
      <c r="D92" s="7"/>
      <c r="E92" s="7"/>
      <c r="F92" s="7"/>
      <c r="G92" s="7"/>
      <c r="H92" s="7"/>
      <c r="J92" s="7"/>
      <c r="K92" s="7"/>
      <c r="L92" s="7"/>
      <c r="M92" s="7"/>
      <c r="N92" s="7"/>
    </row>
    <row r="93" spans="2:14" x14ac:dyDescent="0.2">
      <c r="B93" s="1"/>
      <c r="C93" s="1"/>
      <c r="D93" s="7"/>
      <c r="E93" s="7"/>
      <c r="F93" s="7"/>
      <c r="G93" s="7"/>
      <c r="H93" s="7"/>
      <c r="J93" s="7"/>
      <c r="K93" s="7"/>
      <c r="L93" s="7"/>
      <c r="M93" s="7"/>
      <c r="N93" s="7"/>
    </row>
    <row r="94" spans="2:14" x14ac:dyDescent="0.2">
      <c r="B94" s="1"/>
      <c r="C94" s="1"/>
      <c r="D94" s="7"/>
      <c r="E94" s="7"/>
      <c r="F94" s="7"/>
      <c r="G94" s="7"/>
      <c r="H94" s="7"/>
      <c r="J94" s="7"/>
      <c r="K94" s="7"/>
      <c r="L94" s="7"/>
      <c r="M94" s="7"/>
      <c r="N94" s="7"/>
    </row>
    <row r="95" spans="2:14" x14ac:dyDescent="0.2">
      <c r="B95" s="1"/>
      <c r="C95" s="1"/>
      <c r="D95" s="7"/>
      <c r="E95" s="7"/>
      <c r="F95" s="7"/>
      <c r="G95" s="7"/>
      <c r="H95" s="7"/>
      <c r="J95" s="7"/>
      <c r="K95" s="7"/>
      <c r="L95" s="7"/>
      <c r="M95" s="7"/>
      <c r="N95" s="7"/>
    </row>
    <row r="96" spans="2:14" x14ac:dyDescent="0.2">
      <c r="B96" s="1"/>
      <c r="C96" s="1"/>
      <c r="D96" s="7"/>
      <c r="E96" s="7"/>
      <c r="F96" s="7"/>
      <c r="G96" s="7"/>
      <c r="H96" s="7"/>
      <c r="J96" s="7"/>
      <c r="K96" s="7"/>
      <c r="L96" s="7"/>
      <c r="M96" s="7"/>
      <c r="N96" s="7"/>
    </row>
    <row r="97" spans="2:14" x14ac:dyDescent="0.2">
      <c r="B97" s="1"/>
      <c r="C97" s="1"/>
      <c r="D97" s="7"/>
      <c r="E97" s="7"/>
      <c r="F97" s="7"/>
      <c r="G97" s="7"/>
      <c r="H97" s="7"/>
      <c r="J97" s="7"/>
      <c r="K97" s="7"/>
      <c r="L97" s="7"/>
      <c r="M97" s="7"/>
      <c r="N97" s="7"/>
    </row>
    <row r="98" spans="2:14" x14ac:dyDescent="0.2">
      <c r="B98" s="1"/>
      <c r="C98" s="1"/>
      <c r="D98" s="7"/>
      <c r="E98" s="7"/>
      <c r="F98" s="7"/>
      <c r="G98" s="7"/>
      <c r="H98" s="7"/>
      <c r="J98" s="7"/>
      <c r="K98" s="7"/>
      <c r="L98" s="7"/>
      <c r="M98" s="7"/>
      <c r="N98" s="7"/>
    </row>
    <row r="99" spans="2:14" x14ac:dyDescent="0.2">
      <c r="B99" s="1"/>
      <c r="C99" s="1"/>
      <c r="D99" s="7"/>
      <c r="E99" s="7"/>
      <c r="F99" s="7"/>
      <c r="G99" s="7"/>
      <c r="H99" s="7"/>
      <c r="J99" s="7"/>
      <c r="K99" s="7"/>
      <c r="L99" s="7"/>
      <c r="M99" s="7"/>
      <c r="N99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99"/>
  <sheetViews>
    <sheetView topLeftCell="A4" workbookViewId="0">
      <selection activeCell="M12" sqref="M12"/>
    </sheetView>
  </sheetViews>
  <sheetFormatPr defaultColWidth="11.5703125" defaultRowHeight="12.75" x14ac:dyDescent="0.2"/>
  <cols>
    <col min="1" max="1" width="12.42578125" bestFit="1" customWidth="1"/>
    <col min="3" max="3" width="13.42578125" customWidth="1"/>
    <col min="4" max="5" width="12.5703125" style="6" customWidth="1"/>
    <col min="6" max="6" width="15.5703125" style="6" customWidth="1"/>
    <col min="7" max="8" width="15" style="6" bestFit="1" customWidth="1"/>
    <col min="9" max="9" width="14" style="6" bestFit="1" customWidth="1"/>
    <col min="10" max="10" width="12.85546875" style="8" customWidth="1"/>
    <col min="11" max="11" width="15.5703125" style="8" customWidth="1"/>
    <col min="12" max="12" width="14" style="6" bestFit="1" customWidth="1"/>
    <col min="13" max="13" width="15" style="6" bestFit="1" customWidth="1"/>
    <col min="14" max="14" width="12.28515625" style="6" bestFit="1" customWidth="1"/>
    <col min="15" max="15" width="11.85546875" style="6" bestFit="1" customWidth="1"/>
    <col min="16" max="16" width="11.85546875" style="6" customWidth="1"/>
    <col min="17" max="17" width="12.28515625" style="6" bestFit="1" customWidth="1"/>
    <col min="18" max="18" width="14" style="6" bestFit="1" customWidth="1"/>
    <col min="19" max="19" width="12.28515625" style="6" bestFit="1" customWidth="1"/>
  </cols>
  <sheetData>
    <row r="1" spans="1:30" s="2" customFormat="1" ht="5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/>
      <c r="G1" s="12" t="s">
        <v>5</v>
      </c>
      <c r="H1" s="12" t="s">
        <v>6</v>
      </c>
      <c r="I1" s="4" t="s">
        <v>7</v>
      </c>
      <c r="J1" s="5" t="s">
        <v>8</v>
      </c>
      <c r="K1" s="5"/>
      <c r="L1" s="12" t="s">
        <v>9</v>
      </c>
      <c r="M1" s="12" t="s">
        <v>10</v>
      </c>
      <c r="N1" s="4" t="s">
        <v>11</v>
      </c>
      <c r="O1" s="4" t="s">
        <v>12</v>
      </c>
      <c r="P1" s="4"/>
      <c r="Q1" s="12" t="s">
        <v>13</v>
      </c>
      <c r="R1" s="12" t="s">
        <v>14</v>
      </c>
      <c r="S1" s="4" t="s">
        <v>15</v>
      </c>
      <c r="T1" s="4" t="s">
        <v>16</v>
      </c>
      <c r="U1" s="3" t="s">
        <v>17</v>
      </c>
    </row>
    <row r="2" spans="1:30" x14ac:dyDescent="0.2">
      <c r="A2" t="s">
        <v>18</v>
      </c>
      <c r="B2" s="9">
        <v>1</v>
      </c>
      <c r="C2" s="9">
        <v>2019</v>
      </c>
      <c r="D2" s="7">
        <v>2027230</v>
      </c>
      <c r="E2" s="16">
        <v>1.2094</v>
      </c>
      <c r="F2" s="20">
        <f>D2*E2</f>
        <v>2451731.9620000003</v>
      </c>
      <c r="G2" s="13">
        <f>H2/E2</f>
        <v>2075599.4708119729</v>
      </c>
      <c r="H2" s="13">
        <v>2510230</v>
      </c>
      <c r="I2" s="7">
        <v>207339.76</v>
      </c>
      <c r="J2" s="16">
        <v>9.1547000000000001</v>
      </c>
      <c r="K2" s="20">
        <f>I2*J2</f>
        <v>1898133.3008720002</v>
      </c>
      <c r="L2" s="13">
        <f>M2/J2</f>
        <v>197113.94147268616</v>
      </c>
      <c r="M2" s="13">
        <v>1804519</v>
      </c>
      <c r="N2" s="7">
        <v>29608.93</v>
      </c>
      <c r="O2" s="16">
        <v>8.0365000000000002</v>
      </c>
      <c r="P2" s="20">
        <f>N2*O2</f>
        <v>237952.16594500002</v>
      </c>
      <c r="Q2" s="13">
        <f>R2/O2</f>
        <v>24190.879114042182</v>
      </c>
      <c r="R2" s="13">
        <v>194410</v>
      </c>
      <c r="S2" s="7">
        <v>23265</v>
      </c>
      <c r="T2" s="15">
        <v>42587</v>
      </c>
      <c r="U2">
        <v>0.13</v>
      </c>
    </row>
    <row r="3" spans="1:30" x14ac:dyDescent="0.2">
      <c r="A3" t="s">
        <v>18</v>
      </c>
      <c r="B3" s="9">
        <v>2</v>
      </c>
      <c r="C3" s="9">
        <v>2019</v>
      </c>
      <c r="D3" s="7">
        <v>1854078</v>
      </c>
      <c r="E3" s="16">
        <v>1.2222476616409881</v>
      </c>
      <c r="F3" s="20">
        <f t="shared" ref="F3:F13" si="0">D3*E3</f>
        <v>2266142.5</v>
      </c>
      <c r="G3" s="13">
        <f t="shared" ref="G3:G13" si="1">H3/E3</f>
        <v>1694057.6488565924</v>
      </c>
      <c r="H3" s="13">
        <v>2070558</v>
      </c>
      <c r="I3" s="7">
        <v>166172.65</v>
      </c>
      <c r="J3" s="16">
        <v>8.9231999999999996</v>
      </c>
      <c r="K3" s="20">
        <f t="shared" ref="K3:K13" si="2">I3*J3</f>
        <v>1482791.79048</v>
      </c>
      <c r="L3" s="13">
        <f t="shared" ref="L3:L13" si="3">M3/J3</f>
        <v>144736.08122646585</v>
      </c>
      <c r="M3" s="13">
        <v>1291509</v>
      </c>
      <c r="N3" s="7">
        <v>24374.66</v>
      </c>
      <c r="O3" s="16">
        <v>8.0947999999999993</v>
      </c>
      <c r="P3" s="20">
        <f t="shared" ref="P3:P13" si="4">N3*O3</f>
        <v>197307.99776799997</v>
      </c>
      <c r="Q3" s="13">
        <f t="shared" ref="Q3:Q13" si="5">R3/O3</f>
        <v>18043.805900084008</v>
      </c>
      <c r="R3" s="13">
        <v>146061</v>
      </c>
      <c r="S3" s="7">
        <v>20991</v>
      </c>
      <c r="T3" s="15">
        <v>41497</v>
      </c>
      <c r="U3">
        <v>0.13</v>
      </c>
      <c r="V3" s="11"/>
      <c r="W3" s="11"/>
      <c r="X3" s="14"/>
      <c r="Y3" s="14"/>
    </row>
    <row r="4" spans="1:30" x14ac:dyDescent="0.2">
      <c r="A4" t="s">
        <v>18</v>
      </c>
      <c r="B4" s="9">
        <v>3</v>
      </c>
      <c r="C4" s="9">
        <v>2019</v>
      </c>
      <c r="D4" s="7">
        <v>2183347</v>
      </c>
      <c r="E4" s="16">
        <v>1.224</v>
      </c>
      <c r="F4" s="20">
        <f t="shared" si="0"/>
        <v>2672416.7280000001</v>
      </c>
      <c r="G4" s="13">
        <f t="shared" si="1"/>
        <v>1928725.4901960786</v>
      </c>
      <c r="H4" s="13">
        <v>2360760</v>
      </c>
      <c r="I4" s="7">
        <v>191290.11</v>
      </c>
      <c r="J4" s="16">
        <v>9.0692000000000004</v>
      </c>
      <c r="K4" s="20">
        <f t="shared" si="2"/>
        <v>1734848.2656119999</v>
      </c>
      <c r="L4" s="13">
        <f t="shared" si="3"/>
        <v>148991.5317778856</v>
      </c>
      <c r="M4" s="13">
        <v>1351234</v>
      </c>
      <c r="N4" s="7">
        <v>28115.21</v>
      </c>
      <c r="O4" s="16">
        <v>8.1117000000000008</v>
      </c>
      <c r="P4" s="20">
        <f t="shared" si="4"/>
        <v>228062.14895700003</v>
      </c>
      <c r="Q4" s="13">
        <f t="shared" si="5"/>
        <v>20938.890738069698</v>
      </c>
      <c r="R4" s="13">
        <v>169850</v>
      </c>
      <c r="S4" s="7">
        <v>23908</v>
      </c>
      <c r="T4" s="15">
        <v>66624</v>
      </c>
      <c r="U4" s="14">
        <v>0.13</v>
      </c>
      <c r="V4" s="14"/>
      <c r="W4" s="14"/>
      <c r="X4" s="14"/>
      <c r="Y4" s="14"/>
      <c r="Z4" s="14"/>
    </row>
    <row r="5" spans="1:30" x14ac:dyDescent="0.2">
      <c r="A5" t="s">
        <v>18</v>
      </c>
      <c r="B5" s="9">
        <v>4</v>
      </c>
      <c r="C5" s="9">
        <v>2019</v>
      </c>
      <c r="D5" s="7">
        <v>2300172</v>
      </c>
      <c r="E5" s="16">
        <v>1.2363999999999999</v>
      </c>
      <c r="F5" s="20">
        <f t="shared" si="0"/>
        <v>2843932.6607999997</v>
      </c>
      <c r="G5" s="13">
        <f t="shared" si="1"/>
        <v>1828556.2924619864</v>
      </c>
      <c r="H5" s="13">
        <v>2260827</v>
      </c>
      <c r="I5" s="7">
        <v>163227.92000000001</v>
      </c>
      <c r="J5" s="16">
        <v>8.7737999999999996</v>
      </c>
      <c r="K5" s="20">
        <f t="shared" si="2"/>
        <v>1432129.1244960001</v>
      </c>
      <c r="L5" s="13">
        <f t="shared" si="3"/>
        <v>134564.72680024619</v>
      </c>
      <c r="M5" s="13">
        <v>1180644</v>
      </c>
      <c r="N5" s="7">
        <v>27042.720000000001</v>
      </c>
      <c r="O5" s="16">
        <v>8.0897000000000006</v>
      </c>
      <c r="P5" s="20">
        <f t="shared" si="4"/>
        <v>218767.49198400002</v>
      </c>
      <c r="Q5" s="13">
        <f t="shared" si="5"/>
        <v>17798.187819078579</v>
      </c>
      <c r="R5" s="13">
        <v>143982</v>
      </c>
      <c r="S5" s="15">
        <v>21854</v>
      </c>
      <c r="T5" s="15">
        <v>47092</v>
      </c>
      <c r="U5" s="14">
        <v>0.13</v>
      </c>
      <c r="V5" s="14"/>
      <c r="W5" s="14"/>
      <c r="X5" s="14"/>
      <c r="Y5" s="14"/>
      <c r="Z5" s="14"/>
      <c r="AA5" s="14"/>
    </row>
    <row r="6" spans="1:30" x14ac:dyDescent="0.2">
      <c r="A6" t="s">
        <v>18</v>
      </c>
      <c r="B6" s="9">
        <v>5</v>
      </c>
      <c r="C6" s="9">
        <v>2019</v>
      </c>
      <c r="D6" s="7">
        <v>2523888</v>
      </c>
      <c r="E6" s="16">
        <v>1.2043999999999999</v>
      </c>
      <c r="F6" s="20">
        <f t="shared" si="0"/>
        <v>3039770.7071999996</v>
      </c>
      <c r="G6" s="13">
        <f t="shared" si="1"/>
        <v>2437491.6971105947</v>
      </c>
      <c r="H6" s="13">
        <v>2935715</v>
      </c>
      <c r="I6" s="10">
        <v>164535.15</v>
      </c>
      <c r="J6" s="17">
        <v>8.9445999999999994</v>
      </c>
      <c r="K6" s="20">
        <f t="shared" si="2"/>
        <v>1471701.1026899999</v>
      </c>
      <c r="L6" s="13">
        <f t="shared" si="3"/>
        <v>125616.46132862287</v>
      </c>
      <c r="M6" s="13">
        <v>1123589</v>
      </c>
      <c r="N6" s="7">
        <v>26020.5</v>
      </c>
      <c r="O6" s="17">
        <v>8.1091999999999995</v>
      </c>
      <c r="P6" s="20">
        <f t="shared" si="4"/>
        <v>211005.43859999999</v>
      </c>
      <c r="Q6" s="13">
        <f t="shared" si="5"/>
        <v>19420.411384600207</v>
      </c>
      <c r="R6" s="13">
        <v>157484</v>
      </c>
      <c r="S6" s="15">
        <v>21812</v>
      </c>
      <c r="T6" s="15">
        <v>54973</v>
      </c>
      <c r="U6" s="14">
        <v>0.13</v>
      </c>
      <c r="V6" s="14"/>
      <c r="W6" s="14"/>
      <c r="X6" s="14"/>
      <c r="Y6" s="14"/>
      <c r="Z6" s="14"/>
      <c r="AA6" s="14"/>
      <c r="AB6" s="14"/>
    </row>
    <row r="7" spans="1:30" x14ac:dyDescent="0.2">
      <c r="A7" t="s">
        <v>18</v>
      </c>
      <c r="B7" s="9">
        <v>6</v>
      </c>
      <c r="C7" s="9">
        <v>2019</v>
      </c>
      <c r="D7" s="7">
        <v>2796397</v>
      </c>
      <c r="E7" s="16">
        <v>1.1851</v>
      </c>
      <c r="F7" s="20">
        <f t="shared" si="0"/>
        <v>3314010.0847</v>
      </c>
      <c r="G7" s="13">
        <f t="shared" si="1"/>
        <v>2789848.1140831998</v>
      </c>
      <c r="H7" s="13">
        <v>3306249</v>
      </c>
      <c r="I7" s="7">
        <v>153025.46</v>
      </c>
      <c r="J7" s="16">
        <v>8.8564000000000007</v>
      </c>
      <c r="K7" s="20">
        <f t="shared" si="2"/>
        <v>1355254.6839439999</v>
      </c>
      <c r="L7" s="13">
        <f t="shared" si="3"/>
        <v>114829.50182918567</v>
      </c>
      <c r="M7" s="13">
        <v>1016976</v>
      </c>
      <c r="N7" s="7">
        <v>25983.759999999998</v>
      </c>
      <c r="O7" s="16">
        <v>8.0779999999999994</v>
      </c>
      <c r="P7" s="20">
        <f t="shared" si="4"/>
        <v>209896.81327999997</v>
      </c>
      <c r="Q7" s="13">
        <f t="shared" si="5"/>
        <v>19953.948997276555</v>
      </c>
      <c r="R7" s="13">
        <v>161188</v>
      </c>
      <c r="S7" s="15">
        <v>20309</v>
      </c>
      <c r="T7" s="15">
        <v>49664</v>
      </c>
      <c r="U7" s="14">
        <v>0.13</v>
      </c>
      <c r="V7" s="14"/>
      <c r="W7" s="14"/>
      <c r="X7" s="14"/>
      <c r="Y7" s="14"/>
      <c r="Z7" s="14"/>
      <c r="AA7" s="14"/>
      <c r="AB7" s="14"/>
      <c r="AC7" s="14"/>
      <c r="AD7" s="14"/>
    </row>
    <row r="8" spans="1:30" x14ac:dyDescent="0.2">
      <c r="A8" t="s">
        <v>18</v>
      </c>
      <c r="B8" s="9">
        <v>7</v>
      </c>
      <c r="C8" s="9">
        <v>2019</v>
      </c>
      <c r="D8" s="7">
        <v>2926707</v>
      </c>
      <c r="E8" s="16">
        <v>1.2061999999999999</v>
      </c>
      <c r="F8" s="20">
        <f t="shared" si="0"/>
        <v>3530193.9833999998</v>
      </c>
      <c r="G8" s="13">
        <f t="shared" si="1"/>
        <v>2777324.6559442878</v>
      </c>
      <c r="H8" s="13">
        <v>3350009</v>
      </c>
      <c r="I8" s="7">
        <v>147131.07999999999</v>
      </c>
      <c r="J8" s="16">
        <v>8.7489000000000008</v>
      </c>
      <c r="K8" s="20">
        <f t="shared" si="2"/>
        <v>1287235.1058120001</v>
      </c>
      <c r="L8" s="13">
        <f t="shared" si="3"/>
        <v>127067.51705928743</v>
      </c>
      <c r="M8" s="13">
        <v>1111701</v>
      </c>
      <c r="N8" s="7">
        <v>25442.42</v>
      </c>
      <c r="O8" s="16">
        <v>8.0822000000000003</v>
      </c>
      <c r="P8" s="20">
        <f t="shared" si="4"/>
        <v>205630.72692399999</v>
      </c>
      <c r="Q8" s="13">
        <f t="shared" si="5"/>
        <v>15232.23874687585</v>
      </c>
      <c r="R8" s="13">
        <v>123110</v>
      </c>
      <c r="S8" s="15">
        <v>20250</v>
      </c>
      <c r="T8" s="15">
        <v>40619</v>
      </c>
      <c r="U8" s="14">
        <v>0.13</v>
      </c>
      <c r="V8" s="14"/>
      <c r="W8" s="14"/>
      <c r="X8" s="14"/>
      <c r="Y8" s="14"/>
      <c r="Z8" s="14"/>
      <c r="AA8" s="14"/>
      <c r="AB8" s="14"/>
      <c r="AC8" s="14"/>
      <c r="AD8" s="14"/>
    </row>
    <row r="9" spans="1:30" x14ac:dyDescent="0.2">
      <c r="A9" t="s">
        <v>18</v>
      </c>
      <c r="B9" s="9">
        <v>8</v>
      </c>
      <c r="C9" s="9">
        <v>2019</v>
      </c>
      <c r="D9" s="7">
        <v>2800405</v>
      </c>
      <c r="E9" s="16">
        <v>1.2138</v>
      </c>
      <c r="F9" s="20">
        <f t="shared" si="0"/>
        <v>3399131.5890000002</v>
      </c>
      <c r="G9" s="13">
        <f t="shared" si="1"/>
        <v>2486917.1197890923</v>
      </c>
      <c r="H9" s="13">
        <v>3018620</v>
      </c>
      <c r="I9" s="7">
        <v>150980.68</v>
      </c>
      <c r="J9" s="16">
        <v>8.8160000000000007</v>
      </c>
      <c r="K9" s="20">
        <f t="shared" si="2"/>
        <v>1331045.6748800001</v>
      </c>
      <c r="L9" s="13">
        <f t="shared" si="3"/>
        <v>124784.14246823956</v>
      </c>
      <c r="M9" s="13">
        <v>1100097</v>
      </c>
      <c r="N9" s="7">
        <v>22598.080000000002</v>
      </c>
      <c r="O9" s="16">
        <v>8.1044</v>
      </c>
      <c r="P9" s="20">
        <f t="shared" si="4"/>
        <v>183143.87955200003</v>
      </c>
      <c r="Q9" s="13">
        <f t="shared" si="5"/>
        <v>17396.475988352006</v>
      </c>
      <c r="R9" s="13">
        <v>140988</v>
      </c>
      <c r="S9" s="15">
        <v>17220</v>
      </c>
      <c r="T9" s="15">
        <v>41624</v>
      </c>
      <c r="U9" s="14">
        <v>0.13</v>
      </c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">
      <c r="A10" t="s">
        <v>18</v>
      </c>
      <c r="B10" s="9">
        <v>9</v>
      </c>
      <c r="C10" s="9">
        <v>2019</v>
      </c>
      <c r="D10" s="7">
        <v>2507548</v>
      </c>
      <c r="E10" s="16">
        <v>1.1679999999999999</v>
      </c>
      <c r="F10" s="20">
        <f t="shared" si="0"/>
        <v>2928816.0639999998</v>
      </c>
      <c r="G10" s="13">
        <f t="shared" si="1"/>
        <v>2662066.780821918</v>
      </c>
      <c r="H10" s="13">
        <v>3109294</v>
      </c>
      <c r="I10" s="7">
        <v>142776.60999999999</v>
      </c>
      <c r="J10" s="16">
        <v>8.6420999999999992</v>
      </c>
      <c r="K10" s="20">
        <f t="shared" si="2"/>
        <v>1233889.7412809997</v>
      </c>
      <c r="L10" s="13">
        <f t="shared" si="3"/>
        <v>147523.98143969639</v>
      </c>
      <c r="M10" s="13">
        <v>1274917</v>
      </c>
      <c r="N10" s="7">
        <v>23851.19</v>
      </c>
      <c r="O10" s="16">
        <v>8.0889000000000006</v>
      </c>
      <c r="P10" s="20">
        <f t="shared" si="4"/>
        <v>192929.89079100001</v>
      </c>
      <c r="Q10" s="13">
        <f t="shared" si="5"/>
        <v>19267.391116220992</v>
      </c>
      <c r="R10" s="13">
        <v>155852</v>
      </c>
      <c r="S10" s="6">
        <v>18243</v>
      </c>
      <c r="T10" s="15">
        <v>44870</v>
      </c>
      <c r="U10" s="14">
        <v>0.13</v>
      </c>
    </row>
    <row r="11" spans="1:30" x14ac:dyDescent="0.2">
      <c r="A11" t="s">
        <v>18</v>
      </c>
      <c r="B11" s="9">
        <v>10</v>
      </c>
      <c r="C11" s="9">
        <v>2019</v>
      </c>
      <c r="D11" s="7">
        <v>2527103</v>
      </c>
      <c r="E11" s="16">
        <v>1.1765000000000001</v>
      </c>
      <c r="F11" s="20">
        <f t="shared" si="0"/>
        <v>2973136.6795000001</v>
      </c>
      <c r="G11" s="13">
        <f t="shared" si="1"/>
        <v>2700787.0803229916</v>
      </c>
      <c r="H11" s="13">
        <v>3177476</v>
      </c>
      <c r="I11" s="7">
        <v>150104.17000000001</v>
      </c>
      <c r="J11" s="16">
        <v>8.7045999999999992</v>
      </c>
      <c r="K11" s="20">
        <f t="shared" si="2"/>
        <v>1306596.7581819999</v>
      </c>
      <c r="L11" s="13">
        <f t="shared" si="3"/>
        <v>171923.12110837951</v>
      </c>
      <c r="M11" s="13">
        <v>1496522</v>
      </c>
      <c r="N11" s="7">
        <v>24538.2</v>
      </c>
      <c r="O11" s="16">
        <v>8.0949000000000009</v>
      </c>
      <c r="P11" s="20">
        <f t="shared" si="4"/>
        <v>198634.27518000003</v>
      </c>
      <c r="Q11" s="13">
        <f t="shared" si="5"/>
        <v>21004.336063447354</v>
      </c>
      <c r="R11" s="13">
        <v>170028</v>
      </c>
      <c r="S11" s="6">
        <v>20150</v>
      </c>
      <c r="T11" s="15">
        <v>45997</v>
      </c>
      <c r="U11" s="14">
        <v>0.13</v>
      </c>
    </row>
    <row r="12" spans="1:30" x14ac:dyDescent="0.2">
      <c r="A12" t="s">
        <v>18</v>
      </c>
      <c r="B12" s="9">
        <v>11</v>
      </c>
      <c r="C12" s="9">
        <v>2019</v>
      </c>
      <c r="D12" s="7">
        <v>2078545</v>
      </c>
      <c r="E12" s="16">
        <v>1.1653</v>
      </c>
      <c r="F12" s="20">
        <f t="shared" si="0"/>
        <v>2422128.4885</v>
      </c>
      <c r="G12" s="13">
        <f t="shared" si="1"/>
        <v>2404660.6024199775</v>
      </c>
      <c r="H12" s="13">
        <v>2802151</v>
      </c>
      <c r="I12" s="7">
        <v>162193.16</v>
      </c>
      <c r="J12" s="16">
        <v>9.0444999999999993</v>
      </c>
      <c r="K12" s="20">
        <f t="shared" si="2"/>
        <v>1466956.03562</v>
      </c>
      <c r="L12" s="13">
        <f t="shared" si="3"/>
        <v>167705.34579025928</v>
      </c>
      <c r="M12" s="13">
        <v>1516811</v>
      </c>
      <c r="N12" s="7">
        <v>23989.08</v>
      </c>
      <c r="O12" s="16">
        <v>8.1328999999999994</v>
      </c>
      <c r="P12" s="20">
        <f t="shared" si="4"/>
        <v>195100.78873199999</v>
      </c>
      <c r="Q12" s="13">
        <f t="shared" si="5"/>
        <v>20878.530413505639</v>
      </c>
      <c r="R12" s="13">
        <v>169803</v>
      </c>
      <c r="S12" s="6">
        <v>18992</v>
      </c>
      <c r="T12" s="15">
        <v>51034</v>
      </c>
      <c r="U12" s="14">
        <v>0.13</v>
      </c>
    </row>
    <row r="13" spans="1:30" x14ac:dyDescent="0.2">
      <c r="A13" t="s">
        <v>18</v>
      </c>
      <c r="B13" s="9">
        <v>12</v>
      </c>
      <c r="C13" s="9">
        <v>2019</v>
      </c>
      <c r="D13" s="7">
        <v>2014479</v>
      </c>
      <c r="E13" s="16">
        <v>1.1517999999999999</v>
      </c>
      <c r="F13" s="20">
        <f t="shared" si="0"/>
        <v>2320276.9121999997</v>
      </c>
      <c r="G13" s="13">
        <f t="shared" si="1"/>
        <v>2594950.5122417086</v>
      </c>
      <c r="H13" s="13">
        <v>2988864</v>
      </c>
      <c r="I13" s="7">
        <v>174747.79</v>
      </c>
      <c r="J13" s="16">
        <v>8.7272999999999996</v>
      </c>
      <c r="K13" s="20">
        <f t="shared" si="2"/>
        <v>1525076.3876670001</v>
      </c>
      <c r="L13" s="13">
        <f t="shared" si="3"/>
        <v>214927.87001707288</v>
      </c>
      <c r="M13" s="13">
        <v>1875740</v>
      </c>
      <c r="N13" s="7">
        <v>24878.43</v>
      </c>
      <c r="O13" s="16">
        <v>8.1717999999999993</v>
      </c>
      <c r="P13" s="20">
        <f t="shared" si="4"/>
        <v>203301.55427399999</v>
      </c>
      <c r="Q13" s="13">
        <f t="shared" si="5"/>
        <v>20762.133189750119</v>
      </c>
      <c r="R13" s="13">
        <v>169664</v>
      </c>
      <c r="S13" s="6">
        <v>17612</v>
      </c>
      <c r="T13" s="15">
        <v>42542</v>
      </c>
      <c r="U13" s="14">
        <v>0.13</v>
      </c>
    </row>
    <row r="14" spans="1:30" x14ac:dyDescent="0.2">
      <c r="B14" s="1"/>
      <c r="C14" s="1"/>
      <c r="D14" s="7"/>
      <c r="E14" s="7"/>
      <c r="F14" s="7"/>
      <c r="G14" s="7"/>
      <c r="H14" s="7"/>
      <c r="I14" s="7"/>
      <c r="J14" s="16"/>
      <c r="K14" s="7"/>
      <c r="L14" s="7"/>
      <c r="M14" s="7"/>
      <c r="N14" s="7"/>
      <c r="O14" s="16"/>
      <c r="P14" s="7"/>
      <c r="Q14" s="7"/>
    </row>
    <row r="15" spans="1:30" x14ac:dyDescent="0.2">
      <c r="B15" s="1"/>
      <c r="C15" s="1"/>
      <c r="D15" s="18">
        <f t="shared" ref="D15:R15" si="6">SUM(D2:D14)</f>
        <v>28539899</v>
      </c>
      <c r="E15" s="19">
        <f>AVERAGE(E2:E14)</f>
        <v>1.1969289718034155</v>
      </c>
      <c r="F15" s="18">
        <f t="shared" si="6"/>
        <v>34161688.359299995</v>
      </c>
      <c r="G15" s="18">
        <f t="shared" si="6"/>
        <v>28380985.465060405</v>
      </c>
      <c r="H15" s="18">
        <f t="shared" si="6"/>
        <v>33890753</v>
      </c>
      <c r="I15" s="18">
        <f t="shared" si="6"/>
        <v>1973524.5399999998</v>
      </c>
      <c r="J15" s="19">
        <f>AVERAGE(J2:J14)</f>
        <v>8.8671083333333325</v>
      </c>
      <c r="K15" s="18">
        <f>SUM(K2:K14)</f>
        <v>17525657.971535999</v>
      </c>
      <c r="L15" s="18">
        <f t="shared" si="6"/>
        <v>1819784.2223180274</v>
      </c>
      <c r="M15" s="18">
        <f t="shared" si="6"/>
        <v>16144259</v>
      </c>
      <c r="N15" s="18">
        <f t="shared" si="6"/>
        <v>306443.18000000005</v>
      </c>
      <c r="O15" s="19">
        <f>AVERAGE(O2:O14)</f>
        <v>8.0995833333333334</v>
      </c>
      <c r="P15" s="18">
        <f>SUM(P2:P14)</f>
        <v>2481733.1719869999</v>
      </c>
      <c r="Q15" s="18">
        <f t="shared" si="6"/>
        <v>234887.2294713032</v>
      </c>
      <c r="R15" s="18">
        <f t="shared" si="6"/>
        <v>1902420</v>
      </c>
      <c r="S15" s="18">
        <f>SUM(S2:S14)</f>
        <v>244606</v>
      </c>
    </row>
    <row r="16" spans="1:30" x14ac:dyDescent="0.2">
      <c r="B16" s="1"/>
      <c r="C16" s="1"/>
      <c r="D16" s="7"/>
      <c r="E16" s="7"/>
      <c r="F16" s="7"/>
      <c r="G16" s="7"/>
      <c r="H16" s="7"/>
      <c r="I16" s="7"/>
      <c r="L16" s="7"/>
      <c r="M16" s="7"/>
      <c r="N16" s="7"/>
      <c r="O16" s="7"/>
      <c r="P16" s="7"/>
      <c r="Q16" s="7"/>
    </row>
    <row r="17" spans="2:17" x14ac:dyDescent="0.2">
      <c r="B17" s="1"/>
      <c r="C17" s="1"/>
      <c r="D17" s="7"/>
      <c r="E17" s="7"/>
      <c r="F17" s="7"/>
      <c r="G17" s="7"/>
      <c r="H17" s="7"/>
      <c r="I17" s="7"/>
      <c r="L17" s="7"/>
      <c r="M17" s="7"/>
      <c r="N17" s="7"/>
      <c r="O17" s="7"/>
      <c r="P17" s="7"/>
      <c r="Q17" s="7"/>
    </row>
    <row r="18" spans="2:17" x14ac:dyDescent="0.2">
      <c r="B18" s="1"/>
      <c r="C18" s="1"/>
      <c r="D18" s="7"/>
      <c r="E18" s="7"/>
      <c r="F18" s="7"/>
      <c r="G18" s="7"/>
      <c r="H18" s="7"/>
      <c r="I18" s="7"/>
      <c r="L18" s="7"/>
      <c r="M18" s="7"/>
      <c r="N18" s="7"/>
      <c r="O18" s="7"/>
      <c r="P18" s="7"/>
      <c r="Q18" s="7"/>
    </row>
    <row r="19" spans="2:17" x14ac:dyDescent="0.2">
      <c r="B19" s="1"/>
      <c r="C19" s="1"/>
      <c r="D19" s="7"/>
      <c r="E19" s="7"/>
      <c r="F19" s="7"/>
      <c r="G19" s="7"/>
      <c r="H19" s="7"/>
      <c r="I19" s="7"/>
      <c r="L19" s="7"/>
      <c r="M19" s="7"/>
      <c r="N19" s="7"/>
      <c r="O19" s="7"/>
      <c r="P19" s="7"/>
      <c r="Q19" s="7"/>
    </row>
    <row r="20" spans="2:17" x14ac:dyDescent="0.2">
      <c r="B20" s="1"/>
      <c r="C20" s="1"/>
      <c r="D20" s="7"/>
      <c r="E20" s="7"/>
      <c r="F20" s="7"/>
      <c r="G20" s="7"/>
      <c r="H20" s="7"/>
      <c r="I20" s="7"/>
      <c r="L20" s="7"/>
      <c r="M20" s="7"/>
      <c r="N20" s="7"/>
      <c r="O20" s="7"/>
      <c r="P20" s="7"/>
      <c r="Q20" s="7"/>
    </row>
    <row r="21" spans="2:17" x14ac:dyDescent="0.2">
      <c r="B21" s="1"/>
      <c r="C21" s="1"/>
      <c r="D21" s="7"/>
      <c r="E21" s="7"/>
      <c r="F21" s="7"/>
      <c r="G21" s="7"/>
      <c r="H21" s="7"/>
      <c r="I21" s="7"/>
      <c r="L21" s="7"/>
      <c r="M21" s="7"/>
      <c r="N21" s="7"/>
      <c r="O21" s="7"/>
      <c r="P21" s="7"/>
      <c r="Q21" s="7"/>
    </row>
    <row r="22" spans="2:17" x14ac:dyDescent="0.2">
      <c r="B22" s="1"/>
      <c r="C22" s="1"/>
      <c r="D22" s="7"/>
      <c r="E22" s="7"/>
      <c r="F22" s="7"/>
      <c r="G22" s="7"/>
      <c r="H22" s="7"/>
      <c r="I22" s="7"/>
      <c r="L22" s="7"/>
      <c r="M22" s="7"/>
      <c r="N22" s="7"/>
      <c r="O22" s="7"/>
      <c r="P22" s="7"/>
      <c r="Q22" s="7"/>
    </row>
    <row r="23" spans="2:17" x14ac:dyDescent="0.2">
      <c r="B23" s="1"/>
      <c r="C23" s="1"/>
      <c r="D23" s="7"/>
      <c r="E23" s="7"/>
      <c r="F23" s="7"/>
      <c r="G23" s="7"/>
      <c r="H23" s="7"/>
      <c r="I23" s="7"/>
      <c r="L23" s="7"/>
      <c r="M23" s="7"/>
      <c r="N23" s="7"/>
      <c r="O23" s="7"/>
      <c r="P23" s="7"/>
      <c r="Q23" s="7"/>
    </row>
    <row r="24" spans="2:17" x14ac:dyDescent="0.2">
      <c r="B24" s="1"/>
      <c r="C24" s="1"/>
      <c r="D24" s="7"/>
      <c r="E24" s="7"/>
      <c r="F24" s="7"/>
      <c r="G24" s="7"/>
      <c r="H24" s="7"/>
      <c r="I24" s="7"/>
      <c r="L24" s="7"/>
      <c r="M24" s="7"/>
      <c r="N24" s="7"/>
      <c r="O24" s="7"/>
      <c r="P24" s="7"/>
      <c r="Q24" s="7"/>
    </row>
    <row r="25" spans="2:17" x14ac:dyDescent="0.2">
      <c r="B25" s="1"/>
      <c r="C25" s="1"/>
      <c r="D25" s="7"/>
      <c r="E25" s="7"/>
      <c r="F25" s="7"/>
      <c r="G25" s="7"/>
      <c r="H25" s="7"/>
      <c r="I25" s="7"/>
      <c r="L25" s="7"/>
      <c r="M25" s="7"/>
      <c r="N25" s="7"/>
      <c r="O25" s="7"/>
      <c r="P25" s="7"/>
      <c r="Q25" s="7"/>
    </row>
    <row r="26" spans="2:17" x14ac:dyDescent="0.2">
      <c r="B26" s="1"/>
      <c r="C26" s="1"/>
      <c r="D26" s="7"/>
      <c r="E26" s="7"/>
      <c r="F26" s="7"/>
      <c r="G26" s="7"/>
      <c r="H26" s="7"/>
      <c r="I26" s="7"/>
      <c r="L26" s="7"/>
      <c r="M26" s="7"/>
      <c r="N26" s="7"/>
      <c r="O26" s="7"/>
      <c r="P26" s="7"/>
      <c r="Q26" s="7"/>
    </row>
    <row r="27" spans="2:17" x14ac:dyDescent="0.2">
      <c r="B27" s="1"/>
      <c r="C27" s="1"/>
      <c r="D27" s="7"/>
      <c r="E27" s="7"/>
      <c r="F27" s="7"/>
      <c r="G27" s="7"/>
      <c r="H27" s="7"/>
      <c r="I27" s="7"/>
      <c r="L27" s="7"/>
      <c r="M27" s="7"/>
      <c r="N27" s="7"/>
      <c r="O27" s="7"/>
      <c r="P27" s="7"/>
      <c r="Q27" s="7"/>
    </row>
    <row r="28" spans="2:17" x14ac:dyDescent="0.2">
      <c r="B28" s="1"/>
      <c r="C28" s="1"/>
      <c r="D28" s="7"/>
      <c r="E28" s="7"/>
      <c r="F28" s="7"/>
      <c r="G28" s="7"/>
      <c r="H28" s="7"/>
      <c r="I28" s="7"/>
      <c r="L28" s="7"/>
      <c r="M28" s="7"/>
      <c r="N28" s="7"/>
      <c r="O28" s="7"/>
      <c r="P28" s="7"/>
      <c r="Q28" s="7"/>
    </row>
    <row r="29" spans="2:17" x14ac:dyDescent="0.2">
      <c r="B29" s="1"/>
      <c r="C29" s="1"/>
      <c r="D29" s="7"/>
      <c r="E29" s="7"/>
      <c r="F29" s="7"/>
      <c r="G29" s="7"/>
      <c r="H29" s="7"/>
      <c r="I29" s="7"/>
      <c r="L29" s="7"/>
      <c r="M29" s="7"/>
      <c r="N29" s="7"/>
      <c r="O29" s="7"/>
      <c r="P29" s="7"/>
      <c r="Q29" s="7"/>
    </row>
    <row r="30" spans="2:17" x14ac:dyDescent="0.2">
      <c r="B30" s="1"/>
      <c r="C30" s="1"/>
      <c r="D30" s="7"/>
      <c r="E30" s="7"/>
      <c r="F30" s="7"/>
      <c r="G30" s="7"/>
      <c r="H30" s="7"/>
      <c r="I30" s="7"/>
      <c r="L30" s="7"/>
      <c r="M30" s="7"/>
      <c r="N30" s="7"/>
      <c r="O30" s="7"/>
      <c r="P30" s="7"/>
      <c r="Q30" s="7"/>
    </row>
    <row r="31" spans="2:17" x14ac:dyDescent="0.2">
      <c r="B31" s="1"/>
      <c r="C31" s="1"/>
      <c r="D31" s="7"/>
      <c r="E31" s="7"/>
      <c r="F31" s="7"/>
      <c r="G31" s="7"/>
      <c r="H31" s="7"/>
      <c r="I31" s="7"/>
      <c r="L31" s="7"/>
      <c r="M31" s="7"/>
      <c r="N31" s="7"/>
      <c r="O31" s="7"/>
      <c r="P31" s="7"/>
      <c r="Q31" s="7"/>
    </row>
    <row r="32" spans="2:17" x14ac:dyDescent="0.2">
      <c r="B32" s="1"/>
      <c r="C32" s="1"/>
      <c r="D32" s="7"/>
      <c r="E32" s="7"/>
      <c r="F32" s="7"/>
      <c r="G32" s="7"/>
      <c r="H32" s="7"/>
      <c r="I32" s="7"/>
      <c r="L32" s="7"/>
      <c r="M32" s="7"/>
      <c r="N32" s="7"/>
      <c r="O32" s="7"/>
      <c r="P32" s="7"/>
      <c r="Q32" s="7"/>
    </row>
    <row r="33" spans="2:17" x14ac:dyDescent="0.2">
      <c r="B33" s="1"/>
      <c r="C33" s="1"/>
      <c r="D33" s="7"/>
      <c r="E33" s="7"/>
      <c r="F33" s="7"/>
      <c r="G33" s="7"/>
      <c r="H33" s="7"/>
      <c r="I33" s="7"/>
      <c r="L33" s="7"/>
      <c r="M33" s="7"/>
      <c r="N33" s="7"/>
      <c r="O33" s="7"/>
      <c r="P33" s="7"/>
      <c r="Q33" s="7"/>
    </row>
    <row r="34" spans="2:17" x14ac:dyDescent="0.2">
      <c r="B34" s="1"/>
      <c r="C34" s="1"/>
      <c r="D34" s="7"/>
      <c r="E34" s="7"/>
      <c r="F34" s="7"/>
      <c r="G34" s="7"/>
      <c r="H34" s="7"/>
      <c r="I34" s="7"/>
      <c r="L34" s="7"/>
      <c r="M34" s="7"/>
      <c r="N34" s="7"/>
      <c r="O34" s="7"/>
      <c r="P34" s="7"/>
      <c r="Q34" s="7"/>
    </row>
    <row r="35" spans="2:17" x14ac:dyDescent="0.2">
      <c r="B35" s="1"/>
      <c r="C35" s="1"/>
      <c r="D35" s="7"/>
      <c r="E35" s="7"/>
      <c r="F35" s="7"/>
      <c r="G35" s="7"/>
      <c r="H35" s="7"/>
      <c r="I35" s="7"/>
      <c r="L35" s="7"/>
      <c r="M35" s="7"/>
      <c r="N35" s="7"/>
      <c r="O35" s="7"/>
      <c r="P35" s="7"/>
      <c r="Q35" s="7"/>
    </row>
    <row r="36" spans="2:17" x14ac:dyDescent="0.2">
      <c r="B36" s="1"/>
      <c r="C36" s="1"/>
      <c r="D36" s="7"/>
      <c r="E36" s="7"/>
      <c r="F36" s="7"/>
      <c r="G36" s="7"/>
      <c r="H36" s="7"/>
      <c r="I36" s="7"/>
      <c r="L36" s="7"/>
      <c r="M36" s="7"/>
      <c r="N36" s="7"/>
      <c r="O36" s="7"/>
      <c r="P36" s="7"/>
      <c r="Q36" s="7"/>
    </row>
    <row r="37" spans="2:17" x14ac:dyDescent="0.2">
      <c r="B37" s="1"/>
      <c r="C37" s="1"/>
      <c r="D37" s="7"/>
      <c r="E37" s="7"/>
      <c r="F37" s="7"/>
      <c r="G37" s="7"/>
      <c r="H37" s="7"/>
      <c r="I37" s="7"/>
      <c r="L37" s="7"/>
      <c r="M37" s="7"/>
      <c r="N37" s="7"/>
      <c r="O37" s="7"/>
      <c r="P37" s="7"/>
      <c r="Q37" s="7"/>
    </row>
    <row r="38" spans="2:17" x14ac:dyDescent="0.2">
      <c r="B38" s="1"/>
      <c r="C38" s="1"/>
      <c r="D38" s="7"/>
      <c r="E38" s="7"/>
      <c r="F38" s="7"/>
      <c r="G38" s="7"/>
      <c r="H38" s="7"/>
      <c r="I38" s="7"/>
      <c r="L38" s="7"/>
      <c r="M38" s="7"/>
      <c r="N38" s="7"/>
      <c r="O38" s="7"/>
      <c r="P38" s="7"/>
      <c r="Q38" s="7"/>
    </row>
    <row r="39" spans="2:17" x14ac:dyDescent="0.2">
      <c r="B39" s="1"/>
      <c r="C39" s="1"/>
      <c r="D39" s="7"/>
      <c r="E39" s="7"/>
      <c r="F39" s="7"/>
      <c r="G39" s="7"/>
      <c r="H39" s="7"/>
      <c r="I39" s="7"/>
      <c r="L39" s="7"/>
      <c r="M39" s="7"/>
      <c r="N39" s="7"/>
      <c r="O39" s="7"/>
      <c r="P39" s="7"/>
      <c r="Q39" s="7"/>
    </row>
    <row r="40" spans="2:17" x14ac:dyDescent="0.2">
      <c r="B40" s="1"/>
      <c r="C40" s="1"/>
      <c r="D40" s="7"/>
      <c r="E40" s="7"/>
      <c r="F40" s="7"/>
      <c r="G40" s="7"/>
      <c r="H40" s="7"/>
      <c r="I40" s="7"/>
      <c r="L40" s="7"/>
      <c r="M40" s="7"/>
      <c r="N40" s="7"/>
      <c r="O40" s="7"/>
      <c r="P40" s="7"/>
      <c r="Q40" s="7"/>
    </row>
    <row r="41" spans="2:17" x14ac:dyDescent="0.2">
      <c r="B41" s="1"/>
      <c r="C41" s="1"/>
      <c r="D41" s="7"/>
      <c r="E41" s="7"/>
      <c r="F41" s="7"/>
      <c r="G41" s="7"/>
      <c r="H41" s="7"/>
      <c r="I41" s="7"/>
      <c r="L41" s="7"/>
      <c r="M41" s="7"/>
      <c r="N41" s="7"/>
      <c r="O41" s="7"/>
      <c r="P41" s="7"/>
      <c r="Q41" s="7"/>
    </row>
    <row r="42" spans="2:17" x14ac:dyDescent="0.2">
      <c r="B42" s="1"/>
      <c r="C42" s="1"/>
      <c r="D42" s="7"/>
      <c r="E42" s="7"/>
      <c r="F42" s="7"/>
      <c r="G42" s="7"/>
      <c r="H42" s="7"/>
      <c r="I42" s="7"/>
      <c r="L42" s="7"/>
      <c r="M42" s="7"/>
      <c r="N42" s="7"/>
      <c r="O42" s="7"/>
      <c r="P42" s="7"/>
      <c r="Q42" s="7"/>
    </row>
    <row r="43" spans="2:17" x14ac:dyDescent="0.2">
      <c r="B43" s="1"/>
      <c r="C43" s="1"/>
      <c r="D43" s="7"/>
      <c r="E43" s="7"/>
      <c r="F43" s="7"/>
      <c r="G43" s="7"/>
      <c r="H43" s="7"/>
      <c r="I43" s="7"/>
      <c r="L43" s="7"/>
      <c r="M43" s="7"/>
      <c r="N43" s="7"/>
      <c r="O43" s="7"/>
      <c r="P43" s="7"/>
      <c r="Q43" s="7"/>
    </row>
    <row r="44" spans="2:17" x14ac:dyDescent="0.2">
      <c r="B44" s="1"/>
      <c r="C44" s="1"/>
      <c r="D44" s="7"/>
      <c r="E44" s="7"/>
      <c r="F44" s="7"/>
      <c r="G44" s="7"/>
      <c r="H44" s="7"/>
      <c r="I44" s="7"/>
      <c r="L44" s="7"/>
      <c r="M44" s="7"/>
      <c r="N44" s="7"/>
      <c r="O44" s="7"/>
      <c r="P44" s="7"/>
      <c r="Q44" s="7"/>
    </row>
    <row r="45" spans="2:17" x14ac:dyDescent="0.2">
      <c r="B45" s="1"/>
      <c r="C45" s="1"/>
      <c r="D45" s="7"/>
      <c r="E45" s="7"/>
      <c r="F45" s="7"/>
      <c r="G45" s="7"/>
      <c r="H45" s="7"/>
      <c r="I45" s="7"/>
      <c r="L45" s="7"/>
      <c r="M45" s="7"/>
      <c r="N45" s="7"/>
      <c r="O45" s="7"/>
      <c r="P45" s="7"/>
      <c r="Q45" s="7"/>
    </row>
    <row r="46" spans="2:17" x14ac:dyDescent="0.2">
      <c r="B46" s="1"/>
      <c r="C46" s="1"/>
      <c r="D46" s="7"/>
      <c r="E46" s="7"/>
      <c r="F46" s="7"/>
      <c r="G46" s="7"/>
      <c r="H46" s="7"/>
      <c r="I46" s="7"/>
      <c r="L46" s="7"/>
      <c r="M46" s="7"/>
      <c r="N46" s="7"/>
      <c r="O46" s="7"/>
      <c r="P46" s="7"/>
      <c r="Q46" s="7"/>
    </row>
    <row r="47" spans="2:17" x14ac:dyDescent="0.2">
      <c r="B47" s="1"/>
      <c r="C47" s="1"/>
      <c r="D47" s="7"/>
      <c r="E47" s="7"/>
      <c r="F47" s="7"/>
      <c r="G47" s="7"/>
      <c r="H47" s="7"/>
      <c r="I47" s="7"/>
      <c r="L47" s="7"/>
      <c r="M47" s="7"/>
      <c r="N47" s="7"/>
      <c r="O47" s="7"/>
      <c r="P47" s="7"/>
      <c r="Q47" s="7"/>
    </row>
    <row r="48" spans="2:17" x14ac:dyDescent="0.2">
      <c r="B48" s="1"/>
      <c r="C48" s="1"/>
      <c r="D48" s="7"/>
      <c r="E48" s="7"/>
      <c r="F48" s="7"/>
      <c r="G48" s="7"/>
      <c r="H48" s="7"/>
      <c r="I48" s="7"/>
      <c r="L48" s="7"/>
      <c r="M48" s="7"/>
      <c r="N48" s="7"/>
      <c r="O48" s="7"/>
      <c r="P48" s="7"/>
      <c r="Q48" s="7"/>
    </row>
    <row r="49" spans="2:17" x14ac:dyDescent="0.2">
      <c r="B49" s="1"/>
      <c r="C49" s="1"/>
      <c r="D49" s="7"/>
      <c r="E49" s="7"/>
      <c r="F49" s="7"/>
      <c r="G49" s="7"/>
      <c r="H49" s="7"/>
      <c r="I49" s="7"/>
      <c r="L49" s="7"/>
      <c r="M49" s="7"/>
      <c r="N49" s="7"/>
      <c r="O49" s="7"/>
      <c r="P49" s="7"/>
      <c r="Q49" s="7"/>
    </row>
    <row r="50" spans="2:17" x14ac:dyDescent="0.2">
      <c r="B50" s="1"/>
      <c r="C50" s="1"/>
      <c r="D50" s="7"/>
      <c r="E50" s="7"/>
      <c r="F50" s="7"/>
      <c r="G50" s="7"/>
      <c r="H50" s="7"/>
      <c r="I50" s="7"/>
      <c r="L50" s="7"/>
      <c r="M50" s="7"/>
      <c r="N50" s="7"/>
      <c r="O50" s="7"/>
      <c r="P50" s="7"/>
      <c r="Q50" s="7"/>
    </row>
    <row r="51" spans="2:17" x14ac:dyDescent="0.2">
      <c r="B51" s="1"/>
      <c r="C51" s="1"/>
      <c r="D51" s="7"/>
      <c r="E51" s="7"/>
      <c r="F51" s="7"/>
      <c r="G51" s="7"/>
      <c r="H51" s="7"/>
      <c r="I51" s="7"/>
      <c r="L51" s="7"/>
      <c r="M51" s="7"/>
      <c r="N51" s="7"/>
      <c r="O51" s="7"/>
      <c r="P51" s="7"/>
      <c r="Q51" s="7"/>
    </row>
    <row r="52" spans="2:17" x14ac:dyDescent="0.2">
      <c r="B52" s="1"/>
      <c r="C52" s="1"/>
      <c r="D52" s="7"/>
      <c r="E52" s="7"/>
      <c r="F52" s="7"/>
      <c r="G52" s="7"/>
      <c r="H52" s="7"/>
      <c r="I52" s="7"/>
      <c r="L52" s="7"/>
      <c r="M52" s="7"/>
      <c r="N52" s="7"/>
      <c r="O52" s="7"/>
      <c r="P52" s="7"/>
      <c r="Q52" s="7"/>
    </row>
    <row r="53" spans="2:17" x14ac:dyDescent="0.2">
      <c r="B53" s="1"/>
      <c r="C53" s="1"/>
      <c r="D53" s="7"/>
      <c r="E53" s="7"/>
      <c r="F53" s="7"/>
      <c r="G53" s="7"/>
      <c r="H53" s="7"/>
      <c r="I53" s="7"/>
      <c r="L53" s="7"/>
      <c r="M53" s="7"/>
      <c r="N53" s="7"/>
      <c r="O53" s="7"/>
      <c r="P53" s="7"/>
      <c r="Q53" s="7"/>
    </row>
    <row r="54" spans="2:17" x14ac:dyDescent="0.2">
      <c r="B54" s="1"/>
      <c r="C54" s="1"/>
      <c r="D54" s="7"/>
      <c r="E54" s="7"/>
      <c r="F54" s="7"/>
      <c r="G54" s="7"/>
      <c r="H54" s="7"/>
      <c r="I54" s="7"/>
      <c r="L54" s="7"/>
      <c r="M54" s="7"/>
      <c r="N54" s="7"/>
      <c r="O54" s="7"/>
      <c r="P54" s="7"/>
      <c r="Q54" s="7"/>
    </row>
    <row r="55" spans="2:17" x14ac:dyDescent="0.2">
      <c r="B55" s="1"/>
      <c r="C55" s="1"/>
      <c r="D55" s="7"/>
      <c r="E55" s="7"/>
      <c r="F55" s="7"/>
      <c r="G55" s="7"/>
      <c r="H55" s="7"/>
      <c r="I55" s="7"/>
      <c r="L55" s="7"/>
      <c r="M55" s="7"/>
      <c r="N55" s="7"/>
      <c r="O55" s="7"/>
      <c r="P55" s="7"/>
      <c r="Q55" s="7"/>
    </row>
    <row r="56" spans="2:17" x14ac:dyDescent="0.2">
      <c r="B56" s="1"/>
      <c r="C56" s="1"/>
      <c r="D56" s="7"/>
      <c r="E56" s="7"/>
      <c r="F56" s="7"/>
      <c r="G56" s="7"/>
      <c r="H56" s="7"/>
      <c r="I56" s="7"/>
      <c r="L56" s="7"/>
      <c r="M56" s="7"/>
      <c r="N56" s="7"/>
      <c r="O56" s="7"/>
      <c r="P56" s="7"/>
      <c r="Q56" s="7"/>
    </row>
    <row r="57" spans="2:17" x14ac:dyDescent="0.2">
      <c r="B57" s="1"/>
      <c r="C57" s="1"/>
      <c r="D57" s="7"/>
      <c r="E57" s="7"/>
      <c r="F57" s="7"/>
      <c r="G57" s="7"/>
      <c r="H57" s="7"/>
      <c r="I57" s="7"/>
      <c r="L57" s="7"/>
      <c r="M57" s="7"/>
      <c r="N57" s="7"/>
      <c r="O57" s="7"/>
      <c r="P57" s="7"/>
      <c r="Q57" s="7"/>
    </row>
    <row r="58" spans="2:17" x14ac:dyDescent="0.2">
      <c r="B58" s="1"/>
      <c r="C58" s="1"/>
      <c r="D58" s="7"/>
      <c r="E58" s="7"/>
      <c r="F58" s="7"/>
      <c r="G58" s="7"/>
      <c r="H58" s="7"/>
      <c r="I58" s="7"/>
      <c r="L58" s="7"/>
      <c r="M58" s="7"/>
      <c r="N58" s="7"/>
      <c r="O58" s="7"/>
      <c r="P58" s="7"/>
      <c r="Q58" s="7"/>
    </row>
    <row r="59" spans="2:17" x14ac:dyDescent="0.2">
      <c r="B59" s="1"/>
      <c r="C59" s="1"/>
      <c r="D59" s="7"/>
      <c r="E59" s="7"/>
      <c r="F59" s="7"/>
      <c r="G59" s="7"/>
      <c r="H59" s="7"/>
      <c r="I59" s="7"/>
      <c r="L59" s="7"/>
      <c r="M59" s="7"/>
      <c r="N59" s="7"/>
      <c r="O59" s="7"/>
      <c r="P59" s="7"/>
      <c r="Q59" s="7"/>
    </row>
    <row r="60" spans="2:17" x14ac:dyDescent="0.2">
      <c r="B60" s="1"/>
      <c r="C60" s="1"/>
      <c r="D60" s="7"/>
      <c r="E60" s="7"/>
      <c r="F60" s="7"/>
      <c r="G60" s="7"/>
      <c r="H60" s="7"/>
      <c r="I60" s="7"/>
      <c r="L60" s="7"/>
      <c r="M60" s="7"/>
      <c r="N60" s="7"/>
      <c r="O60" s="7"/>
      <c r="P60" s="7"/>
      <c r="Q60" s="7"/>
    </row>
    <row r="61" spans="2:17" x14ac:dyDescent="0.2">
      <c r="B61" s="1"/>
      <c r="C61" s="1"/>
      <c r="D61" s="7"/>
      <c r="E61" s="7"/>
      <c r="F61" s="7"/>
      <c r="G61" s="7"/>
      <c r="H61" s="7"/>
      <c r="I61" s="7"/>
      <c r="L61" s="7"/>
      <c r="M61" s="7"/>
      <c r="N61" s="7"/>
      <c r="O61" s="7"/>
      <c r="P61" s="7"/>
      <c r="Q61" s="7"/>
    </row>
    <row r="62" spans="2:17" x14ac:dyDescent="0.2">
      <c r="B62" s="1"/>
      <c r="C62" s="1"/>
      <c r="D62" s="7"/>
      <c r="E62" s="7"/>
      <c r="F62" s="7"/>
      <c r="G62" s="7"/>
      <c r="H62" s="7"/>
      <c r="I62" s="7"/>
      <c r="L62" s="7"/>
      <c r="M62" s="7"/>
      <c r="N62" s="7"/>
      <c r="O62" s="7"/>
      <c r="P62" s="7"/>
      <c r="Q62" s="7"/>
    </row>
    <row r="63" spans="2:17" x14ac:dyDescent="0.2">
      <c r="B63" s="1"/>
      <c r="C63" s="1"/>
      <c r="D63" s="7"/>
      <c r="E63" s="7"/>
      <c r="F63" s="7"/>
      <c r="G63" s="7"/>
      <c r="H63" s="7"/>
      <c r="I63" s="7"/>
      <c r="L63" s="7"/>
      <c r="M63" s="7"/>
      <c r="N63" s="7"/>
      <c r="O63" s="7"/>
      <c r="P63" s="7"/>
      <c r="Q63" s="7"/>
    </row>
    <row r="64" spans="2:17" x14ac:dyDescent="0.2">
      <c r="B64" s="1"/>
      <c r="C64" s="1"/>
      <c r="D64" s="7"/>
      <c r="E64" s="7"/>
      <c r="F64" s="7"/>
      <c r="G64" s="7"/>
      <c r="H64" s="7"/>
      <c r="I64" s="7"/>
      <c r="L64" s="7"/>
      <c r="M64" s="7"/>
      <c r="N64" s="7"/>
      <c r="O64" s="7"/>
      <c r="P64" s="7"/>
      <c r="Q64" s="7"/>
    </row>
    <row r="65" spans="2:17" x14ac:dyDescent="0.2">
      <c r="B65" s="1"/>
      <c r="C65" s="1"/>
      <c r="D65" s="7"/>
      <c r="E65" s="7"/>
      <c r="F65" s="7"/>
      <c r="G65" s="7"/>
      <c r="H65" s="7"/>
      <c r="I65" s="7"/>
      <c r="L65" s="7"/>
      <c r="M65" s="7"/>
      <c r="N65" s="7"/>
      <c r="O65" s="7"/>
      <c r="P65" s="7"/>
      <c r="Q65" s="7"/>
    </row>
    <row r="66" spans="2:17" x14ac:dyDescent="0.2">
      <c r="B66" s="1"/>
      <c r="C66" s="1"/>
      <c r="D66" s="7"/>
      <c r="E66" s="7"/>
      <c r="F66" s="7"/>
      <c r="G66" s="7"/>
      <c r="H66" s="7"/>
      <c r="I66" s="7"/>
      <c r="L66" s="7"/>
      <c r="M66" s="7"/>
      <c r="N66" s="7"/>
      <c r="O66" s="7"/>
      <c r="P66" s="7"/>
      <c r="Q66" s="7"/>
    </row>
    <row r="67" spans="2:17" x14ac:dyDescent="0.2">
      <c r="B67" s="1"/>
      <c r="C67" s="1"/>
      <c r="D67" s="7"/>
      <c r="E67" s="7"/>
      <c r="F67" s="7"/>
      <c r="G67" s="7"/>
      <c r="H67" s="7"/>
      <c r="I67" s="7"/>
      <c r="L67" s="7"/>
      <c r="M67" s="7"/>
      <c r="N67" s="7"/>
      <c r="O67" s="7"/>
      <c r="P67" s="7"/>
      <c r="Q67" s="7"/>
    </row>
    <row r="68" spans="2:17" x14ac:dyDescent="0.2">
      <c r="B68" s="1"/>
      <c r="C68" s="1"/>
      <c r="D68" s="7"/>
      <c r="E68" s="7"/>
      <c r="F68" s="7"/>
      <c r="G68" s="7"/>
      <c r="H68" s="7"/>
      <c r="I68" s="7"/>
      <c r="L68" s="7"/>
      <c r="M68" s="7"/>
      <c r="N68" s="7"/>
      <c r="O68" s="7"/>
      <c r="P68" s="7"/>
      <c r="Q68" s="7"/>
    </row>
    <row r="69" spans="2:17" x14ac:dyDescent="0.2">
      <c r="B69" s="1"/>
      <c r="C69" s="1"/>
      <c r="D69" s="7"/>
      <c r="E69" s="7"/>
      <c r="F69" s="7"/>
      <c r="G69" s="7"/>
      <c r="H69" s="7"/>
      <c r="I69" s="7"/>
      <c r="L69" s="7"/>
      <c r="M69" s="7"/>
      <c r="N69" s="7"/>
      <c r="O69" s="7"/>
      <c r="P69" s="7"/>
      <c r="Q69" s="7"/>
    </row>
    <row r="70" spans="2:17" x14ac:dyDescent="0.2">
      <c r="B70" s="1"/>
      <c r="C70" s="1"/>
      <c r="D70" s="7"/>
      <c r="E70" s="7"/>
      <c r="F70" s="7"/>
      <c r="G70" s="7"/>
      <c r="H70" s="7"/>
      <c r="I70" s="7"/>
      <c r="L70" s="7"/>
      <c r="M70" s="7"/>
      <c r="N70" s="7"/>
      <c r="O70" s="7"/>
      <c r="P70" s="7"/>
      <c r="Q70" s="7"/>
    </row>
    <row r="71" spans="2:17" x14ac:dyDescent="0.2">
      <c r="B71" s="1"/>
      <c r="C71" s="1"/>
      <c r="D71" s="7"/>
      <c r="E71" s="7"/>
      <c r="F71" s="7"/>
      <c r="G71" s="7"/>
      <c r="H71" s="7"/>
      <c r="I71" s="7"/>
      <c r="L71" s="7"/>
      <c r="M71" s="7"/>
      <c r="N71" s="7"/>
      <c r="O71" s="7"/>
      <c r="P71" s="7"/>
      <c r="Q71" s="7"/>
    </row>
    <row r="72" spans="2:17" x14ac:dyDescent="0.2">
      <c r="B72" s="1"/>
      <c r="C72" s="1"/>
      <c r="D72" s="7"/>
      <c r="E72" s="7"/>
      <c r="F72" s="7"/>
      <c r="G72" s="7"/>
      <c r="H72" s="7"/>
      <c r="I72" s="7"/>
      <c r="L72" s="7"/>
      <c r="M72" s="7"/>
      <c r="N72" s="7"/>
      <c r="O72" s="7"/>
      <c r="P72" s="7"/>
      <c r="Q72" s="7"/>
    </row>
    <row r="73" spans="2:17" x14ac:dyDescent="0.2">
      <c r="B73" s="1"/>
      <c r="C73" s="1"/>
      <c r="D73" s="7"/>
      <c r="E73" s="7"/>
      <c r="F73" s="7"/>
      <c r="G73" s="7"/>
      <c r="H73" s="7"/>
      <c r="I73" s="7"/>
      <c r="L73" s="7"/>
      <c r="M73" s="7"/>
      <c r="N73" s="7"/>
      <c r="O73" s="7"/>
      <c r="P73" s="7"/>
      <c r="Q73" s="7"/>
    </row>
    <row r="74" spans="2:17" x14ac:dyDescent="0.2">
      <c r="B74" s="1"/>
      <c r="C74" s="1"/>
      <c r="D74" s="7"/>
      <c r="E74" s="7"/>
      <c r="F74" s="7"/>
      <c r="G74" s="7"/>
      <c r="H74" s="7"/>
      <c r="I74" s="7"/>
      <c r="L74" s="7"/>
      <c r="M74" s="7"/>
      <c r="N74" s="7"/>
      <c r="O74" s="7"/>
      <c r="P74" s="7"/>
      <c r="Q74" s="7"/>
    </row>
    <row r="75" spans="2:17" x14ac:dyDescent="0.2">
      <c r="B75" s="1"/>
      <c r="C75" s="1"/>
      <c r="D75" s="7"/>
      <c r="E75" s="7"/>
      <c r="F75" s="7"/>
      <c r="G75" s="7"/>
      <c r="H75" s="7"/>
      <c r="I75" s="7"/>
      <c r="L75" s="7"/>
      <c r="M75" s="7"/>
      <c r="N75" s="7"/>
      <c r="O75" s="7"/>
      <c r="P75" s="7"/>
      <c r="Q75" s="7"/>
    </row>
    <row r="76" spans="2:17" x14ac:dyDescent="0.2">
      <c r="B76" s="1"/>
      <c r="C76" s="1"/>
      <c r="D76" s="7"/>
      <c r="E76" s="7"/>
      <c r="F76" s="7"/>
      <c r="G76" s="7"/>
      <c r="H76" s="7"/>
      <c r="I76" s="7"/>
      <c r="L76" s="7"/>
      <c r="M76" s="7"/>
      <c r="N76" s="7"/>
      <c r="O76" s="7"/>
      <c r="P76" s="7"/>
      <c r="Q76" s="7"/>
    </row>
    <row r="77" spans="2:17" x14ac:dyDescent="0.2">
      <c r="B77" s="1"/>
      <c r="C77" s="1"/>
      <c r="D77" s="7"/>
      <c r="E77" s="7"/>
      <c r="F77" s="7"/>
      <c r="G77" s="7"/>
      <c r="H77" s="7"/>
      <c r="I77" s="7"/>
      <c r="L77" s="7"/>
      <c r="M77" s="7"/>
      <c r="N77" s="7"/>
      <c r="O77" s="7"/>
      <c r="P77" s="7"/>
      <c r="Q77" s="7"/>
    </row>
    <row r="78" spans="2:17" x14ac:dyDescent="0.2">
      <c r="B78" s="1"/>
      <c r="C78" s="1"/>
      <c r="D78" s="7"/>
      <c r="E78" s="7"/>
      <c r="F78" s="7"/>
      <c r="G78" s="7"/>
      <c r="H78" s="7"/>
      <c r="I78" s="7"/>
      <c r="L78" s="7"/>
      <c r="M78" s="7"/>
      <c r="N78" s="7"/>
      <c r="O78" s="7"/>
      <c r="P78" s="7"/>
      <c r="Q78" s="7"/>
    </row>
    <row r="79" spans="2:17" x14ac:dyDescent="0.2">
      <c r="B79" s="1"/>
      <c r="C79" s="1"/>
      <c r="D79" s="7"/>
      <c r="E79" s="7"/>
      <c r="F79" s="7"/>
      <c r="G79" s="7"/>
      <c r="H79" s="7"/>
      <c r="I79" s="7"/>
      <c r="L79" s="7"/>
      <c r="M79" s="7"/>
      <c r="N79" s="7"/>
      <c r="O79" s="7"/>
      <c r="P79" s="7"/>
      <c r="Q79" s="7"/>
    </row>
    <row r="80" spans="2:17" x14ac:dyDescent="0.2">
      <c r="B80" s="1"/>
      <c r="C80" s="1"/>
      <c r="D80" s="7"/>
      <c r="E80" s="7"/>
      <c r="F80" s="7"/>
      <c r="G80" s="7"/>
      <c r="H80" s="7"/>
      <c r="I80" s="7"/>
      <c r="L80" s="7"/>
      <c r="M80" s="7"/>
      <c r="N80" s="7"/>
      <c r="O80" s="7"/>
      <c r="P80" s="7"/>
      <c r="Q80" s="7"/>
    </row>
    <row r="81" spans="2:17" x14ac:dyDescent="0.2">
      <c r="B81" s="1"/>
      <c r="C81" s="1"/>
      <c r="D81" s="7"/>
      <c r="E81" s="7"/>
      <c r="F81" s="7"/>
      <c r="G81" s="7"/>
      <c r="H81" s="7"/>
      <c r="I81" s="7"/>
      <c r="L81" s="7"/>
      <c r="M81" s="7"/>
      <c r="N81" s="7"/>
      <c r="O81" s="7"/>
      <c r="P81" s="7"/>
      <c r="Q81" s="7"/>
    </row>
    <row r="82" spans="2:17" x14ac:dyDescent="0.2">
      <c r="B82" s="1"/>
      <c r="C82" s="1"/>
      <c r="D82" s="7"/>
      <c r="E82" s="7"/>
      <c r="F82" s="7"/>
      <c r="G82" s="7"/>
      <c r="H82" s="7"/>
      <c r="I82" s="7"/>
      <c r="L82" s="7"/>
      <c r="M82" s="7"/>
      <c r="N82" s="7"/>
      <c r="O82" s="7"/>
      <c r="P82" s="7"/>
      <c r="Q82" s="7"/>
    </row>
    <row r="83" spans="2:17" x14ac:dyDescent="0.2">
      <c r="B83" s="1"/>
      <c r="C83" s="1"/>
      <c r="D83" s="7"/>
      <c r="E83" s="7"/>
      <c r="F83" s="7"/>
      <c r="G83" s="7"/>
      <c r="H83" s="7"/>
      <c r="I83" s="7"/>
      <c r="L83" s="7"/>
      <c r="M83" s="7"/>
      <c r="N83" s="7"/>
      <c r="O83" s="7"/>
      <c r="P83" s="7"/>
      <c r="Q83" s="7"/>
    </row>
    <row r="84" spans="2:17" x14ac:dyDescent="0.2">
      <c r="B84" s="1"/>
      <c r="C84" s="1"/>
      <c r="D84" s="7"/>
      <c r="E84" s="7"/>
      <c r="F84" s="7"/>
      <c r="G84" s="7"/>
      <c r="H84" s="7"/>
      <c r="I84" s="7"/>
      <c r="L84" s="7"/>
      <c r="M84" s="7"/>
      <c r="N84" s="7"/>
      <c r="O84" s="7"/>
      <c r="P84" s="7"/>
      <c r="Q84" s="7"/>
    </row>
    <row r="85" spans="2:17" x14ac:dyDescent="0.2">
      <c r="B85" s="1"/>
      <c r="C85" s="1"/>
      <c r="D85" s="7"/>
      <c r="E85" s="7"/>
      <c r="F85" s="7"/>
      <c r="G85" s="7"/>
      <c r="H85" s="7"/>
      <c r="I85" s="7"/>
      <c r="L85" s="7"/>
      <c r="M85" s="7"/>
      <c r="N85" s="7"/>
      <c r="O85" s="7"/>
      <c r="P85" s="7"/>
      <c r="Q85" s="7"/>
    </row>
    <row r="86" spans="2:17" x14ac:dyDescent="0.2">
      <c r="B86" s="1"/>
      <c r="C86" s="1"/>
      <c r="D86" s="7"/>
      <c r="E86" s="7"/>
      <c r="F86" s="7"/>
      <c r="G86" s="7"/>
      <c r="H86" s="7"/>
      <c r="I86" s="7"/>
      <c r="L86" s="7"/>
      <c r="M86" s="7"/>
      <c r="N86" s="7"/>
      <c r="O86" s="7"/>
      <c r="P86" s="7"/>
      <c r="Q86" s="7"/>
    </row>
    <row r="87" spans="2:17" x14ac:dyDescent="0.2">
      <c r="B87" s="1"/>
      <c r="C87" s="1"/>
      <c r="D87" s="7"/>
      <c r="E87" s="7"/>
      <c r="F87" s="7"/>
      <c r="G87" s="7"/>
      <c r="H87" s="7"/>
      <c r="I87" s="7"/>
      <c r="L87" s="7"/>
      <c r="M87" s="7"/>
      <c r="N87" s="7"/>
      <c r="O87" s="7"/>
      <c r="P87" s="7"/>
      <c r="Q87" s="7"/>
    </row>
    <row r="88" spans="2:17" x14ac:dyDescent="0.2">
      <c r="B88" s="1"/>
      <c r="C88" s="1"/>
      <c r="D88" s="7"/>
      <c r="E88" s="7"/>
      <c r="F88" s="7"/>
      <c r="G88" s="7"/>
      <c r="H88" s="7"/>
      <c r="I88" s="7"/>
      <c r="L88" s="7"/>
      <c r="M88" s="7"/>
      <c r="N88" s="7"/>
      <c r="O88" s="7"/>
      <c r="P88" s="7"/>
      <c r="Q88" s="7"/>
    </row>
    <row r="89" spans="2:17" x14ac:dyDescent="0.2">
      <c r="B89" s="1"/>
      <c r="C89" s="1"/>
      <c r="D89" s="7"/>
      <c r="E89" s="7"/>
      <c r="F89" s="7"/>
      <c r="G89" s="7"/>
      <c r="H89" s="7"/>
      <c r="I89" s="7"/>
      <c r="L89" s="7"/>
      <c r="M89" s="7"/>
      <c r="N89" s="7"/>
      <c r="O89" s="7"/>
      <c r="P89" s="7"/>
      <c r="Q89" s="7"/>
    </row>
    <row r="90" spans="2:17" x14ac:dyDescent="0.2">
      <c r="B90" s="1"/>
      <c r="C90" s="1"/>
      <c r="D90" s="7"/>
      <c r="E90" s="7"/>
      <c r="F90" s="7"/>
      <c r="G90" s="7"/>
      <c r="H90" s="7"/>
      <c r="I90" s="7"/>
      <c r="L90" s="7"/>
      <c r="M90" s="7"/>
      <c r="N90" s="7"/>
      <c r="O90" s="7"/>
      <c r="P90" s="7"/>
      <c r="Q90" s="7"/>
    </row>
    <row r="91" spans="2:17" x14ac:dyDescent="0.2">
      <c r="B91" s="1"/>
      <c r="C91" s="1"/>
      <c r="D91" s="7"/>
      <c r="E91" s="7"/>
      <c r="F91" s="7"/>
      <c r="G91" s="7"/>
      <c r="H91" s="7"/>
      <c r="I91" s="7"/>
      <c r="L91" s="7"/>
      <c r="M91" s="7"/>
      <c r="N91" s="7"/>
      <c r="O91" s="7"/>
      <c r="P91" s="7"/>
      <c r="Q91" s="7"/>
    </row>
    <row r="92" spans="2:17" x14ac:dyDescent="0.2">
      <c r="B92" s="1"/>
      <c r="C92" s="1"/>
      <c r="D92" s="7"/>
      <c r="E92" s="7"/>
      <c r="F92" s="7"/>
      <c r="G92" s="7"/>
      <c r="H92" s="7"/>
      <c r="I92" s="7"/>
      <c r="L92" s="7"/>
      <c r="M92" s="7"/>
      <c r="N92" s="7"/>
      <c r="O92" s="7"/>
      <c r="P92" s="7"/>
      <c r="Q92" s="7"/>
    </row>
    <row r="93" spans="2:17" x14ac:dyDescent="0.2">
      <c r="B93" s="1"/>
      <c r="C93" s="1"/>
      <c r="D93" s="7"/>
      <c r="E93" s="7"/>
      <c r="F93" s="7"/>
      <c r="G93" s="7"/>
      <c r="H93" s="7"/>
      <c r="I93" s="7"/>
      <c r="L93" s="7"/>
      <c r="M93" s="7"/>
      <c r="N93" s="7"/>
      <c r="O93" s="7"/>
      <c r="P93" s="7"/>
      <c r="Q93" s="7"/>
    </row>
    <row r="94" spans="2:17" x14ac:dyDescent="0.2">
      <c r="B94" s="1"/>
      <c r="C94" s="1"/>
      <c r="D94" s="7"/>
      <c r="E94" s="7"/>
      <c r="F94" s="7"/>
      <c r="G94" s="7"/>
      <c r="H94" s="7"/>
      <c r="I94" s="7"/>
      <c r="L94" s="7"/>
      <c r="M94" s="7"/>
      <c r="N94" s="7"/>
      <c r="O94" s="7"/>
      <c r="P94" s="7"/>
      <c r="Q94" s="7"/>
    </row>
    <row r="95" spans="2:17" x14ac:dyDescent="0.2">
      <c r="B95" s="1"/>
      <c r="C95" s="1"/>
      <c r="D95" s="7"/>
      <c r="E95" s="7"/>
      <c r="F95" s="7"/>
      <c r="G95" s="7"/>
      <c r="H95" s="7"/>
      <c r="I95" s="7"/>
      <c r="L95" s="7"/>
      <c r="M95" s="7"/>
      <c r="N95" s="7"/>
      <c r="O95" s="7"/>
      <c r="P95" s="7"/>
      <c r="Q95" s="7"/>
    </row>
    <row r="96" spans="2:17" x14ac:dyDescent="0.2">
      <c r="B96" s="1"/>
      <c r="C96" s="1"/>
      <c r="D96" s="7"/>
      <c r="E96" s="7"/>
      <c r="F96" s="7"/>
      <c r="G96" s="7"/>
      <c r="H96" s="7"/>
      <c r="I96" s="7"/>
      <c r="L96" s="7"/>
      <c r="M96" s="7"/>
      <c r="N96" s="7"/>
      <c r="O96" s="7"/>
      <c r="P96" s="7"/>
      <c r="Q96" s="7"/>
    </row>
    <row r="97" spans="2:17" x14ac:dyDescent="0.2">
      <c r="B97" s="1"/>
      <c r="C97" s="1"/>
      <c r="D97" s="7"/>
      <c r="E97" s="7"/>
      <c r="F97" s="7"/>
      <c r="G97" s="7"/>
      <c r="H97" s="7"/>
      <c r="I97" s="7"/>
      <c r="L97" s="7"/>
      <c r="M97" s="7"/>
      <c r="N97" s="7"/>
      <c r="O97" s="7"/>
      <c r="P97" s="7"/>
      <c r="Q97" s="7"/>
    </row>
    <row r="98" spans="2:17" x14ac:dyDescent="0.2">
      <c r="B98" s="1"/>
      <c r="C98" s="1"/>
      <c r="D98" s="7"/>
      <c r="E98" s="7"/>
      <c r="F98" s="7"/>
      <c r="G98" s="7"/>
      <c r="H98" s="7"/>
      <c r="I98" s="7"/>
      <c r="L98" s="7"/>
      <c r="M98" s="7"/>
      <c r="N98" s="7"/>
      <c r="O98" s="7"/>
      <c r="P98" s="7"/>
      <c r="Q98" s="7"/>
    </row>
    <row r="99" spans="2:17" x14ac:dyDescent="0.2">
      <c r="B99" s="1"/>
      <c r="C99" s="1"/>
      <c r="D99" s="7"/>
      <c r="E99" s="7"/>
      <c r="F99" s="7"/>
      <c r="G99" s="7"/>
      <c r="H99" s="7"/>
      <c r="I99" s="7"/>
      <c r="L99" s="7"/>
      <c r="M99" s="7"/>
      <c r="N99" s="7"/>
      <c r="O99" s="7"/>
      <c r="P99" s="7"/>
      <c r="Q99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Savio Leung</cp:lastModifiedBy>
  <cp:revision/>
  <dcterms:created xsi:type="dcterms:W3CDTF">2016-09-19T10:41:46Z</dcterms:created>
  <dcterms:modified xsi:type="dcterms:W3CDTF">2022-04-08T09:13:56Z</dcterms:modified>
  <cp:category/>
  <cp:contentStatus/>
</cp:coreProperties>
</file>