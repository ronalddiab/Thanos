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genergy.sharepoint.com/sites/projektek/Megosztott dokumentumok/100_Partnerek/166_Gresham/11_SZR/2022/2022.01.04 - 2021M12/"/>
    </mc:Choice>
  </mc:AlternateContent>
  <xr:revisionPtr revIDLastSave="100" documentId="11_9743BF6CC33D4A77815015AF80CEA529EBE74E7D" xr6:coauthVersionLast="47" xr6:coauthVersionMax="47" xr10:uidLastSave="{6787B756-D078-4F8D-A689-4ECE7A0010A8}"/>
  <bookViews>
    <workbookView xWindow="810" yWindow="-120" windowWidth="28110" windowHeight="18240" activeTab="2" xr2:uid="{00000000-000D-0000-FFFF-FFFF00000000}"/>
  </bookViews>
  <sheets>
    <sheet name="TOTAL" sheetId="5" r:id="rId1"/>
    <sheet name="Submetering" sheetId="7" r:id="rId2"/>
    <sheet name="FS Budapest" sheetId="6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" i="7"/>
  <c r="D2" i="7"/>
  <c r="D4" i="5"/>
  <c r="D5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" i="5"/>
  <c r="C2" i="7"/>
  <c r="C3" i="7" l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AG32" i="7"/>
  <c r="L32" i="5" s="1"/>
  <c r="AF32" i="7"/>
  <c r="K32" i="5" s="1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B32" i="7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B32" i="5"/>
  <c r="J32" i="5"/>
  <c r="R2" i="7"/>
  <c r="Q3" i="7"/>
  <c r="Q5" i="7"/>
  <c r="G6" i="7"/>
  <c r="Q7" i="7"/>
  <c r="S8" i="7"/>
  <c r="R8" i="7"/>
  <c r="Q9" i="7"/>
  <c r="Q11" i="7"/>
  <c r="R11" i="7"/>
  <c r="Q13" i="7"/>
  <c r="R13" i="7"/>
  <c r="G14" i="7"/>
  <c r="Q15" i="7"/>
  <c r="R16" i="7"/>
  <c r="Q17" i="7"/>
  <c r="R17" i="7"/>
  <c r="Q19" i="7"/>
  <c r="R19" i="7"/>
  <c r="Q21" i="7"/>
  <c r="R21" i="7"/>
  <c r="G22" i="7"/>
  <c r="Q23" i="7"/>
  <c r="R23" i="7"/>
  <c r="R24" i="7"/>
  <c r="Q25" i="7"/>
  <c r="Q26" i="7"/>
  <c r="Q27" i="7"/>
  <c r="S28" i="7"/>
  <c r="Q29" i="7"/>
  <c r="R29" i="7"/>
  <c r="S30" i="7"/>
  <c r="R30" i="7"/>
  <c r="Q31" i="7"/>
  <c r="Q2" i="7"/>
  <c r="Z29" i="7"/>
  <c r="Z28" i="7"/>
  <c r="R25" i="7"/>
  <c r="Z18" i="7"/>
  <c r="Z11" i="7"/>
  <c r="R10" i="7"/>
  <c r="Q8" i="7"/>
  <c r="Q6" i="7"/>
  <c r="R3" i="7"/>
  <c r="Z2" i="7"/>
  <c r="H7" i="7"/>
  <c r="H8" i="7"/>
  <c r="H9" i="7"/>
  <c r="H10" i="7"/>
  <c r="H11" i="7"/>
  <c r="H12" i="7"/>
  <c r="H13" i="7"/>
  <c r="H14" i="7"/>
  <c r="R15" i="7"/>
  <c r="Q10" i="7"/>
  <c r="R9" i="7"/>
  <c r="AF3" i="7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 i="7"/>
  <c r="AB3" i="7"/>
  <c r="AD3" i="7"/>
  <c r="AE3" i="7"/>
  <c r="X4" i="7"/>
  <c r="Y4" i="7"/>
  <c r="AB4" i="7"/>
  <c r="AD4" i="7"/>
  <c r="AE4" i="7"/>
  <c r="X5" i="7"/>
  <c r="Y5" i="7"/>
  <c r="AB5" i="7"/>
  <c r="AD5" i="7"/>
  <c r="AE5" i="7"/>
  <c r="X6" i="7"/>
  <c r="Y6" i="7"/>
  <c r="AB6" i="7"/>
  <c r="AD6" i="7"/>
  <c r="AE6" i="7"/>
  <c r="X7" i="7"/>
  <c r="Y7" i="7"/>
  <c r="AB7" i="7"/>
  <c r="AD7" i="7"/>
  <c r="AE7" i="7"/>
  <c r="X8" i="7"/>
  <c r="Y8" i="7"/>
  <c r="AB8" i="7"/>
  <c r="AD8" i="7"/>
  <c r="AE8" i="7"/>
  <c r="X9" i="7"/>
  <c r="Y9" i="7"/>
  <c r="AB9" i="7"/>
  <c r="AD9" i="7"/>
  <c r="AE9" i="7"/>
  <c r="X10" i="7"/>
  <c r="Y10" i="7"/>
  <c r="AB10" i="7"/>
  <c r="AD10" i="7"/>
  <c r="AE10" i="7"/>
  <c r="X11" i="7"/>
  <c r="Y11" i="7"/>
  <c r="AB11" i="7"/>
  <c r="AD11" i="7"/>
  <c r="AE11" i="7"/>
  <c r="X12" i="7"/>
  <c r="Y12" i="7"/>
  <c r="AB12" i="7"/>
  <c r="AD12" i="7"/>
  <c r="AE12" i="7"/>
  <c r="X13" i="7"/>
  <c r="Y13" i="7"/>
  <c r="AB13" i="7"/>
  <c r="AD13" i="7"/>
  <c r="AE13" i="7"/>
  <c r="X14" i="7"/>
  <c r="Y14" i="7"/>
  <c r="AB14" i="7"/>
  <c r="AD14" i="7"/>
  <c r="AE14" i="7"/>
  <c r="X15" i="7"/>
  <c r="Y15" i="7"/>
  <c r="AB15" i="7"/>
  <c r="AD15" i="7"/>
  <c r="AE15" i="7"/>
  <c r="X16" i="7"/>
  <c r="Y16" i="7"/>
  <c r="AB16" i="7"/>
  <c r="AD16" i="7"/>
  <c r="AE16" i="7"/>
  <c r="X17" i="7"/>
  <c r="Y17" i="7"/>
  <c r="AB17" i="7"/>
  <c r="AD17" i="7"/>
  <c r="AE17" i="7"/>
  <c r="X18" i="7"/>
  <c r="Y18" i="7"/>
  <c r="AB18" i="7"/>
  <c r="AD18" i="7"/>
  <c r="AE18" i="7"/>
  <c r="X19" i="7"/>
  <c r="Y19" i="7"/>
  <c r="E19" i="5" s="1"/>
  <c r="AB19" i="7"/>
  <c r="AD19" i="7"/>
  <c r="AE19" i="7"/>
  <c r="X20" i="7"/>
  <c r="Y20" i="7"/>
  <c r="AB20" i="7"/>
  <c r="AD20" i="7"/>
  <c r="AE20" i="7"/>
  <c r="X21" i="7"/>
  <c r="Y21" i="7"/>
  <c r="AB21" i="7"/>
  <c r="AD21" i="7"/>
  <c r="AE21" i="7"/>
  <c r="X22" i="7"/>
  <c r="Y22" i="7"/>
  <c r="AB22" i="7"/>
  <c r="AD22" i="7"/>
  <c r="AE22" i="7"/>
  <c r="X23" i="7"/>
  <c r="Y23" i="7"/>
  <c r="AB23" i="7"/>
  <c r="AD23" i="7"/>
  <c r="AE23" i="7"/>
  <c r="X24" i="7"/>
  <c r="Y24" i="7"/>
  <c r="AB24" i="7"/>
  <c r="AD24" i="7"/>
  <c r="AE24" i="7"/>
  <c r="X25" i="7"/>
  <c r="Y25" i="7"/>
  <c r="AB25" i="7"/>
  <c r="AD25" i="7"/>
  <c r="AE25" i="7"/>
  <c r="X26" i="7"/>
  <c r="Y26" i="7"/>
  <c r="E26" i="5" s="1"/>
  <c r="AB26" i="7"/>
  <c r="AD26" i="7"/>
  <c r="AE26" i="7"/>
  <c r="X27" i="7"/>
  <c r="Y27" i="7"/>
  <c r="AB27" i="7"/>
  <c r="AD27" i="7"/>
  <c r="AE27" i="7"/>
  <c r="X28" i="7"/>
  <c r="Y28" i="7"/>
  <c r="AB28" i="7"/>
  <c r="AD28" i="7"/>
  <c r="AE28" i="7"/>
  <c r="X29" i="7"/>
  <c r="Y29" i="7"/>
  <c r="AB29" i="7"/>
  <c r="AD29" i="7"/>
  <c r="AE29" i="7"/>
  <c r="X30" i="7"/>
  <c r="Y30" i="7"/>
  <c r="AB30" i="7"/>
  <c r="AD30" i="7"/>
  <c r="AE30" i="7"/>
  <c r="X31" i="7"/>
  <c r="Y31" i="7"/>
  <c r="AB31" i="7"/>
  <c r="AD31" i="7"/>
  <c r="AE31" i="7"/>
  <c r="AE2" i="7"/>
  <c r="AD2" i="7"/>
  <c r="AB2" i="7"/>
  <c r="Y2" i="7"/>
  <c r="X2" i="7"/>
  <c r="M3" i="7"/>
  <c r="N3" i="7"/>
  <c r="O3" i="7"/>
  <c r="P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R6" i="7"/>
  <c r="T6" i="7"/>
  <c r="U6" i="7"/>
  <c r="V6" i="7"/>
  <c r="W6" i="7"/>
  <c r="M7" i="7"/>
  <c r="N7" i="7"/>
  <c r="O7" i="7"/>
  <c r="P7" i="7"/>
  <c r="R7" i="7"/>
  <c r="T7" i="7"/>
  <c r="U7" i="7"/>
  <c r="V7" i="7"/>
  <c r="W7" i="7"/>
  <c r="M8" i="7"/>
  <c r="N8" i="7"/>
  <c r="O8" i="7"/>
  <c r="P8" i="7"/>
  <c r="T8" i="7"/>
  <c r="U8" i="7"/>
  <c r="V8" i="7"/>
  <c r="W8" i="7"/>
  <c r="M9" i="7"/>
  <c r="N9" i="7"/>
  <c r="O9" i="7"/>
  <c r="P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T15" i="7"/>
  <c r="U15" i="7"/>
  <c r="V15" i="7"/>
  <c r="W15" i="7"/>
  <c r="M16" i="7"/>
  <c r="N16" i="7"/>
  <c r="O16" i="7"/>
  <c r="P16" i="7"/>
  <c r="Q16" i="7"/>
  <c r="T16" i="7"/>
  <c r="U16" i="7"/>
  <c r="V16" i="7"/>
  <c r="W16" i="7"/>
  <c r="M17" i="7"/>
  <c r="N17" i="7"/>
  <c r="O17" i="7"/>
  <c r="P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T23" i="7"/>
  <c r="U23" i="7"/>
  <c r="V23" i="7"/>
  <c r="W23" i="7"/>
  <c r="M24" i="7"/>
  <c r="N24" i="7"/>
  <c r="O24" i="7"/>
  <c r="P24" i="7"/>
  <c r="Q24" i="7"/>
  <c r="T24" i="7"/>
  <c r="U24" i="7"/>
  <c r="V24" i="7"/>
  <c r="W24" i="7"/>
  <c r="M25" i="7"/>
  <c r="N25" i="7"/>
  <c r="O25" i="7"/>
  <c r="P25" i="7"/>
  <c r="T25" i="7"/>
  <c r="U25" i="7"/>
  <c r="V25" i="7"/>
  <c r="W25" i="7"/>
  <c r="M26" i="7"/>
  <c r="N26" i="7"/>
  <c r="O26" i="7"/>
  <c r="P26" i="7"/>
  <c r="R26" i="7"/>
  <c r="T26" i="7"/>
  <c r="U26" i="7"/>
  <c r="V26" i="7"/>
  <c r="W26" i="7"/>
  <c r="M27" i="7"/>
  <c r="N27" i="7"/>
  <c r="O27" i="7"/>
  <c r="P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T29" i="7"/>
  <c r="U29" i="7"/>
  <c r="V29" i="7"/>
  <c r="W29" i="7"/>
  <c r="M30" i="7"/>
  <c r="N30" i="7"/>
  <c r="O30" i="7"/>
  <c r="P30" i="7"/>
  <c r="Q30" i="7"/>
  <c r="T30" i="7"/>
  <c r="U30" i="7"/>
  <c r="V30" i="7"/>
  <c r="W30" i="7"/>
  <c r="M31" i="7"/>
  <c r="N31" i="7"/>
  <c r="O31" i="7"/>
  <c r="P31" i="7"/>
  <c r="R31" i="7"/>
  <c r="T31" i="7"/>
  <c r="U31" i="7"/>
  <c r="V31" i="7"/>
  <c r="W31" i="7"/>
  <c r="V2" i="7"/>
  <c r="W2" i="7"/>
  <c r="U2" i="7"/>
  <c r="T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8" i="7"/>
  <c r="G12" i="7"/>
  <c r="G13" i="7"/>
  <c r="G16" i="7"/>
  <c r="G30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I13" i="5" s="1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I27" i="5" s="1"/>
  <c r="E28" i="7"/>
  <c r="E29" i="7"/>
  <c r="E30" i="7"/>
  <c r="E31" i="7"/>
  <c r="E2" i="7"/>
  <c r="B3" i="7"/>
  <c r="B4" i="7" s="1"/>
  <c r="B5" i="7"/>
  <c r="B6" i="7" s="1"/>
  <c r="B7" i="7"/>
  <c r="B8" i="7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B3" i="5"/>
  <c r="B4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3" i="7"/>
  <c r="AA13" i="7"/>
  <c r="Z30" i="7"/>
  <c r="Z20" i="7"/>
  <c r="AC20" i="7"/>
  <c r="G2" i="7"/>
  <c r="G20" i="7"/>
  <c r="G15" i="7"/>
  <c r="G18" i="7"/>
  <c r="Z7" i="7"/>
  <c r="G26" i="7"/>
  <c r="AA10" i="7"/>
  <c r="AA12" i="7"/>
  <c r="AA25" i="7"/>
  <c r="AA23" i="7"/>
  <c r="AC25" i="7"/>
  <c r="Z5" i="7"/>
  <c r="AA5" i="7"/>
  <c r="AA22" i="7"/>
  <c r="AC22" i="7"/>
  <c r="Z22" i="7"/>
  <c r="AA8" i="7"/>
  <c r="Z8" i="7"/>
  <c r="Z19" i="7"/>
  <c r="AA19" i="7"/>
  <c r="AC24" i="7"/>
  <c r="AA29" i="7"/>
  <c r="AA3" i="7"/>
  <c r="Z3" i="7"/>
  <c r="AC7" i="7"/>
  <c r="Z10" i="7"/>
  <c r="AA16" i="7"/>
  <c r="Z16" i="7"/>
  <c r="Z13" i="7"/>
  <c r="AA4" i="7"/>
  <c r="Z4" i="7"/>
  <c r="AC18" i="7"/>
  <c r="AA21" i="7"/>
  <c r="Z21" i="7"/>
  <c r="Z9" i="7"/>
  <c r="AA9" i="7"/>
  <c r="AA15" i="7"/>
  <c r="Z15" i="7"/>
  <c r="AA28" i="7"/>
  <c r="Z17" i="7"/>
  <c r="AA17" i="7"/>
  <c r="AA6" i="7"/>
  <c r="Z6" i="7"/>
  <c r="Z12" i="7"/>
  <c r="AA31" i="7"/>
  <c r="Z31" i="7"/>
  <c r="Z25" i="7"/>
  <c r="Z23" i="7"/>
  <c r="Z24" i="7"/>
  <c r="AA7" i="7"/>
  <c r="AA24" i="7"/>
  <c r="G17" i="7"/>
  <c r="G28" i="7"/>
  <c r="G24" i="7"/>
  <c r="S22" i="7"/>
  <c r="S18" i="7"/>
  <c r="S16" i="7"/>
  <c r="S10" i="7"/>
  <c r="S4" i="7"/>
  <c r="S2" i="7"/>
  <c r="S14" i="7"/>
  <c r="S12" i="7"/>
  <c r="S6" i="7"/>
  <c r="S25" i="7"/>
  <c r="S23" i="7"/>
  <c r="S15" i="7"/>
  <c r="S31" i="7"/>
  <c r="S29" i="7"/>
  <c r="S27" i="7"/>
  <c r="S21" i="7"/>
  <c r="S19" i="7"/>
  <c r="S17" i="7"/>
  <c r="S26" i="7"/>
  <c r="S13" i="7"/>
  <c r="S11" i="7"/>
  <c r="S9" i="7"/>
  <c r="S7" i="7"/>
  <c r="S24" i="7"/>
  <c r="S5" i="7"/>
  <c r="S3" i="7"/>
  <c r="S20" i="7"/>
  <c r="G31" i="7"/>
  <c r="G27" i="7"/>
  <c r="G9" i="7"/>
  <c r="G29" i="7"/>
  <c r="G19" i="7"/>
  <c r="G21" i="7"/>
  <c r="G5" i="7"/>
  <c r="AC2" i="7"/>
  <c r="AC4" i="7"/>
  <c r="AC16" i="7"/>
  <c r="AC27" i="7"/>
  <c r="AC3" i="7"/>
  <c r="AC14" i="7"/>
  <c r="AC15" i="7"/>
  <c r="AC21" i="7"/>
  <c r="AC10" i="7"/>
  <c r="AC26" i="7"/>
  <c r="AC13" i="7"/>
  <c r="AC19" i="7"/>
  <c r="AC31" i="7"/>
  <c r="AC6" i="7"/>
  <c r="AC29" i="7"/>
  <c r="AC8" i="7"/>
  <c r="AC5" i="7"/>
  <c r="AC12" i="7"/>
  <c r="AC28" i="7"/>
  <c r="AC17" i="7"/>
  <c r="I24" i="5" l="1"/>
  <c r="I28" i="5"/>
  <c r="I20" i="5"/>
  <c r="E2" i="5"/>
  <c r="I32" i="5"/>
  <c r="E29" i="5"/>
  <c r="I22" i="5"/>
  <c r="I10" i="5"/>
  <c r="G28" i="5"/>
  <c r="G15" i="5"/>
  <c r="G9" i="5"/>
  <c r="G8" i="5"/>
  <c r="E22" i="5"/>
  <c r="G32" i="5"/>
  <c r="E32" i="5"/>
  <c r="I23" i="5"/>
  <c r="I4" i="5"/>
  <c r="G31" i="5"/>
  <c r="G13" i="5"/>
  <c r="G12" i="5"/>
  <c r="E20" i="5"/>
  <c r="I12" i="5"/>
  <c r="E25" i="5"/>
  <c r="E16" i="5"/>
  <c r="E7" i="5"/>
  <c r="E17" i="5"/>
  <c r="E6" i="5"/>
  <c r="I3" i="5"/>
  <c r="E28" i="5"/>
  <c r="I2" i="5"/>
  <c r="I14" i="5"/>
  <c r="I11" i="5"/>
  <c r="I7" i="5"/>
  <c r="G16" i="5"/>
  <c r="G10" i="5"/>
  <c r="I25" i="5"/>
  <c r="E14" i="5"/>
  <c r="I9" i="5"/>
  <c r="G22" i="5"/>
  <c r="E24" i="5"/>
  <c r="I8" i="5"/>
  <c r="G26" i="5"/>
  <c r="G4" i="5"/>
  <c r="E23" i="5"/>
  <c r="I17" i="5"/>
  <c r="I15" i="5"/>
  <c r="I21" i="5"/>
  <c r="G27" i="5"/>
  <c r="G5" i="5"/>
  <c r="I26" i="5"/>
  <c r="G3" i="5"/>
  <c r="G21" i="5"/>
  <c r="E27" i="5"/>
  <c r="E11" i="5"/>
  <c r="G6" i="5"/>
  <c r="I6" i="5"/>
  <c r="I5" i="5"/>
  <c r="I19" i="5"/>
  <c r="I18" i="5"/>
  <c r="I30" i="5"/>
  <c r="G20" i="5"/>
  <c r="I29" i="5"/>
  <c r="I16" i="5"/>
  <c r="G11" i="5"/>
  <c r="G7" i="5"/>
  <c r="E3" i="5"/>
  <c r="G25" i="5"/>
  <c r="G24" i="5"/>
  <c r="G17" i="5"/>
  <c r="E9" i="5"/>
  <c r="G30" i="5"/>
  <c r="G19" i="5"/>
  <c r="G18" i="5"/>
  <c r="G14" i="5"/>
  <c r="E21" i="5"/>
  <c r="E18" i="5"/>
  <c r="E13" i="5"/>
  <c r="E10" i="5"/>
  <c r="I31" i="5"/>
  <c r="E15" i="5"/>
  <c r="G23" i="5"/>
  <c r="E31" i="5"/>
  <c r="E30" i="5"/>
  <c r="E12" i="5"/>
  <c r="E8" i="5"/>
  <c r="E4" i="5"/>
  <c r="G2" i="5"/>
  <c r="E5" i="5"/>
  <c r="AC30" i="7"/>
  <c r="AA30" i="7"/>
  <c r="Z27" i="7"/>
  <c r="AA27" i="7"/>
  <c r="G11" i="7"/>
  <c r="G10" i="7"/>
  <c r="G7" i="7"/>
  <c r="AC9" i="7"/>
  <c r="AA11" i="7"/>
  <c r="AA14" i="7"/>
  <c r="Z14" i="7"/>
  <c r="AA26" i="7"/>
  <c r="Z26" i="7"/>
  <c r="AC23" i="7"/>
  <c r="G29" i="5"/>
  <c r="G25" i="7"/>
  <c r="AA18" i="7"/>
  <c r="AA20" i="7"/>
  <c r="AA2" i="7"/>
  <c r="AC11" i="7" l="1"/>
</calcChain>
</file>

<file path=xl/sharedStrings.xml><?xml version="1.0" encoding="utf-8"?>
<sst xmlns="http://schemas.openxmlformats.org/spreadsheetml/2006/main" count="236" uniqueCount="158">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</sst>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21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2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wrapText="1"/>
    </xf>
    <xf numFmtId="1" fontId="22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1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5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2" fontId="12" fillId="10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15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65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3" fillId="0" borderId="1" xfId="0" applyFont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3" fillId="17" borderId="18" xfId="0" applyFont="1" applyFill="1" applyBorder="1"/>
    <xf numFmtId="0" fontId="1" fillId="17" borderId="4" xfId="0" applyNumberFormat="1" applyFont="1" applyFill="1" applyBorder="1" applyAlignment="1">
      <alignment horizontal="center" vertical="center" wrapText="1"/>
    </xf>
    <xf numFmtId="0" fontId="26" fillId="17" borderId="7" xfId="0" applyNumberFormat="1" applyFont="1" applyFill="1" applyBorder="1" applyAlignment="1">
      <alignment horizontal="center" vertical="center"/>
    </xf>
    <xf numFmtId="49" fontId="26" fillId="15" borderId="19" xfId="0" applyNumberFormat="1" applyFont="1" applyFill="1" applyBorder="1" applyAlignment="1">
      <alignment horizontal="center"/>
    </xf>
    <xf numFmtId="1" fontId="1" fillId="10" borderId="7" xfId="0" applyNumberFormat="1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/>
    </xf>
    <xf numFmtId="0" fontId="17" fillId="18" borderId="20" xfId="0" applyNumberFormat="1" applyFont="1" applyFill="1" applyBorder="1" applyAlignment="1">
      <alignment horizontal="center" vertical="center"/>
    </xf>
    <xf numFmtId="0" fontId="1" fillId="19" borderId="7" xfId="0" applyNumberFormat="1" applyFont="1" applyFill="1" applyBorder="1" applyAlignment="1">
      <alignment horizontal="center"/>
    </xf>
    <xf numFmtId="1" fontId="1" fillId="5" borderId="7" xfId="0" applyNumberFormat="1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26" fillId="20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9" fillId="20" borderId="7" xfId="0" applyFont="1" applyFill="1" applyBorder="1" applyAlignment="1">
      <alignment horizontal="center"/>
    </xf>
    <xf numFmtId="0" fontId="9" fillId="13" borderId="7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2" fontId="12" fillId="10" borderId="7" xfId="0" applyNumberFormat="1" applyFont="1" applyFill="1" applyBorder="1" applyAlignment="1">
      <alignment horizontal="center"/>
    </xf>
    <xf numFmtId="0" fontId="12" fillId="0" borderId="7" xfId="0" applyFont="1" applyFill="1" applyBorder="1" applyAlignment="1"/>
    <xf numFmtId="0" fontId="12" fillId="2" borderId="7" xfId="0" applyFont="1" applyFill="1" applyBorder="1" applyAlignment="1"/>
    <xf numFmtId="0" fontId="1" fillId="2" borderId="7" xfId="0" applyFont="1" applyFill="1" applyBorder="1" applyAlignment="1"/>
    <xf numFmtId="165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right"/>
    </xf>
    <xf numFmtId="1" fontId="1" fillId="10" borderId="7" xfId="0" applyNumberFormat="1" applyFont="1" applyFill="1" applyBorder="1" applyAlignment="1">
      <alignment horizontal="center"/>
    </xf>
    <xf numFmtId="1" fontId="1" fillId="11" borderId="7" xfId="0" applyNumberFormat="1" applyFont="1" applyFill="1" applyBorder="1" applyAlignment="1">
      <alignment horizontal="center"/>
    </xf>
    <xf numFmtId="0" fontId="13" fillId="12" borderId="7" xfId="0" applyFont="1" applyFill="1" applyBorder="1" applyAlignment="1">
      <alignment horizontal="center"/>
    </xf>
    <xf numFmtId="2" fontId="13" fillId="0" borderId="7" xfId="0" applyNumberFormat="1" applyFont="1" applyFill="1" applyBorder="1" applyAlignment="1">
      <alignment horizontal="center"/>
    </xf>
    <xf numFmtId="0" fontId="27" fillId="20" borderId="7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7" fillId="6" borderId="20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10" fillId="13" borderId="21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" fillId="5" borderId="20" xfId="0" applyNumberFormat="1" applyFont="1" applyFill="1" applyBorder="1" applyAlignment="1">
      <alignment horizontal="center"/>
    </xf>
    <xf numFmtId="0" fontId="26" fillId="21" borderId="7" xfId="0" applyFont="1" applyFill="1" applyBorder="1" applyAlignment="1">
      <alignment horizontal="center"/>
    </xf>
    <xf numFmtId="0" fontId="26" fillId="4" borderId="7" xfId="0" applyFont="1" applyFill="1" applyBorder="1" applyAlignment="1">
      <alignment horizontal="center"/>
    </xf>
    <xf numFmtId="0" fontId="26" fillId="3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27" fillId="0" borderId="7" xfId="0" applyFont="1" applyFill="1" applyBorder="1" applyAlignment="1">
      <alignment horizontal="center"/>
    </xf>
    <xf numFmtId="0" fontId="27" fillId="2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2" fontId="12" fillId="2" borderId="7" xfId="0" applyNumberFormat="1" applyFont="1" applyFill="1" applyBorder="1" applyAlignment="1">
      <alignment horizontal="center"/>
    </xf>
    <xf numFmtId="2" fontId="27" fillId="2" borderId="7" xfId="0" applyNumberFormat="1" applyFont="1" applyFill="1" applyBorder="1" applyAlignment="1">
      <alignment horizontal="center"/>
    </xf>
    <xf numFmtId="0" fontId="27" fillId="2" borderId="7" xfId="0" applyFont="1" applyFill="1" applyBorder="1" applyAlignment="1">
      <alignment horizontal="right"/>
    </xf>
    <xf numFmtId="0" fontId="26" fillId="2" borderId="7" xfId="0" applyFont="1" applyFill="1" applyBorder="1" applyAlignment="1">
      <alignment horizontal="center"/>
    </xf>
    <xf numFmtId="1" fontId="26" fillId="11" borderId="7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1" fontId="13" fillId="14" borderId="7" xfId="0" applyNumberFormat="1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1" fillId="22" borderId="7" xfId="0" applyNumberFormat="1" applyFont="1" applyFill="1" applyBorder="1" applyAlignment="1">
      <alignment horizontal="center"/>
    </xf>
    <xf numFmtId="1" fontId="26" fillId="22" borderId="7" xfId="0" applyNumberFormat="1" applyFont="1" applyFill="1" applyBorder="1" applyAlignment="1">
      <alignment horizontal="center"/>
    </xf>
    <xf numFmtId="1" fontId="26" fillId="4" borderId="7" xfId="0" applyNumberFormat="1" applyFont="1" applyFill="1" applyBorder="1" applyAlignment="1">
      <alignment horizontal="center"/>
    </xf>
    <xf numFmtId="164" fontId="19" fillId="0" borderId="0" xfId="0" applyNumberFormat="1" applyFont="1" applyFill="1"/>
    <xf numFmtId="0" fontId="20" fillId="17" borderId="0" xfId="0" applyFont="1" applyFill="1" applyAlignment="1">
      <alignment horizontal="center"/>
    </xf>
    <xf numFmtId="0" fontId="24" fillId="17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L32"/>
  <sheetViews>
    <sheetView zoomScaleNormal="100" workbookViewId="0">
      <selection activeCell="G14" sqref="G14"/>
    </sheetView>
  </sheetViews>
  <sheetFormatPr defaultColWidth="11.5703125" defaultRowHeight="15" x14ac:dyDescent="0.25"/>
  <cols>
    <col min="1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2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111" t="s">
        <v>5</v>
      </c>
      <c r="G1" s="7" t="s">
        <v>6</v>
      </c>
      <c r="H1" s="111" t="s">
        <v>7</v>
      </c>
      <c r="I1" s="6" t="s">
        <v>8</v>
      </c>
      <c r="J1" s="111" t="s">
        <v>9</v>
      </c>
      <c r="K1" s="6" t="s">
        <v>10</v>
      </c>
      <c r="L1" s="6" t="s">
        <v>11</v>
      </c>
    </row>
    <row r="2" spans="1:12" s="14" customFormat="1" x14ac:dyDescent="0.25">
      <c r="A2" s="12" t="s">
        <v>12</v>
      </c>
      <c r="B2" s="12">
        <v>1</v>
      </c>
      <c r="C2" s="188">
        <v>1</v>
      </c>
      <c r="D2" s="189">
        <v>2022</v>
      </c>
      <c r="E2" s="13">
        <f>Submetering!X2+Submetering!Y2</f>
        <v>14871.99999999948</v>
      </c>
      <c r="F2" s="3">
        <v>7.7909227967643713E-2</v>
      </c>
      <c r="G2" s="13">
        <f>Submetering!T2+Submetering!U2</f>
        <v>1837</v>
      </c>
      <c r="H2" s="3">
        <v>0.24162482260951298</v>
      </c>
      <c r="I2" s="13">
        <f>Submetering!E2+Submetering!H2</f>
        <v>119</v>
      </c>
      <c r="J2" s="187">
        <v>1.686569936015061</v>
      </c>
      <c r="K2" s="12">
        <f>Submetering!AF2</f>
        <v>82</v>
      </c>
      <c r="L2" s="12">
        <f>Submetering!AG2</f>
        <v>161</v>
      </c>
    </row>
    <row r="3" spans="1:12" s="16" customFormat="1" x14ac:dyDescent="0.25">
      <c r="A3" s="12" t="s">
        <v>12</v>
      </c>
      <c r="B3" s="15">
        <f>B2+1</f>
        <v>2</v>
      </c>
      <c r="C3" s="3">
        <f>C2</f>
        <v>1</v>
      </c>
      <c r="D3" s="12">
        <f>+D2</f>
        <v>2022</v>
      </c>
      <c r="E3" s="13">
        <f>Submetering!X3+Submetering!Y3</f>
        <v>14343.99999999996</v>
      </c>
      <c r="F3" s="3">
        <v>7.7909227967643713E-2</v>
      </c>
      <c r="G3" s="13">
        <f>Submetering!T3+Submetering!U3</f>
        <v>2258</v>
      </c>
      <c r="H3" s="3">
        <v>0.24162482260951298</v>
      </c>
      <c r="I3" s="13">
        <f>Submetering!E3+Submetering!H3</f>
        <v>109</v>
      </c>
      <c r="J3" s="187">
        <f>J2</f>
        <v>1.686569936015061</v>
      </c>
      <c r="K3" s="12">
        <f>Submetering!AF3</f>
        <v>73</v>
      </c>
      <c r="L3" s="12">
        <f>Submetering!AG3</f>
        <v>136</v>
      </c>
    </row>
    <row r="4" spans="1:12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1</v>
      </c>
      <c r="D4" s="12">
        <f t="shared" ref="D4:D32" si="2">+D3</f>
        <v>2022</v>
      </c>
      <c r="E4" s="13">
        <f>Submetering!X4+Submetering!Y4</f>
        <v>12012.00000000008</v>
      </c>
      <c r="F4" s="3">
        <v>7.7909227967643713E-2</v>
      </c>
      <c r="G4" s="13">
        <f>Submetering!T4+Submetering!U4</f>
        <v>2147</v>
      </c>
      <c r="H4" s="3">
        <v>0.24162482260951298</v>
      </c>
      <c r="I4" s="13">
        <f>Submetering!E4+Submetering!H4</f>
        <v>107</v>
      </c>
      <c r="J4" s="187">
        <f t="shared" ref="J4:J32" si="3">J3</f>
        <v>1.686569936015061</v>
      </c>
      <c r="K4" s="12">
        <f>Submetering!AF4</f>
        <v>72</v>
      </c>
      <c r="L4" s="12">
        <f>Submetering!AG4</f>
        <v>133</v>
      </c>
    </row>
    <row r="5" spans="1:12" s="16" customFormat="1" x14ac:dyDescent="0.25">
      <c r="A5" s="12" t="s">
        <v>12</v>
      </c>
      <c r="B5" s="15">
        <f t="shared" si="0"/>
        <v>4</v>
      </c>
      <c r="C5" s="3">
        <f t="shared" si="1"/>
        <v>1</v>
      </c>
      <c r="D5" s="12">
        <f t="shared" si="2"/>
        <v>2022</v>
      </c>
      <c r="E5" s="13">
        <f>Submetering!X5+Submetering!Y5</f>
        <v>12451.99999999968</v>
      </c>
      <c r="F5" s="3">
        <v>7.7909227967643713E-2</v>
      </c>
      <c r="G5" s="13">
        <f>Submetering!T5+Submetering!U5</f>
        <v>2186</v>
      </c>
      <c r="H5" s="3">
        <v>0.24162482260951298</v>
      </c>
      <c r="I5" s="13">
        <f>Submetering!E5+Submetering!H5</f>
        <v>108</v>
      </c>
      <c r="J5" s="187">
        <f t="shared" si="3"/>
        <v>1.686569936015061</v>
      </c>
      <c r="K5" s="12">
        <f>Submetering!AF5</f>
        <v>74</v>
      </c>
      <c r="L5" s="12">
        <f>Submetering!AG5</f>
        <v>131</v>
      </c>
    </row>
    <row r="6" spans="1:12" s="16" customFormat="1" x14ac:dyDescent="0.25">
      <c r="A6" s="12" t="s">
        <v>12</v>
      </c>
      <c r="B6" s="15">
        <f t="shared" si="0"/>
        <v>5</v>
      </c>
      <c r="C6" s="3">
        <f t="shared" si="1"/>
        <v>1</v>
      </c>
      <c r="D6" s="12">
        <f t="shared" si="2"/>
        <v>2022</v>
      </c>
      <c r="E6" s="13">
        <f>Submetering!X6+Submetering!Y6</f>
        <v>12452.00000000068</v>
      </c>
      <c r="F6" s="3">
        <v>7.7909227967643713E-2</v>
      </c>
      <c r="G6" s="13">
        <f>Submetering!T6+Submetering!U6</f>
        <v>2390</v>
      </c>
      <c r="H6" s="3">
        <v>0.24162482260951298</v>
      </c>
      <c r="I6" s="13">
        <f>Submetering!E6+Submetering!H6</f>
        <v>98</v>
      </c>
      <c r="J6" s="187">
        <f t="shared" si="3"/>
        <v>1.686569936015061</v>
      </c>
      <c r="K6" s="12">
        <f>Submetering!AF6</f>
        <v>55</v>
      </c>
      <c r="L6" s="12">
        <f>Submetering!AG6</f>
        <v>89</v>
      </c>
    </row>
    <row r="7" spans="1:12" s="16" customFormat="1" x14ac:dyDescent="0.25">
      <c r="A7" s="12" t="s">
        <v>12</v>
      </c>
      <c r="B7" s="15">
        <f t="shared" si="0"/>
        <v>6</v>
      </c>
      <c r="C7" s="3">
        <f t="shared" si="1"/>
        <v>1</v>
      </c>
      <c r="D7" s="12">
        <f t="shared" si="2"/>
        <v>2022</v>
      </c>
      <c r="E7" s="13">
        <f>Submetering!X7+Submetering!Y7</f>
        <v>12231.99999999988</v>
      </c>
      <c r="F7" s="3">
        <v>7.7909227967643713E-2</v>
      </c>
      <c r="G7" s="13">
        <f>Submetering!T7+Submetering!U7</f>
        <v>3120</v>
      </c>
      <c r="H7" s="3">
        <v>0.24162482260951298</v>
      </c>
      <c r="I7" s="13">
        <f>Submetering!E7+Submetering!H7</f>
        <v>95</v>
      </c>
      <c r="J7" s="187">
        <f t="shared" si="3"/>
        <v>1.686569936015061</v>
      </c>
      <c r="K7" s="12">
        <f>Submetering!AF7</f>
        <v>54</v>
      </c>
      <c r="L7" s="12">
        <f>Submetering!AG7</f>
        <v>91</v>
      </c>
    </row>
    <row r="8" spans="1:12" s="16" customFormat="1" x14ac:dyDescent="0.25">
      <c r="A8" s="12" t="s">
        <v>12</v>
      </c>
      <c r="B8" s="15">
        <f t="shared" si="0"/>
        <v>7</v>
      </c>
      <c r="C8" s="3">
        <f t="shared" si="1"/>
        <v>1</v>
      </c>
      <c r="D8" s="12">
        <f t="shared" si="2"/>
        <v>2022</v>
      </c>
      <c r="E8" s="13">
        <f>Submetering!X8+Submetering!Y8</f>
        <v>13419.9999999998</v>
      </c>
      <c r="F8" s="3">
        <v>7.7909227967643713E-2</v>
      </c>
      <c r="G8" s="13">
        <f>Submetering!T8+Submetering!U8</f>
        <v>3346</v>
      </c>
      <c r="H8" s="3">
        <v>0.24162482260951298</v>
      </c>
      <c r="I8" s="13">
        <f>Submetering!E8+Submetering!H8</f>
        <v>98</v>
      </c>
      <c r="J8" s="187">
        <f t="shared" si="3"/>
        <v>1.686569936015061</v>
      </c>
      <c r="K8" s="12">
        <f>Submetering!AF8</f>
        <v>50</v>
      </c>
      <c r="L8" s="12">
        <f>Submetering!AG8</f>
        <v>84</v>
      </c>
    </row>
    <row r="9" spans="1:12" s="16" customFormat="1" x14ac:dyDescent="0.25">
      <c r="A9" s="12" t="s">
        <v>12</v>
      </c>
      <c r="B9" s="15">
        <f t="shared" si="0"/>
        <v>8</v>
      </c>
      <c r="C9" s="3">
        <f t="shared" si="1"/>
        <v>1</v>
      </c>
      <c r="D9" s="12">
        <f t="shared" si="2"/>
        <v>2022</v>
      </c>
      <c r="E9" s="13">
        <f>Submetering!X9+Submetering!Y9</f>
        <v>12892.00000000028</v>
      </c>
      <c r="F9" s="3">
        <v>7.7909227967643713E-2</v>
      </c>
      <c r="G9" s="13">
        <f>Submetering!T9+Submetering!U9</f>
        <v>3192</v>
      </c>
      <c r="H9" s="3">
        <v>0.24162482260951298</v>
      </c>
      <c r="I9" s="13">
        <f>Submetering!E9+Submetering!H9</f>
        <v>71</v>
      </c>
      <c r="J9" s="187">
        <f t="shared" si="3"/>
        <v>1.686569936015061</v>
      </c>
      <c r="K9" s="12">
        <f>Submetering!AF9</f>
        <v>55</v>
      </c>
      <c r="L9" s="12">
        <f>Submetering!AG9</f>
        <v>84</v>
      </c>
    </row>
    <row r="10" spans="1:12" s="16" customFormat="1" x14ac:dyDescent="0.25">
      <c r="A10" s="12" t="s">
        <v>12</v>
      </c>
      <c r="B10" s="15">
        <f t="shared" si="0"/>
        <v>9</v>
      </c>
      <c r="C10" s="3">
        <f t="shared" si="1"/>
        <v>1</v>
      </c>
      <c r="D10" s="12">
        <f t="shared" si="2"/>
        <v>2022</v>
      </c>
      <c r="E10" s="13">
        <f>Submetering!X10+Submetering!Y10</f>
        <v>11835.99999999924</v>
      </c>
      <c r="F10" s="3">
        <v>7.7909227967643713E-2</v>
      </c>
      <c r="G10" s="13">
        <f>Submetering!T10+Submetering!U10</f>
        <v>3013</v>
      </c>
      <c r="H10" s="3">
        <v>0.24162482260951298</v>
      </c>
      <c r="I10" s="13">
        <f>Submetering!E10+Submetering!H10</f>
        <v>57</v>
      </c>
      <c r="J10" s="187">
        <f t="shared" si="3"/>
        <v>1.686569936015061</v>
      </c>
      <c r="K10" s="12">
        <f>Submetering!AF10</f>
        <v>42</v>
      </c>
      <c r="L10" s="12">
        <f>Submetering!AG10</f>
        <v>55</v>
      </c>
    </row>
    <row r="11" spans="1:12" s="16" customFormat="1" x14ac:dyDescent="0.25">
      <c r="A11" s="12" t="s">
        <v>12</v>
      </c>
      <c r="B11" s="15">
        <f t="shared" si="0"/>
        <v>10</v>
      </c>
      <c r="C11" s="3">
        <f t="shared" si="1"/>
        <v>1</v>
      </c>
      <c r="D11" s="12">
        <f t="shared" si="2"/>
        <v>2022</v>
      </c>
      <c r="E11" s="13">
        <f>Submetering!X11+Submetering!Y11</f>
        <v>13552.00000000068</v>
      </c>
      <c r="F11" s="3">
        <v>7.7909227967643713E-2</v>
      </c>
      <c r="G11" s="13">
        <f>Submetering!T11+Submetering!U11</f>
        <v>3358</v>
      </c>
      <c r="H11" s="3">
        <v>0.24162482260951298</v>
      </c>
      <c r="I11" s="13">
        <f>Submetering!E11+Submetering!H11</f>
        <v>99</v>
      </c>
      <c r="J11" s="187">
        <f t="shared" si="3"/>
        <v>1.686569936015061</v>
      </c>
      <c r="K11" s="12">
        <f>Submetering!AF11</f>
        <v>41</v>
      </c>
      <c r="L11" s="12">
        <f>Submetering!AG11</f>
        <v>51</v>
      </c>
    </row>
    <row r="12" spans="1:12" s="16" customFormat="1" x14ac:dyDescent="0.25">
      <c r="A12" s="12" t="s">
        <v>12</v>
      </c>
      <c r="B12" s="15">
        <f t="shared" si="0"/>
        <v>11</v>
      </c>
      <c r="C12" s="3">
        <f t="shared" si="1"/>
        <v>1</v>
      </c>
      <c r="D12" s="12">
        <f t="shared" si="2"/>
        <v>2022</v>
      </c>
      <c r="E12" s="13">
        <f>Submetering!X12+Submetering!Y12</f>
        <v>14212.00000000008</v>
      </c>
      <c r="F12" s="3">
        <v>7.7909227967643713E-2</v>
      </c>
      <c r="G12" s="13">
        <f>Submetering!T12+Submetering!U12</f>
        <v>3558</v>
      </c>
      <c r="H12" s="3">
        <v>0.24162482260951298</v>
      </c>
      <c r="I12" s="13">
        <f>Submetering!E12+Submetering!H12</f>
        <v>91</v>
      </c>
      <c r="J12" s="187">
        <f t="shared" si="3"/>
        <v>1.686569936015061</v>
      </c>
      <c r="K12" s="12">
        <f>Submetering!AF12</f>
        <v>43</v>
      </c>
      <c r="L12" s="12">
        <f>Submetering!AG12</f>
        <v>51</v>
      </c>
    </row>
    <row r="13" spans="1:12" s="16" customFormat="1" x14ac:dyDescent="0.25">
      <c r="A13" s="12" t="s">
        <v>12</v>
      </c>
      <c r="B13" s="15">
        <f t="shared" si="0"/>
        <v>12</v>
      </c>
      <c r="C13" s="3">
        <f t="shared" si="1"/>
        <v>1</v>
      </c>
      <c r="D13" s="12">
        <f t="shared" si="2"/>
        <v>2022</v>
      </c>
      <c r="E13" s="13">
        <f>Submetering!X13+Submetering!Y13</f>
        <v>12715.99999999944</v>
      </c>
      <c r="F13" s="3">
        <v>7.7909227967643713E-2</v>
      </c>
      <c r="G13" s="13">
        <f>Submetering!T13+Submetering!U13</f>
        <v>4120</v>
      </c>
      <c r="H13" s="3">
        <v>0.24162482260951298</v>
      </c>
      <c r="I13" s="13">
        <f>Submetering!E13+Submetering!H13</f>
        <v>89</v>
      </c>
      <c r="J13" s="187">
        <f t="shared" si="3"/>
        <v>1.686569936015061</v>
      </c>
      <c r="K13" s="12">
        <f>Submetering!AF13</f>
        <v>51</v>
      </c>
      <c r="L13" s="12">
        <f>Submetering!AG13</f>
        <v>63</v>
      </c>
    </row>
    <row r="14" spans="1:12" s="16" customFormat="1" x14ac:dyDescent="0.25">
      <c r="A14" s="12" t="s">
        <v>12</v>
      </c>
      <c r="B14" s="15">
        <f t="shared" si="0"/>
        <v>13</v>
      </c>
      <c r="C14" s="3">
        <f t="shared" si="1"/>
        <v>1</v>
      </c>
      <c r="D14" s="12">
        <f t="shared" si="2"/>
        <v>2022</v>
      </c>
      <c r="E14" s="13">
        <f>Submetering!X14+Submetering!Y14</f>
        <v>13464.00000000076</v>
      </c>
      <c r="F14" s="3">
        <v>7.7909227967643713E-2</v>
      </c>
      <c r="G14" s="13">
        <f>Submetering!T14+Submetering!U14</f>
        <v>3381</v>
      </c>
      <c r="H14" s="3">
        <v>0.24162482260951298</v>
      </c>
      <c r="I14" s="13">
        <f>Submetering!E14+Submetering!H14</f>
        <v>94</v>
      </c>
      <c r="J14" s="187">
        <f t="shared" si="3"/>
        <v>1.686569936015061</v>
      </c>
      <c r="K14" s="12">
        <f>Submetering!AF14</f>
        <v>51</v>
      </c>
      <c r="L14" s="12">
        <f>Submetering!AG14</f>
        <v>70</v>
      </c>
    </row>
    <row r="15" spans="1:12" s="16" customFormat="1" x14ac:dyDescent="0.25">
      <c r="A15" s="12" t="s">
        <v>12</v>
      </c>
      <c r="B15" s="15">
        <f t="shared" si="0"/>
        <v>14</v>
      </c>
      <c r="C15" s="3">
        <f t="shared" si="1"/>
        <v>1</v>
      </c>
      <c r="D15" s="12">
        <f t="shared" si="2"/>
        <v>2022</v>
      </c>
      <c r="E15" s="13">
        <f>Submetering!X15+Submetering!Y15</f>
        <v>13111.99999999908</v>
      </c>
      <c r="F15" s="3">
        <v>7.7909227967643713E-2</v>
      </c>
      <c r="G15" s="13">
        <f>Submetering!T15+Submetering!U15</f>
        <v>2525</v>
      </c>
      <c r="H15" s="3">
        <v>0.24162482260951298</v>
      </c>
      <c r="I15" s="13">
        <f>Submetering!E15+Submetering!H15</f>
        <v>63</v>
      </c>
      <c r="J15" s="187">
        <f t="shared" si="3"/>
        <v>1.686569936015061</v>
      </c>
      <c r="K15" s="12">
        <f>Submetering!AF15</f>
        <v>45</v>
      </c>
      <c r="L15" s="12">
        <f>Submetering!AG15</f>
        <v>69</v>
      </c>
    </row>
    <row r="16" spans="1:12" s="16" customFormat="1" x14ac:dyDescent="0.25">
      <c r="A16" s="12" t="s">
        <v>12</v>
      </c>
      <c r="B16" s="15">
        <f t="shared" si="0"/>
        <v>15</v>
      </c>
      <c r="C16" s="3">
        <f t="shared" si="1"/>
        <v>1</v>
      </c>
      <c r="D16" s="12">
        <f t="shared" si="2"/>
        <v>2022</v>
      </c>
      <c r="E16" s="13">
        <f>Submetering!X16+Submetering!Y16</f>
        <v>13200</v>
      </c>
      <c r="F16" s="3">
        <v>7.7909227967643713E-2</v>
      </c>
      <c r="G16" s="13">
        <f>Submetering!T16+Submetering!U16</f>
        <v>2846</v>
      </c>
      <c r="H16" s="3">
        <v>0.24162482260951298</v>
      </c>
      <c r="I16" s="13">
        <f>Submetering!E16+Submetering!H16</f>
        <v>65</v>
      </c>
      <c r="J16" s="187">
        <f t="shared" si="3"/>
        <v>1.686569936015061</v>
      </c>
      <c r="K16" s="12">
        <f>Submetering!AF16</f>
        <v>58</v>
      </c>
      <c r="L16" s="12">
        <f>Submetering!AG16</f>
        <v>89</v>
      </c>
    </row>
    <row r="17" spans="1:12" s="16" customFormat="1" x14ac:dyDescent="0.25">
      <c r="A17" s="12" t="s">
        <v>12</v>
      </c>
      <c r="B17" s="15">
        <f t="shared" si="0"/>
        <v>16</v>
      </c>
      <c r="C17" s="3">
        <f t="shared" si="1"/>
        <v>1</v>
      </c>
      <c r="D17" s="12">
        <f t="shared" si="2"/>
        <v>2022</v>
      </c>
      <c r="E17" s="13">
        <f>Submetering!X17+Submetering!Y17</f>
        <v>11572.00000000048</v>
      </c>
      <c r="F17" s="3">
        <v>7.7909227967643713E-2</v>
      </c>
      <c r="G17" s="13">
        <f>Submetering!T17+Submetering!U17</f>
        <v>3013</v>
      </c>
      <c r="H17" s="3">
        <v>0.24162482260951298</v>
      </c>
      <c r="I17" s="13">
        <f>Submetering!E17+Submetering!H17</f>
        <v>59</v>
      </c>
      <c r="J17" s="187">
        <f t="shared" si="3"/>
        <v>1.686569936015061</v>
      </c>
      <c r="K17" s="12">
        <f>Submetering!AF17</f>
        <v>43</v>
      </c>
      <c r="L17" s="12">
        <f>Submetering!AG17</f>
        <v>56</v>
      </c>
    </row>
    <row r="18" spans="1:12" s="16" customFormat="1" x14ac:dyDescent="0.25">
      <c r="A18" s="12" t="s">
        <v>12</v>
      </c>
      <c r="B18" s="15">
        <f t="shared" si="0"/>
        <v>17</v>
      </c>
      <c r="C18" s="3">
        <f t="shared" si="1"/>
        <v>1</v>
      </c>
      <c r="D18" s="12">
        <f t="shared" si="2"/>
        <v>2022</v>
      </c>
      <c r="E18" s="13">
        <f>Submetering!X18+Submetering!Y18</f>
        <v>13200</v>
      </c>
      <c r="F18" s="3">
        <v>7.7909227967643713E-2</v>
      </c>
      <c r="G18" s="13">
        <f>Submetering!T18+Submetering!U18</f>
        <v>3111</v>
      </c>
      <c r="H18" s="3">
        <v>0.24162482260951298</v>
      </c>
      <c r="I18" s="13">
        <f>Submetering!E18+Submetering!H18</f>
        <v>88</v>
      </c>
      <c r="J18" s="187">
        <f t="shared" si="3"/>
        <v>1.686569936015061</v>
      </c>
      <c r="K18" s="12">
        <f>Submetering!AF18</f>
        <v>46</v>
      </c>
      <c r="L18" s="12">
        <f>Submetering!AG18</f>
        <v>59</v>
      </c>
    </row>
    <row r="19" spans="1:12" s="16" customFormat="1" x14ac:dyDescent="0.25">
      <c r="A19" s="12" t="s">
        <v>12</v>
      </c>
      <c r="B19" s="15">
        <f t="shared" si="0"/>
        <v>18</v>
      </c>
      <c r="C19" s="3">
        <f t="shared" si="1"/>
        <v>1</v>
      </c>
      <c r="D19" s="12">
        <f t="shared" si="2"/>
        <v>2022</v>
      </c>
      <c r="E19" s="13">
        <f>Submetering!X19+Submetering!Y19</f>
        <v>12980.0000000002</v>
      </c>
      <c r="F19" s="3">
        <v>7.7909227967643713E-2</v>
      </c>
      <c r="G19" s="13">
        <f>Submetering!T19+Submetering!U19</f>
        <v>3417</v>
      </c>
      <c r="H19" s="3">
        <v>0.24162482260951298</v>
      </c>
      <c r="I19" s="13">
        <f>Submetering!E19+Submetering!H19</f>
        <v>83</v>
      </c>
      <c r="J19" s="187">
        <f t="shared" si="3"/>
        <v>1.686569936015061</v>
      </c>
      <c r="K19" s="12">
        <f>Submetering!AF19</f>
        <v>38</v>
      </c>
      <c r="L19" s="12">
        <f>Submetering!AG19</f>
        <v>45</v>
      </c>
    </row>
    <row r="20" spans="1:12" s="16" customFormat="1" x14ac:dyDescent="0.25">
      <c r="A20" s="12" t="s">
        <v>12</v>
      </c>
      <c r="B20" s="15">
        <f t="shared" si="0"/>
        <v>19</v>
      </c>
      <c r="C20" s="3">
        <f t="shared" si="1"/>
        <v>1</v>
      </c>
      <c r="D20" s="12">
        <f t="shared" si="2"/>
        <v>2022</v>
      </c>
      <c r="E20" s="13">
        <f>Submetering!X20+Submetering!Y20</f>
        <v>13639.9999999996</v>
      </c>
      <c r="F20" s="3">
        <v>7.7909227967643713E-2</v>
      </c>
      <c r="G20" s="13">
        <f>Submetering!T20+Submetering!U20</f>
        <v>3412</v>
      </c>
      <c r="H20" s="3">
        <v>0.24162482260951298</v>
      </c>
      <c r="I20" s="13">
        <f>Submetering!E20+Submetering!H20</f>
        <v>77</v>
      </c>
      <c r="J20" s="187">
        <f t="shared" si="3"/>
        <v>1.686569936015061</v>
      </c>
      <c r="K20" s="12">
        <f>Submetering!AF20</f>
        <v>39</v>
      </c>
      <c r="L20" s="12">
        <f>Submetering!AG20</f>
        <v>47</v>
      </c>
    </row>
    <row r="21" spans="1:12" s="16" customFormat="1" x14ac:dyDescent="0.25">
      <c r="A21" s="12" t="s">
        <v>12</v>
      </c>
      <c r="B21" s="15">
        <f t="shared" si="0"/>
        <v>20</v>
      </c>
      <c r="C21" s="3">
        <f t="shared" si="1"/>
        <v>1</v>
      </c>
      <c r="D21" s="12">
        <f t="shared" si="2"/>
        <v>2022</v>
      </c>
      <c r="E21" s="13">
        <f>Submetering!X21+Submetering!Y21</f>
        <v>13156.00000000004</v>
      </c>
      <c r="F21" s="3">
        <v>7.7909227967643713E-2</v>
      </c>
      <c r="G21" s="13">
        <f>Submetering!T21+Submetering!U21</f>
        <v>3145</v>
      </c>
      <c r="H21" s="3">
        <v>0.24162482260951298</v>
      </c>
      <c r="I21" s="13">
        <f>Submetering!E21+Submetering!H21</f>
        <v>67</v>
      </c>
      <c r="J21" s="187">
        <f t="shared" si="3"/>
        <v>1.686569936015061</v>
      </c>
      <c r="K21" s="12">
        <f>Submetering!AF21</f>
        <v>42</v>
      </c>
      <c r="L21" s="12">
        <f>Submetering!AG21</f>
        <v>49</v>
      </c>
    </row>
    <row r="22" spans="1:12" s="16" customFormat="1" x14ac:dyDescent="0.25">
      <c r="A22" s="12" t="s">
        <v>12</v>
      </c>
      <c r="B22" s="15">
        <f t="shared" si="0"/>
        <v>21</v>
      </c>
      <c r="C22" s="3">
        <f t="shared" si="1"/>
        <v>1</v>
      </c>
      <c r="D22" s="12">
        <f t="shared" si="2"/>
        <v>2022</v>
      </c>
      <c r="E22" s="13">
        <f>Submetering!X22+Submetering!Y22</f>
        <v>13948.00000000032</v>
      </c>
      <c r="F22" s="3">
        <v>7.7909227967643713E-2</v>
      </c>
      <c r="G22" s="13">
        <f>Submetering!T22+Submetering!U22</f>
        <v>3427</v>
      </c>
      <c r="H22" s="3">
        <v>0.24162482260951298</v>
      </c>
      <c r="I22" s="13">
        <f>Submetering!E22+Submetering!H22</f>
        <v>70</v>
      </c>
      <c r="J22" s="187">
        <f t="shared" si="3"/>
        <v>1.686569936015061</v>
      </c>
      <c r="K22" s="12">
        <f>Submetering!AF22</f>
        <v>46</v>
      </c>
      <c r="L22" s="12">
        <f>Submetering!AG22</f>
        <v>60</v>
      </c>
    </row>
    <row r="23" spans="1:12" s="16" customFormat="1" x14ac:dyDescent="0.25">
      <c r="A23" s="12" t="s">
        <v>12</v>
      </c>
      <c r="B23" s="15">
        <f t="shared" si="0"/>
        <v>22</v>
      </c>
      <c r="C23" s="3">
        <f t="shared" si="1"/>
        <v>1</v>
      </c>
      <c r="D23" s="12">
        <f t="shared" si="2"/>
        <v>2022</v>
      </c>
      <c r="E23" s="13">
        <f>Submetering!X23+Submetering!Y23</f>
        <v>13375.99999999984</v>
      </c>
      <c r="F23" s="3">
        <v>7.7909227967643713E-2</v>
      </c>
      <c r="G23" s="13">
        <f>Submetering!T23+Submetering!U23</f>
        <v>3187</v>
      </c>
      <c r="H23" s="3">
        <v>0.24162482260951298</v>
      </c>
      <c r="I23" s="13">
        <f>Submetering!E23+Submetering!H23</f>
        <v>71</v>
      </c>
      <c r="J23" s="187">
        <f t="shared" si="3"/>
        <v>1.686569936015061</v>
      </c>
      <c r="K23" s="12">
        <f>Submetering!AF23</f>
        <v>41</v>
      </c>
      <c r="L23" s="12">
        <f>Submetering!AG23</f>
        <v>56</v>
      </c>
    </row>
    <row r="24" spans="1:12" s="16" customFormat="1" x14ac:dyDescent="0.25">
      <c r="A24" s="12" t="s">
        <v>12</v>
      </c>
      <c r="B24" s="15">
        <f t="shared" si="0"/>
        <v>23</v>
      </c>
      <c r="C24" s="3">
        <f t="shared" si="1"/>
        <v>1</v>
      </c>
      <c r="D24" s="12">
        <f t="shared" si="2"/>
        <v>2022</v>
      </c>
      <c r="E24" s="13">
        <f>Submetering!X24+Submetering!Y24</f>
        <v>13727.99999999952</v>
      </c>
      <c r="F24" s="3">
        <v>7.7909227967643713E-2</v>
      </c>
      <c r="G24" s="13">
        <f>Submetering!T24+Submetering!U24</f>
        <v>3285</v>
      </c>
      <c r="H24" s="3">
        <v>0.24162482260951298</v>
      </c>
      <c r="I24" s="13">
        <f>Submetering!E24+Submetering!H24</f>
        <v>65</v>
      </c>
      <c r="J24" s="187">
        <f t="shared" si="3"/>
        <v>1.686569936015061</v>
      </c>
      <c r="K24" s="12">
        <f>Submetering!AF24</f>
        <v>38</v>
      </c>
      <c r="L24" s="12">
        <f>Submetering!AG24</f>
        <v>51</v>
      </c>
    </row>
    <row r="25" spans="1:12" s="16" customFormat="1" x14ac:dyDescent="0.25">
      <c r="A25" s="12" t="s">
        <v>12</v>
      </c>
      <c r="B25" s="15">
        <f t="shared" si="0"/>
        <v>24</v>
      </c>
      <c r="C25" s="3">
        <f t="shared" si="1"/>
        <v>1</v>
      </c>
      <c r="D25" s="12">
        <f t="shared" si="2"/>
        <v>2022</v>
      </c>
      <c r="E25" s="13">
        <f>Submetering!X25+Submetering!Y25</f>
        <v>13816.00000000044</v>
      </c>
      <c r="F25" s="3">
        <v>7.7909227967643713E-2</v>
      </c>
      <c r="G25" s="13">
        <f>Submetering!T25+Submetering!U25</f>
        <v>4058</v>
      </c>
      <c r="H25" s="3">
        <v>0.24162482260951298</v>
      </c>
      <c r="I25" s="13">
        <f>Submetering!E25+Submetering!H25</f>
        <v>79</v>
      </c>
      <c r="J25" s="187">
        <f t="shared" si="3"/>
        <v>1.686569936015061</v>
      </c>
      <c r="K25" s="12">
        <f>Submetering!AF25</f>
        <v>45</v>
      </c>
      <c r="L25" s="12">
        <f>Submetering!AG25</f>
        <v>54</v>
      </c>
    </row>
    <row r="26" spans="1:12" s="16" customFormat="1" x14ac:dyDescent="0.25">
      <c r="A26" s="12" t="s">
        <v>12</v>
      </c>
      <c r="B26" s="15">
        <f>B25+1</f>
        <v>25</v>
      </c>
      <c r="C26" s="3">
        <f t="shared" si="1"/>
        <v>1</v>
      </c>
      <c r="D26" s="12">
        <f t="shared" si="2"/>
        <v>2022</v>
      </c>
      <c r="E26" s="13">
        <f>Submetering!X26+Submetering!Y26</f>
        <v>14695.99999999964</v>
      </c>
      <c r="F26" s="3">
        <v>7.7909227967643713E-2</v>
      </c>
      <c r="G26" s="13">
        <f>Submetering!T26+Submetering!U26</f>
        <v>3742</v>
      </c>
      <c r="H26" s="3">
        <v>0.24162482260951298</v>
      </c>
      <c r="I26" s="13">
        <f>Submetering!E26+Submetering!H26</f>
        <v>82</v>
      </c>
      <c r="J26" s="187">
        <f t="shared" si="3"/>
        <v>1.686569936015061</v>
      </c>
      <c r="K26" s="12">
        <f>Submetering!AF26</f>
        <v>44</v>
      </c>
      <c r="L26" s="12">
        <f>Submetering!AG26</f>
        <v>54</v>
      </c>
    </row>
    <row r="27" spans="1:12" s="16" customFormat="1" x14ac:dyDescent="0.25">
      <c r="A27" s="12" t="s">
        <v>12</v>
      </c>
      <c r="B27" s="15">
        <f t="shared" si="0"/>
        <v>26</v>
      </c>
      <c r="C27" s="3">
        <f t="shared" si="1"/>
        <v>1</v>
      </c>
      <c r="D27" s="12">
        <f t="shared" si="2"/>
        <v>2022</v>
      </c>
      <c r="E27" s="13">
        <f>Submetering!X27+Submetering!Y27</f>
        <v>14652.00000000068</v>
      </c>
      <c r="F27" s="3">
        <v>7.7909227967643713E-2</v>
      </c>
      <c r="G27" s="13">
        <f>Submetering!T27+Submetering!U27</f>
        <v>3288</v>
      </c>
      <c r="H27" s="3">
        <v>0.24162482260951298</v>
      </c>
      <c r="I27" s="13">
        <f>Submetering!E27+Submetering!H27</f>
        <v>83</v>
      </c>
      <c r="J27" s="187">
        <f t="shared" si="3"/>
        <v>1.686569936015061</v>
      </c>
      <c r="K27" s="12">
        <f>Submetering!AF27</f>
        <v>45</v>
      </c>
      <c r="L27" s="12">
        <f>Submetering!AG27</f>
        <v>54</v>
      </c>
    </row>
    <row r="28" spans="1:12" s="16" customFormat="1" x14ac:dyDescent="0.25">
      <c r="A28" s="12" t="s">
        <v>12</v>
      </c>
      <c r="B28" s="15">
        <f t="shared" si="0"/>
        <v>27</v>
      </c>
      <c r="C28" s="3">
        <f t="shared" si="1"/>
        <v>1</v>
      </c>
      <c r="D28" s="12">
        <f t="shared" si="2"/>
        <v>2022</v>
      </c>
      <c r="E28" s="13">
        <f>Submetering!X28+Submetering!Y28</f>
        <v>14827.99999999952</v>
      </c>
      <c r="F28" s="3">
        <v>7.7909227967643713E-2</v>
      </c>
      <c r="G28" s="13">
        <f>Submetering!T28+Submetering!U28</f>
        <v>3130</v>
      </c>
      <c r="H28" s="3">
        <v>0.24162482260951298</v>
      </c>
      <c r="I28" s="13">
        <f>Submetering!E28+Submetering!H28</f>
        <v>89</v>
      </c>
      <c r="J28" s="187">
        <f t="shared" si="3"/>
        <v>1.686569936015061</v>
      </c>
      <c r="K28" s="12">
        <f>Submetering!AF28</f>
        <v>45</v>
      </c>
      <c r="L28" s="12">
        <f>Submetering!AG28</f>
        <v>59</v>
      </c>
    </row>
    <row r="29" spans="1:12" s="16" customFormat="1" x14ac:dyDescent="0.25">
      <c r="A29" s="12" t="s">
        <v>12</v>
      </c>
      <c r="B29" s="15">
        <f t="shared" si="0"/>
        <v>28</v>
      </c>
      <c r="C29" s="3">
        <f t="shared" si="1"/>
        <v>1</v>
      </c>
      <c r="D29" s="12">
        <f t="shared" si="2"/>
        <v>2022</v>
      </c>
      <c r="E29" s="13">
        <f>Submetering!X29+Submetering!Y29</f>
        <v>15004.00000000036</v>
      </c>
      <c r="F29" s="3">
        <v>7.7909227967643713E-2</v>
      </c>
      <c r="G29" s="13">
        <f>Submetering!T29+Submetering!U29</f>
        <v>2754</v>
      </c>
      <c r="H29" s="3">
        <v>0.24162482260951298</v>
      </c>
      <c r="I29" s="13">
        <f>Submetering!E29+Submetering!H29</f>
        <v>84</v>
      </c>
      <c r="J29" s="187">
        <f t="shared" si="3"/>
        <v>1.686569936015061</v>
      </c>
      <c r="K29" s="12">
        <f>Submetering!AF29</f>
        <v>55</v>
      </c>
      <c r="L29" s="12">
        <f>Submetering!AG29</f>
        <v>82</v>
      </c>
    </row>
    <row r="30" spans="1:12" s="16" customFormat="1" x14ac:dyDescent="0.25">
      <c r="A30" s="12" t="s">
        <v>12</v>
      </c>
      <c r="B30" s="15">
        <f t="shared" si="0"/>
        <v>29</v>
      </c>
      <c r="C30" s="3">
        <f t="shared" si="1"/>
        <v>1</v>
      </c>
      <c r="D30" s="12">
        <f t="shared" si="2"/>
        <v>2022</v>
      </c>
      <c r="E30" s="13">
        <f>Submetering!X30+Submetering!Y30</f>
        <v>14519.9999999998</v>
      </c>
      <c r="F30" s="3">
        <v>7.7909227967643713E-2</v>
      </c>
      <c r="G30" s="13">
        <f>Submetering!T30+Submetering!U30</f>
        <v>2781</v>
      </c>
      <c r="H30" s="3">
        <v>0.24162482260951298</v>
      </c>
      <c r="I30" s="13">
        <f>Submetering!E30+Submetering!H30</f>
        <v>134</v>
      </c>
      <c r="J30" s="187">
        <f t="shared" si="3"/>
        <v>1.686569936015061</v>
      </c>
      <c r="K30" s="12">
        <f>Submetering!AF30</f>
        <v>59</v>
      </c>
      <c r="L30" s="12">
        <f>Submetering!AG30</f>
        <v>85</v>
      </c>
    </row>
    <row r="31" spans="1:12" s="14" customFormat="1" x14ac:dyDescent="0.25">
      <c r="A31" s="12" t="s">
        <v>12</v>
      </c>
      <c r="B31" s="15">
        <f t="shared" si="0"/>
        <v>30</v>
      </c>
      <c r="C31" s="3">
        <f t="shared" si="1"/>
        <v>1</v>
      </c>
      <c r="D31" s="12">
        <f t="shared" si="2"/>
        <v>2022</v>
      </c>
      <c r="E31" s="13">
        <f>Submetering!X31+Submetering!Y31</f>
        <v>14387.99999999992</v>
      </c>
      <c r="F31" s="3">
        <v>7.7909227967643713E-2</v>
      </c>
      <c r="G31" s="13">
        <f>Submetering!T31+Submetering!U31</f>
        <v>2486</v>
      </c>
      <c r="H31" s="3">
        <v>0.24162482260951298</v>
      </c>
      <c r="I31" s="13">
        <f>Submetering!E31+Submetering!H31</f>
        <v>19</v>
      </c>
      <c r="J31" s="187">
        <f t="shared" si="3"/>
        <v>1.686569936015061</v>
      </c>
      <c r="K31" s="12">
        <f>Submetering!AF31</f>
        <v>41</v>
      </c>
      <c r="L31" s="12">
        <f>Submetering!AG31</f>
        <v>55</v>
      </c>
    </row>
    <row r="32" spans="1:12" x14ac:dyDescent="0.25">
      <c r="A32" s="12" t="s">
        <v>12</v>
      </c>
      <c r="B32" s="15">
        <f t="shared" si="0"/>
        <v>31</v>
      </c>
      <c r="C32" s="3">
        <f t="shared" si="1"/>
        <v>1</v>
      </c>
      <c r="D32" s="12">
        <f t="shared" si="2"/>
        <v>2022</v>
      </c>
      <c r="E32" s="13">
        <f>Submetering!X32+Submetering!Y32</f>
        <v>13551.99999999968</v>
      </c>
      <c r="F32" s="3">
        <v>1.0779092279676401</v>
      </c>
      <c r="G32" s="13">
        <f>Submetering!T32+Submetering!U32</f>
        <v>3074</v>
      </c>
      <c r="H32" s="3">
        <v>1.2416248226095099</v>
      </c>
      <c r="I32" s="13">
        <f>Submetering!E32+Submetering!H32</f>
        <v>106</v>
      </c>
      <c r="J32" s="187">
        <f t="shared" si="3"/>
        <v>1.686569936015061</v>
      </c>
      <c r="K32" s="12">
        <f>Submetering!AF32</f>
        <v>40</v>
      </c>
      <c r="L32" s="12">
        <f>Submetering!AG32</f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1:AG57"/>
  <sheetViews>
    <sheetView workbookViewId="0">
      <selection activeCell="D3" sqref="D3:D32"/>
    </sheetView>
  </sheetViews>
  <sheetFormatPr defaultColWidth="11.5703125" defaultRowHeight="15" x14ac:dyDescent="0.25"/>
  <cols>
    <col min="1" max="2" width="11.5703125" style="2"/>
    <col min="3" max="3" width="11.5703125" style="11"/>
    <col min="4" max="20" width="13.42578125" style="2" customWidth="1"/>
    <col min="21" max="21" width="13" style="9" customWidth="1"/>
    <col min="22" max="22" width="12.5703125" style="2" customWidth="1"/>
    <col min="23" max="27" width="13" style="4" customWidth="1"/>
    <col min="28" max="32" width="11.5703125" style="2"/>
  </cols>
  <sheetData>
    <row r="1" spans="1:33" s="112" customFormat="1" ht="75" x14ac:dyDescent="0.25">
      <c r="A1" s="6" t="s">
        <v>0</v>
      </c>
      <c r="B1" s="6" t="s">
        <v>1</v>
      </c>
      <c r="C1" s="111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2.75" x14ac:dyDescent="0.2">
      <c r="A2" s="12" t="s">
        <v>12</v>
      </c>
      <c r="B2" s="12">
        <v>1</v>
      </c>
      <c r="C2" s="3">
        <f>+TOTAL!C2</f>
        <v>1</v>
      </c>
      <c r="D2" s="12">
        <f>+TOTAL!D2</f>
        <v>2022</v>
      </c>
      <c r="E2" s="12">
        <f>IF(('FS Budapest'!C5-'FS Budapest'!C4)&lt;0,"0",('FS Budapest'!C5-'FS Budapest'!C4))</f>
        <v>28</v>
      </c>
      <c r="F2" s="12">
        <f>IF(('FS Budapest'!D5-'FS Budapest'!D4)&lt;0,"0",('FS Budapest'!D5-'FS Budapest'!D4))</f>
        <v>91</v>
      </c>
      <c r="G2" s="12">
        <f>IF(('FS Budapest'!E5-'FS Budapest'!Y5)&lt;0,"0",('FS Budapest'!E5-'FS Budapest'!Y5))</f>
        <v>81</v>
      </c>
      <c r="H2" s="12">
        <f>IF(('FS Budapest'!H5-'FS Budapest'!H4)&lt;0,"0",('FS Budapest'!H5-'FS Budapest'!H4))</f>
        <v>91</v>
      </c>
      <c r="I2" s="12">
        <f>IF(('FS Budapest'!I5-'FS Budapest'!I4)&lt;0,"0",('FS Budapest'!I5-'FS Budapest'!I4))</f>
        <v>9</v>
      </c>
      <c r="J2" s="12">
        <f>IF(('FS Budapest'!K5-'FS Budapest'!K4)&lt;0,"0",('FS Budapest'!K5-'FS Budapest'!K4))</f>
        <v>3</v>
      </c>
      <c r="K2" s="12">
        <f>IF(('FS Budapest'!M5-'FS Budapest'!M4)&lt;0,"0",('FS Budapest'!M5-'FS Budapest'!M4))</f>
        <v>13</v>
      </c>
      <c r="L2" s="12">
        <f>IF(('FS Budapest'!O5-'FS Budapest'!O4)&lt;0,"0",('FS Budapest'!O5-'FS Budapest'!O4))</f>
        <v>18</v>
      </c>
      <c r="M2" s="12">
        <f>IF(('FS Budapest'!Q5-'FS Budapest'!Q4)&lt;0,"0",('FS Budapest'!Q5-'FS Budapest'!Q4))</f>
        <v>0</v>
      </c>
      <c r="N2" s="12">
        <f>IF(('FS Budapest'!S5-'FS Budapest'!S4)&lt;0,"0",('FS Budapest'!S5-'FS Budapest'!S4))</f>
        <v>2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36</v>
      </c>
      <c r="Q2" s="12">
        <f>'FS Budapest'!AB5</f>
        <v>2</v>
      </c>
      <c r="R2" s="12">
        <f>'FS Budapest'!AE5</f>
        <v>0</v>
      </c>
      <c r="S2" s="12">
        <f>'FS Budapest'!AF5</f>
        <v>8</v>
      </c>
      <c r="T2" s="12">
        <f>IF(('FS Budapest'!AK5-'FS Budapest'!AK4)&lt;0,"0",('FS Budapest'!AK5-'FS Budapest'!AK4))</f>
        <v>1785</v>
      </c>
      <c r="U2" s="12">
        <f>IF(('FS Budapest'!AM5-'FS Budapest'!AM4)&lt;0,"0",('FS Budapest'!AM5-'FS Budapest'!AM4))</f>
        <v>52</v>
      </c>
      <c r="V2" s="12">
        <f>IF(('FS Budapest'!AO5-'FS Budapest'!AO4)&lt;0,"0",('FS Budapest'!AO5-'FS Budapest'!AO4))</f>
        <v>121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14871.99999999948</v>
      </c>
      <c r="Z2" s="12">
        <f>'FS Budapest'!BI5</f>
        <v>14871.99999999948</v>
      </c>
      <c r="AA2" s="12">
        <f>'FS Budapest'!BJ5</f>
        <v>14839.99999999948</v>
      </c>
      <c r="AB2" s="12">
        <f>IF(('FS Budapest'!BK5-'FS Budapest'!BK4)&lt;0,"0",('FS Budapest'!BK5-'FS Budapest'!BK4)*100)</f>
        <v>1563.0000000000109</v>
      </c>
      <c r="AC2" s="12">
        <f>'FS Budapest'!BM5</f>
        <v>16434.999999999491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13</v>
      </c>
      <c r="AF2" s="12">
        <f>'FS Budapest'!BU5</f>
        <v>82</v>
      </c>
      <c r="AG2" s="12">
        <f>'FS Budapest'!BV5</f>
        <v>161</v>
      </c>
    </row>
    <row r="3" spans="1:33" s="16" customFormat="1" x14ac:dyDescent="0.25">
      <c r="A3" s="12" t="s">
        <v>12</v>
      </c>
      <c r="B3" s="15">
        <f>B2+1</f>
        <v>2</v>
      </c>
      <c r="C3" s="3">
        <f>C2</f>
        <v>1</v>
      </c>
      <c r="D3" s="12">
        <f>+D2</f>
        <v>2022</v>
      </c>
      <c r="E3" s="12">
        <f>IF(('FS Budapest'!C6-'FS Budapest'!C5)&lt;0,"0",('FS Budapest'!C6-'FS Budapest'!C5))</f>
        <v>27</v>
      </c>
      <c r="F3" s="12">
        <f>IF(('FS Budapest'!D6-'FS Budapest'!D5)&lt;0,"0",('FS Budapest'!D6-'FS Budapest'!D5))</f>
        <v>66</v>
      </c>
      <c r="G3" s="12">
        <f>IF(('FS Budapest'!E6-'FS Budapest'!Y6)&lt;0,"0",('FS Budapest'!E6-'FS Budapest'!Y6))</f>
        <v>46</v>
      </c>
      <c r="H3" s="12">
        <f>IF(('FS Budapest'!H6-'FS Budapest'!H5)&lt;0,"0",('FS Budapest'!H6-'FS Budapest'!H5))</f>
        <v>82</v>
      </c>
      <c r="I3" s="12">
        <f>IF(('FS Budapest'!I6-'FS Budapest'!I5)&lt;0,"0",('FS Budapest'!I6-'FS Budapest'!I5))</f>
        <v>1</v>
      </c>
      <c r="J3" s="12">
        <f>IF(('FS Budapest'!K6-'FS Budapest'!K5)&lt;0,"0",('FS Budapest'!K6-'FS Budapest'!K5))</f>
        <v>4</v>
      </c>
      <c r="K3" s="12">
        <f>IF(('FS Budapest'!M6-'FS Budapest'!M5)&lt;0,"0",('FS Budapest'!M6-'FS Budapest'!M5))</f>
        <v>8</v>
      </c>
      <c r="L3" s="12">
        <f>IF(('FS Budapest'!O6-'FS Budapest'!O5)&lt;0,"0",('FS Budapest'!O6-'FS Budapest'!O5))</f>
        <v>15</v>
      </c>
      <c r="M3" s="12">
        <f>IF(('FS Budapest'!Q6-'FS Budapest'!Q5)&lt;0,"0",('FS Budapest'!Q6-'FS Budapest'!Q5))</f>
        <v>1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20</v>
      </c>
      <c r="Q3" s="12">
        <f>'FS Budapest'!AB6</f>
        <v>2</v>
      </c>
      <c r="R3" s="12">
        <f>'FS Budapest'!AE6</f>
        <v>4</v>
      </c>
      <c r="S3" s="12">
        <f>'FS Budapest'!AF6</f>
        <v>6</v>
      </c>
      <c r="T3" s="12">
        <f>IF(('FS Budapest'!AK6-'FS Budapest'!AK5)&lt;0,"0",('FS Budapest'!AK6-'FS Budapest'!AK5))</f>
        <v>2226</v>
      </c>
      <c r="U3" s="12">
        <f>IF(('FS Budapest'!AM6-'FS Budapest'!AM5)&lt;0,"0",('FS Budapest'!AM6-'FS Budapest'!AM5))</f>
        <v>32</v>
      </c>
      <c r="V3" s="12">
        <f>IF(('FS Budapest'!AO6-'FS Budapest'!AO5)&lt;0,"0",('FS Budapest'!AO6-'FS Budapest'!AO5))</f>
        <v>337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14343.99999999996</v>
      </c>
      <c r="Z3" s="12">
        <f>'FS Budapest'!BI6</f>
        <v>14343.99999999996</v>
      </c>
      <c r="AA3" s="12">
        <f>'FS Budapest'!BJ6</f>
        <v>14307.99999999996</v>
      </c>
      <c r="AB3" s="12">
        <f>IF(('FS Budapest'!BK6-'FS Budapest'!BK5)&lt;0,"0",('FS Budapest'!BK6-'FS Budapest'!BK5)*100)</f>
        <v>946.00000000000364</v>
      </c>
      <c r="AC3" s="12">
        <f>'FS Budapest'!BM6</f>
        <v>15289.999999999964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16</v>
      </c>
      <c r="AF3" s="12">
        <f>'FS Budapest'!BU6</f>
        <v>73</v>
      </c>
      <c r="AG3" s="12">
        <f>'FS Budapest'!BV6</f>
        <v>136</v>
      </c>
    </row>
    <row r="4" spans="1:33" s="16" customFormat="1" x14ac:dyDescent="0.25">
      <c r="A4" s="12" t="s">
        <v>12</v>
      </c>
      <c r="B4" s="15">
        <f t="shared" ref="B4:B32" si="0">B3+1</f>
        <v>3</v>
      </c>
      <c r="C4" s="3">
        <f t="shared" ref="C4:C32" si="1">C3</f>
        <v>1</v>
      </c>
      <c r="D4" s="12">
        <f t="shared" ref="D4:D32" si="2">+D3</f>
        <v>2022</v>
      </c>
      <c r="E4" s="12">
        <f>IF(('FS Budapest'!C7-'FS Budapest'!C6)&lt;0,"0",('FS Budapest'!C7-'FS Budapest'!C6))</f>
        <v>31</v>
      </c>
      <c r="F4" s="12">
        <f>IF(('FS Budapest'!D7-'FS Budapest'!D6)&lt;0,"0",('FS Budapest'!D7-'FS Budapest'!D6))</f>
        <v>52</v>
      </c>
      <c r="G4" s="12">
        <f>IF(('FS Budapest'!E7-'FS Budapest'!Y7)&lt;0,"0",('FS Budapest'!E7-'FS Budapest'!Y7))</f>
        <v>44</v>
      </c>
      <c r="H4" s="12">
        <f>IF(('FS Budapest'!H7-'FS Budapest'!H6)&lt;0,"0",('FS Budapest'!H7-'FS Budapest'!H6))</f>
        <v>76</v>
      </c>
      <c r="I4" s="12">
        <f>IF(('FS Budapest'!I7-'FS Budapest'!I6)&lt;0,"0",('FS Budapest'!I7-'FS Budapest'!I6))</f>
        <v>19</v>
      </c>
      <c r="J4" s="12">
        <f>IF(('FS Budapest'!K7-'FS Budapest'!K6)&lt;0,"0",('FS Budapest'!K7-'FS Budapest'!K6))</f>
        <v>4</v>
      </c>
      <c r="K4" s="12">
        <f>IF(('FS Budapest'!M7-'FS Budapest'!M6)&lt;0,"0",('FS Budapest'!M7-'FS Budapest'!M6))</f>
        <v>9</v>
      </c>
      <c r="L4" s="12">
        <f>IF(('FS Budapest'!O7-'FS Budapest'!O6)&lt;0,"0",('FS Budapest'!O7-'FS Budapest'!O6))</f>
        <v>12</v>
      </c>
      <c r="M4" s="12">
        <f>IF(('FS Budapest'!Q7-'FS Budapest'!Q6)&lt;0,"0",('FS Budapest'!Q7-'FS Budapest'!Q6))</f>
        <v>2</v>
      </c>
      <c r="N4" s="12">
        <f>IF(('FS Budapest'!S7-'FS Budapest'!S6)&lt;0,"0",('FS Budapest'!S7-'FS Budapest'!S6))</f>
        <v>1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8</v>
      </c>
      <c r="Q4" s="12">
        <f>'FS Budapest'!AB7</f>
        <v>4</v>
      </c>
      <c r="R4" s="12">
        <f>'FS Budapest'!AE7</f>
        <v>2</v>
      </c>
      <c r="S4" s="12">
        <f>'FS Budapest'!AF7</f>
        <v>10</v>
      </c>
      <c r="T4" s="12">
        <f>IF(('FS Budapest'!AK7-'FS Budapest'!AK6)&lt;0,"0",('FS Budapest'!AK7-'FS Budapest'!AK6))</f>
        <v>2112</v>
      </c>
      <c r="U4" s="12">
        <f>IF(('FS Budapest'!AM7-'FS Budapest'!AM6)&lt;0,"0",('FS Budapest'!AM7-'FS Budapest'!AM6))</f>
        <v>35</v>
      </c>
      <c r="V4" s="12">
        <f>IF(('FS Budapest'!AO7-'FS Budapest'!AO6)&lt;0,"0",('FS Budapest'!AO7-'FS Budapest'!AO6))</f>
        <v>544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12012.00000000008</v>
      </c>
      <c r="Z4" s="12">
        <f>'FS Budapest'!BI7</f>
        <v>12012.00000000008</v>
      </c>
      <c r="AA4" s="12">
        <f>'FS Budapest'!BJ7</f>
        <v>11976.00000000008</v>
      </c>
      <c r="AB4" s="12">
        <f>IF(('FS Budapest'!BK7-'FS Budapest'!BK6)&lt;0,"0",('FS Budapest'!BK7-'FS Budapest'!BK6)*100)</f>
        <v>1014.9999999999636</v>
      </c>
      <c r="AC4" s="12">
        <f>'FS Budapest'!BM7</f>
        <v>13027.000000000044</v>
      </c>
      <c r="AD4" s="12">
        <f>IF(('FS Budapest'!BP7-'FS Budapest'!BP6)&lt;0,"0",('FS Budapest'!BP7-'FS Budapest'!BP6))</f>
        <v>20</v>
      </c>
      <c r="AE4" s="12">
        <f>IF(('FS Budapest'!BR7-'FS Budapest'!BR6)&lt;0,"0",('FS Budapest'!BR7-'FS Budapest'!BR6))</f>
        <v>16</v>
      </c>
      <c r="AF4" s="12">
        <f>'FS Budapest'!BU7</f>
        <v>72</v>
      </c>
      <c r="AG4" s="12">
        <f>'FS Budapest'!BV7</f>
        <v>133</v>
      </c>
    </row>
    <row r="5" spans="1:33" s="16" customFormat="1" x14ac:dyDescent="0.25">
      <c r="A5" s="12" t="s">
        <v>12</v>
      </c>
      <c r="B5" s="15">
        <f t="shared" si="0"/>
        <v>4</v>
      </c>
      <c r="C5" s="3">
        <f t="shared" si="1"/>
        <v>1</v>
      </c>
      <c r="D5" s="12">
        <f t="shared" si="2"/>
        <v>2022</v>
      </c>
      <c r="E5" s="12">
        <f>IF(('FS Budapest'!C8-'FS Budapest'!C7)&lt;0,"0",('FS Budapest'!C8-'FS Budapest'!C7))</f>
        <v>28</v>
      </c>
      <c r="F5" s="12">
        <f>IF(('FS Budapest'!D8-'FS Budapest'!D7)&lt;0,"0",('FS Budapest'!D8-'FS Budapest'!D7))</f>
        <v>47</v>
      </c>
      <c r="G5" s="12">
        <f>IF(('FS Budapest'!E8-'FS Budapest'!Y8)&lt;0,"0",('FS Budapest'!E8-'FS Budapest'!Y8))</f>
        <v>40</v>
      </c>
      <c r="H5" s="12">
        <f>IF(('FS Budapest'!H8-'FS Budapest'!H7)&lt;0,"0",('FS Budapest'!H8-'FS Budapest'!H7))</f>
        <v>80</v>
      </c>
      <c r="I5" s="12">
        <f>IF(('FS Budapest'!I8-'FS Budapest'!I7)&lt;0,"0",('FS Budapest'!I8-'FS Budapest'!I7))</f>
        <v>19</v>
      </c>
      <c r="J5" s="12">
        <f>IF(('FS Budapest'!K8-'FS Budapest'!K7)&lt;0,"0",('FS Budapest'!K8-'FS Budapest'!K7))</f>
        <v>3</v>
      </c>
      <c r="K5" s="12">
        <f>IF(('FS Budapest'!M8-'FS Budapest'!M7)&lt;0,"0",('FS Budapest'!M8-'FS Budapest'!M7))</f>
        <v>7</v>
      </c>
      <c r="L5" s="12">
        <f>IF(('FS Budapest'!O8-'FS Budapest'!O7)&lt;0,"0",('FS Budapest'!O8-'FS Budapest'!O7))</f>
        <v>14</v>
      </c>
      <c r="M5" s="12">
        <f>IF(('FS Budapest'!Q8-'FS Budapest'!Q7)&lt;0,"0",('FS Budapest'!Q8-'FS Budapest'!Q7))</f>
        <v>2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7</v>
      </c>
      <c r="Q5" s="12">
        <f>'FS Budapest'!AB8</f>
        <v>2</v>
      </c>
      <c r="R5" s="12">
        <f>'FS Budapest'!AE8</f>
        <v>3</v>
      </c>
      <c r="S5" s="12">
        <f>'FS Budapest'!AF8</f>
        <v>9</v>
      </c>
      <c r="T5" s="12">
        <f>IF(('FS Budapest'!AK8-'FS Budapest'!AK7)&lt;0,"0",('FS Budapest'!AK8-'FS Budapest'!AK7))</f>
        <v>2145</v>
      </c>
      <c r="U5" s="12">
        <f>IF(('FS Budapest'!AM8-'FS Budapest'!AM7)&lt;0,"0",('FS Budapest'!AM8-'FS Budapest'!AM7))</f>
        <v>41</v>
      </c>
      <c r="V5" s="12">
        <f>IF(('FS Budapest'!AO8-'FS Budapest'!AO7)&lt;0,"0",('FS Budapest'!AO8-'FS Budapest'!AO7))</f>
        <v>513</v>
      </c>
      <c r="W5" s="12">
        <f>IF(('FS Budapest'!AQ8-'FS Budapest'!AQ7)&lt;0,"0",('FS Budapest'!AQ8-'FS Budapest'!AQ7))</f>
        <v>1</v>
      </c>
      <c r="X5" s="12">
        <f>'FS Budapest'!AY8</f>
        <v>0</v>
      </c>
      <c r="Y5" s="12">
        <f>IF(('FS Budapest'!BA8-'FS Budapest'!BA7)&lt;0,"0",('FS Budapest'!BA8-'FS Budapest'!BA7)*4400)</f>
        <v>12451.99999999968</v>
      </c>
      <c r="Z5" s="12">
        <f>'FS Budapest'!BI8</f>
        <v>12451.99999999968</v>
      </c>
      <c r="AA5" s="12">
        <f>'FS Budapest'!BJ8</f>
        <v>11978.99999999968</v>
      </c>
      <c r="AB5" s="12">
        <f>IF(('FS Budapest'!BK8-'FS Budapest'!BK7)&lt;0,"0",('FS Budapest'!BK8-'FS Budapest'!BK7)*100)</f>
        <v>961.99999999998909</v>
      </c>
      <c r="AC5" s="12">
        <f>'FS Budapest'!BM8</f>
        <v>13413.999999999669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453</v>
      </c>
      <c r="AF5" s="12">
        <f>'FS Budapest'!BU8</f>
        <v>74</v>
      </c>
      <c r="AG5" s="12">
        <f>'FS Budapest'!BV8</f>
        <v>131</v>
      </c>
    </row>
    <row r="6" spans="1:33" s="16" customFormat="1" x14ac:dyDescent="0.25">
      <c r="A6" s="12" t="s">
        <v>12</v>
      </c>
      <c r="B6" s="15">
        <f t="shared" si="0"/>
        <v>5</v>
      </c>
      <c r="C6" s="3">
        <f t="shared" si="1"/>
        <v>1</v>
      </c>
      <c r="D6" s="12">
        <f t="shared" si="2"/>
        <v>2022</v>
      </c>
      <c r="E6" s="12">
        <f>IF(('FS Budapest'!C9-'FS Budapest'!C8)&lt;0,"0",('FS Budapest'!C9-'FS Budapest'!C8))</f>
        <v>28</v>
      </c>
      <c r="F6" s="12">
        <f>IF(('FS Budapest'!D9-'FS Budapest'!D8)&lt;0,"0",('FS Budapest'!D9-'FS Budapest'!D8))</f>
        <v>43</v>
      </c>
      <c r="G6" s="12">
        <f>IF(('FS Budapest'!E9-'FS Budapest'!Y9)&lt;0,"0",('FS Budapest'!E9-'FS Budapest'!Y9))</f>
        <v>39</v>
      </c>
      <c r="H6" s="12">
        <f>IF(('FS Budapest'!H9-'FS Budapest'!H8)&lt;0,"0",('FS Budapest'!H9-'FS Budapest'!H8))</f>
        <v>70</v>
      </c>
      <c r="I6" s="12">
        <f>IF(('FS Budapest'!I9-'FS Budapest'!I8)&lt;0,"0",('FS Budapest'!I9-'FS Budapest'!I8))</f>
        <v>20</v>
      </c>
      <c r="J6" s="12">
        <f>IF(('FS Budapest'!K9-'FS Budapest'!K8)&lt;0,"0",('FS Budapest'!K9-'FS Budapest'!K8))</f>
        <v>3</v>
      </c>
      <c r="K6" s="12">
        <f>IF(('FS Budapest'!M9-'FS Budapest'!M8)&lt;0,"0",('FS Budapest'!M9-'FS Budapest'!M8))</f>
        <v>9</v>
      </c>
      <c r="L6" s="12">
        <f>IF(('FS Budapest'!O9-'FS Budapest'!O8)&lt;0,"0",('FS Budapest'!O9-'FS Budapest'!O8))</f>
        <v>12</v>
      </c>
      <c r="M6" s="12">
        <f>IF(('FS Budapest'!Q9-'FS Budapest'!Q8)&lt;0,"0",('FS Budapest'!Q9-'FS Budapest'!Q8))</f>
        <v>2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4</v>
      </c>
      <c r="Q6" s="12">
        <f>'FS Budapest'!AB9</f>
        <v>3</v>
      </c>
      <c r="R6" s="12">
        <f>'FS Budapest'!AE9</f>
        <v>2</v>
      </c>
      <c r="S6" s="12">
        <f>'FS Budapest'!AF9</f>
        <v>9</v>
      </c>
      <c r="T6" s="12">
        <f>IF(('FS Budapest'!AK9-'FS Budapest'!AK8)&lt;0,"0",('FS Budapest'!AK9-'FS Budapest'!AK8))</f>
        <v>2353</v>
      </c>
      <c r="U6" s="12">
        <f>IF(('FS Budapest'!AM9-'FS Budapest'!AM8)&lt;0,"0",('FS Budapest'!AM9-'FS Budapest'!AM8))</f>
        <v>37</v>
      </c>
      <c r="V6" s="12">
        <f>IF(('FS Budapest'!AO9-'FS Budapest'!AO8)&lt;0,"0",('FS Budapest'!AO9-'FS Budapest'!AO8))</f>
        <v>587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12452.00000000068</v>
      </c>
      <c r="Z6" s="12">
        <f>'FS Budapest'!BI9</f>
        <v>12452.00000000068</v>
      </c>
      <c r="AA6" s="12">
        <f>'FS Budapest'!BJ9</f>
        <v>12060.00000000068</v>
      </c>
      <c r="AB6" s="12">
        <f>IF(('FS Budapest'!BK9-'FS Budapest'!BK8)&lt;0,"0",('FS Budapest'!BK9-'FS Budapest'!BK8)*100)</f>
        <v>1052.0000000000437</v>
      </c>
      <c r="AC6" s="12">
        <f>'FS Budapest'!BM9</f>
        <v>13504.000000000724</v>
      </c>
      <c r="AD6" s="12">
        <f>IF(('FS Budapest'!BP9-'FS Budapest'!BP8)&lt;0,"0",('FS Budapest'!BP9-'FS Budapest'!BP8))</f>
        <v>21</v>
      </c>
      <c r="AE6" s="12">
        <f>IF(('FS Budapest'!BR9-'FS Budapest'!BR8)&lt;0,"0",('FS Budapest'!BR9-'FS Budapest'!BR8))</f>
        <v>371</v>
      </c>
      <c r="AF6" s="12">
        <f>'FS Budapest'!BU9</f>
        <v>55</v>
      </c>
      <c r="AG6" s="12">
        <f>'FS Budapest'!BV9</f>
        <v>89</v>
      </c>
    </row>
    <row r="7" spans="1:33" s="16" customFormat="1" x14ac:dyDescent="0.25">
      <c r="A7" s="12" t="s">
        <v>12</v>
      </c>
      <c r="B7" s="15">
        <f t="shared" si="0"/>
        <v>6</v>
      </c>
      <c r="C7" s="3">
        <f t="shared" si="1"/>
        <v>1</v>
      </c>
      <c r="D7" s="12">
        <f t="shared" si="2"/>
        <v>2022</v>
      </c>
      <c r="E7" s="12">
        <f>IF(('FS Budapest'!C10-'FS Budapest'!C9)&lt;0,"0",('FS Budapest'!C10-'FS Budapest'!C9))</f>
        <v>27</v>
      </c>
      <c r="F7" s="12">
        <f>IF(('FS Budapest'!D10-'FS Budapest'!D9)&lt;0,"0",('FS Budapest'!D10-'FS Budapest'!D9))</f>
        <v>36</v>
      </c>
      <c r="G7" s="12">
        <f>IF(('FS Budapest'!E10-'FS Budapest'!Y10)&lt;0,"0",('FS Budapest'!E10-'FS Budapest'!Y10))</f>
        <v>34</v>
      </c>
      <c r="H7" s="12">
        <f>IF(('FS Budapest'!H10-'FS Budapest'!H9)&lt;0,"0",('FS Budapest'!H10-'FS Budapest'!H9))</f>
        <v>68</v>
      </c>
      <c r="I7" s="12">
        <f>IF(('FS Budapest'!I10-'FS Budapest'!I9)&lt;0,"0",('FS Budapest'!I10-'FS Budapest'!I9))</f>
        <v>20</v>
      </c>
      <c r="J7" s="12">
        <f>IF(('FS Budapest'!K10-'FS Budapest'!K9)&lt;0,"0",('FS Budapest'!K10-'FS Budapest'!K9))</f>
        <v>3</v>
      </c>
      <c r="K7" s="12">
        <f>IF(('FS Budapest'!M10-'FS Budapest'!M9)&lt;0,"0",('FS Budapest'!M10-'FS Budapest'!M9))</f>
        <v>8</v>
      </c>
      <c r="L7" s="12">
        <f>IF(('FS Budapest'!O10-'FS Budapest'!O9)&lt;0,"0",('FS Budapest'!O10-'FS Budapest'!O9))</f>
        <v>9</v>
      </c>
      <c r="M7" s="12">
        <f>IF(('FS Budapest'!Q10-'FS Budapest'!Q9)&lt;0,"0",('FS Budapest'!Q10-'FS Budapest'!Q9))</f>
        <v>2</v>
      </c>
      <c r="N7" s="12">
        <f>IF(('FS Budapest'!S10-'FS Budapest'!S9)&lt;0,"0",('FS Budapest'!S10-'FS Budapest'!S9))</f>
        <v>1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2</v>
      </c>
      <c r="Q7" s="12">
        <f>'FS Budapest'!AB10</f>
        <v>3</v>
      </c>
      <c r="R7" s="12">
        <f>'FS Budapest'!AE10</f>
        <v>2</v>
      </c>
      <c r="S7" s="12">
        <f>'FS Budapest'!AF10</f>
        <v>9</v>
      </c>
      <c r="T7" s="12">
        <f>IF(('FS Budapest'!AK10-'FS Budapest'!AK9)&lt;0,"0",('FS Budapest'!AK10-'FS Budapest'!AK9))</f>
        <v>3081</v>
      </c>
      <c r="U7" s="12">
        <f>IF(('FS Budapest'!AM10-'FS Budapest'!AM9)&lt;0,"0",('FS Budapest'!AM10-'FS Budapest'!AM9))</f>
        <v>39</v>
      </c>
      <c r="V7" s="12">
        <f>IF(('FS Budapest'!AO10-'FS Budapest'!AO9)&lt;0,"0",('FS Budapest'!AO10-'FS Budapest'!AO9))</f>
        <v>511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12231.99999999988</v>
      </c>
      <c r="Z7" s="12">
        <f>'FS Budapest'!BI10</f>
        <v>12231.99999999988</v>
      </c>
      <c r="AA7" s="12">
        <f>'FS Budapest'!BJ10</f>
        <v>12191.99999999988</v>
      </c>
      <c r="AB7" s="12">
        <f>IF(('FS Budapest'!BK10-'FS Budapest'!BK9)&lt;0,"0",('FS Budapest'!BK10-'FS Budapest'!BK9)*100)</f>
        <v>1036.9999999999891</v>
      </c>
      <c r="AC7" s="12">
        <f>'FS Budapest'!BM10</f>
        <v>13268.999999999869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20</v>
      </c>
      <c r="AF7" s="12">
        <f>'FS Budapest'!BU10</f>
        <v>54</v>
      </c>
      <c r="AG7" s="12">
        <f>'FS Budapest'!BV10</f>
        <v>91</v>
      </c>
    </row>
    <row r="8" spans="1:33" s="16" customFormat="1" x14ac:dyDescent="0.25">
      <c r="A8" s="12" t="s">
        <v>12</v>
      </c>
      <c r="B8" s="15">
        <f t="shared" si="0"/>
        <v>7</v>
      </c>
      <c r="C8" s="3">
        <f t="shared" si="1"/>
        <v>1</v>
      </c>
      <c r="D8" s="12">
        <f t="shared" si="2"/>
        <v>2022</v>
      </c>
      <c r="E8" s="12">
        <f>IF(('FS Budapest'!C11-'FS Budapest'!C10)&lt;0,"0",('FS Budapest'!C11-'FS Budapest'!C10))</f>
        <v>25</v>
      </c>
      <c r="F8" s="12">
        <f>IF(('FS Budapest'!D11-'FS Budapest'!D10)&lt;0,"0",('FS Budapest'!D11-'FS Budapest'!D10))</f>
        <v>44</v>
      </c>
      <c r="G8" s="12">
        <f>IF(('FS Budapest'!E11-'FS Budapest'!Y11)&lt;0,"0",('FS Budapest'!E11-'FS Budapest'!Y11))</f>
        <v>44</v>
      </c>
      <c r="H8" s="12">
        <f>IF(('FS Budapest'!H11-'FS Budapest'!H10)&lt;0,"0",('FS Budapest'!H11-'FS Budapest'!H10))</f>
        <v>73</v>
      </c>
      <c r="I8" s="12">
        <f>IF(('FS Budapest'!I11-'FS Budapest'!I10)&lt;0,"0",('FS Budapest'!I11-'FS Budapest'!I10))</f>
        <v>15</v>
      </c>
      <c r="J8" s="12">
        <f>IF(('FS Budapest'!K11-'FS Budapest'!K10)&lt;0,"0",('FS Budapest'!K11-'FS Budapest'!K10))</f>
        <v>2</v>
      </c>
      <c r="K8" s="12">
        <f>IF(('FS Budapest'!M11-'FS Budapest'!M10)&lt;0,"0",('FS Budapest'!M11-'FS Budapest'!M10))</f>
        <v>10</v>
      </c>
      <c r="L8" s="12">
        <f>IF(('FS Budapest'!O11-'FS Budapest'!O10)&lt;0,"0",('FS Budapest'!O11-'FS Budapest'!O10))</f>
        <v>9</v>
      </c>
      <c r="M8" s="12">
        <f>IF(('FS Budapest'!Q11-'FS Budapest'!Q10)&lt;0,"0",('FS Budapest'!Q11-'FS Budapest'!Q10))</f>
        <v>1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0</v>
      </c>
      <c r="Q8" s="12">
        <f>'FS Budapest'!AB11</f>
        <v>3</v>
      </c>
      <c r="R8" s="12">
        <f>'FS Budapest'!AE11</f>
        <v>4</v>
      </c>
      <c r="S8" s="12">
        <f>'FS Budapest'!AF11</f>
        <v>8</v>
      </c>
      <c r="T8" s="12">
        <f>IF(('FS Budapest'!AK11-'FS Budapest'!AK10)&lt;0,"0",('FS Budapest'!AK11-'FS Budapest'!AK10))</f>
        <v>3301</v>
      </c>
      <c r="U8" s="12">
        <f>IF(('FS Budapest'!AM11-'FS Budapest'!AM10)&lt;0,"0",('FS Budapest'!AM11-'FS Budapest'!AM10))</f>
        <v>45</v>
      </c>
      <c r="V8" s="12">
        <f>IF(('FS Budapest'!AO11-'FS Budapest'!AO10)&lt;0,"0",('FS Budapest'!AO11-'FS Budapest'!AO10))</f>
        <v>492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13419.9999999998</v>
      </c>
      <c r="Z8" s="12">
        <f>'FS Budapest'!BI11</f>
        <v>13419.9999999998</v>
      </c>
      <c r="AA8" s="12">
        <f>'FS Budapest'!BJ11</f>
        <v>12662.9999999998</v>
      </c>
      <c r="AB8" s="12">
        <f>IF(('FS Budapest'!BK11-'FS Budapest'!BK10)&lt;0,"0",('FS Budapest'!BK11-'FS Budapest'!BK10)*100)</f>
        <v>1275</v>
      </c>
      <c r="AC8" s="12">
        <f>'FS Budapest'!BM11</f>
        <v>14694.9999999998</v>
      </c>
      <c r="AD8" s="12">
        <f>IF(('FS Budapest'!BP11-'FS Budapest'!BP10)&lt;0,"0",('FS Budapest'!BP11-'FS Budapest'!BP10))</f>
        <v>21</v>
      </c>
      <c r="AE8" s="12">
        <f>IF(('FS Budapest'!BR11-'FS Budapest'!BR10)&lt;0,"0",('FS Budapest'!BR11-'FS Budapest'!BR10))</f>
        <v>736</v>
      </c>
      <c r="AF8" s="12">
        <f>'FS Budapest'!BU11</f>
        <v>50</v>
      </c>
      <c r="AG8" s="12">
        <f>'FS Budapest'!BV11</f>
        <v>84</v>
      </c>
    </row>
    <row r="9" spans="1:33" s="16" customFormat="1" x14ac:dyDescent="0.25">
      <c r="A9" s="12" t="s">
        <v>12</v>
      </c>
      <c r="B9" s="15">
        <f t="shared" si="0"/>
        <v>8</v>
      </c>
      <c r="C9" s="3">
        <f t="shared" si="1"/>
        <v>1</v>
      </c>
      <c r="D9" s="12">
        <f t="shared" si="2"/>
        <v>2022</v>
      </c>
      <c r="E9" s="12">
        <f>IF(('FS Budapest'!C12-'FS Budapest'!C11)&lt;0,"0",('FS Budapest'!C12-'FS Budapest'!C11))</f>
        <v>18</v>
      </c>
      <c r="F9" s="12">
        <f>IF(('FS Budapest'!D12-'FS Budapest'!D11)&lt;0,"0",('FS Budapest'!D12-'FS Budapest'!D11))</f>
        <v>34</v>
      </c>
      <c r="G9" s="12">
        <f>IF(('FS Budapest'!E12-'FS Budapest'!Y12)&lt;0,"0",('FS Budapest'!E12-'FS Budapest'!Y12))</f>
        <v>23</v>
      </c>
      <c r="H9" s="12">
        <f>IF(('FS Budapest'!H12-'FS Budapest'!H11)&lt;0,"0",('FS Budapest'!H12-'FS Budapest'!H11))</f>
        <v>53</v>
      </c>
      <c r="I9" s="12">
        <f>IF(('FS Budapest'!I12-'FS Budapest'!I11)&lt;0,"0",('FS Budapest'!I12-'FS Budapest'!I11))</f>
        <v>2</v>
      </c>
      <c r="J9" s="12">
        <f>IF(('FS Budapest'!K12-'FS Budapest'!K11)&lt;0,"0",('FS Budapest'!K12-'FS Budapest'!K11))</f>
        <v>3</v>
      </c>
      <c r="K9" s="12">
        <f>IF(('FS Budapest'!M12-'FS Budapest'!M11)&lt;0,"0",('FS Budapest'!M12-'FS Budapest'!M11))</f>
        <v>9</v>
      </c>
      <c r="L9" s="12">
        <f>IF(('FS Budapest'!O12-'FS Budapest'!O11)&lt;0,"0",('FS Budapest'!O12-'FS Budapest'!O11))</f>
        <v>8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11</v>
      </c>
      <c r="Q9" s="12">
        <f>'FS Budapest'!AB12</f>
        <v>3</v>
      </c>
      <c r="R9" s="12">
        <f>'FS Budapest'!AE12</f>
        <v>2</v>
      </c>
      <c r="S9" s="12">
        <f>'FS Budapest'!AF12</f>
        <v>1</v>
      </c>
      <c r="T9" s="12">
        <f>IF(('FS Budapest'!AK12-'FS Budapest'!AK11)&lt;0,"0",('FS Budapest'!AK12-'FS Budapest'!AK11))</f>
        <v>3153</v>
      </c>
      <c r="U9" s="12">
        <f>IF(('FS Budapest'!AM12-'FS Budapest'!AM11)&lt;0,"0",('FS Budapest'!AM12-'FS Budapest'!AM11))</f>
        <v>39</v>
      </c>
      <c r="V9" s="12">
        <f>IF(('FS Budapest'!AO12-'FS Budapest'!AO11)&lt;0,"0",('FS Budapest'!AO12-'FS Budapest'!AO11))</f>
        <v>98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12892.00000000028</v>
      </c>
      <c r="Z9" s="12">
        <f>'FS Budapest'!BI12</f>
        <v>12892.00000000028</v>
      </c>
      <c r="AA9" s="12">
        <f>'FS Budapest'!BJ12</f>
        <v>12851.00000000028</v>
      </c>
      <c r="AB9" s="12">
        <f>IF(('FS Budapest'!BK12-'FS Budapest'!BK11)&lt;0,"0",('FS Budapest'!BK12-'FS Budapest'!BK11)*100)</f>
        <v>1305.0000000000182</v>
      </c>
      <c r="AC9" s="12">
        <f>'FS Budapest'!BM12</f>
        <v>14197.000000000298</v>
      </c>
      <c r="AD9" s="12">
        <f>IF(('FS Budapest'!BP12-'FS Budapest'!BP11)&lt;0,"0",('FS Budapest'!BP12-'FS Budapest'!BP11))</f>
        <v>21</v>
      </c>
      <c r="AE9" s="12">
        <f>IF(('FS Budapest'!BR12-'FS Budapest'!BR11)&lt;0,"0",('FS Budapest'!BR12-'FS Budapest'!BR11))</f>
        <v>20</v>
      </c>
      <c r="AF9" s="12">
        <f>'FS Budapest'!BU12</f>
        <v>55</v>
      </c>
      <c r="AG9" s="12">
        <f>'FS Budapest'!BV12</f>
        <v>84</v>
      </c>
    </row>
    <row r="10" spans="1:33" s="16" customFormat="1" x14ac:dyDescent="0.25">
      <c r="A10" s="12" t="s">
        <v>12</v>
      </c>
      <c r="B10" s="15">
        <f t="shared" si="0"/>
        <v>9</v>
      </c>
      <c r="C10" s="3">
        <f t="shared" si="1"/>
        <v>1</v>
      </c>
      <c r="D10" s="12">
        <f t="shared" si="2"/>
        <v>2022</v>
      </c>
      <c r="E10" s="12">
        <f>IF(('FS Budapest'!C13-'FS Budapest'!C12)&lt;0,"0",('FS Budapest'!C13-'FS Budapest'!C12))</f>
        <v>14</v>
      </c>
      <c r="F10" s="12">
        <f>IF(('FS Budapest'!D13-'FS Budapest'!D12)&lt;0,"0",('FS Budapest'!D13-'FS Budapest'!D12))</f>
        <v>31</v>
      </c>
      <c r="G10" s="12">
        <f>IF(('FS Budapest'!E13-'FS Budapest'!Y13)&lt;0,"0",('FS Budapest'!E13-'FS Budapest'!Y13))</f>
        <v>28</v>
      </c>
      <c r="H10" s="12">
        <f>IF(('FS Budapest'!H13-'FS Budapest'!H12)&lt;0,"0",('FS Budapest'!H13-'FS Budapest'!H12))</f>
        <v>43</v>
      </c>
      <c r="I10" s="12">
        <f>IF(('FS Budapest'!I13-'FS Budapest'!I12)&lt;0,"0",('FS Budapest'!I13-'FS Budapest'!I12))</f>
        <v>2</v>
      </c>
      <c r="J10" s="12">
        <f>IF(('FS Budapest'!K13-'FS Budapest'!K12)&lt;0,"0",('FS Budapest'!K13-'FS Budapest'!K12))</f>
        <v>2</v>
      </c>
      <c r="K10" s="12">
        <f>IF(('FS Budapest'!M13-'FS Budapest'!M12)&lt;0,"0",('FS Budapest'!M13-'FS Budapest'!M12))</f>
        <v>8</v>
      </c>
      <c r="L10" s="12">
        <f>IF(('FS Budapest'!O13-'FS Budapest'!O12)&lt;0,"0",('FS Budapest'!O13-'FS Budapest'!O12))</f>
        <v>7</v>
      </c>
      <c r="M10" s="12">
        <f>IF(('FS Budapest'!Q13-'FS Budapest'!Q12)&lt;0,"0",('FS Budapest'!Q13-'FS Budapest'!Q12))</f>
        <v>0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3</v>
      </c>
      <c r="Q10" s="12">
        <f>'FS Budapest'!AB13</f>
        <v>2</v>
      </c>
      <c r="R10" s="12">
        <f>'FS Budapest'!AE13</f>
        <v>1</v>
      </c>
      <c r="S10" s="12">
        <f>'FS Budapest'!AF13</f>
        <v>2</v>
      </c>
      <c r="T10" s="12">
        <f>IF(('FS Budapest'!AK13-'FS Budapest'!AK12)&lt;0,"0",('FS Budapest'!AK13-'FS Budapest'!AK12))</f>
        <v>2977</v>
      </c>
      <c r="U10" s="12">
        <f>IF(('FS Budapest'!AM13-'FS Budapest'!AM12)&lt;0,"0",('FS Budapest'!AM13-'FS Budapest'!AM12))</f>
        <v>36</v>
      </c>
      <c r="V10" s="12">
        <f>IF(('FS Budapest'!AO13-'FS Budapest'!AO12)&lt;0,"0",('FS Budapest'!AO13-'FS Budapest'!AO12))</f>
        <v>107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11835.99999999924</v>
      </c>
      <c r="Z10" s="12">
        <f>'FS Budapest'!BI13</f>
        <v>11835.99999999924</v>
      </c>
      <c r="AA10" s="12">
        <f>'FS Budapest'!BJ13</f>
        <v>11795.99999999924</v>
      </c>
      <c r="AB10" s="12">
        <f>IF(('FS Budapest'!BK13-'FS Budapest'!BK12)&lt;0,"0",('FS Budapest'!BK13-'FS Budapest'!BK12)*100)</f>
        <v>1034.9999999999454</v>
      </c>
      <c r="AC10" s="12">
        <f>'FS Budapest'!BM13</f>
        <v>12870.999999999185</v>
      </c>
      <c r="AD10" s="12">
        <f>IF(('FS Budapest'!BP13-'FS Budapest'!BP12)&lt;0,"0",('FS Budapest'!BP13-'FS Budapest'!BP12))</f>
        <v>20</v>
      </c>
      <c r="AE10" s="12">
        <f>IF(('FS Budapest'!BR13-'FS Budapest'!BR12)&lt;0,"0",('FS Budapest'!BR13-'FS Budapest'!BR12))</f>
        <v>20</v>
      </c>
      <c r="AF10" s="12">
        <f>'FS Budapest'!BU13</f>
        <v>42</v>
      </c>
      <c r="AG10" s="12">
        <f>'FS Budapest'!BV13</f>
        <v>55</v>
      </c>
    </row>
    <row r="11" spans="1:33" s="16" customFormat="1" x14ac:dyDescent="0.25">
      <c r="A11" s="12" t="s">
        <v>12</v>
      </c>
      <c r="B11" s="15">
        <f t="shared" si="0"/>
        <v>10</v>
      </c>
      <c r="C11" s="3">
        <f t="shared" si="1"/>
        <v>1</v>
      </c>
      <c r="D11" s="12">
        <f t="shared" si="2"/>
        <v>2022</v>
      </c>
      <c r="E11" s="12">
        <f>IF(('FS Budapest'!C14-'FS Budapest'!C13)&lt;0,"0",('FS Budapest'!C14-'FS Budapest'!C13))</f>
        <v>26</v>
      </c>
      <c r="F11" s="12">
        <f>IF(('FS Budapest'!D14-'FS Budapest'!D13)&lt;0,"0",('FS Budapest'!D14-'FS Budapest'!D13))</f>
        <v>36</v>
      </c>
      <c r="G11" s="12">
        <f>IF(('FS Budapest'!E14-'FS Budapest'!Y14)&lt;0,"0",('FS Budapest'!E14-'FS Budapest'!Y14))</f>
        <v>24</v>
      </c>
      <c r="H11" s="12">
        <f>IF(('FS Budapest'!H14-'FS Budapest'!H13)&lt;0,"0",('FS Budapest'!H14-'FS Budapest'!H13))</f>
        <v>73</v>
      </c>
      <c r="I11" s="12">
        <f>IF(('FS Budapest'!I14-'FS Budapest'!I13)&lt;0,"0",('FS Budapest'!I14-'FS Budapest'!I13))</f>
        <v>20</v>
      </c>
      <c r="J11" s="12">
        <f>IF(('FS Budapest'!K14-'FS Budapest'!K13)&lt;0,"0",('FS Budapest'!K14-'FS Budapest'!K13))</f>
        <v>2</v>
      </c>
      <c r="K11" s="12">
        <f>IF(('FS Budapest'!M14-'FS Budapest'!M13)&lt;0,"0",('FS Budapest'!M14-'FS Budapest'!M13))</f>
        <v>9</v>
      </c>
      <c r="L11" s="12">
        <f>IF(('FS Budapest'!O14-'FS Budapest'!O13)&lt;0,"0",('FS Budapest'!O14-'FS Budapest'!O13))</f>
        <v>5</v>
      </c>
      <c r="M11" s="12">
        <f>IF(('FS Budapest'!Q14-'FS Budapest'!Q13)&lt;0,"0",('FS Budapest'!Q14-'FS Budapest'!Q13))</f>
        <v>2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1</v>
      </c>
      <c r="P11" s="12">
        <f>IF(('FS Budapest'!X14-'FS Budapest'!X13)&lt;0,"0",('FS Budapest'!X14-'FS Budapest'!X13))</f>
        <v>12</v>
      </c>
      <c r="Q11" s="12">
        <f>'FS Budapest'!AB14</f>
        <v>4</v>
      </c>
      <c r="R11" s="12">
        <f>'FS Budapest'!AE14</f>
        <v>2</v>
      </c>
      <c r="S11" s="12">
        <f>'FS Budapest'!AF14</f>
        <v>10</v>
      </c>
      <c r="T11" s="12">
        <f>IF(('FS Budapest'!AK14-'FS Budapest'!AK13)&lt;0,"0",('FS Budapest'!AK14-'FS Budapest'!AK13))</f>
        <v>3332</v>
      </c>
      <c r="U11" s="12">
        <f>IF(('FS Budapest'!AM14-'FS Budapest'!AM13)&lt;0,"0",('FS Budapest'!AM14-'FS Budapest'!AM13))</f>
        <v>26</v>
      </c>
      <c r="V11" s="12">
        <f>IF(('FS Budapest'!AO14-'FS Budapest'!AO13)&lt;0,"0",('FS Budapest'!AO14-'FS Budapest'!AO13))</f>
        <v>576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13552.00000000068</v>
      </c>
      <c r="Z11" s="12">
        <f>'FS Budapest'!BI14</f>
        <v>13552.00000000068</v>
      </c>
      <c r="AA11" s="12">
        <f>'FS Budapest'!BJ14</f>
        <v>12525.00000000068</v>
      </c>
      <c r="AB11" s="12">
        <f>IF(('FS Budapest'!BK14-'FS Budapest'!BK13)&lt;0,"0",('FS Budapest'!BK14-'FS Budapest'!BK13)*100)</f>
        <v>1189.0000000000327</v>
      </c>
      <c r="AC11" s="12">
        <f>'FS Budapest'!BM14</f>
        <v>14741.000000000713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1007</v>
      </c>
      <c r="AF11" s="12">
        <f>'FS Budapest'!BU14</f>
        <v>41</v>
      </c>
      <c r="AG11" s="12">
        <f>'FS Budapest'!BV14</f>
        <v>51</v>
      </c>
    </row>
    <row r="12" spans="1:33" s="16" customFormat="1" x14ac:dyDescent="0.25">
      <c r="A12" s="12" t="s">
        <v>12</v>
      </c>
      <c r="B12" s="15">
        <f t="shared" si="0"/>
        <v>11</v>
      </c>
      <c r="C12" s="3">
        <f t="shared" si="1"/>
        <v>1</v>
      </c>
      <c r="D12" s="12">
        <f t="shared" si="2"/>
        <v>2022</v>
      </c>
      <c r="E12" s="12">
        <f>IF(('FS Budapest'!C15-'FS Budapest'!C14)&lt;0,"0",('FS Budapest'!C15-'FS Budapest'!C14))</f>
        <v>24</v>
      </c>
      <c r="F12" s="12">
        <f>IF(('FS Budapest'!D15-'FS Budapest'!D14)&lt;0,"0",('FS Budapest'!D15-'FS Budapest'!D14))</f>
        <v>35</v>
      </c>
      <c r="G12" s="12">
        <f>IF(('FS Budapest'!E15-'FS Budapest'!Y15)&lt;0,"0",('FS Budapest'!E15-'FS Budapest'!Y15))</f>
        <v>23</v>
      </c>
      <c r="H12" s="12">
        <f>IF(('FS Budapest'!H15-'FS Budapest'!H14)&lt;0,"0",('FS Budapest'!H15-'FS Budapest'!H14))</f>
        <v>67</v>
      </c>
      <c r="I12" s="12">
        <f>IF(('FS Budapest'!I15-'FS Budapest'!I14)&lt;0,"0",('FS Budapest'!I15-'FS Budapest'!I14))</f>
        <v>17</v>
      </c>
      <c r="J12" s="12">
        <f>IF(('FS Budapest'!K15-'FS Budapest'!K14)&lt;0,"0",('FS Budapest'!K15-'FS Budapest'!K14))</f>
        <v>2</v>
      </c>
      <c r="K12" s="12">
        <f>IF(('FS Budapest'!M15-'FS Budapest'!M14)&lt;0,"0",('FS Budapest'!M15-'FS Budapest'!M14))</f>
        <v>8</v>
      </c>
      <c r="L12" s="12">
        <f>IF(('FS Budapest'!O15-'FS Budapest'!O14)&lt;0,"0",('FS Budapest'!O15-'FS Budapest'!O14))</f>
        <v>6</v>
      </c>
      <c r="M12" s="12">
        <f>IF(('FS Budapest'!Q15-'FS Budapest'!Q14)&lt;0,"0",('FS Budapest'!Q15-'FS Budapest'!Q14))</f>
        <v>3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12</v>
      </c>
      <c r="Q12" s="12">
        <f>'FS Budapest'!AB15</f>
        <v>2</v>
      </c>
      <c r="R12" s="12">
        <f>'FS Budapest'!AE15</f>
        <v>5</v>
      </c>
      <c r="S12" s="12">
        <f>'FS Budapest'!AF15</f>
        <v>10</v>
      </c>
      <c r="T12" s="12">
        <f>IF(('FS Budapest'!AK15-'FS Budapest'!AK14)&lt;0,"0",('FS Budapest'!AK15-'FS Budapest'!AK14))</f>
        <v>3528</v>
      </c>
      <c r="U12" s="12">
        <f>IF(('FS Budapest'!AM15-'FS Budapest'!AM14)&lt;0,"0",('FS Budapest'!AM15-'FS Budapest'!AM14))</f>
        <v>30</v>
      </c>
      <c r="V12" s="12">
        <f>IF(('FS Budapest'!AO15-'FS Budapest'!AO14)&lt;0,"0",('FS Budapest'!AO15-'FS Budapest'!AO14))</f>
        <v>560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14212.00000000008</v>
      </c>
      <c r="Z12" s="12">
        <f>'FS Budapest'!BI15</f>
        <v>14212.00000000008</v>
      </c>
      <c r="AA12" s="12">
        <f>'FS Budapest'!BJ15</f>
        <v>13146.00000000008</v>
      </c>
      <c r="AB12" s="12">
        <f>IF(('FS Budapest'!BK15-'FS Budapest'!BK14)&lt;0,"0",('FS Budapest'!BK15-'FS Budapest'!BK14)*100)</f>
        <v>1134.0000000000146</v>
      </c>
      <c r="AC12" s="12">
        <f>'FS Budapest'!BM15</f>
        <v>15346.000000000095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1046</v>
      </c>
      <c r="AF12" s="12">
        <f>'FS Budapest'!BU15</f>
        <v>43</v>
      </c>
      <c r="AG12" s="12">
        <f>'FS Budapest'!BV15</f>
        <v>51</v>
      </c>
    </row>
    <row r="13" spans="1:33" s="16" customFormat="1" x14ac:dyDescent="0.25">
      <c r="A13" s="12" t="s">
        <v>12</v>
      </c>
      <c r="B13" s="15">
        <f t="shared" si="0"/>
        <v>12</v>
      </c>
      <c r="C13" s="3">
        <f t="shared" si="1"/>
        <v>1</v>
      </c>
      <c r="D13" s="12">
        <f t="shared" si="2"/>
        <v>2022</v>
      </c>
      <c r="E13" s="12">
        <f>IF(('FS Budapest'!C16-'FS Budapest'!C15)&lt;0,"0",('FS Budapest'!C16-'FS Budapest'!C15))</f>
        <v>24</v>
      </c>
      <c r="F13" s="12">
        <f>IF(('FS Budapest'!D16-'FS Budapest'!D15)&lt;0,"0",('FS Budapest'!D16-'FS Budapest'!D15))</f>
        <v>31</v>
      </c>
      <c r="G13" s="12">
        <f>IF(('FS Budapest'!E16-'FS Budapest'!Y16)&lt;0,"0",('FS Budapest'!E16-'FS Budapest'!Y16))</f>
        <v>25</v>
      </c>
      <c r="H13" s="12">
        <f>IF(('FS Budapest'!H16-'FS Budapest'!H15)&lt;0,"0",('FS Budapest'!H16-'FS Budapest'!H15))</f>
        <v>65</v>
      </c>
      <c r="I13" s="12">
        <f>IF(('FS Budapest'!I16-'FS Budapest'!I15)&lt;0,"0",('FS Budapest'!I16-'FS Budapest'!I15))</f>
        <v>16</v>
      </c>
      <c r="J13" s="12">
        <f>IF(('FS Budapest'!K16-'FS Budapest'!K15)&lt;0,"0",('FS Budapest'!K16-'FS Budapest'!K15))</f>
        <v>1</v>
      </c>
      <c r="K13" s="12">
        <f>IF(('FS Budapest'!M16-'FS Budapest'!M15)&lt;0,"0",('FS Budapest'!M16-'FS Budapest'!M15))</f>
        <v>6</v>
      </c>
      <c r="L13" s="12">
        <f>IF(('FS Budapest'!O16-'FS Budapest'!O15)&lt;0,"0",('FS Budapest'!O16-'FS Budapest'!O15))</f>
        <v>4</v>
      </c>
      <c r="M13" s="12">
        <f>IF(('FS Budapest'!Q16-'FS Budapest'!Q15)&lt;0,"0",('FS Budapest'!Q16-'FS Budapest'!Q15))</f>
        <v>7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6</v>
      </c>
      <c r="Q13" s="12">
        <f>'FS Budapest'!AB16</f>
        <v>2</v>
      </c>
      <c r="R13" s="12">
        <f>'FS Budapest'!AE16</f>
        <v>1</v>
      </c>
      <c r="S13" s="12">
        <f>'FS Budapest'!AF16</f>
        <v>14</v>
      </c>
      <c r="T13" s="12">
        <f>IF(('FS Budapest'!AK16-'FS Budapest'!AK15)&lt;0,"0",('FS Budapest'!AK16-'FS Budapest'!AK15))</f>
        <v>4102</v>
      </c>
      <c r="U13" s="12">
        <f>IF(('FS Budapest'!AM16-'FS Budapest'!AM15)&lt;0,"0",('FS Budapest'!AM16-'FS Budapest'!AM15))</f>
        <v>18</v>
      </c>
      <c r="V13" s="12">
        <f>IF(('FS Budapest'!AO16-'FS Budapest'!AO15)&lt;0,"0",('FS Budapest'!AO16-'FS Budapest'!AO15))</f>
        <v>567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12715.99999999944</v>
      </c>
      <c r="Z13" s="12">
        <f>'FS Budapest'!BI16</f>
        <v>12715.99999999944</v>
      </c>
      <c r="AA13" s="12">
        <f>'FS Budapest'!BJ16</f>
        <v>12638.99999999944</v>
      </c>
      <c r="AB13" s="12">
        <f>IF(('FS Budapest'!BK16-'FS Budapest'!BK15)&lt;0,"0",('FS Budapest'!BK16-'FS Budapest'!BK15)*100)</f>
        <v>1177.9999999999745</v>
      </c>
      <c r="AC13" s="12">
        <f>'FS Budapest'!BM16</f>
        <v>13893.999999999414</v>
      </c>
      <c r="AD13" s="12">
        <f>IF(('FS Budapest'!BP16-'FS Budapest'!BP15)&lt;0,"0",('FS Budapest'!BP16-'FS Budapest'!BP15))</f>
        <v>20</v>
      </c>
      <c r="AE13" s="12">
        <f>IF(('FS Budapest'!BR16-'FS Budapest'!BR15)&lt;0,"0",('FS Budapest'!BR16-'FS Budapest'!BR15))</f>
        <v>57</v>
      </c>
      <c r="AF13" s="12">
        <f>'FS Budapest'!BU16</f>
        <v>51</v>
      </c>
      <c r="AG13" s="12">
        <f>'FS Budapest'!BV16</f>
        <v>63</v>
      </c>
    </row>
    <row r="14" spans="1:33" s="16" customFormat="1" x14ac:dyDescent="0.25">
      <c r="A14" s="12" t="s">
        <v>12</v>
      </c>
      <c r="B14" s="15">
        <f t="shared" si="0"/>
        <v>13</v>
      </c>
      <c r="C14" s="3">
        <f t="shared" si="1"/>
        <v>1</v>
      </c>
      <c r="D14" s="12">
        <f t="shared" si="2"/>
        <v>2022</v>
      </c>
      <c r="E14" s="12">
        <f>IF(('FS Budapest'!C17-'FS Budapest'!C16)&lt;0,"0",('FS Budapest'!C17-'FS Budapest'!C16))</f>
        <v>24</v>
      </c>
      <c r="F14" s="12">
        <f>IF(('FS Budapest'!D17-'FS Budapest'!D16)&lt;0,"0",('FS Budapest'!D17-'FS Budapest'!D16))</f>
        <v>39</v>
      </c>
      <c r="G14" s="12">
        <f>IF(('FS Budapest'!E17-'FS Budapest'!Y17)&lt;0,"0",('FS Budapest'!E17-'FS Budapest'!Y17))</f>
        <v>26</v>
      </c>
      <c r="H14" s="12">
        <f>IF(('FS Budapest'!H17-'FS Budapest'!H16)&lt;0,"0",('FS Budapest'!H17-'FS Budapest'!H16))</f>
        <v>70</v>
      </c>
      <c r="I14" s="12">
        <f>IF(('FS Budapest'!I17-'FS Budapest'!I16)&lt;0,"0",('FS Budapest'!I17-'FS Budapest'!I16))</f>
        <v>16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7</v>
      </c>
      <c r="L14" s="12">
        <f>IF(('FS Budapest'!O17-'FS Budapest'!O16)&lt;0,"0",('FS Budapest'!O17-'FS Budapest'!O16))</f>
        <v>7</v>
      </c>
      <c r="M14" s="12">
        <f>IF(('FS Budapest'!Q17-'FS Budapest'!Q16)&lt;0,"0",('FS Budapest'!Q17-'FS Budapest'!Q16))</f>
        <v>3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13</v>
      </c>
      <c r="Q14" s="12">
        <f>'FS Budapest'!AB17</f>
        <v>5</v>
      </c>
      <c r="R14" s="12">
        <f>'FS Budapest'!AE17</f>
        <v>2</v>
      </c>
      <c r="S14" s="12">
        <f>'FS Budapest'!AF17</f>
        <v>11</v>
      </c>
      <c r="T14" s="12">
        <f>IF(('FS Budapest'!AK17-'FS Budapest'!AK16)&lt;0,"0",('FS Budapest'!AK17-'FS Budapest'!AK16))</f>
        <v>3357</v>
      </c>
      <c r="U14" s="12">
        <f>IF(('FS Budapest'!AM17-'FS Budapest'!AM16)&lt;0,"0",('FS Budapest'!AM17-'FS Budapest'!AM16))</f>
        <v>24</v>
      </c>
      <c r="V14" s="12">
        <f>IF(('FS Budapest'!AO17-'FS Budapest'!AO16)&lt;0,"0",('FS Budapest'!AO17-'FS Budapest'!AO16))</f>
        <v>577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13464.00000000076</v>
      </c>
      <c r="Z14" s="12">
        <f>'FS Budapest'!BI17</f>
        <v>13464.00000000076</v>
      </c>
      <c r="AA14" s="12">
        <f>'FS Budapest'!BJ17</f>
        <v>13008.00000000076</v>
      </c>
      <c r="AB14" s="12">
        <f>IF(('FS Budapest'!BK17-'FS Budapest'!BK16)&lt;0,"0",('FS Budapest'!BK17-'FS Budapest'!BK16)*100)</f>
        <v>1126.0000000000218</v>
      </c>
      <c r="AC14" s="12">
        <f>'FS Budapest'!BM17</f>
        <v>14590.000000000782</v>
      </c>
      <c r="AD14" s="12">
        <f>IF(('FS Budapest'!BP17-'FS Budapest'!BP16)&lt;0,"0",('FS Budapest'!BP17-'FS Budapest'!BP16))</f>
        <v>21</v>
      </c>
      <c r="AE14" s="12">
        <f>IF(('FS Budapest'!BR17-'FS Budapest'!BR16)&lt;0,"0",('FS Budapest'!BR17-'FS Budapest'!BR16))</f>
        <v>435</v>
      </c>
      <c r="AF14" s="12">
        <f>'FS Budapest'!BU17</f>
        <v>51</v>
      </c>
      <c r="AG14" s="12">
        <f>'FS Budapest'!BV17</f>
        <v>70</v>
      </c>
    </row>
    <row r="15" spans="1:33" s="16" customFormat="1" x14ac:dyDescent="0.25">
      <c r="A15" s="12" t="s">
        <v>12</v>
      </c>
      <c r="B15" s="15">
        <f t="shared" si="0"/>
        <v>14</v>
      </c>
      <c r="C15" s="3">
        <f t="shared" si="1"/>
        <v>1</v>
      </c>
      <c r="D15" s="12">
        <f t="shared" si="2"/>
        <v>2022</v>
      </c>
      <c r="E15" s="12">
        <f>IF(('FS Budapest'!C18-'FS Budapest'!C17)&lt;0,"0",('FS Budapest'!C18-'FS Budapest'!C17))</f>
        <v>15</v>
      </c>
      <c r="F15" s="12">
        <f>IF(('FS Budapest'!D18-'FS Budapest'!D17)&lt;0,"0",('FS Budapest'!D18-'FS Budapest'!D17))</f>
        <v>30</v>
      </c>
      <c r="G15" s="12">
        <f>IF(('FS Budapest'!E18-'FS Budapest'!Y18)&lt;0,"0",('FS Budapest'!E18-'FS Budapest'!Y18))</f>
        <v>27</v>
      </c>
      <c r="H15" s="12">
        <f>IF(('FS Budapest'!H18-'FS Budapest'!H17)&lt;0,"0",('FS Budapest'!H18-'FS Budapest'!H17))</f>
        <v>48</v>
      </c>
      <c r="I15" s="12">
        <f>IF(('FS Budapest'!I18-'FS Budapest'!I17)&lt;0,"0",('FS Budapest'!I18-'FS Budapest'!I17))</f>
        <v>3</v>
      </c>
      <c r="J15" s="12">
        <f>IF(('FS Budapest'!K18-'FS Budapest'!K17)&lt;0,"0",('FS Budapest'!K18-'FS Budapest'!K17))</f>
        <v>4</v>
      </c>
      <c r="K15" s="12">
        <f>IF(('FS Budapest'!M18-'FS Budapest'!M17)&lt;0,"0",('FS Budapest'!M18-'FS Budapest'!M17))</f>
        <v>8</v>
      </c>
      <c r="L15" s="12">
        <f>IF(('FS Budapest'!O18-'FS Budapest'!O17)&lt;0,"0",('FS Budapest'!O18-'FS Budapest'!O17))</f>
        <v>7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3</v>
      </c>
      <c r="Q15" s="12">
        <f>'FS Budapest'!AB18</f>
        <v>2</v>
      </c>
      <c r="R15" s="12">
        <f>'FS Budapest'!AE18</f>
        <v>2</v>
      </c>
      <c r="S15" s="12">
        <f>'FS Budapest'!AF18</f>
        <v>1</v>
      </c>
      <c r="T15" s="12">
        <f>IF(('FS Budapest'!AK18-'FS Budapest'!AK17)&lt;0,"0",('FS Budapest'!AK18-'FS Budapest'!AK17))</f>
        <v>2496</v>
      </c>
      <c r="U15" s="12">
        <f>IF(('FS Budapest'!AM18-'FS Budapest'!AM17)&lt;0,"0",('FS Budapest'!AM18-'FS Budapest'!AM17))</f>
        <v>29</v>
      </c>
      <c r="V15" s="12">
        <f>IF(('FS Budapest'!AO18-'FS Budapest'!AO17)&lt;0,"0",('FS Budapest'!AO18-'FS Budapest'!AO17))</f>
        <v>124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13111.99999999908</v>
      </c>
      <c r="Z15" s="12">
        <f>'FS Budapest'!BI18</f>
        <v>13111.99999999908</v>
      </c>
      <c r="AA15" s="12">
        <f>'FS Budapest'!BJ18</f>
        <v>12590.99999999908</v>
      </c>
      <c r="AB15" s="12">
        <f>IF(('FS Budapest'!BK18-'FS Budapest'!BK17)&lt;0,"0",('FS Budapest'!BK18-'FS Budapest'!BK17)*100)</f>
        <v>1155.9999999999491</v>
      </c>
      <c r="AC15" s="12">
        <f>'FS Budapest'!BM18</f>
        <v>14267.999999999029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501</v>
      </c>
      <c r="AF15" s="12">
        <f>'FS Budapest'!BU18</f>
        <v>45</v>
      </c>
      <c r="AG15" s="12">
        <f>'FS Budapest'!BV18</f>
        <v>69</v>
      </c>
    </row>
    <row r="16" spans="1:33" s="16" customFormat="1" x14ac:dyDescent="0.25">
      <c r="A16" s="12" t="s">
        <v>12</v>
      </c>
      <c r="B16" s="15">
        <f t="shared" si="0"/>
        <v>15</v>
      </c>
      <c r="C16" s="3">
        <f t="shared" si="1"/>
        <v>1</v>
      </c>
      <c r="D16" s="12">
        <f t="shared" si="2"/>
        <v>2022</v>
      </c>
      <c r="E16" s="12">
        <f>IF(('FS Budapest'!C19-'FS Budapest'!C18)&lt;0,"0",('FS Budapest'!C19-'FS Budapest'!C18))</f>
        <v>15</v>
      </c>
      <c r="F16" s="12">
        <f>IF(('FS Budapest'!D19-'FS Budapest'!D18)&lt;0,"0",('FS Budapest'!D19-'FS Budapest'!D18))</f>
        <v>32</v>
      </c>
      <c r="G16" s="12">
        <f>IF(('FS Budapest'!E19-'FS Budapest'!Y19)&lt;0,"0",('FS Budapest'!E19-'FS Budapest'!Y19))</f>
        <v>26</v>
      </c>
      <c r="H16" s="12">
        <f>IF(('FS Budapest'!H19-'FS Budapest'!H18)&lt;0,"0",('FS Budapest'!H19-'FS Budapest'!H18))</f>
        <v>50</v>
      </c>
      <c r="I16" s="12">
        <f>IF(('FS Budapest'!I19-'FS Budapest'!I18)&lt;0,"0",('FS Budapest'!I19-'FS Budapest'!I18))</f>
        <v>2</v>
      </c>
      <c r="J16" s="12">
        <f>IF(('FS Budapest'!K19-'FS Budapest'!K18)&lt;0,"0",('FS Budapest'!K19-'FS Budapest'!K18))</f>
        <v>5</v>
      </c>
      <c r="K16" s="12">
        <f>IF(('FS Budapest'!M19-'FS Budapest'!M18)&lt;0,"0",('FS Budapest'!M19-'FS Budapest'!M18))</f>
        <v>6</v>
      </c>
      <c r="L16" s="12">
        <f>IF(('FS Budapest'!O19-'FS Budapest'!O18)&lt;0,"0",('FS Budapest'!O19-'FS Budapest'!O18))</f>
        <v>7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6</v>
      </c>
      <c r="Q16" s="12">
        <f>'FS Budapest'!AB19</f>
        <v>3</v>
      </c>
      <c r="R16" s="12">
        <f>'FS Budapest'!AE19</f>
        <v>3</v>
      </c>
      <c r="S16" s="12">
        <f>'FS Budapest'!AF19</f>
        <v>2</v>
      </c>
      <c r="T16" s="12">
        <f>IF(('FS Budapest'!AK19-'FS Budapest'!AK18)&lt;0,"0",('FS Budapest'!AK19-'FS Budapest'!AK18))</f>
        <v>2812</v>
      </c>
      <c r="U16" s="12">
        <f>IF(('FS Budapest'!AM19-'FS Budapest'!AM18)&lt;0,"0",('FS Budapest'!AM19-'FS Budapest'!AM18))</f>
        <v>34</v>
      </c>
      <c r="V16" s="12">
        <f>IF(('FS Budapest'!AO19-'FS Budapest'!AO18)&lt;0,"0",('FS Budapest'!AO19-'FS Budapest'!AO18))</f>
        <v>101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13200</v>
      </c>
      <c r="Z16" s="12">
        <f>'FS Budapest'!BI19</f>
        <v>13200</v>
      </c>
      <c r="AA16" s="12">
        <f>'FS Budapest'!BJ19</f>
        <v>12632</v>
      </c>
      <c r="AB16" s="12">
        <f>IF(('FS Budapest'!BK19-'FS Budapest'!BK18)&lt;0,"0",('FS Budapest'!BK19-'FS Budapest'!BK18)*100)</f>
        <v>1063.0000000000109</v>
      </c>
      <c r="AC16" s="12">
        <f>'FS Budapest'!BM19</f>
        <v>14263.000000000011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548</v>
      </c>
      <c r="AF16" s="12">
        <f>'FS Budapest'!BU19</f>
        <v>58</v>
      </c>
      <c r="AG16" s="12">
        <f>'FS Budapest'!BV19</f>
        <v>89</v>
      </c>
    </row>
    <row r="17" spans="1:33" s="16" customFormat="1" x14ac:dyDescent="0.25">
      <c r="A17" s="12" t="s">
        <v>12</v>
      </c>
      <c r="B17" s="15">
        <f t="shared" si="0"/>
        <v>16</v>
      </c>
      <c r="C17" s="3">
        <f t="shared" si="1"/>
        <v>1</v>
      </c>
      <c r="D17" s="12">
        <f t="shared" si="2"/>
        <v>2022</v>
      </c>
      <c r="E17" s="12">
        <f>IF(('FS Budapest'!C20-'FS Budapest'!C19)&lt;0,"0",('FS Budapest'!C20-'FS Budapest'!C19))</f>
        <v>13</v>
      </c>
      <c r="F17" s="12">
        <f>IF(('FS Budapest'!D20-'FS Budapest'!D19)&lt;0,"0",('FS Budapest'!D20-'FS Budapest'!D19))</f>
        <v>27</v>
      </c>
      <c r="G17" s="12">
        <f>IF(('FS Budapest'!E20-'FS Budapest'!Y20)&lt;0,"0",('FS Budapest'!E20-'FS Budapest'!Y20))</f>
        <v>25</v>
      </c>
      <c r="H17" s="12">
        <f>IF(('FS Budapest'!H20-'FS Budapest'!H19)&lt;0,"0",('FS Budapest'!H20-'FS Budapest'!H19))</f>
        <v>46</v>
      </c>
      <c r="I17" s="12">
        <f>IF(('FS Budapest'!I20-'FS Budapest'!I19)&lt;0,"0",('FS Budapest'!I20-'FS Budapest'!I19))</f>
        <v>3</v>
      </c>
      <c r="J17" s="12">
        <f>IF(('FS Budapest'!K20-'FS Budapest'!K19)&lt;0,"0",('FS Budapest'!K20-'FS Budapest'!K19))</f>
        <v>3</v>
      </c>
      <c r="K17" s="12">
        <f>IF(('FS Budapest'!M20-'FS Budapest'!M19)&lt;0,"0",('FS Budapest'!M20-'FS Budapest'!M19))</f>
        <v>5</v>
      </c>
      <c r="L17" s="12">
        <f>IF(('FS Budapest'!O20-'FS Budapest'!O19)&lt;0,"0",('FS Budapest'!O20-'FS Budapest'!O19))</f>
        <v>7</v>
      </c>
      <c r="M17" s="12">
        <f>IF(('FS Budapest'!Q20-'FS Budapest'!Q19)&lt;0,"0",('FS Budapest'!Q20-'FS Budapest'!Q19))</f>
        <v>0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2</v>
      </c>
      <c r="Q17" s="12">
        <f>'FS Budapest'!AB20</f>
        <v>3</v>
      </c>
      <c r="R17" s="12">
        <f>'FS Budapest'!AE20</f>
        <v>0</v>
      </c>
      <c r="S17" s="12">
        <f>'FS Budapest'!AF20</f>
        <v>0</v>
      </c>
      <c r="T17" s="12">
        <f>IF(('FS Budapest'!AK20-'FS Budapest'!AK19)&lt;0,"0",('FS Budapest'!AK20-'FS Budapest'!AK19))</f>
        <v>2986</v>
      </c>
      <c r="U17" s="12">
        <f>IF(('FS Budapest'!AM20-'FS Budapest'!AM19)&lt;0,"0",('FS Budapest'!AM20-'FS Budapest'!AM19))</f>
        <v>27</v>
      </c>
      <c r="V17" s="12">
        <f>IF(('FS Budapest'!AO20-'FS Budapest'!AO19)&lt;0,"0",('FS Budapest'!AO20-'FS Budapest'!AO19))</f>
        <v>99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11572.00000000048</v>
      </c>
      <c r="Z17" s="12">
        <f>'FS Budapest'!BI20</f>
        <v>11572.00000000048</v>
      </c>
      <c r="AA17" s="12">
        <f>'FS Budapest'!BJ20</f>
        <v>11533.00000000048</v>
      </c>
      <c r="AB17" s="12">
        <f>IF(('FS Budapest'!BK20-'FS Budapest'!BK19)&lt;0,"0",('FS Budapest'!BK20-'FS Budapest'!BK19)*100)</f>
        <v>1042.0000000000073</v>
      </c>
      <c r="AC17" s="12">
        <f>'FS Budapest'!BM20</f>
        <v>12614.000000000487</v>
      </c>
      <c r="AD17" s="12">
        <f>IF(('FS Budapest'!BP20-'FS Budapest'!BP19)&lt;0,"0",('FS Budapest'!BP20-'FS Budapest'!BP19))</f>
        <v>20</v>
      </c>
      <c r="AE17" s="12">
        <f>IF(('FS Budapest'!BR20-'FS Budapest'!BR19)&lt;0,"0",('FS Budapest'!BR20-'FS Budapest'!BR19))</f>
        <v>19</v>
      </c>
      <c r="AF17" s="12">
        <f>'FS Budapest'!BU20</f>
        <v>43</v>
      </c>
      <c r="AG17" s="12">
        <f>'FS Budapest'!BV20</f>
        <v>56</v>
      </c>
    </row>
    <row r="18" spans="1:33" s="16" customFormat="1" x14ac:dyDescent="0.25">
      <c r="A18" s="12" t="s">
        <v>12</v>
      </c>
      <c r="B18" s="15">
        <f t="shared" si="0"/>
        <v>17</v>
      </c>
      <c r="C18" s="3">
        <f t="shared" si="1"/>
        <v>1</v>
      </c>
      <c r="D18" s="12">
        <f t="shared" si="2"/>
        <v>2022</v>
      </c>
      <c r="E18" s="12">
        <f>IF(('FS Budapest'!C21-'FS Budapest'!C20)&lt;0,"0",('FS Budapest'!C21-'FS Budapest'!C20))</f>
        <v>24</v>
      </c>
      <c r="F18" s="12">
        <f>IF(('FS Budapest'!D21-'FS Budapest'!D20)&lt;0,"0",('FS Budapest'!D21-'FS Budapest'!D20))</f>
        <v>29</v>
      </c>
      <c r="G18" s="12">
        <f>IF(('FS Budapest'!E21-'FS Budapest'!Y21)&lt;0,"0",('FS Budapest'!E21-'FS Budapest'!Y21))</f>
        <v>20</v>
      </c>
      <c r="H18" s="12">
        <f>IF(('FS Budapest'!H21-'FS Budapest'!H20)&lt;0,"0",('FS Budapest'!H21-'FS Budapest'!H20))</f>
        <v>64</v>
      </c>
      <c r="I18" s="12">
        <f>IF(('FS Budapest'!I21-'FS Budapest'!I20)&lt;0,"0",('FS Budapest'!I21-'FS Budapest'!I20))</f>
        <v>19</v>
      </c>
      <c r="J18" s="12">
        <f>IF(('FS Budapest'!K21-'FS Budapest'!K20)&lt;0,"0",('FS Budapest'!K21-'FS Budapest'!K20))</f>
        <v>4</v>
      </c>
      <c r="K18" s="12">
        <f>IF(('FS Budapest'!M21-'FS Budapest'!M20)&lt;0,"0",('FS Budapest'!M21-'FS Budapest'!M20))</f>
        <v>6</v>
      </c>
      <c r="L18" s="12">
        <f>IF(('FS Budapest'!O21-'FS Budapest'!O20)&lt;0,"0",('FS Budapest'!O21-'FS Budapest'!O20))</f>
        <v>6</v>
      </c>
      <c r="M18" s="12">
        <f>IF(('FS Budapest'!Q21-'FS Budapest'!Q20)&lt;0,"0",('FS Budapest'!Q21-'FS Budapest'!Q20))</f>
        <v>2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9</v>
      </c>
      <c r="Q18" s="12">
        <f>'FS Budapest'!AB21</f>
        <v>3</v>
      </c>
      <c r="R18" s="12">
        <f>'FS Budapest'!AE21</f>
        <v>3</v>
      </c>
      <c r="S18" s="12">
        <f>'FS Budapest'!AF21</f>
        <v>10</v>
      </c>
      <c r="T18" s="12">
        <f>IF(('FS Budapest'!AK21-'FS Budapest'!AK20)&lt;0,"0",('FS Budapest'!AK21-'FS Budapest'!AK20))</f>
        <v>3087</v>
      </c>
      <c r="U18" s="12">
        <f>IF(('FS Budapest'!AM21-'FS Budapest'!AM20)&lt;0,"0",('FS Budapest'!AM21-'FS Budapest'!AM20))</f>
        <v>24</v>
      </c>
      <c r="V18" s="12">
        <f>IF(('FS Budapest'!AO21-'FS Budapest'!AO20)&lt;0,"0",('FS Budapest'!AO21-'FS Budapest'!AO20))</f>
        <v>558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13200</v>
      </c>
      <c r="Z18" s="12">
        <f>'FS Budapest'!BI21</f>
        <v>13200</v>
      </c>
      <c r="AA18" s="12">
        <f>'FS Budapest'!BJ21</f>
        <v>12353</v>
      </c>
      <c r="AB18" s="12">
        <f>IF(('FS Budapest'!BK21-'FS Budapest'!BK20)&lt;0,"0",('FS Budapest'!BK21-'FS Budapest'!BK20)*100)</f>
        <v>1171.0000000000036</v>
      </c>
      <c r="AC18" s="12">
        <f>'FS Budapest'!BM21</f>
        <v>14371.000000000004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827</v>
      </c>
      <c r="AF18" s="12">
        <f>'FS Budapest'!BU21</f>
        <v>46</v>
      </c>
      <c r="AG18" s="12">
        <f>'FS Budapest'!BV21</f>
        <v>59</v>
      </c>
    </row>
    <row r="19" spans="1:33" s="16" customFormat="1" x14ac:dyDescent="0.25">
      <c r="A19" s="12" t="s">
        <v>12</v>
      </c>
      <c r="B19" s="15">
        <f t="shared" si="0"/>
        <v>18</v>
      </c>
      <c r="C19" s="3">
        <f t="shared" si="1"/>
        <v>1</v>
      </c>
      <c r="D19" s="12">
        <f t="shared" si="2"/>
        <v>2022</v>
      </c>
      <c r="E19" s="12">
        <f>IF(('FS Budapest'!C22-'FS Budapest'!C21)&lt;0,"0",('FS Budapest'!C22-'FS Budapest'!C21))</f>
        <v>22</v>
      </c>
      <c r="F19" s="12">
        <f>IF(('FS Budapest'!D22-'FS Budapest'!D21)&lt;0,"0",('FS Budapest'!D22-'FS Budapest'!D21))</f>
        <v>29</v>
      </c>
      <c r="G19" s="12">
        <f>IF(('FS Budapest'!E22-'FS Budapest'!Y22)&lt;0,"0",('FS Budapest'!E22-'FS Budapest'!Y22))</f>
        <v>21</v>
      </c>
      <c r="H19" s="12">
        <f>IF(('FS Budapest'!H22-'FS Budapest'!H21)&lt;0,"0",('FS Budapest'!H22-'FS Budapest'!H21))</f>
        <v>61</v>
      </c>
      <c r="I19" s="12">
        <f>IF(('FS Budapest'!I22-'FS Budapest'!I21)&lt;0,"0",('FS Budapest'!I22-'FS Budapest'!I21))</f>
        <v>15</v>
      </c>
      <c r="J19" s="12">
        <f>IF(('FS Budapest'!K22-'FS Budapest'!K21)&lt;0,"0",('FS Budapest'!K22-'FS Budapest'!K21))</f>
        <v>4</v>
      </c>
      <c r="K19" s="12">
        <f>IF(('FS Budapest'!M22-'FS Budapest'!M21)&lt;0,"0",('FS Budapest'!M22-'FS Budapest'!M21))</f>
        <v>7</v>
      </c>
      <c r="L19" s="12">
        <f>IF(('FS Budapest'!O22-'FS Budapest'!O21)&lt;0,"0",('FS Budapest'!O22-'FS Budapest'!O21))</f>
        <v>5</v>
      </c>
      <c r="M19" s="12">
        <f>IF(('FS Budapest'!Q22-'FS Budapest'!Q21)&lt;0,"0",('FS Budapest'!Q22-'FS Budapest'!Q21))</f>
        <v>1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8</v>
      </c>
      <c r="Q19" s="12">
        <f>'FS Budapest'!AB22</f>
        <v>2</v>
      </c>
      <c r="R19" s="12">
        <f>'FS Budapest'!AE22</f>
        <v>2</v>
      </c>
      <c r="S19" s="12">
        <f>'FS Budapest'!AF22</f>
        <v>7</v>
      </c>
      <c r="T19" s="12">
        <f>IF(('FS Budapest'!AK22-'FS Budapest'!AK21)&lt;0,"0",('FS Budapest'!AK22-'FS Budapest'!AK21))</f>
        <v>3384</v>
      </c>
      <c r="U19" s="12">
        <f>IF(('FS Budapest'!AM22-'FS Budapest'!AM21)&lt;0,"0",('FS Budapest'!AM22-'FS Budapest'!AM21))</f>
        <v>33</v>
      </c>
      <c r="V19" s="12">
        <f>IF(('FS Budapest'!AO22-'FS Budapest'!AO21)&lt;0,"0",('FS Budapest'!AO22-'FS Budapest'!AO21))</f>
        <v>513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12980.0000000002</v>
      </c>
      <c r="Z19" s="12">
        <f>'FS Budapest'!BI22</f>
        <v>12980.0000000002</v>
      </c>
      <c r="AA19" s="12">
        <f>'FS Budapest'!BJ22</f>
        <v>12218.0000000002</v>
      </c>
      <c r="AB19" s="12">
        <f>IF(('FS Budapest'!BK22-'FS Budapest'!BK21)&lt;0,"0",('FS Budapest'!BK22-'FS Budapest'!BK21)*100)</f>
        <v>1127.9999999999745</v>
      </c>
      <c r="AC19" s="12">
        <f>'FS Budapest'!BM22</f>
        <v>14108.000000000175</v>
      </c>
      <c r="AD19" s="12">
        <f>IF(('FS Budapest'!BP22-'FS Budapest'!BP21)&lt;0,"0",('FS Budapest'!BP22-'FS Budapest'!BP21))</f>
        <v>20</v>
      </c>
      <c r="AE19" s="12">
        <f>IF(('FS Budapest'!BR22-'FS Budapest'!BR21)&lt;0,"0",('FS Budapest'!BR22-'FS Budapest'!BR21))</f>
        <v>742</v>
      </c>
      <c r="AF19" s="12">
        <f>'FS Budapest'!BU22</f>
        <v>38</v>
      </c>
      <c r="AG19" s="12">
        <f>'FS Budapest'!BV22</f>
        <v>45</v>
      </c>
    </row>
    <row r="20" spans="1:33" s="16" customFormat="1" x14ac:dyDescent="0.25">
      <c r="A20" s="12" t="s">
        <v>12</v>
      </c>
      <c r="B20" s="15">
        <f t="shared" si="0"/>
        <v>19</v>
      </c>
      <c r="C20" s="3">
        <f t="shared" si="1"/>
        <v>1</v>
      </c>
      <c r="D20" s="12">
        <f t="shared" si="2"/>
        <v>2022</v>
      </c>
      <c r="E20" s="12">
        <f>IF(('FS Budapest'!C23-'FS Budapest'!C22)&lt;0,"0",('FS Budapest'!C23-'FS Budapest'!C22))</f>
        <v>22</v>
      </c>
      <c r="F20" s="12">
        <f>IF(('FS Budapest'!D23-'FS Budapest'!D22)&lt;0,"0",('FS Budapest'!D23-'FS Budapest'!D22))</f>
        <v>28</v>
      </c>
      <c r="G20" s="12">
        <f>IF(('FS Budapest'!E23-'FS Budapest'!Y23)&lt;0,"0",('FS Budapest'!E23-'FS Budapest'!Y23))</f>
        <v>20</v>
      </c>
      <c r="H20" s="12">
        <f>IF(('FS Budapest'!H23-'FS Budapest'!H22)&lt;0,"0",('FS Budapest'!H23-'FS Budapest'!H22))</f>
        <v>55</v>
      </c>
      <c r="I20" s="12">
        <f>IF(('FS Budapest'!I23-'FS Budapest'!I22)&lt;0,"0",('FS Budapest'!I23-'FS Budapest'!I22))</f>
        <v>17</v>
      </c>
      <c r="J20" s="12">
        <f>IF(('FS Budapest'!K23-'FS Budapest'!K22)&lt;0,"0",('FS Budapest'!K23-'FS Budapest'!K22))</f>
        <v>4</v>
      </c>
      <c r="K20" s="12">
        <f>IF(('FS Budapest'!M23-'FS Budapest'!M22)&lt;0,"0",('FS Budapest'!M23-'FS Budapest'!M22))</f>
        <v>5</v>
      </c>
      <c r="L20" s="12">
        <f>IF(('FS Budapest'!O23-'FS Budapest'!O22)&lt;0,"0",('FS Budapest'!O23-'FS Budapest'!O22))</f>
        <v>5</v>
      </c>
      <c r="M20" s="12">
        <f>IF(('FS Budapest'!Q23-'FS Budapest'!Q22)&lt;0,"0",('FS Budapest'!Q23-'FS Budapest'!Q22))</f>
        <v>4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8</v>
      </c>
      <c r="Q20" s="12">
        <f>'FS Budapest'!AB23</f>
        <v>3</v>
      </c>
      <c r="R20" s="12">
        <f>'FS Budapest'!AE23</f>
        <v>1</v>
      </c>
      <c r="S20" s="12">
        <f>'FS Budapest'!AF23</f>
        <v>11</v>
      </c>
      <c r="T20" s="12">
        <f>IF(('FS Budapest'!AK23-'FS Budapest'!AK22)&lt;0,"0",('FS Budapest'!AK23-'FS Budapest'!AK22))</f>
        <v>3387</v>
      </c>
      <c r="U20" s="12">
        <f>IF(('FS Budapest'!AM23-'FS Budapest'!AM22)&lt;0,"0",('FS Budapest'!AM23-'FS Budapest'!AM22))</f>
        <v>25</v>
      </c>
      <c r="V20" s="12">
        <f>IF(('FS Budapest'!AO23-'FS Budapest'!AO22)&lt;0,"0",('FS Budapest'!AO23-'FS Budapest'!AO22))</f>
        <v>486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13639.9999999996</v>
      </c>
      <c r="Z20" s="12">
        <f>'FS Budapest'!BI23</f>
        <v>13639.9999999996</v>
      </c>
      <c r="AA20" s="12">
        <f>'FS Budapest'!BJ23</f>
        <v>12867.9999999996</v>
      </c>
      <c r="AB20" s="12">
        <f>IF(('FS Budapest'!BK23-'FS Budapest'!BK22)&lt;0,"0",('FS Budapest'!BK23-'FS Budapest'!BK22)*100)</f>
        <v>1115.0000000000546</v>
      </c>
      <c r="AC20" s="12">
        <f>'FS Budapest'!BM23</f>
        <v>14754.999999999654</v>
      </c>
      <c r="AD20" s="12">
        <f>IF(('FS Budapest'!BP23-'FS Budapest'!BP22)&lt;0,"0",('FS Budapest'!BP23-'FS Budapest'!BP22))</f>
        <v>21</v>
      </c>
      <c r="AE20" s="12">
        <f>IF(('FS Budapest'!BR23-'FS Budapest'!BR22)&lt;0,"0",('FS Budapest'!BR23-'FS Budapest'!BR22))</f>
        <v>751</v>
      </c>
      <c r="AF20" s="12">
        <f>'FS Budapest'!BU23</f>
        <v>39</v>
      </c>
      <c r="AG20" s="12">
        <f>'FS Budapest'!BV23</f>
        <v>47</v>
      </c>
    </row>
    <row r="21" spans="1:33" s="16" customFormat="1" x14ac:dyDescent="0.25">
      <c r="A21" s="12" t="s">
        <v>12</v>
      </c>
      <c r="B21" s="15">
        <f t="shared" si="0"/>
        <v>20</v>
      </c>
      <c r="C21" s="3">
        <f t="shared" si="1"/>
        <v>1</v>
      </c>
      <c r="D21" s="12">
        <f t="shared" si="2"/>
        <v>2022</v>
      </c>
      <c r="E21" s="12">
        <f>IF(('FS Budapest'!C24-'FS Budapest'!C23)&lt;0,"0",('FS Budapest'!C24-'FS Budapest'!C23))</f>
        <v>17</v>
      </c>
      <c r="F21" s="12">
        <f>IF(('FS Budapest'!D24-'FS Budapest'!D23)&lt;0,"0",('FS Budapest'!D24-'FS Budapest'!D23))</f>
        <v>24</v>
      </c>
      <c r="G21" s="12">
        <f>IF(('FS Budapest'!E24-'FS Budapest'!Y24)&lt;0,"0",('FS Budapest'!E24-'FS Budapest'!Y24))</f>
        <v>16</v>
      </c>
      <c r="H21" s="12">
        <f>IF(('FS Budapest'!H24-'FS Budapest'!H23)&lt;0,"0",('FS Budapest'!H24-'FS Budapest'!H23))</f>
        <v>50</v>
      </c>
      <c r="I21" s="12">
        <f>IF(('FS Budapest'!I24-'FS Budapest'!I23)&lt;0,"0",('FS Budapest'!I24-'FS Budapest'!I23))</f>
        <v>12</v>
      </c>
      <c r="J21" s="12">
        <f>IF(('FS Budapest'!K24-'FS Budapest'!K23)&lt;0,"0",('FS Budapest'!K24-'FS Budapest'!K23))</f>
        <v>4</v>
      </c>
      <c r="K21" s="12">
        <f>IF(('FS Budapest'!M24-'FS Budapest'!M23)&lt;0,"0",('FS Budapest'!M24-'FS Budapest'!M23))</f>
        <v>6</v>
      </c>
      <c r="L21" s="12">
        <f>IF(('FS Budapest'!O24-'FS Budapest'!O23)&lt;0,"0",('FS Budapest'!O24-'FS Budapest'!O23))</f>
        <v>3</v>
      </c>
      <c r="M21" s="12">
        <f>IF(('FS Budapest'!Q24-'FS Budapest'!Q23)&lt;0,"0",('FS Budapest'!Q24-'FS Budapest'!Q23))</f>
        <v>1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8</v>
      </c>
      <c r="Q21" s="12">
        <f>'FS Budapest'!AB24</f>
        <v>-1</v>
      </c>
      <c r="R21" s="12">
        <f>'FS Budapest'!AE24</f>
        <v>0</v>
      </c>
      <c r="S21" s="12">
        <f>'FS Budapest'!AF24</f>
        <v>7</v>
      </c>
      <c r="T21" s="12">
        <f>IF(('FS Budapest'!AK24-'FS Budapest'!AK23)&lt;0,"0",('FS Budapest'!AK24-'FS Budapest'!AK23))</f>
        <v>3118</v>
      </c>
      <c r="U21" s="12">
        <f>IF(('FS Budapest'!AM24-'FS Budapest'!AM23)&lt;0,"0",('FS Budapest'!AM24-'FS Budapest'!AM23))</f>
        <v>27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13156.00000000004</v>
      </c>
      <c r="Z21" s="12">
        <f>'FS Budapest'!BI24</f>
        <v>13156.00000000004</v>
      </c>
      <c r="AA21" s="12">
        <f>'FS Budapest'!BJ24</f>
        <v>12458.00000000004</v>
      </c>
      <c r="AB21" s="12">
        <f>IF(('FS Budapest'!BK24-'FS Budapest'!BK23)&lt;0,"0",('FS Budapest'!BK24-'FS Budapest'!BK23)*100)</f>
        <v>1256.9999999999709</v>
      </c>
      <c r="AC21" s="12">
        <f>'FS Budapest'!BM24</f>
        <v>14413.000000000011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678</v>
      </c>
      <c r="AF21" s="12">
        <f>'FS Budapest'!BU24</f>
        <v>42</v>
      </c>
      <c r="AG21" s="12">
        <f>'FS Budapest'!BV24</f>
        <v>49</v>
      </c>
    </row>
    <row r="22" spans="1:33" s="16" customFormat="1" x14ac:dyDescent="0.25">
      <c r="A22" s="12" t="s">
        <v>12</v>
      </c>
      <c r="B22" s="15">
        <f t="shared" si="0"/>
        <v>21</v>
      </c>
      <c r="C22" s="3">
        <f t="shared" si="1"/>
        <v>1</v>
      </c>
      <c r="D22" s="12">
        <f t="shared" si="2"/>
        <v>2022</v>
      </c>
      <c r="E22" s="12">
        <f>IF(('FS Budapest'!C25-'FS Budapest'!C24)&lt;0,"0",('FS Budapest'!C25-'FS Budapest'!C24))</f>
        <v>18</v>
      </c>
      <c r="F22" s="12">
        <f>IF(('FS Budapest'!D25-'FS Budapest'!D24)&lt;0,"0",('FS Budapest'!D25-'FS Budapest'!D24))</f>
        <v>34</v>
      </c>
      <c r="G22" s="12">
        <f>IF(('FS Budapest'!E25-'FS Budapest'!Y25)&lt;0,"0",('FS Budapest'!E25-'FS Budapest'!Y25))</f>
        <v>23</v>
      </c>
      <c r="H22" s="12">
        <f>IF(('FS Budapest'!H25-'FS Budapest'!H24)&lt;0,"0",('FS Budapest'!H25-'FS Budapest'!H24))</f>
        <v>52</v>
      </c>
      <c r="I22" s="12">
        <f>IF(('FS Budapest'!I25-'FS Budapest'!I24)&lt;0,"0",('FS Budapest'!I25-'FS Budapest'!I24))</f>
        <v>3</v>
      </c>
      <c r="J22" s="12">
        <f>IF(('FS Budapest'!K25-'FS Budapest'!K24)&lt;0,"0",('FS Budapest'!K25-'FS Budapest'!K24))</f>
        <v>4</v>
      </c>
      <c r="K22" s="12">
        <f>IF(('FS Budapest'!M25-'FS Budapest'!M24)&lt;0,"0",('FS Budapest'!M25-'FS Budapest'!M24))</f>
        <v>6</v>
      </c>
      <c r="L22" s="12">
        <f>IF(('FS Budapest'!O25-'FS Budapest'!O24)&lt;0,"0",('FS Budapest'!O25-'FS Budapest'!O24))</f>
        <v>6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11</v>
      </c>
      <c r="Q22" s="12">
        <f>'FS Budapest'!AB25</f>
        <v>4</v>
      </c>
      <c r="R22" s="12">
        <f>'FS Budapest'!AE25</f>
        <v>2</v>
      </c>
      <c r="S22" s="12">
        <f>'FS Budapest'!AF25</f>
        <v>2</v>
      </c>
      <c r="T22" s="12">
        <f>IF(('FS Budapest'!AK25-'FS Budapest'!AK24)&lt;0,"0",('FS Budapest'!AK25-'FS Budapest'!AK24))</f>
        <v>3394</v>
      </c>
      <c r="U22" s="12">
        <f>IF(('FS Budapest'!AM25-'FS Budapest'!AM24)&lt;0,"0",('FS Budapest'!AM25-'FS Budapest'!AM24))</f>
        <v>33</v>
      </c>
      <c r="V22" s="12">
        <f>IF(('FS Budapest'!AO25-'FS Budapest'!AO24)&lt;0,"0",('FS Budapest'!AO25-'FS Budapest'!AO24))</f>
        <v>421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13948.00000000032</v>
      </c>
      <c r="Z22" s="12">
        <f>'FS Budapest'!BI25</f>
        <v>13948.00000000032</v>
      </c>
      <c r="AA22" s="12">
        <f>'FS Budapest'!BJ25</f>
        <v>13881.00000000032</v>
      </c>
      <c r="AB22" s="12">
        <f>IF(('FS Budapest'!BK25-'FS Budapest'!BK24)&lt;0,"0",('FS Budapest'!BK25-'FS Budapest'!BK24)*100)</f>
        <v>1168.99999999996</v>
      </c>
      <c r="AC22" s="12">
        <f>'FS Budapest'!BM25</f>
        <v>15117.00000000028</v>
      </c>
      <c r="AD22" s="12">
        <f>IF(('FS Budapest'!BP25-'FS Budapest'!BP24)&lt;0,"0",('FS Budapest'!BP25-'FS Budapest'!BP24))</f>
        <v>47</v>
      </c>
      <c r="AE22" s="12">
        <f>IF(('FS Budapest'!BR25-'FS Budapest'!BR24)&lt;0,"0",('FS Budapest'!BR25-'FS Budapest'!BR24))</f>
        <v>20</v>
      </c>
      <c r="AF22" s="12">
        <f>'FS Budapest'!BU25</f>
        <v>46</v>
      </c>
      <c r="AG22" s="12">
        <f>'FS Budapest'!BV25</f>
        <v>60</v>
      </c>
    </row>
    <row r="23" spans="1:33" s="16" customFormat="1" x14ac:dyDescent="0.25">
      <c r="A23" s="12" t="s">
        <v>12</v>
      </c>
      <c r="B23" s="15">
        <f t="shared" si="0"/>
        <v>22</v>
      </c>
      <c r="C23" s="3">
        <f t="shared" si="1"/>
        <v>1</v>
      </c>
      <c r="D23" s="12">
        <f t="shared" si="2"/>
        <v>2022</v>
      </c>
      <c r="E23" s="12">
        <f>IF(('FS Budapest'!C26-'FS Budapest'!C25)&lt;0,"0",('FS Budapest'!C26-'FS Budapest'!C25))</f>
        <v>21</v>
      </c>
      <c r="F23" s="12">
        <f>IF(('FS Budapest'!D26-'FS Budapest'!D25)&lt;0,"0",('FS Budapest'!D26-'FS Budapest'!D25))</f>
        <v>26</v>
      </c>
      <c r="G23" s="12">
        <f>IF(('FS Budapest'!E26-'FS Budapest'!Y26)&lt;0,"0",('FS Budapest'!E26-'FS Budapest'!Y26))</f>
        <v>19</v>
      </c>
      <c r="H23" s="12">
        <f>IF(('FS Budapest'!H26-'FS Budapest'!H25)&lt;0,"0",('FS Budapest'!H26-'FS Budapest'!H25))</f>
        <v>50</v>
      </c>
      <c r="I23" s="12">
        <f>IF(('FS Budapest'!I26-'FS Budapest'!I25)&lt;0,"0",('FS Budapest'!I26-'FS Budapest'!I25))</f>
        <v>4</v>
      </c>
      <c r="J23" s="12">
        <f>IF(('FS Budapest'!K26-'FS Budapest'!K25)&lt;0,"0",('FS Budapest'!K26-'FS Budapest'!K25))</f>
        <v>4</v>
      </c>
      <c r="K23" s="12">
        <f>IF(('FS Budapest'!M26-'FS Budapest'!M25)&lt;0,"0",('FS Budapest'!M26-'FS Budapest'!M25))</f>
        <v>6</v>
      </c>
      <c r="L23" s="12">
        <f>IF(('FS Budapest'!O26-'FS Budapest'!O25)&lt;0,"0",('FS Budapest'!O26-'FS Budapest'!O25))</f>
        <v>6</v>
      </c>
      <c r="M23" s="12">
        <f>IF(('FS Budapest'!Q26-'FS Budapest'!Q25)&lt;0,"0",('FS Budapest'!Q26-'FS Budapest'!Q25))</f>
        <v>0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7</v>
      </c>
      <c r="Q23" s="12">
        <f>'FS Budapest'!AB26</f>
        <v>2</v>
      </c>
      <c r="R23" s="12">
        <f>'FS Budapest'!AE26</f>
        <v>2</v>
      </c>
      <c r="S23" s="12">
        <f>'FS Budapest'!AF26</f>
        <v>2</v>
      </c>
      <c r="T23" s="12">
        <f>IF(('FS Budapest'!AK26-'FS Budapest'!AK25)&lt;0,"0",('FS Budapest'!AK26-'FS Budapest'!AK25))</f>
        <v>3152</v>
      </c>
      <c r="U23" s="12">
        <f>IF(('FS Budapest'!AM26-'FS Budapest'!AM25)&lt;0,"0",('FS Budapest'!AM26-'FS Budapest'!AM25))</f>
        <v>35</v>
      </c>
      <c r="V23" s="12">
        <f>IF(('FS Budapest'!AO26-'FS Budapest'!AO25)&lt;0,"0",('FS Budapest'!AO26-'FS Budapest'!AO25))</f>
        <v>202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13375.99999999984</v>
      </c>
      <c r="Z23" s="12">
        <f>'FS Budapest'!BI26</f>
        <v>13375.99999999984</v>
      </c>
      <c r="AA23" s="12">
        <f>'FS Budapest'!BJ26</f>
        <v>13337.99999999984</v>
      </c>
      <c r="AB23" s="12">
        <f>IF(('FS Budapest'!BK26-'FS Budapest'!BK25)&lt;0,"0",('FS Budapest'!BK26-'FS Budapest'!BK25)*100)</f>
        <v>1567.0000000000073</v>
      </c>
      <c r="AC23" s="12">
        <f>'FS Budapest'!BM26</f>
        <v>14942.999999999847</v>
      </c>
      <c r="AD23" s="12">
        <f>IF(('FS Budapest'!BP26-'FS Budapest'!BP25)&lt;0,"0",('FS Budapest'!BP26-'FS Budapest'!BP25))</f>
        <v>19</v>
      </c>
      <c r="AE23" s="12">
        <f>IF(('FS Budapest'!BR26-'FS Budapest'!BR25)&lt;0,"0",('FS Budapest'!BR26-'FS Budapest'!BR25))</f>
        <v>19</v>
      </c>
      <c r="AF23" s="12">
        <f>'FS Budapest'!BU26</f>
        <v>41</v>
      </c>
      <c r="AG23" s="12">
        <f>'FS Budapest'!BV26</f>
        <v>56</v>
      </c>
    </row>
    <row r="24" spans="1:33" s="16" customFormat="1" x14ac:dyDescent="0.25">
      <c r="A24" s="12" t="s">
        <v>12</v>
      </c>
      <c r="B24" s="15">
        <f t="shared" si="0"/>
        <v>23</v>
      </c>
      <c r="C24" s="3">
        <f t="shared" si="1"/>
        <v>1</v>
      </c>
      <c r="D24" s="12">
        <f t="shared" si="2"/>
        <v>2022</v>
      </c>
      <c r="E24" s="12">
        <f>IF(('FS Budapest'!C27-'FS Budapest'!C26)&lt;0,"0",('FS Budapest'!C27-'FS Budapest'!C26))</f>
        <v>12</v>
      </c>
      <c r="F24" s="12">
        <f>IF(('FS Budapest'!D27-'FS Budapest'!D26)&lt;0,"0",('FS Budapest'!D27-'FS Budapest'!D26))</f>
        <v>31</v>
      </c>
      <c r="G24" s="12">
        <f>IF(('FS Budapest'!E27-'FS Budapest'!Y27)&lt;0,"0",('FS Budapest'!E27-'FS Budapest'!Y27))</f>
        <v>22</v>
      </c>
      <c r="H24" s="12">
        <f>IF(('FS Budapest'!H27-'FS Budapest'!H26)&lt;0,"0",('FS Budapest'!H27-'FS Budapest'!H26))</f>
        <v>53</v>
      </c>
      <c r="I24" s="12">
        <f>IF(('FS Budapest'!I27-'FS Budapest'!I26)&lt;0,"0",('FS Budapest'!I27-'FS Budapest'!I26))</f>
        <v>5</v>
      </c>
      <c r="J24" s="12">
        <f>IF(('FS Budapest'!K27-'FS Budapest'!K26)&lt;0,"0",('FS Budapest'!K27-'FS Budapest'!K26))</f>
        <v>5</v>
      </c>
      <c r="K24" s="12">
        <f>IF(('FS Budapest'!M27-'FS Budapest'!M26)&lt;0,"0",('FS Budapest'!M27-'FS Budapest'!M26))</f>
        <v>6</v>
      </c>
      <c r="L24" s="12">
        <f>IF(('FS Budapest'!O27-'FS Budapest'!O26)&lt;0,"0",('FS Budapest'!O27-'FS Budapest'!O26))</f>
        <v>6</v>
      </c>
      <c r="M24" s="12">
        <f>IF(('FS Budapest'!Q27-'FS Budapest'!Q26)&lt;0,"0",('FS Budapest'!Q27-'FS Budapest'!Q26))</f>
        <v>2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9</v>
      </c>
      <c r="Q24" s="12">
        <f>'FS Budapest'!AB27</f>
        <v>3</v>
      </c>
      <c r="R24" s="12">
        <f>'FS Budapest'!AE27</f>
        <v>2</v>
      </c>
      <c r="S24" s="12">
        <f>'FS Budapest'!AF27</f>
        <v>4</v>
      </c>
      <c r="T24" s="12">
        <f>IF(('FS Budapest'!AK27-'FS Budapest'!AK26)&lt;0,"0",('FS Budapest'!AK27-'FS Budapest'!AK26))</f>
        <v>3254</v>
      </c>
      <c r="U24" s="12">
        <f>IF(('FS Budapest'!AM27-'FS Budapest'!AM26)&lt;0,"0",('FS Budapest'!AM27-'FS Budapest'!AM26))</f>
        <v>31</v>
      </c>
      <c r="V24" s="12">
        <f>IF(('FS Budapest'!AO27-'FS Budapest'!AO26)&lt;0,"0",('FS Budapest'!AO27-'FS Budapest'!AO26))</f>
        <v>101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13727.99999999952</v>
      </c>
      <c r="Z24" s="12">
        <f>'FS Budapest'!BI27</f>
        <v>13727.99999999952</v>
      </c>
      <c r="AA24" s="12">
        <f>'FS Budapest'!BJ27</f>
        <v>13687.99999999952</v>
      </c>
      <c r="AB24" s="12">
        <f>IF(('FS Budapest'!BK27-'FS Budapest'!BK26)&lt;0,"0",('FS Budapest'!BK27-'FS Budapest'!BK26)*100)</f>
        <v>1144.0000000000509</v>
      </c>
      <c r="AC24" s="12">
        <f>'FS Budapest'!BM27</f>
        <v>14871.999999999571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20</v>
      </c>
      <c r="AF24" s="12">
        <f>'FS Budapest'!BU27</f>
        <v>38</v>
      </c>
      <c r="AG24" s="12">
        <f>'FS Budapest'!BV27</f>
        <v>51</v>
      </c>
    </row>
    <row r="25" spans="1:33" s="16" customFormat="1" x14ac:dyDescent="0.25">
      <c r="A25" s="12" t="s">
        <v>12</v>
      </c>
      <c r="B25" s="15">
        <f t="shared" si="0"/>
        <v>24</v>
      </c>
      <c r="C25" s="3">
        <f t="shared" si="1"/>
        <v>1</v>
      </c>
      <c r="D25" s="12">
        <f t="shared" si="2"/>
        <v>2022</v>
      </c>
      <c r="E25" s="12">
        <f>IF(('FS Budapest'!C28-'FS Budapest'!C27)&lt;0,"0",('FS Budapest'!C28-'FS Budapest'!C27))</f>
        <v>20</v>
      </c>
      <c r="F25" s="12">
        <f>IF(('FS Budapest'!D28-'FS Budapest'!D27)&lt;0,"0",('FS Budapest'!D28-'FS Budapest'!D27))</f>
        <v>27</v>
      </c>
      <c r="G25" s="12">
        <f>IF(('FS Budapest'!E28-'FS Budapest'!Y28)&lt;0,"0",('FS Budapest'!E28-'FS Budapest'!Y28))</f>
        <v>20</v>
      </c>
      <c r="H25" s="12">
        <f>IF(('FS Budapest'!H28-'FS Budapest'!H27)&lt;0,"0",('FS Budapest'!H28-'FS Budapest'!H27))</f>
        <v>59</v>
      </c>
      <c r="I25" s="12">
        <f>IF(('FS Budapest'!I28-'FS Budapest'!I27)&lt;0,"0",('FS Budapest'!I28-'FS Budapest'!I27))</f>
        <v>19</v>
      </c>
      <c r="J25" s="12">
        <f>IF(('FS Budapest'!K28-'FS Budapest'!K27)&lt;0,"0",('FS Budapest'!K28-'FS Budapest'!K27))</f>
        <v>4</v>
      </c>
      <c r="K25" s="12">
        <f>IF(('FS Budapest'!M28-'FS Budapest'!M27)&lt;0,"0",('FS Budapest'!M28-'FS Budapest'!M27))</f>
        <v>6</v>
      </c>
      <c r="L25" s="12">
        <f>IF(('FS Budapest'!O28-'FS Budapest'!O27)&lt;0,"0",('FS Budapest'!O28-'FS Budapest'!O27))</f>
        <v>6</v>
      </c>
      <c r="M25" s="12">
        <f>IF(('FS Budapest'!Q28-'FS Budapest'!Q27)&lt;0,"0",('FS Budapest'!Q28-'FS Budapest'!Q27))</f>
        <v>3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7</v>
      </c>
      <c r="Q25" s="12">
        <f>'FS Budapest'!AB28</f>
        <v>3</v>
      </c>
      <c r="R25" s="12">
        <f>'FS Budapest'!AE28</f>
        <v>2</v>
      </c>
      <c r="S25" s="12">
        <f>'FS Budapest'!AF28</f>
        <v>8</v>
      </c>
      <c r="T25" s="12">
        <f>IF(('FS Budapest'!AK28-'FS Budapest'!AK27)&lt;0,"0",('FS Budapest'!AK28-'FS Budapest'!AK27))</f>
        <v>4048</v>
      </c>
      <c r="U25" s="12">
        <f>IF(('FS Budapest'!AM28-'FS Budapest'!AM27)&lt;0,"0",('FS Budapest'!AM28-'FS Budapest'!AM27))</f>
        <v>10</v>
      </c>
      <c r="V25" s="12">
        <f>IF(('FS Budapest'!AO28-'FS Budapest'!AO27)&lt;0,"0",('FS Budapest'!AO28-'FS Budapest'!AO27))</f>
        <v>479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13816.00000000044</v>
      </c>
      <c r="Z25" s="12">
        <f>'FS Budapest'!BI28</f>
        <v>13816.00000000044</v>
      </c>
      <c r="AA25" s="12">
        <f>'FS Budapest'!BJ28</f>
        <v>13776.00000000044</v>
      </c>
      <c r="AB25" s="12">
        <f>IF(('FS Budapest'!BK28-'FS Budapest'!BK27)&lt;0,"0",('FS Budapest'!BK28-'FS Budapest'!BK27)*100)</f>
        <v>1143.0000000000291</v>
      </c>
      <c r="AC25" s="12">
        <f>'FS Budapest'!BM28</f>
        <v>14959.000000000469</v>
      </c>
      <c r="AD25" s="12">
        <f>IF(('FS Budapest'!BP28-'FS Budapest'!BP27)&lt;0,"0",('FS Budapest'!BP28-'FS Budapest'!BP27))</f>
        <v>20</v>
      </c>
      <c r="AE25" s="12">
        <f>IF(('FS Budapest'!BR28-'FS Budapest'!BR27)&lt;0,"0",('FS Budapest'!BR28-'FS Budapest'!BR27))</f>
        <v>20</v>
      </c>
      <c r="AF25" s="12">
        <f>'FS Budapest'!BU28</f>
        <v>45</v>
      </c>
      <c r="AG25" s="12">
        <f>'FS Budapest'!BV28</f>
        <v>54</v>
      </c>
    </row>
    <row r="26" spans="1:33" s="16" customFormat="1" x14ac:dyDescent="0.25">
      <c r="A26" s="12" t="s">
        <v>12</v>
      </c>
      <c r="B26" s="15">
        <f>B25+1</f>
        <v>25</v>
      </c>
      <c r="C26" s="3">
        <f t="shared" si="1"/>
        <v>1</v>
      </c>
      <c r="D26" s="12">
        <f t="shared" si="2"/>
        <v>2022</v>
      </c>
      <c r="E26" s="12">
        <f>IF(('FS Budapest'!C29-'FS Budapest'!C28)&lt;0,"0",('FS Budapest'!C29-'FS Budapest'!C28))</f>
        <v>21</v>
      </c>
      <c r="F26" s="12">
        <f>IF(('FS Budapest'!D29-'FS Budapest'!D28)&lt;0,"0",('FS Budapest'!D29-'FS Budapest'!D28))</f>
        <v>30</v>
      </c>
      <c r="G26" s="12">
        <f>IF(('FS Budapest'!E29-'FS Budapest'!Y29)&lt;0,"0",('FS Budapest'!E29-'FS Budapest'!Y29))</f>
        <v>24</v>
      </c>
      <c r="H26" s="12">
        <f>IF(('FS Budapest'!H29-'FS Budapest'!H28)&lt;0,"0",('FS Budapest'!H29-'FS Budapest'!H28))</f>
        <v>61</v>
      </c>
      <c r="I26" s="12">
        <f>IF(('FS Budapest'!I29-'FS Budapest'!I28)&lt;0,"0",('FS Budapest'!I29-'FS Budapest'!I28))</f>
        <v>14</v>
      </c>
      <c r="J26" s="12">
        <f>IF(('FS Budapest'!K29-'FS Budapest'!K28)&lt;0,"0",('FS Budapest'!K29-'FS Budapest'!K28))</f>
        <v>3</v>
      </c>
      <c r="K26" s="12">
        <f>IF(('FS Budapest'!M29-'FS Budapest'!M28)&lt;0,"0",('FS Budapest'!M29-'FS Budapest'!M28))</f>
        <v>6</v>
      </c>
      <c r="L26" s="12">
        <f>IF(('FS Budapest'!O29-'FS Budapest'!O28)&lt;0,"0",('FS Budapest'!O29-'FS Budapest'!O28))</f>
        <v>6</v>
      </c>
      <c r="M26" s="12">
        <f>IF(('FS Budapest'!Q29-'FS Budapest'!Q28)&lt;0,"0",('FS Budapest'!Q29-'FS Budapest'!Q28))</f>
        <v>4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6</v>
      </c>
      <c r="Q26" s="12">
        <f>'FS Budapest'!AB29</f>
        <v>4</v>
      </c>
      <c r="R26" s="12">
        <f>'FS Budapest'!AE29</f>
        <v>0</v>
      </c>
      <c r="S26" s="12">
        <f>'FS Budapest'!AF29</f>
        <v>9</v>
      </c>
      <c r="T26" s="12">
        <f>IF(('FS Budapest'!AK29-'FS Budapest'!AK28)&lt;0,"0",('FS Budapest'!AK29-'FS Budapest'!AK28))</f>
        <v>3726</v>
      </c>
      <c r="U26" s="12">
        <f>IF(('FS Budapest'!AM29-'FS Budapest'!AM28)&lt;0,"0",('FS Budapest'!AM29-'FS Budapest'!AM28))</f>
        <v>16</v>
      </c>
      <c r="V26" s="12">
        <f>IF(('FS Budapest'!AO29-'FS Budapest'!AO28)&lt;0,"0",('FS Budapest'!AO29-'FS Budapest'!AO28))</f>
        <v>472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14695.99999999964</v>
      </c>
      <c r="Z26" s="12">
        <f>'FS Budapest'!BI29</f>
        <v>14695.99999999964</v>
      </c>
      <c r="AA26" s="12">
        <f>'FS Budapest'!BJ29</f>
        <v>14654.99999999964</v>
      </c>
      <c r="AB26" s="12">
        <f>IF(('FS Budapest'!BK29-'FS Budapest'!BK28)&lt;0,"0",('FS Budapest'!BK29-'FS Budapest'!BK28)*100)</f>
        <v>1208.9999999999236</v>
      </c>
      <c r="AC26" s="12">
        <f>'FS Budapest'!BM29</f>
        <v>15904.999999999563</v>
      </c>
      <c r="AD26" s="12">
        <f>IF(('FS Budapest'!BP29-'FS Budapest'!BP28)&lt;0,"0",('FS Budapest'!BP29-'FS Budapest'!BP28))</f>
        <v>21</v>
      </c>
      <c r="AE26" s="12">
        <f>IF(('FS Budapest'!BR29-'FS Budapest'!BR28)&lt;0,"0",('FS Budapest'!BR29-'FS Budapest'!BR28))</f>
        <v>20</v>
      </c>
      <c r="AF26" s="12">
        <f>'FS Budapest'!BU29</f>
        <v>44</v>
      </c>
      <c r="AG26" s="12">
        <f>'FS Budapest'!BV29</f>
        <v>54</v>
      </c>
    </row>
    <row r="27" spans="1:33" s="16" customFormat="1" x14ac:dyDescent="0.25">
      <c r="A27" s="12" t="s">
        <v>12</v>
      </c>
      <c r="B27" s="15">
        <f t="shared" si="0"/>
        <v>26</v>
      </c>
      <c r="C27" s="3">
        <f t="shared" si="1"/>
        <v>1</v>
      </c>
      <c r="D27" s="12">
        <f t="shared" si="2"/>
        <v>2022</v>
      </c>
      <c r="E27" s="12">
        <f>IF(('FS Budapest'!C30-'FS Budapest'!C29)&lt;0,"0",('FS Budapest'!C30-'FS Budapest'!C29))</f>
        <v>21</v>
      </c>
      <c r="F27" s="12">
        <f>IF(('FS Budapest'!D30-'FS Budapest'!D29)&lt;0,"0",('FS Budapest'!D30-'FS Budapest'!D29))</f>
        <v>28</v>
      </c>
      <c r="G27" s="12">
        <f>IF(('FS Budapest'!E30-'FS Budapest'!Y30)&lt;0,"0",('FS Budapest'!E30-'FS Budapest'!Y30))</f>
        <v>17</v>
      </c>
      <c r="H27" s="12">
        <f>IF(('FS Budapest'!H30-'FS Budapest'!H29)&lt;0,"0",('FS Budapest'!H30-'FS Budapest'!H29))</f>
        <v>62</v>
      </c>
      <c r="I27" s="12">
        <f>IF(('FS Budapest'!I30-'FS Budapest'!I29)&lt;0,"0",('FS Budapest'!I30-'FS Budapest'!I29))</f>
        <v>16</v>
      </c>
      <c r="J27" s="12">
        <f>IF(('FS Budapest'!K30-'FS Budapest'!K29)&lt;0,"0",('FS Budapest'!K30-'FS Budapest'!K29))</f>
        <v>5</v>
      </c>
      <c r="K27" s="12">
        <f>IF(('FS Budapest'!M30-'FS Budapest'!M29)&lt;0,"0",('FS Budapest'!M30-'FS Budapest'!M29))</f>
        <v>5</v>
      </c>
      <c r="L27" s="12">
        <f>IF(('FS Budapest'!O30-'FS Budapest'!O29)&lt;0,"0",('FS Budapest'!O30-'FS Budapest'!O29))</f>
        <v>6</v>
      </c>
      <c r="M27" s="12">
        <f>IF(('FS Budapest'!Q30-'FS Budapest'!Q29)&lt;0,"0",('FS Budapest'!Q30-'FS Budapest'!Q29))</f>
        <v>3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11</v>
      </c>
      <c r="Q27" s="12">
        <f>'FS Budapest'!AB30</f>
        <v>2</v>
      </c>
      <c r="R27" s="12">
        <f>'FS Budapest'!AE30</f>
        <v>2</v>
      </c>
      <c r="S27" s="12">
        <f>'FS Budapest'!AF30</f>
        <v>9</v>
      </c>
      <c r="T27" s="12">
        <f>IF(('FS Budapest'!AK30-'FS Budapest'!AK29)&lt;0,"0",('FS Budapest'!AK30-'FS Budapest'!AK29))</f>
        <v>3263</v>
      </c>
      <c r="U27" s="12">
        <f>IF(('FS Budapest'!AM30-'FS Budapest'!AM29)&lt;0,"0",('FS Budapest'!AM30-'FS Budapest'!AM29))</f>
        <v>25</v>
      </c>
      <c r="V27" s="12">
        <f>IF(('FS Budapest'!AO30-'FS Budapest'!AO29)&lt;0,"0",('FS Budapest'!AO30-'FS Budapest'!AO29))</f>
        <v>523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14652.00000000068</v>
      </c>
      <c r="Z27" s="12">
        <f>'FS Budapest'!BI30</f>
        <v>14652.00000000068</v>
      </c>
      <c r="AA27" s="12">
        <f>'FS Budapest'!BJ30</f>
        <v>14614.00000000068</v>
      </c>
      <c r="AB27" s="12">
        <f>IF(('FS Budapest'!BK30-'FS Budapest'!BK29)&lt;0,"0",('FS Budapest'!BK30-'FS Budapest'!BK29)*100)</f>
        <v>1316.0000000000764</v>
      </c>
      <c r="AC27" s="12">
        <f>'FS Budapest'!BM30</f>
        <v>15968.000000000757</v>
      </c>
      <c r="AD27" s="12">
        <f>IF(('FS Budapest'!BP30-'FS Budapest'!BP29)&lt;0,"0",('FS Budapest'!BP30-'FS Budapest'!BP29))</f>
        <v>19</v>
      </c>
      <c r="AE27" s="12">
        <f>IF(('FS Budapest'!BR30-'FS Budapest'!BR29)&lt;0,"0",('FS Budapest'!BR30-'FS Budapest'!BR29))</f>
        <v>19</v>
      </c>
      <c r="AF27" s="12">
        <f>'FS Budapest'!BU30</f>
        <v>45</v>
      </c>
      <c r="AG27" s="12">
        <f>'FS Budapest'!BV30</f>
        <v>54</v>
      </c>
    </row>
    <row r="28" spans="1:33" s="16" customFormat="1" x14ac:dyDescent="0.25">
      <c r="A28" s="12" t="s">
        <v>12</v>
      </c>
      <c r="B28" s="15">
        <f t="shared" si="0"/>
        <v>27</v>
      </c>
      <c r="C28" s="3">
        <f t="shared" si="1"/>
        <v>1</v>
      </c>
      <c r="D28" s="12">
        <f t="shared" si="2"/>
        <v>2022</v>
      </c>
      <c r="E28" s="12">
        <f>IF(('FS Budapest'!C31-'FS Budapest'!C30)&lt;0,"0",('FS Budapest'!C31-'FS Budapest'!C30))</f>
        <v>23</v>
      </c>
      <c r="F28" s="12">
        <f>IF(('FS Budapest'!D31-'FS Budapest'!D30)&lt;0,"0",('FS Budapest'!D31-'FS Budapest'!D30))</f>
        <v>34</v>
      </c>
      <c r="G28" s="12">
        <f>IF(('FS Budapest'!E31-'FS Budapest'!Y31)&lt;0,"0",('FS Budapest'!E31-'FS Budapest'!Y31))</f>
        <v>22</v>
      </c>
      <c r="H28" s="12">
        <f>IF(('FS Budapest'!H31-'FS Budapest'!H30)&lt;0,"0",('FS Budapest'!H31-'FS Budapest'!H30))</f>
        <v>66</v>
      </c>
      <c r="I28" s="12">
        <f>IF(('FS Budapest'!I31-'FS Budapest'!I30)&lt;0,"0",('FS Budapest'!I31-'FS Budapest'!I30))</f>
        <v>17</v>
      </c>
      <c r="J28" s="12">
        <f>IF(('FS Budapest'!K31-'FS Budapest'!K30)&lt;0,"0",('FS Budapest'!K31-'FS Budapest'!K30))</f>
        <v>4</v>
      </c>
      <c r="K28" s="12">
        <f>IF(('FS Budapest'!M31-'FS Budapest'!M30)&lt;0,"0",('FS Budapest'!M31-'FS Budapest'!M30))</f>
        <v>7</v>
      </c>
      <c r="L28" s="12">
        <f>IF(('FS Budapest'!O31-'FS Budapest'!O30)&lt;0,"0",('FS Budapest'!O31-'FS Budapest'!O30))</f>
        <v>6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12</v>
      </c>
      <c r="Q28" s="12">
        <f>'FS Budapest'!AB31</f>
        <v>3</v>
      </c>
      <c r="R28" s="12">
        <f>'FS Budapest'!AE31</f>
        <v>2</v>
      </c>
      <c r="S28" s="12">
        <f>'FS Budapest'!AF31</f>
        <v>6</v>
      </c>
      <c r="T28" s="12">
        <f>IF(('FS Budapest'!AK31-'FS Budapest'!AK30)&lt;0,"0",('FS Budapest'!AK31-'FS Budapest'!AK30))</f>
        <v>3095</v>
      </c>
      <c r="U28" s="12">
        <f>IF(('FS Budapest'!AM31-'FS Budapest'!AM30)&lt;0,"0",('FS Budapest'!AM31-'FS Budapest'!AM30))</f>
        <v>35</v>
      </c>
      <c r="V28" s="12">
        <f>IF(('FS Budapest'!AO31-'FS Budapest'!AO30)&lt;0,"0",('FS Budapest'!AO31-'FS Budapest'!AO30))</f>
        <v>475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14827.99999999952</v>
      </c>
      <c r="Z28" s="12">
        <f>'FS Budapest'!BI31</f>
        <v>14827.99999999952</v>
      </c>
      <c r="AA28" s="12">
        <f>'FS Budapest'!BJ31</f>
        <v>14784.99999999952</v>
      </c>
      <c r="AB28" s="12">
        <f>IF(('FS Budapest'!BK31-'FS Budapest'!BK30)&lt;0,"0",('FS Budapest'!BK31-'FS Budapest'!BK30)*100)</f>
        <v>1396.9999999999345</v>
      </c>
      <c r="AC28" s="12">
        <f>'FS Budapest'!BM31</f>
        <v>16224.999999999454</v>
      </c>
      <c r="AD28" s="12">
        <f>IF(('FS Budapest'!BP31-'FS Budapest'!BP30)&lt;0,"0",('FS Budapest'!BP31-'FS Budapest'!BP30))</f>
        <v>24</v>
      </c>
      <c r="AE28" s="12">
        <f>IF(('FS Budapest'!BR31-'FS Budapest'!BR30)&lt;0,"0",('FS Budapest'!BR31-'FS Budapest'!BR30))</f>
        <v>19</v>
      </c>
      <c r="AF28" s="12">
        <f>'FS Budapest'!BU31</f>
        <v>45</v>
      </c>
      <c r="AG28" s="12">
        <f>'FS Budapest'!BV31</f>
        <v>59</v>
      </c>
    </row>
    <row r="29" spans="1:33" s="16" customFormat="1" x14ac:dyDescent="0.25">
      <c r="A29" s="12" t="s">
        <v>12</v>
      </c>
      <c r="B29" s="15">
        <f t="shared" si="0"/>
        <v>28</v>
      </c>
      <c r="C29" s="3">
        <f t="shared" si="1"/>
        <v>1</v>
      </c>
      <c r="D29" s="12">
        <f t="shared" si="2"/>
        <v>2022</v>
      </c>
      <c r="E29" s="12">
        <f>IF(('FS Budapest'!C32-'FS Budapest'!C31)&lt;0,"0",('FS Budapest'!C32-'FS Budapest'!C31))</f>
        <v>21</v>
      </c>
      <c r="F29" s="12">
        <f>IF(('FS Budapest'!D32-'FS Budapest'!D31)&lt;0,"0",('FS Budapest'!D32-'FS Budapest'!D31))</f>
        <v>38</v>
      </c>
      <c r="G29" s="12">
        <f>IF(('FS Budapest'!E32-'FS Budapest'!Y32)&lt;0,"0",('FS Budapest'!E32-'FS Budapest'!Y32))</f>
        <v>25</v>
      </c>
      <c r="H29" s="12">
        <f>IF(('FS Budapest'!H32-'FS Budapest'!H31)&lt;0,"0",('FS Budapest'!H32-'FS Budapest'!H31))</f>
        <v>63</v>
      </c>
      <c r="I29" s="12">
        <f>IF(('FS Budapest'!I32-'FS Budapest'!I31)&lt;0,"0",('FS Budapest'!I32-'FS Budapest'!I31))</f>
        <v>4</v>
      </c>
      <c r="J29" s="12">
        <f>IF(('FS Budapest'!K32-'FS Budapest'!K31)&lt;0,"0",('FS Budapest'!K32-'FS Budapest'!K31))</f>
        <v>5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6</v>
      </c>
      <c r="M29" s="12">
        <f>IF(('FS Budapest'!Q32-'FS Budapest'!Q31)&lt;0,"0",('FS Budapest'!Q32-'FS Budapest'!Q31))</f>
        <v>1</v>
      </c>
      <c r="N29" s="12">
        <f>IF(('FS Budapest'!S32-'FS Budapest'!S31)&lt;0,"0",('FS Budapest'!S32-'FS Budapest'!S31))</f>
        <v>1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13</v>
      </c>
      <c r="Q29" s="12">
        <f>'FS Budapest'!AB32</f>
        <v>4</v>
      </c>
      <c r="R29" s="12">
        <f>'FS Budapest'!AE32</f>
        <v>3</v>
      </c>
      <c r="S29" s="12">
        <f>'FS Budapest'!AF32</f>
        <v>2</v>
      </c>
      <c r="T29" s="12">
        <f>IF(('FS Budapest'!AK32-'FS Budapest'!AK31)&lt;0,"0",('FS Budapest'!AK32-'FS Budapest'!AK31))</f>
        <v>2716</v>
      </c>
      <c r="U29" s="12">
        <f>IF(('FS Budapest'!AM32-'FS Budapest'!AM31)&lt;0,"0",('FS Budapest'!AM32-'FS Budapest'!AM31))</f>
        <v>38</v>
      </c>
      <c r="V29" s="12">
        <f>IF(('FS Budapest'!AO32-'FS Budapest'!AO31)&lt;0,"0",('FS Budapest'!AO32-'FS Budapest'!AO31))</f>
        <v>103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15004.00000000036</v>
      </c>
      <c r="Z29" s="12">
        <f>'FS Budapest'!BI32</f>
        <v>15004.00000000036</v>
      </c>
      <c r="AA29" s="12">
        <f>'FS Budapest'!BJ32</f>
        <v>14970.00000000036</v>
      </c>
      <c r="AB29" s="12">
        <f>IF(('FS Budapest'!BK32-'FS Budapest'!BK31)&lt;0,"0",('FS Budapest'!BK32-'FS Budapest'!BK31)*100)</f>
        <v>1669.9999999999818</v>
      </c>
      <c r="AC29" s="12">
        <f>'FS Budapest'!BM32</f>
        <v>16674.000000000342</v>
      </c>
      <c r="AD29" s="12">
        <f>IF(('FS Budapest'!BP32-'FS Budapest'!BP31)&lt;0,"0",('FS Budapest'!BP32-'FS Budapest'!BP31))</f>
        <v>15</v>
      </c>
      <c r="AE29" s="12">
        <f>IF(('FS Budapest'!BR32-'FS Budapest'!BR31)&lt;0,"0",('FS Budapest'!BR32-'FS Budapest'!BR31))</f>
        <v>19</v>
      </c>
      <c r="AF29" s="12">
        <f>'FS Budapest'!BU32</f>
        <v>55</v>
      </c>
      <c r="AG29" s="12">
        <f>'FS Budapest'!BV32</f>
        <v>82</v>
      </c>
    </row>
    <row r="30" spans="1:33" s="16" customFormat="1" x14ac:dyDescent="0.25">
      <c r="A30" s="12" t="s">
        <v>12</v>
      </c>
      <c r="B30" s="15">
        <f t="shared" si="0"/>
        <v>29</v>
      </c>
      <c r="C30" s="3">
        <f t="shared" si="1"/>
        <v>1</v>
      </c>
      <c r="D30" s="12">
        <f t="shared" si="2"/>
        <v>2022</v>
      </c>
      <c r="E30" s="12">
        <f>IF(('FS Budapest'!C33-'FS Budapest'!C32)&lt;0,"0",('FS Budapest'!C33-'FS Budapest'!C32))</f>
        <v>18</v>
      </c>
      <c r="F30" s="12">
        <f>IF(('FS Budapest'!D33-'FS Budapest'!D32)&lt;0,"0",('FS Budapest'!D33-'FS Budapest'!D32))</f>
        <v>38</v>
      </c>
      <c r="G30" s="12">
        <f>IF(('FS Budapest'!E33-'FS Budapest'!Y33)&lt;0,"0",('FS Budapest'!E33-'FS Budapest'!Y33))</f>
        <v>26</v>
      </c>
      <c r="H30" s="12">
        <f>IF(('FS Budapest'!H33-'FS Budapest'!H32)&lt;0,"0",('FS Budapest'!H33-'FS Budapest'!H32))</f>
        <v>116</v>
      </c>
      <c r="I30" s="12">
        <f>IF(('FS Budapest'!I33-'FS Budapest'!I32)&lt;0,"0",('FS Budapest'!I33-'FS Budapest'!I32))</f>
        <v>3</v>
      </c>
      <c r="J30" s="12">
        <f>IF(('FS Budapest'!K33-'FS Budapest'!K32)&lt;0,"0",('FS Budapest'!K33-'FS Budapest'!K32))</f>
        <v>5</v>
      </c>
      <c r="K30" s="12">
        <f>IF(('FS Budapest'!M33-'FS Budapest'!M32)&lt;0,"0",('FS Budapest'!M33-'FS Budapest'!M32))</f>
        <v>7</v>
      </c>
      <c r="L30" s="12">
        <f>IF(('FS Budapest'!O33-'FS Budapest'!O32)&lt;0,"0",('FS Budapest'!O33-'FS Budapest'!O32))</f>
        <v>7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12</v>
      </c>
      <c r="Q30" s="12">
        <f>'FS Budapest'!AB33</f>
        <v>3</v>
      </c>
      <c r="R30" s="12">
        <f>'FS Budapest'!AE33</f>
        <v>3</v>
      </c>
      <c r="S30" s="12">
        <f>'FS Budapest'!AF33</f>
        <v>2</v>
      </c>
      <c r="T30" s="12">
        <f>IF(('FS Budapest'!AK33-'FS Budapest'!AK32)&lt;0,"0",('FS Budapest'!AK33-'FS Budapest'!AK32))</f>
        <v>2744</v>
      </c>
      <c r="U30" s="12">
        <f>IF(('FS Budapest'!AM33-'FS Budapest'!AM32)&lt;0,"0",('FS Budapest'!AM33-'FS Budapest'!AM32))</f>
        <v>37</v>
      </c>
      <c r="V30" s="12">
        <f>IF(('FS Budapest'!AO33-'FS Budapest'!AO32)&lt;0,"0",('FS Budapest'!AO33-'FS Budapest'!AO32))</f>
        <v>98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14519.9999999998</v>
      </c>
      <c r="Z30" s="12">
        <f>'FS Budapest'!BI33</f>
        <v>14519.9999999998</v>
      </c>
      <c r="AA30" s="12">
        <f>'FS Budapest'!BJ33</f>
        <v>14479.9999999998</v>
      </c>
      <c r="AB30" s="12">
        <f>IF(('FS Budapest'!BK33-'FS Budapest'!BK32)&lt;0,"0",('FS Budapest'!BK33-'FS Budapest'!BK32)*100)</f>
        <v>3178.9999999999964</v>
      </c>
      <c r="AC30" s="12">
        <f>'FS Budapest'!BM33</f>
        <v>17698.999999999796</v>
      </c>
      <c r="AD30" s="12">
        <f>IF(('FS Budapest'!BP33-'FS Budapest'!BP32)&lt;0,"0",('FS Budapest'!BP33-'FS Budapest'!BP32))</f>
        <v>20</v>
      </c>
      <c r="AE30" s="12">
        <f>IF(('FS Budapest'!BR33-'FS Budapest'!BR32)&lt;0,"0",('FS Budapest'!BR33-'FS Budapest'!BR32))</f>
        <v>20</v>
      </c>
      <c r="AF30" s="12">
        <f>'FS Budapest'!BU33</f>
        <v>59</v>
      </c>
      <c r="AG30" s="12">
        <f>'FS Budapest'!BV33</f>
        <v>85</v>
      </c>
    </row>
    <row r="31" spans="1:33" s="14" customFormat="1" x14ac:dyDescent="0.25">
      <c r="A31" s="12" t="s">
        <v>12</v>
      </c>
      <c r="B31" s="15">
        <f t="shared" si="0"/>
        <v>30</v>
      </c>
      <c r="C31" s="3">
        <f t="shared" si="1"/>
        <v>1</v>
      </c>
      <c r="D31" s="12">
        <f t="shared" si="2"/>
        <v>2022</v>
      </c>
      <c r="E31" s="12">
        <f>IF(('FS Budapest'!C34-'FS Budapest'!C33)&lt;0,"0",('FS Budapest'!C34-'FS Budapest'!C33))</f>
        <v>19</v>
      </c>
      <c r="F31" s="12">
        <f>IF(('FS Budapest'!D34-'FS Budapest'!D33)&lt;0,"0",('FS Budapest'!D34-'FS Budapest'!D33))</f>
        <v>39</v>
      </c>
      <c r="G31" s="12">
        <f>IF(('FS Budapest'!E34-'FS Budapest'!Y34)&lt;0,"0",('FS Budapest'!E34-'FS Budapest'!Y34))</f>
        <v>26</v>
      </c>
      <c r="H31" s="12" t="str">
        <f>IF(('FS Budapest'!H34-'FS Budapest'!H33)&lt;0,"0",('FS Budapest'!H34-'FS Budapest'!H33))</f>
        <v>0</v>
      </c>
      <c r="I31" s="12">
        <f>IF(('FS Budapest'!I34-'FS Budapest'!I33)&lt;0,"0",('FS Budapest'!I34-'FS Budapest'!I33))</f>
        <v>4</v>
      </c>
      <c r="J31" s="12">
        <f>IF(('FS Budapest'!K34-'FS Budapest'!K33)&lt;0,"0",('FS Budapest'!K34-'FS Budapest'!K33))</f>
        <v>3</v>
      </c>
      <c r="K31" s="12">
        <f>IF(('FS Budapest'!M34-'FS Budapest'!M33)&lt;0,"0",('FS Budapest'!M34-'FS Budapest'!M33))</f>
        <v>6</v>
      </c>
      <c r="L31" s="12">
        <f>IF(('FS Budapest'!O34-'FS Budapest'!O33)&lt;0,"0",('FS Budapest'!O34-'FS Budapest'!O33))</f>
        <v>9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1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13</v>
      </c>
      <c r="Q31" s="12">
        <f>'FS Budapest'!AB34</f>
        <v>3</v>
      </c>
      <c r="R31" s="12">
        <f>'FS Budapest'!AE34</f>
        <v>4</v>
      </c>
      <c r="S31" s="12">
        <f>'FS Budapest'!AF34</f>
        <v>2</v>
      </c>
      <c r="T31" s="12">
        <f>IF(('FS Budapest'!AK34-'FS Budapest'!AK33)&lt;0,"0",('FS Budapest'!AK34-'FS Budapest'!AK33))</f>
        <v>2459</v>
      </c>
      <c r="U31" s="12">
        <f>IF(('FS Budapest'!AM34-'FS Budapest'!AM33)&lt;0,"0",('FS Budapest'!AM34-'FS Budapest'!AM33))</f>
        <v>27</v>
      </c>
      <c r="V31" s="12">
        <f>IF(('FS Budapest'!AO34-'FS Budapest'!AO33)&lt;0,"0",('FS Budapest'!AO34-'FS Budapest'!AO33))</f>
        <v>103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14387.99999999992</v>
      </c>
      <c r="Z31" s="12">
        <f>'FS Budapest'!BI34</f>
        <v>14387.99999999992</v>
      </c>
      <c r="AA31" s="12">
        <f>'FS Budapest'!BJ34</f>
        <v>14345.99999999992</v>
      </c>
      <c r="AB31" s="12">
        <f>IF(('FS Budapest'!BK34-'FS Budapest'!BK33)&lt;0,"0",('FS Budapest'!BK34-'FS Budapest'!BK33)*100)</f>
        <v>797.00000000002547</v>
      </c>
      <c r="AC31" s="12">
        <f>'FS Budapest'!BM34</f>
        <v>15184.999999999945</v>
      </c>
      <c r="AD31" s="12">
        <f>IF(('FS Budapest'!BP34-'FS Budapest'!BP33)&lt;0,"0",('FS Budapest'!BP34-'FS Budapest'!BP33))</f>
        <v>23</v>
      </c>
      <c r="AE31" s="12">
        <f>IF(('FS Budapest'!BR34-'FS Budapest'!BR33)&lt;0,"0",('FS Budapest'!BR34-'FS Budapest'!BR33))</f>
        <v>19</v>
      </c>
      <c r="AF31" s="12">
        <f>'FS Budapest'!BU34</f>
        <v>41</v>
      </c>
      <c r="AG31" s="12">
        <f>'FS Budapest'!BV34</f>
        <v>55</v>
      </c>
    </row>
    <row r="32" spans="1:33" x14ac:dyDescent="0.25">
      <c r="A32" s="12" t="s">
        <v>12</v>
      </c>
      <c r="B32" s="15">
        <f t="shared" si="0"/>
        <v>31</v>
      </c>
      <c r="C32" s="3">
        <f t="shared" si="1"/>
        <v>1</v>
      </c>
      <c r="D32" s="12">
        <f t="shared" si="2"/>
        <v>2022</v>
      </c>
      <c r="E32" s="12">
        <f>IF(('FS Budapest'!C35-'FS Budapest'!C34)&lt;0,"0",('FS Budapest'!C35-'FS Budapest'!C34))</f>
        <v>28</v>
      </c>
      <c r="F32" s="12">
        <f>IF(('FS Budapest'!D35-'FS Budapest'!D34)&lt;0,"0",('FS Budapest'!D35-'FS Budapest'!D34))</f>
        <v>32</v>
      </c>
      <c r="G32" s="12">
        <f>IF(('FS Budapest'!E35-'FS Budapest'!Y35)&lt;0,"0",('FS Budapest'!E35-'FS Budapest'!Y35))</f>
        <v>22</v>
      </c>
      <c r="H32" s="12">
        <f>IF(('FS Budapest'!H35-'FS Budapest'!H34)&lt;0,"0",('FS Budapest'!H35-'FS Budapest'!H34))</f>
        <v>78</v>
      </c>
      <c r="I32" s="12">
        <f>IF(('FS Budapest'!I35-'FS Budapest'!I34)&lt;0,"0",('FS Budapest'!I35-'FS Budapest'!I34))</f>
        <v>25</v>
      </c>
      <c r="J32" s="12">
        <f>IF(('FS Budapest'!K35-'FS Budapest'!K34)&lt;0,"0",('FS Budapest'!K35-'FS Budapest'!K34))</f>
        <v>4</v>
      </c>
      <c r="K32" s="12">
        <f>IF(('FS Budapest'!M35-'FS Budapest'!M34)&lt;0,"0",('FS Budapest'!M35-'FS Budapest'!M34))</f>
        <v>4</v>
      </c>
      <c r="L32" s="12">
        <f>IF(('FS Budapest'!O35-'FS Budapest'!O34)&lt;0,"0",('FS Budapest'!O35-'FS Budapest'!O34))</f>
        <v>5</v>
      </c>
      <c r="M32" s="12">
        <f>IF(('FS Budapest'!Q35-'FS Budapest'!Q34)&lt;0,"0",('FS Budapest'!Q35-'FS Budapest'!Q34))</f>
        <v>7</v>
      </c>
      <c r="N32" s="12">
        <f>IF(('FS Budapest'!S35-'FS Budapest'!S34)&lt;0,"0",('FS Budapest'!S35-'FS Budapest'!S34))</f>
        <v>5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10</v>
      </c>
      <c r="Q32" s="12">
        <f>'FS Budapest'!AB35</f>
        <v>4</v>
      </c>
      <c r="R32" s="12">
        <f>'FS Budapest'!AE35</f>
        <v>2</v>
      </c>
      <c r="S32" s="12">
        <f>'FS Budapest'!AF35</f>
        <v>19</v>
      </c>
      <c r="T32" s="12">
        <f>IF(('FS Budapest'!AK35-'FS Budapest'!AK34)&lt;0,"0",('FS Budapest'!AK35-'FS Budapest'!AK34))</f>
        <v>3042</v>
      </c>
      <c r="U32" s="12">
        <f>IF(('FS Budapest'!AM35-'FS Budapest'!AM34)&lt;0,"0",('FS Budapest'!AM35-'FS Budapest'!AM34))</f>
        <v>32</v>
      </c>
      <c r="V32" s="12">
        <f>IF(('FS Budapest'!AO35-'FS Budapest'!AO34)&lt;0,"0",('FS Budapest'!AO35-'FS Budapest'!AO34))</f>
        <v>599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13551.99999999968</v>
      </c>
      <c r="Z32" s="12">
        <f>'FS Budapest'!BI35</f>
        <v>13551.99999999968</v>
      </c>
      <c r="AA32" s="12">
        <f>'FS Budapest'!BJ35</f>
        <v>13516.99999999968</v>
      </c>
      <c r="AB32" s="12">
        <f>IF(('FS Budapest'!BK35-'FS Budapest'!BK34)&lt;0,"0",('FS Budapest'!BK35-'FS Budapest'!BK34)*100)</f>
        <v>793.0000000000291</v>
      </c>
      <c r="AC32" s="12">
        <f>'FS Budapest'!BM35</f>
        <v>14344.999999999709</v>
      </c>
      <c r="AD32" s="12">
        <f>IF(('FS Budapest'!BP35-'FS Budapest'!BP34)&lt;0,"0",('FS Budapest'!BP35-'FS Budapest'!BP34))</f>
        <v>16</v>
      </c>
      <c r="AE32" s="12">
        <f>IF(('FS Budapest'!BR35-'FS Budapest'!BR34)&lt;0,"0",('FS Budapest'!BR35-'FS Budapest'!BR34))</f>
        <v>19</v>
      </c>
      <c r="AF32" s="12">
        <f>'FS Budapest'!BU35</f>
        <v>40</v>
      </c>
      <c r="AG32" s="12">
        <f>'FS Budapest'!BV35</f>
        <v>49</v>
      </c>
    </row>
    <row r="33" spans="4:4" x14ac:dyDescent="0.25">
      <c r="D33" s="12"/>
    </row>
    <row r="34" spans="4:4" x14ac:dyDescent="0.25">
      <c r="D34" s="12"/>
    </row>
    <row r="35" spans="4:4" x14ac:dyDescent="0.25">
      <c r="D35" s="12"/>
    </row>
    <row r="36" spans="4:4" x14ac:dyDescent="0.25">
      <c r="D36" s="12"/>
    </row>
    <row r="37" spans="4:4" x14ac:dyDescent="0.25">
      <c r="D37" s="12"/>
    </row>
    <row r="38" spans="4:4" x14ac:dyDescent="0.25">
      <c r="D38" s="12"/>
    </row>
    <row r="39" spans="4:4" x14ac:dyDescent="0.25">
      <c r="D39" s="12"/>
    </row>
    <row r="40" spans="4:4" x14ac:dyDescent="0.25">
      <c r="D40" s="12"/>
    </row>
    <row r="41" spans="4:4" x14ac:dyDescent="0.25">
      <c r="D41" s="12"/>
    </row>
    <row r="42" spans="4:4" x14ac:dyDescent="0.25">
      <c r="D42" s="12"/>
    </row>
    <row r="43" spans="4:4" x14ac:dyDescent="0.25">
      <c r="D43" s="12"/>
    </row>
    <row r="44" spans="4:4" x14ac:dyDescent="0.25">
      <c r="D44" s="12"/>
    </row>
    <row r="45" spans="4:4" x14ac:dyDescent="0.25">
      <c r="D45" s="12"/>
    </row>
    <row r="46" spans="4:4" x14ac:dyDescent="0.25">
      <c r="D46" s="12"/>
    </row>
    <row r="47" spans="4:4" x14ac:dyDescent="0.25">
      <c r="D47" s="12"/>
    </row>
    <row r="48" spans="4:4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V36"/>
  <sheetViews>
    <sheetView tabSelected="1" topLeftCell="BH1" zoomScale="55" zoomScaleNormal="55" workbookViewId="0">
      <selection activeCell="BV36" sqref="BV36"/>
    </sheetView>
  </sheetViews>
  <sheetFormatPr defaultColWidth="9.140625" defaultRowHeight="18.75" x14ac:dyDescent="0.25"/>
  <cols>
    <col min="1" max="1" width="4.42578125" style="71" customWidth="1"/>
    <col min="2" max="2" width="15" style="18" customWidth="1"/>
    <col min="3" max="3" width="18.85546875" style="18" customWidth="1"/>
    <col min="4" max="4" width="20.140625" style="18" customWidth="1"/>
    <col min="5" max="5" width="20.28515625" style="18" customWidth="1"/>
    <col min="6" max="6" width="28.140625" style="18" customWidth="1"/>
    <col min="7" max="8" width="15" style="18" customWidth="1"/>
    <col min="9" max="10" width="23.5703125" style="18" customWidth="1"/>
    <col min="11" max="11" width="18.140625" style="18" customWidth="1"/>
    <col min="12" max="12" width="24.85546875" style="18" customWidth="1"/>
    <col min="13" max="13" width="17.7109375" style="18" customWidth="1"/>
    <col min="14" max="14" width="6" style="72" customWidth="1"/>
    <col min="15" max="15" width="19.28515625" style="73" customWidth="1"/>
    <col min="16" max="16" width="6" style="72" customWidth="1"/>
    <col min="17" max="17" width="21" style="74" customWidth="1"/>
    <col min="18" max="18" width="25.7109375" style="18" customWidth="1"/>
    <col min="19" max="19" width="20.140625" style="18" customWidth="1"/>
    <col min="20" max="20" width="26.85546875" style="18" customWidth="1"/>
    <col min="21" max="21" width="24" style="18" customWidth="1"/>
    <col min="22" max="22" width="24.85546875" style="18" customWidth="1"/>
    <col min="23" max="23" width="25.42578125" style="18" customWidth="1"/>
    <col min="24" max="24" width="15.42578125" style="18" customWidth="1"/>
    <col min="25" max="25" width="22" style="18" customWidth="1"/>
    <col min="26" max="26" width="20.7109375" style="18" customWidth="1"/>
    <col min="27" max="27" width="24.5703125" style="18" customWidth="1"/>
    <col min="28" max="28" width="15.5703125" style="18" customWidth="1"/>
    <col min="29" max="30" width="19.5703125" style="18" customWidth="1"/>
    <col min="31" max="31" width="16.42578125" style="18" customWidth="1"/>
    <col min="32" max="32" width="13.85546875" style="18" customWidth="1"/>
    <col min="33" max="33" width="10.85546875" style="18" customWidth="1"/>
    <col min="34" max="34" width="9.28515625" style="18" bestFit="1" customWidth="1"/>
    <col min="35" max="35" width="13.42578125" style="18" customWidth="1"/>
    <col min="36" max="36" width="17.140625" style="18" customWidth="1"/>
    <col min="37" max="37" width="17" style="18" customWidth="1"/>
    <col min="38" max="38" width="18.140625" style="18" customWidth="1"/>
    <col min="39" max="39" width="17" style="18" customWidth="1"/>
    <col min="40" max="40" width="15.85546875" style="18" customWidth="1"/>
    <col min="41" max="41" width="19" style="18" customWidth="1"/>
    <col min="42" max="42" width="13.28515625" style="18" bestFit="1" customWidth="1"/>
    <col min="43" max="43" width="19" style="18" customWidth="1"/>
    <col min="44" max="44" width="6" style="18" customWidth="1"/>
    <col min="45" max="45" width="12.42578125" style="18" customWidth="1"/>
    <col min="46" max="46" width="9.28515625" style="18" bestFit="1" customWidth="1"/>
    <col min="47" max="47" width="13.42578125" style="18" customWidth="1"/>
    <col min="48" max="48" width="17.140625" style="18" customWidth="1"/>
    <col min="49" max="49" width="5.140625" style="18" customWidth="1"/>
    <col min="50" max="50" width="11" style="18" customWidth="1"/>
    <col min="51" max="51" width="14.28515625" style="18" customWidth="1"/>
    <col min="52" max="52" width="5.140625" style="18" customWidth="1"/>
    <col min="53" max="53" width="14.140625" style="18" customWidth="1"/>
    <col min="54" max="54" width="23.5703125" style="18" customWidth="1"/>
    <col min="55" max="55" width="11.42578125" style="18" customWidth="1"/>
    <col min="56" max="56" width="39.5703125" style="18" customWidth="1"/>
    <col min="57" max="57" width="41.7109375" style="18" customWidth="1"/>
    <col min="58" max="58" width="17.28515625" style="76" customWidth="1"/>
    <col min="59" max="59" width="44.42578125" style="77" customWidth="1"/>
    <col min="60" max="60" width="40.7109375" style="77" customWidth="1"/>
    <col min="61" max="61" width="40.28515625" style="18" bestFit="1" customWidth="1"/>
    <col min="62" max="62" width="48.7109375" style="18" bestFit="1" customWidth="1"/>
    <col min="63" max="63" width="17.28515625" style="18" customWidth="1"/>
    <col min="64" max="64" width="26.85546875" style="18" bestFit="1" customWidth="1"/>
    <col min="65" max="65" width="28.140625" style="18" bestFit="1" customWidth="1"/>
    <col min="66" max="66" width="13.42578125" style="18" customWidth="1"/>
    <col min="67" max="67" width="13.85546875" style="18" bestFit="1" customWidth="1"/>
    <col min="68" max="68" width="12.42578125" style="18" customWidth="1"/>
    <col min="69" max="69" width="18.5703125" style="18" bestFit="1" customWidth="1"/>
    <col min="70" max="70" width="12.42578125" style="18" customWidth="1"/>
    <col min="71" max="71" width="18.5703125" style="18" bestFit="1" customWidth="1"/>
    <col min="72" max="72" width="21.5703125" style="18" bestFit="1" customWidth="1"/>
    <col min="73" max="73" width="18.5703125" style="18" bestFit="1" customWidth="1"/>
    <col min="74" max="74" width="15.7109375" style="18" bestFit="1" customWidth="1"/>
    <col min="75" max="84" width="75.7109375" style="18" customWidth="1"/>
    <col min="85" max="16384" width="9.140625" style="18"/>
  </cols>
  <sheetData>
    <row r="1" spans="1:74" s="86" customFormat="1" ht="30" customHeight="1" thickBot="1" x14ac:dyDescent="0.35">
      <c r="A1" s="78"/>
      <c r="B1" s="193" t="s">
        <v>40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5"/>
      <c r="AK1" s="196" t="s">
        <v>41</v>
      </c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8"/>
      <c r="AW1" s="199" t="s">
        <v>42</v>
      </c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0"/>
      <c r="BM1" s="200"/>
      <c r="BN1" s="201"/>
      <c r="BO1" s="108"/>
      <c r="BP1" s="109"/>
      <c r="BQ1" s="109"/>
      <c r="BR1" s="109"/>
      <c r="BS1" s="109"/>
      <c r="BT1" s="110"/>
      <c r="BU1" s="113" t="s">
        <v>43</v>
      </c>
      <c r="BV1" s="113" t="s">
        <v>43</v>
      </c>
    </row>
    <row r="2" spans="1:74" s="86" customFormat="1" ht="30" customHeight="1" thickBot="1" x14ac:dyDescent="0.35">
      <c r="A2" s="78"/>
      <c r="B2" s="87"/>
      <c r="C2" s="88" t="s">
        <v>44</v>
      </c>
      <c r="D2" s="88"/>
      <c r="E2" s="88" t="s">
        <v>45</v>
      </c>
      <c r="F2" s="88"/>
      <c r="G2" s="88"/>
      <c r="H2" s="88" t="s">
        <v>46</v>
      </c>
      <c r="I2" s="88" t="s">
        <v>47</v>
      </c>
      <c r="J2" s="88"/>
      <c r="K2" s="88" t="s">
        <v>48</v>
      </c>
      <c r="L2" s="88"/>
      <c r="M2" s="88" t="s">
        <v>49</v>
      </c>
      <c r="N2" s="88"/>
      <c r="O2" s="88" t="s">
        <v>50</v>
      </c>
      <c r="P2" s="88"/>
      <c r="Q2" s="88" t="s">
        <v>51</v>
      </c>
      <c r="R2" s="88"/>
      <c r="S2" s="88" t="s">
        <v>52</v>
      </c>
      <c r="T2" s="88"/>
      <c r="U2" s="88" t="s">
        <v>53</v>
      </c>
      <c r="V2" s="88" t="s">
        <v>54</v>
      </c>
      <c r="W2" s="88"/>
      <c r="X2" s="88" t="s">
        <v>55</v>
      </c>
      <c r="Y2" s="88"/>
      <c r="Z2" s="88" t="s">
        <v>56</v>
      </c>
      <c r="AA2" s="88" t="s">
        <v>57</v>
      </c>
      <c r="AB2" s="88"/>
      <c r="AC2" s="88" t="s">
        <v>58</v>
      </c>
      <c r="AD2" s="88" t="s">
        <v>59</v>
      </c>
      <c r="AE2" s="88"/>
      <c r="AF2" s="88"/>
      <c r="AG2" s="88"/>
      <c r="AH2" s="89"/>
      <c r="AI2" s="90"/>
      <c r="AJ2" s="17"/>
      <c r="AK2" s="91" t="s">
        <v>60</v>
      </c>
      <c r="AL2" s="91"/>
      <c r="AM2" s="91" t="s">
        <v>61</v>
      </c>
      <c r="AN2" s="91"/>
      <c r="AO2" s="91" t="s">
        <v>62</v>
      </c>
      <c r="AP2" s="91"/>
      <c r="AQ2" s="91" t="s">
        <v>63</v>
      </c>
      <c r="AR2" s="17"/>
      <c r="AS2" s="19"/>
      <c r="AT2" s="19"/>
      <c r="AU2" s="79"/>
      <c r="AV2" s="79"/>
      <c r="AW2" s="190" t="s">
        <v>64</v>
      </c>
      <c r="AX2" s="191"/>
      <c r="AY2" s="192"/>
      <c r="AZ2" s="190" t="s">
        <v>65</v>
      </c>
      <c r="BA2" s="191"/>
      <c r="BB2" s="192"/>
      <c r="BC2" s="80"/>
      <c r="BD2" s="81"/>
      <c r="BE2" s="82"/>
      <c r="BF2" s="83"/>
      <c r="BG2" s="81"/>
      <c r="BH2" s="92"/>
      <c r="BI2" s="93"/>
      <c r="BJ2" s="93"/>
      <c r="BK2" s="94" t="s">
        <v>66</v>
      </c>
      <c r="BL2" s="95"/>
      <c r="BM2" s="80"/>
      <c r="BN2" s="96"/>
      <c r="BO2" s="84"/>
      <c r="BP2" s="81" t="s">
        <v>67</v>
      </c>
      <c r="BQ2" s="81"/>
      <c r="BR2" s="81" t="s">
        <v>68</v>
      </c>
      <c r="BS2" s="81"/>
      <c r="BT2" s="85"/>
    </row>
    <row r="3" spans="1:74" ht="63.75" customHeight="1" thickBot="1" x14ac:dyDescent="0.3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114" t="s">
        <v>43</v>
      </c>
      <c r="BV3" s="114" t="s">
        <v>126</v>
      </c>
    </row>
    <row r="4" spans="1:74" s="86" customFormat="1" ht="30" customHeight="1" x14ac:dyDescent="0.3">
      <c r="A4" s="116" t="s">
        <v>157</v>
      </c>
      <c r="B4" s="97"/>
      <c r="C4" s="97">
        <v>86697</v>
      </c>
      <c r="D4" s="97">
        <v>258884</v>
      </c>
      <c r="E4" s="167">
        <v>90</v>
      </c>
      <c r="F4" s="168">
        <v>64</v>
      </c>
      <c r="G4" s="97">
        <v>0</v>
      </c>
      <c r="H4" s="97">
        <v>162823</v>
      </c>
      <c r="I4" s="97">
        <v>81890</v>
      </c>
      <c r="J4" s="169">
        <v>16</v>
      </c>
      <c r="K4" s="97">
        <v>16892</v>
      </c>
      <c r="L4" s="168">
        <v>3</v>
      </c>
      <c r="M4" s="127">
        <v>3052</v>
      </c>
      <c r="N4" s="122">
        <v>11</v>
      </c>
      <c r="O4" s="127">
        <v>3403</v>
      </c>
      <c r="P4" s="122">
        <v>18</v>
      </c>
      <c r="Q4" s="170">
        <v>58895</v>
      </c>
      <c r="R4" s="141">
        <v>0</v>
      </c>
      <c r="S4" s="170">
        <v>25531</v>
      </c>
      <c r="T4" s="141">
        <v>0</v>
      </c>
      <c r="U4" s="170">
        <v>10408</v>
      </c>
      <c r="V4" s="171">
        <v>2366</v>
      </c>
      <c r="W4" s="141">
        <v>6</v>
      </c>
      <c r="X4" s="171">
        <v>46636</v>
      </c>
      <c r="Y4" s="141">
        <v>26</v>
      </c>
      <c r="Z4" s="172">
        <v>8453</v>
      </c>
      <c r="AA4" s="172">
        <v>7361</v>
      </c>
      <c r="AB4" s="141">
        <v>3</v>
      </c>
      <c r="AC4" s="170">
        <v>3180</v>
      </c>
      <c r="AD4" s="171">
        <v>2095</v>
      </c>
      <c r="AE4" s="141">
        <v>2</v>
      </c>
      <c r="AF4" s="102">
        <v>6</v>
      </c>
      <c r="AG4" s="173">
        <v>249520</v>
      </c>
      <c r="AH4" s="132">
        <v>150</v>
      </c>
      <c r="AI4" s="138">
        <v>140</v>
      </c>
      <c r="AJ4" s="138">
        <v>-10</v>
      </c>
      <c r="AK4" s="105">
        <v>444083</v>
      </c>
      <c r="AL4" s="174">
        <v>2067</v>
      </c>
      <c r="AM4" s="105">
        <v>5135</v>
      </c>
      <c r="AN4" s="175">
        <v>45</v>
      </c>
      <c r="AO4" s="105">
        <v>198373</v>
      </c>
      <c r="AP4" s="141">
        <v>521</v>
      </c>
      <c r="AQ4" s="105">
        <v>184760</v>
      </c>
      <c r="AR4" s="141">
        <v>0</v>
      </c>
      <c r="AS4" s="105">
        <v>451285</v>
      </c>
      <c r="AT4" s="142">
        <v>2112</v>
      </c>
      <c r="AU4" s="138">
        <v>2700</v>
      </c>
      <c r="AV4" s="138">
        <v>588</v>
      </c>
      <c r="AW4" s="105">
        <v>0.01</v>
      </c>
      <c r="AX4" s="105">
        <v>0</v>
      </c>
      <c r="AY4" s="174">
        <v>0</v>
      </c>
      <c r="AZ4" s="103">
        <v>0</v>
      </c>
      <c r="BA4" s="176">
        <v>1926.14</v>
      </c>
      <c r="BB4" s="177">
        <v>14916.00000000044</v>
      </c>
      <c r="BC4" s="145">
        <v>0.01</v>
      </c>
      <c r="BD4" s="146">
        <v>0</v>
      </c>
      <c r="BE4" s="147">
        <v>0</v>
      </c>
      <c r="BF4" s="174">
        <v>1926.14</v>
      </c>
      <c r="BG4" s="178">
        <v>3.3900000000001</v>
      </c>
      <c r="BH4" s="179">
        <v>14916.00000000044</v>
      </c>
      <c r="BI4" s="179">
        <v>14916.00000000044</v>
      </c>
      <c r="BJ4" s="180">
        <v>14880.00000000044</v>
      </c>
      <c r="BK4" s="181">
        <v>4288.8</v>
      </c>
      <c r="BL4" s="179">
        <v>1069.9999999999818</v>
      </c>
      <c r="BM4" s="182">
        <v>15986.000000000422</v>
      </c>
      <c r="BN4" s="138">
        <v>17500</v>
      </c>
      <c r="BO4" s="183">
        <v>1513.999999999578</v>
      </c>
      <c r="BP4" s="184">
        <v>3140354</v>
      </c>
      <c r="BQ4" s="185">
        <v>20</v>
      </c>
      <c r="BR4" s="184">
        <v>4380552</v>
      </c>
      <c r="BS4" s="185">
        <v>16</v>
      </c>
      <c r="BT4" s="186">
        <v>36</v>
      </c>
      <c r="BU4" s="130">
        <v>100</v>
      </c>
      <c r="BV4" s="130">
        <v>196</v>
      </c>
    </row>
    <row r="5" spans="1:74" ht="24.95" customHeight="1" x14ac:dyDescent="0.3">
      <c r="A5" s="51" t="s">
        <v>128</v>
      </c>
      <c r="B5" s="97">
        <v>0</v>
      </c>
      <c r="C5" s="97">
        <v>86725</v>
      </c>
      <c r="D5" s="97">
        <v>258975</v>
      </c>
      <c r="E5" s="119">
        <v>91</v>
      </c>
      <c r="F5" s="119">
        <v>81</v>
      </c>
      <c r="G5" s="97"/>
      <c r="H5" s="97">
        <v>162914</v>
      </c>
      <c r="I5" s="131">
        <v>81899</v>
      </c>
      <c r="J5" s="98">
        <v>9</v>
      </c>
      <c r="K5" s="132">
        <v>16895</v>
      </c>
      <c r="L5" s="133">
        <v>3</v>
      </c>
      <c r="M5" s="127">
        <v>3065</v>
      </c>
      <c r="N5" s="133">
        <v>13</v>
      </c>
      <c r="O5" s="127">
        <v>3421</v>
      </c>
      <c r="P5" s="133">
        <v>18</v>
      </c>
      <c r="Q5" s="134">
        <v>58895</v>
      </c>
      <c r="R5" s="154">
        <v>0</v>
      </c>
      <c r="S5" s="135">
        <v>25533</v>
      </c>
      <c r="T5" s="136">
        <v>0</v>
      </c>
      <c r="U5" s="99">
        <v>10409</v>
      </c>
      <c r="V5" s="99">
        <v>2366</v>
      </c>
      <c r="W5" s="100">
        <v>7</v>
      </c>
      <c r="X5" s="101">
        <v>46672</v>
      </c>
      <c r="Y5" s="137">
        <v>10</v>
      </c>
      <c r="Z5" s="126">
        <v>8455</v>
      </c>
      <c r="AA5" s="126">
        <v>7362</v>
      </c>
      <c r="AB5" s="100">
        <v>2</v>
      </c>
      <c r="AC5" s="101">
        <v>3181</v>
      </c>
      <c r="AD5" s="101">
        <v>2095</v>
      </c>
      <c r="AE5" s="137">
        <v>0</v>
      </c>
      <c r="AF5" s="102">
        <v>8</v>
      </c>
      <c r="AG5" s="103">
        <v>249639</v>
      </c>
      <c r="AH5" s="104">
        <v>119</v>
      </c>
      <c r="AI5" s="138">
        <v>125</v>
      </c>
      <c r="AJ5" s="138">
        <v>6</v>
      </c>
      <c r="AK5" s="139">
        <v>445868</v>
      </c>
      <c r="AL5" s="140">
        <v>1785</v>
      </c>
      <c r="AM5" s="139">
        <v>5187</v>
      </c>
      <c r="AN5" s="140">
        <v>28</v>
      </c>
      <c r="AO5" s="105">
        <v>198494</v>
      </c>
      <c r="AP5" s="141">
        <v>121</v>
      </c>
      <c r="AQ5" s="105">
        <v>184760</v>
      </c>
      <c r="AR5" s="141">
        <v>0</v>
      </c>
      <c r="AS5" s="105">
        <v>452840</v>
      </c>
      <c r="AT5" s="142">
        <v>1813</v>
      </c>
      <c r="AU5" s="138">
        <v>2900</v>
      </c>
      <c r="AV5" s="138">
        <v>1087</v>
      </c>
      <c r="AW5" s="143">
        <v>0.01</v>
      </c>
      <c r="AX5" s="143">
        <v>0</v>
      </c>
      <c r="AY5" s="143">
        <v>0</v>
      </c>
      <c r="AZ5" s="143">
        <v>0</v>
      </c>
      <c r="BA5" s="144">
        <v>1929.52</v>
      </c>
      <c r="BB5" s="144">
        <v>14871.99999999948</v>
      </c>
      <c r="BC5" s="145">
        <v>0.01</v>
      </c>
      <c r="BD5" s="146">
        <v>0</v>
      </c>
      <c r="BE5" s="147">
        <v>0</v>
      </c>
      <c r="BF5" s="148">
        <v>1929.52</v>
      </c>
      <c r="BG5" s="149">
        <v>3.3799999999998818</v>
      </c>
      <c r="BH5" s="106">
        <v>14871.99999999948</v>
      </c>
      <c r="BI5" s="150">
        <v>14871.99999999948</v>
      </c>
      <c r="BJ5" s="151">
        <v>14839.99999999948</v>
      </c>
      <c r="BK5" s="106">
        <v>4304.43</v>
      </c>
      <c r="BL5" s="106">
        <v>1563.0000000000109</v>
      </c>
      <c r="BM5" s="152">
        <v>16434.999999999491</v>
      </c>
      <c r="BN5" s="138">
        <v>16000</v>
      </c>
      <c r="BO5" s="153">
        <v>-434.99999999949068</v>
      </c>
      <c r="BP5" s="107">
        <v>3140374</v>
      </c>
      <c r="BQ5" s="107">
        <v>20</v>
      </c>
      <c r="BR5" s="107">
        <v>4380565</v>
      </c>
      <c r="BS5" s="107">
        <v>12</v>
      </c>
      <c r="BT5" s="107">
        <v>32</v>
      </c>
      <c r="BU5" s="115">
        <v>82</v>
      </c>
      <c r="BV5" s="115">
        <v>161</v>
      </c>
    </row>
    <row r="6" spans="1:74" ht="24.95" customHeight="1" x14ac:dyDescent="0.3">
      <c r="A6" s="51" t="s">
        <v>129</v>
      </c>
      <c r="B6" s="97">
        <v>0</v>
      </c>
      <c r="C6" s="97">
        <v>86752</v>
      </c>
      <c r="D6" s="97">
        <v>259041</v>
      </c>
      <c r="E6" s="119">
        <v>66</v>
      </c>
      <c r="F6" s="119">
        <v>46</v>
      </c>
      <c r="G6" s="97"/>
      <c r="H6" s="97">
        <v>162996</v>
      </c>
      <c r="I6" s="131">
        <v>81900</v>
      </c>
      <c r="J6" s="98">
        <v>1</v>
      </c>
      <c r="K6" s="132">
        <v>16899</v>
      </c>
      <c r="L6" s="133">
        <v>4</v>
      </c>
      <c r="M6" s="127">
        <v>3073</v>
      </c>
      <c r="N6" s="133">
        <v>8</v>
      </c>
      <c r="O6" s="127">
        <v>3436</v>
      </c>
      <c r="P6" s="133">
        <v>15</v>
      </c>
      <c r="Q6" s="134">
        <v>58896</v>
      </c>
      <c r="R6" s="154">
        <v>1</v>
      </c>
      <c r="S6" s="135">
        <v>25534</v>
      </c>
      <c r="T6" s="136">
        <v>1</v>
      </c>
      <c r="U6" s="99">
        <v>10413</v>
      </c>
      <c r="V6" s="99">
        <v>2366</v>
      </c>
      <c r="W6" s="100">
        <v>4</v>
      </c>
      <c r="X6" s="101">
        <v>46692</v>
      </c>
      <c r="Y6" s="137">
        <v>20</v>
      </c>
      <c r="Z6" s="126">
        <v>8457</v>
      </c>
      <c r="AA6" s="126">
        <v>7362</v>
      </c>
      <c r="AB6" s="100">
        <v>2</v>
      </c>
      <c r="AC6" s="101">
        <v>3184</v>
      </c>
      <c r="AD6" s="101">
        <v>2096</v>
      </c>
      <c r="AE6" s="137">
        <v>4</v>
      </c>
      <c r="AF6" s="102">
        <v>6</v>
      </c>
      <c r="AG6" s="103">
        <v>249748</v>
      </c>
      <c r="AH6" s="104">
        <v>109</v>
      </c>
      <c r="AI6" s="138">
        <v>125</v>
      </c>
      <c r="AJ6" s="138">
        <v>16</v>
      </c>
      <c r="AK6" s="139">
        <v>448094</v>
      </c>
      <c r="AL6" s="140">
        <v>2226</v>
      </c>
      <c r="AM6" s="139">
        <v>5219</v>
      </c>
      <c r="AN6" s="140">
        <v>32</v>
      </c>
      <c r="AO6" s="105">
        <v>198831</v>
      </c>
      <c r="AP6" s="141">
        <v>337</v>
      </c>
      <c r="AQ6" s="105">
        <v>184760</v>
      </c>
      <c r="AR6" s="141">
        <v>0</v>
      </c>
      <c r="AS6" s="105">
        <v>455539</v>
      </c>
      <c r="AT6" s="142">
        <v>2258</v>
      </c>
      <c r="AU6" s="138">
        <v>2900</v>
      </c>
      <c r="AV6" s="138">
        <v>642</v>
      </c>
      <c r="AW6" s="143">
        <v>0.01</v>
      </c>
      <c r="AX6" s="143">
        <v>0</v>
      </c>
      <c r="AY6" s="143">
        <v>0</v>
      </c>
      <c r="AZ6" s="143">
        <v>0</v>
      </c>
      <c r="BA6" s="144">
        <v>1932.78</v>
      </c>
      <c r="BB6" s="144">
        <v>14343.99999999996</v>
      </c>
      <c r="BC6" s="145">
        <v>0.01</v>
      </c>
      <c r="BD6" s="146">
        <v>0</v>
      </c>
      <c r="BE6" s="147">
        <v>0</v>
      </c>
      <c r="BF6" s="148">
        <v>1932.78</v>
      </c>
      <c r="BG6" s="149">
        <v>3.2599999999999909</v>
      </c>
      <c r="BH6" s="106">
        <v>14343.99999999996</v>
      </c>
      <c r="BI6" s="150">
        <v>14343.99999999996</v>
      </c>
      <c r="BJ6" s="151">
        <v>14307.99999999996</v>
      </c>
      <c r="BK6" s="106">
        <v>4313.8900000000003</v>
      </c>
      <c r="BL6" s="106">
        <v>946.00000000000364</v>
      </c>
      <c r="BM6" s="152">
        <v>15289.999999999964</v>
      </c>
      <c r="BN6" s="138">
        <v>16000</v>
      </c>
      <c r="BO6" s="153">
        <v>710.00000000003638</v>
      </c>
      <c r="BP6" s="107">
        <v>3140394</v>
      </c>
      <c r="BQ6" s="107">
        <v>20</v>
      </c>
      <c r="BR6" s="107">
        <v>4380581</v>
      </c>
      <c r="BS6" s="107">
        <v>16</v>
      </c>
      <c r="BT6" s="107">
        <v>36</v>
      </c>
      <c r="BU6" s="115">
        <v>73</v>
      </c>
      <c r="BV6" s="115">
        <v>136</v>
      </c>
    </row>
    <row r="7" spans="1:74" ht="24.95" customHeight="1" x14ac:dyDescent="0.3">
      <c r="A7" s="51" t="s">
        <v>130</v>
      </c>
      <c r="B7" s="97"/>
      <c r="C7" s="97">
        <v>86783</v>
      </c>
      <c r="D7" s="97">
        <v>259093</v>
      </c>
      <c r="E7" s="119">
        <v>52</v>
      </c>
      <c r="F7" s="119">
        <v>44</v>
      </c>
      <c r="G7" s="97"/>
      <c r="H7" s="97">
        <v>163072</v>
      </c>
      <c r="I7" s="98">
        <v>81919</v>
      </c>
      <c r="J7" s="98">
        <v>19</v>
      </c>
      <c r="K7" s="132">
        <v>16903</v>
      </c>
      <c r="L7" s="133">
        <v>4</v>
      </c>
      <c r="M7" s="127">
        <v>3082</v>
      </c>
      <c r="N7" s="133">
        <v>9</v>
      </c>
      <c r="O7" s="127">
        <v>3448</v>
      </c>
      <c r="P7" s="133">
        <v>12</v>
      </c>
      <c r="Q7" s="134">
        <v>58898</v>
      </c>
      <c r="R7" s="154">
        <v>2</v>
      </c>
      <c r="S7" s="135">
        <v>25535</v>
      </c>
      <c r="T7" s="136">
        <v>1</v>
      </c>
      <c r="U7" s="99">
        <v>10420</v>
      </c>
      <c r="V7" s="99">
        <v>2366</v>
      </c>
      <c r="W7" s="100">
        <v>7</v>
      </c>
      <c r="X7" s="101">
        <v>46700</v>
      </c>
      <c r="Y7" s="137">
        <v>8</v>
      </c>
      <c r="Z7" s="126">
        <v>8460</v>
      </c>
      <c r="AA7" s="126">
        <v>7363</v>
      </c>
      <c r="AB7" s="100">
        <v>4</v>
      </c>
      <c r="AC7" s="101">
        <v>3185</v>
      </c>
      <c r="AD7" s="101">
        <v>2097</v>
      </c>
      <c r="AE7" s="137">
        <v>2</v>
      </c>
      <c r="AF7" s="102">
        <v>10</v>
      </c>
      <c r="AG7" s="103">
        <v>249855</v>
      </c>
      <c r="AH7" s="104">
        <v>107</v>
      </c>
      <c r="AI7" s="138">
        <v>125</v>
      </c>
      <c r="AJ7" s="138">
        <v>18</v>
      </c>
      <c r="AK7" s="139">
        <v>450206</v>
      </c>
      <c r="AL7" s="140">
        <v>2112</v>
      </c>
      <c r="AM7" s="139">
        <v>5254</v>
      </c>
      <c r="AN7" s="140">
        <v>35</v>
      </c>
      <c r="AO7" s="105">
        <v>199375</v>
      </c>
      <c r="AP7" s="141">
        <v>544</v>
      </c>
      <c r="AQ7" s="105">
        <v>184760</v>
      </c>
      <c r="AR7" s="141">
        <v>0</v>
      </c>
      <c r="AS7" s="105">
        <v>457572</v>
      </c>
      <c r="AT7" s="142">
        <v>2147</v>
      </c>
      <c r="AU7" s="138">
        <v>2900</v>
      </c>
      <c r="AV7" s="138">
        <v>753</v>
      </c>
      <c r="AW7" s="143">
        <v>0.01</v>
      </c>
      <c r="AX7" s="143">
        <v>0</v>
      </c>
      <c r="AY7" s="143">
        <v>0</v>
      </c>
      <c r="AZ7" s="143">
        <v>0</v>
      </c>
      <c r="BA7" s="144">
        <v>1935.51</v>
      </c>
      <c r="BB7" s="144">
        <v>12012.00000000008</v>
      </c>
      <c r="BC7" s="145">
        <v>0.01</v>
      </c>
      <c r="BD7" s="146">
        <v>0</v>
      </c>
      <c r="BE7" s="147">
        <v>0</v>
      </c>
      <c r="BF7" s="148">
        <v>1935.51</v>
      </c>
      <c r="BG7" s="149">
        <v>2.7300000000000182</v>
      </c>
      <c r="BH7" s="106">
        <v>12012.00000000008</v>
      </c>
      <c r="BI7" s="150">
        <v>12012.00000000008</v>
      </c>
      <c r="BJ7" s="151">
        <v>11976.00000000008</v>
      </c>
      <c r="BK7" s="106">
        <v>4324.04</v>
      </c>
      <c r="BL7" s="106">
        <v>1014.9999999999636</v>
      </c>
      <c r="BM7" s="152">
        <v>13027.000000000044</v>
      </c>
      <c r="BN7" s="138">
        <v>16000</v>
      </c>
      <c r="BO7" s="153">
        <v>2972.9999999999563</v>
      </c>
      <c r="BP7" s="107">
        <v>3140414</v>
      </c>
      <c r="BQ7" s="107">
        <v>20</v>
      </c>
      <c r="BR7" s="107">
        <v>4380597</v>
      </c>
      <c r="BS7" s="107">
        <v>16</v>
      </c>
      <c r="BT7" s="107">
        <v>36</v>
      </c>
      <c r="BU7" s="115">
        <v>72</v>
      </c>
      <c r="BV7" s="115">
        <v>133</v>
      </c>
    </row>
    <row r="8" spans="1:74" ht="24.95" customHeight="1" x14ac:dyDescent="0.3">
      <c r="A8" s="51" t="s">
        <v>131</v>
      </c>
      <c r="B8" s="97"/>
      <c r="C8" s="97">
        <v>86811</v>
      </c>
      <c r="D8" s="97">
        <v>259140</v>
      </c>
      <c r="E8" s="119">
        <v>47</v>
      </c>
      <c r="F8" s="119">
        <v>40</v>
      </c>
      <c r="G8" s="97"/>
      <c r="H8" s="97">
        <v>163152</v>
      </c>
      <c r="I8" s="98">
        <v>81938</v>
      </c>
      <c r="J8" s="98">
        <v>19</v>
      </c>
      <c r="K8" s="132">
        <v>16906</v>
      </c>
      <c r="L8" s="133">
        <v>3</v>
      </c>
      <c r="M8" s="127">
        <v>3089</v>
      </c>
      <c r="N8" s="133">
        <v>7</v>
      </c>
      <c r="O8" s="127">
        <v>3462</v>
      </c>
      <c r="P8" s="133">
        <v>14</v>
      </c>
      <c r="Q8" s="134">
        <v>58900</v>
      </c>
      <c r="R8" s="154">
        <v>2</v>
      </c>
      <c r="S8" s="135">
        <v>25536</v>
      </c>
      <c r="T8" s="136">
        <v>1</v>
      </c>
      <c r="U8" s="99">
        <v>10426</v>
      </c>
      <c r="V8" s="99">
        <v>2366</v>
      </c>
      <c r="W8" s="100">
        <v>6</v>
      </c>
      <c r="X8" s="101">
        <v>46707</v>
      </c>
      <c r="Y8" s="137">
        <v>7</v>
      </c>
      <c r="Z8" s="126">
        <v>8462</v>
      </c>
      <c r="AA8" s="126">
        <v>7363</v>
      </c>
      <c r="AB8" s="100">
        <v>2</v>
      </c>
      <c r="AC8" s="101">
        <v>3186</v>
      </c>
      <c r="AD8" s="101">
        <v>2099</v>
      </c>
      <c r="AE8" s="137">
        <v>3</v>
      </c>
      <c r="AF8" s="102">
        <v>9</v>
      </c>
      <c r="AG8" s="103">
        <v>249963</v>
      </c>
      <c r="AH8" s="104">
        <v>108</v>
      </c>
      <c r="AI8" s="138">
        <v>125</v>
      </c>
      <c r="AJ8" s="138">
        <v>17</v>
      </c>
      <c r="AK8" s="139">
        <v>452351</v>
      </c>
      <c r="AL8" s="140">
        <v>2145</v>
      </c>
      <c r="AM8" s="139">
        <v>5295</v>
      </c>
      <c r="AN8" s="140">
        <v>41</v>
      </c>
      <c r="AO8" s="105">
        <v>199888</v>
      </c>
      <c r="AP8" s="141">
        <v>513</v>
      </c>
      <c r="AQ8" s="105">
        <v>184761</v>
      </c>
      <c r="AR8" s="141">
        <v>1</v>
      </c>
      <c r="AS8" s="105">
        <v>459791</v>
      </c>
      <c r="AT8" s="142">
        <v>2186</v>
      </c>
      <c r="AU8" s="138">
        <v>2900</v>
      </c>
      <c r="AV8" s="138">
        <v>714</v>
      </c>
      <c r="AW8" s="143">
        <v>0.01</v>
      </c>
      <c r="AX8" s="143">
        <v>0</v>
      </c>
      <c r="AY8" s="143">
        <v>0</v>
      </c>
      <c r="AZ8" s="143">
        <v>0</v>
      </c>
      <c r="BA8" s="144">
        <v>1938.34</v>
      </c>
      <c r="BB8" s="144">
        <v>12451.99999999968</v>
      </c>
      <c r="BC8" s="145">
        <v>0.01</v>
      </c>
      <c r="BD8" s="146">
        <v>0</v>
      </c>
      <c r="BE8" s="147">
        <v>0</v>
      </c>
      <c r="BF8" s="148">
        <v>1938.34</v>
      </c>
      <c r="BG8" s="149">
        <v>2.8299999999999272</v>
      </c>
      <c r="BH8" s="106">
        <v>12451.99999999968</v>
      </c>
      <c r="BI8" s="150">
        <v>12451.99999999968</v>
      </c>
      <c r="BJ8" s="151">
        <v>11978.99999999968</v>
      </c>
      <c r="BK8" s="106">
        <v>4333.66</v>
      </c>
      <c r="BL8" s="106">
        <v>961.99999999998909</v>
      </c>
      <c r="BM8" s="152">
        <v>13413.999999999669</v>
      </c>
      <c r="BN8" s="138">
        <v>16000</v>
      </c>
      <c r="BO8" s="153">
        <v>2586.0000000003311</v>
      </c>
      <c r="BP8" s="107">
        <v>3140434</v>
      </c>
      <c r="BQ8" s="107">
        <v>20</v>
      </c>
      <c r="BR8" s="107">
        <v>4381050</v>
      </c>
      <c r="BS8" s="107">
        <v>453</v>
      </c>
      <c r="BT8" s="107">
        <v>473</v>
      </c>
      <c r="BU8" s="115">
        <v>74</v>
      </c>
      <c r="BV8" s="115">
        <v>131</v>
      </c>
    </row>
    <row r="9" spans="1:74" ht="24.95" customHeight="1" x14ac:dyDescent="0.3">
      <c r="A9" s="51" t="s">
        <v>132</v>
      </c>
      <c r="B9" s="97"/>
      <c r="C9" s="97">
        <v>86839</v>
      </c>
      <c r="D9" s="97">
        <v>259183</v>
      </c>
      <c r="E9" s="119">
        <v>43</v>
      </c>
      <c r="F9" s="119">
        <v>39</v>
      </c>
      <c r="G9" s="97"/>
      <c r="H9" s="97">
        <v>163222</v>
      </c>
      <c r="I9" s="98">
        <v>81958</v>
      </c>
      <c r="J9" s="98">
        <v>20</v>
      </c>
      <c r="K9" s="132">
        <v>16909</v>
      </c>
      <c r="L9" s="133">
        <v>3</v>
      </c>
      <c r="M9" s="127">
        <v>3098</v>
      </c>
      <c r="N9" s="133">
        <v>9</v>
      </c>
      <c r="O9" s="127">
        <v>3474</v>
      </c>
      <c r="P9" s="133">
        <v>12</v>
      </c>
      <c r="Q9" s="134">
        <v>58902</v>
      </c>
      <c r="R9" s="154">
        <v>2</v>
      </c>
      <c r="S9" s="135">
        <v>25536</v>
      </c>
      <c r="T9" s="136">
        <v>0</v>
      </c>
      <c r="U9" s="99">
        <v>10433</v>
      </c>
      <c r="V9" s="99">
        <v>2366</v>
      </c>
      <c r="W9" s="100">
        <v>7</v>
      </c>
      <c r="X9" s="101">
        <v>46711</v>
      </c>
      <c r="Y9" s="137">
        <v>4</v>
      </c>
      <c r="Z9" s="126">
        <v>8464</v>
      </c>
      <c r="AA9" s="126">
        <v>7364</v>
      </c>
      <c r="AB9" s="100">
        <v>3</v>
      </c>
      <c r="AC9" s="101">
        <v>3187</v>
      </c>
      <c r="AD9" s="101">
        <v>2100</v>
      </c>
      <c r="AE9" s="137">
        <v>2</v>
      </c>
      <c r="AF9" s="102">
        <v>9</v>
      </c>
      <c r="AG9" s="103">
        <v>250061</v>
      </c>
      <c r="AH9" s="104">
        <v>98</v>
      </c>
      <c r="AI9" s="138">
        <v>125</v>
      </c>
      <c r="AJ9" s="138">
        <v>27</v>
      </c>
      <c r="AK9" s="139">
        <v>454704</v>
      </c>
      <c r="AL9" s="140">
        <v>2353</v>
      </c>
      <c r="AM9" s="139">
        <v>5332</v>
      </c>
      <c r="AN9" s="140">
        <v>37</v>
      </c>
      <c r="AO9" s="105">
        <v>200475</v>
      </c>
      <c r="AP9" s="141">
        <v>587</v>
      </c>
      <c r="AQ9" s="105">
        <v>184761</v>
      </c>
      <c r="AR9" s="141">
        <v>0</v>
      </c>
      <c r="AS9" s="105">
        <v>462389</v>
      </c>
      <c r="AT9" s="142">
        <v>2390</v>
      </c>
      <c r="AU9" s="138">
        <v>2900</v>
      </c>
      <c r="AV9" s="138">
        <v>510</v>
      </c>
      <c r="AW9" s="143">
        <v>0.01</v>
      </c>
      <c r="AX9" s="143">
        <v>0</v>
      </c>
      <c r="AY9" s="143">
        <v>0</v>
      </c>
      <c r="AZ9" s="143">
        <v>0</v>
      </c>
      <c r="BA9" s="144">
        <v>1941.17</v>
      </c>
      <c r="BB9" s="144">
        <v>12452.00000000068</v>
      </c>
      <c r="BC9" s="145">
        <v>0.01</v>
      </c>
      <c r="BD9" s="146">
        <v>0</v>
      </c>
      <c r="BE9" s="147">
        <v>0</v>
      </c>
      <c r="BF9" s="148">
        <v>1941.17</v>
      </c>
      <c r="BG9" s="149">
        <v>2.8300000000001546</v>
      </c>
      <c r="BH9" s="106">
        <v>12452.00000000068</v>
      </c>
      <c r="BI9" s="150">
        <v>12452.00000000068</v>
      </c>
      <c r="BJ9" s="151">
        <v>12060.00000000068</v>
      </c>
      <c r="BK9" s="106">
        <v>4344.18</v>
      </c>
      <c r="BL9" s="106">
        <v>1052.0000000000437</v>
      </c>
      <c r="BM9" s="152">
        <v>13504.000000000724</v>
      </c>
      <c r="BN9" s="138">
        <v>16000</v>
      </c>
      <c r="BO9" s="153">
        <v>2495.999999999276</v>
      </c>
      <c r="BP9" s="107">
        <v>3140455</v>
      </c>
      <c r="BQ9" s="107">
        <v>21</v>
      </c>
      <c r="BR9" s="107">
        <v>4381421</v>
      </c>
      <c r="BS9" s="107">
        <v>371</v>
      </c>
      <c r="BT9" s="107">
        <v>392</v>
      </c>
      <c r="BU9" s="115">
        <v>55</v>
      </c>
      <c r="BV9" s="115">
        <v>89</v>
      </c>
    </row>
    <row r="10" spans="1:74" ht="24.95" customHeight="1" x14ac:dyDescent="0.3">
      <c r="A10" s="51" t="s">
        <v>133</v>
      </c>
      <c r="B10" s="97"/>
      <c r="C10" s="97">
        <v>86866</v>
      </c>
      <c r="D10" s="97">
        <v>259219</v>
      </c>
      <c r="E10" s="119">
        <v>36</v>
      </c>
      <c r="F10" s="119">
        <v>34</v>
      </c>
      <c r="G10" s="97"/>
      <c r="H10" s="97">
        <v>163290</v>
      </c>
      <c r="I10" s="98">
        <v>81978</v>
      </c>
      <c r="J10" s="98">
        <v>20</v>
      </c>
      <c r="K10" s="132">
        <v>16912</v>
      </c>
      <c r="L10" s="133">
        <v>3</v>
      </c>
      <c r="M10" s="127">
        <v>3106</v>
      </c>
      <c r="N10" s="133">
        <v>8</v>
      </c>
      <c r="O10" s="127">
        <v>3483</v>
      </c>
      <c r="P10" s="133">
        <v>9</v>
      </c>
      <c r="Q10" s="134">
        <v>58904</v>
      </c>
      <c r="R10" s="154">
        <v>2</v>
      </c>
      <c r="S10" s="135">
        <v>25537</v>
      </c>
      <c r="T10" s="136">
        <v>1</v>
      </c>
      <c r="U10" s="99">
        <v>10439</v>
      </c>
      <c r="V10" s="99">
        <v>2366</v>
      </c>
      <c r="W10" s="100">
        <v>6</v>
      </c>
      <c r="X10" s="101">
        <v>46713</v>
      </c>
      <c r="Y10" s="137">
        <v>2</v>
      </c>
      <c r="Z10" s="126">
        <v>8466</v>
      </c>
      <c r="AA10" s="126">
        <v>7365</v>
      </c>
      <c r="AB10" s="100">
        <v>3</v>
      </c>
      <c r="AC10" s="101">
        <v>3188</v>
      </c>
      <c r="AD10" s="101">
        <v>2101</v>
      </c>
      <c r="AE10" s="137">
        <v>2</v>
      </c>
      <c r="AF10" s="102">
        <v>9</v>
      </c>
      <c r="AG10" s="103">
        <v>250156</v>
      </c>
      <c r="AH10" s="104">
        <v>95</v>
      </c>
      <c r="AI10" s="138">
        <v>125</v>
      </c>
      <c r="AJ10" s="138">
        <v>30</v>
      </c>
      <c r="AK10" s="139">
        <v>457785</v>
      </c>
      <c r="AL10" s="140">
        <v>3081</v>
      </c>
      <c r="AM10" s="139">
        <v>5371</v>
      </c>
      <c r="AN10" s="140">
        <v>39</v>
      </c>
      <c r="AO10" s="105">
        <v>200986</v>
      </c>
      <c r="AP10" s="141">
        <v>511</v>
      </c>
      <c r="AQ10" s="105">
        <v>184761</v>
      </c>
      <c r="AR10" s="141">
        <v>0</v>
      </c>
      <c r="AS10" s="105">
        <v>466237</v>
      </c>
      <c r="AT10" s="142">
        <v>3120</v>
      </c>
      <c r="AU10" s="138">
        <v>2900</v>
      </c>
      <c r="AV10" s="138">
        <v>-220</v>
      </c>
      <c r="AW10" s="143">
        <v>0.01</v>
      </c>
      <c r="AX10" s="143">
        <v>0</v>
      </c>
      <c r="AY10" s="143">
        <v>0</v>
      </c>
      <c r="AZ10" s="143">
        <v>0</v>
      </c>
      <c r="BA10" s="144">
        <v>1943.95</v>
      </c>
      <c r="BB10" s="144">
        <v>12231.99999999988</v>
      </c>
      <c r="BC10" s="145">
        <v>0.01</v>
      </c>
      <c r="BD10" s="146">
        <v>0</v>
      </c>
      <c r="BE10" s="147">
        <v>0</v>
      </c>
      <c r="BF10" s="148">
        <v>1943.95</v>
      </c>
      <c r="BG10" s="149">
        <v>2.7799999999999727</v>
      </c>
      <c r="BH10" s="106">
        <v>12231.99999999988</v>
      </c>
      <c r="BI10" s="150">
        <v>12231.99999999988</v>
      </c>
      <c r="BJ10" s="151">
        <v>12191.99999999988</v>
      </c>
      <c r="BK10" s="106">
        <v>4354.55</v>
      </c>
      <c r="BL10" s="106">
        <v>1036.9999999999891</v>
      </c>
      <c r="BM10" s="152">
        <v>13268.999999999869</v>
      </c>
      <c r="BN10" s="138">
        <v>16000</v>
      </c>
      <c r="BO10" s="153">
        <v>2731.000000000131</v>
      </c>
      <c r="BP10" s="107">
        <v>3140475</v>
      </c>
      <c r="BQ10" s="107">
        <v>20</v>
      </c>
      <c r="BR10" s="107">
        <v>4381441</v>
      </c>
      <c r="BS10" s="107">
        <v>20</v>
      </c>
      <c r="BT10" s="107">
        <v>40</v>
      </c>
      <c r="BU10" s="115">
        <v>54</v>
      </c>
      <c r="BV10" s="115">
        <v>91</v>
      </c>
    </row>
    <row r="11" spans="1:74" ht="24.95" customHeight="1" x14ac:dyDescent="0.3">
      <c r="A11" s="51" t="s">
        <v>134</v>
      </c>
      <c r="B11" s="97"/>
      <c r="C11" s="97">
        <v>86891</v>
      </c>
      <c r="D11" s="97">
        <v>259263</v>
      </c>
      <c r="E11" s="119">
        <v>44</v>
      </c>
      <c r="F11" s="119">
        <v>44</v>
      </c>
      <c r="G11" s="97"/>
      <c r="H11" s="97">
        <v>163363</v>
      </c>
      <c r="I11" s="98">
        <v>81993</v>
      </c>
      <c r="J11" s="98">
        <v>15</v>
      </c>
      <c r="K11" s="132">
        <v>16914</v>
      </c>
      <c r="L11" s="133">
        <v>2</v>
      </c>
      <c r="M11" s="127">
        <v>3116</v>
      </c>
      <c r="N11" s="133">
        <v>10</v>
      </c>
      <c r="O11" s="127">
        <v>3492</v>
      </c>
      <c r="P11" s="133">
        <v>9</v>
      </c>
      <c r="Q11" s="134">
        <v>58905</v>
      </c>
      <c r="R11" s="154">
        <v>1</v>
      </c>
      <c r="S11" s="135">
        <v>25538</v>
      </c>
      <c r="T11" s="136">
        <v>1</v>
      </c>
      <c r="U11" s="99">
        <v>10445</v>
      </c>
      <c r="V11" s="99">
        <v>2366</v>
      </c>
      <c r="W11" s="100">
        <v>6</v>
      </c>
      <c r="X11" s="101">
        <v>46713</v>
      </c>
      <c r="Y11" s="137">
        <v>0</v>
      </c>
      <c r="Z11" s="126">
        <v>8469</v>
      </c>
      <c r="AA11" s="126">
        <v>7365</v>
      </c>
      <c r="AB11" s="100">
        <v>3</v>
      </c>
      <c r="AC11" s="101">
        <v>3190</v>
      </c>
      <c r="AD11" s="101">
        <v>2103</v>
      </c>
      <c r="AE11" s="137">
        <v>4</v>
      </c>
      <c r="AF11" s="102">
        <v>8</v>
      </c>
      <c r="AG11" s="103">
        <v>250254</v>
      </c>
      <c r="AH11" s="104">
        <v>98</v>
      </c>
      <c r="AI11" s="138">
        <v>125</v>
      </c>
      <c r="AJ11" s="138">
        <v>27</v>
      </c>
      <c r="AK11" s="139">
        <v>461086</v>
      </c>
      <c r="AL11" s="140">
        <v>3301</v>
      </c>
      <c r="AM11" s="139">
        <v>5416</v>
      </c>
      <c r="AN11" s="140">
        <v>45</v>
      </c>
      <c r="AO11" s="105">
        <v>201478</v>
      </c>
      <c r="AP11" s="141">
        <v>492</v>
      </c>
      <c r="AQ11" s="105">
        <v>184761</v>
      </c>
      <c r="AR11" s="141">
        <v>0</v>
      </c>
      <c r="AS11" s="105">
        <v>469803</v>
      </c>
      <c r="AT11" s="142">
        <v>3346</v>
      </c>
      <c r="AU11" s="138">
        <v>2900</v>
      </c>
      <c r="AV11" s="138">
        <v>-446</v>
      </c>
      <c r="AW11" s="143">
        <v>0.01</v>
      </c>
      <c r="AX11" s="143">
        <v>0</v>
      </c>
      <c r="AY11" s="143">
        <v>0</v>
      </c>
      <c r="AZ11" s="143">
        <v>0</v>
      </c>
      <c r="BA11" s="144">
        <v>1947</v>
      </c>
      <c r="BB11" s="144">
        <v>13419.9999999998</v>
      </c>
      <c r="BC11" s="145">
        <v>0.01</v>
      </c>
      <c r="BD11" s="146">
        <v>0</v>
      </c>
      <c r="BE11" s="147">
        <v>0</v>
      </c>
      <c r="BF11" s="148">
        <v>1947</v>
      </c>
      <c r="BG11" s="149">
        <v>3.0499999999999545</v>
      </c>
      <c r="BH11" s="106">
        <v>13419.9999999998</v>
      </c>
      <c r="BI11" s="150">
        <v>13419.9999999998</v>
      </c>
      <c r="BJ11" s="151">
        <v>12662.9999999998</v>
      </c>
      <c r="BK11" s="106">
        <v>4367.3</v>
      </c>
      <c r="BL11" s="106">
        <v>1275</v>
      </c>
      <c r="BM11" s="152">
        <v>14694.9999999998</v>
      </c>
      <c r="BN11" s="138">
        <v>16000</v>
      </c>
      <c r="BO11" s="153">
        <v>1305.0000000002001</v>
      </c>
      <c r="BP11" s="107">
        <v>3140496</v>
      </c>
      <c r="BQ11" s="107">
        <v>21</v>
      </c>
      <c r="BR11" s="107">
        <v>4382177</v>
      </c>
      <c r="BS11" s="107">
        <v>736</v>
      </c>
      <c r="BT11" s="107">
        <v>757</v>
      </c>
      <c r="BU11" s="115">
        <v>50</v>
      </c>
      <c r="BV11" s="115">
        <v>84</v>
      </c>
    </row>
    <row r="12" spans="1:74" ht="24.95" customHeight="1" x14ac:dyDescent="0.3">
      <c r="A12" s="51" t="s">
        <v>135</v>
      </c>
      <c r="B12" s="97"/>
      <c r="C12" s="97">
        <v>86909</v>
      </c>
      <c r="D12" s="97">
        <v>259297</v>
      </c>
      <c r="E12" s="119">
        <v>34</v>
      </c>
      <c r="F12" s="119">
        <v>23</v>
      </c>
      <c r="G12" s="97"/>
      <c r="H12" s="97">
        <v>163416</v>
      </c>
      <c r="I12" s="98">
        <v>81995</v>
      </c>
      <c r="J12" s="98">
        <v>2</v>
      </c>
      <c r="K12" s="132">
        <v>16917</v>
      </c>
      <c r="L12" s="133">
        <v>3</v>
      </c>
      <c r="M12" s="127">
        <v>3125</v>
      </c>
      <c r="N12" s="133">
        <v>9</v>
      </c>
      <c r="O12" s="127">
        <v>3500</v>
      </c>
      <c r="P12" s="133">
        <v>8</v>
      </c>
      <c r="Q12" s="134">
        <v>58905</v>
      </c>
      <c r="R12" s="154">
        <v>0</v>
      </c>
      <c r="S12" s="135">
        <v>25538</v>
      </c>
      <c r="T12" s="136">
        <v>0</v>
      </c>
      <c r="U12" s="99">
        <v>10446</v>
      </c>
      <c r="V12" s="99">
        <v>2366</v>
      </c>
      <c r="W12" s="100">
        <v>1</v>
      </c>
      <c r="X12" s="101">
        <v>46724</v>
      </c>
      <c r="Y12" s="137">
        <v>11</v>
      </c>
      <c r="Z12" s="126">
        <v>8471</v>
      </c>
      <c r="AA12" s="126">
        <v>7366</v>
      </c>
      <c r="AB12" s="100">
        <v>3</v>
      </c>
      <c r="AC12" s="101">
        <v>3191</v>
      </c>
      <c r="AD12" s="101">
        <v>2104</v>
      </c>
      <c r="AE12" s="137">
        <v>2</v>
      </c>
      <c r="AF12" s="102">
        <v>1</v>
      </c>
      <c r="AG12" s="103">
        <v>250325</v>
      </c>
      <c r="AH12" s="104">
        <v>71</v>
      </c>
      <c r="AI12" s="138">
        <v>125</v>
      </c>
      <c r="AJ12" s="138">
        <v>54</v>
      </c>
      <c r="AK12" s="139">
        <v>464239</v>
      </c>
      <c r="AL12" s="140">
        <v>3153</v>
      </c>
      <c r="AM12" s="139">
        <v>5455</v>
      </c>
      <c r="AN12" s="140">
        <v>39</v>
      </c>
      <c r="AO12" s="105">
        <v>201576</v>
      </c>
      <c r="AP12" s="141">
        <v>98</v>
      </c>
      <c r="AQ12" s="105">
        <v>184761</v>
      </c>
      <c r="AR12" s="141">
        <v>0</v>
      </c>
      <c r="AS12" s="105">
        <v>472847</v>
      </c>
      <c r="AT12" s="142">
        <v>3192</v>
      </c>
      <c r="AU12" s="138">
        <v>2900</v>
      </c>
      <c r="AV12" s="138">
        <v>-292</v>
      </c>
      <c r="AW12" s="143">
        <v>0.01</v>
      </c>
      <c r="AX12" s="143">
        <v>0</v>
      </c>
      <c r="AY12" s="143">
        <v>0</v>
      </c>
      <c r="AZ12" s="143">
        <v>0</v>
      </c>
      <c r="BA12" s="144">
        <v>1949.93</v>
      </c>
      <c r="BB12" s="144">
        <v>12892.00000000028</v>
      </c>
      <c r="BC12" s="145">
        <v>0.01</v>
      </c>
      <c r="BD12" s="146">
        <v>0</v>
      </c>
      <c r="BE12" s="147">
        <v>0</v>
      </c>
      <c r="BF12" s="148">
        <v>1949.93</v>
      </c>
      <c r="BG12" s="149">
        <v>2.9300000000000637</v>
      </c>
      <c r="BH12" s="106">
        <v>12892.00000000028</v>
      </c>
      <c r="BI12" s="150">
        <v>12892.00000000028</v>
      </c>
      <c r="BJ12" s="151">
        <v>12851.00000000028</v>
      </c>
      <c r="BK12" s="106">
        <v>4380.3500000000004</v>
      </c>
      <c r="BL12" s="106">
        <v>1305.0000000000182</v>
      </c>
      <c r="BM12" s="152">
        <v>14197.000000000298</v>
      </c>
      <c r="BN12" s="138">
        <v>16000</v>
      </c>
      <c r="BO12" s="153">
        <v>1802.9999999997017</v>
      </c>
      <c r="BP12" s="107">
        <v>3140517</v>
      </c>
      <c r="BQ12" s="107">
        <v>21</v>
      </c>
      <c r="BR12" s="107">
        <v>4382197</v>
      </c>
      <c r="BS12" s="107">
        <v>20</v>
      </c>
      <c r="BT12" s="107">
        <v>41</v>
      </c>
      <c r="BU12" s="115">
        <v>55</v>
      </c>
      <c r="BV12" s="115">
        <v>84</v>
      </c>
    </row>
    <row r="13" spans="1:74" ht="24.95" customHeight="1" x14ac:dyDescent="0.3">
      <c r="A13" s="51" t="s">
        <v>136</v>
      </c>
      <c r="B13" s="97"/>
      <c r="C13" s="97">
        <v>86923</v>
      </c>
      <c r="D13" s="97">
        <v>259328</v>
      </c>
      <c r="E13" s="119">
        <v>31</v>
      </c>
      <c r="F13" s="119">
        <v>28</v>
      </c>
      <c r="G13" s="97"/>
      <c r="H13" s="97">
        <v>163459</v>
      </c>
      <c r="I13" s="98">
        <v>81997</v>
      </c>
      <c r="J13" s="98">
        <v>2</v>
      </c>
      <c r="K13" s="132">
        <v>16919</v>
      </c>
      <c r="L13" s="133">
        <v>2</v>
      </c>
      <c r="M13" s="127">
        <v>3133</v>
      </c>
      <c r="N13" s="133">
        <v>8</v>
      </c>
      <c r="O13" s="127">
        <v>3507</v>
      </c>
      <c r="P13" s="133">
        <v>7</v>
      </c>
      <c r="Q13" s="134">
        <v>58905</v>
      </c>
      <c r="R13" s="154">
        <v>0</v>
      </c>
      <c r="S13" s="135">
        <v>25539</v>
      </c>
      <c r="T13" s="136">
        <v>1</v>
      </c>
      <c r="U13" s="99">
        <v>10447</v>
      </c>
      <c r="V13" s="99">
        <v>2366</v>
      </c>
      <c r="W13" s="100">
        <v>1</v>
      </c>
      <c r="X13" s="101">
        <v>46727</v>
      </c>
      <c r="Y13" s="137">
        <v>3</v>
      </c>
      <c r="Z13" s="126">
        <v>8473</v>
      </c>
      <c r="AA13" s="126">
        <v>7366</v>
      </c>
      <c r="AB13" s="100">
        <v>2</v>
      </c>
      <c r="AC13" s="101">
        <v>3192</v>
      </c>
      <c r="AD13" s="101">
        <v>2104</v>
      </c>
      <c r="AE13" s="137">
        <v>1</v>
      </c>
      <c r="AF13" s="102">
        <v>2</v>
      </c>
      <c r="AG13" s="103">
        <v>250382</v>
      </c>
      <c r="AH13" s="104">
        <v>57</v>
      </c>
      <c r="AI13" s="138">
        <v>125</v>
      </c>
      <c r="AJ13" s="138">
        <v>68</v>
      </c>
      <c r="AK13" s="139">
        <v>467216</v>
      </c>
      <c r="AL13" s="140">
        <v>2977</v>
      </c>
      <c r="AM13" s="139">
        <v>5491</v>
      </c>
      <c r="AN13" s="140">
        <v>36</v>
      </c>
      <c r="AO13" s="105">
        <v>201683</v>
      </c>
      <c r="AP13" s="141">
        <v>107</v>
      </c>
      <c r="AQ13" s="105">
        <v>184761</v>
      </c>
      <c r="AR13" s="141">
        <v>0</v>
      </c>
      <c r="AS13" s="105">
        <v>475684</v>
      </c>
      <c r="AT13" s="142">
        <v>3013</v>
      </c>
      <c r="AU13" s="138">
        <v>2900</v>
      </c>
      <c r="AV13" s="138">
        <v>-113</v>
      </c>
      <c r="AW13" s="143">
        <v>0.01</v>
      </c>
      <c r="AX13" s="143">
        <v>0</v>
      </c>
      <c r="AY13" s="143">
        <v>0</v>
      </c>
      <c r="AZ13" s="143">
        <v>0</v>
      </c>
      <c r="BA13" s="144">
        <v>1952.62</v>
      </c>
      <c r="BB13" s="144">
        <v>11835.99999999924</v>
      </c>
      <c r="BC13" s="145">
        <v>0.01</v>
      </c>
      <c r="BD13" s="146">
        <v>0</v>
      </c>
      <c r="BE13" s="147">
        <v>0</v>
      </c>
      <c r="BF13" s="148">
        <v>1952.62</v>
      </c>
      <c r="BG13" s="149">
        <v>2.6899999999998272</v>
      </c>
      <c r="BH13" s="106">
        <v>11835.99999999924</v>
      </c>
      <c r="BI13" s="150">
        <v>11835.99999999924</v>
      </c>
      <c r="BJ13" s="151">
        <v>11795.99999999924</v>
      </c>
      <c r="BK13" s="106">
        <v>4390.7</v>
      </c>
      <c r="BL13" s="106">
        <v>1034.9999999999454</v>
      </c>
      <c r="BM13" s="152">
        <v>12870.999999999185</v>
      </c>
      <c r="BN13" s="138">
        <v>16000</v>
      </c>
      <c r="BO13" s="153">
        <v>3129.0000000008149</v>
      </c>
      <c r="BP13" s="107">
        <v>3140537</v>
      </c>
      <c r="BQ13" s="107">
        <v>20</v>
      </c>
      <c r="BR13" s="107">
        <v>4382217</v>
      </c>
      <c r="BS13" s="107">
        <v>20</v>
      </c>
      <c r="BT13" s="107">
        <v>40</v>
      </c>
      <c r="BU13" s="115">
        <v>42</v>
      </c>
      <c r="BV13" s="115">
        <v>55</v>
      </c>
    </row>
    <row r="14" spans="1:74" ht="24.95" customHeight="1" x14ac:dyDescent="0.3">
      <c r="A14" s="51" t="s">
        <v>137</v>
      </c>
      <c r="B14" s="97"/>
      <c r="C14" s="97">
        <v>86949</v>
      </c>
      <c r="D14" s="97">
        <v>259364</v>
      </c>
      <c r="E14" s="119">
        <v>36</v>
      </c>
      <c r="F14" s="119">
        <v>24</v>
      </c>
      <c r="G14" s="97"/>
      <c r="H14" s="97">
        <v>163532</v>
      </c>
      <c r="I14" s="98">
        <v>82017</v>
      </c>
      <c r="J14" s="98">
        <v>20</v>
      </c>
      <c r="K14" s="132">
        <v>16921</v>
      </c>
      <c r="L14" s="133">
        <v>2</v>
      </c>
      <c r="M14" s="127">
        <v>3142</v>
      </c>
      <c r="N14" s="133">
        <v>9</v>
      </c>
      <c r="O14" s="127">
        <v>3512</v>
      </c>
      <c r="P14" s="133">
        <v>5</v>
      </c>
      <c r="Q14" s="134">
        <v>58907</v>
      </c>
      <c r="R14" s="154">
        <v>2</v>
      </c>
      <c r="S14" s="135">
        <v>25540</v>
      </c>
      <c r="T14" s="136">
        <v>1</v>
      </c>
      <c r="U14" s="99">
        <v>10453</v>
      </c>
      <c r="V14" s="99">
        <v>2367</v>
      </c>
      <c r="W14" s="100">
        <v>7</v>
      </c>
      <c r="X14" s="101">
        <v>46739</v>
      </c>
      <c r="Y14" s="137">
        <v>12</v>
      </c>
      <c r="Z14" s="126">
        <v>8476</v>
      </c>
      <c r="AA14" s="126">
        <v>7367</v>
      </c>
      <c r="AB14" s="100">
        <v>4</v>
      </c>
      <c r="AC14" s="101">
        <v>3193</v>
      </c>
      <c r="AD14" s="101">
        <v>2105</v>
      </c>
      <c r="AE14" s="137">
        <v>2</v>
      </c>
      <c r="AF14" s="102">
        <v>10</v>
      </c>
      <c r="AG14" s="103">
        <v>250481</v>
      </c>
      <c r="AH14" s="104">
        <v>99</v>
      </c>
      <c r="AI14" s="138">
        <v>125</v>
      </c>
      <c r="AJ14" s="138">
        <v>26</v>
      </c>
      <c r="AK14" s="139">
        <v>470548</v>
      </c>
      <c r="AL14" s="140">
        <v>3332</v>
      </c>
      <c r="AM14" s="139">
        <v>5517</v>
      </c>
      <c r="AN14" s="140">
        <v>26</v>
      </c>
      <c r="AO14" s="105">
        <v>202259</v>
      </c>
      <c r="AP14" s="141">
        <v>576</v>
      </c>
      <c r="AQ14" s="105">
        <v>184761</v>
      </c>
      <c r="AR14" s="141">
        <v>0</v>
      </c>
      <c r="AS14" s="105">
        <v>479397</v>
      </c>
      <c r="AT14" s="142">
        <v>3358</v>
      </c>
      <c r="AU14" s="138">
        <v>2900</v>
      </c>
      <c r="AV14" s="138">
        <v>-458</v>
      </c>
      <c r="AW14" s="143">
        <v>0.01</v>
      </c>
      <c r="AX14" s="143">
        <v>0</v>
      </c>
      <c r="AY14" s="143">
        <v>0</v>
      </c>
      <c r="AZ14" s="143">
        <v>0</v>
      </c>
      <c r="BA14" s="144">
        <v>1955.7</v>
      </c>
      <c r="BB14" s="144">
        <v>13552.00000000068</v>
      </c>
      <c r="BC14" s="145">
        <v>0.01</v>
      </c>
      <c r="BD14" s="146">
        <v>0</v>
      </c>
      <c r="BE14" s="147">
        <v>0</v>
      </c>
      <c r="BF14" s="148">
        <v>1955.7</v>
      </c>
      <c r="BG14" s="149">
        <v>3.0800000000001546</v>
      </c>
      <c r="BH14" s="106">
        <v>13552.00000000068</v>
      </c>
      <c r="BI14" s="150">
        <v>13552.00000000068</v>
      </c>
      <c r="BJ14" s="151">
        <v>12525.00000000068</v>
      </c>
      <c r="BK14" s="106">
        <v>4402.59</v>
      </c>
      <c r="BL14" s="106">
        <v>1189.0000000000327</v>
      </c>
      <c r="BM14" s="152">
        <v>14741.000000000713</v>
      </c>
      <c r="BN14" s="138">
        <v>16000</v>
      </c>
      <c r="BO14" s="153">
        <v>1258.999999999287</v>
      </c>
      <c r="BP14" s="107">
        <v>3140557</v>
      </c>
      <c r="BQ14" s="107">
        <v>20</v>
      </c>
      <c r="BR14" s="107">
        <v>4383224</v>
      </c>
      <c r="BS14" s="107">
        <v>1007</v>
      </c>
      <c r="BT14" s="107">
        <v>1027</v>
      </c>
      <c r="BU14" s="115">
        <v>41</v>
      </c>
      <c r="BV14" s="115">
        <v>51</v>
      </c>
    </row>
    <row r="15" spans="1:74" ht="24.95" customHeight="1" x14ac:dyDescent="0.3">
      <c r="A15" s="51" t="s">
        <v>138</v>
      </c>
      <c r="B15" s="97"/>
      <c r="C15" s="97">
        <v>86973</v>
      </c>
      <c r="D15" s="97">
        <v>259399</v>
      </c>
      <c r="E15" s="119">
        <v>35</v>
      </c>
      <c r="F15" s="119">
        <v>23</v>
      </c>
      <c r="G15" s="97"/>
      <c r="H15" s="97">
        <v>163599</v>
      </c>
      <c r="I15" s="98">
        <v>82034</v>
      </c>
      <c r="J15" s="98">
        <v>17</v>
      </c>
      <c r="K15" s="132">
        <v>16923</v>
      </c>
      <c r="L15" s="133">
        <v>2</v>
      </c>
      <c r="M15" s="127">
        <v>3150</v>
      </c>
      <c r="N15" s="133">
        <v>8</v>
      </c>
      <c r="O15" s="127">
        <v>3518</v>
      </c>
      <c r="P15" s="133">
        <v>6</v>
      </c>
      <c r="Q15" s="134">
        <v>58910</v>
      </c>
      <c r="R15" s="154">
        <v>3</v>
      </c>
      <c r="S15" s="135">
        <v>25540</v>
      </c>
      <c r="T15" s="136">
        <v>0</v>
      </c>
      <c r="U15" s="99">
        <v>10460</v>
      </c>
      <c r="V15" s="99">
        <v>2367</v>
      </c>
      <c r="W15" s="100">
        <v>7</v>
      </c>
      <c r="X15" s="101">
        <v>46751</v>
      </c>
      <c r="Y15" s="137">
        <v>12</v>
      </c>
      <c r="Z15" s="126">
        <v>8478</v>
      </c>
      <c r="AA15" s="126">
        <v>7367</v>
      </c>
      <c r="AB15" s="100">
        <v>2</v>
      </c>
      <c r="AC15" s="101">
        <v>3195</v>
      </c>
      <c r="AD15" s="101">
        <v>2108</v>
      </c>
      <c r="AE15" s="137">
        <v>5</v>
      </c>
      <c r="AF15" s="102">
        <v>10</v>
      </c>
      <c r="AG15" s="103">
        <v>250572</v>
      </c>
      <c r="AH15" s="104">
        <v>91</v>
      </c>
      <c r="AI15" s="138">
        <v>125</v>
      </c>
      <c r="AJ15" s="138">
        <v>34</v>
      </c>
      <c r="AK15" s="139">
        <v>474076</v>
      </c>
      <c r="AL15" s="140">
        <v>3528</v>
      </c>
      <c r="AM15" s="139">
        <v>5547</v>
      </c>
      <c r="AN15" s="140">
        <v>30</v>
      </c>
      <c r="AO15" s="105">
        <v>202819</v>
      </c>
      <c r="AP15" s="141">
        <v>560</v>
      </c>
      <c r="AQ15" s="105">
        <v>184761</v>
      </c>
      <c r="AR15" s="141">
        <v>0</v>
      </c>
      <c r="AS15" s="105">
        <v>483151</v>
      </c>
      <c r="AT15" s="142">
        <v>3558</v>
      </c>
      <c r="AU15" s="138">
        <v>2900</v>
      </c>
      <c r="AV15" s="138">
        <v>-658</v>
      </c>
      <c r="AW15" s="143">
        <v>0.01</v>
      </c>
      <c r="AX15" s="143">
        <v>0</v>
      </c>
      <c r="AY15" s="143">
        <v>0</v>
      </c>
      <c r="AZ15" s="143">
        <v>0</v>
      </c>
      <c r="BA15" s="144">
        <v>1958.93</v>
      </c>
      <c r="BB15" s="144">
        <v>14212.00000000008</v>
      </c>
      <c r="BC15" s="145">
        <v>0.01</v>
      </c>
      <c r="BD15" s="146">
        <v>0</v>
      </c>
      <c r="BE15" s="147">
        <v>0</v>
      </c>
      <c r="BF15" s="148">
        <v>1958.93</v>
      </c>
      <c r="BG15" s="149">
        <v>3.2300000000000182</v>
      </c>
      <c r="BH15" s="106">
        <v>14212.00000000008</v>
      </c>
      <c r="BI15" s="150">
        <v>14212.00000000008</v>
      </c>
      <c r="BJ15" s="151">
        <v>13146.00000000008</v>
      </c>
      <c r="BK15" s="106">
        <v>4413.93</v>
      </c>
      <c r="BL15" s="106">
        <v>1134.0000000000146</v>
      </c>
      <c r="BM15" s="152">
        <v>15346.000000000095</v>
      </c>
      <c r="BN15" s="138">
        <v>16000</v>
      </c>
      <c r="BO15" s="153">
        <v>653.99999999990541</v>
      </c>
      <c r="BP15" s="107">
        <v>3140577</v>
      </c>
      <c r="BQ15" s="107">
        <v>20</v>
      </c>
      <c r="BR15" s="107">
        <v>4384270</v>
      </c>
      <c r="BS15" s="107">
        <v>1046</v>
      </c>
      <c r="BT15" s="107">
        <v>1066</v>
      </c>
      <c r="BU15" s="115">
        <v>43</v>
      </c>
      <c r="BV15" s="115">
        <v>51</v>
      </c>
    </row>
    <row r="16" spans="1:74" ht="24.95" customHeight="1" x14ac:dyDescent="0.3">
      <c r="A16" s="51" t="s">
        <v>139</v>
      </c>
      <c r="B16" s="97"/>
      <c r="C16" s="97">
        <v>86997</v>
      </c>
      <c r="D16" s="97">
        <v>259430</v>
      </c>
      <c r="E16" s="119">
        <v>31</v>
      </c>
      <c r="F16" s="119">
        <v>25</v>
      </c>
      <c r="G16" s="97"/>
      <c r="H16" s="97">
        <v>163664</v>
      </c>
      <c r="I16" s="98">
        <v>82050</v>
      </c>
      <c r="J16" s="98">
        <v>16</v>
      </c>
      <c r="K16" s="132">
        <v>16924</v>
      </c>
      <c r="L16" s="133">
        <v>1</v>
      </c>
      <c r="M16" s="127">
        <v>3156</v>
      </c>
      <c r="N16" s="133">
        <v>6</v>
      </c>
      <c r="O16" s="127">
        <v>3522</v>
      </c>
      <c r="P16" s="133">
        <v>4</v>
      </c>
      <c r="Q16" s="134">
        <v>58917</v>
      </c>
      <c r="R16" s="154">
        <v>7</v>
      </c>
      <c r="S16" s="135">
        <v>25541</v>
      </c>
      <c r="T16" s="136">
        <v>1</v>
      </c>
      <c r="U16" s="99">
        <v>10466</v>
      </c>
      <c r="V16" s="99">
        <v>2367</v>
      </c>
      <c r="W16" s="100">
        <v>6</v>
      </c>
      <c r="X16" s="101">
        <v>46757</v>
      </c>
      <c r="Y16" s="137">
        <v>6</v>
      </c>
      <c r="Z16" s="126">
        <v>8479</v>
      </c>
      <c r="AA16" s="126">
        <v>7368</v>
      </c>
      <c r="AB16" s="100">
        <v>2</v>
      </c>
      <c r="AC16" s="101">
        <v>3196</v>
      </c>
      <c r="AD16" s="101">
        <v>2108</v>
      </c>
      <c r="AE16" s="137">
        <v>1</v>
      </c>
      <c r="AF16" s="102">
        <v>14</v>
      </c>
      <c r="AG16" s="103">
        <v>250661</v>
      </c>
      <c r="AH16" s="104">
        <v>89</v>
      </c>
      <c r="AI16" s="138">
        <v>125</v>
      </c>
      <c r="AJ16" s="138">
        <v>36</v>
      </c>
      <c r="AK16" s="139">
        <v>478178</v>
      </c>
      <c r="AL16" s="140">
        <v>4102</v>
      </c>
      <c r="AM16" s="139">
        <v>5565</v>
      </c>
      <c r="AN16" s="140">
        <v>18</v>
      </c>
      <c r="AO16" s="105">
        <v>203386</v>
      </c>
      <c r="AP16" s="141">
        <v>567</v>
      </c>
      <c r="AQ16" s="105">
        <v>184761</v>
      </c>
      <c r="AR16" s="141">
        <v>0</v>
      </c>
      <c r="AS16" s="105">
        <v>487845</v>
      </c>
      <c r="AT16" s="142">
        <v>4120</v>
      </c>
      <c r="AU16" s="138">
        <v>2900</v>
      </c>
      <c r="AV16" s="138">
        <v>-1220</v>
      </c>
      <c r="AW16" s="143">
        <v>0.01</v>
      </c>
      <c r="AX16" s="143">
        <v>0</v>
      </c>
      <c r="AY16" s="143">
        <v>0</v>
      </c>
      <c r="AZ16" s="143">
        <v>0</v>
      </c>
      <c r="BA16" s="144">
        <v>1961.82</v>
      </c>
      <c r="BB16" s="144">
        <v>12715.99999999944</v>
      </c>
      <c r="BC16" s="145">
        <v>0.01</v>
      </c>
      <c r="BD16" s="146">
        <v>0</v>
      </c>
      <c r="BE16" s="147">
        <v>0</v>
      </c>
      <c r="BF16" s="148">
        <v>1961.82</v>
      </c>
      <c r="BG16" s="149">
        <v>2.8899999999998727</v>
      </c>
      <c r="BH16" s="106">
        <v>12715.99999999944</v>
      </c>
      <c r="BI16" s="150">
        <v>12715.99999999944</v>
      </c>
      <c r="BJ16" s="151">
        <v>12638.99999999944</v>
      </c>
      <c r="BK16" s="106">
        <v>4425.71</v>
      </c>
      <c r="BL16" s="106">
        <v>1177.9999999999745</v>
      </c>
      <c r="BM16" s="152">
        <v>13893.999999999414</v>
      </c>
      <c r="BN16" s="138">
        <v>16000</v>
      </c>
      <c r="BO16" s="153">
        <v>2106.0000000005857</v>
      </c>
      <c r="BP16" s="107">
        <v>3140597</v>
      </c>
      <c r="BQ16" s="107">
        <v>20</v>
      </c>
      <c r="BR16" s="107">
        <v>4384327</v>
      </c>
      <c r="BS16" s="107">
        <v>57</v>
      </c>
      <c r="BT16" s="107">
        <v>77</v>
      </c>
      <c r="BU16" s="115">
        <v>51</v>
      </c>
      <c r="BV16" s="115">
        <v>63</v>
      </c>
    </row>
    <row r="17" spans="1:74" ht="24.95" customHeight="1" x14ac:dyDescent="0.3">
      <c r="A17" s="51" t="s">
        <v>140</v>
      </c>
      <c r="B17" s="97"/>
      <c r="C17" s="97">
        <v>87021</v>
      </c>
      <c r="D17" s="97">
        <v>259469</v>
      </c>
      <c r="E17" s="119">
        <v>39</v>
      </c>
      <c r="F17" s="119">
        <v>26</v>
      </c>
      <c r="G17" s="97"/>
      <c r="H17" s="97">
        <v>163734</v>
      </c>
      <c r="I17" s="98">
        <v>82066</v>
      </c>
      <c r="J17" s="98">
        <v>16</v>
      </c>
      <c r="K17" s="132">
        <v>16927</v>
      </c>
      <c r="L17" s="133">
        <v>3</v>
      </c>
      <c r="M17" s="127">
        <v>3163</v>
      </c>
      <c r="N17" s="133">
        <v>7</v>
      </c>
      <c r="O17" s="127">
        <v>3529</v>
      </c>
      <c r="P17" s="133">
        <v>7</v>
      </c>
      <c r="Q17" s="134">
        <v>58920</v>
      </c>
      <c r="R17" s="154">
        <v>3</v>
      </c>
      <c r="S17" s="135">
        <v>25542</v>
      </c>
      <c r="T17" s="136">
        <v>1</v>
      </c>
      <c r="U17" s="99">
        <v>10473</v>
      </c>
      <c r="V17" s="99">
        <v>2367</v>
      </c>
      <c r="W17" s="100">
        <v>7</v>
      </c>
      <c r="X17" s="101">
        <v>46770</v>
      </c>
      <c r="Y17" s="137">
        <v>13</v>
      </c>
      <c r="Z17" s="126">
        <v>8483</v>
      </c>
      <c r="AA17" s="126">
        <v>7369</v>
      </c>
      <c r="AB17" s="100">
        <v>5</v>
      </c>
      <c r="AC17" s="101">
        <v>3197</v>
      </c>
      <c r="AD17" s="101">
        <v>2109</v>
      </c>
      <c r="AE17" s="137">
        <v>2</v>
      </c>
      <c r="AF17" s="102">
        <v>11</v>
      </c>
      <c r="AG17" s="103">
        <v>250755</v>
      </c>
      <c r="AH17" s="104">
        <v>94</v>
      </c>
      <c r="AI17" s="138">
        <v>125</v>
      </c>
      <c r="AJ17" s="138">
        <v>31</v>
      </c>
      <c r="AK17" s="139">
        <v>481535</v>
      </c>
      <c r="AL17" s="140">
        <v>3357</v>
      </c>
      <c r="AM17" s="139">
        <v>5589</v>
      </c>
      <c r="AN17" s="140">
        <v>24</v>
      </c>
      <c r="AO17" s="105">
        <v>203963</v>
      </c>
      <c r="AP17" s="141">
        <v>577</v>
      </c>
      <c r="AQ17" s="105">
        <v>184761</v>
      </c>
      <c r="AR17" s="141">
        <v>0</v>
      </c>
      <c r="AS17" s="105">
        <v>490481</v>
      </c>
      <c r="AT17" s="142">
        <v>3381</v>
      </c>
      <c r="AU17" s="138">
        <v>2900</v>
      </c>
      <c r="AV17" s="138">
        <v>-481</v>
      </c>
      <c r="AW17" s="143">
        <v>0.01</v>
      </c>
      <c r="AX17" s="143">
        <v>0</v>
      </c>
      <c r="AY17" s="143">
        <v>0</v>
      </c>
      <c r="AZ17" s="143">
        <v>0</v>
      </c>
      <c r="BA17" s="144">
        <v>1964.88</v>
      </c>
      <c r="BB17" s="144">
        <v>13464.00000000076</v>
      </c>
      <c r="BC17" s="145">
        <v>0.01</v>
      </c>
      <c r="BD17" s="146">
        <v>0</v>
      </c>
      <c r="BE17" s="147">
        <v>0</v>
      </c>
      <c r="BF17" s="148">
        <v>1964.88</v>
      </c>
      <c r="BG17" s="149">
        <v>3.0600000000001728</v>
      </c>
      <c r="BH17" s="106">
        <v>13464.00000000076</v>
      </c>
      <c r="BI17" s="150">
        <v>13464.00000000076</v>
      </c>
      <c r="BJ17" s="151">
        <v>13008.00000000076</v>
      </c>
      <c r="BK17" s="106">
        <v>4436.97</v>
      </c>
      <c r="BL17" s="106">
        <v>1126.0000000000218</v>
      </c>
      <c r="BM17" s="152">
        <v>14590.000000000782</v>
      </c>
      <c r="BN17" s="138">
        <v>16000</v>
      </c>
      <c r="BO17" s="153">
        <v>1409.9999999992178</v>
      </c>
      <c r="BP17" s="107">
        <v>3140618</v>
      </c>
      <c r="BQ17" s="107">
        <v>21</v>
      </c>
      <c r="BR17" s="107">
        <v>4384762</v>
      </c>
      <c r="BS17" s="107">
        <v>435</v>
      </c>
      <c r="BT17" s="107">
        <v>456</v>
      </c>
      <c r="BU17" s="115">
        <v>51</v>
      </c>
      <c r="BV17" s="115">
        <v>70</v>
      </c>
    </row>
    <row r="18" spans="1:74" ht="24.95" customHeight="1" x14ac:dyDescent="0.3">
      <c r="A18" s="51" t="s">
        <v>141</v>
      </c>
      <c r="B18" s="97"/>
      <c r="C18" s="97">
        <v>87036</v>
      </c>
      <c r="D18" s="97">
        <v>259499</v>
      </c>
      <c r="E18" s="119">
        <v>30</v>
      </c>
      <c r="F18" s="119">
        <v>27</v>
      </c>
      <c r="G18" s="97"/>
      <c r="H18" s="97">
        <v>163782</v>
      </c>
      <c r="I18" s="98">
        <v>82069</v>
      </c>
      <c r="J18" s="98">
        <v>3</v>
      </c>
      <c r="K18" s="132">
        <v>16931</v>
      </c>
      <c r="L18" s="133">
        <v>4</v>
      </c>
      <c r="M18" s="127">
        <v>3171</v>
      </c>
      <c r="N18" s="133">
        <v>8</v>
      </c>
      <c r="O18" s="127">
        <v>3536</v>
      </c>
      <c r="P18" s="133">
        <v>7</v>
      </c>
      <c r="Q18" s="134">
        <v>58920</v>
      </c>
      <c r="R18" s="154">
        <v>0</v>
      </c>
      <c r="S18" s="135">
        <v>25542</v>
      </c>
      <c r="T18" s="136">
        <v>0</v>
      </c>
      <c r="U18" s="99">
        <v>10474</v>
      </c>
      <c r="V18" s="99">
        <v>2367</v>
      </c>
      <c r="W18" s="100">
        <v>1</v>
      </c>
      <c r="X18" s="101">
        <v>46773</v>
      </c>
      <c r="Y18" s="137">
        <v>3</v>
      </c>
      <c r="Z18" s="126">
        <v>8485</v>
      </c>
      <c r="AA18" s="126">
        <v>7369</v>
      </c>
      <c r="AB18" s="100">
        <v>2</v>
      </c>
      <c r="AC18" s="101">
        <v>3198</v>
      </c>
      <c r="AD18" s="101">
        <v>2110</v>
      </c>
      <c r="AE18" s="137">
        <v>2</v>
      </c>
      <c r="AF18" s="102">
        <v>1</v>
      </c>
      <c r="AG18" s="103">
        <v>250818</v>
      </c>
      <c r="AH18" s="104">
        <v>63</v>
      </c>
      <c r="AI18" s="138">
        <v>125</v>
      </c>
      <c r="AJ18" s="138">
        <v>62</v>
      </c>
      <c r="AK18" s="139">
        <v>484031</v>
      </c>
      <c r="AL18" s="140">
        <v>2496</v>
      </c>
      <c r="AM18" s="139">
        <v>5618</v>
      </c>
      <c r="AN18" s="140">
        <v>29</v>
      </c>
      <c r="AO18" s="105">
        <v>204087</v>
      </c>
      <c r="AP18" s="141">
        <v>124</v>
      </c>
      <c r="AQ18" s="105">
        <v>184761</v>
      </c>
      <c r="AR18" s="141">
        <v>0</v>
      </c>
      <c r="AS18" s="105">
        <v>492145</v>
      </c>
      <c r="AT18" s="142">
        <v>2525</v>
      </c>
      <c r="AU18" s="138">
        <v>2900</v>
      </c>
      <c r="AV18" s="138">
        <v>375</v>
      </c>
      <c r="AW18" s="143">
        <v>0.01</v>
      </c>
      <c r="AX18" s="143">
        <v>0</v>
      </c>
      <c r="AY18" s="143">
        <v>0</v>
      </c>
      <c r="AZ18" s="143">
        <v>0</v>
      </c>
      <c r="BA18" s="144">
        <v>1967.86</v>
      </c>
      <c r="BB18" s="144">
        <v>13111.99999999908</v>
      </c>
      <c r="BC18" s="145">
        <v>0.01</v>
      </c>
      <c r="BD18" s="146">
        <v>0</v>
      </c>
      <c r="BE18" s="147">
        <v>0</v>
      </c>
      <c r="BF18" s="148">
        <v>1967.86</v>
      </c>
      <c r="BG18" s="149">
        <v>2.9799999999997908</v>
      </c>
      <c r="BH18" s="106">
        <v>13111.99999999908</v>
      </c>
      <c r="BI18" s="150">
        <v>13111.99999999908</v>
      </c>
      <c r="BJ18" s="151">
        <v>12590.99999999908</v>
      </c>
      <c r="BK18" s="106">
        <v>4448.53</v>
      </c>
      <c r="BL18" s="106">
        <v>1155.9999999999491</v>
      </c>
      <c r="BM18" s="152">
        <v>14267.999999999029</v>
      </c>
      <c r="BN18" s="138">
        <v>16000</v>
      </c>
      <c r="BO18" s="153">
        <v>1732.0000000009713</v>
      </c>
      <c r="BP18" s="107">
        <v>3140638</v>
      </c>
      <c r="BQ18" s="107">
        <v>20</v>
      </c>
      <c r="BR18" s="107">
        <v>4385263</v>
      </c>
      <c r="BS18" s="107">
        <v>501</v>
      </c>
      <c r="BT18" s="107">
        <v>521</v>
      </c>
      <c r="BU18" s="115">
        <v>45</v>
      </c>
      <c r="BV18" s="115">
        <v>69</v>
      </c>
    </row>
    <row r="19" spans="1:74" ht="24.95" customHeight="1" x14ac:dyDescent="0.3">
      <c r="A19" s="51" t="s">
        <v>142</v>
      </c>
      <c r="B19" s="97"/>
      <c r="C19" s="97">
        <v>87051</v>
      </c>
      <c r="D19" s="97">
        <v>259531</v>
      </c>
      <c r="E19" s="119">
        <v>32</v>
      </c>
      <c r="F19" s="119">
        <v>26</v>
      </c>
      <c r="G19" s="97"/>
      <c r="H19" s="97">
        <v>163832</v>
      </c>
      <c r="I19" s="98">
        <v>82071</v>
      </c>
      <c r="J19" s="98">
        <v>2</v>
      </c>
      <c r="K19" s="132">
        <v>16936</v>
      </c>
      <c r="L19" s="133">
        <v>5</v>
      </c>
      <c r="M19" s="127">
        <v>3177</v>
      </c>
      <c r="N19" s="133">
        <v>6</v>
      </c>
      <c r="O19" s="127">
        <v>3543</v>
      </c>
      <c r="P19" s="133">
        <v>7</v>
      </c>
      <c r="Q19" s="134">
        <v>58920</v>
      </c>
      <c r="R19" s="154">
        <v>0</v>
      </c>
      <c r="S19" s="135">
        <v>25543</v>
      </c>
      <c r="T19" s="136">
        <v>1</v>
      </c>
      <c r="U19" s="99">
        <v>10475</v>
      </c>
      <c r="V19" s="99">
        <v>2367</v>
      </c>
      <c r="W19" s="100">
        <v>1</v>
      </c>
      <c r="X19" s="101">
        <v>46779</v>
      </c>
      <c r="Y19" s="137">
        <v>6</v>
      </c>
      <c r="Z19" s="126">
        <v>8487</v>
      </c>
      <c r="AA19" s="126">
        <v>7370</v>
      </c>
      <c r="AB19" s="100">
        <v>3</v>
      </c>
      <c r="AC19" s="101">
        <v>3199</v>
      </c>
      <c r="AD19" s="101">
        <v>2112</v>
      </c>
      <c r="AE19" s="137">
        <v>3</v>
      </c>
      <c r="AF19" s="102">
        <v>2</v>
      </c>
      <c r="AG19" s="103">
        <v>250883</v>
      </c>
      <c r="AH19" s="104">
        <v>65</v>
      </c>
      <c r="AI19" s="138">
        <v>125</v>
      </c>
      <c r="AJ19" s="138">
        <v>60</v>
      </c>
      <c r="AK19" s="139">
        <v>486843</v>
      </c>
      <c r="AL19" s="140">
        <v>2812</v>
      </c>
      <c r="AM19" s="139">
        <v>5652</v>
      </c>
      <c r="AN19" s="140">
        <v>34</v>
      </c>
      <c r="AO19" s="105">
        <v>204188</v>
      </c>
      <c r="AP19" s="141">
        <v>101</v>
      </c>
      <c r="AQ19" s="105">
        <v>184761</v>
      </c>
      <c r="AR19" s="141">
        <v>0</v>
      </c>
      <c r="AS19" s="105">
        <v>495307</v>
      </c>
      <c r="AT19" s="142">
        <v>2846</v>
      </c>
      <c r="AU19" s="138">
        <v>2900</v>
      </c>
      <c r="AV19" s="138">
        <v>54</v>
      </c>
      <c r="AW19" s="143">
        <v>0.01</v>
      </c>
      <c r="AX19" s="143">
        <v>0</v>
      </c>
      <c r="AY19" s="143">
        <v>0</v>
      </c>
      <c r="AZ19" s="143">
        <v>0</v>
      </c>
      <c r="BA19" s="144">
        <v>1970.86</v>
      </c>
      <c r="BB19" s="144">
        <v>13200</v>
      </c>
      <c r="BC19" s="145">
        <v>0.01</v>
      </c>
      <c r="BD19" s="146">
        <v>0</v>
      </c>
      <c r="BE19" s="147">
        <v>0</v>
      </c>
      <c r="BF19" s="148">
        <v>1970.86</v>
      </c>
      <c r="BG19" s="149">
        <v>3</v>
      </c>
      <c r="BH19" s="106">
        <v>13200</v>
      </c>
      <c r="BI19" s="150">
        <v>13200</v>
      </c>
      <c r="BJ19" s="151">
        <v>12632</v>
      </c>
      <c r="BK19" s="106">
        <v>4459.16</v>
      </c>
      <c r="BL19" s="106">
        <v>1063.0000000000109</v>
      </c>
      <c r="BM19" s="152">
        <v>14263.000000000011</v>
      </c>
      <c r="BN19" s="138">
        <v>16000</v>
      </c>
      <c r="BO19" s="153">
        <v>1736.9999999999891</v>
      </c>
      <c r="BP19" s="107">
        <v>3140658</v>
      </c>
      <c r="BQ19" s="107">
        <v>20</v>
      </c>
      <c r="BR19" s="107">
        <v>4385811</v>
      </c>
      <c r="BS19" s="107">
        <v>548</v>
      </c>
      <c r="BT19" s="107">
        <v>568</v>
      </c>
      <c r="BU19" s="115">
        <v>58</v>
      </c>
      <c r="BV19" s="115">
        <v>89</v>
      </c>
    </row>
    <row r="20" spans="1:74" ht="24.95" customHeight="1" x14ac:dyDescent="0.3">
      <c r="A20" s="51" t="s">
        <v>143</v>
      </c>
      <c r="B20" s="97"/>
      <c r="C20" s="97">
        <v>87064</v>
      </c>
      <c r="D20" s="97">
        <v>259558</v>
      </c>
      <c r="E20" s="119">
        <v>27</v>
      </c>
      <c r="F20" s="119">
        <v>25</v>
      </c>
      <c r="G20" s="97"/>
      <c r="H20" s="97">
        <v>163878</v>
      </c>
      <c r="I20" s="98">
        <v>82074</v>
      </c>
      <c r="J20" s="98">
        <v>3</v>
      </c>
      <c r="K20" s="132">
        <v>16939</v>
      </c>
      <c r="L20" s="133">
        <v>3</v>
      </c>
      <c r="M20" s="127">
        <v>3182</v>
      </c>
      <c r="N20" s="133">
        <v>5</v>
      </c>
      <c r="O20" s="127">
        <v>3550</v>
      </c>
      <c r="P20" s="133">
        <v>7</v>
      </c>
      <c r="Q20" s="134">
        <v>58920</v>
      </c>
      <c r="R20" s="154">
        <v>0</v>
      </c>
      <c r="S20" s="135">
        <v>25543</v>
      </c>
      <c r="T20" s="136">
        <v>0</v>
      </c>
      <c r="U20" s="99">
        <v>10475</v>
      </c>
      <c r="V20" s="99">
        <v>2367</v>
      </c>
      <c r="W20" s="100">
        <v>0</v>
      </c>
      <c r="X20" s="101">
        <v>46781</v>
      </c>
      <c r="Y20" s="137">
        <v>2</v>
      </c>
      <c r="Z20" s="126">
        <v>8490</v>
      </c>
      <c r="AA20" s="126">
        <v>7370</v>
      </c>
      <c r="AB20" s="100">
        <v>3</v>
      </c>
      <c r="AC20" s="101">
        <v>3199</v>
      </c>
      <c r="AD20" s="101">
        <v>2112</v>
      </c>
      <c r="AE20" s="137">
        <v>0</v>
      </c>
      <c r="AF20" s="102">
        <v>0</v>
      </c>
      <c r="AG20" s="103">
        <v>250942</v>
      </c>
      <c r="AH20" s="104">
        <v>59</v>
      </c>
      <c r="AI20" s="138">
        <v>125</v>
      </c>
      <c r="AJ20" s="138">
        <v>66</v>
      </c>
      <c r="AK20" s="139">
        <v>489829</v>
      </c>
      <c r="AL20" s="140">
        <v>2986</v>
      </c>
      <c r="AM20" s="139">
        <v>5679</v>
      </c>
      <c r="AN20" s="140">
        <v>27</v>
      </c>
      <c r="AO20" s="105">
        <v>204287</v>
      </c>
      <c r="AP20" s="141">
        <v>99</v>
      </c>
      <c r="AQ20" s="105">
        <v>184761</v>
      </c>
      <c r="AR20" s="141">
        <v>0</v>
      </c>
      <c r="AS20" s="105">
        <v>498494</v>
      </c>
      <c r="AT20" s="142">
        <v>3013</v>
      </c>
      <c r="AU20" s="138">
        <v>2900</v>
      </c>
      <c r="AV20" s="138">
        <v>-113</v>
      </c>
      <c r="AW20" s="143">
        <v>0.01</v>
      </c>
      <c r="AX20" s="143">
        <v>0</v>
      </c>
      <c r="AY20" s="143">
        <v>0</v>
      </c>
      <c r="AZ20" s="143">
        <v>0</v>
      </c>
      <c r="BA20" s="144">
        <v>1973.49</v>
      </c>
      <c r="BB20" s="144">
        <v>11572.00000000048</v>
      </c>
      <c r="BC20" s="145">
        <v>0.01</v>
      </c>
      <c r="BD20" s="146">
        <v>0</v>
      </c>
      <c r="BE20" s="147">
        <v>0</v>
      </c>
      <c r="BF20" s="148">
        <v>1973.49</v>
      </c>
      <c r="BG20" s="149">
        <v>2.6300000000001091</v>
      </c>
      <c r="BH20" s="106">
        <v>11572.00000000048</v>
      </c>
      <c r="BI20" s="150">
        <v>11572.00000000048</v>
      </c>
      <c r="BJ20" s="151">
        <v>11533.00000000048</v>
      </c>
      <c r="BK20" s="106">
        <v>4469.58</v>
      </c>
      <c r="BL20" s="106">
        <v>1042.0000000000073</v>
      </c>
      <c r="BM20" s="152">
        <v>12614.000000000487</v>
      </c>
      <c r="BN20" s="138">
        <v>16000</v>
      </c>
      <c r="BO20" s="153">
        <v>3385.9999999995125</v>
      </c>
      <c r="BP20" s="107">
        <v>3140678</v>
      </c>
      <c r="BQ20" s="107">
        <v>20</v>
      </c>
      <c r="BR20" s="107">
        <v>4385830</v>
      </c>
      <c r="BS20" s="107">
        <v>19</v>
      </c>
      <c r="BT20" s="107">
        <v>39</v>
      </c>
      <c r="BU20" s="115">
        <v>43</v>
      </c>
      <c r="BV20" s="115">
        <v>56</v>
      </c>
    </row>
    <row r="21" spans="1:74" ht="24.95" customHeight="1" x14ac:dyDescent="0.3">
      <c r="A21" s="51" t="s">
        <v>144</v>
      </c>
      <c r="B21" s="97"/>
      <c r="C21" s="97">
        <v>87088</v>
      </c>
      <c r="D21" s="97">
        <v>259587</v>
      </c>
      <c r="E21" s="119">
        <v>29</v>
      </c>
      <c r="F21" s="119">
        <v>20</v>
      </c>
      <c r="G21" s="97"/>
      <c r="H21" s="97">
        <v>163942</v>
      </c>
      <c r="I21" s="98">
        <v>82093</v>
      </c>
      <c r="J21" s="98">
        <v>19</v>
      </c>
      <c r="K21" s="132">
        <v>16943</v>
      </c>
      <c r="L21" s="133">
        <v>4</v>
      </c>
      <c r="M21" s="127">
        <v>3188</v>
      </c>
      <c r="N21" s="133">
        <v>6</v>
      </c>
      <c r="O21" s="127">
        <v>3556</v>
      </c>
      <c r="P21" s="133">
        <v>6</v>
      </c>
      <c r="Q21" s="134">
        <v>58922</v>
      </c>
      <c r="R21" s="154">
        <v>2</v>
      </c>
      <c r="S21" s="135">
        <v>25544</v>
      </c>
      <c r="T21" s="136">
        <v>1</v>
      </c>
      <c r="U21" s="99">
        <v>10482</v>
      </c>
      <c r="V21" s="99">
        <v>2367</v>
      </c>
      <c r="W21" s="100">
        <v>7</v>
      </c>
      <c r="X21" s="101">
        <v>46790</v>
      </c>
      <c r="Y21" s="137">
        <v>9</v>
      </c>
      <c r="Z21" s="126">
        <v>8492</v>
      </c>
      <c r="AA21" s="126">
        <v>7371</v>
      </c>
      <c r="AB21" s="100">
        <v>3</v>
      </c>
      <c r="AC21" s="101">
        <v>3201</v>
      </c>
      <c r="AD21" s="101">
        <v>2113</v>
      </c>
      <c r="AE21" s="137">
        <v>3</v>
      </c>
      <c r="AF21" s="102">
        <v>10</v>
      </c>
      <c r="AG21" s="103">
        <v>251030</v>
      </c>
      <c r="AH21" s="104">
        <v>88</v>
      </c>
      <c r="AI21" s="138">
        <v>125</v>
      </c>
      <c r="AJ21" s="138">
        <v>37</v>
      </c>
      <c r="AK21" s="139">
        <v>492916</v>
      </c>
      <c r="AL21" s="140">
        <v>3087</v>
      </c>
      <c r="AM21" s="139">
        <v>5703</v>
      </c>
      <c r="AN21" s="140">
        <v>24</v>
      </c>
      <c r="AO21" s="105">
        <v>204845</v>
      </c>
      <c r="AP21" s="141">
        <v>558</v>
      </c>
      <c r="AQ21" s="105">
        <v>184761</v>
      </c>
      <c r="AR21" s="141">
        <v>0</v>
      </c>
      <c r="AS21" s="105">
        <v>501706</v>
      </c>
      <c r="AT21" s="142">
        <v>3111</v>
      </c>
      <c r="AU21" s="138">
        <v>2900</v>
      </c>
      <c r="AV21" s="138">
        <v>-211</v>
      </c>
      <c r="AW21" s="143">
        <v>0.01</v>
      </c>
      <c r="AX21" s="143">
        <v>0</v>
      </c>
      <c r="AY21" s="143">
        <v>0</v>
      </c>
      <c r="AZ21" s="143">
        <v>0</v>
      </c>
      <c r="BA21" s="144">
        <v>1976.49</v>
      </c>
      <c r="BB21" s="144">
        <v>13200</v>
      </c>
      <c r="BC21" s="145">
        <v>0.01</v>
      </c>
      <c r="BD21" s="146">
        <v>0</v>
      </c>
      <c r="BE21" s="147">
        <v>0</v>
      </c>
      <c r="BF21" s="148">
        <v>1976.49</v>
      </c>
      <c r="BG21" s="149">
        <v>3</v>
      </c>
      <c r="BH21" s="106">
        <v>13200</v>
      </c>
      <c r="BI21" s="150">
        <v>13200</v>
      </c>
      <c r="BJ21" s="151">
        <v>12353</v>
      </c>
      <c r="BK21" s="106">
        <v>4481.29</v>
      </c>
      <c r="BL21" s="106">
        <v>1171.0000000000036</v>
      </c>
      <c r="BM21" s="152">
        <v>14371.000000000004</v>
      </c>
      <c r="BN21" s="138">
        <v>16000</v>
      </c>
      <c r="BO21" s="153">
        <v>1628.9999999999964</v>
      </c>
      <c r="BP21" s="107">
        <v>3140698</v>
      </c>
      <c r="BQ21" s="107">
        <v>20</v>
      </c>
      <c r="BR21" s="107">
        <v>4386657</v>
      </c>
      <c r="BS21" s="107">
        <v>827</v>
      </c>
      <c r="BT21" s="107">
        <v>847</v>
      </c>
      <c r="BU21" s="115">
        <v>46</v>
      </c>
      <c r="BV21" s="115">
        <v>59</v>
      </c>
    </row>
    <row r="22" spans="1:74" ht="24.95" customHeight="1" x14ac:dyDescent="0.3">
      <c r="A22" s="51" t="s">
        <v>145</v>
      </c>
      <c r="B22" s="97"/>
      <c r="C22" s="97">
        <v>87110</v>
      </c>
      <c r="D22" s="97">
        <v>259616</v>
      </c>
      <c r="E22" s="119">
        <v>29</v>
      </c>
      <c r="F22" s="119">
        <v>21</v>
      </c>
      <c r="G22" s="97"/>
      <c r="H22" s="97">
        <v>164003</v>
      </c>
      <c r="I22" s="98">
        <v>82108</v>
      </c>
      <c r="J22" s="98">
        <v>15</v>
      </c>
      <c r="K22" s="132">
        <v>16947</v>
      </c>
      <c r="L22" s="133">
        <v>4</v>
      </c>
      <c r="M22" s="127">
        <v>3195</v>
      </c>
      <c r="N22" s="133">
        <v>7</v>
      </c>
      <c r="O22" s="127">
        <v>3561</v>
      </c>
      <c r="P22" s="133">
        <v>5</v>
      </c>
      <c r="Q22" s="134">
        <v>58923</v>
      </c>
      <c r="R22" s="154">
        <v>1</v>
      </c>
      <c r="S22" s="135">
        <v>25544</v>
      </c>
      <c r="T22" s="136">
        <v>0</v>
      </c>
      <c r="U22" s="99">
        <v>10488</v>
      </c>
      <c r="V22" s="99">
        <v>2367</v>
      </c>
      <c r="W22" s="100">
        <v>6</v>
      </c>
      <c r="X22" s="101">
        <v>46798</v>
      </c>
      <c r="Y22" s="137">
        <v>8</v>
      </c>
      <c r="Z22" s="126">
        <v>8494</v>
      </c>
      <c r="AA22" s="126">
        <v>7371</v>
      </c>
      <c r="AB22" s="100">
        <v>2</v>
      </c>
      <c r="AC22" s="101">
        <v>3202</v>
      </c>
      <c r="AD22" s="101">
        <v>2114</v>
      </c>
      <c r="AE22" s="137">
        <v>2</v>
      </c>
      <c r="AF22" s="102">
        <v>7</v>
      </c>
      <c r="AG22" s="103">
        <v>251113</v>
      </c>
      <c r="AH22" s="104">
        <v>83</v>
      </c>
      <c r="AI22" s="138">
        <v>125</v>
      </c>
      <c r="AJ22" s="138">
        <v>42</v>
      </c>
      <c r="AK22" s="139">
        <v>496300</v>
      </c>
      <c r="AL22" s="140">
        <v>3384</v>
      </c>
      <c r="AM22" s="139">
        <v>5736</v>
      </c>
      <c r="AN22" s="140">
        <v>33</v>
      </c>
      <c r="AO22" s="105">
        <v>205358</v>
      </c>
      <c r="AP22" s="141">
        <v>513</v>
      </c>
      <c r="AQ22" s="105">
        <v>184761</v>
      </c>
      <c r="AR22" s="141">
        <v>0</v>
      </c>
      <c r="AS22" s="105">
        <v>505420</v>
      </c>
      <c r="AT22" s="142">
        <v>3417</v>
      </c>
      <c r="AU22" s="138">
        <v>2900</v>
      </c>
      <c r="AV22" s="138">
        <v>-517</v>
      </c>
      <c r="AW22" s="143">
        <v>0.01</v>
      </c>
      <c r="AX22" s="143">
        <v>0</v>
      </c>
      <c r="AY22" s="143">
        <v>0</v>
      </c>
      <c r="AZ22" s="143">
        <v>0</v>
      </c>
      <c r="BA22" s="144">
        <v>1979.44</v>
      </c>
      <c r="BB22" s="144">
        <v>12980.0000000002</v>
      </c>
      <c r="BC22" s="145">
        <v>0.01</v>
      </c>
      <c r="BD22" s="146">
        <v>0</v>
      </c>
      <c r="BE22" s="147">
        <v>0</v>
      </c>
      <c r="BF22" s="148">
        <v>1979.44</v>
      </c>
      <c r="BG22" s="149">
        <v>2.9500000000000455</v>
      </c>
      <c r="BH22" s="106">
        <v>12980.0000000002</v>
      </c>
      <c r="BI22" s="150">
        <v>12980.0000000002</v>
      </c>
      <c r="BJ22" s="151">
        <v>12218.0000000002</v>
      </c>
      <c r="BK22" s="106">
        <v>4492.57</v>
      </c>
      <c r="BL22" s="106">
        <v>1127.9999999999745</v>
      </c>
      <c r="BM22" s="152">
        <v>14108.000000000175</v>
      </c>
      <c r="BN22" s="138">
        <v>16000</v>
      </c>
      <c r="BO22" s="153">
        <v>1891.9999999998254</v>
      </c>
      <c r="BP22" s="107">
        <v>3140718</v>
      </c>
      <c r="BQ22" s="107">
        <v>20</v>
      </c>
      <c r="BR22" s="107">
        <v>4387399</v>
      </c>
      <c r="BS22" s="107">
        <v>742</v>
      </c>
      <c r="BT22" s="107">
        <v>762</v>
      </c>
      <c r="BU22" s="115">
        <v>38</v>
      </c>
      <c r="BV22" s="115">
        <v>45</v>
      </c>
    </row>
    <row r="23" spans="1:74" ht="24.95" customHeight="1" x14ac:dyDescent="0.3">
      <c r="A23" s="51" t="s">
        <v>146</v>
      </c>
      <c r="B23" s="97"/>
      <c r="C23" s="97">
        <v>87132</v>
      </c>
      <c r="D23" s="97">
        <v>259644</v>
      </c>
      <c r="E23" s="119">
        <v>28</v>
      </c>
      <c r="F23" s="119">
        <v>20</v>
      </c>
      <c r="G23" s="97"/>
      <c r="H23" s="97">
        <v>164058</v>
      </c>
      <c r="I23" s="98">
        <v>82125</v>
      </c>
      <c r="J23" s="98">
        <v>17</v>
      </c>
      <c r="K23" s="132">
        <v>16951</v>
      </c>
      <c r="L23" s="133">
        <v>4</v>
      </c>
      <c r="M23" s="127">
        <v>3200</v>
      </c>
      <c r="N23" s="133">
        <v>5</v>
      </c>
      <c r="O23" s="127">
        <v>3566</v>
      </c>
      <c r="P23" s="133">
        <v>5</v>
      </c>
      <c r="Q23" s="134">
        <v>58927</v>
      </c>
      <c r="R23" s="154">
        <v>4</v>
      </c>
      <c r="S23" s="135">
        <v>25545</v>
      </c>
      <c r="T23" s="136">
        <v>1</v>
      </c>
      <c r="U23" s="99">
        <v>10494</v>
      </c>
      <c r="V23" s="99">
        <v>2367</v>
      </c>
      <c r="W23" s="100">
        <v>6</v>
      </c>
      <c r="X23" s="101">
        <v>46806</v>
      </c>
      <c r="Y23" s="137">
        <v>8</v>
      </c>
      <c r="Z23" s="126">
        <v>8496</v>
      </c>
      <c r="AA23" s="126">
        <v>7372</v>
      </c>
      <c r="AB23" s="100">
        <v>3</v>
      </c>
      <c r="AC23" s="101">
        <v>3203</v>
      </c>
      <c r="AD23" s="101">
        <v>2114</v>
      </c>
      <c r="AE23" s="137">
        <v>1</v>
      </c>
      <c r="AF23" s="102">
        <v>11</v>
      </c>
      <c r="AG23" s="103">
        <v>251190</v>
      </c>
      <c r="AH23" s="104">
        <v>77</v>
      </c>
      <c r="AI23" s="138">
        <v>125</v>
      </c>
      <c r="AJ23" s="138">
        <v>48</v>
      </c>
      <c r="AK23" s="139">
        <v>499687</v>
      </c>
      <c r="AL23" s="140">
        <v>3387</v>
      </c>
      <c r="AM23" s="139">
        <v>5761</v>
      </c>
      <c r="AN23" s="140">
        <v>25</v>
      </c>
      <c r="AO23" s="105">
        <v>205844</v>
      </c>
      <c r="AP23" s="141">
        <v>486</v>
      </c>
      <c r="AQ23" s="105">
        <v>184761</v>
      </c>
      <c r="AR23" s="141">
        <v>0</v>
      </c>
      <c r="AS23" s="105">
        <v>508835</v>
      </c>
      <c r="AT23" s="142">
        <v>3412</v>
      </c>
      <c r="AU23" s="138">
        <v>2900</v>
      </c>
      <c r="AV23" s="138">
        <v>-512</v>
      </c>
      <c r="AW23" s="143">
        <v>0.01</v>
      </c>
      <c r="AX23" s="143">
        <v>0</v>
      </c>
      <c r="AY23" s="143">
        <v>0</v>
      </c>
      <c r="AZ23" s="143">
        <v>0</v>
      </c>
      <c r="BA23" s="144">
        <v>1982.54</v>
      </c>
      <c r="BB23" s="144">
        <v>13639.9999999996</v>
      </c>
      <c r="BC23" s="145">
        <v>0.01</v>
      </c>
      <c r="BD23" s="146">
        <v>0</v>
      </c>
      <c r="BE23" s="147">
        <v>0</v>
      </c>
      <c r="BF23" s="148">
        <v>1982.54</v>
      </c>
      <c r="BG23" s="149">
        <v>3.0999999999999091</v>
      </c>
      <c r="BH23" s="106">
        <v>13639.9999999996</v>
      </c>
      <c r="BI23" s="150">
        <v>13639.9999999996</v>
      </c>
      <c r="BJ23" s="151">
        <v>12867.9999999996</v>
      </c>
      <c r="BK23" s="106">
        <v>4503.72</v>
      </c>
      <c r="BL23" s="106">
        <v>1115.0000000000546</v>
      </c>
      <c r="BM23" s="152">
        <v>14754.999999999654</v>
      </c>
      <c r="BN23" s="138">
        <v>16000</v>
      </c>
      <c r="BO23" s="153">
        <v>1245.0000000003456</v>
      </c>
      <c r="BP23" s="107">
        <v>3140739</v>
      </c>
      <c r="BQ23" s="107">
        <v>21</v>
      </c>
      <c r="BR23" s="107">
        <v>4388150</v>
      </c>
      <c r="BS23" s="107">
        <v>751</v>
      </c>
      <c r="BT23" s="107">
        <v>772</v>
      </c>
      <c r="BU23" s="115">
        <v>39</v>
      </c>
      <c r="BV23" s="115">
        <v>47</v>
      </c>
    </row>
    <row r="24" spans="1:74" ht="24.95" customHeight="1" x14ac:dyDescent="0.3">
      <c r="A24" s="51" t="s">
        <v>147</v>
      </c>
      <c r="B24" s="97"/>
      <c r="C24" s="97">
        <v>87149</v>
      </c>
      <c r="D24" s="97">
        <v>259668</v>
      </c>
      <c r="E24" s="119">
        <v>24</v>
      </c>
      <c r="F24" s="119">
        <v>16</v>
      </c>
      <c r="G24" s="97"/>
      <c r="H24" s="97">
        <v>164108</v>
      </c>
      <c r="I24" s="98">
        <v>82137</v>
      </c>
      <c r="J24" s="98">
        <v>12</v>
      </c>
      <c r="K24" s="132">
        <v>16955</v>
      </c>
      <c r="L24" s="133">
        <v>4</v>
      </c>
      <c r="M24" s="127">
        <v>3206</v>
      </c>
      <c r="N24" s="133">
        <v>6</v>
      </c>
      <c r="O24" s="127">
        <v>3569</v>
      </c>
      <c r="P24" s="133">
        <v>3</v>
      </c>
      <c r="Q24" s="134">
        <v>58928</v>
      </c>
      <c r="R24" s="154">
        <v>1</v>
      </c>
      <c r="S24" s="135">
        <v>25546</v>
      </c>
      <c r="T24" s="136">
        <v>1</v>
      </c>
      <c r="U24" s="99">
        <v>10499</v>
      </c>
      <c r="V24" s="99">
        <v>2367</v>
      </c>
      <c r="W24" s="100">
        <v>5</v>
      </c>
      <c r="X24" s="101">
        <v>46814</v>
      </c>
      <c r="Y24" s="137">
        <v>8</v>
      </c>
      <c r="Z24" s="126">
        <v>8496</v>
      </c>
      <c r="AA24" s="126">
        <v>7371</v>
      </c>
      <c r="AB24" s="100">
        <v>-1</v>
      </c>
      <c r="AC24" s="101">
        <v>3203</v>
      </c>
      <c r="AD24" s="101">
        <v>2114</v>
      </c>
      <c r="AE24" s="137">
        <v>0</v>
      </c>
      <c r="AF24" s="102">
        <v>7</v>
      </c>
      <c r="AG24" s="103">
        <v>251257</v>
      </c>
      <c r="AH24" s="104">
        <v>67</v>
      </c>
      <c r="AI24" s="138">
        <v>125</v>
      </c>
      <c r="AJ24" s="138">
        <v>58</v>
      </c>
      <c r="AK24" s="139">
        <v>502805</v>
      </c>
      <c r="AL24" s="140">
        <v>3118</v>
      </c>
      <c r="AM24" s="139">
        <v>5788</v>
      </c>
      <c r="AN24" s="140">
        <v>27</v>
      </c>
      <c r="AO24" s="105">
        <v>205844</v>
      </c>
      <c r="AP24" s="141">
        <v>0</v>
      </c>
      <c r="AQ24" s="105">
        <v>184761</v>
      </c>
      <c r="AR24" s="141">
        <v>0</v>
      </c>
      <c r="AS24" s="105">
        <v>511711</v>
      </c>
      <c r="AT24" s="142">
        <v>3145</v>
      </c>
      <c r="AU24" s="138">
        <v>2900</v>
      </c>
      <c r="AV24" s="138">
        <v>-245</v>
      </c>
      <c r="AW24" s="143">
        <v>0.01</v>
      </c>
      <c r="AX24" s="143">
        <v>0</v>
      </c>
      <c r="AY24" s="143">
        <v>0</v>
      </c>
      <c r="AZ24" s="143">
        <v>0</v>
      </c>
      <c r="BA24" s="144">
        <v>1985.53</v>
      </c>
      <c r="BB24" s="144">
        <v>13156.00000000004</v>
      </c>
      <c r="BC24" s="145">
        <v>0.01</v>
      </c>
      <c r="BD24" s="146">
        <v>0</v>
      </c>
      <c r="BE24" s="147">
        <v>0</v>
      </c>
      <c r="BF24" s="148">
        <v>1985.53</v>
      </c>
      <c r="BG24" s="149">
        <v>2.9900000000000091</v>
      </c>
      <c r="BH24" s="106">
        <v>13156.00000000004</v>
      </c>
      <c r="BI24" s="150">
        <v>13156.00000000004</v>
      </c>
      <c r="BJ24" s="151">
        <v>12458.00000000004</v>
      </c>
      <c r="BK24" s="106">
        <v>4516.29</v>
      </c>
      <c r="BL24" s="106">
        <v>1256.9999999999709</v>
      </c>
      <c r="BM24" s="152">
        <v>14413.000000000011</v>
      </c>
      <c r="BN24" s="138">
        <v>16000</v>
      </c>
      <c r="BO24" s="153">
        <v>1586.9999999999891</v>
      </c>
      <c r="BP24" s="107">
        <v>3140759</v>
      </c>
      <c r="BQ24" s="107">
        <v>20</v>
      </c>
      <c r="BR24" s="107">
        <v>4388828</v>
      </c>
      <c r="BS24" s="107">
        <v>678</v>
      </c>
      <c r="BT24" s="107">
        <v>698</v>
      </c>
      <c r="BU24" s="115">
        <v>42</v>
      </c>
      <c r="BV24" s="115">
        <v>49</v>
      </c>
    </row>
    <row r="25" spans="1:74" ht="24.95" customHeight="1" x14ac:dyDescent="0.3">
      <c r="A25" s="51" t="s">
        <v>148</v>
      </c>
      <c r="B25" s="97"/>
      <c r="C25" s="97">
        <v>87167</v>
      </c>
      <c r="D25" s="97">
        <v>259702</v>
      </c>
      <c r="E25" s="119">
        <v>34</v>
      </c>
      <c r="F25" s="119">
        <v>23</v>
      </c>
      <c r="G25" s="97"/>
      <c r="H25" s="97">
        <v>164160</v>
      </c>
      <c r="I25" s="98">
        <v>82140</v>
      </c>
      <c r="J25" s="98">
        <v>3</v>
      </c>
      <c r="K25" s="132">
        <v>16959</v>
      </c>
      <c r="L25" s="133">
        <v>4</v>
      </c>
      <c r="M25" s="127">
        <v>3212</v>
      </c>
      <c r="N25" s="133">
        <v>6</v>
      </c>
      <c r="O25" s="127">
        <v>3575</v>
      </c>
      <c r="P25" s="133">
        <v>6</v>
      </c>
      <c r="Q25" s="134">
        <v>58928</v>
      </c>
      <c r="R25" s="154">
        <v>0</v>
      </c>
      <c r="S25" s="135">
        <v>25547</v>
      </c>
      <c r="T25" s="136">
        <v>1</v>
      </c>
      <c r="U25" s="99">
        <v>10500</v>
      </c>
      <c r="V25" s="99">
        <v>2367</v>
      </c>
      <c r="W25" s="100">
        <v>1</v>
      </c>
      <c r="X25" s="101">
        <v>46825</v>
      </c>
      <c r="Y25" s="137">
        <v>11</v>
      </c>
      <c r="Z25" s="126">
        <v>8499</v>
      </c>
      <c r="AA25" s="126">
        <v>7372</v>
      </c>
      <c r="AB25" s="100">
        <v>4</v>
      </c>
      <c r="AC25" s="101">
        <v>3204</v>
      </c>
      <c r="AD25" s="101">
        <v>2115</v>
      </c>
      <c r="AE25" s="137">
        <v>2</v>
      </c>
      <c r="AF25" s="102">
        <v>2</v>
      </c>
      <c r="AG25" s="103">
        <v>251327</v>
      </c>
      <c r="AH25" s="104">
        <v>70</v>
      </c>
      <c r="AI25" s="138">
        <v>125</v>
      </c>
      <c r="AJ25" s="138">
        <v>55</v>
      </c>
      <c r="AK25" s="139">
        <v>506199</v>
      </c>
      <c r="AL25" s="140">
        <v>3394</v>
      </c>
      <c r="AM25" s="139">
        <v>5821</v>
      </c>
      <c r="AN25" s="140">
        <v>33</v>
      </c>
      <c r="AO25" s="105">
        <v>206265</v>
      </c>
      <c r="AP25" s="141">
        <v>421</v>
      </c>
      <c r="AQ25" s="105">
        <v>184761</v>
      </c>
      <c r="AR25" s="141">
        <v>0</v>
      </c>
      <c r="AS25" s="105">
        <v>515414</v>
      </c>
      <c r="AT25" s="142">
        <v>3427</v>
      </c>
      <c r="AU25" s="138">
        <v>2900</v>
      </c>
      <c r="AV25" s="138">
        <v>-527</v>
      </c>
      <c r="AW25" s="143">
        <v>0.01</v>
      </c>
      <c r="AX25" s="143">
        <v>0</v>
      </c>
      <c r="AY25" s="143">
        <v>0</v>
      </c>
      <c r="AZ25" s="143">
        <v>0</v>
      </c>
      <c r="BA25" s="144">
        <v>1988.7</v>
      </c>
      <c r="BB25" s="144">
        <v>13948.00000000032</v>
      </c>
      <c r="BC25" s="145">
        <v>0.01</v>
      </c>
      <c r="BD25" s="146">
        <v>0</v>
      </c>
      <c r="BE25" s="147">
        <v>0</v>
      </c>
      <c r="BF25" s="148">
        <v>1988.7</v>
      </c>
      <c r="BG25" s="149">
        <v>3.1700000000000728</v>
      </c>
      <c r="BH25" s="106">
        <v>13948.00000000032</v>
      </c>
      <c r="BI25" s="150">
        <v>13948.00000000032</v>
      </c>
      <c r="BJ25" s="151">
        <v>13881.00000000032</v>
      </c>
      <c r="BK25" s="106">
        <v>4527.9799999999996</v>
      </c>
      <c r="BL25" s="106">
        <v>1168.99999999996</v>
      </c>
      <c r="BM25" s="152">
        <v>15117.00000000028</v>
      </c>
      <c r="BN25" s="138">
        <v>16000</v>
      </c>
      <c r="BO25" s="153">
        <v>882.99999999971988</v>
      </c>
      <c r="BP25" s="107">
        <v>3140806</v>
      </c>
      <c r="BQ25" s="107">
        <v>47</v>
      </c>
      <c r="BR25" s="107">
        <v>4388848</v>
      </c>
      <c r="BS25" s="107">
        <v>20</v>
      </c>
      <c r="BT25" s="107">
        <v>67</v>
      </c>
      <c r="BU25" s="115">
        <v>46</v>
      </c>
      <c r="BV25" s="115">
        <v>60</v>
      </c>
    </row>
    <row r="26" spans="1:74" ht="24.95" customHeight="1" x14ac:dyDescent="0.3">
      <c r="A26" s="51" t="s">
        <v>149</v>
      </c>
      <c r="B26" s="97"/>
      <c r="C26" s="97">
        <v>87188</v>
      </c>
      <c r="D26" s="97">
        <v>259728</v>
      </c>
      <c r="E26" s="119">
        <v>26</v>
      </c>
      <c r="F26" s="119">
        <v>19</v>
      </c>
      <c r="G26" s="97"/>
      <c r="H26" s="97">
        <v>164210</v>
      </c>
      <c r="I26" s="98">
        <v>82144</v>
      </c>
      <c r="J26" s="98">
        <v>4</v>
      </c>
      <c r="K26" s="132">
        <v>16963</v>
      </c>
      <c r="L26" s="133">
        <v>4</v>
      </c>
      <c r="M26" s="127">
        <v>3218</v>
      </c>
      <c r="N26" s="133">
        <v>6</v>
      </c>
      <c r="O26" s="127">
        <v>3581</v>
      </c>
      <c r="P26" s="133">
        <v>6</v>
      </c>
      <c r="Q26" s="134">
        <v>58928</v>
      </c>
      <c r="R26" s="154">
        <v>0</v>
      </c>
      <c r="S26" s="135">
        <v>25548</v>
      </c>
      <c r="T26" s="136">
        <v>1</v>
      </c>
      <c r="U26" s="99">
        <v>10501</v>
      </c>
      <c r="V26" s="99">
        <v>2367</v>
      </c>
      <c r="W26" s="100">
        <v>1</v>
      </c>
      <c r="X26" s="101">
        <v>46832</v>
      </c>
      <c r="Y26" s="137">
        <v>7</v>
      </c>
      <c r="Z26" s="126">
        <v>8501</v>
      </c>
      <c r="AA26" s="126">
        <v>7372</v>
      </c>
      <c r="AB26" s="100">
        <v>2</v>
      </c>
      <c r="AC26" s="101">
        <v>3205</v>
      </c>
      <c r="AD26" s="101">
        <v>2116</v>
      </c>
      <c r="AE26" s="137">
        <v>2</v>
      </c>
      <c r="AF26" s="102">
        <v>2</v>
      </c>
      <c r="AG26" s="103">
        <v>251398</v>
      </c>
      <c r="AH26" s="104">
        <v>71</v>
      </c>
      <c r="AI26" s="138">
        <v>125</v>
      </c>
      <c r="AJ26" s="138">
        <v>54</v>
      </c>
      <c r="AK26" s="139">
        <v>509351</v>
      </c>
      <c r="AL26" s="140">
        <v>3152</v>
      </c>
      <c r="AM26" s="139">
        <v>5856</v>
      </c>
      <c r="AN26" s="140">
        <v>35</v>
      </c>
      <c r="AO26" s="105">
        <v>206467</v>
      </c>
      <c r="AP26" s="141">
        <v>202</v>
      </c>
      <c r="AQ26" s="105">
        <v>184761</v>
      </c>
      <c r="AR26" s="141">
        <v>0</v>
      </c>
      <c r="AS26" s="105">
        <v>518359</v>
      </c>
      <c r="AT26" s="142">
        <v>3187</v>
      </c>
      <c r="AU26" s="138">
        <v>2900</v>
      </c>
      <c r="AV26" s="138">
        <v>-287</v>
      </c>
      <c r="AW26" s="143">
        <v>0.01</v>
      </c>
      <c r="AX26" s="143">
        <v>0</v>
      </c>
      <c r="AY26" s="143">
        <v>0</v>
      </c>
      <c r="AZ26" s="143">
        <v>0</v>
      </c>
      <c r="BA26" s="144">
        <v>1991.74</v>
      </c>
      <c r="BB26" s="144">
        <v>13375.99999999984</v>
      </c>
      <c r="BC26" s="145">
        <v>0.01</v>
      </c>
      <c r="BD26" s="146">
        <v>0</v>
      </c>
      <c r="BE26" s="147">
        <v>0</v>
      </c>
      <c r="BF26" s="148">
        <v>1991.74</v>
      </c>
      <c r="BG26" s="149">
        <v>3.0399999999999636</v>
      </c>
      <c r="BH26" s="106">
        <v>13375.99999999984</v>
      </c>
      <c r="BI26" s="150">
        <v>13375.99999999984</v>
      </c>
      <c r="BJ26" s="151">
        <v>13337.99999999984</v>
      </c>
      <c r="BK26" s="106">
        <v>4543.6499999999996</v>
      </c>
      <c r="BL26" s="106">
        <v>1567.0000000000073</v>
      </c>
      <c r="BM26" s="152">
        <v>14942.999999999847</v>
      </c>
      <c r="BN26" s="138">
        <v>16000</v>
      </c>
      <c r="BO26" s="153">
        <v>1057.0000000001528</v>
      </c>
      <c r="BP26" s="107">
        <v>3140825</v>
      </c>
      <c r="BQ26" s="107">
        <v>19</v>
      </c>
      <c r="BR26" s="107">
        <v>4388867</v>
      </c>
      <c r="BS26" s="107">
        <v>19</v>
      </c>
      <c r="BT26" s="107">
        <v>38</v>
      </c>
      <c r="BU26" s="115">
        <v>41</v>
      </c>
      <c r="BV26" s="115">
        <v>56</v>
      </c>
    </row>
    <row r="27" spans="1:74" ht="24.95" customHeight="1" x14ac:dyDescent="0.3">
      <c r="A27" s="51" t="s">
        <v>150</v>
      </c>
      <c r="B27" s="97"/>
      <c r="C27" s="97">
        <v>87200</v>
      </c>
      <c r="D27" s="97">
        <v>259759</v>
      </c>
      <c r="E27" s="119">
        <v>31</v>
      </c>
      <c r="F27" s="119">
        <v>22</v>
      </c>
      <c r="G27" s="97"/>
      <c r="H27" s="97">
        <v>164263</v>
      </c>
      <c r="I27" s="98">
        <v>82149</v>
      </c>
      <c r="J27" s="98">
        <v>5</v>
      </c>
      <c r="K27" s="132">
        <v>16968</v>
      </c>
      <c r="L27" s="133">
        <v>5</v>
      </c>
      <c r="M27" s="127">
        <v>3224</v>
      </c>
      <c r="N27" s="133">
        <v>6</v>
      </c>
      <c r="O27" s="127">
        <v>3587</v>
      </c>
      <c r="P27" s="133">
        <v>6</v>
      </c>
      <c r="Q27" s="134">
        <v>58930</v>
      </c>
      <c r="R27" s="154">
        <v>2</v>
      </c>
      <c r="S27" s="135">
        <v>25549</v>
      </c>
      <c r="T27" s="136">
        <v>1</v>
      </c>
      <c r="U27" s="99">
        <v>10502</v>
      </c>
      <c r="V27" s="99">
        <v>2367</v>
      </c>
      <c r="W27" s="100">
        <v>1</v>
      </c>
      <c r="X27" s="101">
        <v>46841</v>
      </c>
      <c r="Y27" s="137">
        <v>9</v>
      </c>
      <c r="Z27" s="126">
        <v>8503</v>
      </c>
      <c r="AA27" s="126">
        <v>7373</v>
      </c>
      <c r="AB27" s="100">
        <v>3</v>
      </c>
      <c r="AC27" s="101">
        <v>3206</v>
      </c>
      <c r="AD27" s="101">
        <v>2117</v>
      </c>
      <c r="AE27" s="137">
        <v>2</v>
      </c>
      <c r="AF27" s="102">
        <v>4</v>
      </c>
      <c r="AG27" s="103">
        <v>251463</v>
      </c>
      <c r="AH27" s="104">
        <v>65</v>
      </c>
      <c r="AI27" s="138">
        <v>125</v>
      </c>
      <c r="AJ27" s="138">
        <v>60</v>
      </c>
      <c r="AK27" s="139">
        <v>512605</v>
      </c>
      <c r="AL27" s="140">
        <v>3254</v>
      </c>
      <c r="AM27" s="139">
        <v>5887</v>
      </c>
      <c r="AN27" s="140">
        <v>31</v>
      </c>
      <c r="AO27" s="105">
        <v>206568</v>
      </c>
      <c r="AP27" s="141">
        <v>101</v>
      </c>
      <c r="AQ27" s="105">
        <v>184761</v>
      </c>
      <c r="AR27" s="141">
        <v>0</v>
      </c>
      <c r="AS27" s="105">
        <v>521746</v>
      </c>
      <c r="AT27" s="142">
        <v>3285</v>
      </c>
      <c r="AU27" s="138">
        <v>2900</v>
      </c>
      <c r="AV27" s="138">
        <v>-385</v>
      </c>
      <c r="AW27" s="143">
        <v>0.01</v>
      </c>
      <c r="AX27" s="143">
        <v>0</v>
      </c>
      <c r="AY27" s="143">
        <v>0</v>
      </c>
      <c r="AZ27" s="143">
        <v>0</v>
      </c>
      <c r="BA27" s="144">
        <v>1994.86</v>
      </c>
      <c r="BB27" s="144">
        <v>13727.99999999952</v>
      </c>
      <c r="BC27" s="145">
        <v>0.01</v>
      </c>
      <c r="BD27" s="146">
        <v>0</v>
      </c>
      <c r="BE27" s="147">
        <v>0</v>
      </c>
      <c r="BF27" s="148">
        <v>1994.86</v>
      </c>
      <c r="BG27" s="149">
        <v>3.1199999999998909</v>
      </c>
      <c r="BH27" s="106">
        <v>13727.99999999952</v>
      </c>
      <c r="BI27" s="150">
        <v>13727.99999999952</v>
      </c>
      <c r="BJ27" s="151">
        <v>13687.99999999952</v>
      </c>
      <c r="BK27" s="106">
        <v>4555.09</v>
      </c>
      <c r="BL27" s="106">
        <v>1144.0000000000509</v>
      </c>
      <c r="BM27" s="152">
        <v>14871.999999999571</v>
      </c>
      <c r="BN27" s="138">
        <v>16000</v>
      </c>
      <c r="BO27" s="153">
        <v>1128.0000000004293</v>
      </c>
      <c r="BP27" s="107">
        <v>3140845</v>
      </c>
      <c r="BQ27" s="107">
        <v>20</v>
      </c>
      <c r="BR27" s="107">
        <v>4388887</v>
      </c>
      <c r="BS27" s="107">
        <v>20</v>
      </c>
      <c r="BT27" s="107">
        <v>40</v>
      </c>
      <c r="BU27" s="115">
        <v>38</v>
      </c>
      <c r="BV27" s="115">
        <v>51</v>
      </c>
    </row>
    <row r="28" spans="1:74" ht="24.95" customHeight="1" x14ac:dyDescent="0.3">
      <c r="A28" s="51" t="s">
        <v>151</v>
      </c>
      <c r="B28" s="97"/>
      <c r="C28" s="97">
        <v>87220</v>
      </c>
      <c r="D28" s="97">
        <v>259786</v>
      </c>
      <c r="E28" s="119">
        <v>27</v>
      </c>
      <c r="F28" s="119">
        <v>20</v>
      </c>
      <c r="G28" s="97"/>
      <c r="H28" s="97">
        <v>164322</v>
      </c>
      <c r="I28" s="98">
        <v>82168</v>
      </c>
      <c r="J28" s="98">
        <v>19</v>
      </c>
      <c r="K28" s="132">
        <v>16972</v>
      </c>
      <c r="L28" s="133">
        <v>4</v>
      </c>
      <c r="M28" s="127">
        <v>3230</v>
      </c>
      <c r="N28" s="133">
        <v>6</v>
      </c>
      <c r="O28" s="127">
        <v>3593</v>
      </c>
      <c r="P28" s="133">
        <v>6</v>
      </c>
      <c r="Q28" s="134">
        <v>58933</v>
      </c>
      <c r="R28" s="154">
        <v>3</v>
      </c>
      <c r="S28" s="135">
        <v>25549</v>
      </c>
      <c r="T28" s="136">
        <v>0</v>
      </c>
      <c r="U28" s="99">
        <v>10507</v>
      </c>
      <c r="V28" s="99">
        <v>2367</v>
      </c>
      <c r="W28" s="100">
        <v>5</v>
      </c>
      <c r="X28" s="101">
        <v>46848</v>
      </c>
      <c r="Y28" s="137">
        <v>7</v>
      </c>
      <c r="Z28" s="126">
        <v>8505</v>
      </c>
      <c r="AA28" s="126">
        <v>7374</v>
      </c>
      <c r="AB28" s="100">
        <v>3</v>
      </c>
      <c r="AC28" s="101">
        <v>3207</v>
      </c>
      <c r="AD28" s="101">
        <v>2118</v>
      </c>
      <c r="AE28" s="137">
        <v>2</v>
      </c>
      <c r="AF28" s="102">
        <v>8</v>
      </c>
      <c r="AG28" s="103">
        <v>251542</v>
      </c>
      <c r="AH28" s="104">
        <v>79</v>
      </c>
      <c r="AI28" s="138">
        <v>125</v>
      </c>
      <c r="AJ28" s="138">
        <v>46</v>
      </c>
      <c r="AK28" s="139">
        <v>516653</v>
      </c>
      <c r="AL28" s="140">
        <v>4048</v>
      </c>
      <c r="AM28" s="139">
        <v>5897</v>
      </c>
      <c r="AN28" s="140">
        <v>10</v>
      </c>
      <c r="AO28" s="105">
        <v>207047</v>
      </c>
      <c r="AP28" s="141">
        <v>479</v>
      </c>
      <c r="AQ28" s="105">
        <v>184761</v>
      </c>
      <c r="AR28" s="141">
        <v>0</v>
      </c>
      <c r="AS28" s="105">
        <v>526598</v>
      </c>
      <c r="AT28" s="142">
        <v>4058</v>
      </c>
      <c r="AU28" s="138">
        <v>2900</v>
      </c>
      <c r="AV28" s="138">
        <v>-1158</v>
      </c>
      <c r="AW28" s="143">
        <v>0.01</v>
      </c>
      <c r="AX28" s="143">
        <v>0</v>
      </c>
      <c r="AY28" s="143">
        <v>0</v>
      </c>
      <c r="AZ28" s="143">
        <v>0</v>
      </c>
      <c r="BA28" s="144">
        <v>1998</v>
      </c>
      <c r="BB28" s="144">
        <v>13816.00000000044</v>
      </c>
      <c r="BC28" s="145">
        <v>0.01</v>
      </c>
      <c r="BD28" s="146">
        <v>0</v>
      </c>
      <c r="BE28" s="147">
        <v>0</v>
      </c>
      <c r="BF28" s="148">
        <v>1998</v>
      </c>
      <c r="BG28" s="149">
        <v>3.1400000000001</v>
      </c>
      <c r="BH28" s="106">
        <v>13816.00000000044</v>
      </c>
      <c r="BI28" s="150">
        <v>13816.00000000044</v>
      </c>
      <c r="BJ28" s="151">
        <v>13776.00000000044</v>
      </c>
      <c r="BK28" s="106">
        <v>4566.5200000000004</v>
      </c>
      <c r="BL28" s="106">
        <v>1143.0000000000291</v>
      </c>
      <c r="BM28" s="152">
        <v>14959.000000000469</v>
      </c>
      <c r="BN28" s="138">
        <v>16000</v>
      </c>
      <c r="BO28" s="153">
        <v>1040.9999999995307</v>
      </c>
      <c r="BP28" s="107">
        <v>3140865</v>
      </c>
      <c r="BQ28" s="107">
        <v>20</v>
      </c>
      <c r="BR28" s="107">
        <v>4388907</v>
      </c>
      <c r="BS28" s="107">
        <v>20</v>
      </c>
      <c r="BT28" s="107">
        <v>40</v>
      </c>
      <c r="BU28" s="115">
        <v>45</v>
      </c>
      <c r="BV28" s="115">
        <v>54</v>
      </c>
    </row>
    <row r="29" spans="1:74" ht="24.95" customHeight="1" x14ac:dyDescent="0.3">
      <c r="A29" s="51" t="s">
        <v>152</v>
      </c>
      <c r="B29" s="97"/>
      <c r="C29" s="97">
        <v>87241</v>
      </c>
      <c r="D29" s="97">
        <v>259816</v>
      </c>
      <c r="E29" s="119">
        <v>30</v>
      </c>
      <c r="F29" s="119">
        <v>24</v>
      </c>
      <c r="G29" s="97"/>
      <c r="H29" s="97">
        <v>164383</v>
      </c>
      <c r="I29" s="98">
        <v>82182</v>
      </c>
      <c r="J29" s="98">
        <v>14</v>
      </c>
      <c r="K29" s="132">
        <v>16975</v>
      </c>
      <c r="L29" s="133">
        <v>3</v>
      </c>
      <c r="M29" s="127">
        <v>3236</v>
      </c>
      <c r="N29" s="133">
        <v>6</v>
      </c>
      <c r="O29" s="127">
        <v>3599</v>
      </c>
      <c r="P29" s="133">
        <v>6</v>
      </c>
      <c r="Q29" s="134">
        <v>58937</v>
      </c>
      <c r="R29" s="154">
        <v>4</v>
      </c>
      <c r="S29" s="135">
        <v>25549</v>
      </c>
      <c r="T29" s="136">
        <v>0</v>
      </c>
      <c r="U29" s="99">
        <v>10512</v>
      </c>
      <c r="V29" s="99">
        <v>2367</v>
      </c>
      <c r="W29" s="100">
        <v>5</v>
      </c>
      <c r="X29" s="101">
        <v>46854</v>
      </c>
      <c r="Y29" s="137">
        <v>6</v>
      </c>
      <c r="Z29" s="126">
        <v>8508</v>
      </c>
      <c r="AA29" s="126">
        <v>7375</v>
      </c>
      <c r="AB29" s="100">
        <v>4</v>
      </c>
      <c r="AC29" s="101">
        <v>3207</v>
      </c>
      <c r="AD29" s="101">
        <v>2118</v>
      </c>
      <c r="AE29" s="137">
        <v>0</v>
      </c>
      <c r="AF29" s="102">
        <v>9</v>
      </c>
      <c r="AG29" s="103">
        <v>251624</v>
      </c>
      <c r="AH29" s="104">
        <v>82</v>
      </c>
      <c r="AI29" s="138">
        <v>125</v>
      </c>
      <c r="AJ29" s="138">
        <v>43</v>
      </c>
      <c r="AK29" s="139">
        <v>520379</v>
      </c>
      <c r="AL29" s="140">
        <v>3726</v>
      </c>
      <c r="AM29" s="139">
        <v>5913</v>
      </c>
      <c r="AN29" s="140">
        <v>16</v>
      </c>
      <c r="AO29" s="105">
        <v>207519</v>
      </c>
      <c r="AP29" s="141">
        <v>472</v>
      </c>
      <c r="AQ29" s="105">
        <v>184761</v>
      </c>
      <c r="AR29" s="141">
        <v>0</v>
      </c>
      <c r="AS29" s="105">
        <v>530018</v>
      </c>
      <c r="AT29" s="142">
        <v>3742</v>
      </c>
      <c r="AU29" s="138">
        <v>2900</v>
      </c>
      <c r="AV29" s="138">
        <v>-842</v>
      </c>
      <c r="AW29" s="143">
        <v>0.01</v>
      </c>
      <c r="AX29" s="143">
        <v>0</v>
      </c>
      <c r="AY29" s="143">
        <v>0</v>
      </c>
      <c r="AZ29" s="143">
        <v>0</v>
      </c>
      <c r="BA29" s="144">
        <v>2001.34</v>
      </c>
      <c r="BB29" s="144">
        <v>14695.99999999964</v>
      </c>
      <c r="BC29" s="145">
        <v>0.01</v>
      </c>
      <c r="BD29" s="146">
        <v>0</v>
      </c>
      <c r="BE29" s="147">
        <v>0</v>
      </c>
      <c r="BF29" s="148">
        <v>2001.34</v>
      </c>
      <c r="BG29" s="149">
        <v>3.3399999999999181</v>
      </c>
      <c r="BH29" s="106">
        <v>14695.99999999964</v>
      </c>
      <c r="BI29" s="150">
        <v>14695.99999999964</v>
      </c>
      <c r="BJ29" s="151">
        <v>14654.99999999964</v>
      </c>
      <c r="BK29" s="106">
        <v>4578.6099999999997</v>
      </c>
      <c r="BL29" s="106">
        <v>1208.9999999999236</v>
      </c>
      <c r="BM29" s="152">
        <v>15904.999999999563</v>
      </c>
      <c r="BN29" s="138">
        <v>16000</v>
      </c>
      <c r="BO29" s="153">
        <v>95.000000000436557</v>
      </c>
      <c r="BP29" s="107">
        <v>3140886</v>
      </c>
      <c r="BQ29" s="107">
        <v>21</v>
      </c>
      <c r="BR29" s="107">
        <v>4388927</v>
      </c>
      <c r="BS29" s="107">
        <v>20</v>
      </c>
      <c r="BT29" s="107">
        <v>41</v>
      </c>
      <c r="BU29" s="115">
        <v>44</v>
      </c>
      <c r="BV29" s="115">
        <v>54</v>
      </c>
    </row>
    <row r="30" spans="1:74" ht="24.95" customHeight="1" x14ac:dyDescent="0.3">
      <c r="A30" s="51" t="s">
        <v>153</v>
      </c>
      <c r="B30" s="97"/>
      <c r="C30" s="97">
        <v>87262</v>
      </c>
      <c r="D30" s="97">
        <v>259844</v>
      </c>
      <c r="E30" s="119">
        <v>28</v>
      </c>
      <c r="F30" s="119">
        <v>17</v>
      </c>
      <c r="G30" s="97"/>
      <c r="H30" s="97">
        <v>164445</v>
      </c>
      <c r="I30" s="98">
        <v>82198</v>
      </c>
      <c r="J30" s="98">
        <v>16</v>
      </c>
      <c r="K30" s="132">
        <v>16980</v>
      </c>
      <c r="L30" s="133">
        <v>5</v>
      </c>
      <c r="M30" s="127">
        <v>3241</v>
      </c>
      <c r="N30" s="133">
        <v>5</v>
      </c>
      <c r="O30" s="127">
        <v>3605</v>
      </c>
      <c r="P30" s="133">
        <v>6</v>
      </c>
      <c r="Q30" s="134">
        <v>58940</v>
      </c>
      <c r="R30" s="154">
        <v>3</v>
      </c>
      <c r="S30" s="135">
        <v>25549</v>
      </c>
      <c r="T30" s="136">
        <v>0</v>
      </c>
      <c r="U30" s="99">
        <v>10518</v>
      </c>
      <c r="V30" s="99">
        <v>2367</v>
      </c>
      <c r="W30" s="100">
        <v>6</v>
      </c>
      <c r="X30" s="101">
        <v>46865</v>
      </c>
      <c r="Y30" s="137">
        <v>11</v>
      </c>
      <c r="Z30" s="126">
        <v>8510</v>
      </c>
      <c r="AA30" s="126">
        <v>7375</v>
      </c>
      <c r="AB30" s="100">
        <v>2</v>
      </c>
      <c r="AC30" s="101">
        <v>3208</v>
      </c>
      <c r="AD30" s="101">
        <v>2119</v>
      </c>
      <c r="AE30" s="137">
        <v>2</v>
      </c>
      <c r="AF30" s="102">
        <v>9</v>
      </c>
      <c r="AG30" s="103">
        <v>251707</v>
      </c>
      <c r="AH30" s="104">
        <v>83</v>
      </c>
      <c r="AI30" s="138">
        <v>125</v>
      </c>
      <c r="AJ30" s="138">
        <v>42</v>
      </c>
      <c r="AK30" s="139">
        <v>523642</v>
      </c>
      <c r="AL30" s="140">
        <v>3263</v>
      </c>
      <c r="AM30" s="139">
        <v>5938</v>
      </c>
      <c r="AN30" s="140">
        <v>25</v>
      </c>
      <c r="AO30" s="105">
        <v>208042</v>
      </c>
      <c r="AP30" s="141">
        <v>523</v>
      </c>
      <c r="AQ30" s="105">
        <v>184761</v>
      </c>
      <c r="AR30" s="141">
        <v>0</v>
      </c>
      <c r="AS30" s="105">
        <v>532843</v>
      </c>
      <c r="AT30" s="142">
        <v>3288</v>
      </c>
      <c r="AU30" s="138">
        <v>2900</v>
      </c>
      <c r="AV30" s="138">
        <v>-388</v>
      </c>
      <c r="AW30" s="143">
        <v>0.01</v>
      </c>
      <c r="AX30" s="143">
        <v>0</v>
      </c>
      <c r="AY30" s="143">
        <v>0</v>
      </c>
      <c r="AZ30" s="143">
        <v>0</v>
      </c>
      <c r="BA30" s="144">
        <v>2004.67</v>
      </c>
      <c r="BB30" s="144">
        <v>14652.00000000068</v>
      </c>
      <c r="BC30" s="145">
        <v>0.01</v>
      </c>
      <c r="BD30" s="146">
        <v>0</v>
      </c>
      <c r="BE30" s="147">
        <v>0</v>
      </c>
      <c r="BF30" s="148">
        <v>2004.67</v>
      </c>
      <c r="BG30" s="149">
        <v>3.3300000000001546</v>
      </c>
      <c r="BH30" s="106">
        <v>14652.00000000068</v>
      </c>
      <c r="BI30" s="150">
        <v>14652.00000000068</v>
      </c>
      <c r="BJ30" s="151">
        <v>14614.00000000068</v>
      </c>
      <c r="BK30" s="106">
        <v>4591.7700000000004</v>
      </c>
      <c r="BL30" s="106">
        <v>1316.0000000000764</v>
      </c>
      <c r="BM30" s="152">
        <v>15968.000000000757</v>
      </c>
      <c r="BN30" s="138">
        <v>16000</v>
      </c>
      <c r="BO30" s="153">
        <v>31.9999999992433</v>
      </c>
      <c r="BP30" s="107">
        <v>3140905</v>
      </c>
      <c r="BQ30" s="107">
        <v>19</v>
      </c>
      <c r="BR30" s="107">
        <v>4388946</v>
      </c>
      <c r="BS30" s="107">
        <v>19</v>
      </c>
      <c r="BT30" s="107">
        <v>38</v>
      </c>
      <c r="BU30" s="115">
        <v>45</v>
      </c>
      <c r="BV30" s="115">
        <v>54</v>
      </c>
    </row>
    <row r="31" spans="1:74" ht="24.95" customHeight="1" x14ac:dyDescent="0.3">
      <c r="A31" s="51" t="s">
        <v>154</v>
      </c>
      <c r="B31" s="97"/>
      <c r="C31" s="97">
        <v>87285</v>
      </c>
      <c r="D31" s="97">
        <v>259878</v>
      </c>
      <c r="E31" s="119">
        <v>34</v>
      </c>
      <c r="F31" s="119">
        <v>22</v>
      </c>
      <c r="G31" s="97"/>
      <c r="H31" s="97">
        <v>164511</v>
      </c>
      <c r="I31" s="98">
        <v>82215</v>
      </c>
      <c r="J31" s="98">
        <v>17</v>
      </c>
      <c r="K31" s="132">
        <v>16984</v>
      </c>
      <c r="L31" s="133">
        <v>4</v>
      </c>
      <c r="M31" s="127">
        <v>3248</v>
      </c>
      <c r="N31" s="133">
        <v>7</v>
      </c>
      <c r="O31" s="127">
        <v>3611</v>
      </c>
      <c r="P31" s="133">
        <v>6</v>
      </c>
      <c r="Q31" s="134">
        <v>58940</v>
      </c>
      <c r="R31" s="154">
        <v>0</v>
      </c>
      <c r="S31" s="135">
        <v>25549</v>
      </c>
      <c r="T31" s="136">
        <v>0</v>
      </c>
      <c r="U31" s="99">
        <v>10524</v>
      </c>
      <c r="V31" s="99">
        <v>2367</v>
      </c>
      <c r="W31" s="100">
        <v>6</v>
      </c>
      <c r="X31" s="101">
        <v>46877</v>
      </c>
      <c r="Y31" s="137">
        <v>12</v>
      </c>
      <c r="Z31" s="126">
        <v>8512</v>
      </c>
      <c r="AA31" s="126">
        <v>7376</v>
      </c>
      <c r="AB31" s="100">
        <v>3</v>
      </c>
      <c r="AC31" s="101">
        <v>3209</v>
      </c>
      <c r="AD31" s="101">
        <v>2120</v>
      </c>
      <c r="AE31" s="137">
        <v>2</v>
      </c>
      <c r="AF31" s="102">
        <v>6</v>
      </c>
      <c r="AG31" s="103">
        <v>251796</v>
      </c>
      <c r="AH31" s="104">
        <v>89</v>
      </c>
      <c r="AI31" s="138">
        <v>125</v>
      </c>
      <c r="AJ31" s="138">
        <v>36</v>
      </c>
      <c r="AK31" s="139">
        <v>526737</v>
      </c>
      <c r="AL31" s="140">
        <v>3095</v>
      </c>
      <c r="AM31" s="139">
        <v>5973</v>
      </c>
      <c r="AN31" s="140">
        <v>35</v>
      </c>
      <c r="AO31" s="105">
        <v>208517</v>
      </c>
      <c r="AP31" s="141">
        <v>475</v>
      </c>
      <c r="AQ31" s="105">
        <v>184761</v>
      </c>
      <c r="AR31" s="141">
        <v>0</v>
      </c>
      <c r="AS31" s="105">
        <v>535805</v>
      </c>
      <c r="AT31" s="142">
        <v>3130</v>
      </c>
      <c r="AU31" s="138">
        <v>2900</v>
      </c>
      <c r="AV31" s="138">
        <v>-230</v>
      </c>
      <c r="AW31" s="143">
        <v>0.01</v>
      </c>
      <c r="AX31" s="143">
        <v>0</v>
      </c>
      <c r="AY31" s="143">
        <v>0</v>
      </c>
      <c r="AZ31" s="143">
        <v>0</v>
      </c>
      <c r="BA31" s="144">
        <v>2008.04</v>
      </c>
      <c r="BB31" s="144">
        <v>14827.99999999952</v>
      </c>
      <c r="BC31" s="145">
        <v>0.01</v>
      </c>
      <c r="BD31" s="146">
        <v>0</v>
      </c>
      <c r="BE31" s="147">
        <v>0</v>
      </c>
      <c r="BF31" s="148">
        <v>2008.04</v>
      </c>
      <c r="BG31" s="149">
        <v>3.3699999999998909</v>
      </c>
      <c r="BH31" s="106">
        <v>14827.99999999952</v>
      </c>
      <c r="BI31" s="150">
        <v>14827.99999999952</v>
      </c>
      <c r="BJ31" s="151">
        <v>14784.99999999952</v>
      </c>
      <c r="BK31" s="106">
        <v>4605.74</v>
      </c>
      <c r="BL31" s="106">
        <v>1396.9999999999345</v>
      </c>
      <c r="BM31" s="152">
        <v>16224.999999999454</v>
      </c>
      <c r="BN31" s="138">
        <v>16000</v>
      </c>
      <c r="BO31" s="153">
        <v>-224.9999999994543</v>
      </c>
      <c r="BP31" s="107">
        <v>3140929</v>
      </c>
      <c r="BQ31" s="107">
        <v>24</v>
      </c>
      <c r="BR31" s="107">
        <v>4388965</v>
      </c>
      <c r="BS31" s="107">
        <v>19</v>
      </c>
      <c r="BT31" s="107">
        <v>43</v>
      </c>
      <c r="BU31" s="115">
        <v>45</v>
      </c>
      <c r="BV31" s="115">
        <v>59</v>
      </c>
    </row>
    <row r="32" spans="1:74" ht="24.95" customHeight="1" x14ac:dyDescent="0.3">
      <c r="A32" s="51" t="s">
        <v>155</v>
      </c>
      <c r="B32" s="97"/>
      <c r="C32" s="97">
        <v>87306</v>
      </c>
      <c r="D32" s="97">
        <v>259916</v>
      </c>
      <c r="E32" s="119">
        <v>38</v>
      </c>
      <c r="F32" s="119">
        <v>25</v>
      </c>
      <c r="G32" s="97"/>
      <c r="H32" s="97">
        <v>164574</v>
      </c>
      <c r="I32" s="98">
        <v>82219</v>
      </c>
      <c r="J32" s="98">
        <v>4</v>
      </c>
      <c r="K32" s="132">
        <v>16989</v>
      </c>
      <c r="L32" s="133">
        <v>5</v>
      </c>
      <c r="M32" s="127">
        <v>3256</v>
      </c>
      <c r="N32" s="133">
        <v>8</v>
      </c>
      <c r="O32" s="127">
        <v>3617</v>
      </c>
      <c r="P32" s="133">
        <v>6</v>
      </c>
      <c r="Q32" s="134">
        <v>58941</v>
      </c>
      <c r="R32" s="154">
        <v>1</v>
      </c>
      <c r="S32" s="135">
        <v>25550</v>
      </c>
      <c r="T32" s="136">
        <v>1</v>
      </c>
      <c r="U32" s="99">
        <v>10524</v>
      </c>
      <c r="V32" s="99">
        <v>2367</v>
      </c>
      <c r="W32" s="100">
        <v>0</v>
      </c>
      <c r="X32" s="101">
        <v>46890</v>
      </c>
      <c r="Y32" s="137">
        <v>13</v>
      </c>
      <c r="Z32" s="126">
        <v>8515</v>
      </c>
      <c r="AA32" s="126">
        <v>7377</v>
      </c>
      <c r="AB32" s="100">
        <v>4</v>
      </c>
      <c r="AC32" s="101">
        <v>3211</v>
      </c>
      <c r="AD32" s="101">
        <v>2121</v>
      </c>
      <c r="AE32" s="137">
        <v>3</v>
      </c>
      <c r="AF32" s="102">
        <v>2</v>
      </c>
      <c r="AG32" s="103">
        <v>251880</v>
      </c>
      <c r="AH32" s="104">
        <v>84</v>
      </c>
      <c r="AI32" s="138">
        <v>125</v>
      </c>
      <c r="AJ32" s="138">
        <v>41</v>
      </c>
      <c r="AK32" s="139">
        <v>529453</v>
      </c>
      <c r="AL32" s="140">
        <v>2716</v>
      </c>
      <c r="AM32" s="139">
        <v>6011</v>
      </c>
      <c r="AN32" s="140">
        <v>38</v>
      </c>
      <c r="AO32" s="105">
        <v>208620</v>
      </c>
      <c r="AP32" s="141">
        <v>103</v>
      </c>
      <c r="AQ32" s="105">
        <v>184761</v>
      </c>
      <c r="AR32" s="141">
        <v>0</v>
      </c>
      <c r="AS32" s="105">
        <v>538180</v>
      </c>
      <c r="AT32" s="142">
        <v>2754</v>
      </c>
      <c r="AU32" s="138">
        <v>2900</v>
      </c>
      <c r="AV32" s="138">
        <v>146</v>
      </c>
      <c r="AW32" s="143">
        <v>0.01</v>
      </c>
      <c r="AX32" s="143">
        <v>0</v>
      </c>
      <c r="AY32" s="143">
        <v>0</v>
      </c>
      <c r="AZ32" s="143">
        <v>0</v>
      </c>
      <c r="BA32" s="144">
        <v>2011.45</v>
      </c>
      <c r="BB32" s="144">
        <v>15004.00000000036</v>
      </c>
      <c r="BC32" s="145">
        <v>0.01</v>
      </c>
      <c r="BD32" s="146">
        <v>0</v>
      </c>
      <c r="BE32" s="147">
        <v>0</v>
      </c>
      <c r="BF32" s="148">
        <v>2011.45</v>
      </c>
      <c r="BG32" s="149">
        <v>3.4100000000000819</v>
      </c>
      <c r="BH32" s="106">
        <v>15004.00000000036</v>
      </c>
      <c r="BI32" s="150">
        <v>15004.00000000036</v>
      </c>
      <c r="BJ32" s="151">
        <v>14970.00000000036</v>
      </c>
      <c r="BK32" s="106">
        <v>4622.4399999999996</v>
      </c>
      <c r="BL32" s="106">
        <v>1669.9999999999818</v>
      </c>
      <c r="BM32" s="152">
        <v>16674.000000000342</v>
      </c>
      <c r="BN32" s="138">
        <v>16000</v>
      </c>
      <c r="BO32" s="153">
        <v>-674.00000000034197</v>
      </c>
      <c r="BP32" s="107">
        <v>3140944</v>
      </c>
      <c r="BQ32" s="107">
        <v>15</v>
      </c>
      <c r="BR32" s="107">
        <v>4388984</v>
      </c>
      <c r="BS32" s="107">
        <v>19</v>
      </c>
      <c r="BT32" s="107">
        <v>34</v>
      </c>
      <c r="BU32" s="115">
        <v>55</v>
      </c>
      <c r="BV32" s="115">
        <v>82</v>
      </c>
    </row>
    <row r="33" spans="1:74" ht="24.95" customHeight="1" x14ac:dyDescent="0.3">
      <c r="A33" s="51" t="s">
        <v>156</v>
      </c>
      <c r="B33" s="97"/>
      <c r="C33" s="97">
        <v>87324</v>
      </c>
      <c r="D33" s="97">
        <v>259954</v>
      </c>
      <c r="E33" s="119">
        <v>38</v>
      </c>
      <c r="F33" s="119">
        <v>26</v>
      </c>
      <c r="G33" s="97"/>
      <c r="H33" s="97">
        <v>164690</v>
      </c>
      <c r="I33" s="98">
        <v>82222</v>
      </c>
      <c r="J33" s="98">
        <v>3</v>
      </c>
      <c r="K33" s="132">
        <v>16994</v>
      </c>
      <c r="L33" s="133">
        <v>5</v>
      </c>
      <c r="M33" s="127">
        <v>3263</v>
      </c>
      <c r="N33" s="133">
        <v>7</v>
      </c>
      <c r="O33" s="127">
        <v>3624</v>
      </c>
      <c r="P33" s="133">
        <v>7</v>
      </c>
      <c r="Q33" s="134">
        <v>58941</v>
      </c>
      <c r="R33" s="154">
        <v>0</v>
      </c>
      <c r="S33" s="135">
        <v>25551</v>
      </c>
      <c r="T33" s="136">
        <v>1</v>
      </c>
      <c r="U33" s="99">
        <v>10525</v>
      </c>
      <c r="V33" s="99">
        <v>2367</v>
      </c>
      <c r="W33" s="100">
        <v>1</v>
      </c>
      <c r="X33" s="101">
        <v>46902</v>
      </c>
      <c r="Y33" s="137">
        <v>12</v>
      </c>
      <c r="Z33" s="126">
        <v>8517</v>
      </c>
      <c r="AA33" s="126">
        <v>7378</v>
      </c>
      <c r="AB33" s="100">
        <v>3</v>
      </c>
      <c r="AC33" s="101">
        <v>3212</v>
      </c>
      <c r="AD33" s="101">
        <v>2123</v>
      </c>
      <c r="AE33" s="137">
        <v>3</v>
      </c>
      <c r="AF33" s="102">
        <v>2</v>
      </c>
      <c r="AG33" s="103">
        <v>252014</v>
      </c>
      <c r="AH33" s="104">
        <v>134</v>
      </c>
      <c r="AI33" s="138">
        <v>125</v>
      </c>
      <c r="AJ33" s="138">
        <v>-9</v>
      </c>
      <c r="AK33" s="139">
        <v>532197</v>
      </c>
      <c r="AL33" s="140">
        <v>2744</v>
      </c>
      <c r="AM33" s="139">
        <v>6048</v>
      </c>
      <c r="AN33" s="140">
        <v>37</v>
      </c>
      <c r="AO33" s="105">
        <v>208718</v>
      </c>
      <c r="AP33" s="141">
        <v>98</v>
      </c>
      <c r="AQ33" s="105">
        <v>184761</v>
      </c>
      <c r="AR33" s="141">
        <v>0</v>
      </c>
      <c r="AS33" s="105">
        <v>540989</v>
      </c>
      <c r="AT33" s="142">
        <v>2781</v>
      </c>
      <c r="AU33" s="138">
        <v>2900</v>
      </c>
      <c r="AV33" s="138">
        <v>119</v>
      </c>
      <c r="AW33" s="143">
        <v>0.01</v>
      </c>
      <c r="AX33" s="143">
        <v>0</v>
      </c>
      <c r="AY33" s="143">
        <v>0</v>
      </c>
      <c r="AZ33" s="143">
        <v>0</v>
      </c>
      <c r="BA33" s="144">
        <v>2014.75</v>
      </c>
      <c r="BB33" s="144">
        <v>14519.9999999998</v>
      </c>
      <c r="BC33" s="145">
        <v>0.01</v>
      </c>
      <c r="BD33" s="146">
        <v>0</v>
      </c>
      <c r="BE33" s="147">
        <v>0</v>
      </c>
      <c r="BF33" s="148">
        <v>2014.75</v>
      </c>
      <c r="BG33" s="149">
        <v>3.2999999999999545</v>
      </c>
      <c r="BH33" s="106">
        <v>14519.9999999998</v>
      </c>
      <c r="BI33" s="150">
        <v>14519.9999999998</v>
      </c>
      <c r="BJ33" s="151">
        <v>14479.9999999998</v>
      </c>
      <c r="BK33" s="106">
        <v>4654.2299999999996</v>
      </c>
      <c r="BL33" s="106">
        <v>3178.9999999999964</v>
      </c>
      <c r="BM33" s="152">
        <v>17698.999999999796</v>
      </c>
      <c r="BN33" s="138">
        <v>16000</v>
      </c>
      <c r="BO33" s="153">
        <v>-1698.9999999997963</v>
      </c>
      <c r="BP33" s="107">
        <v>3140964</v>
      </c>
      <c r="BQ33" s="107">
        <v>20</v>
      </c>
      <c r="BR33" s="107">
        <v>4389004</v>
      </c>
      <c r="BS33" s="107">
        <v>20</v>
      </c>
      <c r="BT33" s="107">
        <v>40</v>
      </c>
      <c r="BU33" s="115">
        <v>59</v>
      </c>
      <c r="BV33" s="115">
        <v>85</v>
      </c>
    </row>
    <row r="34" spans="1:74" ht="24.95" customHeight="1" thickBot="1" x14ac:dyDescent="0.35">
      <c r="A34" s="51" t="s">
        <v>157</v>
      </c>
      <c r="B34" s="155"/>
      <c r="C34" s="156">
        <v>87343</v>
      </c>
      <c r="D34" s="156">
        <v>259993</v>
      </c>
      <c r="E34" s="119">
        <v>39</v>
      </c>
      <c r="F34" s="119">
        <v>26</v>
      </c>
      <c r="G34" s="97"/>
      <c r="H34" s="156">
        <v>164687</v>
      </c>
      <c r="I34" s="157">
        <v>82226</v>
      </c>
      <c r="J34" s="98">
        <v>4</v>
      </c>
      <c r="K34" s="158">
        <v>16997</v>
      </c>
      <c r="L34" s="133">
        <v>3</v>
      </c>
      <c r="M34" s="159">
        <v>3269</v>
      </c>
      <c r="N34" s="133">
        <v>6</v>
      </c>
      <c r="O34" s="159">
        <v>3633</v>
      </c>
      <c r="P34" s="133">
        <v>9</v>
      </c>
      <c r="Q34" s="160">
        <v>58941</v>
      </c>
      <c r="R34" s="154">
        <v>0</v>
      </c>
      <c r="S34" s="135">
        <v>25552</v>
      </c>
      <c r="T34" s="136">
        <v>1</v>
      </c>
      <c r="U34" s="99">
        <v>10526</v>
      </c>
      <c r="V34" s="161">
        <v>2367</v>
      </c>
      <c r="W34" s="100">
        <v>1</v>
      </c>
      <c r="X34" s="162">
        <v>46915</v>
      </c>
      <c r="Y34" s="137">
        <v>13</v>
      </c>
      <c r="Z34" s="163">
        <v>8520</v>
      </c>
      <c r="AA34" s="164">
        <v>7378</v>
      </c>
      <c r="AB34" s="100">
        <v>3</v>
      </c>
      <c r="AC34" s="101">
        <v>3214</v>
      </c>
      <c r="AD34" s="101">
        <v>2125</v>
      </c>
      <c r="AE34" s="137">
        <v>4</v>
      </c>
      <c r="AF34" s="102">
        <v>2</v>
      </c>
      <c r="AG34" s="103">
        <v>252030</v>
      </c>
      <c r="AH34" s="104">
        <v>16</v>
      </c>
      <c r="AI34" s="138">
        <v>125</v>
      </c>
      <c r="AJ34" s="138">
        <v>109</v>
      </c>
      <c r="AK34" s="165">
        <v>534656</v>
      </c>
      <c r="AL34" s="140">
        <v>2459</v>
      </c>
      <c r="AM34" s="139">
        <v>6075</v>
      </c>
      <c r="AN34" s="140">
        <v>27</v>
      </c>
      <c r="AO34" s="105">
        <v>208821</v>
      </c>
      <c r="AP34" s="141">
        <v>103</v>
      </c>
      <c r="AQ34" s="105">
        <v>184761</v>
      </c>
      <c r="AR34" s="141">
        <v>0</v>
      </c>
      <c r="AS34" s="105">
        <v>543190</v>
      </c>
      <c r="AT34" s="142">
        <v>2486</v>
      </c>
      <c r="AU34" s="138">
        <v>2900</v>
      </c>
      <c r="AV34" s="138">
        <v>414</v>
      </c>
      <c r="AW34" s="143">
        <v>0.01</v>
      </c>
      <c r="AX34" s="143">
        <v>0</v>
      </c>
      <c r="AY34" s="143">
        <v>0</v>
      </c>
      <c r="AZ34" s="143">
        <v>0</v>
      </c>
      <c r="BA34" s="144">
        <v>2018.02</v>
      </c>
      <c r="BB34" s="144">
        <v>14387.99999999992</v>
      </c>
      <c r="BC34" s="145">
        <v>0.01</v>
      </c>
      <c r="BD34" s="146">
        <v>0</v>
      </c>
      <c r="BE34" s="147">
        <v>0</v>
      </c>
      <c r="BF34" s="148">
        <v>2018.02</v>
      </c>
      <c r="BG34" s="149">
        <v>3.2699999999999818</v>
      </c>
      <c r="BH34" s="106">
        <v>14387.99999999992</v>
      </c>
      <c r="BI34" s="150">
        <v>14387.99999999992</v>
      </c>
      <c r="BJ34" s="151">
        <v>14345.99999999992</v>
      </c>
      <c r="BK34" s="106">
        <v>4662.2</v>
      </c>
      <c r="BL34" s="106">
        <v>797.00000000002547</v>
      </c>
      <c r="BM34" s="152">
        <v>15184.999999999945</v>
      </c>
      <c r="BN34" s="138">
        <v>16000</v>
      </c>
      <c r="BO34" s="153">
        <v>815.00000000005457</v>
      </c>
      <c r="BP34" s="166">
        <v>3140987</v>
      </c>
      <c r="BQ34" s="107">
        <v>23</v>
      </c>
      <c r="BR34" s="166">
        <v>4389023</v>
      </c>
      <c r="BS34" s="107">
        <v>19</v>
      </c>
      <c r="BT34" s="107">
        <v>42</v>
      </c>
      <c r="BU34" s="115">
        <v>41</v>
      </c>
      <c r="BV34" s="115">
        <v>55</v>
      </c>
    </row>
    <row r="35" spans="1:74" ht="24.95" customHeight="1" x14ac:dyDescent="0.3">
      <c r="A35" s="51" t="s">
        <v>127</v>
      </c>
      <c r="B35" s="52"/>
      <c r="C35" s="97">
        <v>87371</v>
      </c>
      <c r="D35" s="97">
        <v>260025</v>
      </c>
      <c r="E35" s="119">
        <v>32</v>
      </c>
      <c r="F35" s="119">
        <v>22</v>
      </c>
      <c r="G35" s="97"/>
      <c r="H35" s="97">
        <v>164765</v>
      </c>
      <c r="I35" s="98">
        <v>82251</v>
      </c>
      <c r="J35" s="120">
        <v>25</v>
      </c>
      <c r="K35" s="104">
        <v>17001</v>
      </c>
      <c r="L35" s="121">
        <v>4</v>
      </c>
      <c r="M35" s="128">
        <v>3273</v>
      </c>
      <c r="N35" s="122">
        <v>4</v>
      </c>
      <c r="O35" s="129">
        <v>3638</v>
      </c>
      <c r="P35" s="122">
        <v>5</v>
      </c>
      <c r="Q35" s="123">
        <v>58948</v>
      </c>
      <c r="R35" s="100">
        <v>7</v>
      </c>
      <c r="S35" s="124">
        <v>25557</v>
      </c>
      <c r="T35" s="125">
        <v>5</v>
      </c>
      <c r="U35" s="99">
        <v>10533</v>
      </c>
      <c r="V35" s="99">
        <v>2367</v>
      </c>
      <c r="W35" s="100">
        <v>7</v>
      </c>
      <c r="X35" s="124">
        <v>46925</v>
      </c>
      <c r="Y35" s="125">
        <v>10</v>
      </c>
      <c r="Z35" s="126">
        <v>8523</v>
      </c>
      <c r="AA35" s="126">
        <v>7379</v>
      </c>
      <c r="AB35" s="100">
        <v>4</v>
      </c>
      <c r="AC35" s="124">
        <v>3215</v>
      </c>
      <c r="AD35" s="124">
        <v>2126</v>
      </c>
      <c r="AE35" s="125">
        <v>2</v>
      </c>
      <c r="AF35" s="102">
        <v>19</v>
      </c>
      <c r="AG35" s="103">
        <v>252136</v>
      </c>
      <c r="AH35" s="53">
        <v>106</v>
      </c>
      <c r="AI35" s="55">
        <v>125</v>
      </c>
      <c r="AJ35" s="55">
        <v>19</v>
      </c>
      <c r="AK35" s="56">
        <v>537698</v>
      </c>
      <c r="AL35" s="57">
        <v>3042</v>
      </c>
      <c r="AM35" s="56">
        <v>6107</v>
      </c>
      <c r="AN35" s="58">
        <v>32</v>
      </c>
      <c r="AO35" s="105">
        <v>209420</v>
      </c>
      <c r="AP35" s="60"/>
      <c r="AQ35" s="59">
        <v>184761</v>
      </c>
      <c r="AR35" s="60"/>
      <c r="AS35" s="59">
        <v>546847</v>
      </c>
      <c r="AT35" s="61">
        <v>3074</v>
      </c>
      <c r="AU35" s="55">
        <v>2901</v>
      </c>
      <c r="AV35" s="55">
        <v>-173</v>
      </c>
      <c r="AW35" s="62">
        <v>0.01</v>
      </c>
      <c r="AX35" s="62">
        <v>0</v>
      </c>
      <c r="AY35" s="62">
        <v>0</v>
      </c>
      <c r="AZ35" s="62">
        <v>0</v>
      </c>
      <c r="BA35" s="63">
        <v>2021.1</v>
      </c>
      <c r="BB35" s="63">
        <v>13551.99999999968</v>
      </c>
      <c r="BC35" s="54">
        <v>0.01</v>
      </c>
      <c r="BD35" s="59">
        <v>0</v>
      </c>
      <c r="BE35" s="64">
        <v>0</v>
      </c>
      <c r="BF35" s="65">
        <v>2021.1</v>
      </c>
      <c r="BG35" s="70">
        <v>3.0799999999999272</v>
      </c>
      <c r="BH35" s="66">
        <v>13551.99999999968</v>
      </c>
      <c r="BI35" s="117">
        <v>13551.99999999968</v>
      </c>
      <c r="BJ35" s="67">
        <v>13516.99999999968</v>
      </c>
      <c r="BK35" s="106">
        <v>4670.13</v>
      </c>
      <c r="BL35" s="106">
        <v>793.0000000000291</v>
      </c>
      <c r="BM35" s="68">
        <v>14344.999999999709</v>
      </c>
      <c r="BN35" s="55">
        <v>16000</v>
      </c>
      <c r="BO35" s="55">
        <v>1655.000000000291</v>
      </c>
      <c r="BP35" s="107">
        <v>3141003</v>
      </c>
      <c r="BQ35" s="118">
        <v>16</v>
      </c>
      <c r="BR35" s="107">
        <v>4389042</v>
      </c>
      <c r="BS35" s="118">
        <v>19</v>
      </c>
      <c r="BT35" s="69">
        <v>35</v>
      </c>
      <c r="BU35" s="115">
        <v>40</v>
      </c>
      <c r="BV35" s="115">
        <v>49</v>
      </c>
    </row>
    <row r="36" spans="1:74" x14ac:dyDescent="0.25">
      <c r="AH36" s="75"/>
      <c r="AI36" s="75"/>
      <c r="AJ36" s="75"/>
      <c r="AT36" s="75"/>
      <c r="AU36" s="75"/>
      <c r="AV36" s="75"/>
      <c r="BM36" s="75"/>
      <c r="BN36" s="75"/>
      <c r="BO36" s="75"/>
    </row>
  </sheetData>
  <mergeCells count="5">
    <mergeCell ref="AW2:AY2"/>
    <mergeCell ref="AZ2:BB2"/>
    <mergeCell ref="B1:AJ1"/>
    <mergeCell ref="AK1:AV1"/>
    <mergeCell ref="AW1:BN1"/>
  </mergeCells>
  <conditionalFormatting sqref="AH5:AH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4">
    <cfRule type="colorScale" priority="3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J4">
    <cfRule type="colorScale" priority="2">
      <colorScale>
        <cfvo type="min"/>
        <cfvo type="percentile" val="50"/>
        <cfvo type="max"/>
        <color rgb="FFF8696B"/>
        <color rgb="FFFFEB84"/>
        <color rgb="FF5A8AC6"/>
      </colorScale>
    </cfRule>
  </conditionalFormatting>
  <conditionalFormatting sqref="A1:XF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1164099A2784E45BCBC8818E86541AD" ma:contentTypeVersion="14" ma:contentTypeDescription="Új dokumentum létrehozása." ma:contentTypeScope="" ma:versionID="3ffea3713e87522293bf3e6a8d8d7a99">
  <xsd:schema xmlns:xsd="http://www.w3.org/2001/XMLSchema" xmlns:xs="http://www.w3.org/2001/XMLSchema" xmlns:p="http://schemas.microsoft.com/office/2006/metadata/properties" xmlns:ns2="79405527-da4b-42fd-abaf-b35b941fb2e8" xmlns:ns3="38a33c00-717a-4fb9-8e59-67aa6d5a023c" targetNamespace="http://schemas.microsoft.com/office/2006/metadata/properties" ma:root="true" ma:fieldsID="27414d1b402eef25b54d85e01ab5e161" ns2:_="" ns3:_="">
    <xsd:import namespace="79405527-da4b-42fd-abaf-b35b941fb2e8"/>
    <xsd:import namespace="38a33c00-717a-4fb9-8e59-67aa6d5a0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Pertner" minOccurs="0"/>
                <xsd:element ref="ns2:_x00c1_llapot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05527-da4b-42fd-abaf-b35b941fb2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Pertner" ma:index="16" nillable="true" ma:displayName="Partner" ma:description="Ibiden" ma:format="Dropdown" ma:internalName="Pertner">
      <xsd:simpleType>
        <xsd:restriction base="dms:Text">
          <xsd:maxLength value="255"/>
        </xsd:restriction>
      </xsd:simpleType>
    </xsd:element>
    <xsd:element name="_x00c1_llapot" ma:index="17" nillable="true" ma:displayName="Állapot" ma:default="Munkaközi" ma:format="Dropdown" ma:internalName="_x00c1_llapot">
      <xsd:simpleType>
        <xsd:restriction base="dms:Choice">
          <xsd:enumeration value="Template"/>
          <xsd:enumeration value="Munkaközi"/>
          <xsd:enumeration value="Ellenőrzésre"/>
          <xsd:enumeration value="Hibás"/>
          <xsd:enumeration value="Kiadható"/>
          <xsd:enumeration value="Közzétett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33c00-717a-4fb9-8e59-67aa6d5a023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llapot xmlns="79405527-da4b-42fd-abaf-b35b941fb2e8">Munkaközi</_x00c1_llapot>
    <Pertner xmlns="79405527-da4b-42fd-abaf-b35b941fb2e8" xsi:nil="true"/>
  </documentManagement>
</p:properties>
</file>

<file path=customXml/itemProps1.xml><?xml version="1.0" encoding="utf-8"?>
<ds:datastoreItem xmlns:ds="http://schemas.openxmlformats.org/officeDocument/2006/customXml" ds:itemID="{1216D661-F09C-48B6-A056-9A0A3188B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405527-da4b-42fd-abaf-b35b941fb2e8"/>
    <ds:schemaRef ds:uri="38a33c00-717a-4fb9-8e59-67aa6d5a0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80B9EF-177A-4108-8619-AFA4FB27C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7DCCB-4F64-4EED-9DEC-D390BADE6F3A}">
  <ds:schemaRefs>
    <ds:schemaRef ds:uri="http://schemas.microsoft.com/office/2006/metadata/properties"/>
    <ds:schemaRef ds:uri="http://schemas.microsoft.com/office/infopath/2007/PartnerControls"/>
    <ds:schemaRef ds:uri="79405527-da4b-42fd-abaf-b35b941fb2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Gáti Gábor</cp:lastModifiedBy>
  <cp:revision/>
  <dcterms:created xsi:type="dcterms:W3CDTF">2017-05-22T13:08:25Z</dcterms:created>
  <dcterms:modified xsi:type="dcterms:W3CDTF">2022-02-16T09:27:43Z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0x010100B1164099A2784E45BCBC8818E86541AD</vt:lpwstr>
  </property>
</Properties>
</file>